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novaegroup0.sharepoint.com/sites/TRAINING832/Documents partages/PROJET NOVAE DASSAULT _ INDONESIE _ WP#4/AWF_TEAM INDO/01 Montée en compétence &amp; Charge + Planning/02 Planification AWF &amp; TTP/"/>
    </mc:Choice>
  </mc:AlternateContent>
  <xr:revisionPtr revIDLastSave="938" documentId="8_{07F81C8A-F55B-4300-A595-ACE02929F99C}" xr6:coauthVersionLast="47" xr6:coauthVersionMax="47" xr10:uidLastSave="{13CDD884-EA69-4B43-9916-5B57D3ACB2A5}"/>
  <bookViews>
    <workbookView xWindow="-108" yWindow="-108" windowWidth="23256" windowHeight="12456" tabRatio="874" firstSheet="5" activeTab="14" xr2:uid="{73FB9A21-492F-47F5-AB48-A8566B675319}"/>
  </bookViews>
  <sheets>
    <sheet name="Feuil2 (2)" sheetId="12" state="hidden" r:id="rId1"/>
    <sheet name="Dashboard" sheetId="9" state="hidden" r:id="rId2"/>
    <sheet name="Feuil1" sheetId="13" state="hidden" r:id="rId3"/>
    <sheet name="TH_CMI GRADE 10" sheetId="5" r:id="rId4"/>
    <sheet name="PW_CMI GRADE 10" sheetId="4" r:id="rId5"/>
    <sheet name="TH_CMI GRADE 11" sheetId="23" r:id="rId6"/>
    <sheet name="PW_CMI GRADE 11" sheetId="31" r:id="rId7"/>
    <sheet name="TH_CMI GRADE 12" sheetId="25" r:id="rId8"/>
    <sheet name="PW_CMI GRADE 12" sheetId="26" r:id="rId9"/>
    <sheet name="KPI CMI" sheetId="7" r:id="rId10"/>
    <sheet name="Data" sheetId="8" state="hidden" r:id="rId11"/>
    <sheet name="TH_MLG GRADE 10" sheetId="3" r:id="rId12"/>
    <sheet name="PW_MLG GRADE 10" sheetId="2" r:id="rId13"/>
    <sheet name="KPI MLG_Old" sheetId="6" state="hidden" r:id="rId14"/>
    <sheet name="TH_MLG GRADE 11" sheetId="27" r:id="rId15"/>
    <sheet name="PW_MLG GRADE 11" sheetId="32" r:id="rId16"/>
    <sheet name="TH_MLG GRADE 12" sheetId="33" r:id="rId17"/>
    <sheet name="PW_MLG GRADE 12" sheetId="34" r:id="rId18"/>
    <sheet name="KPI MLG" sheetId="22" r:id="rId19"/>
    <sheet name="Feuil4" sheetId="17" state="hidden" r:id="rId20"/>
  </sheets>
  <definedNames>
    <definedName name="_xlnm._FilterDatabase" localSheetId="2" hidden="1">Feuil1!$A$2:$O$1292</definedName>
    <definedName name="_xlnm._FilterDatabase" localSheetId="6" hidden="1">'PW_CMI GRADE 11'!$A$1:$BQ$35</definedName>
    <definedName name="_xlnm._FilterDatabase" localSheetId="8" hidden="1">'PW_CMI GRADE 12'!$A$1:$BQ$35</definedName>
    <definedName name="_xlnm._FilterDatabase" localSheetId="12" hidden="1">'PW_MLG GRADE 10'!$A$1:$CR$32</definedName>
    <definedName name="_xlnm._FilterDatabase" localSheetId="15" hidden="1">'PW_MLG GRADE 11'!$A$1:$BW$35</definedName>
    <definedName name="_xlnm._FilterDatabase" localSheetId="17" hidden="1">'PW_MLG GRADE 12'!$A$1:$BJ$35</definedName>
    <definedName name="_xlnm._FilterDatabase" localSheetId="3" hidden="1">'TH_CMI GRADE 10'!$AT$6:$AT$68</definedName>
    <definedName name="_xlnm._FilterDatabase" localSheetId="5" hidden="1">'TH_CMI GRADE 11'!$A$1:$BQ$49</definedName>
    <definedName name="_xlnm._FilterDatabase" localSheetId="7" hidden="1">'TH_CMI GRADE 12'!$A$1:$BQ$45</definedName>
    <definedName name="_xlnm._FilterDatabase" localSheetId="11" hidden="1">'TH_MLG GRADE 10'!$A$1:$FO$104</definedName>
    <definedName name="_xlnm._FilterDatabase" localSheetId="14" hidden="1">'TH_MLG GRADE 11'!$A$1:$CR$108</definedName>
    <definedName name="_xlnm._FilterDatabase" localSheetId="16" hidden="1">'TH_MLG GRADE 12'!$A$1:$BJ$45</definedName>
    <definedName name="CMI_FrameVGap">0</definedName>
    <definedName name="CMI_FrameVPad">1</definedName>
    <definedName name="CMI_FrameXOffset">4</definedName>
    <definedName name="CMI_FrameYOffset">7</definedName>
    <definedName name="MLG_FrameVPad">1</definedName>
    <definedName name="MLG_FrameXOffset">4</definedName>
    <definedName name="MLG_FrameYOffset">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O5" i="34" l="1"/>
  <c r="CL5" i="34"/>
  <c r="CI5" i="34"/>
  <c r="CF5" i="34"/>
  <c r="CC5" i="34"/>
  <c r="BZ5" i="34"/>
  <c r="BW5" i="34"/>
  <c r="BT5" i="34"/>
  <c r="BQ5" i="34"/>
  <c r="BN5" i="34"/>
  <c r="CO5" i="33"/>
  <c r="CL5" i="33"/>
  <c r="CI5" i="33"/>
  <c r="CF5" i="33"/>
  <c r="CC5" i="33"/>
  <c r="BZ5" i="33"/>
  <c r="BW5" i="33"/>
  <c r="BT5" i="33"/>
  <c r="BQ5" i="33"/>
  <c r="BN5" i="33"/>
  <c r="BR8" i="26"/>
  <c r="BR9" i="26"/>
  <c r="BR10" i="26"/>
  <c r="BR11" i="26"/>
  <c r="BR12" i="26"/>
  <c r="BR35" i="26" s="1"/>
  <c r="BR13" i="26"/>
  <c r="BR14" i="26"/>
  <c r="BR15" i="26"/>
  <c r="BR16" i="26"/>
  <c r="BR17" i="26"/>
  <c r="BR18" i="26"/>
  <c r="BR19" i="26"/>
  <c r="BR20" i="26"/>
  <c r="BR21" i="26"/>
  <c r="BR22" i="26"/>
  <c r="BR23" i="26"/>
  <c r="BR24" i="26"/>
  <c r="BR25" i="26"/>
  <c r="BR26" i="26"/>
  <c r="BR27" i="26"/>
  <c r="BR28" i="26"/>
  <c r="BR29" i="26"/>
  <c r="BR30" i="26"/>
  <c r="BR31" i="26"/>
  <c r="BR32" i="26"/>
  <c r="BR33" i="26"/>
  <c r="BR34" i="26"/>
  <c r="A35" i="26"/>
  <c r="BR8" i="25"/>
  <c r="BR9" i="25"/>
  <c r="BR10" i="25"/>
  <c r="BR11" i="25"/>
  <c r="BR45" i="25" s="1"/>
  <c r="BR12" i="25"/>
  <c r="BR13" i="25"/>
  <c r="BR14" i="25"/>
  <c r="BR15" i="25"/>
  <c r="BR16" i="25"/>
  <c r="BR17" i="25"/>
  <c r="BR18" i="25"/>
  <c r="BR19" i="25"/>
  <c r="BR20" i="25"/>
  <c r="BR21" i="25"/>
  <c r="BR22" i="25"/>
  <c r="BR23" i="25"/>
  <c r="BR24" i="25"/>
  <c r="BR25" i="25"/>
  <c r="BR26" i="25"/>
  <c r="BR27" i="25"/>
  <c r="BR28" i="25"/>
  <c r="BR29" i="25"/>
  <c r="BR30" i="25"/>
  <c r="BR31" i="25"/>
  <c r="BR32" i="25"/>
  <c r="BR33" i="25"/>
  <c r="BR34" i="25"/>
  <c r="BR35" i="25"/>
  <c r="BR36" i="25"/>
  <c r="BR37" i="25"/>
  <c r="BR38" i="25"/>
  <c r="BR39" i="25"/>
  <c r="BR40" i="25"/>
  <c r="BR41" i="25"/>
  <c r="BR42" i="25"/>
  <c r="BR43" i="25"/>
  <c r="BR44" i="25"/>
  <c r="A45" i="25"/>
  <c r="BR8" i="31"/>
  <c r="BR9" i="31"/>
  <c r="BR10" i="31"/>
  <c r="BR11" i="31"/>
  <c r="BR12" i="31"/>
  <c r="BR13" i="31"/>
  <c r="BR14" i="31"/>
  <c r="BR15" i="31"/>
  <c r="BR38" i="31" s="1"/>
  <c r="BR16" i="31"/>
  <c r="BR17" i="31"/>
  <c r="BR18" i="31"/>
  <c r="BR19" i="31"/>
  <c r="BR20" i="31"/>
  <c r="BR21" i="31"/>
  <c r="BR22" i="31"/>
  <c r="BR23" i="31"/>
  <c r="BR24" i="31"/>
  <c r="BR25" i="31"/>
  <c r="BR26" i="31"/>
  <c r="BR27" i="31"/>
  <c r="BR28" i="31"/>
  <c r="BR29" i="31"/>
  <c r="BR30" i="31"/>
  <c r="BR31" i="31"/>
  <c r="BR32" i="31"/>
  <c r="BR33" i="31"/>
  <c r="BR34" i="31"/>
  <c r="BR35" i="31"/>
  <c r="BR36" i="31"/>
  <c r="BR37" i="31"/>
  <c r="A38" i="31"/>
  <c r="BR49" i="23"/>
  <c r="A50" i="5"/>
  <c r="BR8" i="23"/>
  <c r="BR9" i="23"/>
  <c r="BR10" i="23"/>
  <c r="BR11" i="23"/>
  <c r="BR12" i="23"/>
  <c r="BR13" i="23"/>
  <c r="BR14" i="23"/>
  <c r="BR15" i="23"/>
  <c r="BR16" i="23"/>
  <c r="BR17" i="23"/>
  <c r="BR18" i="23"/>
  <c r="BR19" i="23"/>
  <c r="BR20" i="23"/>
  <c r="BR21" i="23"/>
  <c r="BR22" i="23"/>
  <c r="BR23" i="23"/>
  <c r="BR24" i="23"/>
  <c r="BR25" i="23"/>
  <c r="BR26" i="23"/>
  <c r="BR27" i="23"/>
  <c r="BR28" i="23"/>
  <c r="BR29" i="23"/>
  <c r="BR30" i="23"/>
  <c r="BR31" i="23"/>
  <c r="BR32" i="23"/>
  <c r="BR33" i="23"/>
  <c r="BR34" i="23"/>
  <c r="BR35" i="23"/>
  <c r="BR36" i="23"/>
  <c r="BR37" i="23"/>
  <c r="BR38" i="23"/>
  <c r="BR39" i="23"/>
  <c r="BR40" i="23"/>
  <c r="BR41" i="23"/>
  <c r="BR42" i="23"/>
  <c r="BR43" i="23"/>
  <c r="BR44" i="23"/>
  <c r="BR45" i="23"/>
  <c r="BR46" i="23"/>
  <c r="BR47" i="23"/>
  <c r="BR48" i="23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8" i="5"/>
  <c r="BR9" i="5"/>
  <c r="BR10" i="5"/>
  <c r="BR11" i="5"/>
  <c r="BR12" i="5"/>
  <c r="BR13" i="5"/>
  <c r="BR14" i="5"/>
  <c r="BR15" i="5"/>
  <c r="BR16" i="5"/>
  <c r="BR17" i="5"/>
  <c r="BR18" i="5"/>
  <c r="BR19" i="5"/>
  <c r="BR20" i="5"/>
  <c r="BR21" i="5"/>
  <c r="BR22" i="5"/>
  <c r="BR23" i="5"/>
  <c r="BR24" i="5"/>
  <c r="BR25" i="5"/>
  <c r="BR26" i="5"/>
  <c r="BR27" i="5"/>
  <c r="BR28" i="5"/>
  <c r="BR29" i="5"/>
  <c r="BR30" i="5"/>
  <c r="BR31" i="5"/>
  <c r="BR32" i="5"/>
  <c r="BR33" i="5"/>
  <c r="BR34" i="5"/>
  <c r="BR35" i="5"/>
  <c r="BR36" i="5"/>
  <c r="BR37" i="5"/>
  <c r="BR38" i="5"/>
  <c r="BR39" i="5"/>
  <c r="BR40" i="5"/>
  <c r="BR41" i="5"/>
  <c r="BR42" i="5"/>
  <c r="BR43" i="5"/>
  <c r="BR44" i="5"/>
  <c r="BR45" i="5"/>
  <c r="BR46" i="5"/>
  <c r="BR47" i="5"/>
  <c r="BR48" i="5"/>
  <c r="BR49" i="5"/>
  <c r="CS8" i="34"/>
  <c r="CS9" i="34"/>
  <c r="CS10" i="34"/>
  <c r="CS11" i="34"/>
  <c r="CS12" i="34"/>
  <c r="CS13" i="34"/>
  <c r="CS14" i="34"/>
  <c r="CS15" i="34"/>
  <c r="CS16" i="34"/>
  <c r="CS17" i="34"/>
  <c r="CS18" i="34"/>
  <c r="CS35" i="34" s="1"/>
  <c r="CS19" i="34"/>
  <c r="CS20" i="34"/>
  <c r="CS21" i="34"/>
  <c r="CS22" i="34"/>
  <c r="CS23" i="34"/>
  <c r="CS24" i="34"/>
  <c r="CS25" i="34"/>
  <c r="CS26" i="34"/>
  <c r="CS27" i="34"/>
  <c r="CS28" i="34"/>
  <c r="CS29" i="34"/>
  <c r="CS30" i="34"/>
  <c r="CS31" i="34"/>
  <c r="CS32" i="34"/>
  <c r="CS33" i="34"/>
  <c r="CS34" i="34"/>
  <c r="CS8" i="33"/>
  <c r="CS45" i="33" s="1"/>
  <c r="CS9" i="33"/>
  <c r="CS10" i="33"/>
  <c r="CS11" i="33"/>
  <c r="CS12" i="33"/>
  <c r="CS13" i="33"/>
  <c r="CS14" i="33"/>
  <c r="CS15" i="33"/>
  <c r="CS16" i="33"/>
  <c r="CS17" i="33"/>
  <c r="CS18" i="33"/>
  <c r="CS19" i="33"/>
  <c r="CS20" i="33"/>
  <c r="CS21" i="33"/>
  <c r="CS22" i="33"/>
  <c r="CS23" i="33"/>
  <c r="CS24" i="33"/>
  <c r="CS25" i="33"/>
  <c r="CS26" i="33"/>
  <c r="CS27" i="33"/>
  <c r="CS28" i="33"/>
  <c r="CS29" i="33"/>
  <c r="CS30" i="33"/>
  <c r="CS31" i="33"/>
  <c r="CS32" i="33"/>
  <c r="CS33" i="33"/>
  <c r="CS34" i="33"/>
  <c r="CS35" i="33"/>
  <c r="CS36" i="33"/>
  <c r="CS37" i="33"/>
  <c r="CS38" i="33"/>
  <c r="CS39" i="33"/>
  <c r="CS40" i="33"/>
  <c r="CS41" i="33"/>
  <c r="CS42" i="33"/>
  <c r="CS43" i="33"/>
  <c r="CS44" i="33"/>
  <c r="CS8" i="32"/>
  <c r="CS9" i="32"/>
  <c r="CS10" i="32"/>
  <c r="CS11" i="32"/>
  <c r="CS12" i="32"/>
  <c r="CS13" i="32"/>
  <c r="CS14" i="32"/>
  <c r="CS15" i="32"/>
  <c r="CS16" i="32"/>
  <c r="CS17" i="32"/>
  <c r="CS18" i="32"/>
  <c r="CS19" i="32"/>
  <c r="CS20" i="32"/>
  <c r="CS21" i="32"/>
  <c r="CS22" i="32"/>
  <c r="CS23" i="32"/>
  <c r="CS24" i="32"/>
  <c r="CS25" i="32"/>
  <c r="CS26" i="32"/>
  <c r="CS27" i="32"/>
  <c r="CS28" i="32"/>
  <c r="CS29" i="32"/>
  <c r="CS30" i="32"/>
  <c r="CS31" i="32"/>
  <c r="CS32" i="32"/>
  <c r="CS33" i="32"/>
  <c r="CS34" i="32"/>
  <c r="CS35" i="32"/>
  <c r="CS36" i="32"/>
  <c r="CS37" i="32"/>
  <c r="CS8" i="27"/>
  <c r="CS9" i="27"/>
  <c r="CS10" i="27"/>
  <c r="CS11" i="27"/>
  <c r="CS12" i="27"/>
  <c r="CS13" i="27"/>
  <c r="CS14" i="27"/>
  <c r="CS15" i="27"/>
  <c r="CS16" i="27"/>
  <c r="CS17" i="27"/>
  <c r="CS18" i="27"/>
  <c r="CS19" i="27"/>
  <c r="CS20" i="27"/>
  <c r="CS21" i="27"/>
  <c r="CS22" i="27"/>
  <c r="CS23" i="27"/>
  <c r="CS24" i="27"/>
  <c r="CS25" i="27"/>
  <c r="CS26" i="27"/>
  <c r="CS27" i="27"/>
  <c r="CS28" i="27"/>
  <c r="CS29" i="27"/>
  <c r="CS30" i="27"/>
  <c r="CS31" i="27"/>
  <c r="CS32" i="27"/>
  <c r="CS33" i="27"/>
  <c r="CS34" i="27"/>
  <c r="CS35" i="27"/>
  <c r="CS36" i="27"/>
  <c r="CS37" i="27"/>
  <c r="CS38" i="27"/>
  <c r="CS39" i="27"/>
  <c r="CS40" i="27"/>
  <c r="CS41" i="27"/>
  <c r="CS42" i="27"/>
  <c r="CS43" i="27"/>
  <c r="CS44" i="27"/>
  <c r="CS45" i="27"/>
  <c r="CS46" i="27"/>
  <c r="CS47" i="27"/>
  <c r="CS48" i="27"/>
  <c r="CS8" i="2"/>
  <c r="CS9" i="2"/>
  <c r="CS10" i="2"/>
  <c r="CS11" i="2"/>
  <c r="CS12" i="2"/>
  <c r="CS13" i="2"/>
  <c r="CS14" i="2"/>
  <c r="CS15" i="2"/>
  <c r="CS16" i="2"/>
  <c r="CS17" i="2"/>
  <c r="CS18" i="2"/>
  <c r="CS19" i="2"/>
  <c r="CS20" i="2"/>
  <c r="CS21" i="2"/>
  <c r="CS22" i="2"/>
  <c r="CS23" i="2"/>
  <c r="CS24" i="2"/>
  <c r="CS25" i="2"/>
  <c r="CS26" i="2"/>
  <c r="CS27" i="2"/>
  <c r="CS28" i="2"/>
  <c r="CS29" i="2"/>
  <c r="CS30" i="2"/>
  <c r="CS31" i="2"/>
  <c r="CS8" i="3"/>
  <c r="CS9" i="3"/>
  <c r="CS10" i="3"/>
  <c r="CS11" i="3"/>
  <c r="CS12" i="3"/>
  <c r="CS13" i="3"/>
  <c r="CS14" i="3"/>
  <c r="CS15" i="3"/>
  <c r="CS16" i="3"/>
  <c r="CS17" i="3"/>
  <c r="CS18" i="3"/>
  <c r="CS19" i="3"/>
  <c r="CS20" i="3"/>
  <c r="CS21" i="3"/>
  <c r="CS22" i="3"/>
  <c r="CS23" i="3"/>
  <c r="CS24" i="3"/>
  <c r="CS25" i="3"/>
  <c r="CS26" i="3"/>
  <c r="CS27" i="3"/>
  <c r="CS28" i="3"/>
  <c r="CS29" i="3"/>
  <c r="CS30" i="3"/>
  <c r="CS31" i="3"/>
  <c r="CS32" i="3"/>
  <c r="CS33" i="3"/>
  <c r="CS34" i="3"/>
  <c r="CS35" i="3"/>
  <c r="CS36" i="3"/>
  <c r="CS37" i="3"/>
  <c r="CS38" i="3"/>
  <c r="CS39" i="3"/>
  <c r="CS40" i="3"/>
  <c r="CS41" i="3"/>
  <c r="CS42" i="3"/>
  <c r="CS43" i="3"/>
  <c r="CS44" i="3"/>
  <c r="CS45" i="3"/>
  <c r="CS46" i="3"/>
  <c r="CS47" i="3"/>
  <c r="CS48" i="3"/>
  <c r="CS49" i="3"/>
  <c r="CS7" i="2"/>
  <c r="CS7" i="27"/>
  <c r="CS7" i="32"/>
  <c r="CS7" i="33"/>
  <c r="CS7" i="34"/>
  <c r="CS7" i="3"/>
  <c r="CS50" i="3" s="1"/>
  <c r="BR7" i="4"/>
  <c r="BR7" i="23"/>
  <c r="BR7" i="31"/>
  <c r="BR7" i="25"/>
  <c r="BR7" i="26"/>
  <c r="BR7" i="5"/>
  <c r="A109" i="27"/>
  <c r="CR34" i="34"/>
  <c r="A34" i="34"/>
  <c r="CR33" i="34"/>
  <c r="A33" i="34"/>
  <c r="CR32" i="34"/>
  <c r="A32" i="34"/>
  <c r="CR31" i="34"/>
  <c r="A31" i="34"/>
  <c r="CR30" i="34"/>
  <c r="A30" i="34"/>
  <c r="CR29" i="34"/>
  <c r="A29" i="34"/>
  <c r="CR28" i="34"/>
  <c r="A28" i="34"/>
  <c r="CR27" i="34"/>
  <c r="A27" i="34"/>
  <c r="CR26" i="34"/>
  <c r="A26" i="34"/>
  <c r="CR25" i="34"/>
  <c r="A25" i="34"/>
  <c r="CR24" i="34"/>
  <c r="A24" i="34"/>
  <c r="CR23" i="34"/>
  <c r="A23" i="34"/>
  <c r="CR22" i="34"/>
  <c r="A22" i="34"/>
  <c r="CR21" i="34"/>
  <c r="A21" i="34"/>
  <c r="CR20" i="34"/>
  <c r="A20" i="34"/>
  <c r="CR19" i="34"/>
  <c r="A19" i="34"/>
  <c r="CR18" i="34"/>
  <c r="A18" i="34"/>
  <c r="CR17" i="34"/>
  <c r="A17" i="34"/>
  <c r="CR16" i="34"/>
  <c r="A16" i="34"/>
  <c r="CR15" i="34"/>
  <c r="A15" i="34"/>
  <c r="CR14" i="34"/>
  <c r="A14" i="34"/>
  <c r="CR13" i="34"/>
  <c r="A13" i="34"/>
  <c r="CR12" i="34"/>
  <c r="A12" i="34"/>
  <c r="CR11" i="34"/>
  <c r="A11" i="34"/>
  <c r="CR10" i="34"/>
  <c r="A10" i="34"/>
  <c r="CR9" i="34"/>
  <c r="A9" i="34"/>
  <c r="CR8" i="34"/>
  <c r="A8" i="34"/>
  <c r="CR7" i="34"/>
  <c r="A7" i="34"/>
  <c r="A35" i="34" s="1"/>
  <c r="CR44" i="33"/>
  <c r="A44" i="33"/>
  <c r="CR43" i="33"/>
  <c r="A43" i="33"/>
  <c r="CR42" i="33"/>
  <c r="A42" i="33"/>
  <c r="CR41" i="33"/>
  <c r="A41" i="33"/>
  <c r="CR40" i="33"/>
  <c r="A40" i="33"/>
  <c r="CR39" i="33"/>
  <c r="A39" i="33"/>
  <c r="CR38" i="33"/>
  <c r="A38" i="33"/>
  <c r="CR37" i="33"/>
  <c r="A37" i="33"/>
  <c r="CR36" i="33"/>
  <c r="A36" i="33"/>
  <c r="CR35" i="33"/>
  <c r="A35" i="33"/>
  <c r="CR34" i="33"/>
  <c r="A34" i="33"/>
  <c r="CR33" i="33"/>
  <c r="A33" i="33"/>
  <c r="CR32" i="33"/>
  <c r="A32" i="33"/>
  <c r="CR31" i="33"/>
  <c r="A31" i="33"/>
  <c r="CR30" i="33"/>
  <c r="A30" i="33"/>
  <c r="CR29" i="33"/>
  <c r="A29" i="33"/>
  <c r="CR28" i="33"/>
  <c r="A28" i="33"/>
  <c r="CR27" i="33"/>
  <c r="A27" i="33"/>
  <c r="CR26" i="33"/>
  <c r="A26" i="33"/>
  <c r="CR25" i="33"/>
  <c r="A25" i="33"/>
  <c r="CR24" i="33"/>
  <c r="A24" i="33"/>
  <c r="CR23" i="33"/>
  <c r="A23" i="33"/>
  <c r="CR22" i="33"/>
  <c r="A22" i="33"/>
  <c r="CR21" i="33"/>
  <c r="A21" i="33"/>
  <c r="CR20" i="33"/>
  <c r="A20" i="33"/>
  <c r="CR19" i="33"/>
  <c r="A19" i="33"/>
  <c r="CR18" i="33"/>
  <c r="A18" i="33"/>
  <c r="CR17" i="33"/>
  <c r="A17" i="33"/>
  <c r="CR16" i="33"/>
  <c r="A16" i="33"/>
  <c r="CR15" i="33"/>
  <c r="A15" i="33"/>
  <c r="CR14" i="33"/>
  <c r="A14" i="33"/>
  <c r="CR13" i="33"/>
  <c r="A13" i="33"/>
  <c r="CR12" i="33"/>
  <c r="A12" i="33"/>
  <c r="CR11" i="33"/>
  <c r="A11" i="33"/>
  <c r="CR10" i="33"/>
  <c r="A10" i="33"/>
  <c r="CR9" i="33"/>
  <c r="A9" i="33"/>
  <c r="CR8" i="33"/>
  <c r="A8" i="33"/>
  <c r="CR7" i="33"/>
  <c r="A7" i="33"/>
  <c r="A45" i="33" s="1"/>
  <c r="A38" i="32"/>
  <c r="A32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7" i="2"/>
  <c r="A7" i="27"/>
  <c r="A7" i="32"/>
  <c r="A7" i="3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C171" i="22"/>
  <c r="C172" i="22"/>
  <c r="C173" i="22"/>
  <c r="C174" i="22"/>
  <c r="C175" i="22"/>
  <c r="C176" i="22"/>
  <c r="C177" i="22"/>
  <c r="C178" i="22"/>
  <c r="C179" i="22"/>
  <c r="C180" i="22"/>
  <c r="C181" i="22"/>
  <c r="C182" i="22"/>
  <c r="C183" i="22"/>
  <c r="C184" i="22"/>
  <c r="H140" i="22"/>
  <c r="C140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H93" i="22"/>
  <c r="C93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H48" i="22"/>
  <c r="C48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H3" i="22"/>
  <c r="C3" i="22"/>
  <c r="CO5" i="2"/>
  <c r="CO5" i="27"/>
  <c r="CO5" i="32"/>
  <c r="CO5" i="3"/>
  <c r="CL5" i="2"/>
  <c r="CL5" i="27"/>
  <c r="CL5" i="32"/>
  <c r="CL5" i="3"/>
  <c r="CI5" i="2"/>
  <c r="CI5" i="27"/>
  <c r="CI5" i="32"/>
  <c r="CI5" i="3"/>
  <c r="CF5" i="2"/>
  <c r="CF5" i="27"/>
  <c r="CF5" i="32"/>
  <c r="CF5" i="3"/>
  <c r="CC5" i="2"/>
  <c r="CC5" i="27"/>
  <c r="CC5" i="32"/>
  <c r="CC5" i="3"/>
  <c r="BZ5" i="2"/>
  <c r="BZ5" i="27"/>
  <c r="BZ5" i="32"/>
  <c r="BZ5" i="3"/>
  <c r="BW5" i="2"/>
  <c r="BW5" i="27"/>
  <c r="BW5" i="32"/>
  <c r="BW5" i="3"/>
  <c r="BT5" i="2"/>
  <c r="BT5" i="27"/>
  <c r="BT5" i="32"/>
  <c r="BT5" i="3"/>
  <c r="BQ5" i="2"/>
  <c r="BQ5" i="27"/>
  <c r="BQ5" i="32"/>
  <c r="BQ5" i="3"/>
  <c r="BN5" i="2"/>
  <c r="BN5" i="27"/>
  <c r="BN5" i="32"/>
  <c r="BN5" i="3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7" i="26"/>
  <c r="A7" i="25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7" i="23"/>
  <c r="CR37" i="32"/>
  <c r="CR36" i="32"/>
  <c r="CR35" i="32"/>
  <c r="CR34" i="32"/>
  <c r="CR33" i="32"/>
  <c r="CR32" i="32"/>
  <c r="CR31" i="32"/>
  <c r="CR30" i="32"/>
  <c r="CR29" i="32"/>
  <c r="CR28" i="32"/>
  <c r="CR27" i="32"/>
  <c r="CR26" i="32"/>
  <c r="CR25" i="32"/>
  <c r="CR24" i="32"/>
  <c r="CR23" i="32"/>
  <c r="CR22" i="32"/>
  <c r="CR21" i="32"/>
  <c r="CR20" i="32"/>
  <c r="CR19" i="32"/>
  <c r="CR18" i="32"/>
  <c r="CR17" i="32"/>
  <c r="CR16" i="32"/>
  <c r="CR15" i="32"/>
  <c r="CR14" i="32"/>
  <c r="CR13" i="32"/>
  <c r="CR12" i="32"/>
  <c r="CR11" i="32"/>
  <c r="CR10" i="32"/>
  <c r="CR9" i="32"/>
  <c r="CR8" i="32"/>
  <c r="CR7" i="32"/>
  <c r="BQ37" i="31"/>
  <c r="BQ36" i="31"/>
  <c r="BQ35" i="31"/>
  <c r="BQ34" i="31"/>
  <c r="BQ33" i="31"/>
  <c r="BQ32" i="31"/>
  <c r="BQ31" i="31"/>
  <c r="BQ30" i="31"/>
  <c r="BQ29" i="31"/>
  <c r="BQ28" i="31"/>
  <c r="BQ27" i="31"/>
  <c r="BQ26" i="31"/>
  <c r="BQ25" i="31"/>
  <c r="BQ24" i="31"/>
  <c r="BQ23" i="31"/>
  <c r="BQ22" i="31"/>
  <c r="BQ21" i="31"/>
  <c r="BQ20" i="31"/>
  <c r="BQ19" i="31"/>
  <c r="BQ18" i="31"/>
  <c r="BQ17" i="31"/>
  <c r="BQ16" i="31"/>
  <c r="BQ15" i="31"/>
  <c r="BQ14" i="31"/>
  <c r="BQ13" i="31"/>
  <c r="BQ12" i="31"/>
  <c r="BQ11" i="31"/>
  <c r="BQ10" i="31"/>
  <c r="BQ9" i="31"/>
  <c r="BQ8" i="31"/>
  <c r="BQ7" i="31"/>
  <c r="CR48" i="27"/>
  <c r="CR47" i="27"/>
  <c r="CR46" i="27"/>
  <c r="CR45" i="27"/>
  <c r="CR44" i="27"/>
  <c r="CR43" i="27"/>
  <c r="CR42" i="27"/>
  <c r="CR41" i="27"/>
  <c r="CR40" i="27"/>
  <c r="CR39" i="27"/>
  <c r="CR38" i="27"/>
  <c r="CR37" i="27"/>
  <c r="CR36" i="27"/>
  <c r="CR35" i="27"/>
  <c r="CR34" i="27"/>
  <c r="CR33" i="27"/>
  <c r="CR32" i="27"/>
  <c r="CR31" i="27"/>
  <c r="CR30" i="27"/>
  <c r="CR29" i="27"/>
  <c r="CR28" i="27"/>
  <c r="CR27" i="27"/>
  <c r="CR26" i="27"/>
  <c r="CR25" i="27"/>
  <c r="CR24" i="27"/>
  <c r="CR23" i="27"/>
  <c r="CR22" i="27"/>
  <c r="CR21" i="27"/>
  <c r="CR20" i="27"/>
  <c r="CR19" i="27"/>
  <c r="CR18" i="27"/>
  <c r="CR17" i="27"/>
  <c r="CR16" i="27"/>
  <c r="CR15" i="27"/>
  <c r="CR14" i="27"/>
  <c r="CR13" i="27"/>
  <c r="CR12" i="27"/>
  <c r="CR11" i="27"/>
  <c r="CR10" i="27"/>
  <c r="CR9" i="27"/>
  <c r="CR8" i="27"/>
  <c r="CR7" i="27"/>
  <c r="BQ34" i="26"/>
  <c r="BQ33" i="26"/>
  <c r="BQ32" i="26"/>
  <c r="BQ31" i="26"/>
  <c r="BQ30" i="26"/>
  <c r="BQ29" i="26"/>
  <c r="BQ28" i="26"/>
  <c r="BQ27" i="26"/>
  <c r="BQ26" i="26"/>
  <c r="BQ25" i="26"/>
  <c r="BQ24" i="26"/>
  <c r="BQ23" i="26"/>
  <c r="BQ22" i="26"/>
  <c r="BQ21" i="26"/>
  <c r="BQ20" i="26"/>
  <c r="BQ19" i="26"/>
  <c r="BQ18" i="26"/>
  <c r="BQ17" i="26"/>
  <c r="BQ16" i="26"/>
  <c r="BQ15" i="26"/>
  <c r="BQ14" i="26"/>
  <c r="BQ13" i="26"/>
  <c r="BQ12" i="26"/>
  <c r="BQ11" i="26"/>
  <c r="BQ10" i="26"/>
  <c r="BQ9" i="26"/>
  <c r="BQ8" i="26"/>
  <c r="BQ7" i="26"/>
  <c r="BQ44" i="25"/>
  <c r="BQ43" i="25"/>
  <c r="BQ42" i="25"/>
  <c r="BQ41" i="25"/>
  <c r="BQ40" i="25"/>
  <c r="BQ39" i="25"/>
  <c r="BQ38" i="25"/>
  <c r="BQ37" i="25"/>
  <c r="BQ36" i="25"/>
  <c r="BQ35" i="25"/>
  <c r="BQ34" i="25"/>
  <c r="BQ33" i="25"/>
  <c r="BQ32" i="25"/>
  <c r="BQ31" i="25"/>
  <c r="BQ30" i="25"/>
  <c r="BQ29" i="25"/>
  <c r="BQ28" i="25"/>
  <c r="BQ27" i="25"/>
  <c r="BQ26" i="25"/>
  <c r="BQ25" i="25"/>
  <c r="BQ24" i="25"/>
  <c r="BQ23" i="25"/>
  <c r="BQ22" i="25"/>
  <c r="BQ21" i="25"/>
  <c r="BQ20" i="25"/>
  <c r="BQ19" i="25"/>
  <c r="BQ18" i="25"/>
  <c r="BQ17" i="25"/>
  <c r="BQ16" i="25"/>
  <c r="BQ15" i="25"/>
  <c r="BQ14" i="25"/>
  <c r="BQ13" i="25"/>
  <c r="BQ12" i="25"/>
  <c r="BQ11" i="25"/>
  <c r="BQ10" i="25"/>
  <c r="BQ9" i="25"/>
  <c r="BQ8" i="25"/>
  <c r="BQ7" i="25"/>
  <c r="BQ48" i="23"/>
  <c r="BQ47" i="23"/>
  <c r="BQ46" i="23"/>
  <c r="BQ45" i="23"/>
  <c r="BQ44" i="23"/>
  <c r="BQ43" i="23"/>
  <c r="BQ42" i="23"/>
  <c r="BQ41" i="23"/>
  <c r="BQ40" i="23"/>
  <c r="BQ39" i="23"/>
  <c r="BQ38" i="23"/>
  <c r="BQ37" i="23"/>
  <c r="BQ36" i="23"/>
  <c r="BQ35" i="23"/>
  <c r="BQ34" i="23"/>
  <c r="BQ33" i="23"/>
  <c r="BQ32" i="23"/>
  <c r="BQ31" i="23"/>
  <c r="BQ30" i="23"/>
  <c r="BQ29" i="23"/>
  <c r="BQ28" i="23"/>
  <c r="BQ27" i="23"/>
  <c r="BQ26" i="23"/>
  <c r="BQ25" i="23"/>
  <c r="BQ24" i="23"/>
  <c r="BQ23" i="23"/>
  <c r="BQ22" i="23"/>
  <c r="BQ21" i="23"/>
  <c r="BQ20" i="23"/>
  <c r="BQ19" i="23"/>
  <c r="BQ18" i="23"/>
  <c r="BQ17" i="23"/>
  <c r="BQ16" i="23"/>
  <c r="BQ15" i="23"/>
  <c r="BQ14" i="23"/>
  <c r="BQ13" i="23"/>
  <c r="BQ12" i="23"/>
  <c r="BQ11" i="23"/>
  <c r="BQ10" i="23"/>
  <c r="BQ9" i="23"/>
  <c r="BQ8" i="23"/>
  <c r="BQ7" i="23"/>
  <c r="A41" i="5"/>
  <c r="CS49" i="27" l="1"/>
  <c r="A49" i="23"/>
  <c r="BR32" i="4"/>
  <c r="BR50" i="5"/>
  <c r="CS38" i="32"/>
  <c r="CS32" i="2"/>
  <c r="A49" i="27"/>
  <c r="BQ8" i="5"/>
  <c r="BQ9" i="5"/>
  <c r="BQ10" i="5"/>
  <c r="BQ11" i="5"/>
  <c r="BQ12" i="5"/>
  <c r="BQ13" i="5"/>
  <c r="BQ14" i="5"/>
  <c r="BQ15" i="5"/>
  <c r="BQ16" i="5"/>
  <c r="BQ17" i="5"/>
  <c r="BQ18" i="5"/>
  <c r="BQ19" i="5"/>
  <c r="BQ20" i="5"/>
  <c r="BQ21" i="5"/>
  <c r="BQ22" i="5"/>
  <c r="BQ23" i="5"/>
  <c r="BQ24" i="5"/>
  <c r="BQ25" i="5"/>
  <c r="BQ26" i="5"/>
  <c r="BQ27" i="5"/>
  <c r="BQ28" i="5"/>
  <c r="BQ29" i="5"/>
  <c r="BQ30" i="5"/>
  <c r="BQ31" i="5"/>
  <c r="BQ32" i="5"/>
  <c r="BQ33" i="5"/>
  <c r="BQ34" i="5"/>
  <c r="BQ35" i="5"/>
  <c r="BQ36" i="5"/>
  <c r="BQ37" i="5"/>
  <c r="BQ38" i="5"/>
  <c r="BQ39" i="5"/>
  <c r="BQ40" i="5"/>
  <c r="BQ41" i="5"/>
  <c r="BQ42" i="5"/>
  <c r="BQ43" i="5"/>
  <c r="BQ44" i="5"/>
  <c r="BQ45" i="5"/>
  <c r="BQ46" i="5"/>
  <c r="BQ47" i="5"/>
  <c r="BQ48" i="5"/>
  <c r="BQ49" i="5"/>
  <c r="BQ7" i="5"/>
  <c r="BQ8" i="4"/>
  <c r="BQ9" i="4"/>
  <c r="BQ10" i="4"/>
  <c r="BQ11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7" i="4"/>
  <c r="CR8" i="3"/>
  <c r="CR9" i="3"/>
  <c r="CR10" i="3"/>
  <c r="CR11" i="3"/>
  <c r="CR12" i="3"/>
  <c r="CR13" i="3"/>
  <c r="CR14" i="3"/>
  <c r="CR15" i="3"/>
  <c r="CR16" i="3"/>
  <c r="CR17" i="3"/>
  <c r="CR18" i="3"/>
  <c r="CR19" i="3"/>
  <c r="CR20" i="3"/>
  <c r="CR21" i="3"/>
  <c r="CR22" i="3"/>
  <c r="CR23" i="3"/>
  <c r="CR24" i="3"/>
  <c r="CR25" i="3"/>
  <c r="CR26" i="3"/>
  <c r="CR27" i="3"/>
  <c r="CR28" i="3"/>
  <c r="CR29" i="3"/>
  <c r="CR30" i="3"/>
  <c r="CR31" i="3"/>
  <c r="CR32" i="3"/>
  <c r="CR33" i="3"/>
  <c r="CR34" i="3"/>
  <c r="CR35" i="3"/>
  <c r="CR36" i="3"/>
  <c r="CR37" i="3"/>
  <c r="CR38" i="3"/>
  <c r="CR39" i="3"/>
  <c r="CR40" i="3"/>
  <c r="CR41" i="3"/>
  <c r="CR42" i="3"/>
  <c r="CR43" i="3"/>
  <c r="CR44" i="3"/>
  <c r="CR45" i="3"/>
  <c r="CR46" i="3"/>
  <c r="CR47" i="3"/>
  <c r="CR48" i="3"/>
  <c r="CR49" i="3"/>
  <c r="CR7" i="3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7" i="2"/>
  <c r="D68" i="5" l="1"/>
  <c r="I3" i="22"/>
  <c r="I47" i="22"/>
  <c r="I46" i="22"/>
  <c r="I45" i="22"/>
  <c r="I44" i="22"/>
  <c r="I43" i="22"/>
  <c r="I42" i="22"/>
  <c r="I41" i="22"/>
  <c r="I40" i="22"/>
  <c r="I39" i="22"/>
  <c r="I38" i="22"/>
  <c r="I37" i="22"/>
  <c r="I36" i="22"/>
  <c r="I35" i="22"/>
  <c r="I34" i="22"/>
  <c r="I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48" i="22"/>
  <c r="I184" i="22"/>
  <c r="I183" i="22"/>
  <c r="I182" i="22"/>
  <c r="I181" i="22"/>
  <c r="I180" i="22"/>
  <c r="I179" i="22"/>
  <c r="I178" i="22"/>
  <c r="I177" i="22"/>
  <c r="I176" i="22"/>
  <c r="I175" i="22"/>
  <c r="I174" i="22"/>
  <c r="I173" i="22"/>
  <c r="I172" i="22"/>
  <c r="I171" i="22"/>
  <c r="I170" i="22"/>
  <c r="I169" i="22"/>
  <c r="I168" i="22"/>
  <c r="I167" i="22"/>
  <c r="I166" i="22"/>
  <c r="I165" i="22"/>
  <c r="I164" i="22"/>
  <c r="I163" i="22"/>
  <c r="I162" i="22"/>
  <c r="I161" i="22"/>
  <c r="I160" i="22"/>
  <c r="I159" i="22"/>
  <c r="I158" i="22"/>
  <c r="I157" i="22"/>
  <c r="I156" i="22"/>
  <c r="I155" i="22"/>
  <c r="I154" i="22"/>
  <c r="I153" i="22"/>
  <c r="I152" i="22"/>
  <c r="I151" i="22"/>
  <c r="I150" i="22"/>
  <c r="I149" i="22"/>
  <c r="I148" i="22"/>
  <c r="I147" i="22"/>
  <c r="I146" i="22"/>
  <c r="I145" i="22"/>
  <c r="I144" i="22"/>
  <c r="I143" i="22"/>
  <c r="I142" i="22"/>
  <c r="I141" i="22"/>
  <c r="I140" i="22"/>
  <c r="I93" i="22" a="1"/>
  <c r="I137" i="22" a="1"/>
  <c r="I136" i="22" a="1"/>
  <c r="I135" i="22" a="1"/>
  <c r="I134" i="22" a="1"/>
  <c r="I133" i="22" a="1"/>
  <c r="I132" i="22" a="1"/>
  <c r="I131" i="22" a="1"/>
  <c r="I130" i="22" a="1"/>
  <c r="I129" i="22" a="1"/>
  <c r="I128" i="22" a="1"/>
  <c r="I127" i="22" a="1"/>
  <c r="I126" i="22" a="1"/>
  <c r="I125" i="22" a="1"/>
  <c r="I124" i="22" a="1"/>
  <c r="I123" i="22" a="1"/>
  <c r="I122" i="22" a="1"/>
  <c r="I121" i="22" a="1"/>
  <c r="I120" i="22" a="1"/>
  <c r="I119" i="22" a="1"/>
  <c r="I118" i="22" a="1"/>
  <c r="I117" i="22" a="1"/>
  <c r="I116" i="22" a="1"/>
  <c r="I115" i="22" a="1"/>
  <c r="I114" i="22" a="1"/>
  <c r="I113" i="22" a="1"/>
  <c r="I112" i="22" a="1"/>
  <c r="I111" i="22" a="1"/>
  <c r="I110" i="22" a="1"/>
  <c r="I109" i="22" a="1"/>
  <c r="I108" i="22" a="1"/>
  <c r="I107" i="22" a="1"/>
  <c r="I106" i="22" a="1"/>
  <c r="I105" i="22" a="1"/>
  <c r="I104" i="22" a="1"/>
  <c r="I103" i="22" a="1"/>
  <c r="I102" i="22" a="1"/>
  <c r="I101" i="22" a="1"/>
  <c r="I100" i="22" a="1"/>
  <c r="I99" i="22" a="1"/>
  <c r="I98" i="22" a="1"/>
  <c r="I97" i="22" a="1"/>
  <c r="I96" i="22" a="1"/>
  <c r="I95" i="22" a="1"/>
  <c r="I94" i="22" a="1"/>
  <c r="I92" i="22"/>
  <c r="I91" i="22"/>
  <c r="I90" i="22"/>
  <c r="I89" i="22"/>
  <c r="I88" i="22"/>
  <c r="I87" i="22"/>
  <c r="I86" i="22"/>
  <c r="I85" i="22"/>
  <c r="I84" i="22"/>
  <c r="I83" i="22"/>
  <c r="I82" i="22"/>
  <c r="I81" i="22"/>
  <c r="I80" i="22"/>
  <c r="I79" i="22"/>
  <c r="I78" i="22"/>
  <c r="I77" i="22"/>
  <c r="I76" i="22"/>
  <c r="I75" i="22"/>
  <c r="I74" i="22"/>
  <c r="I73" i="22"/>
  <c r="I72" i="22"/>
  <c r="I71" i="22"/>
  <c r="I70" i="22"/>
  <c r="I69" i="22"/>
  <c r="I68" i="22"/>
  <c r="I67" i="22"/>
  <c r="I66" i="22"/>
  <c r="I65" i="22"/>
  <c r="I64" i="22"/>
  <c r="I63" i="22"/>
  <c r="I62" i="22"/>
  <c r="I61" i="22"/>
  <c r="I60" i="22"/>
  <c r="I59" i="22"/>
  <c r="I58" i="22"/>
  <c r="I57" i="22"/>
  <c r="I56" i="22"/>
  <c r="I55" i="22"/>
  <c r="I54" i="22"/>
  <c r="I53" i="22"/>
  <c r="I52" i="22"/>
  <c r="I51" i="22"/>
  <c r="I50" i="22"/>
  <c r="I49" i="22"/>
  <c r="D184" i="22"/>
  <c r="D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D151" i="22"/>
  <c r="D150" i="22"/>
  <c r="D149" i="22"/>
  <c r="D148" i="22"/>
  <c r="D147" i="22"/>
  <c r="D146" i="22"/>
  <c r="D145" i="22"/>
  <c r="D144" i="22"/>
  <c r="D143" i="22"/>
  <c r="D142" i="22"/>
  <c r="D141" i="22"/>
  <c r="D140" i="22"/>
  <c r="D137" i="22" a="1"/>
  <c r="D136" i="22" a="1"/>
  <c r="D135" i="22" a="1"/>
  <c r="D134" i="22" a="1"/>
  <c r="D133" i="22" a="1"/>
  <c r="D132" i="22" a="1"/>
  <c r="D131" i="22" a="1"/>
  <c r="D130" i="22" a="1"/>
  <c r="D129" i="22" a="1"/>
  <c r="D128" i="22" a="1"/>
  <c r="D127" i="22" a="1"/>
  <c r="D126" i="22" a="1"/>
  <c r="D125" i="22" a="1"/>
  <c r="D124" i="22" a="1"/>
  <c r="D123" i="22" a="1"/>
  <c r="D122" i="22" a="1"/>
  <c r="D121" i="22" a="1"/>
  <c r="D120" i="22" a="1"/>
  <c r="D119" i="22" a="1"/>
  <c r="D118" i="22" a="1"/>
  <c r="D117" i="22" a="1"/>
  <c r="D116" i="22" a="1"/>
  <c r="D115" i="22" a="1"/>
  <c r="D114" i="22" a="1"/>
  <c r="D113" i="22" a="1"/>
  <c r="D112" i="22" a="1"/>
  <c r="D111" i="22" a="1"/>
  <c r="D110" i="22" a="1"/>
  <c r="D109" i="22" a="1"/>
  <c r="D108" i="22" a="1"/>
  <c r="D107" i="22" a="1"/>
  <c r="D106" i="22" a="1"/>
  <c r="D105" i="22" a="1"/>
  <c r="D104" i="22" a="1"/>
  <c r="D103" i="22" a="1"/>
  <c r="D102" i="22" a="1"/>
  <c r="D101" i="22" a="1"/>
  <c r="D100" i="22" a="1"/>
  <c r="D99" i="22" a="1"/>
  <c r="D98" i="22" a="1"/>
  <c r="D97" i="22" a="1"/>
  <c r="D96" i="22" a="1"/>
  <c r="D95" i="22" a="1"/>
  <c r="D94" i="22" a="1"/>
  <c r="D93" i="22" a="1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75" i="22"/>
  <c r="D74" i="22"/>
  <c r="D73" i="22"/>
  <c r="D72" i="22"/>
  <c r="D71" i="22"/>
  <c r="D70" i="22"/>
  <c r="D69" i="22"/>
  <c r="D68" i="22"/>
  <c r="D67" i="22"/>
  <c r="D66" i="22"/>
  <c r="D65" i="22"/>
  <c r="D64" i="22"/>
  <c r="D63" i="22"/>
  <c r="D62" i="22"/>
  <c r="D61" i="22"/>
  <c r="D60" i="22"/>
  <c r="D59" i="22"/>
  <c r="D58" i="22"/>
  <c r="D57" i="22"/>
  <c r="D56" i="22"/>
  <c r="D55" i="22"/>
  <c r="D54" i="22"/>
  <c r="D53" i="22"/>
  <c r="D52" i="22"/>
  <c r="D51" i="22"/>
  <c r="D50" i="22"/>
  <c r="D49" i="22"/>
  <c r="D48" i="22"/>
  <c r="D47" i="22"/>
  <c r="D46" i="22"/>
  <c r="D45" i="22"/>
  <c r="D44" i="22"/>
  <c r="D43" i="22"/>
  <c r="D42" i="22"/>
  <c r="D41" i="22"/>
  <c r="D40" i="22"/>
  <c r="D39" i="22"/>
  <c r="D38" i="22"/>
  <c r="D37" i="22"/>
  <c r="D36" i="22"/>
  <c r="D35" i="22"/>
  <c r="D34" i="22"/>
  <c r="D33" i="22"/>
  <c r="D32" i="22"/>
  <c r="D31" i="22"/>
  <c r="D30" i="22"/>
  <c r="D29" i="22"/>
  <c r="D28" i="22"/>
  <c r="D27" i="22"/>
  <c r="D26" i="22"/>
  <c r="D25" i="22"/>
  <c r="D24" i="22"/>
  <c r="D23" i="22"/>
  <c r="D22" i="22"/>
  <c r="D21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D8" i="22"/>
  <c r="D7" i="22"/>
  <c r="D6" i="22"/>
  <c r="D5" i="22"/>
  <c r="D4" i="22"/>
  <c r="D3" i="22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7" i="4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2" i="5"/>
  <c r="A43" i="5"/>
  <c r="A44" i="5"/>
  <c r="A45" i="5"/>
  <c r="A46" i="5"/>
  <c r="AR1" i="5" s="1"/>
  <c r="A47" i="5"/>
  <c r="A48" i="5"/>
  <c r="A49" i="5"/>
  <c r="A7" i="5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40" i="7"/>
  <c r="I141" i="7"/>
  <c r="I142" i="7"/>
  <c r="I143" i="7"/>
  <c r="J143" i="7" s="1"/>
  <c r="I144" i="7"/>
  <c r="I145" i="7"/>
  <c r="I146" i="7"/>
  <c r="I147" i="7"/>
  <c r="I148" i="7"/>
  <c r="I149" i="7"/>
  <c r="I150" i="7"/>
  <c r="I151" i="7"/>
  <c r="I152" i="7"/>
  <c r="I153" i="7"/>
  <c r="I154" i="7"/>
  <c r="I155" i="7"/>
  <c r="J155" i="7" s="1"/>
  <c r="I156" i="7"/>
  <c r="I157" i="7"/>
  <c r="I158" i="7"/>
  <c r="I159" i="7"/>
  <c r="I160" i="7"/>
  <c r="I161" i="7"/>
  <c r="I162" i="7"/>
  <c r="I163" i="7"/>
  <c r="I164" i="7"/>
  <c r="I165" i="7"/>
  <c r="I166" i="7"/>
  <c r="I167" i="7"/>
  <c r="J167" i="7" s="1"/>
  <c r="I168" i="7"/>
  <c r="J168" i="7" s="1"/>
  <c r="I169" i="7"/>
  <c r="I170" i="7"/>
  <c r="I171" i="7"/>
  <c r="I172" i="7"/>
  <c r="I173" i="7"/>
  <c r="I174" i="7"/>
  <c r="I175" i="7"/>
  <c r="I176" i="7"/>
  <c r="I177" i="7"/>
  <c r="I178" i="7"/>
  <c r="I179" i="7"/>
  <c r="J179" i="7" s="1"/>
  <c r="I180" i="7"/>
  <c r="I181" i="7"/>
  <c r="I182" i="7"/>
  <c r="I183" i="7"/>
  <c r="I184" i="7"/>
  <c r="I140" i="7"/>
  <c r="I94" i="7" a="1"/>
  <c r="I95" i="7" a="1"/>
  <c r="I96" i="7" a="1"/>
  <c r="I97" i="7" a="1"/>
  <c r="I98" i="7" a="1"/>
  <c r="I99" i="7" a="1"/>
  <c r="I100" i="7" a="1"/>
  <c r="I101" i="7" a="1"/>
  <c r="I102" i="7" a="1"/>
  <c r="I103" i="7" a="1"/>
  <c r="I104" i="7" a="1"/>
  <c r="I105" i="7" a="1"/>
  <c r="I106" i="7" a="1"/>
  <c r="I107" i="7" a="1"/>
  <c r="I108" i="7" a="1"/>
  <c r="I109" i="7" a="1"/>
  <c r="I110" i="7" a="1"/>
  <c r="I111" i="7" a="1"/>
  <c r="I112" i="7" a="1"/>
  <c r="I113" i="7" a="1"/>
  <c r="I114" i="7" a="1"/>
  <c r="I115" i="7" a="1"/>
  <c r="I116" i="7" a="1"/>
  <c r="I117" i="7" a="1"/>
  <c r="I118" i="7" a="1"/>
  <c r="I119" i="7" a="1"/>
  <c r="I120" i="7" a="1"/>
  <c r="I121" i="7" a="1"/>
  <c r="I122" i="7" a="1"/>
  <c r="I123" i="7" a="1"/>
  <c r="I124" i="7" a="1"/>
  <c r="I125" i="7" a="1"/>
  <c r="I126" i="7" a="1"/>
  <c r="I127" i="7" a="1"/>
  <c r="I128" i="7" a="1"/>
  <c r="I129" i="7" a="1"/>
  <c r="I130" i="7" a="1"/>
  <c r="I131" i="7" a="1"/>
  <c r="I132" i="7" a="1"/>
  <c r="I133" i="7" a="1"/>
  <c r="I134" i="7" a="1"/>
  <c r="I135" i="7" a="1"/>
  <c r="I136" i="7" a="1"/>
  <c r="I137" i="7" a="1"/>
  <c r="I93" i="7" a="1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48" i="7"/>
  <c r="D48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3" i="7"/>
  <c r="D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93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48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93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40" i="7"/>
  <c r="D94" i="7" a="1"/>
  <c r="D95" i="7" a="1"/>
  <c r="D96" i="7" a="1"/>
  <c r="D97" i="7" a="1"/>
  <c r="D98" i="7" a="1"/>
  <c r="D99" i="7" a="1"/>
  <c r="D100" i="7" a="1"/>
  <c r="D101" i="7" a="1"/>
  <c r="D102" i="7" a="1"/>
  <c r="D103" i="7" a="1"/>
  <c r="D104" i="7" a="1"/>
  <c r="D105" i="7" a="1"/>
  <c r="D106" i="7" a="1"/>
  <c r="D107" i="7" a="1"/>
  <c r="D108" i="7" a="1"/>
  <c r="D109" i="7" a="1"/>
  <c r="D110" i="7" a="1"/>
  <c r="D111" i="7" a="1"/>
  <c r="D112" i="7" a="1"/>
  <c r="D113" i="7" a="1"/>
  <c r="D114" i="7" a="1"/>
  <c r="D115" i="7" a="1"/>
  <c r="D116" i="7" a="1"/>
  <c r="D117" i="7" a="1"/>
  <c r="D118" i="7" a="1"/>
  <c r="D119" i="7" a="1"/>
  <c r="D120" i="7" a="1"/>
  <c r="D121" i="7" a="1"/>
  <c r="D122" i="7" a="1"/>
  <c r="D123" i="7" a="1"/>
  <c r="D124" i="7" a="1"/>
  <c r="D125" i="7" a="1"/>
  <c r="D126" i="7" a="1"/>
  <c r="D127" i="7" a="1"/>
  <c r="D128" i="7" a="1"/>
  <c r="D129" i="7" a="1"/>
  <c r="D130" i="7" a="1"/>
  <c r="D131" i="7" a="1"/>
  <c r="D132" i="7" a="1"/>
  <c r="D133" i="7" a="1"/>
  <c r="D134" i="7" a="1"/>
  <c r="D135" i="7" a="1"/>
  <c r="D136" i="7" a="1"/>
  <c r="D137" i="7" a="1"/>
  <c r="D92" i="7"/>
  <c r="D46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3" i="7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3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ET4" i="8" a="1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I1" i="17" a="1"/>
  <c r="B1" i="17" a="1"/>
  <c r="A2" i="17" a="1"/>
  <c r="N1292" i="13"/>
  <c r="H1292" i="13"/>
  <c r="H1291" i="13"/>
  <c r="H1290" i="13"/>
  <c r="N1289" i="13"/>
  <c r="H1289" i="13"/>
  <c r="N1288" i="13"/>
  <c r="H1288" i="13"/>
  <c r="N1287" i="13"/>
  <c r="H1287" i="13"/>
  <c r="N1286" i="13"/>
  <c r="H1286" i="13"/>
  <c r="H1285" i="13"/>
  <c r="H1284" i="13"/>
  <c r="H1283" i="13"/>
  <c r="H1282" i="13"/>
  <c r="H1281" i="13"/>
  <c r="H1280" i="13"/>
  <c r="H1279" i="13"/>
  <c r="H1278" i="13"/>
  <c r="N1277" i="13"/>
  <c r="H1277" i="13"/>
  <c r="N1276" i="13"/>
  <c r="H1276" i="13"/>
  <c r="H1275" i="13"/>
  <c r="H1274" i="13"/>
  <c r="N1273" i="13"/>
  <c r="H1273" i="13"/>
  <c r="N1272" i="13"/>
  <c r="H1272" i="13"/>
  <c r="N1271" i="13"/>
  <c r="H1271" i="13"/>
  <c r="N1270" i="13"/>
  <c r="H1270" i="13"/>
  <c r="N1269" i="13"/>
  <c r="H1269" i="13"/>
  <c r="N1268" i="13"/>
  <c r="H1268" i="13"/>
  <c r="N1267" i="13"/>
  <c r="H1267" i="13"/>
  <c r="N1266" i="13"/>
  <c r="H1266" i="13"/>
  <c r="N1265" i="13"/>
  <c r="H1265" i="13"/>
  <c r="N1264" i="13"/>
  <c r="H1264" i="13"/>
  <c r="N1263" i="13"/>
  <c r="H1263" i="13"/>
  <c r="H1262" i="13"/>
  <c r="N1261" i="13"/>
  <c r="H1261" i="13"/>
  <c r="N1260" i="13"/>
  <c r="H1260" i="13"/>
  <c r="N1259" i="13"/>
  <c r="H1259" i="13"/>
  <c r="H1258" i="13"/>
  <c r="N1257" i="13"/>
  <c r="H1257" i="13"/>
  <c r="N1256" i="13"/>
  <c r="H1256" i="13"/>
  <c r="N1255" i="13"/>
  <c r="H1255" i="13"/>
  <c r="N1254" i="13"/>
  <c r="H1254" i="13"/>
  <c r="H1253" i="13"/>
  <c r="N1252" i="13"/>
  <c r="H1252" i="13"/>
  <c r="N1251" i="13"/>
  <c r="H1251" i="13"/>
  <c r="H1250" i="13"/>
  <c r="H1249" i="13"/>
  <c r="H1248" i="13"/>
  <c r="H1247" i="13"/>
  <c r="H1246" i="13"/>
  <c r="H1245" i="13"/>
  <c r="H1244" i="13"/>
  <c r="H1243" i="13"/>
  <c r="N1242" i="13"/>
  <c r="H1242" i="13"/>
  <c r="N1241" i="13"/>
  <c r="H1241" i="13"/>
  <c r="N1240" i="13"/>
  <c r="H1240" i="13"/>
  <c r="N1239" i="13"/>
  <c r="H1239" i="13"/>
  <c r="N1238" i="13"/>
  <c r="H1238" i="13"/>
  <c r="N1237" i="13"/>
  <c r="H1237" i="13"/>
  <c r="N1236" i="13"/>
  <c r="H1236" i="13"/>
  <c r="N1235" i="13"/>
  <c r="H1235" i="13"/>
  <c r="N1234" i="13"/>
  <c r="H1234" i="13"/>
  <c r="N1233" i="13"/>
  <c r="H1233" i="13"/>
  <c r="N1232" i="13"/>
  <c r="H1232" i="13"/>
  <c r="N1231" i="13"/>
  <c r="H1231" i="13"/>
  <c r="N1230" i="13"/>
  <c r="H1230" i="13"/>
  <c r="N1229" i="13"/>
  <c r="H1229" i="13"/>
  <c r="N1228" i="13"/>
  <c r="H1228" i="13"/>
  <c r="N1227" i="13"/>
  <c r="H1227" i="13"/>
  <c r="N1226" i="13"/>
  <c r="H1226" i="13"/>
  <c r="N1225" i="13"/>
  <c r="H1225" i="13"/>
  <c r="N1224" i="13"/>
  <c r="H1224" i="13"/>
  <c r="N1223" i="13"/>
  <c r="H1223" i="13"/>
  <c r="H1222" i="13"/>
  <c r="H1221" i="13"/>
  <c r="N1220" i="13"/>
  <c r="H1220" i="13"/>
  <c r="H1219" i="13"/>
  <c r="N1218" i="13"/>
  <c r="H1218" i="13"/>
  <c r="N1217" i="13"/>
  <c r="H1217" i="13"/>
  <c r="N1216" i="13"/>
  <c r="H1216" i="13"/>
  <c r="N1215" i="13"/>
  <c r="H1215" i="13"/>
  <c r="N1214" i="13"/>
  <c r="H1214" i="13"/>
  <c r="N1213" i="13"/>
  <c r="H1213" i="13"/>
  <c r="N1212" i="13"/>
  <c r="H1212" i="13"/>
  <c r="N1211" i="13"/>
  <c r="H1211" i="13"/>
  <c r="N1210" i="13"/>
  <c r="H1210" i="13"/>
  <c r="N1209" i="13"/>
  <c r="H1209" i="13"/>
  <c r="H1208" i="13"/>
  <c r="H1207" i="13"/>
  <c r="H1206" i="13"/>
  <c r="H1205" i="13"/>
  <c r="H1204" i="13"/>
  <c r="H1203" i="13"/>
  <c r="N1202" i="13"/>
  <c r="H1202" i="13"/>
  <c r="N1201" i="13"/>
  <c r="H1201" i="13"/>
  <c r="H1200" i="13"/>
  <c r="N1199" i="13"/>
  <c r="H1199" i="13"/>
  <c r="N1198" i="13"/>
  <c r="H1198" i="13"/>
  <c r="N1197" i="13"/>
  <c r="H1197" i="13"/>
  <c r="N1196" i="13"/>
  <c r="H1196" i="13"/>
  <c r="H1195" i="13"/>
  <c r="N1194" i="13"/>
  <c r="H1194" i="13"/>
  <c r="N1193" i="13"/>
  <c r="H1193" i="13"/>
  <c r="H1192" i="13"/>
  <c r="N1191" i="13"/>
  <c r="H1191" i="13"/>
  <c r="N1190" i="13"/>
  <c r="H1190" i="13"/>
  <c r="N1189" i="13"/>
  <c r="H1189" i="13"/>
  <c r="H1188" i="13"/>
  <c r="N1187" i="13"/>
  <c r="H1187" i="13"/>
  <c r="H1186" i="13"/>
  <c r="H1185" i="13"/>
  <c r="N1184" i="13"/>
  <c r="H1184" i="13"/>
  <c r="N1183" i="13"/>
  <c r="H1183" i="13"/>
  <c r="H1182" i="13"/>
  <c r="N1181" i="13"/>
  <c r="H1181" i="13"/>
  <c r="N1180" i="13"/>
  <c r="H1180" i="13"/>
  <c r="H1179" i="13"/>
  <c r="H1178" i="13"/>
  <c r="N1177" i="13"/>
  <c r="H1177" i="13"/>
  <c r="H1176" i="13"/>
  <c r="N1175" i="13"/>
  <c r="H1175" i="13"/>
  <c r="N1174" i="13"/>
  <c r="H1174" i="13"/>
  <c r="N1173" i="13"/>
  <c r="H1173" i="13"/>
  <c r="H1172" i="13"/>
  <c r="H1171" i="13"/>
  <c r="N1170" i="13"/>
  <c r="H1170" i="13"/>
  <c r="N1169" i="13"/>
  <c r="H1169" i="13"/>
  <c r="N1168" i="13"/>
  <c r="H1168" i="13"/>
  <c r="H1167" i="13"/>
  <c r="N1166" i="13"/>
  <c r="H1166" i="13"/>
  <c r="N1165" i="13"/>
  <c r="H1165" i="13"/>
  <c r="H1164" i="13"/>
  <c r="N1163" i="13"/>
  <c r="H1163" i="13"/>
  <c r="H1162" i="13"/>
  <c r="H1161" i="13"/>
  <c r="N1160" i="13"/>
  <c r="H1160" i="13"/>
  <c r="N1159" i="13"/>
  <c r="H1159" i="13"/>
  <c r="N1158" i="13"/>
  <c r="H1158" i="13"/>
  <c r="N1157" i="13"/>
  <c r="H1157" i="13"/>
  <c r="H1156" i="13"/>
  <c r="H1155" i="13"/>
  <c r="H1154" i="13"/>
  <c r="H1153" i="13"/>
  <c r="H1152" i="13"/>
  <c r="H1151" i="13"/>
  <c r="H1150" i="13"/>
  <c r="H1149" i="13"/>
  <c r="N1148" i="13"/>
  <c r="H1148" i="13"/>
  <c r="N1147" i="13"/>
  <c r="H1147" i="13"/>
  <c r="H1146" i="13"/>
  <c r="H1145" i="13"/>
  <c r="N1144" i="13"/>
  <c r="H1144" i="13"/>
  <c r="N1143" i="13"/>
  <c r="H1143" i="13"/>
  <c r="N1142" i="13"/>
  <c r="H1142" i="13"/>
  <c r="N1141" i="13"/>
  <c r="H1141" i="13"/>
  <c r="N1140" i="13"/>
  <c r="H1140" i="13"/>
  <c r="N1139" i="13"/>
  <c r="H1139" i="13"/>
  <c r="N1138" i="13"/>
  <c r="H1138" i="13"/>
  <c r="N1137" i="13"/>
  <c r="H1137" i="13"/>
  <c r="N1136" i="13"/>
  <c r="H1136" i="13"/>
  <c r="N1135" i="13"/>
  <c r="H1135" i="13"/>
  <c r="N1134" i="13"/>
  <c r="H1134" i="13"/>
  <c r="H1133" i="13"/>
  <c r="N1132" i="13"/>
  <c r="H1132" i="13"/>
  <c r="N1131" i="13"/>
  <c r="H1131" i="13"/>
  <c r="N1130" i="13"/>
  <c r="H1130" i="13"/>
  <c r="H1129" i="13"/>
  <c r="N1128" i="13"/>
  <c r="H1128" i="13"/>
  <c r="N1127" i="13"/>
  <c r="H1127" i="13"/>
  <c r="N1126" i="13"/>
  <c r="H1126" i="13"/>
  <c r="N1125" i="13"/>
  <c r="H1125" i="13"/>
  <c r="H1124" i="13"/>
  <c r="N1123" i="13"/>
  <c r="H1123" i="13"/>
  <c r="N1122" i="13"/>
  <c r="H1122" i="13"/>
  <c r="H1121" i="13"/>
  <c r="H1120" i="13"/>
  <c r="H1119" i="13"/>
  <c r="H1118" i="13"/>
  <c r="H1117" i="13"/>
  <c r="H1116" i="13"/>
  <c r="H1115" i="13"/>
  <c r="H1114" i="13"/>
  <c r="N1113" i="13"/>
  <c r="H1113" i="13"/>
  <c r="N1112" i="13"/>
  <c r="H1112" i="13"/>
  <c r="N1111" i="13"/>
  <c r="H1111" i="13"/>
  <c r="N1110" i="13"/>
  <c r="H1110" i="13"/>
  <c r="N1109" i="13"/>
  <c r="H1109" i="13"/>
  <c r="N1108" i="13"/>
  <c r="H1108" i="13"/>
  <c r="N1107" i="13"/>
  <c r="H1107" i="13"/>
  <c r="N1106" i="13"/>
  <c r="H1106" i="13"/>
  <c r="N1105" i="13"/>
  <c r="H1105" i="13"/>
  <c r="N1104" i="13"/>
  <c r="H1104" i="13"/>
  <c r="N1103" i="13"/>
  <c r="H1103" i="13"/>
  <c r="N1102" i="13"/>
  <c r="H1102" i="13"/>
  <c r="N1101" i="13"/>
  <c r="H1101" i="13"/>
  <c r="N1100" i="13"/>
  <c r="H1100" i="13"/>
  <c r="N1099" i="13"/>
  <c r="H1099" i="13"/>
  <c r="N1098" i="13"/>
  <c r="H1098" i="13"/>
  <c r="N1097" i="13"/>
  <c r="H1097" i="13"/>
  <c r="N1096" i="13"/>
  <c r="H1096" i="13"/>
  <c r="N1095" i="13"/>
  <c r="H1095" i="13"/>
  <c r="N1094" i="13"/>
  <c r="H1094" i="13"/>
  <c r="H1093" i="13"/>
  <c r="H1092" i="13"/>
  <c r="N1091" i="13"/>
  <c r="H1091" i="13"/>
  <c r="H1090" i="13"/>
  <c r="N1089" i="13"/>
  <c r="H1089" i="13"/>
  <c r="N1088" i="13"/>
  <c r="H1088" i="13"/>
  <c r="N1087" i="13"/>
  <c r="H1087" i="13"/>
  <c r="N1086" i="13"/>
  <c r="H1086" i="13"/>
  <c r="N1085" i="13"/>
  <c r="H1085" i="13"/>
  <c r="N1084" i="13"/>
  <c r="H1084" i="13"/>
  <c r="N1083" i="13"/>
  <c r="H1083" i="13"/>
  <c r="N1082" i="13"/>
  <c r="H1082" i="13"/>
  <c r="N1081" i="13"/>
  <c r="H1081" i="13"/>
  <c r="N1080" i="13"/>
  <c r="H1080" i="13"/>
  <c r="H1079" i="13"/>
  <c r="H1078" i="13"/>
  <c r="H1077" i="13"/>
  <c r="H1076" i="13"/>
  <c r="H1075" i="13"/>
  <c r="H1074" i="13"/>
  <c r="N1073" i="13"/>
  <c r="H1073" i="13"/>
  <c r="N1072" i="13"/>
  <c r="H1072" i="13"/>
  <c r="H1071" i="13"/>
  <c r="N1070" i="13"/>
  <c r="H1070" i="13"/>
  <c r="N1069" i="13"/>
  <c r="H1069" i="13"/>
  <c r="N1068" i="13"/>
  <c r="H1068" i="13"/>
  <c r="N1067" i="13"/>
  <c r="H1067" i="13"/>
  <c r="H1066" i="13"/>
  <c r="N1065" i="13"/>
  <c r="H1065" i="13"/>
  <c r="N1064" i="13"/>
  <c r="H1064" i="13"/>
  <c r="H1063" i="13"/>
  <c r="N1062" i="13"/>
  <c r="H1062" i="13"/>
  <c r="N1061" i="13"/>
  <c r="H1061" i="13"/>
  <c r="N1060" i="13"/>
  <c r="H1060" i="13"/>
  <c r="H1059" i="13"/>
  <c r="N1058" i="13"/>
  <c r="H1058" i="13"/>
  <c r="H1057" i="13"/>
  <c r="H1056" i="13"/>
  <c r="N1055" i="13"/>
  <c r="H1055" i="13"/>
  <c r="N1054" i="13"/>
  <c r="H1054" i="13"/>
  <c r="H1053" i="13"/>
  <c r="N1052" i="13"/>
  <c r="H1052" i="13"/>
  <c r="N1051" i="13"/>
  <c r="H1051" i="13"/>
  <c r="H1050" i="13"/>
  <c r="H1049" i="13"/>
  <c r="N1048" i="13"/>
  <c r="H1048" i="13"/>
  <c r="H1047" i="13"/>
  <c r="N1046" i="13"/>
  <c r="H1046" i="13"/>
  <c r="N1045" i="13"/>
  <c r="H1045" i="13"/>
  <c r="N1044" i="13"/>
  <c r="H1044" i="13"/>
  <c r="H1043" i="13"/>
  <c r="H1042" i="13"/>
  <c r="N1041" i="13"/>
  <c r="H1041" i="13"/>
  <c r="N1040" i="13"/>
  <c r="H1040" i="13"/>
  <c r="N1039" i="13"/>
  <c r="H1039" i="13"/>
  <c r="H1038" i="13"/>
  <c r="N1037" i="13"/>
  <c r="H1037" i="13"/>
  <c r="N1036" i="13"/>
  <c r="H1036" i="13"/>
  <c r="H1035" i="13"/>
  <c r="N1034" i="13"/>
  <c r="H1034" i="13"/>
  <c r="H1033" i="13"/>
  <c r="H1032" i="13"/>
  <c r="N1031" i="13"/>
  <c r="H1031" i="13"/>
  <c r="N1030" i="13"/>
  <c r="H1030" i="13"/>
  <c r="N1029" i="13"/>
  <c r="H1029" i="13"/>
  <c r="N1028" i="13"/>
  <c r="H1028" i="13"/>
  <c r="H1027" i="13"/>
  <c r="H1026" i="13"/>
  <c r="H1025" i="13"/>
  <c r="H1024" i="13"/>
  <c r="H1023" i="13"/>
  <c r="H1022" i="13"/>
  <c r="H1021" i="13"/>
  <c r="H1020" i="13"/>
  <c r="N1019" i="13"/>
  <c r="H1019" i="13"/>
  <c r="N1018" i="13"/>
  <c r="H1018" i="13"/>
  <c r="H1017" i="13"/>
  <c r="H1016" i="13"/>
  <c r="N1015" i="13"/>
  <c r="H1015" i="13"/>
  <c r="N1014" i="13"/>
  <c r="H1014" i="13"/>
  <c r="N1013" i="13"/>
  <c r="H1013" i="13"/>
  <c r="N1012" i="13"/>
  <c r="H1012" i="13"/>
  <c r="N1011" i="13"/>
  <c r="H1011" i="13"/>
  <c r="N1010" i="13"/>
  <c r="H1010" i="13"/>
  <c r="N1009" i="13"/>
  <c r="H1009" i="13"/>
  <c r="N1008" i="13"/>
  <c r="H1008" i="13"/>
  <c r="N1007" i="13"/>
  <c r="H1007" i="13"/>
  <c r="N1006" i="13"/>
  <c r="H1006" i="13"/>
  <c r="N1005" i="13"/>
  <c r="H1005" i="13"/>
  <c r="H1004" i="13"/>
  <c r="N1003" i="13"/>
  <c r="H1003" i="13"/>
  <c r="N1002" i="13"/>
  <c r="H1002" i="13"/>
  <c r="N1001" i="13"/>
  <c r="H1001" i="13"/>
  <c r="H1000" i="13"/>
  <c r="N999" i="13"/>
  <c r="H999" i="13"/>
  <c r="N998" i="13"/>
  <c r="H998" i="13"/>
  <c r="N997" i="13"/>
  <c r="H997" i="13"/>
  <c r="N996" i="13"/>
  <c r="H996" i="13"/>
  <c r="H995" i="13"/>
  <c r="N994" i="13"/>
  <c r="H994" i="13"/>
  <c r="N993" i="13"/>
  <c r="H993" i="13"/>
  <c r="H992" i="13"/>
  <c r="H991" i="13"/>
  <c r="H990" i="13"/>
  <c r="H989" i="13"/>
  <c r="H988" i="13"/>
  <c r="H987" i="13"/>
  <c r="H986" i="13"/>
  <c r="H985" i="13"/>
  <c r="N984" i="13"/>
  <c r="H984" i="13"/>
  <c r="N983" i="13"/>
  <c r="H983" i="13"/>
  <c r="N982" i="13"/>
  <c r="H982" i="13"/>
  <c r="N981" i="13"/>
  <c r="H981" i="13"/>
  <c r="N980" i="13"/>
  <c r="H980" i="13"/>
  <c r="N979" i="13"/>
  <c r="H979" i="13"/>
  <c r="N978" i="13"/>
  <c r="H978" i="13"/>
  <c r="N977" i="13"/>
  <c r="H977" i="13"/>
  <c r="N976" i="13"/>
  <c r="H976" i="13"/>
  <c r="N975" i="13"/>
  <c r="H975" i="13"/>
  <c r="N974" i="13"/>
  <c r="H974" i="13"/>
  <c r="N973" i="13"/>
  <c r="H973" i="13"/>
  <c r="N972" i="13"/>
  <c r="H972" i="13"/>
  <c r="N971" i="13"/>
  <c r="H971" i="13"/>
  <c r="N970" i="13"/>
  <c r="H970" i="13"/>
  <c r="N969" i="13"/>
  <c r="H969" i="13"/>
  <c r="N968" i="13"/>
  <c r="H968" i="13"/>
  <c r="N967" i="13"/>
  <c r="H967" i="13"/>
  <c r="N966" i="13"/>
  <c r="H966" i="13"/>
  <c r="N965" i="13"/>
  <c r="H965" i="13"/>
  <c r="H964" i="13"/>
  <c r="H963" i="13"/>
  <c r="N962" i="13"/>
  <c r="H962" i="13"/>
  <c r="H961" i="13"/>
  <c r="N960" i="13"/>
  <c r="H960" i="13"/>
  <c r="N959" i="13"/>
  <c r="H959" i="13"/>
  <c r="N958" i="13"/>
  <c r="H958" i="13"/>
  <c r="N957" i="13"/>
  <c r="H957" i="13"/>
  <c r="N956" i="13"/>
  <c r="H956" i="13"/>
  <c r="N955" i="13"/>
  <c r="H955" i="13"/>
  <c r="N954" i="13"/>
  <c r="H954" i="13"/>
  <c r="N953" i="13"/>
  <c r="H953" i="13"/>
  <c r="N952" i="13"/>
  <c r="H952" i="13"/>
  <c r="N951" i="13"/>
  <c r="H951" i="13"/>
  <c r="H950" i="13"/>
  <c r="H949" i="13"/>
  <c r="H948" i="13"/>
  <c r="H947" i="13"/>
  <c r="H946" i="13"/>
  <c r="H945" i="13"/>
  <c r="N944" i="13"/>
  <c r="H944" i="13"/>
  <c r="N943" i="13"/>
  <c r="H943" i="13"/>
  <c r="H942" i="13"/>
  <c r="N941" i="13"/>
  <c r="H941" i="13"/>
  <c r="N940" i="13"/>
  <c r="H940" i="13"/>
  <c r="N939" i="13"/>
  <c r="H939" i="13"/>
  <c r="N938" i="13"/>
  <c r="H938" i="13"/>
  <c r="H937" i="13"/>
  <c r="N936" i="13"/>
  <c r="H936" i="13"/>
  <c r="N935" i="13"/>
  <c r="H935" i="13"/>
  <c r="H934" i="13"/>
  <c r="N933" i="13"/>
  <c r="H933" i="13"/>
  <c r="N932" i="13"/>
  <c r="H932" i="13"/>
  <c r="N931" i="13"/>
  <c r="H931" i="13"/>
  <c r="H930" i="13"/>
  <c r="N929" i="13"/>
  <c r="H929" i="13"/>
  <c r="H928" i="13"/>
  <c r="H927" i="13"/>
  <c r="N926" i="13"/>
  <c r="H926" i="13"/>
  <c r="N925" i="13"/>
  <c r="H925" i="13"/>
  <c r="H924" i="13"/>
  <c r="N923" i="13"/>
  <c r="H923" i="13"/>
  <c r="N922" i="13"/>
  <c r="H922" i="13"/>
  <c r="H921" i="13"/>
  <c r="H920" i="13"/>
  <c r="N919" i="13"/>
  <c r="H919" i="13"/>
  <c r="H918" i="13"/>
  <c r="N917" i="13"/>
  <c r="H917" i="13"/>
  <c r="N916" i="13"/>
  <c r="H916" i="13"/>
  <c r="N915" i="13"/>
  <c r="H915" i="13"/>
  <c r="H914" i="13"/>
  <c r="H913" i="13"/>
  <c r="N912" i="13"/>
  <c r="H912" i="13"/>
  <c r="N911" i="13"/>
  <c r="H911" i="13"/>
  <c r="N910" i="13"/>
  <c r="H910" i="13"/>
  <c r="H909" i="13"/>
  <c r="N908" i="13"/>
  <c r="H908" i="13"/>
  <c r="N907" i="13"/>
  <c r="H907" i="13"/>
  <c r="H906" i="13"/>
  <c r="N905" i="13"/>
  <c r="H905" i="13"/>
  <c r="H904" i="13"/>
  <c r="H903" i="13"/>
  <c r="N902" i="13"/>
  <c r="H902" i="13"/>
  <c r="N901" i="13"/>
  <c r="H901" i="13"/>
  <c r="N900" i="13"/>
  <c r="H900" i="13"/>
  <c r="N899" i="13"/>
  <c r="H899" i="13"/>
  <c r="H898" i="13"/>
  <c r="H897" i="13"/>
  <c r="H896" i="13"/>
  <c r="H895" i="13"/>
  <c r="H894" i="13"/>
  <c r="H893" i="13"/>
  <c r="H892" i="13"/>
  <c r="H891" i="13"/>
  <c r="N890" i="13"/>
  <c r="H890" i="13"/>
  <c r="N889" i="13"/>
  <c r="H889" i="13"/>
  <c r="H888" i="13"/>
  <c r="H887" i="13"/>
  <c r="N886" i="13"/>
  <c r="H886" i="13"/>
  <c r="N885" i="13"/>
  <c r="H885" i="13"/>
  <c r="N884" i="13"/>
  <c r="H884" i="13"/>
  <c r="N883" i="13"/>
  <c r="H883" i="13"/>
  <c r="N882" i="13"/>
  <c r="H882" i="13"/>
  <c r="N881" i="13"/>
  <c r="H881" i="13"/>
  <c r="N880" i="13"/>
  <c r="H880" i="13"/>
  <c r="N879" i="13"/>
  <c r="H879" i="13"/>
  <c r="N878" i="13"/>
  <c r="H878" i="13"/>
  <c r="N877" i="13"/>
  <c r="H877" i="13"/>
  <c r="N876" i="13"/>
  <c r="H876" i="13"/>
  <c r="H875" i="13"/>
  <c r="N874" i="13"/>
  <c r="H874" i="13"/>
  <c r="N873" i="13"/>
  <c r="H873" i="13"/>
  <c r="N872" i="13"/>
  <c r="H872" i="13"/>
  <c r="H871" i="13"/>
  <c r="N870" i="13"/>
  <c r="H870" i="13"/>
  <c r="N869" i="13"/>
  <c r="H869" i="13"/>
  <c r="N868" i="13"/>
  <c r="H868" i="13"/>
  <c r="N867" i="13"/>
  <c r="H867" i="13"/>
  <c r="H866" i="13"/>
  <c r="N865" i="13"/>
  <c r="H865" i="13"/>
  <c r="N864" i="13"/>
  <c r="H864" i="13"/>
  <c r="H863" i="13"/>
  <c r="H862" i="13"/>
  <c r="H861" i="13"/>
  <c r="H860" i="13"/>
  <c r="H859" i="13"/>
  <c r="H858" i="13"/>
  <c r="H857" i="13"/>
  <c r="H856" i="13"/>
  <c r="N855" i="13"/>
  <c r="H855" i="13"/>
  <c r="N854" i="13"/>
  <c r="H854" i="13"/>
  <c r="N853" i="13"/>
  <c r="H853" i="13"/>
  <c r="N852" i="13"/>
  <c r="H852" i="13"/>
  <c r="N851" i="13"/>
  <c r="H851" i="13"/>
  <c r="N850" i="13"/>
  <c r="H850" i="13"/>
  <c r="N849" i="13"/>
  <c r="H849" i="13"/>
  <c r="N848" i="13"/>
  <c r="H848" i="13"/>
  <c r="N847" i="13"/>
  <c r="H847" i="13"/>
  <c r="N846" i="13"/>
  <c r="H846" i="13"/>
  <c r="N845" i="13"/>
  <c r="H845" i="13"/>
  <c r="N844" i="13"/>
  <c r="H844" i="13"/>
  <c r="N843" i="13"/>
  <c r="H843" i="13"/>
  <c r="N842" i="13"/>
  <c r="H842" i="13"/>
  <c r="N841" i="13"/>
  <c r="H841" i="13"/>
  <c r="N840" i="13"/>
  <c r="H840" i="13"/>
  <c r="N839" i="13"/>
  <c r="H839" i="13"/>
  <c r="N838" i="13"/>
  <c r="H838" i="13"/>
  <c r="N837" i="13"/>
  <c r="H837" i="13"/>
  <c r="N836" i="13"/>
  <c r="H836" i="13"/>
  <c r="H835" i="13"/>
  <c r="H834" i="13"/>
  <c r="N833" i="13"/>
  <c r="H833" i="13"/>
  <c r="H832" i="13"/>
  <c r="N831" i="13"/>
  <c r="H831" i="13"/>
  <c r="N830" i="13"/>
  <c r="H830" i="13"/>
  <c r="N829" i="13"/>
  <c r="H829" i="13"/>
  <c r="N828" i="13"/>
  <c r="H828" i="13"/>
  <c r="N827" i="13"/>
  <c r="H827" i="13"/>
  <c r="N826" i="13"/>
  <c r="H826" i="13"/>
  <c r="N825" i="13"/>
  <c r="H825" i="13"/>
  <c r="N824" i="13"/>
  <c r="H824" i="13"/>
  <c r="N823" i="13"/>
  <c r="H823" i="13"/>
  <c r="N822" i="13"/>
  <c r="H822" i="13"/>
  <c r="H821" i="13"/>
  <c r="H820" i="13"/>
  <c r="H819" i="13"/>
  <c r="H818" i="13"/>
  <c r="H817" i="13"/>
  <c r="H816" i="13"/>
  <c r="N815" i="13"/>
  <c r="H815" i="13"/>
  <c r="N814" i="13"/>
  <c r="H814" i="13"/>
  <c r="H813" i="13"/>
  <c r="N812" i="13"/>
  <c r="H812" i="13"/>
  <c r="N811" i="13"/>
  <c r="H811" i="13"/>
  <c r="N810" i="13"/>
  <c r="H810" i="13"/>
  <c r="N809" i="13"/>
  <c r="H809" i="13"/>
  <c r="H808" i="13"/>
  <c r="N807" i="13"/>
  <c r="H807" i="13"/>
  <c r="N806" i="13"/>
  <c r="H806" i="13"/>
  <c r="H805" i="13"/>
  <c r="N804" i="13"/>
  <c r="H804" i="13"/>
  <c r="N803" i="13"/>
  <c r="H803" i="13"/>
  <c r="N802" i="13"/>
  <c r="H802" i="13"/>
  <c r="H801" i="13"/>
  <c r="N800" i="13"/>
  <c r="H800" i="13"/>
  <c r="H799" i="13"/>
  <c r="H798" i="13"/>
  <c r="N797" i="13"/>
  <c r="H797" i="13"/>
  <c r="N796" i="13"/>
  <c r="H796" i="13"/>
  <c r="H795" i="13"/>
  <c r="N794" i="13"/>
  <c r="H794" i="13"/>
  <c r="N793" i="13"/>
  <c r="H793" i="13"/>
  <c r="H792" i="13"/>
  <c r="H791" i="13"/>
  <c r="N790" i="13"/>
  <c r="H790" i="13"/>
  <c r="H789" i="13"/>
  <c r="N788" i="13"/>
  <c r="H788" i="13"/>
  <c r="N787" i="13"/>
  <c r="H787" i="13"/>
  <c r="N786" i="13"/>
  <c r="H786" i="13"/>
  <c r="H785" i="13"/>
  <c r="H784" i="13"/>
  <c r="N783" i="13"/>
  <c r="H783" i="13"/>
  <c r="N782" i="13"/>
  <c r="H782" i="13"/>
  <c r="N781" i="13"/>
  <c r="H781" i="13"/>
  <c r="H780" i="13"/>
  <c r="N779" i="13"/>
  <c r="H779" i="13"/>
  <c r="N778" i="13"/>
  <c r="H778" i="13"/>
  <c r="H777" i="13"/>
  <c r="N776" i="13"/>
  <c r="H776" i="13"/>
  <c r="H775" i="13"/>
  <c r="H774" i="13"/>
  <c r="N773" i="13"/>
  <c r="H773" i="13"/>
  <c r="N772" i="13"/>
  <c r="H772" i="13"/>
  <c r="N771" i="13"/>
  <c r="H771" i="13"/>
  <c r="N770" i="13"/>
  <c r="H770" i="13"/>
  <c r="H769" i="13"/>
  <c r="H768" i="13"/>
  <c r="H767" i="13"/>
  <c r="H766" i="13"/>
  <c r="H765" i="13"/>
  <c r="H764" i="13"/>
  <c r="H763" i="13"/>
  <c r="H762" i="13"/>
  <c r="N761" i="13"/>
  <c r="H761" i="13"/>
  <c r="N760" i="13"/>
  <c r="H760" i="13"/>
  <c r="H759" i="13"/>
  <c r="H758" i="13"/>
  <c r="N757" i="13"/>
  <c r="H757" i="13"/>
  <c r="N756" i="13"/>
  <c r="H756" i="13"/>
  <c r="N755" i="13"/>
  <c r="H755" i="13"/>
  <c r="N754" i="13"/>
  <c r="H754" i="13"/>
  <c r="N753" i="13"/>
  <c r="H753" i="13"/>
  <c r="N752" i="13"/>
  <c r="H752" i="13"/>
  <c r="N751" i="13"/>
  <c r="H751" i="13"/>
  <c r="N750" i="13"/>
  <c r="H750" i="13"/>
  <c r="N749" i="13"/>
  <c r="H749" i="13"/>
  <c r="N748" i="13"/>
  <c r="H748" i="13"/>
  <c r="N747" i="13"/>
  <c r="H747" i="13"/>
  <c r="H746" i="13"/>
  <c r="N745" i="13"/>
  <c r="H745" i="13"/>
  <c r="N744" i="13"/>
  <c r="H744" i="13"/>
  <c r="N743" i="13"/>
  <c r="H743" i="13"/>
  <c r="H742" i="13"/>
  <c r="N741" i="13"/>
  <c r="H741" i="13"/>
  <c r="N740" i="13"/>
  <c r="H740" i="13"/>
  <c r="N739" i="13"/>
  <c r="H739" i="13"/>
  <c r="N738" i="13"/>
  <c r="H738" i="13"/>
  <c r="H737" i="13"/>
  <c r="N736" i="13"/>
  <c r="H736" i="13"/>
  <c r="N735" i="13"/>
  <c r="H735" i="13"/>
  <c r="H734" i="13"/>
  <c r="H733" i="13"/>
  <c r="H732" i="13"/>
  <c r="H731" i="13"/>
  <c r="H730" i="13"/>
  <c r="H729" i="13"/>
  <c r="H728" i="13"/>
  <c r="H727" i="13"/>
  <c r="N726" i="13"/>
  <c r="H726" i="13"/>
  <c r="N725" i="13"/>
  <c r="H725" i="13"/>
  <c r="N724" i="13"/>
  <c r="H724" i="13"/>
  <c r="N723" i="13"/>
  <c r="H723" i="13"/>
  <c r="N722" i="13"/>
  <c r="H722" i="13"/>
  <c r="N721" i="13"/>
  <c r="H721" i="13"/>
  <c r="N720" i="13"/>
  <c r="H720" i="13"/>
  <c r="N719" i="13"/>
  <c r="H719" i="13"/>
  <c r="N718" i="13"/>
  <c r="H718" i="13"/>
  <c r="N717" i="13"/>
  <c r="H717" i="13"/>
  <c r="N716" i="13"/>
  <c r="H716" i="13"/>
  <c r="N715" i="13"/>
  <c r="H715" i="13"/>
  <c r="N714" i="13"/>
  <c r="H714" i="13"/>
  <c r="N713" i="13"/>
  <c r="H713" i="13"/>
  <c r="N712" i="13"/>
  <c r="H712" i="13"/>
  <c r="N711" i="13"/>
  <c r="H711" i="13"/>
  <c r="N710" i="13"/>
  <c r="H710" i="13"/>
  <c r="N709" i="13"/>
  <c r="H709" i="13"/>
  <c r="N708" i="13"/>
  <c r="H708" i="13"/>
  <c r="N707" i="13"/>
  <c r="H707" i="13"/>
  <c r="H706" i="13"/>
  <c r="H705" i="13"/>
  <c r="N704" i="13"/>
  <c r="H704" i="13"/>
  <c r="H703" i="13"/>
  <c r="N702" i="13"/>
  <c r="H702" i="13"/>
  <c r="N701" i="13"/>
  <c r="H701" i="13"/>
  <c r="N700" i="13"/>
  <c r="H700" i="13"/>
  <c r="N699" i="13"/>
  <c r="H699" i="13"/>
  <c r="N698" i="13"/>
  <c r="H698" i="13"/>
  <c r="N697" i="13"/>
  <c r="H697" i="13"/>
  <c r="N696" i="13"/>
  <c r="H696" i="13"/>
  <c r="N695" i="13"/>
  <c r="H695" i="13"/>
  <c r="N694" i="13"/>
  <c r="H694" i="13"/>
  <c r="N693" i="13"/>
  <c r="H693" i="13"/>
  <c r="H692" i="13"/>
  <c r="H691" i="13"/>
  <c r="H690" i="13"/>
  <c r="H689" i="13"/>
  <c r="H688" i="13"/>
  <c r="H687" i="13"/>
  <c r="N686" i="13"/>
  <c r="H686" i="13"/>
  <c r="N685" i="13"/>
  <c r="H685" i="13"/>
  <c r="H684" i="13"/>
  <c r="N683" i="13"/>
  <c r="H683" i="13"/>
  <c r="N682" i="13"/>
  <c r="H682" i="13"/>
  <c r="N681" i="13"/>
  <c r="H681" i="13"/>
  <c r="N680" i="13"/>
  <c r="H680" i="13"/>
  <c r="H679" i="13"/>
  <c r="N678" i="13"/>
  <c r="H678" i="13"/>
  <c r="N677" i="13"/>
  <c r="H677" i="13"/>
  <c r="H676" i="13"/>
  <c r="N675" i="13"/>
  <c r="H675" i="13"/>
  <c r="N674" i="13"/>
  <c r="H674" i="13"/>
  <c r="N673" i="13"/>
  <c r="H673" i="13"/>
  <c r="H672" i="13"/>
  <c r="N671" i="13"/>
  <c r="H671" i="13"/>
  <c r="H670" i="13"/>
  <c r="H669" i="13"/>
  <c r="N668" i="13"/>
  <c r="H668" i="13"/>
  <c r="N667" i="13"/>
  <c r="H667" i="13"/>
  <c r="H666" i="13"/>
  <c r="N665" i="13"/>
  <c r="H665" i="13"/>
  <c r="N664" i="13"/>
  <c r="H664" i="13"/>
  <c r="H663" i="13"/>
  <c r="H662" i="13"/>
  <c r="N661" i="13"/>
  <c r="H661" i="13"/>
  <c r="H660" i="13"/>
  <c r="N659" i="13"/>
  <c r="H659" i="13"/>
  <c r="N658" i="13"/>
  <c r="H658" i="13"/>
  <c r="N657" i="13"/>
  <c r="H657" i="13"/>
  <c r="H656" i="13"/>
  <c r="H655" i="13"/>
  <c r="N654" i="13"/>
  <c r="H654" i="13"/>
  <c r="N653" i="13"/>
  <c r="H653" i="13"/>
  <c r="N652" i="13"/>
  <c r="H652" i="13"/>
  <c r="H651" i="13"/>
  <c r="N650" i="13"/>
  <c r="H650" i="13"/>
  <c r="N649" i="13"/>
  <c r="H649" i="13"/>
  <c r="H648" i="13"/>
  <c r="N647" i="13"/>
  <c r="H647" i="13"/>
  <c r="H646" i="13"/>
  <c r="H645" i="13"/>
  <c r="N644" i="13"/>
  <c r="H644" i="13"/>
  <c r="N643" i="13"/>
  <c r="H643" i="13"/>
  <c r="N642" i="13"/>
  <c r="H642" i="13"/>
  <c r="N641" i="13"/>
  <c r="H641" i="13"/>
  <c r="H640" i="13"/>
  <c r="H639" i="13"/>
  <c r="H638" i="13"/>
  <c r="H637" i="13"/>
  <c r="H636" i="13"/>
  <c r="H635" i="13"/>
  <c r="H634" i="13"/>
  <c r="H633" i="13"/>
  <c r="N632" i="13"/>
  <c r="H632" i="13"/>
  <c r="N631" i="13"/>
  <c r="H631" i="13"/>
  <c r="H630" i="13"/>
  <c r="H629" i="13"/>
  <c r="N628" i="13"/>
  <c r="H628" i="13"/>
  <c r="N627" i="13"/>
  <c r="H627" i="13"/>
  <c r="N626" i="13"/>
  <c r="H626" i="13"/>
  <c r="N625" i="13"/>
  <c r="H625" i="13"/>
  <c r="N624" i="13"/>
  <c r="H624" i="13"/>
  <c r="N623" i="13"/>
  <c r="H623" i="13"/>
  <c r="N622" i="13"/>
  <c r="H622" i="13"/>
  <c r="N621" i="13"/>
  <c r="H621" i="13"/>
  <c r="N620" i="13"/>
  <c r="H620" i="13"/>
  <c r="N619" i="13"/>
  <c r="H619" i="13"/>
  <c r="N618" i="13"/>
  <c r="H618" i="13"/>
  <c r="H617" i="13"/>
  <c r="N616" i="13"/>
  <c r="H616" i="13"/>
  <c r="N615" i="13"/>
  <c r="H615" i="13"/>
  <c r="N614" i="13"/>
  <c r="H614" i="13"/>
  <c r="H613" i="13"/>
  <c r="N612" i="13"/>
  <c r="H612" i="13"/>
  <c r="N611" i="13"/>
  <c r="H611" i="13"/>
  <c r="N610" i="13"/>
  <c r="H610" i="13"/>
  <c r="N609" i="13"/>
  <c r="H609" i="13"/>
  <c r="H608" i="13"/>
  <c r="N607" i="13"/>
  <c r="H607" i="13"/>
  <c r="N606" i="13"/>
  <c r="H606" i="13"/>
  <c r="H605" i="13"/>
  <c r="H604" i="13"/>
  <c r="H603" i="13"/>
  <c r="H602" i="13"/>
  <c r="H601" i="13"/>
  <c r="H600" i="13"/>
  <c r="H599" i="13"/>
  <c r="H598" i="13"/>
  <c r="N597" i="13"/>
  <c r="H597" i="13"/>
  <c r="N596" i="13"/>
  <c r="H596" i="13"/>
  <c r="N595" i="13"/>
  <c r="H595" i="13"/>
  <c r="N594" i="13"/>
  <c r="H594" i="13"/>
  <c r="N593" i="13"/>
  <c r="H593" i="13"/>
  <c r="N592" i="13"/>
  <c r="H592" i="13"/>
  <c r="N591" i="13"/>
  <c r="H591" i="13"/>
  <c r="N590" i="13"/>
  <c r="H590" i="13"/>
  <c r="N589" i="13"/>
  <c r="H589" i="13"/>
  <c r="N588" i="13"/>
  <c r="H588" i="13"/>
  <c r="N587" i="13"/>
  <c r="H587" i="13"/>
  <c r="N586" i="13"/>
  <c r="H586" i="13"/>
  <c r="N585" i="13"/>
  <c r="H585" i="13"/>
  <c r="N584" i="13"/>
  <c r="H584" i="13"/>
  <c r="N583" i="13"/>
  <c r="H583" i="13"/>
  <c r="N582" i="13"/>
  <c r="H582" i="13"/>
  <c r="N581" i="13"/>
  <c r="H581" i="13"/>
  <c r="N580" i="13"/>
  <c r="H580" i="13"/>
  <c r="N579" i="13"/>
  <c r="H579" i="13"/>
  <c r="N578" i="13"/>
  <c r="H578" i="13"/>
  <c r="H577" i="13"/>
  <c r="H576" i="13"/>
  <c r="N575" i="13"/>
  <c r="H575" i="13"/>
  <c r="H574" i="13"/>
  <c r="N573" i="13"/>
  <c r="H573" i="13"/>
  <c r="N572" i="13"/>
  <c r="H572" i="13"/>
  <c r="N571" i="13"/>
  <c r="H571" i="13"/>
  <c r="N570" i="13"/>
  <c r="H570" i="13"/>
  <c r="N569" i="13"/>
  <c r="H569" i="13"/>
  <c r="N568" i="13"/>
  <c r="H568" i="13"/>
  <c r="N567" i="13"/>
  <c r="H567" i="13"/>
  <c r="N566" i="13"/>
  <c r="H566" i="13"/>
  <c r="N565" i="13"/>
  <c r="H565" i="13"/>
  <c r="N564" i="13"/>
  <c r="H564" i="13"/>
  <c r="H563" i="13"/>
  <c r="H562" i="13"/>
  <c r="H561" i="13"/>
  <c r="H560" i="13"/>
  <c r="H559" i="13"/>
  <c r="H558" i="13"/>
  <c r="N557" i="13"/>
  <c r="H557" i="13"/>
  <c r="N556" i="13"/>
  <c r="H556" i="13"/>
  <c r="H555" i="13"/>
  <c r="N554" i="13"/>
  <c r="H554" i="13"/>
  <c r="N553" i="13"/>
  <c r="H553" i="13"/>
  <c r="N552" i="13"/>
  <c r="H552" i="13"/>
  <c r="N551" i="13"/>
  <c r="H551" i="13"/>
  <c r="H550" i="13"/>
  <c r="N549" i="13"/>
  <c r="H549" i="13"/>
  <c r="N548" i="13"/>
  <c r="H548" i="13"/>
  <c r="H547" i="13"/>
  <c r="N546" i="13"/>
  <c r="H546" i="13"/>
  <c r="N545" i="13"/>
  <c r="H545" i="13"/>
  <c r="N544" i="13"/>
  <c r="H544" i="13"/>
  <c r="H543" i="13"/>
  <c r="N542" i="13"/>
  <c r="H542" i="13"/>
  <c r="H541" i="13"/>
  <c r="H540" i="13"/>
  <c r="N539" i="13"/>
  <c r="H539" i="13"/>
  <c r="N538" i="13"/>
  <c r="H538" i="13"/>
  <c r="H537" i="13"/>
  <c r="N536" i="13"/>
  <c r="H536" i="13"/>
  <c r="N535" i="13"/>
  <c r="H535" i="13"/>
  <c r="H534" i="13"/>
  <c r="H533" i="13"/>
  <c r="N532" i="13"/>
  <c r="H532" i="13"/>
  <c r="H531" i="13"/>
  <c r="N530" i="13"/>
  <c r="H530" i="13"/>
  <c r="N529" i="13"/>
  <c r="H529" i="13"/>
  <c r="N528" i="13"/>
  <c r="H528" i="13"/>
  <c r="H527" i="13"/>
  <c r="H526" i="13"/>
  <c r="N525" i="13"/>
  <c r="H525" i="13"/>
  <c r="N524" i="13"/>
  <c r="H524" i="13"/>
  <c r="N523" i="13"/>
  <c r="H523" i="13"/>
  <c r="H522" i="13"/>
  <c r="N521" i="13"/>
  <c r="H521" i="13"/>
  <c r="N520" i="13"/>
  <c r="H520" i="13"/>
  <c r="H519" i="13"/>
  <c r="N518" i="13"/>
  <c r="H518" i="13"/>
  <c r="H517" i="13"/>
  <c r="H516" i="13"/>
  <c r="N515" i="13"/>
  <c r="H515" i="13"/>
  <c r="N514" i="13"/>
  <c r="H514" i="13"/>
  <c r="N513" i="13"/>
  <c r="H513" i="13"/>
  <c r="N512" i="13"/>
  <c r="H512" i="13"/>
  <c r="H511" i="13"/>
  <c r="H510" i="13"/>
  <c r="H509" i="13"/>
  <c r="H508" i="13"/>
  <c r="H507" i="13"/>
  <c r="H506" i="13"/>
  <c r="H505" i="13"/>
  <c r="H504" i="13"/>
  <c r="N503" i="13"/>
  <c r="H503" i="13"/>
  <c r="N502" i="13"/>
  <c r="H502" i="13"/>
  <c r="H501" i="13"/>
  <c r="H500" i="13"/>
  <c r="N499" i="13"/>
  <c r="H499" i="13"/>
  <c r="N498" i="13"/>
  <c r="H498" i="13"/>
  <c r="N497" i="13"/>
  <c r="H497" i="13"/>
  <c r="N496" i="13"/>
  <c r="H496" i="13"/>
  <c r="N495" i="13"/>
  <c r="H495" i="13"/>
  <c r="N494" i="13"/>
  <c r="H494" i="13"/>
  <c r="N493" i="13"/>
  <c r="H493" i="13"/>
  <c r="N492" i="13"/>
  <c r="H492" i="13"/>
  <c r="N491" i="13"/>
  <c r="H491" i="13"/>
  <c r="N490" i="13"/>
  <c r="H490" i="13"/>
  <c r="N489" i="13"/>
  <c r="H489" i="13"/>
  <c r="H488" i="13"/>
  <c r="N487" i="13"/>
  <c r="H487" i="13"/>
  <c r="N486" i="13"/>
  <c r="H486" i="13"/>
  <c r="N485" i="13"/>
  <c r="H485" i="13"/>
  <c r="H484" i="13"/>
  <c r="N483" i="13"/>
  <c r="H483" i="13"/>
  <c r="N482" i="13"/>
  <c r="H482" i="13"/>
  <c r="N481" i="13"/>
  <c r="H481" i="13"/>
  <c r="N480" i="13"/>
  <c r="H480" i="13"/>
  <c r="H479" i="13"/>
  <c r="N478" i="13"/>
  <c r="H478" i="13"/>
  <c r="N477" i="13"/>
  <c r="H477" i="13"/>
  <c r="H476" i="13"/>
  <c r="H475" i="13"/>
  <c r="H474" i="13"/>
  <c r="H473" i="13"/>
  <c r="H472" i="13"/>
  <c r="H471" i="13"/>
  <c r="H470" i="13"/>
  <c r="H469" i="13"/>
  <c r="N468" i="13"/>
  <c r="H468" i="13"/>
  <c r="N467" i="13"/>
  <c r="H467" i="13"/>
  <c r="N466" i="13"/>
  <c r="H466" i="13"/>
  <c r="N465" i="13"/>
  <c r="H465" i="13"/>
  <c r="N464" i="13"/>
  <c r="H464" i="13"/>
  <c r="N463" i="13"/>
  <c r="H463" i="13"/>
  <c r="N462" i="13"/>
  <c r="H462" i="13"/>
  <c r="N461" i="13"/>
  <c r="H461" i="13"/>
  <c r="N460" i="13"/>
  <c r="H460" i="13"/>
  <c r="N459" i="13"/>
  <c r="H459" i="13"/>
  <c r="N458" i="13"/>
  <c r="H458" i="13"/>
  <c r="N457" i="13"/>
  <c r="H457" i="13"/>
  <c r="N456" i="13"/>
  <c r="H456" i="13"/>
  <c r="N455" i="13"/>
  <c r="H455" i="13"/>
  <c r="N454" i="13"/>
  <c r="H454" i="13"/>
  <c r="N453" i="13"/>
  <c r="H453" i="13"/>
  <c r="N452" i="13"/>
  <c r="H452" i="13"/>
  <c r="N451" i="13"/>
  <c r="H451" i="13"/>
  <c r="N450" i="13"/>
  <c r="H450" i="13"/>
  <c r="N449" i="13"/>
  <c r="H449" i="13"/>
  <c r="H448" i="13"/>
  <c r="H447" i="13"/>
  <c r="N446" i="13"/>
  <c r="H446" i="13"/>
  <c r="H445" i="13"/>
  <c r="N444" i="13"/>
  <c r="H444" i="13"/>
  <c r="N443" i="13"/>
  <c r="H443" i="13"/>
  <c r="N442" i="13"/>
  <c r="H442" i="13"/>
  <c r="N441" i="13"/>
  <c r="H441" i="13"/>
  <c r="N440" i="13"/>
  <c r="H440" i="13"/>
  <c r="N439" i="13"/>
  <c r="H439" i="13"/>
  <c r="N438" i="13"/>
  <c r="H438" i="13"/>
  <c r="N437" i="13"/>
  <c r="H437" i="13"/>
  <c r="N436" i="13"/>
  <c r="H436" i="13"/>
  <c r="N435" i="13"/>
  <c r="H435" i="13"/>
  <c r="H434" i="13"/>
  <c r="H433" i="13"/>
  <c r="H432" i="13"/>
  <c r="H431" i="13"/>
  <c r="H430" i="13"/>
  <c r="H429" i="13"/>
  <c r="N428" i="13"/>
  <c r="H428" i="13"/>
  <c r="N427" i="13"/>
  <c r="H427" i="13"/>
  <c r="H426" i="13"/>
  <c r="N425" i="13"/>
  <c r="H425" i="13"/>
  <c r="N424" i="13"/>
  <c r="H424" i="13"/>
  <c r="N423" i="13"/>
  <c r="H423" i="13"/>
  <c r="N422" i="13"/>
  <c r="H422" i="13"/>
  <c r="H421" i="13"/>
  <c r="N420" i="13"/>
  <c r="H420" i="13"/>
  <c r="N419" i="13"/>
  <c r="H419" i="13"/>
  <c r="H418" i="13"/>
  <c r="N417" i="13"/>
  <c r="H417" i="13"/>
  <c r="N416" i="13"/>
  <c r="H416" i="13"/>
  <c r="N415" i="13"/>
  <c r="H415" i="13"/>
  <c r="H414" i="13"/>
  <c r="N413" i="13"/>
  <c r="H413" i="13"/>
  <c r="H412" i="13"/>
  <c r="H411" i="13"/>
  <c r="N410" i="13"/>
  <c r="H410" i="13"/>
  <c r="N409" i="13"/>
  <c r="H409" i="13"/>
  <c r="H408" i="13"/>
  <c r="N407" i="13"/>
  <c r="H407" i="13"/>
  <c r="N406" i="13"/>
  <c r="H406" i="13"/>
  <c r="H405" i="13"/>
  <c r="H404" i="13"/>
  <c r="N403" i="13"/>
  <c r="H403" i="13"/>
  <c r="H402" i="13"/>
  <c r="N401" i="13"/>
  <c r="H401" i="13"/>
  <c r="N400" i="13"/>
  <c r="H400" i="13"/>
  <c r="N399" i="13"/>
  <c r="H399" i="13"/>
  <c r="H398" i="13"/>
  <c r="H397" i="13"/>
  <c r="N396" i="13"/>
  <c r="H396" i="13"/>
  <c r="N395" i="13"/>
  <c r="H395" i="13"/>
  <c r="N394" i="13"/>
  <c r="H394" i="13"/>
  <c r="H393" i="13"/>
  <c r="N392" i="13"/>
  <c r="H392" i="13"/>
  <c r="N391" i="13"/>
  <c r="H391" i="13"/>
  <c r="H390" i="13"/>
  <c r="N389" i="13"/>
  <c r="H389" i="13"/>
  <c r="H388" i="13"/>
  <c r="H387" i="13"/>
  <c r="N386" i="13"/>
  <c r="H386" i="13"/>
  <c r="N385" i="13"/>
  <c r="H385" i="13"/>
  <c r="N384" i="13"/>
  <c r="H384" i="13"/>
  <c r="N383" i="13"/>
  <c r="H383" i="13"/>
  <c r="H382" i="13"/>
  <c r="H381" i="13"/>
  <c r="H380" i="13"/>
  <c r="H379" i="13"/>
  <c r="H378" i="13"/>
  <c r="H377" i="13"/>
  <c r="H376" i="13"/>
  <c r="H375" i="13"/>
  <c r="N374" i="13"/>
  <c r="H374" i="13"/>
  <c r="N373" i="13"/>
  <c r="H373" i="13"/>
  <c r="H372" i="13"/>
  <c r="H371" i="13"/>
  <c r="N370" i="13"/>
  <c r="H370" i="13"/>
  <c r="N369" i="13"/>
  <c r="H369" i="13"/>
  <c r="N368" i="13"/>
  <c r="H368" i="13"/>
  <c r="N367" i="13"/>
  <c r="H367" i="13"/>
  <c r="N366" i="13"/>
  <c r="H366" i="13"/>
  <c r="N365" i="13"/>
  <c r="H365" i="13"/>
  <c r="N364" i="13"/>
  <c r="H364" i="13"/>
  <c r="N363" i="13"/>
  <c r="H363" i="13"/>
  <c r="N362" i="13"/>
  <c r="H362" i="13"/>
  <c r="N361" i="13"/>
  <c r="H361" i="13"/>
  <c r="N360" i="13"/>
  <c r="H360" i="13"/>
  <c r="H359" i="13"/>
  <c r="N358" i="13"/>
  <c r="H358" i="13"/>
  <c r="N357" i="13"/>
  <c r="H357" i="13"/>
  <c r="N356" i="13"/>
  <c r="H356" i="13"/>
  <c r="H355" i="13"/>
  <c r="N354" i="13"/>
  <c r="H354" i="13"/>
  <c r="N353" i="13"/>
  <c r="H353" i="13"/>
  <c r="N352" i="13"/>
  <c r="H352" i="13"/>
  <c r="N351" i="13"/>
  <c r="H351" i="13"/>
  <c r="H350" i="13"/>
  <c r="N349" i="13"/>
  <c r="H349" i="13"/>
  <c r="N348" i="13"/>
  <c r="H348" i="13"/>
  <c r="H347" i="13"/>
  <c r="H346" i="13"/>
  <c r="H345" i="13"/>
  <c r="H344" i="13"/>
  <c r="H343" i="13"/>
  <c r="H342" i="13"/>
  <c r="H341" i="13"/>
  <c r="H340" i="13"/>
  <c r="N339" i="13"/>
  <c r="H339" i="13"/>
  <c r="N338" i="13"/>
  <c r="H338" i="13"/>
  <c r="N337" i="13"/>
  <c r="H337" i="13"/>
  <c r="N336" i="13"/>
  <c r="H336" i="13"/>
  <c r="N335" i="13"/>
  <c r="H335" i="13"/>
  <c r="N334" i="13"/>
  <c r="H334" i="13"/>
  <c r="N333" i="13"/>
  <c r="H333" i="13"/>
  <c r="N332" i="13"/>
  <c r="H332" i="13"/>
  <c r="N331" i="13"/>
  <c r="H331" i="13"/>
  <c r="N330" i="13"/>
  <c r="H330" i="13"/>
  <c r="N329" i="13"/>
  <c r="H329" i="13"/>
  <c r="N328" i="13"/>
  <c r="H328" i="13"/>
  <c r="N327" i="13"/>
  <c r="H327" i="13"/>
  <c r="N326" i="13"/>
  <c r="H326" i="13"/>
  <c r="N325" i="13"/>
  <c r="H325" i="13"/>
  <c r="N324" i="13"/>
  <c r="H324" i="13"/>
  <c r="N323" i="13"/>
  <c r="H323" i="13"/>
  <c r="N322" i="13"/>
  <c r="H322" i="13"/>
  <c r="N321" i="13"/>
  <c r="H321" i="13"/>
  <c r="N320" i="13"/>
  <c r="H320" i="13"/>
  <c r="H319" i="13"/>
  <c r="H318" i="13"/>
  <c r="N317" i="13"/>
  <c r="H317" i="13"/>
  <c r="H316" i="13"/>
  <c r="N315" i="13"/>
  <c r="H315" i="13"/>
  <c r="N314" i="13"/>
  <c r="H314" i="13"/>
  <c r="N313" i="13"/>
  <c r="H313" i="13"/>
  <c r="N312" i="13"/>
  <c r="H312" i="13"/>
  <c r="N311" i="13"/>
  <c r="H311" i="13"/>
  <c r="N310" i="13"/>
  <c r="H310" i="13"/>
  <c r="N309" i="13"/>
  <c r="H309" i="13"/>
  <c r="N308" i="13"/>
  <c r="H308" i="13"/>
  <c r="N307" i="13"/>
  <c r="H307" i="13"/>
  <c r="N306" i="13"/>
  <c r="H306" i="13"/>
  <c r="H305" i="13"/>
  <c r="H304" i="13"/>
  <c r="H303" i="13"/>
  <c r="H302" i="13"/>
  <c r="H301" i="13"/>
  <c r="H300" i="13"/>
  <c r="N299" i="13"/>
  <c r="H299" i="13"/>
  <c r="N298" i="13"/>
  <c r="H298" i="13"/>
  <c r="H297" i="13"/>
  <c r="N296" i="13"/>
  <c r="H296" i="13"/>
  <c r="N295" i="13"/>
  <c r="H295" i="13"/>
  <c r="N294" i="13"/>
  <c r="H294" i="13"/>
  <c r="N293" i="13"/>
  <c r="H293" i="13"/>
  <c r="H292" i="13"/>
  <c r="N291" i="13"/>
  <c r="H291" i="13"/>
  <c r="N290" i="13"/>
  <c r="H290" i="13"/>
  <c r="H289" i="13"/>
  <c r="N288" i="13"/>
  <c r="H288" i="13"/>
  <c r="N287" i="13"/>
  <c r="H287" i="13"/>
  <c r="N286" i="13"/>
  <c r="H286" i="13"/>
  <c r="H285" i="13"/>
  <c r="N284" i="13"/>
  <c r="H284" i="13"/>
  <c r="H283" i="13"/>
  <c r="H282" i="13"/>
  <c r="N281" i="13"/>
  <c r="H281" i="13"/>
  <c r="N280" i="13"/>
  <c r="H280" i="13"/>
  <c r="H279" i="13"/>
  <c r="N278" i="13"/>
  <c r="H278" i="13"/>
  <c r="N277" i="13"/>
  <c r="H277" i="13"/>
  <c r="H276" i="13"/>
  <c r="H275" i="13"/>
  <c r="N274" i="13"/>
  <c r="H274" i="13"/>
  <c r="H273" i="13"/>
  <c r="N272" i="13"/>
  <c r="H272" i="13"/>
  <c r="N271" i="13"/>
  <c r="H271" i="13"/>
  <c r="N270" i="13"/>
  <c r="H270" i="13"/>
  <c r="H269" i="13"/>
  <c r="H268" i="13"/>
  <c r="N267" i="13"/>
  <c r="H267" i="13"/>
  <c r="N266" i="13"/>
  <c r="H266" i="13"/>
  <c r="N265" i="13"/>
  <c r="H265" i="13"/>
  <c r="H264" i="13"/>
  <c r="N263" i="13"/>
  <c r="H263" i="13"/>
  <c r="N262" i="13"/>
  <c r="H262" i="13"/>
  <c r="H261" i="13"/>
  <c r="N260" i="13"/>
  <c r="H260" i="13"/>
  <c r="H259" i="13"/>
  <c r="H258" i="13"/>
  <c r="N257" i="13"/>
  <c r="H257" i="13"/>
  <c r="N256" i="13"/>
  <c r="H256" i="13"/>
  <c r="N255" i="13"/>
  <c r="H255" i="13"/>
  <c r="N254" i="13"/>
  <c r="H254" i="13"/>
  <c r="H253" i="13"/>
  <c r="H252" i="13"/>
  <c r="H251" i="13"/>
  <c r="H250" i="13"/>
  <c r="H249" i="13"/>
  <c r="H248" i="13"/>
  <c r="H247" i="13"/>
  <c r="H246" i="13"/>
  <c r="N245" i="13"/>
  <c r="H245" i="13"/>
  <c r="N244" i="13"/>
  <c r="H244" i="13"/>
  <c r="H243" i="13"/>
  <c r="H242" i="13"/>
  <c r="N241" i="13"/>
  <c r="H241" i="13"/>
  <c r="N240" i="13"/>
  <c r="H240" i="13"/>
  <c r="N239" i="13"/>
  <c r="H239" i="13"/>
  <c r="N238" i="13"/>
  <c r="H238" i="13"/>
  <c r="N237" i="13"/>
  <c r="H237" i="13"/>
  <c r="N236" i="13"/>
  <c r="H236" i="13"/>
  <c r="N235" i="13"/>
  <c r="H235" i="13"/>
  <c r="N234" i="13"/>
  <c r="H234" i="13"/>
  <c r="N233" i="13"/>
  <c r="H233" i="13"/>
  <c r="N232" i="13"/>
  <c r="H232" i="13"/>
  <c r="N231" i="13"/>
  <c r="H231" i="13"/>
  <c r="H230" i="13"/>
  <c r="N229" i="13"/>
  <c r="H229" i="13"/>
  <c r="N228" i="13"/>
  <c r="H228" i="13"/>
  <c r="N227" i="13"/>
  <c r="H227" i="13"/>
  <c r="H226" i="13"/>
  <c r="N225" i="13"/>
  <c r="H225" i="13"/>
  <c r="N224" i="13"/>
  <c r="H224" i="13"/>
  <c r="N223" i="13"/>
  <c r="H223" i="13"/>
  <c r="N222" i="13"/>
  <c r="H222" i="13"/>
  <c r="H221" i="13"/>
  <c r="N220" i="13"/>
  <c r="H220" i="13"/>
  <c r="N219" i="13"/>
  <c r="H219" i="13"/>
  <c r="H218" i="13"/>
  <c r="H217" i="13"/>
  <c r="H216" i="13"/>
  <c r="H215" i="13"/>
  <c r="H214" i="13"/>
  <c r="H213" i="13"/>
  <c r="H212" i="13"/>
  <c r="H211" i="13"/>
  <c r="N210" i="13"/>
  <c r="H210" i="13"/>
  <c r="N209" i="13"/>
  <c r="H209" i="13"/>
  <c r="N208" i="13"/>
  <c r="H208" i="13"/>
  <c r="N207" i="13"/>
  <c r="H207" i="13"/>
  <c r="N206" i="13"/>
  <c r="H206" i="13"/>
  <c r="N205" i="13"/>
  <c r="H205" i="13"/>
  <c r="N204" i="13"/>
  <c r="H204" i="13"/>
  <c r="N203" i="13"/>
  <c r="H203" i="13"/>
  <c r="N202" i="13"/>
  <c r="H202" i="13"/>
  <c r="N201" i="13"/>
  <c r="H201" i="13"/>
  <c r="N200" i="13"/>
  <c r="H200" i="13"/>
  <c r="N199" i="13"/>
  <c r="H199" i="13"/>
  <c r="N198" i="13"/>
  <c r="H198" i="13"/>
  <c r="N197" i="13"/>
  <c r="H197" i="13"/>
  <c r="N196" i="13"/>
  <c r="H196" i="13"/>
  <c r="N195" i="13"/>
  <c r="H195" i="13"/>
  <c r="N194" i="13"/>
  <c r="H194" i="13"/>
  <c r="N193" i="13"/>
  <c r="H193" i="13"/>
  <c r="N192" i="13"/>
  <c r="H192" i="13"/>
  <c r="N191" i="13"/>
  <c r="H191" i="13"/>
  <c r="H190" i="13"/>
  <c r="H189" i="13"/>
  <c r="N188" i="13"/>
  <c r="H188" i="13"/>
  <c r="H187" i="13"/>
  <c r="N186" i="13"/>
  <c r="H186" i="13"/>
  <c r="N185" i="13"/>
  <c r="H185" i="13"/>
  <c r="N184" i="13"/>
  <c r="H184" i="13"/>
  <c r="N183" i="13"/>
  <c r="H183" i="13"/>
  <c r="N182" i="13"/>
  <c r="H182" i="13"/>
  <c r="N181" i="13"/>
  <c r="H181" i="13"/>
  <c r="N180" i="13"/>
  <c r="H180" i="13"/>
  <c r="N179" i="13"/>
  <c r="H179" i="13"/>
  <c r="N178" i="13"/>
  <c r="H178" i="13"/>
  <c r="N177" i="13"/>
  <c r="H177" i="13"/>
  <c r="H176" i="13"/>
  <c r="H175" i="13"/>
  <c r="H174" i="13"/>
  <c r="H173" i="13"/>
  <c r="H172" i="13"/>
  <c r="H171" i="13"/>
  <c r="N170" i="13"/>
  <c r="H170" i="13"/>
  <c r="N169" i="13"/>
  <c r="H169" i="13"/>
  <c r="H168" i="13"/>
  <c r="N167" i="13"/>
  <c r="H167" i="13"/>
  <c r="N166" i="13"/>
  <c r="H166" i="13"/>
  <c r="N165" i="13"/>
  <c r="H165" i="13"/>
  <c r="N164" i="13"/>
  <c r="H164" i="13"/>
  <c r="H163" i="13"/>
  <c r="N162" i="13"/>
  <c r="H162" i="13"/>
  <c r="N161" i="13"/>
  <c r="H161" i="13"/>
  <c r="H160" i="13"/>
  <c r="N159" i="13"/>
  <c r="H159" i="13"/>
  <c r="N158" i="13"/>
  <c r="H158" i="13"/>
  <c r="N157" i="13"/>
  <c r="H157" i="13"/>
  <c r="H156" i="13"/>
  <c r="N155" i="13"/>
  <c r="H155" i="13"/>
  <c r="H154" i="13"/>
  <c r="H153" i="13"/>
  <c r="N152" i="13"/>
  <c r="H152" i="13"/>
  <c r="N151" i="13"/>
  <c r="H151" i="13"/>
  <c r="H150" i="13"/>
  <c r="N149" i="13"/>
  <c r="H149" i="13"/>
  <c r="N148" i="13"/>
  <c r="H148" i="13"/>
  <c r="H147" i="13"/>
  <c r="H146" i="13"/>
  <c r="N145" i="13"/>
  <c r="H145" i="13"/>
  <c r="H144" i="13"/>
  <c r="N143" i="13"/>
  <c r="H143" i="13"/>
  <c r="N142" i="13"/>
  <c r="H142" i="13"/>
  <c r="N141" i="13"/>
  <c r="H141" i="13"/>
  <c r="H140" i="13"/>
  <c r="H139" i="13"/>
  <c r="N138" i="13"/>
  <c r="H138" i="13"/>
  <c r="N137" i="13"/>
  <c r="H137" i="13"/>
  <c r="N136" i="13"/>
  <c r="H136" i="13"/>
  <c r="H135" i="13"/>
  <c r="N134" i="13"/>
  <c r="H134" i="13"/>
  <c r="N133" i="13"/>
  <c r="H133" i="13"/>
  <c r="H132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N4" i="13"/>
  <c r="N5" i="13"/>
  <c r="N7" i="13"/>
  <c r="N8" i="13"/>
  <c r="N9" i="13"/>
  <c r="N12" i="13"/>
  <c r="N13" i="13"/>
  <c r="N14" i="13"/>
  <c r="N16" i="13"/>
  <c r="N19" i="13"/>
  <c r="N20" i="13"/>
  <c r="N22" i="13"/>
  <c r="N23" i="13"/>
  <c r="N26" i="13"/>
  <c r="N28" i="13"/>
  <c r="N29" i="13"/>
  <c r="N30" i="13"/>
  <c r="N32" i="13"/>
  <c r="N33" i="13"/>
  <c r="N35" i="13"/>
  <c r="N36" i="13"/>
  <c r="N37" i="13"/>
  <c r="N38" i="13"/>
  <c r="N40" i="13"/>
  <c r="N41" i="13"/>
  <c r="N48" i="13"/>
  <c r="N49" i="13"/>
  <c r="N50" i="13"/>
  <c r="N51" i="13"/>
  <c r="N52" i="13"/>
  <c r="N53" i="13"/>
  <c r="N54" i="13"/>
  <c r="N55" i="13"/>
  <c r="N56" i="13"/>
  <c r="N57" i="13"/>
  <c r="N59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90" i="13"/>
  <c r="N91" i="13"/>
  <c r="N93" i="13"/>
  <c r="N94" i="13"/>
  <c r="N95" i="13"/>
  <c r="N96" i="13"/>
  <c r="N98" i="13"/>
  <c r="N99" i="13"/>
  <c r="N100" i="13"/>
  <c r="N102" i="13"/>
  <c r="N103" i="13"/>
  <c r="N104" i="13"/>
  <c r="N105" i="13"/>
  <c r="N106" i="13"/>
  <c r="N107" i="13"/>
  <c r="N108" i="13"/>
  <c r="N109" i="13"/>
  <c r="N110" i="13"/>
  <c r="N111" i="13"/>
  <c r="N112" i="13"/>
  <c r="N115" i="13"/>
  <c r="N116" i="13"/>
  <c r="N125" i="13"/>
  <c r="N126" i="13"/>
  <c r="N127" i="13"/>
  <c r="N128" i="13"/>
  <c r="N131" i="13"/>
  <c r="H3" i="13"/>
  <c r="FO5" i="8"/>
  <c r="FO6" i="8"/>
  <c r="FO7" i="8"/>
  <c r="FO8" i="8"/>
  <c r="FO9" i="8"/>
  <c r="FO10" i="8"/>
  <c r="FO11" i="8"/>
  <c r="FO12" i="8"/>
  <c r="FO13" i="8"/>
  <c r="FO14" i="8"/>
  <c r="FO15" i="8"/>
  <c r="FO16" i="8"/>
  <c r="FO17" i="8"/>
  <c r="FO18" i="8"/>
  <c r="FO19" i="8"/>
  <c r="FO20" i="8"/>
  <c r="FO4" i="8"/>
  <c r="G29" i="12"/>
  <c r="G28" i="12"/>
  <c r="C2" i="12"/>
  <c r="C1" i="12"/>
  <c r="A32" i="4" l="1"/>
  <c r="J144" i="22"/>
  <c r="J150" i="22"/>
  <c r="J162" i="22"/>
  <c r="J174" i="22"/>
  <c r="J37" i="7"/>
  <c r="J36" i="7"/>
  <c r="J25" i="7"/>
  <c r="J24" i="7"/>
  <c r="J13" i="7"/>
  <c r="J12" i="7"/>
  <c r="J39" i="7"/>
  <c r="J27" i="7"/>
  <c r="J15" i="7"/>
  <c r="J40" i="7"/>
  <c r="J28" i="7"/>
  <c r="J16" i="7"/>
  <c r="J4" i="7"/>
  <c r="J38" i="7"/>
  <c r="J26" i="7"/>
  <c r="J14" i="7"/>
  <c r="J52" i="22"/>
  <c r="J53" i="22"/>
  <c r="J58" i="22"/>
  <c r="J63" i="22"/>
  <c r="J64" i="22"/>
  <c r="J70" i="22"/>
  <c r="J75" i="22"/>
  <c r="J76" i="22"/>
  <c r="J77" i="22"/>
  <c r="J82" i="22"/>
  <c r="J87" i="22"/>
  <c r="J88" i="22"/>
  <c r="J48" i="7"/>
  <c r="J92" i="7"/>
  <c r="J90" i="7"/>
  <c r="J83" i="7"/>
  <c r="J82" i="7"/>
  <c r="J81" i="7"/>
  <c r="J80" i="7"/>
  <c r="J78" i="7"/>
  <c r="J71" i="7"/>
  <c r="J70" i="7"/>
  <c r="J69" i="7"/>
  <c r="J68" i="7"/>
  <c r="J66" i="7"/>
  <c r="J59" i="7"/>
  <c r="J58" i="7"/>
  <c r="J57" i="7"/>
  <c r="J56" i="7"/>
  <c r="J54" i="7"/>
  <c r="E80" i="7"/>
  <c r="E68" i="7"/>
  <c r="E56" i="7"/>
  <c r="E87" i="7"/>
  <c r="E75" i="7"/>
  <c r="E63" i="7"/>
  <c r="E51" i="7"/>
  <c r="E86" i="7"/>
  <c r="E62" i="7"/>
  <c r="E74" i="7"/>
  <c r="E50" i="7"/>
  <c r="E85" i="7"/>
  <c r="E73" i="7"/>
  <c r="E61" i="7"/>
  <c r="E49" i="7"/>
  <c r="J7" i="22"/>
  <c r="J12" i="22"/>
  <c r="J19" i="22"/>
  <c r="J36" i="22"/>
  <c r="J43" i="22"/>
  <c r="E92" i="7"/>
  <c r="E48" i="7"/>
  <c r="E84" i="7"/>
  <c r="E72" i="7"/>
  <c r="E60" i="7"/>
  <c r="J178" i="7"/>
  <c r="J166" i="7"/>
  <c r="J154" i="7"/>
  <c r="J142" i="7"/>
  <c r="J54" i="22"/>
  <c r="J66" i="22"/>
  <c r="J78" i="22"/>
  <c r="J90" i="22"/>
  <c r="E83" i="7"/>
  <c r="E71" i="7"/>
  <c r="E59" i="7"/>
  <c r="J91" i="7"/>
  <c r="J79" i="7"/>
  <c r="J67" i="7"/>
  <c r="J55" i="7"/>
  <c r="J177" i="7"/>
  <c r="J165" i="7"/>
  <c r="J153" i="7"/>
  <c r="J141" i="7"/>
  <c r="J79" i="22"/>
  <c r="J47" i="7"/>
  <c r="J23" i="7"/>
  <c r="E69" i="7"/>
  <c r="E57" i="7"/>
  <c r="J89" i="7"/>
  <c r="J53" i="7"/>
  <c r="J45" i="7"/>
  <c r="J76" i="7"/>
  <c r="J87" i="7"/>
  <c r="J75" i="7"/>
  <c r="E90" i="7"/>
  <c r="E54" i="7"/>
  <c r="J43" i="7"/>
  <c r="J31" i="7"/>
  <c r="J19" i="7"/>
  <c r="J7" i="7"/>
  <c r="J86" i="7"/>
  <c r="J74" i="7"/>
  <c r="J62" i="7"/>
  <c r="J50" i="7"/>
  <c r="J184" i="7"/>
  <c r="J172" i="7"/>
  <c r="J160" i="7"/>
  <c r="J148" i="7"/>
  <c r="J72" i="22"/>
  <c r="J140" i="22"/>
  <c r="J152" i="22"/>
  <c r="J164" i="22"/>
  <c r="J4" i="22"/>
  <c r="E70" i="7"/>
  <c r="E58" i="7"/>
  <c r="J34" i="7"/>
  <c r="J22" i="7"/>
  <c r="J65" i="7"/>
  <c r="J33" i="7"/>
  <c r="J9" i="7"/>
  <c r="J64" i="7"/>
  <c r="J32" i="7"/>
  <c r="J63" i="7"/>
  <c r="J71" i="22"/>
  <c r="E65" i="7"/>
  <c r="E53" i="7"/>
  <c r="J6" i="7"/>
  <c r="J171" i="7"/>
  <c r="J73" i="22"/>
  <c r="J177" i="22"/>
  <c r="J5" i="22"/>
  <c r="J17" i="22"/>
  <c r="J29" i="22"/>
  <c r="J41" i="22"/>
  <c r="E82" i="7"/>
  <c r="J35" i="7"/>
  <c r="J11" i="7"/>
  <c r="E81" i="7"/>
  <c r="J46" i="7"/>
  <c r="J10" i="7"/>
  <c r="J77" i="7"/>
  <c r="J21" i="7"/>
  <c r="J88" i="7"/>
  <c r="J52" i="7"/>
  <c r="E91" i="7"/>
  <c r="E79" i="7"/>
  <c r="E67" i="7"/>
  <c r="E55" i="7"/>
  <c r="J44" i="7"/>
  <c r="J20" i="7"/>
  <c r="J8" i="7"/>
  <c r="J51" i="7"/>
  <c r="J140" i="7"/>
  <c r="J173" i="7"/>
  <c r="J161" i="7"/>
  <c r="J149" i="7"/>
  <c r="J59" i="22"/>
  <c r="J83" i="22"/>
  <c r="J48" i="22"/>
  <c r="E78" i="7"/>
  <c r="E66" i="7"/>
  <c r="E89" i="7"/>
  <c r="E77" i="7"/>
  <c r="J42" i="7"/>
  <c r="J30" i="7"/>
  <c r="J18" i="7"/>
  <c r="J85" i="7"/>
  <c r="J73" i="7"/>
  <c r="J61" i="7"/>
  <c r="J49" i="7"/>
  <c r="E88" i="7"/>
  <c r="E76" i="7"/>
  <c r="E64" i="7"/>
  <c r="E52" i="7"/>
  <c r="J41" i="7"/>
  <c r="J29" i="7"/>
  <c r="J17" i="7"/>
  <c r="J5" i="7"/>
  <c r="J84" i="7"/>
  <c r="J72" i="7"/>
  <c r="J60" i="7"/>
  <c r="J142" i="22"/>
  <c r="J154" i="22"/>
  <c r="J166" i="22"/>
  <c r="J6" i="22"/>
  <c r="J18" i="22"/>
  <c r="J30" i="22"/>
  <c r="J3" i="22"/>
  <c r="J148" i="22"/>
  <c r="J160" i="22"/>
  <c r="J172" i="22"/>
  <c r="J184" i="22"/>
  <c r="J176" i="22"/>
  <c r="J178" i="22"/>
  <c r="J67" i="22"/>
  <c r="J91" i="22"/>
  <c r="J84" i="22"/>
  <c r="J60" i="22"/>
  <c r="J49" i="22"/>
  <c r="J85" i="22"/>
  <c r="J50" i="22"/>
  <c r="J62" i="22"/>
  <c r="J74" i="22"/>
  <c r="J86" i="22"/>
  <c r="J68" i="22"/>
  <c r="J80" i="22"/>
  <c r="J92" i="22"/>
  <c r="J69" i="22"/>
  <c r="J20" i="22"/>
  <c r="J9" i="22"/>
  <c r="J10" i="22"/>
  <c r="J22" i="22"/>
  <c r="J34" i="22"/>
  <c r="J46" i="22"/>
  <c r="J21" i="22"/>
  <c r="J45" i="22"/>
  <c r="J11" i="22"/>
  <c r="J35" i="22"/>
  <c r="J47" i="22"/>
  <c r="J8" i="22"/>
  <c r="J16" i="22"/>
  <c r="J40" i="22"/>
  <c r="J32" i="22"/>
  <c r="J25" i="22"/>
  <c r="J38" i="22"/>
  <c r="J15" i="22"/>
  <c r="J14" i="22"/>
  <c r="J27" i="22"/>
  <c r="J37" i="22"/>
  <c r="J13" i="22"/>
  <c r="J26" i="22"/>
  <c r="J39" i="22"/>
  <c r="E8" i="22"/>
  <c r="E14" i="22"/>
  <c r="E17" i="22"/>
  <c r="E35" i="22"/>
  <c r="E50" i="22"/>
  <c r="E56" i="22"/>
  <c r="E59" i="22"/>
  <c r="E68" i="22"/>
  <c r="E74" i="22"/>
  <c r="E83" i="22"/>
  <c r="E92" i="22"/>
  <c r="E142" i="22"/>
  <c r="E145" i="22"/>
  <c r="E151" i="22"/>
  <c r="E157" i="22"/>
  <c r="E163" i="22"/>
  <c r="E169" i="22"/>
  <c r="E175" i="22"/>
  <c r="E181" i="22"/>
  <c r="E5" i="22"/>
  <c r="E11" i="22"/>
  <c r="E20" i="22"/>
  <c r="E26" i="22"/>
  <c r="E32" i="22"/>
  <c r="E44" i="22"/>
  <c r="E3" i="22"/>
  <c r="E9" i="22"/>
  <c r="E15" i="22"/>
  <c r="E24" i="22"/>
  <c r="E30" i="22"/>
  <c r="E36" i="22"/>
  <c r="E48" i="22"/>
  <c r="E54" i="22"/>
  <c r="E57" i="22"/>
  <c r="E60" i="22"/>
  <c r="E66" i="22"/>
  <c r="E72" i="22"/>
  <c r="E81" i="22"/>
  <c r="E90" i="22"/>
  <c r="E140" i="22"/>
  <c r="E143" i="22"/>
  <c r="E155" i="22"/>
  <c r="E167" i="22"/>
  <c r="E179" i="22"/>
  <c r="E4" i="22"/>
  <c r="E10" i="22"/>
  <c r="E16" i="22"/>
  <c r="E22" i="22"/>
  <c r="E28" i="22"/>
  <c r="E31" i="22"/>
  <c r="E46" i="22"/>
  <c r="E52" i="22"/>
  <c r="E55" i="22"/>
  <c r="E76" i="22"/>
  <c r="E79" i="22"/>
  <c r="E82" i="22"/>
  <c r="E88" i="22"/>
  <c r="E141" i="22"/>
  <c r="E144" i="22"/>
  <c r="E147" i="22"/>
  <c r="E153" i="22"/>
  <c r="E156" i="22"/>
  <c r="E159" i="22"/>
  <c r="E165" i="22"/>
  <c r="E168" i="22"/>
  <c r="E171" i="22"/>
  <c r="E177" i="22"/>
  <c r="E180" i="22"/>
  <c r="E183" i="22"/>
  <c r="J24" i="22"/>
  <c r="J42" i="22"/>
  <c r="J51" i="22"/>
  <c r="E7" i="22"/>
  <c r="E13" i="22"/>
  <c r="E34" i="22"/>
  <c r="E58" i="22"/>
  <c r="E70" i="22"/>
  <c r="J182" i="22"/>
  <c r="J28" i="22"/>
  <c r="J61" i="22"/>
  <c r="E80" i="22"/>
  <c r="J146" i="22"/>
  <c r="J158" i="22"/>
  <c r="J170" i="22"/>
  <c r="J23" i="22"/>
  <c r="J56" i="22"/>
  <c r="J89" i="22"/>
  <c r="E6" i="22"/>
  <c r="E12" i="22"/>
  <c r="E18" i="22"/>
  <c r="E33" i="22"/>
  <c r="E42" i="22"/>
  <c r="E78" i="22"/>
  <c r="E84" i="22"/>
  <c r="J153" i="22"/>
  <c r="J165" i="22"/>
  <c r="J65" i="22"/>
  <c r="E40" i="22"/>
  <c r="E62" i="22"/>
  <c r="E64" i="22"/>
  <c r="E86" i="22"/>
  <c r="E53" i="22"/>
  <c r="J31" i="22"/>
  <c r="J180" i="22"/>
  <c r="E21" i="22"/>
  <c r="E29" i="22"/>
  <c r="J81" i="22"/>
  <c r="E161" i="22"/>
  <c r="E25" i="22"/>
  <c r="E38" i="22"/>
  <c r="J168" i="22"/>
  <c r="E23" i="22"/>
  <c r="E149" i="22"/>
  <c r="E19" i="22"/>
  <c r="E27" i="22"/>
  <c r="J57" i="22"/>
  <c r="E173" i="22"/>
  <c r="J33" i="22"/>
  <c r="E77" i="22"/>
  <c r="J44" i="22"/>
  <c r="J55" i="22"/>
  <c r="J156" i="22"/>
  <c r="E154" i="22"/>
  <c r="E166" i="22"/>
  <c r="J175" i="22"/>
  <c r="J149" i="22"/>
  <c r="E152" i="22"/>
  <c r="E43" i="22"/>
  <c r="E150" i="22"/>
  <c r="E41" i="22"/>
  <c r="E65" i="22"/>
  <c r="E89" i="22"/>
  <c r="J151" i="22"/>
  <c r="J163" i="22"/>
  <c r="E178" i="22"/>
  <c r="E73" i="22"/>
  <c r="J161" i="22"/>
  <c r="J159" i="22"/>
  <c r="E174" i="22"/>
  <c r="E39" i="22"/>
  <c r="E63" i="22"/>
  <c r="E87" i="22"/>
  <c r="J145" i="22"/>
  <c r="E148" i="22"/>
  <c r="J157" i="22"/>
  <c r="E160" i="22"/>
  <c r="J169" i="22"/>
  <c r="E172" i="22"/>
  <c r="J181" i="22"/>
  <c r="E184" i="22"/>
  <c r="E51" i="22"/>
  <c r="E47" i="22"/>
  <c r="E71" i="22"/>
  <c r="E164" i="22"/>
  <c r="J173" i="22"/>
  <c r="E69" i="22"/>
  <c r="E91" i="22"/>
  <c r="J147" i="22"/>
  <c r="J171" i="22"/>
  <c r="J183" i="22"/>
  <c r="E37" i="22"/>
  <c r="E61" i="22"/>
  <c r="E85" i="22"/>
  <c r="J143" i="22"/>
  <c r="E75" i="22"/>
  <c r="E162" i="22"/>
  <c r="J141" i="22"/>
  <c r="E146" i="22"/>
  <c r="J155" i="22"/>
  <c r="E158" i="22"/>
  <c r="J167" i="22"/>
  <c r="E170" i="22"/>
  <c r="J179" i="22"/>
  <c r="E182" i="22"/>
  <c r="E49" i="22"/>
  <c r="E176" i="22"/>
  <c r="E45" i="22"/>
  <c r="E67" i="22"/>
  <c r="J180" i="7"/>
  <c r="J144" i="7"/>
  <c r="J176" i="7"/>
  <c r="J164" i="7"/>
  <c r="J152" i="7"/>
  <c r="J175" i="7"/>
  <c r="J163" i="7"/>
  <c r="J151" i="7"/>
  <c r="J174" i="7"/>
  <c r="J150" i="7"/>
  <c r="J182" i="7"/>
  <c r="J170" i="7"/>
  <c r="J158" i="7"/>
  <c r="J146" i="7"/>
  <c r="J162" i="7"/>
  <c r="J183" i="7"/>
  <c r="J159" i="7"/>
  <c r="J147" i="7"/>
  <c r="J181" i="7"/>
  <c r="J169" i="7"/>
  <c r="J157" i="7"/>
  <c r="J145" i="7"/>
  <c r="J156" i="7"/>
  <c r="E93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A50" i="3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1" i="12"/>
  <c r="B2" i="12"/>
  <c r="CV98" i="8"/>
  <c r="CU98" i="8"/>
  <c r="CT98" i="8"/>
  <c r="CS98" i="8"/>
  <c r="CR98" i="8"/>
  <c r="CQ98" i="8"/>
  <c r="CP98" i="8"/>
  <c r="CO98" i="8"/>
  <c r="CN98" i="8"/>
  <c r="CM98" i="8"/>
  <c r="CL98" i="8"/>
  <c r="CK98" i="8"/>
  <c r="CJ98" i="8"/>
  <c r="CI98" i="8"/>
  <c r="CH98" i="8"/>
  <c r="CG98" i="8"/>
  <c r="CF98" i="8"/>
  <c r="CE98" i="8"/>
  <c r="CV97" i="8"/>
  <c r="CU97" i="8"/>
  <c r="CT97" i="8"/>
  <c r="CS97" i="8"/>
  <c r="CR97" i="8"/>
  <c r="CQ97" i="8"/>
  <c r="CP97" i="8"/>
  <c r="CO97" i="8"/>
  <c r="CN97" i="8"/>
  <c r="CM97" i="8"/>
  <c r="CL97" i="8"/>
  <c r="CK97" i="8"/>
  <c r="CJ97" i="8"/>
  <c r="CI97" i="8"/>
  <c r="CH97" i="8"/>
  <c r="CG97" i="8"/>
  <c r="CF97" i="8"/>
  <c r="CE97" i="8"/>
  <c r="CV96" i="8"/>
  <c r="CU96" i="8"/>
  <c r="CT96" i="8"/>
  <c r="CS96" i="8"/>
  <c r="CR96" i="8"/>
  <c r="CQ96" i="8"/>
  <c r="CP96" i="8"/>
  <c r="CO96" i="8"/>
  <c r="CN96" i="8"/>
  <c r="CM96" i="8"/>
  <c r="CL96" i="8"/>
  <c r="CK96" i="8"/>
  <c r="CJ96" i="8"/>
  <c r="CI96" i="8"/>
  <c r="CH96" i="8"/>
  <c r="CG96" i="8"/>
  <c r="CF96" i="8"/>
  <c r="CE96" i="8"/>
  <c r="CV95" i="8"/>
  <c r="CU95" i="8"/>
  <c r="CT95" i="8"/>
  <c r="CS95" i="8"/>
  <c r="CR95" i="8"/>
  <c r="CQ95" i="8"/>
  <c r="CP95" i="8"/>
  <c r="CO95" i="8"/>
  <c r="CN95" i="8"/>
  <c r="CM95" i="8"/>
  <c r="CL95" i="8"/>
  <c r="CK95" i="8"/>
  <c r="CJ95" i="8"/>
  <c r="CI95" i="8"/>
  <c r="CH95" i="8"/>
  <c r="CG95" i="8"/>
  <c r="CF95" i="8"/>
  <c r="CE95" i="8"/>
  <c r="CV94" i="8"/>
  <c r="CU94" i="8"/>
  <c r="CT94" i="8"/>
  <c r="CS94" i="8"/>
  <c r="CR94" i="8"/>
  <c r="CQ94" i="8"/>
  <c r="CP94" i="8"/>
  <c r="CO94" i="8"/>
  <c r="CN94" i="8"/>
  <c r="CM94" i="8"/>
  <c r="CL94" i="8"/>
  <c r="CK94" i="8"/>
  <c r="CJ94" i="8"/>
  <c r="CI94" i="8"/>
  <c r="CH94" i="8"/>
  <c r="CG94" i="8"/>
  <c r="CF94" i="8"/>
  <c r="CE94" i="8"/>
  <c r="CV93" i="8"/>
  <c r="CU93" i="8"/>
  <c r="CT93" i="8"/>
  <c r="CS93" i="8"/>
  <c r="CR93" i="8"/>
  <c r="CQ93" i="8"/>
  <c r="CP93" i="8"/>
  <c r="CO93" i="8"/>
  <c r="CN93" i="8"/>
  <c r="CM93" i="8"/>
  <c r="CL93" i="8"/>
  <c r="CK93" i="8"/>
  <c r="CJ93" i="8"/>
  <c r="CI93" i="8"/>
  <c r="CH93" i="8"/>
  <c r="CG93" i="8"/>
  <c r="CF93" i="8"/>
  <c r="CE93" i="8"/>
  <c r="CV92" i="8"/>
  <c r="CU92" i="8"/>
  <c r="CT92" i="8"/>
  <c r="CS92" i="8"/>
  <c r="CR92" i="8"/>
  <c r="CQ92" i="8"/>
  <c r="CP92" i="8"/>
  <c r="CO92" i="8"/>
  <c r="CN92" i="8"/>
  <c r="CM92" i="8"/>
  <c r="CL92" i="8"/>
  <c r="CK92" i="8"/>
  <c r="CJ92" i="8"/>
  <c r="CI92" i="8"/>
  <c r="CH92" i="8"/>
  <c r="CG92" i="8"/>
  <c r="CF92" i="8"/>
  <c r="CE92" i="8"/>
  <c r="CV91" i="8"/>
  <c r="CU91" i="8"/>
  <c r="CT91" i="8"/>
  <c r="CS91" i="8"/>
  <c r="CR91" i="8"/>
  <c r="CQ91" i="8"/>
  <c r="CP91" i="8"/>
  <c r="CO91" i="8"/>
  <c r="CN91" i="8"/>
  <c r="CM91" i="8"/>
  <c r="CL91" i="8"/>
  <c r="CK91" i="8"/>
  <c r="CJ91" i="8"/>
  <c r="CI91" i="8"/>
  <c r="CH91" i="8"/>
  <c r="CG91" i="8"/>
  <c r="CF91" i="8"/>
  <c r="CE91" i="8"/>
  <c r="CV90" i="8"/>
  <c r="CU90" i="8"/>
  <c r="CT90" i="8"/>
  <c r="CS90" i="8"/>
  <c r="CR90" i="8"/>
  <c r="CQ90" i="8"/>
  <c r="CP90" i="8"/>
  <c r="CO90" i="8"/>
  <c r="CN90" i="8"/>
  <c r="CM90" i="8"/>
  <c r="CL90" i="8"/>
  <c r="CK90" i="8"/>
  <c r="CJ90" i="8"/>
  <c r="CI90" i="8"/>
  <c r="CH90" i="8"/>
  <c r="CG90" i="8"/>
  <c r="CF90" i="8"/>
  <c r="CE90" i="8"/>
  <c r="CV89" i="8"/>
  <c r="CU89" i="8"/>
  <c r="CT89" i="8"/>
  <c r="CS89" i="8"/>
  <c r="CR89" i="8"/>
  <c r="CQ89" i="8"/>
  <c r="CP89" i="8"/>
  <c r="CO89" i="8"/>
  <c r="CN89" i="8"/>
  <c r="CM89" i="8"/>
  <c r="CL89" i="8"/>
  <c r="CK89" i="8"/>
  <c r="CJ89" i="8"/>
  <c r="CI89" i="8"/>
  <c r="CH89" i="8"/>
  <c r="CG89" i="8"/>
  <c r="CF89" i="8"/>
  <c r="CE89" i="8"/>
  <c r="CV88" i="8"/>
  <c r="CU88" i="8"/>
  <c r="CT88" i="8"/>
  <c r="CS88" i="8"/>
  <c r="CR88" i="8"/>
  <c r="CQ88" i="8"/>
  <c r="CP88" i="8"/>
  <c r="CO88" i="8"/>
  <c r="CN88" i="8"/>
  <c r="CM88" i="8"/>
  <c r="CL88" i="8"/>
  <c r="CK88" i="8"/>
  <c r="CJ88" i="8"/>
  <c r="CI88" i="8"/>
  <c r="CH88" i="8"/>
  <c r="CG88" i="8"/>
  <c r="CF88" i="8"/>
  <c r="CE88" i="8"/>
  <c r="CV87" i="8"/>
  <c r="CU87" i="8"/>
  <c r="CT87" i="8"/>
  <c r="CS87" i="8"/>
  <c r="CR87" i="8"/>
  <c r="CQ87" i="8"/>
  <c r="CP87" i="8"/>
  <c r="CO87" i="8"/>
  <c r="CN87" i="8"/>
  <c r="CM87" i="8"/>
  <c r="CL87" i="8"/>
  <c r="CK87" i="8"/>
  <c r="CJ87" i="8"/>
  <c r="CI87" i="8"/>
  <c r="CH87" i="8"/>
  <c r="CG87" i="8"/>
  <c r="CF87" i="8"/>
  <c r="CE87" i="8"/>
  <c r="CV86" i="8"/>
  <c r="CU86" i="8"/>
  <c r="CT86" i="8"/>
  <c r="CS86" i="8"/>
  <c r="CR86" i="8"/>
  <c r="CQ86" i="8"/>
  <c r="CP86" i="8"/>
  <c r="CO86" i="8"/>
  <c r="CN86" i="8"/>
  <c r="CM86" i="8"/>
  <c r="CL86" i="8"/>
  <c r="CK86" i="8"/>
  <c r="CJ86" i="8"/>
  <c r="CI86" i="8"/>
  <c r="CH86" i="8"/>
  <c r="CG86" i="8"/>
  <c r="CF86" i="8"/>
  <c r="CE86" i="8"/>
  <c r="CV85" i="8"/>
  <c r="CU85" i="8"/>
  <c r="CT85" i="8"/>
  <c r="CS85" i="8"/>
  <c r="CR85" i="8"/>
  <c r="CQ85" i="8"/>
  <c r="CP85" i="8"/>
  <c r="CO85" i="8"/>
  <c r="CN85" i="8"/>
  <c r="CM85" i="8"/>
  <c r="CL85" i="8"/>
  <c r="CK85" i="8"/>
  <c r="CJ85" i="8"/>
  <c r="CI85" i="8"/>
  <c r="CH85" i="8"/>
  <c r="CG85" i="8"/>
  <c r="CF85" i="8"/>
  <c r="CE85" i="8"/>
  <c r="CV84" i="8"/>
  <c r="CU84" i="8"/>
  <c r="CT84" i="8"/>
  <c r="CS84" i="8"/>
  <c r="CR84" i="8"/>
  <c r="CQ84" i="8"/>
  <c r="CP84" i="8"/>
  <c r="CO84" i="8"/>
  <c r="CN84" i="8"/>
  <c r="CM84" i="8"/>
  <c r="CL84" i="8"/>
  <c r="CK84" i="8"/>
  <c r="CJ84" i="8"/>
  <c r="CI84" i="8"/>
  <c r="CH84" i="8"/>
  <c r="CG84" i="8"/>
  <c r="CF84" i="8"/>
  <c r="CE84" i="8"/>
  <c r="CV83" i="8"/>
  <c r="CU83" i="8"/>
  <c r="CT83" i="8"/>
  <c r="CS83" i="8"/>
  <c r="CR83" i="8"/>
  <c r="CQ83" i="8"/>
  <c r="CP83" i="8"/>
  <c r="CO83" i="8"/>
  <c r="CN83" i="8"/>
  <c r="CM83" i="8"/>
  <c r="CL83" i="8"/>
  <c r="CK83" i="8"/>
  <c r="CJ83" i="8"/>
  <c r="CI83" i="8"/>
  <c r="CH83" i="8"/>
  <c r="CG83" i="8"/>
  <c r="CF83" i="8"/>
  <c r="CE83" i="8"/>
  <c r="CV82" i="8"/>
  <c r="CU82" i="8"/>
  <c r="CT82" i="8"/>
  <c r="CS82" i="8"/>
  <c r="CR82" i="8"/>
  <c r="CQ82" i="8"/>
  <c r="CP82" i="8"/>
  <c r="CO82" i="8"/>
  <c r="CN82" i="8"/>
  <c r="CM82" i="8"/>
  <c r="CL82" i="8"/>
  <c r="CK82" i="8"/>
  <c r="CJ82" i="8"/>
  <c r="CI82" i="8"/>
  <c r="CH82" i="8"/>
  <c r="CG82" i="8"/>
  <c r="CF82" i="8"/>
  <c r="CE82" i="8"/>
  <c r="CV81" i="8"/>
  <c r="CU81" i="8"/>
  <c r="CT81" i="8"/>
  <c r="CS81" i="8"/>
  <c r="CR81" i="8"/>
  <c r="CQ81" i="8"/>
  <c r="CP81" i="8"/>
  <c r="CO81" i="8"/>
  <c r="CN81" i="8"/>
  <c r="CM81" i="8"/>
  <c r="CL81" i="8"/>
  <c r="CK81" i="8"/>
  <c r="CJ81" i="8"/>
  <c r="CI81" i="8"/>
  <c r="CH81" i="8"/>
  <c r="CG81" i="8"/>
  <c r="CF81" i="8"/>
  <c r="CE81" i="8"/>
  <c r="CV80" i="8"/>
  <c r="CU80" i="8"/>
  <c r="CT80" i="8"/>
  <c r="CS80" i="8"/>
  <c r="CR80" i="8"/>
  <c r="CQ80" i="8"/>
  <c r="CP80" i="8"/>
  <c r="CO80" i="8"/>
  <c r="CN80" i="8"/>
  <c r="CM80" i="8"/>
  <c r="CL80" i="8"/>
  <c r="CK80" i="8"/>
  <c r="CJ80" i="8"/>
  <c r="CI80" i="8"/>
  <c r="CH80" i="8"/>
  <c r="CG80" i="8"/>
  <c r="CF80" i="8"/>
  <c r="CE80" i="8"/>
  <c r="CV79" i="8"/>
  <c r="CU79" i="8"/>
  <c r="CT79" i="8"/>
  <c r="CS79" i="8"/>
  <c r="CR79" i="8"/>
  <c r="CQ79" i="8"/>
  <c r="CP79" i="8"/>
  <c r="CO79" i="8"/>
  <c r="CN79" i="8"/>
  <c r="CM79" i="8"/>
  <c r="CL79" i="8"/>
  <c r="CK79" i="8"/>
  <c r="CJ79" i="8"/>
  <c r="CI79" i="8"/>
  <c r="CH79" i="8"/>
  <c r="CG79" i="8"/>
  <c r="CF79" i="8"/>
  <c r="CE79" i="8"/>
  <c r="CV78" i="8"/>
  <c r="CU78" i="8"/>
  <c r="CT78" i="8"/>
  <c r="CS78" i="8"/>
  <c r="CR78" i="8"/>
  <c r="CQ78" i="8"/>
  <c r="CP78" i="8"/>
  <c r="CO78" i="8"/>
  <c r="CN78" i="8"/>
  <c r="CM78" i="8"/>
  <c r="CL78" i="8"/>
  <c r="CK78" i="8"/>
  <c r="CJ78" i="8"/>
  <c r="CI78" i="8"/>
  <c r="CH78" i="8"/>
  <c r="CG78" i="8"/>
  <c r="CF78" i="8"/>
  <c r="CE78" i="8"/>
  <c r="CV77" i="8"/>
  <c r="CU77" i="8"/>
  <c r="CT77" i="8"/>
  <c r="CS77" i="8"/>
  <c r="CR77" i="8"/>
  <c r="CQ77" i="8"/>
  <c r="CP77" i="8"/>
  <c r="CO77" i="8"/>
  <c r="CN77" i="8"/>
  <c r="CM77" i="8"/>
  <c r="CL77" i="8"/>
  <c r="CK77" i="8"/>
  <c r="CJ77" i="8"/>
  <c r="CI77" i="8"/>
  <c r="CH77" i="8"/>
  <c r="CG77" i="8"/>
  <c r="CF77" i="8"/>
  <c r="CE77" i="8"/>
  <c r="CV76" i="8"/>
  <c r="CU76" i="8"/>
  <c r="CT76" i="8"/>
  <c r="CS76" i="8"/>
  <c r="CR76" i="8"/>
  <c r="CQ76" i="8"/>
  <c r="CP76" i="8"/>
  <c r="CO76" i="8"/>
  <c r="CN76" i="8"/>
  <c r="CM76" i="8"/>
  <c r="CL76" i="8"/>
  <c r="CK76" i="8"/>
  <c r="CJ76" i="8"/>
  <c r="CI76" i="8"/>
  <c r="CH76" i="8"/>
  <c r="CG76" i="8"/>
  <c r="CF76" i="8"/>
  <c r="CE76" i="8"/>
  <c r="CV75" i="8"/>
  <c r="CU75" i="8"/>
  <c r="CT75" i="8"/>
  <c r="CS75" i="8"/>
  <c r="CR75" i="8"/>
  <c r="CQ75" i="8"/>
  <c r="CP75" i="8"/>
  <c r="CO75" i="8"/>
  <c r="CN75" i="8"/>
  <c r="CM75" i="8"/>
  <c r="CL75" i="8"/>
  <c r="CK75" i="8"/>
  <c r="CJ75" i="8"/>
  <c r="CI75" i="8"/>
  <c r="CH75" i="8"/>
  <c r="CG75" i="8"/>
  <c r="CF75" i="8"/>
  <c r="CE75" i="8"/>
  <c r="CV74" i="8"/>
  <c r="CU74" i="8"/>
  <c r="CT74" i="8"/>
  <c r="CS74" i="8"/>
  <c r="CR74" i="8"/>
  <c r="CQ74" i="8"/>
  <c r="CP74" i="8"/>
  <c r="CO74" i="8"/>
  <c r="CN74" i="8"/>
  <c r="CM74" i="8"/>
  <c r="CL74" i="8"/>
  <c r="CK74" i="8"/>
  <c r="CJ74" i="8"/>
  <c r="CI74" i="8"/>
  <c r="CH74" i="8"/>
  <c r="CG74" i="8"/>
  <c r="CF74" i="8"/>
  <c r="CE74" i="8"/>
  <c r="CV73" i="8"/>
  <c r="CU73" i="8"/>
  <c r="CT73" i="8"/>
  <c r="CS73" i="8"/>
  <c r="CR73" i="8"/>
  <c r="CQ73" i="8"/>
  <c r="CP73" i="8"/>
  <c r="CO73" i="8"/>
  <c r="CN73" i="8"/>
  <c r="CM73" i="8"/>
  <c r="CL73" i="8"/>
  <c r="CK73" i="8"/>
  <c r="CJ73" i="8"/>
  <c r="CI73" i="8"/>
  <c r="CH73" i="8"/>
  <c r="CG73" i="8"/>
  <c r="CF73" i="8"/>
  <c r="CE73" i="8"/>
  <c r="CV72" i="8"/>
  <c r="CU72" i="8"/>
  <c r="CT72" i="8"/>
  <c r="CS72" i="8"/>
  <c r="CR72" i="8"/>
  <c r="CQ72" i="8"/>
  <c r="CP72" i="8"/>
  <c r="CO72" i="8"/>
  <c r="CN72" i="8"/>
  <c r="CM72" i="8"/>
  <c r="CL72" i="8"/>
  <c r="CK72" i="8"/>
  <c r="CJ72" i="8"/>
  <c r="CI72" i="8"/>
  <c r="CH72" i="8"/>
  <c r="CG72" i="8"/>
  <c r="CF72" i="8"/>
  <c r="CE72" i="8"/>
  <c r="CV71" i="8"/>
  <c r="CU71" i="8"/>
  <c r="CT71" i="8"/>
  <c r="CS71" i="8"/>
  <c r="CR71" i="8"/>
  <c r="CQ71" i="8"/>
  <c r="CP71" i="8"/>
  <c r="CO71" i="8"/>
  <c r="CN71" i="8"/>
  <c r="CM71" i="8"/>
  <c r="CL71" i="8"/>
  <c r="CK71" i="8"/>
  <c r="CJ71" i="8"/>
  <c r="CI71" i="8"/>
  <c r="CH71" i="8"/>
  <c r="CG71" i="8"/>
  <c r="CF71" i="8"/>
  <c r="CE71" i="8"/>
  <c r="CV70" i="8"/>
  <c r="CU70" i="8"/>
  <c r="CT70" i="8"/>
  <c r="CS70" i="8"/>
  <c r="CR70" i="8"/>
  <c r="CQ70" i="8"/>
  <c r="CP70" i="8"/>
  <c r="CO70" i="8"/>
  <c r="CN70" i="8"/>
  <c r="CM70" i="8"/>
  <c r="CL70" i="8"/>
  <c r="CK70" i="8"/>
  <c r="CJ70" i="8"/>
  <c r="CI70" i="8"/>
  <c r="CH70" i="8"/>
  <c r="CG70" i="8"/>
  <c r="CF70" i="8"/>
  <c r="CE70" i="8"/>
  <c r="CV69" i="8"/>
  <c r="CU69" i="8"/>
  <c r="CT69" i="8"/>
  <c r="CS69" i="8"/>
  <c r="CR69" i="8"/>
  <c r="CQ69" i="8"/>
  <c r="CP69" i="8"/>
  <c r="CO69" i="8"/>
  <c r="CN69" i="8"/>
  <c r="CM69" i="8"/>
  <c r="CL69" i="8"/>
  <c r="CK69" i="8"/>
  <c r="CJ69" i="8"/>
  <c r="CI69" i="8"/>
  <c r="CH69" i="8"/>
  <c r="CG69" i="8"/>
  <c r="CF69" i="8"/>
  <c r="CE69" i="8"/>
  <c r="CV68" i="8"/>
  <c r="CU68" i="8"/>
  <c r="CT68" i="8"/>
  <c r="CS68" i="8"/>
  <c r="CR68" i="8"/>
  <c r="CQ68" i="8"/>
  <c r="CP68" i="8"/>
  <c r="CO68" i="8"/>
  <c r="CN68" i="8"/>
  <c r="CM68" i="8"/>
  <c r="CL68" i="8"/>
  <c r="CK68" i="8"/>
  <c r="CJ68" i="8"/>
  <c r="CI68" i="8"/>
  <c r="CH68" i="8"/>
  <c r="CG68" i="8"/>
  <c r="CF68" i="8"/>
  <c r="CE68" i="8"/>
  <c r="CV67" i="8"/>
  <c r="CU67" i="8"/>
  <c r="CT67" i="8"/>
  <c r="CS67" i="8"/>
  <c r="CR67" i="8"/>
  <c r="CQ67" i="8"/>
  <c r="CP67" i="8"/>
  <c r="CO67" i="8"/>
  <c r="CN67" i="8"/>
  <c r="CM67" i="8"/>
  <c r="CL67" i="8"/>
  <c r="CK67" i="8"/>
  <c r="CJ67" i="8"/>
  <c r="CI67" i="8"/>
  <c r="CH67" i="8"/>
  <c r="CG67" i="8"/>
  <c r="CF67" i="8"/>
  <c r="CE67" i="8"/>
  <c r="CV66" i="8"/>
  <c r="CU66" i="8"/>
  <c r="CT66" i="8"/>
  <c r="CS66" i="8"/>
  <c r="CR66" i="8"/>
  <c r="CQ66" i="8"/>
  <c r="CP66" i="8"/>
  <c r="CO66" i="8"/>
  <c r="CN66" i="8"/>
  <c r="CM66" i="8"/>
  <c r="CL66" i="8"/>
  <c r="CK66" i="8"/>
  <c r="CJ66" i="8"/>
  <c r="CI66" i="8"/>
  <c r="CH66" i="8"/>
  <c r="CG66" i="8"/>
  <c r="CF66" i="8"/>
  <c r="CE66" i="8"/>
  <c r="CV65" i="8"/>
  <c r="CU65" i="8"/>
  <c r="CT65" i="8"/>
  <c r="CS65" i="8"/>
  <c r="CR65" i="8"/>
  <c r="CQ65" i="8"/>
  <c r="CP65" i="8"/>
  <c r="CO65" i="8"/>
  <c r="CN65" i="8"/>
  <c r="CM65" i="8"/>
  <c r="CL65" i="8"/>
  <c r="CK65" i="8"/>
  <c r="CJ65" i="8"/>
  <c r="CI65" i="8"/>
  <c r="CH65" i="8"/>
  <c r="CG65" i="8"/>
  <c r="CF65" i="8"/>
  <c r="CE65" i="8"/>
  <c r="CV64" i="8"/>
  <c r="CU64" i="8"/>
  <c r="CT64" i="8"/>
  <c r="CS64" i="8"/>
  <c r="CR64" i="8"/>
  <c r="CQ64" i="8"/>
  <c r="CP64" i="8"/>
  <c r="CO64" i="8"/>
  <c r="CN64" i="8"/>
  <c r="CM64" i="8"/>
  <c r="CL64" i="8"/>
  <c r="CK64" i="8"/>
  <c r="CJ64" i="8"/>
  <c r="CI64" i="8"/>
  <c r="CH64" i="8"/>
  <c r="CG64" i="8"/>
  <c r="CF64" i="8"/>
  <c r="CE64" i="8"/>
  <c r="CV63" i="8"/>
  <c r="CU63" i="8"/>
  <c r="CT63" i="8"/>
  <c r="CS63" i="8"/>
  <c r="CR63" i="8"/>
  <c r="CQ63" i="8"/>
  <c r="CP63" i="8"/>
  <c r="CO63" i="8"/>
  <c r="CN63" i="8"/>
  <c r="CM63" i="8"/>
  <c r="CL63" i="8"/>
  <c r="CK63" i="8"/>
  <c r="CJ63" i="8"/>
  <c r="CI63" i="8"/>
  <c r="CH63" i="8"/>
  <c r="CG63" i="8"/>
  <c r="CF63" i="8"/>
  <c r="CE63" i="8"/>
  <c r="CV62" i="8"/>
  <c r="CU62" i="8"/>
  <c r="CT62" i="8"/>
  <c r="CS62" i="8"/>
  <c r="CR62" i="8"/>
  <c r="CQ62" i="8"/>
  <c r="CP62" i="8"/>
  <c r="CO62" i="8"/>
  <c r="CN62" i="8"/>
  <c r="CM62" i="8"/>
  <c r="CL62" i="8"/>
  <c r="CK62" i="8"/>
  <c r="CJ62" i="8"/>
  <c r="CI62" i="8"/>
  <c r="CH62" i="8"/>
  <c r="CG62" i="8"/>
  <c r="CF62" i="8"/>
  <c r="CE62" i="8"/>
  <c r="CV61" i="8"/>
  <c r="CU61" i="8"/>
  <c r="CT61" i="8"/>
  <c r="CS61" i="8"/>
  <c r="CR61" i="8"/>
  <c r="CQ61" i="8"/>
  <c r="CP61" i="8"/>
  <c r="CO61" i="8"/>
  <c r="CN61" i="8"/>
  <c r="CM61" i="8"/>
  <c r="CL61" i="8"/>
  <c r="CK61" i="8"/>
  <c r="CJ61" i="8"/>
  <c r="CI61" i="8"/>
  <c r="CH61" i="8"/>
  <c r="CG61" i="8"/>
  <c r="CF61" i="8"/>
  <c r="CE61" i="8"/>
  <c r="CV60" i="8"/>
  <c r="CU60" i="8"/>
  <c r="CT60" i="8"/>
  <c r="CS60" i="8"/>
  <c r="CR60" i="8"/>
  <c r="CQ60" i="8"/>
  <c r="CP60" i="8"/>
  <c r="CO60" i="8"/>
  <c r="CN60" i="8"/>
  <c r="CM60" i="8"/>
  <c r="CL60" i="8"/>
  <c r="CK60" i="8"/>
  <c r="CJ60" i="8"/>
  <c r="CI60" i="8"/>
  <c r="CH60" i="8"/>
  <c r="CG60" i="8"/>
  <c r="CF60" i="8"/>
  <c r="CE60" i="8"/>
  <c r="CV59" i="8"/>
  <c r="CU59" i="8"/>
  <c r="CT59" i="8"/>
  <c r="CS59" i="8"/>
  <c r="CR59" i="8"/>
  <c r="CQ59" i="8"/>
  <c r="CP59" i="8"/>
  <c r="CO59" i="8"/>
  <c r="CN59" i="8"/>
  <c r="CM59" i="8"/>
  <c r="CL59" i="8"/>
  <c r="CK59" i="8"/>
  <c r="CJ59" i="8"/>
  <c r="CI59" i="8"/>
  <c r="CH59" i="8"/>
  <c r="CG59" i="8"/>
  <c r="CF59" i="8"/>
  <c r="CE59" i="8"/>
  <c r="CV58" i="8"/>
  <c r="CU58" i="8"/>
  <c r="CT58" i="8"/>
  <c r="CS58" i="8"/>
  <c r="CR58" i="8"/>
  <c r="CQ58" i="8"/>
  <c r="CP58" i="8"/>
  <c r="CO58" i="8"/>
  <c r="CN58" i="8"/>
  <c r="CM58" i="8"/>
  <c r="CL58" i="8"/>
  <c r="CK58" i="8"/>
  <c r="CJ58" i="8"/>
  <c r="CI58" i="8"/>
  <c r="CH58" i="8"/>
  <c r="CG58" i="8"/>
  <c r="CF58" i="8"/>
  <c r="CE58" i="8"/>
  <c r="CV57" i="8"/>
  <c r="CU57" i="8"/>
  <c r="CT57" i="8"/>
  <c r="CS57" i="8"/>
  <c r="CR57" i="8"/>
  <c r="CQ57" i="8"/>
  <c r="CP57" i="8"/>
  <c r="CO57" i="8"/>
  <c r="CN57" i="8"/>
  <c r="CM57" i="8"/>
  <c r="CL57" i="8"/>
  <c r="CK57" i="8"/>
  <c r="CJ57" i="8"/>
  <c r="CI57" i="8"/>
  <c r="CH57" i="8"/>
  <c r="CG57" i="8"/>
  <c r="CF57" i="8"/>
  <c r="CE57" i="8"/>
  <c r="CV56" i="8"/>
  <c r="CU56" i="8"/>
  <c r="CT56" i="8"/>
  <c r="CS56" i="8"/>
  <c r="CR56" i="8"/>
  <c r="CQ56" i="8"/>
  <c r="CP56" i="8"/>
  <c r="CO56" i="8"/>
  <c r="CN56" i="8"/>
  <c r="CM56" i="8"/>
  <c r="CL56" i="8"/>
  <c r="CK56" i="8"/>
  <c r="CJ56" i="8"/>
  <c r="CI56" i="8"/>
  <c r="CH56" i="8"/>
  <c r="CG56" i="8"/>
  <c r="CF56" i="8"/>
  <c r="CE56" i="8"/>
  <c r="CV55" i="8"/>
  <c r="CU55" i="8"/>
  <c r="CT55" i="8"/>
  <c r="CS55" i="8"/>
  <c r="CR55" i="8"/>
  <c r="CQ55" i="8"/>
  <c r="CP55" i="8"/>
  <c r="CO55" i="8"/>
  <c r="CN55" i="8"/>
  <c r="CM55" i="8"/>
  <c r="CL55" i="8"/>
  <c r="CK55" i="8"/>
  <c r="CJ55" i="8"/>
  <c r="CI55" i="8"/>
  <c r="CH55" i="8"/>
  <c r="CG55" i="8"/>
  <c r="CF55" i="8"/>
  <c r="CE55" i="8"/>
  <c r="CV54" i="8"/>
  <c r="CU54" i="8"/>
  <c r="CT54" i="8"/>
  <c r="CS54" i="8"/>
  <c r="CR54" i="8"/>
  <c r="CQ54" i="8"/>
  <c r="CP54" i="8"/>
  <c r="CO54" i="8"/>
  <c r="CN54" i="8"/>
  <c r="CM54" i="8"/>
  <c r="CL54" i="8"/>
  <c r="CK54" i="8"/>
  <c r="CJ54" i="8"/>
  <c r="CI54" i="8"/>
  <c r="CH54" i="8"/>
  <c r="CG54" i="8"/>
  <c r="CF54" i="8"/>
  <c r="CE54" i="8"/>
  <c r="CD98" i="8"/>
  <c r="CB98" i="8"/>
  <c r="CA98" i="8"/>
  <c r="BY98" i="8"/>
  <c r="BX98" i="8"/>
  <c r="BV98" i="8"/>
  <c r="BU98" i="8"/>
  <c r="BS98" i="8"/>
  <c r="BR98" i="8"/>
  <c r="BP98" i="8"/>
  <c r="BO98" i="8"/>
  <c r="BM98" i="8"/>
  <c r="BL98" i="8"/>
  <c r="BJ98" i="8"/>
  <c r="BI98" i="8"/>
  <c r="BG98" i="8"/>
  <c r="BF98" i="8"/>
  <c r="BD98" i="8"/>
  <c r="BC98" i="8"/>
  <c r="BA98" i="8"/>
  <c r="CD97" i="8"/>
  <c r="CB97" i="8"/>
  <c r="CA97" i="8"/>
  <c r="BY97" i="8"/>
  <c r="BX97" i="8"/>
  <c r="BV97" i="8"/>
  <c r="BU97" i="8"/>
  <c r="BS97" i="8"/>
  <c r="BR97" i="8"/>
  <c r="BP97" i="8"/>
  <c r="BO97" i="8"/>
  <c r="BM97" i="8"/>
  <c r="BL97" i="8"/>
  <c r="BJ97" i="8"/>
  <c r="BI97" i="8"/>
  <c r="BG97" i="8"/>
  <c r="BF97" i="8"/>
  <c r="BD97" i="8"/>
  <c r="BC97" i="8"/>
  <c r="BA97" i="8"/>
  <c r="CD96" i="8"/>
  <c r="CB96" i="8"/>
  <c r="CA96" i="8"/>
  <c r="BY96" i="8"/>
  <c r="BX96" i="8"/>
  <c r="BV96" i="8"/>
  <c r="BU96" i="8"/>
  <c r="BS96" i="8"/>
  <c r="BR96" i="8"/>
  <c r="BP96" i="8"/>
  <c r="BO96" i="8"/>
  <c r="BM96" i="8"/>
  <c r="BL96" i="8"/>
  <c r="BJ96" i="8"/>
  <c r="BI96" i="8"/>
  <c r="BG96" i="8"/>
  <c r="BF96" i="8"/>
  <c r="BD96" i="8"/>
  <c r="BC96" i="8"/>
  <c r="BA96" i="8"/>
  <c r="CD95" i="8"/>
  <c r="CB95" i="8"/>
  <c r="CA95" i="8"/>
  <c r="BY95" i="8"/>
  <c r="BX95" i="8"/>
  <c r="BV95" i="8"/>
  <c r="BU95" i="8"/>
  <c r="BS95" i="8"/>
  <c r="BR95" i="8"/>
  <c r="BP95" i="8"/>
  <c r="BO95" i="8"/>
  <c r="BM95" i="8"/>
  <c r="BL95" i="8"/>
  <c r="BJ95" i="8"/>
  <c r="BI95" i="8"/>
  <c r="BG95" i="8"/>
  <c r="BF95" i="8"/>
  <c r="BD95" i="8"/>
  <c r="BC95" i="8"/>
  <c r="BA95" i="8"/>
  <c r="CD94" i="8"/>
  <c r="CB94" i="8"/>
  <c r="CA94" i="8"/>
  <c r="BY94" i="8"/>
  <c r="BX94" i="8"/>
  <c r="BV94" i="8"/>
  <c r="BU94" i="8"/>
  <c r="BS94" i="8"/>
  <c r="BR94" i="8"/>
  <c r="BP94" i="8"/>
  <c r="BO94" i="8"/>
  <c r="BM94" i="8"/>
  <c r="BL94" i="8"/>
  <c r="BJ94" i="8"/>
  <c r="BI94" i="8"/>
  <c r="BG94" i="8"/>
  <c r="BF94" i="8"/>
  <c r="BD94" i="8"/>
  <c r="BC94" i="8"/>
  <c r="BA94" i="8"/>
  <c r="CD93" i="8"/>
  <c r="CB93" i="8"/>
  <c r="CA93" i="8"/>
  <c r="BY93" i="8"/>
  <c r="BX93" i="8"/>
  <c r="BV93" i="8"/>
  <c r="BU93" i="8"/>
  <c r="BS93" i="8"/>
  <c r="BR93" i="8"/>
  <c r="BP93" i="8"/>
  <c r="BO93" i="8"/>
  <c r="BM93" i="8"/>
  <c r="BL93" i="8"/>
  <c r="BJ93" i="8"/>
  <c r="BI93" i="8"/>
  <c r="BG93" i="8"/>
  <c r="BF93" i="8"/>
  <c r="BD93" i="8"/>
  <c r="BC93" i="8"/>
  <c r="BA93" i="8"/>
  <c r="CD92" i="8"/>
  <c r="CB92" i="8"/>
  <c r="CA92" i="8"/>
  <c r="BY92" i="8"/>
  <c r="BX92" i="8"/>
  <c r="BV92" i="8"/>
  <c r="BU92" i="8"/>
  <c r="BS92" i="8"/>
  <c r="BR92" i="8"/>
  <c r="BP92" i="8"/>
  <c r="BO92" i="8"/>
  <c r="BM92" i="8"/>
  <c r="BL92" i="8"/>
  <c r="BJ92" i="8"/>
  <c r="BI92" i="8"/>
  <c r="BG92" i="8"/>
  <c r="BF92" i="8"/>
  <c r="BD92" i="8"/>
  <c r="BC92" i="8"/>
  <c r="BA92" i="8"/>
  <c r="CD91" i="8"/>
  <c r="CB91" i="8"/>
  <c r="CA91" i="8"/>
  <c r="BY91" i="8"/>
  <c r="BX91" i="8"/>
  <c r="BV91" i="8"/>
  <c r="BU91" i="8"/>
  <c r="BS91" i="8"/>
  <c r="BR91" i="8"/>
  <c r="BP91" i="8"/>
  <c r="BO91" i="8"/>
  <c r="BM91" i="8"/>
  <c r="BL91" i="8"/>
  <c r="BJ91" i="8"/>
  <c r="BI91" i="8"/>
  <c r="BG91" i="8"/>
  <c r="BF91" i="8"/>
  <c r="BD91" i="8"/>
  <c r="BC91" i="8"/>
  <c r="BA91" i="8"/>
  <c r="CD90" i="8"/>
  <c r="CB90" i="8"/>
  <c r="CA90" i="8"/>
  <c r="BY90" i="8"/>
  <c r="BX90" i="8"/>
  <c r="BV90" i="8"/>
  <c r="BU90" i="8"/>
  <c r="BS90" i="8"/>
  <c r="BR90" i="8"/>
  <c r="BP90" i="8"/>
  <c r="BO90" i="8"/>
  <c r="BM90" i="8"/>
  <c r="BL90" i="8"/>
  <c r="BJ90" i="8"/>
  <c r="BI90" i="8"/>
  <c r="BG90" i="8"/>
  <c r="BF90" i="8"/>
  <c r="BD90" i="8"/>
  <c r="BC90" i="8"/>
  <c r="BA90" i="8"/>
  <c r="CD89" i="8"/>
  <c r="CB89" i="8"/>
  <c r="CA89" i="8"/>
  <c r="BY89" i="8"/>
  <c r="BX89" i="8"/>
  <c r="BV89" i="8"/>
  <c r="BU89" i="8"/>
  <c r="BS89" i="8"/>
  <c r="BR89" i="8"/>
  <c r="BP89" i="8"/>
  <c r="BO89" i="8"/>
  <c r="BM89" i="8"/>
  <c r="BL89" i="8"/>
  <c r="BJ89" i="8"/>
  <c r="BI89" i="8"/>
  <c r="BG89" i="8"/>
  <c r="BF89" i="8"/>
  <c r="BD89" i="8"/>
  <c r="BC89" i="8"/>
  <c r="BA89" i="8"/>
  <c r="CD88" i="8"/>
  <c r="CB88" i="8"/>
  <c r="CA88" i="8"/>
  <c r="BY88" i="8"/>
  <c r="BX88" i="8"/>
  <c r="BV88" i="8"/>
  <c r="BU88" i="8"/>
  <c r="BS88" i="8"/>
  <c r="BR88" i="8"/>
  <c r="BP88" i="8"/>
  <c r="BO88" i="8"/>
  <c r="BM88" i="8"/>
  <c r="BL88" i="8"/>
  <c r="BJ88" i="8"/>
  <c r="BI88" i="8"/>
  <c r="BG88" i="8"/>
  <c r="BF88" i="8"/>
  <c r="BD88" i="8"/>
  <c r="BC88" i="8"/>
  <c r="BA88" i="8"/>
  <c r="CD87" i="8"/>
  <c r="CB87" i="8"/>
  <c r="CA87" i="8"/>
  <c r="BY87" i="8"/>
  <c r="BX87" i="8"/>
  <c r="BV87" i="8"/>
  <c r="BU87" i="8"/>
  <c r="BS87" i="8"/>
  <c r="BR87" i="8"/>
  <c r="BP87" i="8"/>
  <c r="BO87" i="8"/>
  <c r="BM87" i="8"/>
  <c r="BL87" i="8"/>
  <c r="BJ87" i="8"/>
  <c r="BI87" i="8"/>
  <c r="BG87" i="8"/>
  <c r="BF87" i="8"/>
  <c r="BD87" i="8"/>
  <c r="BC87" i="8"/>
  <c r="BA87" i="8"/>
  <c r="CD86" i="8"/>
  <c r="CB86" i="8"/>
  <c r="CA86" i="8"/>
  <c r="BY86" i="8"/>
  <c r="BX86" i="8"/>
  <c r="BV86" i="8"/>
  <c r="BU86" i="8"/>
  <c r="BS86" i="8"/>
  <c r="BR86" i="8"/>
  <c r="BP86" i="8"/>
  <c r="BO86" i="8"/>
  <c r="BM86" i="8"/>
  <c r="BL86" i="8"/>
  <c r="BJ86" i="8"/>
  <c r="BI86" i="8"/>
  <c r="BG86" i="8"/>
  <c r="BF86" i="8"/>
  <c r="BD86" i="8"/>
  <c r="BC86" i="8"/>
  <c r="BA86" i="8"/>
  <c r="CD85" i="8"/>
  <c r="CB85" i="8"/>
  <c r="CA85" i="8"/>
  <c r="BY85" i="8"/>
  <c r="BX85" i="8"/>
  <c r="BV85" i="8"/>
  <c r="BU85" i="8"/>
  <c r="BS85" i="8"/>
  <c r="BR85" i="8"/>
  <c r="BP85" i="8"/>
  <c r="BO85" i="8"/>
  <c r="BM85" i="8"/>
  <c r="BL85" i="8"/>
  <c r="BJ85" i="8"/>
  <c r="BI85" i="8"/>
  <c r="BG85" i="8"/>
  <c r="BF85" i="8"/>
  <c r="BD85" i="8"/>
  <c r="BC85" i="8"/>
  <c r="BA85" i="8"/>
  <c r="CD84" i="8"/>
  <c r="CB84" i="8"/>
  <c r="CA84" i="8"/>
  <c r="BY84" i="8"/>
  <c r="BX84" i="8"/>
  <c r="BV84" i="8"/>
  <c r="BU84" i="8"/>
  <c r="BS84" i="8"/>
  <c r="BR84" i="8"/>
  <c r="BP84" i="8"/>
  <c r="BO84" i="8"/>
  <c r="BM84" i="8"/>
  <c r="BL84" i="8"/>
  <c r="BJ84" i="8"/>
  <c r="BI84" i="8"/>
  <c r="BG84" i="8"/>
  <c r="BF84" i="8"/>
  <c r="BD84" i="8"/>
  <c r="BC84" i="8"/>
  <c r="BA84" i="8"/>
  <c r="CD83" i="8"/>
  <c r="CB83" i="8"/>
  <c r="CA83" i="8"/>
  <c r="BY83" i="8"/>
  <c r="BX83" i="8"/>
  <c r="BV83" i="8"/>
  <c r="BU83" i="8"/>
  <c r="BS83" i="8"/>
  <c r="BR83" i="8"/>
  <c r="BP83" i="8"/>
  <c r="BO83" i="8"/>
  <c r="BM83" i="8"/>
  <c r="BL83" i="8"/>
  <c r="BJ83" i="8"/>
  <c r="BI83" i="8"/>
  <c r="BG83" i="8"/>
  <c r="BF83" i="8"/>
  <c r="BD83" i="8"/>
  <c r="BC83" i="8"/>
  <c r="BA83" i="8"/>
  <c r="CD82" i="8"/>
  <c r="CB82" i="8"/>
  <c r="CA82" i="8"/>
  <c r="BY82" i="8"/>
  <c r="BX82" i="8"/>
  <c r="BV82" i="8"/>
  <c r="BU82" i="8"/>
  <c r="BS82" i="8"/>
  <c r="BR82" i="8"/>
  <c r="BP82" i="8"/>
  <c r="BO82" i="8"/>
  <c r="BM82" i="8"/>
  <c r="BL82" i="8"/>
  <c r="BJ82" i="8"/>
  <c r="BI82" i="8"/>
  <c r="BG82" i="8"/>
  <c r="BF82" i="8"/>
  <c r="BD82" i="8"/>
  <c r="BC82" i="8"/>
  <c r="BA82" i="8"/>
  <c r="CD81" i="8"/>
  <c r="CB81" i="8"/>
  <c r="CA81" i="8"/>
  <c r="BY81" i="8"/>
  <c r="BX81" i="8"/>
  <c r="BV81" i="8"/>
  <c r="BU81" i="8"/>
  <c r="BS81" i="8"/>
  <c r="BR81" i="8"/>
  <c r="BP81" i="8"/>
  <c r="BO81" i="8"/>
  <c r="BM81" i="8"/>
  <c r="BL81" i="8"/>
  <c r="BJ81" i="8"/>
  <c r="BI81" i="8"/>
  <c r="BG81" i="8"/>
  <c r="BF81" i="8"/>
  <c r="BD81" i="8"/>
  <c r="BC81" i="8"/>
  <c r="BA81" i="8"/>
  <c r="CD80" i="8"/>
  <c r="CB80" i="8"/>
  <c r="CA80" i="8"/>
  <c r="BY80" i="8"/>
  <c r="BX80" i="8"/>
  <c r="BV80" i="8"/>
  <c r="BU80" i="8"/>
  <c r="BS80" i="8"/>
  <c r="BR80" i="8"/>
  <c r="BP80" i="8"/>
  <c r="BO80" i="8"/>
  <c r="BM80" i="8"/>
  <c r="BL80" i="8"/>
  <c r="BJ80" i="8"/>
  <c r="BI80" i="8"/>
  <c r="BG80" i="8"/>
  <c r="BF80" i="8"/>
  <c r="BD80" i="8"/>
  <c r="BC80" i="8"/>
  <c r="BA80" i="8"/>
  <c r="CD79" i="8"/>
  <c r="CB79" i="8"/>
  <c r="CA79" i="8"/>
  <c r="BY79" i="8"/>
  <c r="BX79" i="8"/>
  <c r="BV79" i="8"/>
  <c r="BU79" i="8"/>
  <c r="BS79" i="8"/>
  <c r="BR79" i="8"/>
  <c r="BP79" i="8"/>
  <c r="BO79" i="8"/>
  <c r="BM79" i="8"/>
  <c r="BL79" i="8"/>
  <c r="BJ79" i="8"/>
  <c r="BI79" i="8"/>
  <c r="BG79" i="8"/>
  <c r="BF79" i="8"/>
  <c r="BD79" i="8"/>
  <c r="BC79" i="8"/>
  <c r="BA79" i="8"/>
  <c r="CD78" i="8"/>
  <c r="CB78" i="8"/>
  <c r="CA78" i="8"/>
  <c r="BY78" i="8"/>
  <c r="BX78" i="8"/>
  <c r="BV78" i="8"/>
  <c r="BU78" i="8"/>
  <c r="BS78" i="8"/>
  <c r="BR78" i="8"/>
  <c r="BP78" i="8"/>
  <c r="BO78" i="8"/>
  <c r="BM78" i="8"/>
  <c r="BL78" i="8"/>
  <c r="BJ78" i="8"/>
  <c r="BI78" i="8"/>
  <c r="BG78" i="8"/>
  <c r="BF78" i="8"/>
  <c r="BD78" i="8"/>
  <c r="BC78" i="8"/>
  <c r="BA78" i="8"/>
  <c r="CD77" i="8"/>
  <c r="CB77" i="8"/>
  <c r="CA77" i="8"/>
  <c r="BY77" i="8"/>
  <c r="BX77" i="8"/>
  <c r="BV77" i="8"/>
  <c r="BU77" i="8"/>
  <c r="BS77" i="8"/>
  <c r="BR77" i="8"/>
  <c r="BP77" i="8"/>
  <c r="BO77" i="8"/>
  <c r="BM77" i="8"/>
  <c r="BL77" i="8"/>
  <c r="BJ77" i="8"/>
  <c r="BI77" i="8"/>
  <c r="BG77" i="8"/>
  <c r="BF77" i="8"/>
  <c r="BD77" i="8"/>
  <c r="BC77" i="8"/>
  <c r="BA77" i="8"/>
  <c r="CD76" i="8"/>
  <c r="CB76" i="8"/>
  <c r="CA76" i="8"/>
  <c r="BY76" i="8"/>
  <c r="BX76" i="8"/>
  <c r="BV76" i="8"/>
  <c r="BU76" i="8"/>
  <c r="BS76" i="8"/>
  <c r="BR76" i="8"/>
  <c r="BP76" i="8"/>
  <c r="BO76" i="8"/>
  <c r="BM76" i="8"/>
  <c r="BL76" i="8"/>
  <c r="BJ76" i="8"/>
  <c r="BI76" i="8"/>
  <c r="BG76" i="8"/>
  <c r="BF76" i="8"/>
  <c r="BD76" i="8"/>
  <c r="BC76" i="8"/>
  <c r="BA76" i="8"/>
  <c r="CD75" i="8"/>
  <c r="CB75" i="8"/>
  <c r="CA75" i="8"/>
  <c r="BY75" i="8"/>
  <c r="BX75" i="8"/>
  <c r="BV75" i="8"/>
  <c r="BU75" i="8"/>
  <c r="BS75" i="8"/>
  <c r="BR75" i="8"/>
  <c r="BP75" i="8"/>
  <c r="BO75" i="8"/>
  <c r="BM75" i="8"/>
  <c r="BL75" i="8"/>
  <c r="BJ75" i="8"/>
  <c r="BI75" i="8"/>
  <c r="BG75" i="8"/>
  <c r="BF75" i="8"/>
  <c r="BD75" i="8"/>
  <c r="BC75" i="8"/>
  <c r="BA75" i="8"/>
  <c r="CD74" i="8"/>
  <c r="CB74" i="8"/>
  <c r="CA74" i="8"/>
  <c r="BY74" i="8"/>
  <c r="BX74" i="8"/>
  <c r="BV74" i="8"/>
  <c r="BU74" i="8"/>
  <c r="BS74" i="8"/>
  <c r="BR74" i="8"/>
  <c r="BP74" i="8"/>
  <c r="BO74" i="8"/>
  <c r="BM74" i="8"/>
  <c r="BL74" i="8"/>
  <c r="BJ74" i="8"/>
  <c r="BI74" i="8"/>
  <c r="BG74" i="8"/>
  <c r="BF74" i="8"/>
  <c r="BD74" i="8"/>
  <c r="BC74" i="8"/>
  <c r="BA74" i="8"/>
  <c r="CD73" i="8"/>
  <c r="CB73" i="8"/>
  <c r="CA73" i="8"/>
  <c r="BY73" i="8"/>
  <c r="BX73" i="8"/>
  <c r="BV73" i="8"/>
  <c r="BU73" i="8"/>
  <c r="BS73" i="8"/>
  <c r="BR73" i="8"/>
  <c r="BP73" i="8"/>
  <c r="BO73" i="8"/>
  <c r="BM73" i="8"/>
  <c r="BL73" i="8"/>
  <c r="BJ73" i="8"/>
  <c r="BI73" i="8"/>
  <c r="BG73" i="8"/>
  <c r="BF73" i="8"/>
  <c r="BD73" i="8"/>
  <c r="BC73" i="8"/>
  <c r="BA73" i="8"/>
  <c r="CD72" i="8"/>
  <c r="CB72" i="8"/>
  <c r="CA72" i="8"/>
  <c r="BY72" i="8"/>
  <c r="BX72" i="8"/>
  <c r="BV72" i="8"/>
  <c r="BU72" i="8"/>
  <c r="BS72" i="8"/>
  <c r="BR72" i="8"/>
  <c r="BP72" i="8"/>
  <c r="BO72" i="8"/>
  <c r="BM72" i="8"/>
  <c r="BL72" i="8"/>
  <c r="BJ72" i="8"/>
  <c r="BI72" i="8"/>
  <c r="BG72" i="8"/>
  <c r="BF72" i="8"/>
  <c r="BD72" i="8"/>
  <c r="BC72" i="8"/>
  <c r="BA72" i="8"/>
  <c r="CD71" i="8"/>
  <c r="CB71" i="8"/>
  <c r="CA71" i="8"/>
  <c r="BY71" i="8"/>
  <c r="BX71" i="8"/>
  <c r="BV71" i="8"/>
  <c r="BU71" i="8"/>
  <c r="BS71" i="8"/>
  <c r="BR71" i="8"/>
  <c r="BP71" i="8"/>
  <c r="BO71" i="8"/>
  <c r="BM71" i="8"/>
  <c r="BL71" i="8"/>
  <c r="BJ71" i="8"/>
  <c r="BI71" i="8"/>
  <c r="BG71" i="8"/>
  <c r="BF71" i="8"/>
  <c r="BD71" i="8"/>
  <c r="BC71" i="8"/>
  <c r="BA71" i="8"/>
  <c r="CD70" i="8"/>
  <c r="CB70" i="8"/>
  <c r="CA70" i="8"/>
  <c r="BY70" i="8"/>
  <c r="BX70" i="8"/>
  <c r="BV70" i="8"/>
  <c r="BU70" i="8"/>
  <c r="BS70" i="8"/>
  <c r="BR70" i="8"/>
  <c r="BP70" i="8"/>
  <c r="BO70" i="8"/>
  <c r="BM70" i="8"/>
  <c r="BL70" i="8"/>
  <c r="BJ70" i="8"/>
  <c r="BI70" i="8"/>
  <c r="BG70" i="8"/>
  <c r="BF70" i="8"/>
  <c r="BD70" i="8"/>
  <c r="BC70" i="8"/>
  <c r="BA70" i="8"/>
  <c r="CD69" i="8"/>
  <c r="CB69" i="8"/>
  <c r="CA69" i="8"/>
  <c r="BY69" i="8"/>
  <c r="BX69" i="8"/>
  <c r="BV69" i="8"/>
  <c r="BU69" i="8"/>
  <c r="BS69" i="8"/>
  <c r="BR69" i="8"/>
  <c r="BP69" i="8"/>
  <c r="BO69" i="8"/>
  <c r="BM69" i="8"/>
  <c r="BL69" i="8"/>
  <c r="BJ69" i="8"/>
  <c r="BI69" i="8"/>
  <c r="BG69" i="8"/>
  <c r="BF69" i="8"/>
  <c r="BD69" i="8"/>
  <c r="BC69" i="8"/>
  <c r="BA69" i="8"/>
  <c r="CD68" i="8"/>
  <c r="CB68" i="8"/>
  <c r="CA68" i="8"/>
  <c r="BY68" i="8"/>
  <c r="BX68" i="8"/>
  <c r="BV68" i="8"/>
  <c r="BU68" i="8"/>
  <c r="BS68" i="8"/>
  <c r="BR68" i="8"/>
  <c r="BP68" i="8"/>
  <c r="BO68" i="8"/>
  <c r="BM68" i="8"/>
  <c r="BL68" i="8"/>
  <c r="BJ68" i="8"/>
  <c r="BI68" i="8"/>
  <c r="BG68" i="8"/>
  <c r="BF68" i="8"/>
  <c r="BD68" i="8"/>
  <c r="BC68" i="8"/>
  <c r="BA68" i="8"/>
  <c r="CD67" i="8"/>
  <c r="CB67" i="8"/>
  <c r="CA67" i="8"/>
  <c r="BY67" i="8"/>
  <c r="BX67" i="8"/>
  <c r="BV67" i="8"/>
  <c r="BU67" i="8"/>
  <c r="BS67" i="8"/>
  <c r="BR67" i="8"/>
  <c r="BP67" i="8"/>
  <c r="BO67" i="8"/>
  <c r="BM67" i="8"/>
  <c r="BL67" i="8"/>
  <c r="BJ67" i="8"/>
  <c r="BI67" i="8"/>
  <c r="BG67" i="8"/>
  <c r="BF67" i="8"/>
  <c r="BD67" i="8"/>
  <c r="BC67" i="8"/>
  <c r="BA67" i="8"/>
  <c r="CD66" i="8"/>
  <c r="CB66" i="8"/>
  <c r="CA66" i="8"/>
  <c r="BY66" i="8"/>
  <c r="BX66" i="8"/>
  <c r="BV66" i="8"/>
  <c r="BU66" i="8"/>
  <c r="BS66" i="8"/>
  <c r="BR66" i="8"/>
  <c r="BP66" i="8"/>
  <c r="BO66" i="8"/>
  <c r="BM66" i="8"/>
  <c r="BL66" i="8"/>
  <c r="BJ66" i="8"/>
  <c r="BI66" i="8"/>
  <c r="BG66" i="8"/>
  <c r="BF66" i="8"/>
  <c r="BD66" i="8"/>
  <c r="BC66" i="8"/>
  <c r="BA66" i="8"/>
  <c r="CD65" i="8"/>
  <c r="CB65" i="8"/>
  <c r="CA65" i="8"/>
  <c r="BY65" i="8"/>
  <c r="BX65" i="8"/>
  <c r="BV65" i="8"/>
  <c r="BU65" i="8"/>
  <c r="BS65" i="8"/>
  <c r="BR65" i="8"/>
  <c r="BP65" i="8"/>
  <c r="BO65" i="8"/>
  <c r="BM65" i="8"/>
  <c r="BL65" i="8"/>
  <c r="BJ65" i="8"/>
  <c r="BI65" i="8"/>
  <c r="BG65" i="8"/>
  <c r="BF65" i="8"/>
  <c r="BD65" i="8"/>
  <c r="BC65" i="8"/>
  <c r="BA65" i="8"/>
  <c r="CD64" i="8"/>
  <c r="CB64" i="8"/>
  <c r="CA64" i="8"/>
  <c r="BY64" i="8"/>
  <c r="BX64" i="8"/>
  <c r="BV64" i="8"/>
  <c r="BU64" i="8"/>
  <c r="BS64" i="8"/>
  <c r="BR64" i="8"/>
  <c r="BP64" i="8"/>
  <c r="BO64" i="8"/>
  <c r="BM64" i="8"/>
  <c r="BL64" i="8"/>
  <c r="BJ64" i="8"/>
  <c r="BI64" i="8"/>
  <c r="BG64" i="8"/>
  <c r="BF64" i="8"/>
  <c r="BD64" i="8"/>
  <c r="BC64" i="8"/>
  <c r="BA64" i="8"/>
  <c r="CD63" i="8"/>
  <c r="CB63" i="8"/>
  <c r="CA63" i="8"/>
  <c r="BY63" i="8"/>
  <c r="BX63" i="8"/>
  <c r="BV63" i="8"/>
  <c r="BU63" i="8"/>
  <c r="BS63" i="8"/>
  <c r="BR63" i="8"/>
  <c r="BP63" i="8"/>
  <c r="BO63" i="8"/>
  <c r="BM63" i="8"/>
  <c r="BL63" i="8"/>
  <c r="BJ63" i="8"/>
  <c r="BI63" i="8"/>
  <c r="BG63" i="8"/>
  <c r="BF63" i="8"/>
  <c r="BD63" i="8"/>
  <c r="BC63" i="8"/>
  <c r="BA63" i="8"/>
  <c r="CD62" i="8"/>
  <c r="CB62" i="8"/>
  <c r="CA62" i="8"/>
  <c r="BY62" i="8"/>
  <c r="BX62" i="8"/>
  <c r="BV62" i="8"/>
  <c r="BU62" i="8"/>
  <c r="BS62" i="8"/>
  <c r="BR62" i="8"/>
  <c r="BP62" i="8"/>
  <c r="BO62" i="8"/>
  <c r="BM62" i="8"/>
  <c r="BL62" i="8"/>
  <c r="BJ62" i="8"/>
  <c r="BI62" i="8"/>
  <c r="BG62" i="8"/>
  <c r="BF62" i="8"/>
  <c r="BD62" i="8"/>
  <c r="BC62" i="8"/>
  <c r="BA62" i="8"/>
  <c r="CD61" i="8"/>
  <c r="CB61" i="8"/>
  <c r="CA61" i="8"/>
  <c r="BY61" i="8"/>
  <c r="BX61" i="8"/>
  <c r="BV61" i="8"/>
  <c r="BU61" i="8"/>
  <c r="BS61" i="8"/>
  <c r="BR61" i="8"/>
  <c r="BP61" i="8"/>
  <c r="BO61" i="8"/>
  <c r="BM61" i="8"/>
  <c r="BL61" i="8"/>
  <c r="BJ61" i="8"/>
  <c r="BI61" i="8"/>
  <c r="BG61" i="8"/>
  <c r="BF61" i="8"/>
  <c r="BD61" i="8"/>
  <c r="BC61" i="8"/>
  <c r="BA61" i="8"/>
  <c r="CD60" i="8"/>
  <c r="CB60" i="8"/>
  <c r="CA60" i="8"/>
  <c r="BY60" i="8"/>
  <c r="BX60" i="8"/>
  <c r="BV60" i="8"/>
  <c r="BU60" i="8"/>
  <c r="BS60" i="8"/>
  <c r="BR60" i="8"/>
  <c r="BP60" i="8"/>
  <c r="BO60" i="8"/>
  <c r="BM60" i="8"/>
  <c r="BL60" i="8"/>
  <c r="BJ60" i="8"/>
  <c r="BI60" i="8"/>
  <c r="BG60" i="8"/>
  <c r="BF60" i="8"/>
  <c r="BD60" i="8"/>
  <c r="BC60" i="8"/>
  <c r="BA60" i="8"/>
  <c r="CD59" i="8"/>
  <c r="CB59" i="8"/>
  <c r="CA59" i="8"/>
  <c r="BY59" i="8"/>
  <c r="BX59" i="8"/>
  <c r="BV59" i="8"/>
  <c r="BU59" i="8"/>
  <c r="BS59" i="8"/>
  <c r="BR59" i="8"/>
  <c r="BP59" i="8"/>
  <c r="BO59" i="8"/>
  <c r="BM59" i="8"/>
  <c r="BL59" i="8"/>
  <c r="BJ59" i="8"/>
  <c r="BI59" i="8"/>
  <c r="BG59" i="8"/>
  <c r="BF59" i="8"/>
  <c r="BD59" i="8"/>
  <c r="BC59" i="8"/>
  <c r="BA59" i="8"/>
  <c r="CD58" i="8"/>
  <c r="CB58" i="8"/>
  <c r="CA58" i="8"/>
  <c r="BY58" i="8"/>
  <c r="BX58" i="8"/>
  <c r="BV58" i="8"/>
  <c r="BU58" i="8"/>
  <c r="BS58" i="8"/>
  <c r="BR58" i="8"/>
  <c r="BP58" i="8"/>
  <c r="BO58" i="8"/>
  <c r="BM58" i="8"/>
  <c r="BL58" i="8"/>
  <c r="BJ58" i="8"/>
  <c r="BI58" i="8"/>
  <c r="BG58" i="8"/>
  <c r="BF58" i="8"/>
  <c r="BD58" i="8"/>
  <c r="BC58" i="8"/>
  <c r="BA58" i="8"/>
  <c r="CD57" i="8"/>
  <c r="CB57" i="8"/>
  <c r="CA57" i="8"/>
  <c r="BY57" i="8"/>
  <c r="BX57" i="8"/>
  <c r="BV57" i="8"/>
  <c r="BU57" i="8"/>
  <c r="BS57" i="8"/>
  <c r="BR57" i="8"/>
  <c r="BP57" i="8"/>
  <c r="BO57" i="8"/>
  <c r="BM57" i="8"/>
  <c r="BL57" i="8"/>
  <c r="BJ57" i="8"/>
  <c r="BI57" i="8"/>
  <c r="BG57" i="8"/>
  <c r="BF57" i="8"/>
  <c r="BD57" i="8"/>
  <c r="BC57" i="8"/>
  <c r="BA57" i="8"/>
  <c r="CD56" i="8"/>
  <c r="CB56" i="8"/>
  <c r="CA56" i="8"/>
  <c r="BY56" i="8"/>
  <c r="BX56" i="8"/>
  <c r="BV56" i="8"/>
  <c r="BU56" i="8"/>
  <c r="BS56" i="8"/>
  <c r="BR56" i="8"/>
  <c r="BP56" i="8"/>
  <c r="BO56" i="8"/>
  <c r="BM56" i="8"/>
  <c r="BL56" i="8"/>
  <c r="BJ56" i="8"/>
  <c r="BI56" i="8"/>
  <c r="BG56" i="8"/>
  <c r="BF56" i="8"/>
  <c r="BD56" i="8"/>
  <c r="BC56" i="8"/>
  <c r="BA56" i="8"/>
  <c r="CD55" i="8"/>
  <c r="CB55" i="8"/>
  <c r="CA55" i="8"/>
  <c r="BY55" i="8"/>
  <c r="BX55" i="8"/>
  <c r="BV55" i="8"/>
  <c r="BU55" i="8"/>
  <c r="BS55" i="8"/>
  <c r="BR55" i="8"/>
  <c r="BP55" i="8"/>
  <c r="BO55" i="8"/>
  <c r="BM55" i="8"/>
  <c r="BL55" i="8"/>
  <c r="BJ55" i="8"/>
  <c r="BI55" i="8"/>
  <c r="BG55" i="8"/>
  <c r="BF55" i="8"/>
  <c r="BD55" i="8"/>
  <c r="BC55" i="8"/>
  <c r="BA55" i="8"/>
  <c r="CD54" i="8"/>
  <c r="CB54" i="8"/>
  <c r="CA54" i="8"/>
  <c r="BY54" i="8"/>
  <c r="BX54" i="8"/>
  <c r="BV54" i="8"/>
  <c r="BU54" i="8"/>
  <c r="BS54" i="8"/>
  <c r="BR54" i="8"/>
  <c r="BP54" i="8"/>
  <c r="BO54" i="8"/>
  <c r="BM54" i="8"/>
  <c r="BL54" i="8"/>
  <c r="BJ54" i="8"/>
  <c r="BI54" i="8"/>
  <c r="BG54" i="8"/>
  <c r="BF54" i="8"/>
  <c r="BD54" i="8"/>
  <c r="BC54" i="8"/>
  <c r="BA54" i="8"/>
  <c r="AZ98" i="8"/>
  <c r="AW98" i="8"/>
  <c r="AT98" i="8"/>
  <c r="AQ98" i="8"/>
  <c r="AN98" i="8"/>
  <c r="AK98" i="8"/>
  <c r="AZ97" i="8"/>
  <c r="AW97" i="8"/>
  <c r="AT97" i="8"/>
  <c r="AQ97" i="8"/>
  <c r="AN97" i="8"/>
  <c r="AK97" i="8"/>
  <c r="AZ96" i="8"/>
  <c r="AW96" i="8"/>
  <c r="AT96" i="8"/>
  <c r="AQ96" i="8"/>
  <c r="AN96" i="8"/>
  <c r="AK96" i="8"/>
  <c r="AZ95" i="8"/>
  <c r="AW95" i="8"/>
  <c r="AT95" i="8"/>
  <c r="AQ95" i="8"/>
  <c r="AN95" i="8"/>
  <c r="AK95" i="8"/>
  <c r="AZ94" i="8"/>
  <c r="AW94" i="8"/>
  <c r="AT94" i="8"/>
  <c r="AQ94" i="8"/>
  <c r="AN94" i="8"/>
  <c r="AK94" i="8"/>
  <c r="AZ93" i="8"/>
  <c r="AW93" i="8"/>
  <c r="AT93" i="8"/>
  <c r="AQ93" i="8"/>
  <c r="AN93" i="8"/>
  <c r="AK93" i="8"/>
  <c r="AZ92" i="8"/>
  <c r="AW92" i="8"/>
  <c r="AT92" i="8"/>
  <c r="AQ92" i="8"/>
  <c r="AN92" i="8"/>
  <c r="AK92" i="8"/>
  <c r="AZ91" i="8"/>
  <c r="AW91" i="8"/>
  <c r="AT91" i="8"/>
  <c r="AQ91" i="8"/>
  <c r="AN91" i="8"/>
  <c r="AK91" i="8"/>
  <c r="AZ90" i="8"/>
  <c r="AW90" i="8"/>
  <c r="AT90" i="8"/>
  <c r="AQ90" i="8"/>
  <c r="AN90" i="8"/>
  <c r="AK90" i="8"/>
  <c r="AZ89" i="8"/>
  <c r="AW89" i="8"/>
  <c r="AT89" i="8"/>
  <c r="AQ89" i="8"/>
  <c r="AN89" i="8"/>
  <c r="AK89" i="8"/>
  <c r="AZ88" i="8"/>
  <c r="AW88" i="8"/>
  <c r="AT88" i="8"/>
  <c r="AQ88" i="8"/>
  <c r="AN88" i="8"/>
  <c r="AK88" i="8"/>
  <c r="AZ87" i="8"/>
  <c r="AW87" i="8"/>
  <c r="AT87" i="8"/>
  <c r="AQ87" i="8"/>
  <c r="AN87" i="8"/>
  <c r="AK87" i="8"/>
  <c r="AZ86" i="8"/>
  <c r="AW86" i="8"/>
  <c r="AT86" i="8"/>
  <c r="AQ86" i="8"/>
  <c r="AN86" i="8"/>
  <c r="AK86" i="8"/>
  <c r="AZ85" i="8"/>
  <c r="AW85" i="8"/>
  <c r="AT85" i="8"/>
  <c r="AQ85" i="8"/>
  <c r="AN85" i="8"/>
  <c r="AK85" i="8"/>
  <c r="AZ84" i="8"/>
  <c r="AW84" i="8"/>
  <c r="AT84" i="8"/>
  <c r="AQ84" i="8"/>
  <c r="AN84" i="8"/>
  <c r="AK84" i="8"/>
  <c r="AZ83" i="8"/>
  <c r="AW83" i="8"/>
  <c r="AT83" i="8"/>
  <c r="AQ83" i="8"/>
  <c r="AN83" i="8"/>
  <c r="AK83" i="8"/>
  <c r="AZ82" i="8"/>
  <c r="AW82" i="8"/>
  <c r="AT82" i="8"/>
  <c r="AQ82" i="8"/>
  <c r="AN82" i="8"/>
  <c r="AK82" i="8"/>
  <c r="AZ81" i="8"/>
  <c r="AW81" i="8"/>
  <c r="AT81" i="8"/>
  <c r="AQ81" i="8"/>
  <c r="AN81" i="8"/>
  <c r="AK81" i="8"/>
  <c r="AZ80" i="8"/>
  <c r="AW80" i="8"/>
  <c r="AT80" i="8"/>
  <c r="AQ80" i="8"/>
  <c r="AN80" i="8"/>
  <c r="AK80" i="8"/>
  <c r="AZ79" i="8"/>
  <c r="AW79" i="8"/>
  <c r="AT79" i="8"/>
  <c r="AQ79" i="8"/>
  <c r="AN79" i="8"/>
  <c r="AK79" i="8"/>
  <c r="AZ78" i="8"/>
  <c r="AW78" i="8"/>
  <c r="AT78" i="8"/>
  <c r="AQ78" i="8"/>
  <c r="AN78" i="8"/>
  <c r="AK78" i="8"/>
  <c r="AZ77" i="8"/>
  <c r="AW77" i="8"/>
  <c r="AT77" i="8"/>
  <c r="AQ77" i="8"/>
  <c r="AN77" i="8"/>
  <c r="AK77" i="8"/>
  <c r="AZ76" i="8"/>
  <c r="AW76" i="8"/>
  <c r="AT76" i="8"/>
  <c r="AQ76" i="8"/>
  <c r="AN76" i="8"/>
  <c r="AK76" i="8"/>
  <c r="AZ75" i="8"/>
  <c r="AW75" i="8"/>
  <c r="AT75" i="8"/>
  <c r="AQ75" i="8"/>
  <c r="AN75" i="8"/>
  <c r="AK75" i="8"/>
  <c r="AZ74" i="8"/>
  <c r="AW74" i="8"/>
  <c r="AT74" i="8"/>
  <c r="AQ74" i="8"/>
  <c r="AN74" i="8"/>
  <c r="AK74" i="8"/>
  <c r="AZ73" i="8"/>
  <c r="AW73" i="8"/>
  <c r="AT73" i="8"/>
  <c r="AQ73" i="8"/>
  <c r="AN73" i="8"/>
  <c r="AK73" i="8"/>
  <c r="AZ72" i="8"/>
  <c r="AW72" i="8"/>
  <c r="AT72" i="8"/>
  <c r="AQ72" i="8"/>
  <c r="AN72" i="8"/>
  <c r="AK72" i="8"/>
  <c r="AZ71" i="8"/>
  <c r="AW71" i="8"/>
  <c r="AT71" i="8"/>
  <c r="AQ71" i="8"/>
  <c r="AN71" i="8"/>
  <c r="AK71" i="8"/>
  <c r="AZ70" i="8"/>
  <c r="AW70" i="8"/>
  <c r="AT70" i="8"/>
  <c r="AQ70" i="8"/>
  <c r="AN70" i="8"/>
  <c r="AK70" i="8"/>
  <c r="AZ69" i="8"/>
  <c r="AW69" i="8"/>
  <c r="AT69" i="8"/>
  <c r="AQ69" i="8"/>
  <c r="AN69" i="8"/>
  <c r="AK69" i="8"/>
  <c r="AZ68" i="8"/>
  <c r="AW68" i="8"/>
  <c r="AT68" i="8"/>
  <c r="AQ68" i="8"/>
  <c r="AN68" i="8"/>
  <c r="AK68" i="8"/>
  <c r="AZ67" i="8"/>
  <c r="AW67" i="8"/>
  <c r="AT67" i="8"/>
  <c r="AQ67" i="8"/>
  <c r="AN67" i="8"/>
  <c r="AK67" i="8"/>
  <c r="AZ66" i="8"/>
  <c r="AW66" i="8"/>
  <c r="AT66" i="8"/>
  <c r="AQ66" i="8"/>
  <c r="AN66" i="8"/>
  <c r="AK66" i="8"/>
  <c r="AZ65" i="8"/>
  <c r="AW65" i="8"/>
  <c r="AT65" i="8"/>
  <c r="AQ65" i="8"/>
  <c r="AN65" i="8"/>
  <c r="AK65" i="8"/>
  <c r="AZ64" i="8"/>
  <c r="AW64" i="8"/>
  <c r="AT64" i="8"/>
  <c r="AQ64" i="8"/>
  <c r="AN64" i="8"/>
  <c r="AK64" i="8"/>
  <c r="AZ63" i="8"/>
  <c r="AW63" i="8"/>
  <c r="AT63" i="8"/>
  <c r="AQ63" i="8"/>
  <c r="AN63" i="8"/>
  <c r="AK63" i="8"/>
  <c r="AZ62" i="8"/>
  <c r="AW62" i="8"/>
  <c r="AT62" i="8"/>
  <c r="AQ62" i="8"/>
  <c r="AN62" i="8"/>
  <c r="AK62" i="8"/>
  <c r="AZ61" i="8"/>
  <c r="AW61" i="8"/>
  <c r="AT61" i="8"/>
  <c r="AQ61" i="8"/>
  <c r="AN61" i="8"/>
  <c r="AK61" i="8"/>
  <c r="AZ60" i="8"/>
  <c r="AW60" i="8"/>
  <c r="AT60" i="8"/>
  <c r="AQ60" i="8"/>
  <c r="AN60" i="8"/>
  <c r="AK60" i="8"/>
  <c r="AZ59" i="8"/>
  <c r="AW59" i="8"/>
  <c r="AT59" i="8"/>
  <c r="AQ59" i="8"/>
  <c r="AN59" i="8"/>
  <c r="AK59" i="8"/>
  <c r="AZ58" i="8"/>
  <c r="AW58" i="8"/>
  <c r="AT58" i="8"/>
  <c r="AQ58" i="8"/>
  <c r="AN58" i="8"/>
  <c r="AK58" i="8"/>
  <c r="AZ57" i="8"/>
  <c r="AW57" i="8"/>
  <c r="AT57" i="8"/>
  <c r="AQ57" i="8"/>
  <c r="AN57" i="8"/>
  <c r="AK57" i="8"/>
  <c r="AZ56" i="8"/>
  <c r="AW56" i="8"/>
  <c r="AT56" i="8"/>
  <c r="AQ56" i="8"/>
  <c r="AN56" i="8"/>
  <c r="AK56" i="8"/>
  <c r="AZ55" i="8"/>
  <c r="AW55" i="8"/>
  <c r="AT55" i="8"/>
  <c r="AQ55" i="8"/>
  <c r="AN55" i="8"/>
  <c r="AK55" i="8"/>
  <c r="AZ54" i="8"/>
  <c r="AW54" i="8"/>
  <c r="AT54" i="8"/>
  <c r="AQ54" i="8"/>
  <c r="AN54" i="8"/>
  <c r="AK54" i="8"/>
  <c r="AY98" i="8"/>
  <c r="AV98" i="8"/>
  <c r="AS98" i="8"/>
  <c r="AP98" i="8"/>
  <c r="AM98" i="8"/>
  <c r="AJ98" i="8"/>
  <c r="AY97" i="8"/>
  <c r="AV97" i="8"/>
  <c r="AS97" i="8"/>
  <c r="AP97" i="8"/>
  <c r="AM97" i="8"/>
  <c r="AJ97" i="8"/>
  <c r="AY96" i="8"/>
  <c r="AV96" i="8"/>
  <c r="AS96" i="8"/>
  <c r="AP96" i="8"/>
  <c r="AM96" i="8"/>
  <c r="AJ96" i="8"/>
  <c r="AY95" i="8"/>
  <c r="AV95" i="8"/>
  <c r="AS95" i="8"/>
  <c r="AP95" i="8"/>
  <c r="AM95" i="8"/>
  <c r="AJ95" i="8"/>
  <c r="AY94" i="8"/>
  <c r="AV94" i="8"/>
  <c r="AS94" i="8"/>
  <c r="AP94" i="8"/>
  <c r="AM94" i="8"/>
  <c r="AJ94" i="8"/>
  <c r="AY93" i="8"/>
  <c r="AV93" i="8"/>
  <c r="AS93" i="8"/>
  <c r="AP93" i="8"/>
  <c r="AM93" i="8"/>
  <c r="AJ93" i="8"/>
  <c r="AY92" i="8"/>
  <c r="AV92" i="8"/>
  <c r="AS92" i="8"/>
  <c r="AP92" i="8"/>
  <c r="AM92" i="8"/>
  <c r="AJ92" i="8"/>
  <c r="AY91" i="8"/>
  <c r="AV91" i="8"/>
  <c r="AS91" i="8"/>
  <c r="AP91" i="8"/>
  <c r="AM91" i="8"/>
  <c r="AJ91" i="8"/>
  <c r="AY90" i="8"/>
  <c r="AV90" i="8"/>
  <c r="AS90" i="8"/>
  <c r="AP90" i="8"/>
  <c r="AM90" i="8"/>
  <c r="AJ90" i="8"/>
  <c r="AY89" i="8"/>
  <c r="AV89" i="8"/>
  <c r="AS89" i="8"/>
  <c r="AP89" i="8"/>
  <c r="AM89" i="8"/>
  <c r="AJ89" i="8"/>
  <c r="AY88" i="8"/>
  <c r="AV88" i="8"/>
  <c r="AS88" i="8"/>
  <c r="AP88" i="8"/>
  <c r="AM88" i="8"/>
  <c r="AJ88" i="8"/>
  <c r="AY87" i="8"/>
  <c r="AV87" i="8"/>
  <c r="AS87" i="8"/>
  <c r="AP87" i="8"/>
  <c r="AM87" i="8"/>
  <c r="AJ87" i="8"/>
  <c r="AY86" i="8"/>
  <c r="AV86" i="8"/>
  <c r="AS86" i="8"/>
  <c r="AP86" i="8"/>
  <c r="AM86" i="8"/>
  <c r="AJ86" i="8"/>
  <c r="AY85" i="8"/>
  <c r="AV85" i="8"/>
  <c r="AS85" i="8"/>
  <c r="AP85" i="8"/>
  <c r="AM85" i="8"/>
  <c r="AJ85" i="8"/>
  <c r="AY84" i="8"/>
  <c r="AV84" i="8"/>
  <c r="AS84" i="8"/>
  <c r="AP84" i="8"/>
  <c r="AM84" i="8"/>
  <c r="AJ84" i="8"/>
  <c r="AY83" i="8"/>
  <c r="AV83" i="8"/>
  <c r="AS83" i="8"/>
  <c r="AP83" i="8"/>
  <c r="AM83" i="8"/>
  <c r="AJ83" i="8"/>
  <c r="AY82" i="8"/>
  <c r="AV82" i="8"/>
  <c r="AS82" i="8"/>
  <c r="AP82" i="8"/>
  <c r="AM82" i="8"/>
  <c r="AJ82" i="8"/>
  <c r="AY81" i="8"/>
  <c r="AV81" i="8"/>
  <c r="AS81" i="8"/>
  <c r="AP81" i="8"/>
  <c r="AM81" i="8"/>
  <c r="AJ81" i="8"/>
  <c r="AY80" i="8"/>
  <c r="AV80" i="8"/>
  <c r="AS80" i="8"/>
  <c r="AP80" i="8"/>
  <c r="AM80" i="8"/>
  <c r="AJ80" i="8"/>
  <c r="AY79" i="8"/>
  <c r="AV79" i="8"/>
  <c r="AS79" i="8"/>
  <c r="AP79" i="8"/>
  <c r="AM79" i="8"/>
  <c r="AJ79" i="8"/>
  <c r="AY78" i="8"/>
  <c r="AV78" i="8"/>
  <c r="AS78" i="8"/>
  <c r="AP78" i="8"/>
  <c r="AM78" i="8"/>
  <c r="AJ78" i="8"/>
  <c r="AY77" i="8"/>
  <c r="AV77" i="8"/>
  <c r="AS77" i="8"/>
  <c r="AP77" i="8"/>
  <c r="AM77" i="8"/>
  <c r="AJ77" i="8"/>
  <c r="AY76" i="8"/>
  <c r="AV76" i="8"/>
  <c r="AS76" i="8"/>
  <c r="AP76" i="8"/>
  <c r="AM76" i="8"/>
  <c r="AJ76" i="8"/>
  <c r="AY75" i="8"/>
  <c r="AV75" i="8"/>
  <c r="AS75" i="8"/>
  <c r="AP75" i="8"/>
  <c r="AM75" i="8"/>
  <c r="AJ75" i="8"/>
  <c r="AY74" i="8"/>
  <c r="AV74" i="8"/>
  <c r="AS74" i="8"/>
  <c r="AP74" i="8"/>
  <c r="AM74" i="8"/>
  <c r="AJ74" i="8"/>
  <c r="AY73" i="8"/>
  <c r="AV73" i="8"/>
  <c r="AS73" i="8"/>
  <c r="AP73" i="8"/>
  <c r="AM73" i="8"/>
  <c r="AJ73" i="8"/>
  <c r="AY72" i="8"/>
  <c r="AV72" i="8"/>
  <c r="AS72" i="8"/>
  <c r="AP72" i="8"/>
  <c r="AM72" i="8"/>
  <c r="AJ72" i="8"/>
  <c r="AY71" i="8"/>
  <c r="AV71" i="8"/>
  <c r="AS71" i="8"/>
  <c r="AP71" i="8"/>
  <c r="AM71" i="8"/>
  <c r="AJ71" i="8"/>
  <c r="AY70" i="8"/>
  <c r="AV70" i="8"/>
  <c r="AS70" i="8"/>
  <c r="AP70" i="8"/>
  <c r="AM70" i="8"/>
  <c r="AJ70" i="8"/>
  <c r="AY69" i="8"/>
  <c r="AV69" i="8"/>
  <c r="AS69" i="8"/>
  <c r="AP69" i="8"/>
  <c r="AM69" i="8"/>
  <c r="AJ69" i="8"/>
  <c r="AY68" i="8"/>
  <c r="AV68" i="8"/>
  <c r="AS68" i="8"/>
  <c r="AP68" i="8"/>
  <c r="AM68" i="8"/>
  <c r="AJ68" i="8"/>
  <c r="AY67" i="8"/>
  <c r="AV67" i="8"/>
  <c r="AS67" i="8"/>
  <c r="AP67" i="8"/>
  <c r="AM67" i="8"/>
  <c r="AJ67" i="8"/>
  <c r="AY66" i="8"/>
  <c r="AV66" i="8"/>
  <c r="AS66" i="8"/>
  <c r="AP66" i="8"/>
  <c r="AM66" i="8"/>
  <c r="AJ66" i="8"/>
  <c r="AY65" i="8"/>
  <c r="AV65" i="8"/>
  <c r="AS65" i="8"/>
  <c r="AP65" i="8"/>
  <c r="AM65" i="8"/>
  <c r="AJ65" i="8"/>
  <c r="AY64" i="8"/>
  <c r="AV64" i="8"/>
  <c r="AS64" i="8"/>
  <c r="AP64" i="8"/>
  <c r="AM64" i="8"/>
  <c r="AJ64" i="8"/>
  <c r="AY63" i="8"/>
  <c r="AV63" i="8"/>
  <c r="AS63" i="8"/>
  <c r="AP63" i="8"/>
  <c r="AM63" i="8"/>
  <c r="AJ63" i="8"/>
  <c r="AY62" i="8"/>
  <c r="AV62" i="8"/>
  <c r="AS62" i="8"/>
  <c r="AP62" i="8"/>
  <c r="AM62" i="8"/>
  <c r="AJ62" i="8"/>
  <c r="AY61" i="8"/>
  <c r="AV61" i="8"/>
  <c r="AS61" i="8"/>
  <c r="AP61" i="8"/>
  <c r="AM61" i="8"/>
  <c r="AJ61" i="8"/>
  <c r="AY60" i="8"/>
  <c r="AV60" i="8"/>
  <c r="AS60" i="8"/>
  <c r="AP60" i="8"/>
  <c r="AM60" i="8"/>
  <c r="AJ60" i="8"/>
  <c r="AY59" i="8"/>
  <c r="AV59" i="8"/>
  <c r="AS59" i="8"/>
  <c r="AP59" i="8"/>
  <c r="AM59" i="8"/>
  <c r="AJ59" i="8"/>
  <c r="AY58" i="8"/>
  <c r="AV58" i="8"/>
  <c r="AS58" i="8"/>
  <c r="AP58" i="8"/>
  <c r="AM58" i="8"/>
  <c r="AJ58" i="8"/>
  <c r="AY57" i="8"/>
  <c r="AV57" i="8"/>
  <c r="AS57" i="8"/>
  <c r="AP57" i="8"/>
  <c r="AM57" i="8"/>
  <c r="AJ57" i="8"/>
  <c r="AY56" i="8"/>
  <c r="AV56" i="8"/>
  <c r="AS56" i="8"/>
  <c r="AP56" i="8"/>
  <c r="AM56" i="8"/>
  <c r="AJ56" i="8"/>
  <c r="AY55" i="8"/>
  <c r="AV55" i="8"/>
  <c r="AS55" i="8"/>
  <c r="AP55" i="8"/>
  <c r="AM55" i="8"/>
  <c r="AJ55" i="8"/>
  <c r="AY54" i="8"/>
  <c r="AV54" i="8"/>
  <c r="AS54" i="8"/>
  <c r="AP54" i="8"/>
  <c r="AM54" i="8"/>
  <c r="AJ54" i="8"/>
  <c r="AX98" i="8"/>
  <c r="AU98" i="8"/>
  <c r="AR98" i="8"/>
  <c r="AO98" i="8"/>
  <c r="AL98" i="8"/>
  <c r="AI98" i="8"/>
  <c r="AX97" i="8"/>
  <c r="AU97" i="8"/>
  <c r="AR97" i="8"/>
  <c r="AO97" i="8"/>
  <c r="AL97" i="8"/>
  <c r="AI97" i="8"/>
  <c r="AX96" i="8"/>
  <c r="AU96" i="8"/>
  <c r="AR96" i="8"/>
  <c r="AO96" i="8"/>
  <c r="AL96" i="8"/>
  <c r="AI96" i="8"/>
  <c r="AX95" i="8"/>
  <c r="AU95" i="8"/>
  <c r="AR95" i="8"/>
  <c r="AO95" i="8"/>
  <c r="AL95" i="8"/>
  <c r="AI95" i="8"/>
  <c r="AX94" i="8"/>
  <c r="AU94" i="8"/>
  <c r="AR94" i="8"/>
  <c r="AO94" i="8"/>
  <c r="AL94" i="8"/>
  <c r="AI94" i="8"/>
  <c r="AX93" i="8"/>
  <c r="AU93" i="8"/>
  <c r="AR93" i="8"/>
  <c r="AO93" i="8"/>
  <c r="AL93" i="8"/>
  <c r="AI93" i="8"/>
  <c r="AX92" i="8"/>
  <c r="AU92" i="8"/>
  <c r="AR92" i="8"/>
  <c r="AO92" i="8"/>
  <c r="AL92" i="8"/>
  <c r="AI92" i="8"/>
  <c r="AX91" i="8"/>
  <c r="AU91" i="8"/>
  <c r="AR91" i="8"/>
  <c r="AO91" i="8"/>
  <c r="AL91" i="8"/>
  <c r="AI91" i="8"/>
  <c r="AX90" i="8"/>
  <c r="AU90" i="8"/>
  <c r="AR90" i="8"/>
  <c r="AO90" i="8"/>
  <c r="AL90" i="8"/>
  <c r="AI90" i="8"/>
  <c r="AX89" i="8"/>
  <c r="AU89" i="8"/>
  <c r="AR89" i="8"/>
  <c r="AO89" i="8"/>
  <c r="AL89" i="8"/>
  <c r="AI89" i="8"/>
  <c r="AX88" i="8"/>
  <c r="AU88" i="8"/>
  <c r="AR88" i="8"/>
  <c r="AO88" i="8"/>
  <c r="AL88" i="8"/>
  <c r="AI88" i="8"/>
  <c r="AX87" i="8"/>
  <c r="AU87" i="8"/>
  <c r="AR87" i="8"/>
  <c r="AO87" i="8"/>
  <c r="AL87" i="8"/>
  <c r="AI87" i="8"/>
  <c r="AX86" i="8"/>
  <c r="AU86" i="8"/>
  <c r="AR86" i="8"/>
  <c r="AO86" i="8"/>
  <c r="AL86" i="8"/>
  <c r="AI86" i="8"/>
  <c r="AX85" i="8"/>
  <c r="AU85" i="8"/>
  <c r="AR85" i="8"/>
  <c r="AO85" i="8"/>
  <c r="AL85" i="8"/>
  <c r="AI85" i="8"/>
  <c r="AX84" i="8"/>
  <c r="AU84" i="8"/>
  <c r="AR84" i="8"/>
  <c r="AO84" i="8"/>
  <c r="AL84" i="8"/>
  <c r="AI84" i="8"/>
  <c r="AX83" i="8"/>
  <c r="AU83" i="8"/>
  <c r="AR83" i="8"/>
  <c r="AO83" i="8"/>
  <c r="AL83" i="8"/>
  <c r="AI83" i="8"/>
  <c r="AX82" i="8"/>
  <c r="AU82" i="8"/>
  <c r="AR82" i="8"/>
  <c r="AO82" i="8"/>
  <c r="AL82" i="8"/>
  <c r="AI82" i="8"/>
  <c r="AX81" i="8"/>
  <c r="AU81" i="8"/>
  <c r="AR81" i="8"/>
  <c r="AO81" i="8"/>
  <c r="AL81" i="8"/>
  <c r="AI81" i="8"/>
  <c r="AX80" i="8"/>
  <c r="AU80" i="8"/>
  <c r="AR80" i="8"/>
  <c r="AO80" i="8"/>
  <c r="AL80" i="8"/>
  <c r="AI80" i="8"/>
  <c r="AX79" i="8"/>
  <c r="AU79" i="8"/>
  <c r="AR79" i="8"/>
  <c r="AO79" i="8"/>
  <c r="AL79" i="8"/>
  <c r="AI79" i="8"/>
  <c r="AX78" i="8"/>
  <c r="AU78" i="8"/>
  <c r="AR78" i="8"/>
  <c r="AO78" i="8"/>
  <c r="AL78" i="8"/>
  <c r="AI78" i="8"/>
  <c r="AX77" i="8"/>
  <c r="AU77" i="8"/>
  <c r="AR77" i="8"/>
  <c r="AO77" i="8"/>
  <c r="AL77" i="8"/>
  <c r="AI77" i="8"/>
  <c r="AX76" i="8"/>
  <c r="AU76" i="8"/>
  <c r="AR76" i="8"/>
  <c r="AO76" i="8"/>
  <c r="AL76" i="8"/>
  <c r="AI76" i="8"/>
  <c r="AX75" i="8"/>
  <c r="AU75" i="8"/>
  <c r="AR75" i="8"/>
  <c r="AO75" i="8"/>
  <c r="AL75" i="8"/>
  <c r="AI75" i="8"/>
  <c r="AX74" i="8"/>
  <c r="AU74" i="8"/>
  <c r="AR74" i="8"/>
  <c r="AO74" i="8"/>
  <c r="AL74" i="8"/>
  <c r="AI74" i="8"/>
  <c r="AX73" i="8"/>
  <c r="AU73" i="8"/>
  <c r="AR73" i="8"/>
  <c r="AO73" i="8"/>
  <c r="AL73" i="8"/>
  <c r="AI73" i="8"/>
  <c r="AX72" i="8"/>
  <c r="AU72" i="8"/>
  <c r="AR72" i="8"/>
  <c r="AO72" i="8"/>
  <c r="AL72" i="8"/>
  <c r="AI72" i="8"/>
  <c r="AX71" i="8"/>
  <c r="AU71" i="8"/>
  <c r="AR71" i="8"/>
  <c r="AO71" i="8"/>
  <c r="AL71" i="8"/>
  <c r="AI71" i="8"/>
  <c r="AX70" i="8"/>
  <c r="AU70" i="8"/>
  <c r="AR70" i="8"/>
  <c r="AO70" i="8"/>
  <c r="AL70" i="8"/>
  <c r="AI70" i="8"/>
  <c r="AX69" i="8"/>
  <c r="AU69" i="8"/>
  <c r="AR69" i="8"/>
  <c r="AO69" i="8"/>
  <c r="AL69" i="8"/>
  <c r="AI69" i="8"/>
  <c r="AX68" i="8"/>
  <c r="AU68" i="8"/>
  <c r="AR68" i="8"/>
  <c r="AO68" i="8"/>
  <c r="AL68" i="8"/>
  <c r="AI68" i="8"/>
  <c r="AX67" i="8"/>
  <c r="AU67" i="8"/>
  <c r="AR67" i="8"/>
  <c r="AO67" i="8"/>
  <c r="AL67" i="8"/>
  <c r="AI67" i="8"/>
  <c r="AX66" i="8"/>
  <c r="AU66" i="8"/>
  <c r="AR66" i="8"/>
  <c r="AO66" i="8"/>
  <c r="AL66" i="8"/>
  <c r="AI66" i="8"/>
  <c r="AX65" i="8"/>
  <c r="AU65" i="8"/>
  <c r="AR65" i="8"/>
  <c r="AO65" i="8"/>
  <c r="AL65" i="8"/>
  <c r="AI65" i="8"/>
  <c r="AX64" i="8"/>
  <c r="AU64" i="8"/>
  <c r="AR64" i="8"/>
  <c r="AO64" i="8"/>
  <c r="AL64" i="8"/>
  <c r="AI64" i="8"/>
  <c r="AX63" i="8"/>
  <c r="AU63" i="8"/>
  <c r="AR63" i="8"/>
  <c r="AO63" i="8"/>
  <c r="AL63" i="8"/>
  <c r="AI63" i="8"/>
  <c r="AX62" i="8"/>
  <c r="AU62" i="8"/>
  <c r="AR62" i="8"/>
  <c r="AO62" i="8"/>
  <c r="AL62" i="8"/>
  <c r="AI62" i="8"/>
  <c r="AX61" i="8"/>
  <c r="AU61" i="8"/>
  <c r="AR61" i="8"/>
  <c r="AO61" i="8"/>
  <c r="AL61" i="8"/>
  <c r="AI61" i="8"/>
  <c r="AX60" i="8"/>
  <c r="AU60" i="8"/>
  <c r="AR60" i="8"/>
  <c r="AO60" i="8"/>
  <c r="AL60" i="8"/>
  <c r="AI60" i="8"/>
  <c r="AX59" i="8"/>
  <c r="AU59" i="8"/>
  <c r="AR59" i="8"/>
  <c r="AO59" i="8"/>
  <c r="AL59" i="8"/>
  <c r="AI59" i="8"/>
  <c r="AX58" i="8"/>
  <c r="AU58" i="8"/>
  <c r="AR58" i="8"/>
  <c r="AO58" i="8"/>
  <c r="AL58" i="8"/>
  <c r="AI58" i="8"/>
  <c r="AX57" i="8"/>
  <c r="AU57" i="8"/>
  <c r="AR57" i="8"/>
  <c r="AO57" i="8"/>
  <c r="AL57" i="8"/>
  <c r="AI57" i="8"/>
  <c r="AX56" i="8"/>
  <c r="AU56" i="8"/>
  <c r="AR56" i="8"/>
  <c r="AO56" i="8"/>
  <c r="AL56" i="8"/>
  <c r="AI56" i="8"/>
  <c r="AX55" i="8"/>
  <c r="AU55" i="8"/>
  <c r="AR55" i="8"/>
  <c r="AO55" i="8"/>
  <c r="AL55" i="8"/>
  <c r="AI55" i="8"/>
  <c r="AX54" i="8"/>
  <c r="AU54" i="8"/>
  <c r="AR54" i="8"/>
  <c r="AO54" i="8"/>
  <c r="AL54" i="8"/>
  <c r="AI54" i="8"/>
  <c r="AH98" i="8"/>
  <c r="AE98" i="8"/>
  <c r="AB98" i="8"/>
  <c r="Y98" i="8"/>
  <c r="V98" i="8"/>
  <c r="S98" i="8"/>
  <c r="P98" i="8"/>
  <c r="M98" i="8"/>
  <c r="J98" i="8"/>
  <c r="G98" i="8"/>
  <c r="AH97" i="8"/>
  <c r="AE97" i="8"/>
  <c r="AB97" i="8"/>
  <c r="Y97" i="8"/>
  <c r="V97" i="8"/>
  <c r="S97" i="8"/>
  <c r="P97" i="8"/>
  <c r="M97" i="8"/>
  <c r="J97" i="8"/>
  <c r="G97" i="8"/>
  <c r="AH96" i="8"/>
  <c r="AE96" i="8"/>
  <c r="AB96" i="8"/>
  <c r="Y96" i="8"/>
  <c r="V96" i="8"/>
  <c r="S96" i="8"/>
  <c r="P96" i="8"/>
  <c r="M96" i="8"/>
  <c r="J96" i="8"/>
  <c r="G96" i="8"/>
  <c r="AH95" i="8"/>
  <c r="AE95" i="8"/>
  <c r="AB95" i="8"/>
  <c r="Y95" i="8"/>
  <c r="V95" i="8"/>
  <c r="S95" i="8"/>
  <c r="P95" i="8"/>
  <c r="M95" i="8"/>
  <c r="J95" i="8"/>
  <c r="G95" i="8"/>
  <c r="AH94" i="8"/>
  <c r="AE94" i="8"/>
  <c r="AB94" i="8"/>
  <c r="Y94" i="8"/>
  <c r="V94" i="8"/>
  <c r="S94" i="8"/>
  <c r="P94" i="8"/>
  <c r="M94" i="8"/>
  <c r="J94" i="8"/>
  <c r="G94" i="8"/>
  <c r="AH93" i="8"/>
  <c r="AE93" i="8"/>
  <c r="AB93" i="8"/>
  <c r="Y93" i="8"/>
  <c r="V93" i="8"/>
  <c r="S93" i="8"/>
  <c r="P93" i="8"/>
  <c r="M93" i="8"/>
  <c r="J93" i="8"/>
  <c r="G93" i="8"/>
  <c r="AH92" i="8"/>
  <c r="AE92" i="8"/>
  <c r="AB92" i="8"/>
  <c r="Y92" i="8"/>
  <c r="V92" i="8"/>
  <c r="S92" i="8"/>
  <c r="P92" i="8"/>
  <c r="M92" i="8"/>
  <c r="J92" i="8"/>
  <c r="G92" i="8"/>
  <c r="AH91" i="8"/>
  <c r="AE91" i="8"/>
  <c r="AB91" i="8"/>
  <c r="Y91" i="8"/>
  <c r="V91" i="8"/>
  <c r="S91" i="8"/>
  <c r="P91" i="8"/>
  <c r="M91" i="8"/>
  <c r="J91" i="8"/>
  <c r="G91" i="8"/>
  <c r="AH90" i="8"/>
  <c r="AE90" i="8"/>
  <c r="AB90" i="8"/>
  <c r="Y90" i="8"/>
  <c r="V90" i="8"/>
  <c r="S90" i="8"/>
  <c r="P90" i="8"/>
  <c r="M90" i="8"/>
  <c r="J90" i="8"/>
  <c r="G90" i="8"/>
  <c r="AH89" i="8"/>
  <c r="AE89" i="8"/>
  <c r="AB89" i="8"/>
  <c r="Y89" i="8"/>
  <c r="V89" i="8"/>
  <c r="S89" i="8"/>
  <c r="P89" i="8"/>
  <c r="M89" i="8"/>
  <c r="J89" i="8"/>
  <c r="G89" i="8"/>
  <c r="AH88" i="8"/>
  <c r="AE88" i="8"/>
  <c r="AB88" i="8"/>
  <c r="Y88" i="8"/>
  <c r="V88" i="8"/>
  <c r="S88" i="8"/>
  <c r="P88" i="8"/>
  <c r="M88" i="8"/>
  <c r="J88" i="8"/>
  <c r="G88" i="8"/>
  <c r="AH87" i="8"/>
  <c r="AE87" i="8"/>
  <c r="AB87" i="8"/>
  <c r="Y87" i="8"/>
  <c r="V87" i="8"/>
  <c r="S87" i="8"/>
  <c r="P87" i="8"/>
  <c r="M87" i="8"/>
  <c r="J87" i="8"/>
  <c r="G87" i="8"/>
  <c r="AH86" i="8"/>
  <c r="AE86" i="8"/>
  <c r="AB86" i="8"/>
  <c r="Y86" i="8"/>
  <c r="V86" i="8"/>
  <c r="S86" i="8"/>
  <c r="P86" i="8"/>
  <c r="M86" i="8"/>
  <c r="J86" i="8"/>
  <c r="G86" i="8"/>
  <c r="AH85" i="8"/>
  <c r="AE85" i="8"/>
  <c r="AB85" i="8"/>
  <c r="Y85" i="8"/>
  <c r="V85" i="8"/>
  <c r="S85" i="8"/>
  <c r="P85" i="8"/>
  <c r="M85" i="8"/>
  <c r="J85" i="8"/>
  <c r="G85" i="8"/>
  <c r="AH84" i="8"/>
  <c r="AE84" i="8"/>
  <c r="AB84" i="8"/>
  <c r="Y84" i="8"/>
  <c r="V84" i="8"/>
  <c r="S84" i="8"/>
  <c r="P84" i="8"/>
  <c r="M84" i="8"/>
  <c r="J84" i="8"/>
  <c r="G84" i="8"/>
  <c r="AH83" i="8"/>
  <c r="AE83" i="8"/>
  <c r="AB83" i="8"/>
  <c r="Y83" i="8"/>
  <c r="V83" i="8"/>
  <c r="S83" i="8"/>
  <c r="P83" i="8"/>
  <c r="M83" i="8"/>
  <c r="J83" i="8"/>
  <c r="G83" i="8"/>
  <c r="AH82" i="8"/>
  <c r="AE82" i="8"/>
  <c r="AB82" i="8"/>
  <c r="Y82" i="8"/>
  <c r="V82" i="8"/>
  <c r="S82" i="8"/>
  <c r="P82" i="8"/>
  <c r="M82" i="8"/>
  <c r="J82" i="8"/>
  <c r="G82" i="8"/>
  <c r="AH81" i="8"/>
  <c r="AE81" i="8"/>
  <c r="AB81" i="8"/>
  <c r="Y81" i="8"/>
  <c r="V81" i="8"/>
  <c r="S81" i="8"/>
  <c r="P81" i="8"/>
  <c r="M81" i="8"/>
  <c r="J81" i="8"/>
  <c r="G81" i="8"/>
  <c r="AH80" i="8"/>
  <c r="AE80" i="8"/>
  <c r="AB80" i="8"/>
  <c r="Y80" i="8"/>
  <c r="V80" i="8"/>
  <c r="S80" i="8"/>
  <c r="P80" i="8"/>
  <c r="M80" i="8"/>
  <c r="J80" i="8"/>
  <c r="G80" i="8"/>
  <c r="AH79" i="8"/>
  <c r="AE79" i="8"/>
  <c r="AB79" i="8"/>
  <c r="Y79" i="8"/>
  <c r="V79" i="8"/>
  <c r="S79" i="8"/>
  <c r="P79" i="8"/>
  <c r="M79" i="8"/>
  <c r="J79" i="8"/>
  <c r="G79" i="8"/>
  <c r="AH78" i="8"/>
  <c r="AE78" i="8"/>
  <c r="AB78" i="8"/>
  <c r="Y78" i="8"/>
  <c r="V78" i="8"/>
  <c r="S78" i="8"/>
  <c r="P78" i="8"/>
  <c r="M78" i="8"/>
  <c r="J78" i="8"/>
  <c r="G78" i="8"/>
  <c r="AH77" i="8"/>
  <c r="AE77" i="8"/>
  <c r="AB77" i="8"/>
  <c r="Y77" i="8"/>
  <c r="V77" i="8"/>
  <c r="S77" i="8"/>
  <c r="P77" i="8"/>
  <c r="M77" i="8"/>
  <c r="J77" i="8"/>
  <c r="G77" i="8"/>
  <c r="AH76" i="8"/>
  <c r="AE76" i="8"/>
  <c r="AB76" i="8"/>
  <c r="Y76" i="8"/>
  <c r="V76" i="8"/>
  <c r="S76" i="8"/>
  <c r="P76" i="8"/>
  <c r="M76" i="8"/>
  <c r="J76" i="8"/>
  <c r="G76" i="8"/>
  <c r="AH75" i="8"/>
  <c r="AE75" i="8"/>
  <c r="AB75" i="8"/>
  <c r="Y75" i="8"/>
  <c r="V75" i="8"/>
  <c r="S75" i="8"/>
  <c r="P75" i="8"/>
  <c r="M75" i="8"/>
  <c r="J75" i="8"/>
  <c r="G75" i="8"/>
  <c r="AH74" i="8"/>
  <c r="AE74" i="8"/>
  <c r="AB74" i="8"/>
  <c r="Y74" i="8"/>
  <c r="V74" i="8"/>
  <c r="S74" i="8"/>
  <c r="P74" i="8"/>
  <c r="M74" i="8"/>
  <c r="J74" i="8"/>
  <c r="G74" i="8"/>
  <c r="AH73" i="8"/>
  <c r="AE73" i="8"/>
  <c r="AB73" i="8"/>
  <c r="Y73" i="8"/>
  <c r="V73" i="8"/>
  <c r="S73" i="8"/>
  <c r="P73" i="8"/>
  <c r="M73" i="8"/>
  <c r="J73" i="8"/>
  <c r="G73" i="8"/>
  <c r="AH72" i="8"/>
  <c r="AE72" i="8"/>
  <c r="AB72" i="8"/>
  <c r="Y72" i="8"/>
  <c r="V72" i="8"/>
  <c r="S72" i="8"/>
  <c r="P72" i="8"/>
  <c r="M72" i="8"/>
  <c r="J72" i="8"/>
  <c r="G72" i="8"/>
  <c r="AH71" i="8"/>
  <c r="AE71" i="8"/>
  <c r="AB71" i="8"/>
  <c r="Y71" i="8"/>
  <c r="V71" i="8"/>
  <c r="S71" i="8"/>
  <c r="P71" i="8"/>
  <c r="M71" i="8"/>
  <c r="J71" i="8"/>
  <c r="G71" i="8"/>
  <c r="AH70" i="8"/>
  <c r="AE70" i="8"/>
  <c r="AB70" i="8"/>
  <c r="Y70" i="8"/>
  <c r="V70" i="8"/>
  <c r="S70" i="8"/>
  <c r="P70" i="8"/>
  <c r="M70" i="8"/>
  <c r="J70" i="8"/>
  <c r="G70" i="8"/>
  <c r="AH69" i="8"/>
  <c r="AE69" i="8"/>
  <c r="AB69" i="8"/>
  <c r="Y69" i="8"/>
  <c r="V69" i="8"/>
  <c r="S69" i="8"/>
  <c r="P69" i="8"/>
  <c r="M69" i="8"/>
  <c r="J69" i="8"/>
  <c r="G69" i="8"/>
  <c r="AH68" i="8"/>
  <c r="AE68" i="8"/>
  <c r="AB68" i="8"/>
  <c r="Y68" i="8"/>
  <c r="V68" i="8"/>
  <c r="S68" i="8"/>
  <c r="P68" i="8"/>
  <c r="M68" i="8"/>
  <c r="J68" i="8"/>
  <c r="G68" i="8"/>
  <c r="AH67" i="8"/>
  <c r="AE67" i="8"/>
  <c r="AB67" i="8"/>
  <c r="Y67" i="8"/>
  <c r="V67" i="8"/>
  <c r="S67" i="8"/>
  <c r="P67" i="8"/>
  <c r="M67" i="8"/>
  <c r="J67" i="8"/>
  <c r="G67" i="8"/>
  <c r="AH66" i="8"/>
  <c r="AE66" i="8"/>
  <c r="AB66" i="8"/>
  <c r="Y66" i="8"/>
  <c r="V66" i="8"/>
  <c r="S66" i="8"/>
  <c r="P66" i="8"/>
  <c r="M66" i="8"/>
  <c r="J66" i="8"/>
  <c r="G66" i="8"/>
  <c r="AH65" i="8"/>
  <c r="AE65" i="8"/>
  <c r="AB65" i="8"/>
  <c r="Y65" i="8"/>
  <c r="V65" i="8"/>
  <c r="S65" i="8"/>
  <c r="P65" i="8"/>
  <c r="M65" i="8"/>
  <c r="J65" i="8"/>
  <c r="G65" i="8"/>
  <c r="AH64" i="8"/>
  <c r="AE64" i="8"/>
  <c r="AB64" i="8"/>
  <c r="Y64" i="8"/>
  <c r="V64" i="8"/>
  <c r="S64" i="8"/>
  <c r="P64" i="8"/>
  <c r="M64" i="8"/>
  <c r="J64" i="8"/>
  <c r="G64" i="8"/>
  <c r="AH63" i="8"/>
  <c r="AE63" i="8"/>
  <c r="AB63" i="8"/>
  <c r="Y63" i="8"/>
  <c r="V63" i="8"/>
  <c r="S63" i="8"/>
  <c r="P63" i="8"/>
  <c r="M63" i="8"/>
  <c r="J63" i="8"/>
  <c r="G63" i="8"/>
  <c r="AH62" i="8"/>
  <c r="AE62" i="8"/>
  <c r="AB62" i="8"/>
  <c r="Y62" i="8"/>
  <c r="V62" i="8"/>
  <c r="S62" i="8"/>
  <c r="P62" i="8"/>
  <c r="M62" i="8"/>
  <c r="J62" i="8"/>
  <c r="G62" i="8"/>
  <c r="AH61" i="8"/>
  <c r="AE61" i="8"/>
  <c r="AB61" i="8"/>
  <c r="Y61" i="8"/>
  <c r="V61" i="8"/>
  <c r="S61" i="8"/>
  <c r="P61" i="8"/>
  <c r="M61" i="8"/>
  <c r="J61" i="8"/>
  <c r="G61" i="8"/>
  <c r="AH60" i="8"/>
  <c r="AE60" i="8"/>
  <c r="AB60" i="8"/>
  <c r="Y60" i="8"/>
  <c r="V60" i="8"/>
  <c r="S60" i="8"/>
  <c r="P60" i="8"/>
  <c r="M60" i="8"/>
  <c r="J60" i="8"/>
  <c r="G60" i="8"/>
  <c r="AH59" i="8"/>
  <c r="AE59" i="8"/>
  <c r="AB59" i="8"/>
  <c r="Y59" i="8"/>
  <c r="V59" i="8"/>
  <c r="S59" i="8"/>
  <c r="P59" i="8"/>
  <c r="M59" i="8"/>
  <c r="J59" i="8"/>
  <c r="G59" i="8"/>
  <c r="AH58" i="8"/>
  <c r="AE58" i="8"/>
  <c r="AB58" i="8"/>
  <c r="Y58" i="8"/>
  <c r="V58" i="8"/>
  <c r="S58" i="8"/>
  <c r="P58" i="8"/>
  <c r="M58" i="8"/>
  <c r="J58" i="8"/>
  <c r="G58" i="8"/>
  <c r="AH57" i="8"/>
  <c r="AE57" i="8"/>
  <c r="AB57" i="8"/>
  <c r="Y57" i="8"/>
  <c r="V57" i="8"/>
  <c r="S57" i="8"/>
  <c r="P57" i="8"/>
  <c r="M57" i="8"/>
  <c r="J57" i="8"/>
  <c r="G57" i="8"/>
  <c r="AH56" i="8"/>
  <c r="AE56" i="8"/>
  <c r="AB56" i="8"/>
  <c r="Y56" i="8"/>
  <c r="V56" i="8"/>
  <c r="S56" i="8"/>
  <c r="P56" i="8"/>
  <c r="M56" i="8"/>
  <c r="J56" i="8"/>
  <c r="G56" i="8"/>
  <c r="AH55" i="8"/>
  <c r="AE55" i="8"/>
  <c r="AB55" i="8"/>
  <c r="Y55" i="8"/>
  <c r="V55" i="8"/>
  <c r="S55" i="8"/>
  <c r="P55" i="8"/>
  <c r="M55" i="8"/>
  <c r="J55" i="8"/>
  <c r="G55" i="8"/>
  <c r="AH54" i="8"/>
  <c r="AE54" i="8"/>
  <c r="AB54" i="8"/>
  <c r="Y54" i="8"/>
  <c r="V54" i="8"/>
  <c r="S54" i="8"/>
  <c r="P54" i="8"/>
  <c r="M54" i="8"/>
  <c r="J54" i="8"/>
  <c r="G54" i="8"/>
  <c r="AF98" i="8"/>
  <c r="AC98" i="8"/>
  <c r="Z98" i="8"/>
  <c r="W98" i="8"/>
  <c r="T98" i="8"/>
  <c r="Q98" i="8"/>
  <c r="N98" i="8"/>
  <c r="K98" i="8"/>
  <c r="H98" i="8"/>
  <c r="E98" i="8"/>
  <c r="AF97" i="8"/>
  <c r="AC97" i="8"/>
  <c r="Z97" i="8"/>
  <c r="W97" i="8"/>
  <c r="T97" i="8"/>
  <c r="Q97" i="8"/>
  <c r="N97" i="8"/>
  <c r="K97" i="8"/>
  <c r="H97" i="8"/>
  <c r="E97" i="8"/>
  <c r="AF96" i="8"/>
  <c r="AC96" i="8"/>
  <c r="Z96" i="8"/>
  <c r="W96" i="8"/>
  <c r="T96" i="8"/>
  <c r="Q96" i="8"/>
  <c r="N96" i="8"/>
  <c r="K96" i="8"/>
  <c r="H96" i="8"/>
  <c r="E96" i="8"/>
  <c r="AF95" i="8"/>
  <c r="AC95" i="8"/>
  <c r="Z95" i="8"/>
  <c r="W95" i="8"/>
  <c r="T95" i="8"/>
  <c r="Q95" i="8"/>
  <c r="N95" i="8"/>
  <c r="K95" i="8"/>
  <c r="H95" i="8"/>
  <c r="E95" i="8"/>
  <c r="AF94" i="8"/>
  <c r="AC94" i="8"/>
  <c r="Z94" i="8"/>
  <c r="W94" i="8"/>
  <c r="T94" i="8"/>
  <c r="Q94" i="8"/>
  <c r="N94" i="8"/>
  <c r="K94" i="8"/>
  <c r="H94" i="8"/>
  <c r="E94" i="8"/>
  <c r="AF93" i="8"/>
  <c r="AC93" i="8"/>
  <c r="Z93" i="8"/>
  <c r="W93" i="8"/>
  <c r="T93" i="8"/>
  <c r="Q93" i="8"/>
  <c r="N93" i="8"/>
  <c r="K93" i="8"/>
  <c r="H93" i="8"/>
  <c r="E93" i="8"/>
  <c r="AF92" i="8"/>
  <c r="AC92" i="8"/>
  <c r="Z92" i="8"/>
  <c r="W92" i="8"/>
  <c r="T92" i="8"/>
  <c r="Q92" i="8"/>
  <c r="N92" i="8"/>
  <c r="K92" i="8"/>
  <c r="H92" i="8"/>
  <c r="E92" i="8"/>
  <c r="AF91" i="8"/>
  <c r="AC91" i="8"/>
  <c r="Z91" i="8"/>
  <c r="W91" i="8"/>
  <c r="T91" i="8"/>
  <c r="Q91" i="8"/>
  <c r="N91" i="8"/>
  <c r="K91" i="8"/>
  <c r="H91" i="8"/>
  <c r="E91" i="8"/>
  <c r="AF90" i="8"/>
  <c r="AC90" i="8"/>
  <c r="Z90" i="8"/>
  <c r="W90" i="8"/>
  <c r="T90" i="8"/>
  <c r="Q90" i="8"/>
  <c r="N90" i="8"/>
  <c r="K90" i="8"/>
  <c r="H90" i="8"/>
  <c r="E90" i="8"/>
  <c r="AF89" i="8"/>
  <c r="AC89" i="8"/>
  <c r="Z89" i="8"/>
  <c r="W89" i="8"/>
  <c r="T89" i="8"/>
  <c r="Q89" i="8"/>
  <c r="N89" i="8"/>
  <c r="K89" i="8"/>
  <c r="H89" i="8"/>
  <c r="E89" i="8"/>
  <c r="AF88" i="8"/>
  <c r="AC88" i="8"/>
  <c r="Z88" i="8"/>
  <c r="W88" i="8"/>
  <c r="T88" i="8"/>
  <c r="Q88" i="8"/>
  <c r="N88" i="8"/>
  <c r="K88" i="8"/>
  <c r="H88" i="8"/>
  <c r="E88" i="8"/>
  <c r="AF87" i="8"/>
  <c r="AC87" i="8"/>
  <c r="Z87" i="8"/>
  <c r="W87" i="8"/>
  <c r="T87" i="8"/>
  <c r="Q87" i="8"/>
  <c r="N87" i="8"/>
  <c r="K87" i="8"/>
  <c r="H87" i="8"/>
  <c r="E87" i="8"/>
  <c r="AF86" i="8"/>
  <c r="AC86" i="8"/>
  <c r="Z86" i="8"/>
  <c r="W86" i="8"/>
  <c r="T86" i="8"/>
  <c r="Q86" i="8"/>
  <c r="N86" i="8"/>
  <c r="K86" i="8"/>
  <c r="H86" i="8"/>
  <c r="E86" i="8"/>
  <c r="AF85" i="8"/>
  <c r="AC85" i="8"/>
  <c r="Z85" i="8"/>
  <c r="W85" i="8"/>
  <c r="T85" i="8"/>
  <c r="Q85" i="8"/>
  <c r="N85" i="8"/>
  <c r="K85" i="8"/>
  <c r="H85" i="8"/>
  <c r="E85" i="8"/>
  <c r="AF84" i="8"/>
  <c r="AC84" i="8"/>
  <c r="Z84" i="8"/>
  <c r="W84" i="8"/>
  <c r="T84" i="8"/>
  <c r="Q84" i="8"/>
  <c r="N84" i="8"/>
  <c r="K84" i="8"/>
  <c r="H84" i="8"/>
  <c r="E84" i="8"/>
  <c r="AF83" i="8"/>
  <c r="AC83" i="8"/>
  <c r="Z83" i="8"/>
  <c r="W83" i="8"/>
  <c r="T83" i="8"/>
  <c r="Q83" i="8"/>
  <c r="N83" i="8"/>
  <c r="K83" i="8"/>
  <c r="H83" i="8"/>
  <c r="E83" i="8"/>
  <c r="AF82" i="8"/>
  <c r="AC82" i="8"/>
  <c r="Z82" i="8"/>
  <c r="W82" i="8"/>
  <c r="T82" i="8"/>
  <c r="Q82" i="8"/>
  <c r="N82" i="8"/>
  <c r="K82" i="8"/>
  <c r="H82" i="8"/>
  <c r="E82" i="8"/>
  <c r="AF81" i="8"/>
  <c r="AC81" i="8"/>
  <c r="Z81" i="8"/>
  <c r="W81" i="8"/>
  <c r="T81" i="8"/>
  <c r="Q81" i="8"/>
  <c r="N81" i="8"/>
  <c r="K81" i="8"/>
  <c r="H81" i="8"/>
  <c r="E81" i="8"/>
  <c r="AF80" i="8"/>
  <c r="AC80" i="8"/>
  <c r="Z80" i="8"/>
  <c r="W80" i="8"/>
  <c r="T80" i="8"/>
  <c r="Q80" i="8"/>
  <c r="N80" i="8"/>
  <c r="K80" i="8"/>
  <c r="H80" i="8"/>
  <c r="E80" i="8"/>
  <c r="AF79" i="8"/>
  <c r="AC79" i="8"/>
  <c r="Z79" i="8"/>
  <c r="W79" i="8"/>
  <c r="T79" i="8"/>
  <c r="Q79" i="8"/>
  <c r="N79" i="8"/>
  <c r="K79" i="8"/>
  <c r="H79" i="8"/>
  <c r="E79" i="8"/>
  <c r="AF78" i="8"/>
  <c r="AC78" i="8"/>
  <c r="Z78" i="8"/>
  <c r="W78" i="8"/>
  <c r="T78" i="8"/>
  <c r="Q78" i="8"/>
  <c r="N78" i="8"/>
  <c r="K78" i="8"/>
  <c r="H78" i="8"/>
  <c r="E78" i="8"/>
  <c r="AF77" i="8"/>
  <c r="AC77" i="8"/>
  <c r="Z77" i="8"/>
  <c r="W77" i="8"/>
  <c r="T77" i="8"/>
  <c r="Q77" i="8"/>
  <c r="N77" i="8"/>
  <c r="K77" i="8"/>
  <c r="H77" i="8"/>
  <c r="E77" i="8"/>
  <c r="AF76" i="8"/>
  <c r="AC76" i="8"/>
  <c r="Z76" i="8"/>
  <c r="W76" i="8"/>
  <c r="T76" i="8"/>
  <c r="Q76" i="8"/>
  <c r="N76" i="8"/>
  <c r="K76" i="8"/>
  <c r="H76" i="8"/>
  <c r="E76" i="8"/>
  <c r="AF75" i="8"/>
  <c r="AC75" i="8"/>
  <c r="Z75" i="8"/>
  <c r="W75" i="8"/>
  <c r="T75" i="8"/>
  <c r="Q75" i="8"/>
  <c r="N75" i="8"/>
  <c r="K75" i="8"/>
  <c r="H75" i="8"/>
  <c r="E75" i="8"/>
  <c r="AF74" i="8"/>
  <c r="AC74" i="8"/>
  <c r="Z74" i="8"/>
  <c r="W74" i="8"/>
  <c r="T74" i="8"/>
  <c r="Q74" i="8"/>
  <c r="N74" i="8"/>
  <c r="K74" i="8"/>
  <c r="H74" i="8"/>
  <c r="E74" i="8"/>
  <c r="AF73" i="8"/>
  <c r="AC73" i="8"/>
  <c r="Z73" i="8"/>
  <c r="W73" i="8"/>
  <c r="T73" i="8"/>
  <c r="Q73" i="8"/>
  <c r="N73" i="8"/>
  <c r="K73" i="8"/>
  <c r="H73" i="8"/>
  <c r="E73" i="8"/>
  <c r="AF72" i="8"/>
  <c r="AC72" i="8"/>
  <c r="Z72" i="8"/>
  <c r="W72" i="8"/>
  <c r="T72" i="8"/>
  <c r="Q72" i="8"/>
  <c r="N72" i="8"/>
  <c r="K72" i="8"/>
  <c r="H72" i="8"/>
  <c r="E72" i="8"/>
  <c r="AF71" i="8"/>
  <c r="AC71" i="8"/>
  <c r="Z71" i="8"/>
  <c r="W71" i="8"/>
  <c r="T71" i="8"/>
  <c r="Q71" i="8"/>
  <c r="N71" i="8"/>
  <c r="K71" i="8"/>
  <c r="H71" i="8"/>
  <c r="E71" i="8"/>
  <c r="AF70" i="8"/>
  <c r="AC70" i="8"/>
  <c r="Z70" i="8"/>
  <c r="W70" i="8"/>
  <c r="T70" i="8"/>
  <c r="Q70" i="8"/>
  <c r="N70" i="8"/>
  <c r="K70" i="8"/>
  <c r="H70" i="8"/>
  <c r="E70" i="8"/>
  <c r="AF69" i="8"/>
  <c r="AC69" i="8"/>
  <c r="Z69" i="8"/>
  <c r="W69" i="8"/>
  <c r="T69" i="8"/>
  <c r="Q69" i="8"/>
  <c r="N69" i="8"/>
  <c r="K69" i="8"/>
  <c r="H69" i="8"/>
  <c r="E69" i="8"/>
  <c r="AF68" i="8"/>
  <c r="AC68" i="8"/>
  <c r="Z68" i="8"/>
  <c r="W68" i="8"/>
  <c r="T68" i="8"/>
  <c r="Q68" i="8"/>
  <c r="N68" i="8"/>
  <c r="K68" i="8"/>
  <c r="H68" i="8"/>
  <c r="E68" i="8"/>
  <c r="AF67" i="8"/>
  <c r="AC67" i="8"/>
  <c r="Z67" i="8"/>
  <c r="W67" i="8"/>
  <c r="T67" i="8"/>
  <c r="Q67" i="8"/>
  <c r="N67" i="8"/>
  <c r="K67" i="8"/>
  <c r="H67" i="8"/>
  <c r="E67" i="8"/>
  <c r="AF66" i="8"/>
  <c r="AC66" i="8"/>
  <c r="Z66" i="8"/>
  <c r="W66" i="8"/>
  <c r="T66" i="8"/>
  <c r="Q66" i="8"/>
  <c r="N66" i="8"/>
  <c r="K66" i="8"/>
  <c r="H66" i="8"/>
  <c r="E66" i="8"/>
  <c r="AF65" i="8"/>
  <c r="AC65" i="8"/>
  <c r="Z65" i="8"/>
  <c r="W65" i="8"/>
  <c r="T65" i="8"/>
  <c r="Q65" i="8"/>
  <c r="N65" i="8"/>
  <c r="K65" i="8"/>
  <c r="H65" i="8"/>
  <c r="E65" i="8"/>
  <c r="AF64" i="8"/>
  <c r="AC64" i="8"/>
  <c r="Z64" i="8"/>
  <c r="W64" i="8"/>
  <c r="T64" i="8"/>
  <c r="Q64" i="8"/>
  <c r="N64" i="8"/>
  <c r="K64" i="8"/>
  <c r="H64" i="8"/>
  <c r="E64" i="8"/>
  <c r="AF63" i="8"/>
  <c r="AC63" i="8"/>
  <c r="Z63" i="8"/>
  <c r="W63" i="8"/>
  <c r="T63" i="8"/>
  <c r="Q63" i="8"/>
  <c r="N63" i="8"/>
  <c r="K63" i="8"/>
  <c r="H63" i="8"/>
  <c r="E63" i="8"/>
  <c r="AF62" i="8"/>
  <c r="AC62" i="8"/>
  <c r="Z62" i="8"/>
  <c r="W62" i="8"/>
  <c r="T62" i="8"/>
  <c r="Q62" i="8"/>
  <c r="N62" i="8"/>
  <c r="K62" i="8"/>
  <c r="H62" i="8"/>
  <c r="E62" i="8"/>
  <c r="AF61" i="8"/>
  <c r="AC61" i="8"/>
  <c r="Z61" i="8"/>
  <c r="W61" i="8"/>
  <c r="T61" i="8"/>
  <c r="Q61" i="8"/>
  <c r="N61" i="8"/>
  <c r="K61" i="8"/>
  <c r="H61" i="8"/>
  <c r="E61" i="8"/>
  <c r="AF60" i="8"/>
  <c r="AC60" i="8"/>
  <c r="Z60" i="8"/>
  <c r="W60" i="8"/>
  <c r="T60" i="8"/>
  <c r="Q60" i="8"/>
  <c r="N60" i="8"/>
  <c r="K60" i="8"/>
  <c r="H60" i="8"/>
  <c r="E60" i="8"/>
  <c r="AF59" i="8"/>
  <c r="AC59" i="8"/>
  <c r="Z59" i="8"/>
  <c r="W59" i="8"/>
  <c r="T59" i="8"/>
  <c r="Q59" i="8"/>
  <c r="N59" i="8"/>
  <c r="K59" i="8"/>
  <c r="H59" i="8"/>
  <c r="E59" i="8"/>
  <c r="AF58" i="8"/>
  <c r="AC58" i="8"/>
  <c r="Z58" i="8"/>
  <c r="W58" i="8"/>
  <c r="T58" i="8"/>
  <c r="Q58" i="8"/>
  <c r="N58" i="8"/>
  <c r="K58" i="8"/>
  <c r="H58" i="8"/>
  <c r="E58" i="8"/>
  <c r="AF57" i="8"/>
  <c r="AC57" i="8"/>
  <c r="Z57" i="8"/>
  <c r="W57" i="8"/>
  <c r="T57" i="8"/>
  <c r="Q57" i="8"/>
  <c r="N57" i="8"/>
  <c r="K57" i="8"/>
  <c r="H57" i="8"/>
  <c r="E57" i="8"/>
  <c r="AF56" i="8"/>
  <c r="AC56" i="8"/>
  <c r="Z56" i="8"/>
  <c r="W56" i="8"/>
  <c r="T56" i="8"/>
  <c r="Q56" i="8"/>
  <c r="N56" i="8"/>
  <c r="K56" i="8"/>
  <c r="H56" i="8"/>
  <c r="E56" i="8"/>
  <c r="AF55" i="8"/>
  <c r="AC55" i="8"/>
  <c r="Z55" i="8"/>
  <c r="W55" i="8"/>
  <c r="T55" i="8"/>
  <c r="Q55" i="8"/>
  <c r="N55" i="8"/>
  <c r="K55" i="8"/>
  <c r="H55" i="8"/>
  <c r="E55" i="8"/>
  <c r="AF54" i="8"/>
  <c r="AC54" i="8"/>
  <c r="Z54" i="8"/>
  <c r="W54" i="8"/>
  <c r="T54" i="8"/>
  <c r="Q54" i="8"/>
  <c r="N54" i="8"/>
  <c r="K54" i="8"/>
  <c r="H54" i="8"/>
  <c r="E54" i="8"/>
  <c r="AQ108" i="8"/>
  <c r="CF4" i="8"/>
  <c r="CG4" i="8"/>
  <c r="CH4" i="8"/>
  <c r="CI4" i="8"/>
  <c r="CJ4" i="8"/>
  <c r="CK4" i="8"/>
  <c r="CL4" i="8"/>
  <c r="CM4" i="8"/>
  <c r="CN4" i="8"/>
  <c r="CO4" i="8"/>
  <c r="CP4" i="8"/>
  <c r="CQ4" i="8"/>
  <c r="CR4" i="8"/>
  <c r="CS4" i="8"/>
  <c r="CT4" i="8"/>
  <c r="CU4" i="8"/>
  <c r="CV4" i="8"/>
  <c r="CF5" i="8"/>
  <c r="CG5" i="8"/>
  <c r="CH5" i="8"/>
  <c r="CI5" i="8"/>
  <c r="CJ5" i="8"/>
  <c r="CK5" i="8"/>
  <c r="CL5" i="8"/>
  <c r="CM5" i="8"/>
  <c r="CN5" i="8"/>
  <c r="CO5" i="8"/>
  <c r="CP5" i="8"/>
  <c r="CQ5" i="8"/>
  <c r="CR5" i="8"/>
  <c r="CS5" i="8"/>
  <c r="CT5" i="8"/>
  <c r="CU5" i="8"/>
  <c r="CV5" i="8"/>
  <c r="CF6" i="8"/>
  <c r="CG6" i="8"/>
  <c r="CH6" i="8"/>
  <c r="CI6" i="8"/>
  <c r="CJ6" i="8"/>
  <c r="CK6" i="8"/>
  <c r="CL6" i="8"/>
  <c r="CM6" i="8"/>
  <c r="CN6" i="8"/>
  <c r="CO6" i="8"/>
  <c r="CP6" i="8"/>
  <c r="CQ6" i="8"/>
  <c r="CR6" i="8"/>
  <c r="CS6" i="8"/>
  <c r="CT6" i="8"/>
  <c r="CU6" i="8"/>
  <c r="CV6" i="8"/>
  <c r="CF7" i="8"/>
  <c r="CG7" i="8"/>
  <c r="CH7" i="8"/>
  <c r="CI7" i="8"/>
  <c r="CJ7" i="8"/>
  <c r="CK7" i="8"/>
  <c r="CL7" i="8"/>
  <c r="CM7" i="8"/>
  <c r="CN7" i="8"/>
  <c r="CO7" i="8"/>
  <c r="CP7" i="8"/>
  <c r="CQ7" i="8"/>
  <c r="CR7" i="8"/>
  <c r="CS7" i="8"/>
  <c r="CT7" i="8"/>
  <c r="CU7" i="8"/>
  <c r="CV7" i="8"/>
  <c r="CF8" i="8"/>
  <c r="CG8" i="8"/>
  <c r="CH8" i="8"/>
  <c r="CI8" i="8"/>
  <c r="CJ8" i="8"/>
  <c r="CK8" i="8"/>
  <c r="CL8" i="8"/>
  <c r="CM8" i="8"/>
  <c r="CN8" i="8"/>
  <c r="CO8" i="8"/>
  <c r="CP8" i="8"/>
  <c r="CQ8" i="8"/>
  <c r="CR8" i="8"/>
  <c r="CS8" i="8"/>
  <c r="CT8" i="8"/>
  <c r="CU8" i="8"/>
  <c r="CV8" i="8"/>
  <c r="CF9" i="8"/>
  <c r="CG9" i="8"/>
  <c r="CH9" i="8"/>
  <c r="CI9" i="8"/>
  <c r="CJ9" i="8"/>
  <c r="CK9" i="8"/>
  <c r="CL9" i="8"/>
  <c r="CM9" i="8"/>
  <c r="CN9" i="8"/>
  <c r="CO9" i="8"/>
  <c r="CP9" i="8"/>
  <c r="CQ9" i="8"/>
  <c r="CR9" i="8"/>
  <c r="CS9" i="8"/>
  <c r="CT9" i="8"/>
  <c r="CU9" i="8"/>
  <c r="CV9" i="8"/>
  <c r="CF10" i="8"/>
  <c r="CG10" i="8"/>
  <c r="CH10" i="8"/>
  <c r="CI10" i="8"/>
  <c r="CJ10" i="8"/>
  <c r="CK10" i="8"/>
  <c r="CL10" i="8"/>
  <c r="CM10" i="8"/>
  <c r="CN10" i="8"/>
  <c r="CO10" i="8"/>
  <c r="CP10" i="8"/>
  <c r="CQ10" i="8"/>
  <c r="CR10" i="8"/>
  <c r="CS10" i="8"/>
  <c r="CT10" i="8"/>
  <c r="CU10" i="8"/>
  <c r="CV10" i="8"/>
  <c r="CF11" i="8"/>
  <c r="CG11" i="8"/>
  <c r="CH11" i="8"/>
  <c r="CI11" i="8"/>
  <c r="CJ11" i="8"/>
  <c r="CK11" i="8"/>
  <c r="CL11" i="8"/>
  <c r="CM11" i="8"/>
  <c r="CN11" i="8"/>
  <c r="CO11" i="8"/>
  <c r="CP11" i="8"/>
  <c r="CQ11" i="8"/>
  <c r="CR11" i="8"/>
  <c r="CS11" i="8"/>
  <c r="CT11" i="8"/>
  <c r="CU11" i="8"/>
  <c r="CV11" i="8"/>
  <c r="CF12" i="8"/>
  <c r="CG12" i="8"/>
  <c r="CH12" i="8"/>
  <c r="CI12" i="8"/>
  <c r="CJ12" i="8"/>
  <c r="CK12" i="8"/>
  <c r="CL12" i="8"/>
  <c r="CM12" i="8"/>
  <c r="CN12" i="8"/>
  <c r="CO12" i="8"/>
  <c r="CP12" i="8"/>
  <c r="CQ12" i="8"/>
  <c r="CR12" i="8"/>
  <c r="CS12" i="8"/>
  <c r="CT12" i="8"/>
  <c r="CU12" i="8"/>
  <c r="CV12" i="8"/>
  <c r="CF13" i="8"/>
  <c r="CG13" i="8"/>
  <c r="CH13" i="8"/>
  <c r="CI13" i="8"/>
  <c r="CJ13" i="8"/>
  <c r="CK13" i="8"/>
  <c r="CL13" i="8"/>
  <c r="CM13" i="8"/>
  <c r="CN13" i="8"/>
  <c r="CO13" i="8"/>
  <c r="CP13" i="8"/>
  <c r="CQ13" i="8"/>
  <c r="CR13" i="8"/>
  <c r="CS13" i="8"/>
  <c r="CT13" i="8"/>
  <c r="CU13" i="8"/>
  <c r="CV13" i="8"/>
  <c r="CF14" i="8"/>
  <c r="CG14" i="8"/>
  <c r="CH14" i="8"/>
  <c r="CI14" i="8"/>
  <c r="CJ14" i="8"/>
  <c r="CK14" i="8"/>
  <c r="CL14" i="8"/>
  <c r="CM14" i="8"/>
  <c r="CN14" i="8"/>
  <c r="CO14" i="8"/>
  <c r="CP14" i="8"/>
  <c r="CQ14" i="8"/>
  <c r="CR14" i="8"/>
  <c r="CS14" i="8"/>
  <c r="CT14" i="8"/>
  <c r="CU14" i="8"/>
  <c r="CV14" i="8"/>
  <c r="CF15" i="8"/>
  <c r="CG15" i="8"/>
  <c r="CH15" i="8"/>
  <c r="CI15" i="8"/>
  <c r="CJ15" i="8"/>
  <c r="CK15" i="8"/>
  <c r="CL15" i="8"/>
  <c r="CM15" i="8"/>
  <c r="CN15" i="8"/>
  <c r="CO15" i="8"/>
  <c r="CP15" i="8"/>
  <c r="CQ15" i="8"/>
  <c r="CR15" i="8"/>
  <c r="CS15" i="8"/>
  <c r="CT15" i="8"/>
  <c r="CU15" i="8"/>
  <c r="CV15" i="8"/>
  <c r="CF16" i="8"/>
  <c r="CG16" i="8"/>
  <c r="CH16" i="8"/>
  <c r="CI16" i="8"/>
  <c r="CJ16" i="8"/>
  <c r="CK16" i="8"/>
  <c r="CL16" i="8"/>
  <c r="CM16" i="8"/>
  <c r="CN16" i="8"/>
  <c r="CO16" i="8"/>
  <c r="CP16" i="8"/>
  <c r="CQ16" i="8"/>
  <c r="CR16" i="8"/>
  <c r="CS16" i="8"/>
  <c r="CT16" i="8"/>
  <c r="CU16" i="8"/>
  <c r="CV16" i="8"/>
  <c r="CF17" i="8"/>
  <c r="CG17" i="8"/>
  <c r="CH17" i="8"/>
  <c r="CI17" i="8"/>
  <c r="CJ17" i="8"/>
  <c r="CK17" i="8"/>
  <c r="CL17" i="8"/>
  <c r="CM17" i="8"/>
  <c r="CN17" i="8"/>
  <c r="CO17" i="8"/>
  <c r="CP17" i="8"/>
  <c r="CQ17" i="8"/>
  <c r="CR17" i="8"/>
  <c r="CS17" i="8"/>
  <c r="CT17" i="8"/>
  <c r="CU17" i="8"/>
  <c r="CV17" i="8"/>
  <c r="CF18" i="8"/>
  <c r="CG18" i="8"/>
  <c r="CH18" i="8"/>
  <c r="CI18" i="8"/>
  <c r="CJ18" i="8"/>
  <c r="CK18" i="8"/>
  <c r="CL18" i="8"/>
  <c r="CM18" i="8"/>
  <c r="CN18" i="8"/>
  <c r="CO18" i="8"/>
  <c r="CP18" i="8"/>
  <c r="CQ18" i="8"/>
  <c r="CR18" i="8"/>
  <c r="CS18" i="8"/>
  <c r="CT18" i="8"/>
  <c r="CU18" i="8"/>
  <c r="CV18" i="8"/>
  <c r="CF19" i="8"/>
  <c r="CG19" i="8"/>
  <c r="CH19" i="8"/>
  <c r="CI19" i="8"/>
  <c r="CJ19" i="8"/>
  <c r="CK19" i="8"/>
  <c r="CL19" i="8"/>
  <c r="CM19" i="8"/>
  <c r="CN19" i="8"/>
  <c r="CO19" i="8"/>
  <c r="CP19" i="8"/>
  <c r="CQ19" i="8"/>
  <c r="CR19" i="8"/>
  <c r="CS19" i="8"/>
  <c r="CT19" i="8"/>
  <c r="CU19" i="8"/>
  <c r="CV19" i="8"/>
  <c r="CF20" i="8"/>
  <c r="CG20" i="8"/>
  <c r="CH20" i="8"/>
  <c r="CI20" i="8"/>
  <c r="CJ20" i="8"/>
  <c r="CK20" i="8"/>
  <c r="CL20" i="8"/>
  <c r="CM20" i="8"/>
  <c r="CN20" i="8"/>
  <c r="CO20" i="8"/>
  <c r="CP20" i="8"/>
  <c r="CQ20" i="8"/>
  <c r="CR20" i="8"/>
  <c r="CS20" i="8"/>
  <c r="CT20" i="8"/>
  <c r="CU20" i="8"/>
  <c r="CV20" i="8"/>
  <c r="CF21" i="8"/>
  <c r="CG21" i="8"/>
  <c r="CH21" i="8"/>
  <c r="CI21" i="8"/>
  <c r="CJ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F22" i="8"/>
  <c r="CG22" i="8"/>
  <c r="CH22" i="8"/>
  <c r="CI22" i="8"/>
  <c r="CJ22" i="8"/>
  <c r="CK22" i="8"/>
  <c r="CL22" i="8"/>
  <c r="CM22" i="8"/>
  <c r="CN22" i="8"/>
  <c r="CO22" i="8"/>
  <c r="CP22" i="8"/>
  <c r="CQ22" i="8"/>
  <c r="CR22" i="8"/>
  <c r="CS22" i="8"/>
  <c r="CT22" i="8"/>
  <c r="CU22" i="8"/>
  <c r="CV22" i="8"/>
  <c r="CF23" i="8"/>
  <c r="CG23" i="8"/>
  <c r="CH23" i="8"/>
  <c r="CI23" i="8"/>
  <c r="CJ23" i="8"/>
  <c r="CK23" i="8"/>
  <c r="CL23" i="8"/>
  <c r="CM23" i="8"/>
  <c r="CN23" i="8"/>
  <c r="CO23" i="8"/>
  <c r="CP23" i="8"/>
  <c r="CQ23" i="8"/>
  <c r="CR23" i="8"/>
  <c r="CS23" i="8"/>
  <c r="CT23" i="8"/>
  <c r="CU23" i="8"/>
  <c r="CV23" i="8"/>
  <c r="CF24" i="8"/>
  <c r="CG24" i="8"/>
  <c r="CH24" i="8"/>
  <c r="CI24" i="8"/>
  <c r="CJ24" i="8"/>
  <c r="CK24" i="8"/>
  <c r="CL24" i="8"/>
  <c r="CM24" i="8"/>
  <c r="CN24" i="8"/>
  <c r="CO24" i="8"/>
  <c r="CP24" i="8"/>
  <c r="CQ24" i="8"/>
  <c r="CR24" i="8"/>
  <c r="CS24" i="8"/>
  <c r="CT24" i="8"/>
  <c r="CU24" i="8"/>
  <c r="CV24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F26" i="8"/>
  <c r="CG26" i="8"/>
  <c r="CH26" i="8"/>
  <c r="CI26" i="8"/>
  <c r="CJ26" i="8"/>
  <c r="CK26" i="8"/>
  <c r="CL26" i="8"/>
  <c r="CM26" i="8"/>
  <c r="CN26" i="8"/>
  <c r="CO26" i="8"/>
  <c r="CP26" i="8"/>
  <c r="CQ26" i="8"/>
  <c r="CR26" i="8"/>
  <c r="CS26" i="8"/>
  <c r="CT26" i="8"/>
  <c r="CU26" i="8"/>
  <c r="CV26" i="8"/>
  <c r="CF27" i="8"/>
  <c r="CG27" i="8"/>
  <c r="CH27" i="8"/>
  <c r="CI27" i="8"/>
  <c r="CJ27" i="8"/>
  <c r="CK27" i="8"/>
  <c r="CL27" i="8"/>
  <c r="CM27" i="8"/>
  <c r="CN27" i="8"/>
  <c r="CO27" i="8"/>
  <c r="CP27" i="8"/>
  <c r="CQ27" i="8"/>
  <c r="CR27" i="8"/>
  <c r="CS27" i="8"/>
  <c r="CT27" i="8"/>
  <c r="CU27" i="8"/>
  <c r="CV27" i="8"/>
  <c r="CF28" i="8"/>
  <c r="CG28" i="8"/>
  <c r="CH28" i="8"/>
  <c r="CI28" i="8"/>
  <c r="CJ28" i="8"/>
  <c r="CK28" i="8"/>
  <c r="CL28" i="8"/>
  <c r="CM28" i="8"/>
  <c r="CN28" i="8"/>
  <c r="CO28" i="8"/>
  <c r="CP28" i="8"/>
  <c r="CQ28" i="8"/>
  <c r="CR28" i="8"/>
  <c r="CS28" i="8"/>
  <c r="CT28" i="8"/>
  <c r="CU28" i="8"/>
  <c r="CV28" i="8"/>
  <c r="CF29" i="8"/>
  <c r="CG29" i="8"/>
  <c r="CH29" i="8"/>
  <c r="CI29" i="8"/>
  <c r="CJ29" i="8"/>
  <c r="CK29" i="8"/>
  <c r="CL29" i="8"/>
  <c r="CM29" i="8"/>
  <c r="CN29" i="8"/>
  <c r="CO29" i="8"/>
  <c r="CP29" i="8"/>
  <c r="CQ29" i="8"/>
  <c r="CR29" i="8"/>
  <c r="CS29" i="8"/>
  <c r="CT29" i="8"/>
  <c r="CU29" i="8"/>
  <c r="CV29" i="8"/>
  <c r="CF30" i="8"/>
  <c r="CG30" i="8"/>
  <c r="CH30" i="8"/>
  <c r="CI30" i="8"/>
  <c r="CJ30" i="8"/>
  <c r="CK30" i="8"/>
  <c r="CL30" i="8"/>
  <c r="CM30" i="8"/>
  <c r="CN30" i="8"/>
  <c r="CO30" i="8"/>
  <c r="CP30" i="8"/>
  <c r="CQ30" i="8"/>
  <c r="CR30" i="8"/>
  <c r="CS30" i="8"/>
  <c r="CT30" i="8"/>
  <c r="CU30" i="8"/>
  <c r="CV30" i="8"/>
  <c r="CF31" i="8"/>
  <c r="CG31" i="8"/>
  <c r="CH31" i="8"/>
  <c r="CI31" i="8"/>
  <c r="CJ31" i="8"/>
  <c r="CK31" i="8"/>
  <c r="CL31" i="8"/>
  <c r="CM31" i="8"/>
  <c r="CN31" i="8"/>
  <c r="CO31" i="8"/>
  <c r="CP31" i="8"/>
  <c r="CQ31" i="8"/>
  <c r="CR31" i="8"/>
  <c r="CS31" i="8"/>
  <c r="CT31" i="8"/>
  <c r="CU31" i="8"/>
  <c r="CV31" i="8"/>
  <c r="CF32" i="8"/>
  <c r="CG32" i="8"/>
  <c r="CH32" i="8"/>
  <c r="CI32" i="8"/>
  <c r="CJ32" i="8"/>
  <c r="CK32" i="8"/>
  <c r="CL32" i="8"/>
  <c r="CM32" i="8"/>
  <c r="CN32" i="8"/>
  <c r="CO32" i="8"/>
  <c r="CP32" i="8"/>
  <c r="CQ32" i="8"/>
  <c r="CR32" i="8"/>
  <c r="CS32" i="8"/>
  <c r="CT32" i="8"/>
  <c r="CU32" i="8"/>
  <c r="CV32" i="8"/>
  <c r="CF33" i="8"/>
  <c r="CG33" i="8"/>
  <c r="CH33" i="8"/>
  <c r="CI33" i="8"/>
  <c r="CJ33" i="8"/>
  <c r="CK33" i="8"/>
  <c r="CL33" i="8"/>
  <c r="CM33" i="8"/>
  <c r="CN33" i="8"/>
  <c r="CO33" i="8"/>
  <c r="CP33" i="8"/>
  <c r="CQ33" i="8"/>
  <c r="CR33" i="8"/>
  <c r="CS33" i="8"/>
  <c r="CT33" i="8"/>
  <c r="CU33" i="8"/>
  <c r="CV33" i="8"/>
  <c r="CF34" i="8"/>
  <c r="CG34" i="8"/>
  <c r="CH34" i="8"/>
  <c r="CI34" i="8"/>
  <c r="CJ34" i="8"/>
  <c r="CK34" i="8"/>
  <c r="CL34" i="8"/>
  <c r="CM34" i="8"/>
  <c r="CN34" i="8"/>
  <c r="CO34" i="8"/>
  <c r="CP34" i="8"/>
  <c r="CQ34" i="8"/>
  <c r="CR34" i="8"/>
  <c r="CS34" i="8"/>
  <c r="CT34" i="8"/>
  <c r="CU34" i="8"/>
  <c r="CV34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CR35" i="8"/>
  <c r="CS35" i="8"/>
  <c r="CT35" i="8"/>
  <c r="CU35" i="8"/>
  <c r="CV35" i="8"/>
  <c r="CF36" i="8"/>
  <c r="CG36" i="8"/>
  <c r="CH36" i="8"/>
  <c r="CI36" i="8"/>
  <c r="CJ36" i="8"/>
  <c r="CK36" i="8"/>
  <c r="CL36" i="8"/>
  <c r="CM36" i="8"/>
  <c r="CN36" i="8"/>
  <c r="CO36" i="8"/>
  <c r="CP36" i="8"/>
  <c r="CQ36" i="8"/>
  <c r="CR36" i="8"/>
  <c r="CS36" i="8"/>
  <c r="CT36" i="8"/>
  <c r="CU36" i="8"/>
  <c r="CV36" i="8"/>
  <c r="CF37" i="8"/>
  <c r="CG37" i="8"/>
  <c r="CH37" i="8"/>
  <c r="CI37" i="8"/>
  <c r="CJ37" i="8"/>
  <c r="CK37" i="8"/>
  <c r="CL37" i="8"/>
  <c r="CM37" i="8"/>
  <c r="CN37" i="8"/>
  <c r="CO37" i="8"/>
  <c r="CP37" i="8"/>
  <c r="CQ37" i="8"/>
  <c r="CR37" i="8"/>
  <c r="CS37" i="8"/>
  <c r="CT37" i="8"/>
  <c r="CU37" i="8"/>
  <c r="CV37" i="8"/>
  <c r="CF38" i="8"/>
  <c r="CG38" i="8"/>
  <c r="CH38" i="8"/>
  <c r="CI38" i="8"/>
  <c r="CJ38" i="8"/>
  <c r="CK38" i="8"/>
  <c r="CL38" i="8"/>
  <c r="CM38" i="8"/>
  <c r="CN38" i="8"/>
  <c r="CO38" i="8"/>
  <c r="CP38" i="8"/>
  <c r="CQ38" i="8"/>
  <c r="CR38" i="8"/>
  <c r="CS38" i="8"/>
  <c r="CT38" i="8"/>
  <c r="CU38" i="8"/>
  <c r="CV38" i="8"/>
  <c r="CF39" i="8"/>
  <c r="CG39" i="8"/>
  <c r="CH39" i="8"/>
  <c r="CI39" i="8"/>
  <c r="CJ39" i="8"/>
  <c r="CK39" i="8"/>
  <c r="CL39" i="8"/>
  <c r="CM39" i="8"/>
  <c r="CN39" i="8"/>
  <c r="CO39" i="8"/>
  <c r="CP39" i="8"/>
  <c r="CQ39" i="8"/>
  <c r="CR39" i="8"/>
  <c r="CS39" i="8"/>
  <c r="CT39" i="8"/>
  <c r="CU39" i="8"/>
  <c r="CV39" i="8"/>
  <c r="CF40" i="8"/>
  <c r="CG40" i="8"/>
  <c r="CH40" i="8"/>
  <c r="CI40" i="8"/>
  <c r="CJ40" i="8"/>
  <c r="CK40" i="8"/>
  <c r="CL40" i="8"/>
  <c r="CM40" i="8"/>
  <c r="CN40" i="8"/>
  <c r="CO40" i="8"/>
  <c r="CP40" i="8"/>
  <c r="CQ40" i="8"/>
  <c r="CR40" i="8"/>
  <c r="CS40" i="8"/>
  <c r="CT40" i="8"/>
  <c r="CU40" i="8"/>
  <c r="CV40" i="8"/>
  <c r="CF41" i="8"/>
  <c r="CG41" i="8"/>
  <c r="CH41" i="8"/>
  <c r="CI41" i="8"/>
  <c r="CJ41" i="8"/>
  <c r="CK41" i="8"/>
  <c r="CL41" i="8"/>
  <c r="CM41" i="8"/>
  <c r="CN41" i="8"/>
  <c r="CO41" i="8"/>
  <c r="CP41" i="8"/>
  <c r="CQ41" i="8"/>
  <c r="CR41" i="8"/>
  <c r="CS41" i="8"/>
  <c r="CT41" i="8"/>
  <c r="CU41" i="8"/>
  <c r="CV41" i="8"/>
  <c r="CF42" i="8"/>
  <c r="CG42" i="8"/>
  <c r="CH42" i="8"/>
  <c r="CI42" i="8"/>
  <c r="CJ42" i="8"/>
  <c r="CK42" i="8"/>
  <c r="CL42" i="8"/>
  <c r="CM42" i="8"/>
  <c r="CN42" i="8"/>
  <c r="CO42" i="8"/>
  <c r="CP42" i="8"/>
  <c r="CQ42" i="8"/>
  <c r="CR42" i="8"/>
  <c r="CS42" i="8"/>
  <c r="CT42" i="8"/>
  <c r="CU42" i="8"/>
  <c r="CV42" i="8"/>
  <c r="CF43" i="8"/>
  <c r="CG43" i="8"/>
  <c r="CH43" i="8"/>
  <c r="CI43" i="8"/>
  <c r="CJ43" i="8"/>
  <c r="CK43" i="8"/>
  <c r="CL43" i="8"/>
  <c r="CM43" i="8"/>
  <c r="CN43" i="8"/>
  <c r="CO43" i="8"/>
  <c r="CP43" i="8"/>
  <c r="CQ43" i="8"/>
  <c r="CR43" i="8"/>
  <c r="CS43" i="8"/>
  <c r="CT43" i="8"/>
  <c r="CU43" i="8"/>
  <c r="CV43" i="8"/>
  <c r="CF44" i="8"/>
  <c r="CG44" i="8"/>
  <c r="CH44" i="8"/>
  <c r="CI44" i="8"/>
  <c r="CJ44" i="8"/>
  <c r="CK44" i="8"/>
  <c r="CL44" i="8"/>
  <c r="CM44" i="8"/>
  <c r="CN44" i="8"/>
  <c r="CO44" i="8"/>
  <c r="CP44" i="8"/>
  <c r="CQ44" i="8"/>
  <c r="CR44" i="8"/>
  <c r="CS44" i="8"/>
  <c r="CT44" i="8"/>
  <c r="CU44" i="8"/>
  <c r="CV44" i="8"/>
  <c r="CF45" i="8"/>
  <c r="CG45" i="8"/>
  <c r="CH45" i="8"/>
  <c r="CI45" i="8"/>
  <c r="CJ45" i="8"/>
  <c r="CK45" i="8"/>
  <c r="CL45" i="8"/>
  <c r="CM45" i="8"/>
  <c r="CN45" i="8"/>
  <c r="CO45" i="8"/>
  <c r="CP45" i="8"/>
  <c r="CQ45" i="8"/>
  <c r="CR45" i="8"/>
  <c r="CS45" i="8"/>
  <c r="CT45" i="8"/>
  <c r="CU45" i="8"/>
  <c r="CV45" i="8"/>
  <c r="CF46" i="8"/>
  <c r="CG46" i="8"/>
  <c r="CH46" i="8"/>
  <c r="CI46" i="8"/>
  <c r="CJ46" i="8"/>
  <c r="CK46" i="8"/>
  <c r="CL46" i="8"/>
  <c r="CM46" i="8"/>
  <c r="CN46" i="8"/>
  <c r="CO46" i="8"/>
  <c r="CP46" i="8"/>
  <c r="CQ46" i="8"/>
  <c r="CR46" i="8"/>
  <c r="CS46" i="8"/>
  <c r="CT46" i="8"/>
  <c r="CU46" i="8"/>
  <c r="CV46" i="8"/>
  <c r="CF47" i="8"/>
  <c r="CG47" i="8"/>
  <c r="CH47" i="8"/>
  <c r="CI47" i="8"/>
  <c r="CJ47" i="8"/>
  <c r="CK47" i="8"/>
  <c r="CL47" i="8"/>
  <c r="CM47" i="8"/>
  <c r="CN47" i="8"/>
  <c r="CO47" i="8"/>
  <c r="CP47" i="8"/>
  <c r="CQ47" i="8"/>
  <c r="CR47" i="8"/>
  <c r="CS47" i="8"/>
  <c r="CT47" i="8"/>
  <c r="CU47" i="8"/>
  <c r="CV47" i="8"/>
  <c r="CF48" i="8"/>
  <c r="CG48" i="8"/>
  <c r="CH48" i="8"/>
  <c r="CI48" i="8"/>
  <c r="CJ48" i="8"/>
  <c r="CK48" i="8"/>
  <c r="CL48" i="8"/>
  <c r="CM48" i="8"/>
  <c r="CN48" i="8"/>
  <c r="CO48" i="8"/>
  <c r="CP48" i="8"/>
  <c r="CQ48" i="8"/>
  <c r="CR48" i="8"/>
  <c r="CS48" i="8"/>
  <c r="CT48" i="8"/>
  <c r="CU48" i="8"/>
  <c r="CV48" i="8"/>
  <c r="CE5" i="8"/>
  <c r="CE6" i="8"/>
  <c r="CE7" i="8"/>
  <c r="CE8" i="8"/>
  <c r="CE9" i="8"/>
  <c r="CE10" i="8"/>
  <c r="CE11" i="8"/>
  <c r="CE12" i="8"/>
  <c r="CE13" i="8"/>
  <c r="CE14" i="8"/>
  <c r="CE15" i="8"/>
  <c r="CE16" i="8"/>
  <c r="CE17" i="8"/>
  <c r="CE18" i="8"/>
  <c r="CE19" i="8"/>
  <c r="CE20" i="8"/>
  <c r="CE21" i="8"/>
  <c r="CE22" i="8"/>
  <c r="CE23" i="8"/>
  <c r="CE24" i="8"/>
  <c r="CE25" i="8"/>
  <c r="CE26" i="8"/>
  <c r="CE27" i="8"/>
  <c r="CE28" i="8"/>
  <c r="CE29" i="8"/>
  <c r="CE30" i="8"/>
  <c r="CE31" i="8"/>
  <c r="CE32" i="8"/>
  <c r="CE33" i="8"/>
  <c r="CE34" i="8"/>
  <c r="CE35" i="8"/>
  <c r="CE36" i="8"/>
  <c r="CE37" i="8"/>
  <c r="CE38" i="8"/>
  <c r="CE39" i="8"/>
  <c r="CE40" i="8"/>
  <c r="CE41" i="8"/>
  <c r="CE42" i="8"/>
  <c r="CE43" i="8"/>
  <c r="CE44" i="8"/>
  <c r="CE45" i="8"/>
  <c r="CE46" i="8"/>
  <c r="CE47" i="8"/>
  <c r="CE48" i="8"/>
  <c r="CE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BR4" i="8"/>
  <c r="BS4" i="8"/>
  <c r="BT4" i="8"/>
  <c r="BU4" i="8"/>
  <c r="BV4" i="8"/>
  <c r="BW4" i="8"/>
  <c r="BX4" i="8"/>
  <c r="BY4" i="8"/>
  <c r="BZ4" i="8"/>
  <c r="CA4" i="8"/>
  <c r="CB4" i="8"/>
  <c r="CC4" i="8"/>
  <c r="CD4" i="8"/>
  <c r="BB5" i="8"/>
  <c r="BC5" i="8"/>
  <c r="BD5" i="8"/>
  <c r="BE5" i="8"/>
  <c r="BF5" i="8"/>
  <c r="BG5" i="8"/>
  <c r="BH5" i="8"/>
  <c r="BI5" i="8"/>
  <c r="BJ5" i="8"/>
  <c r="BK5" i="8"/>
  <c r="BL5" i="8"/>
  <c r="BM5" i="8"/>
  <c r="BN5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CC5" i="8"/>
  <c r="CD5" i="8"/>
  <c r="BB6" i="8"/>
  <c r="BC6" i="8"/>
  <c r="BD6" i="8"/>
  <c r="BE6" i="8"/>
  <c r="BF6" i="8"/>
  <c r="BG6" i="8"/>
  <c r="BH6" i="8"/>
  <c r="BI6" i="8"/>
  <c r="BJ6" i="8"/>
  <c r="BK6" i="8"/>
  <c r="BL6" i="8"/>
  <c r="BM6" i="8"/>
  <c r="BN6" i="8"/>
  <c r="BO6" i="8"/>
  <c r="BP6" i="8"/>
  <c r="BQ6" i="8"/>
  <c r="BR6" i="8"/>
  <c r="BS6" i="8"/>
  <c r="BT6" i="8"/>
  <c r="BU6" i="8"/>
  <c r="BV6" i="8"/>
  <c r="BW6" i="8"/>
  <c r="BX6" i="8"/>
  <c r="BY6" i="8"/>
  <c r="BZ6" i="8"/>
  <c r="CA6" i="8"/>
  <c r="CB6" i="8"/>
  <c r="CC6" i="8"/>
  <c r="CD6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CA7" i="8"/>
  <c r="CB7" i="8"/>
  <c r="CC7" i="8"/>
  <c r="CD7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CA8" i="8"/>
  <c r="CB8" i="8"/>
  <c r="CC8" i="8"/>
  <c r="CD8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CA10" i="8"/>
  <c r="CB10" i="8"/>
  <c r="CC10" i="8"/>
  <c r="CD10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BQ11" i="8"/>
  <c r="BR11" i="8"/>
  <c r="BS11" i="8"/>
  <c r="BT11" i="8"/>
  <c r="BU11" i="8"/>
  <c r="BV11" i="8"/>
  <c r="BW11" i="8"/>
  <c r="BX11" i="8"/>
  <c r="BY11" i="8"/>
  <c r="BZ11" i="8"/>
  <c r="CA11" i="8"/>
  <c r="CB11" i="8"/>
  <c r="CC11" i="8"/>
  <c r="CD11" i="8"/>
  <c r="BB12" i="8"/>
  <c r="BC12" i="8"/>
  <c r="BD12" i="8"/>
  <c r="BE12" i="8"/>
  <c r="BF12" i="8"/>
  <c r="BG12" i="8"/>
  <c r="BH12" i="8"/>
  <c r="BI12" i="8"/>
  <c r="BJ12" i="8"/>
  <c r="BK12" i="8"/>
  <c r="BL12" i="8"/>
  <c r="BM12" i="8"/>
  <c r="BN12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CA12" i="8"/>
  <c r="CB12" i="8"/>
  <c r="CC12" i="8"/>
  <c r="CD12" i="8"/>
  <c r="BB13" i="8"/>
  <c r="BC13" i="8"/>
  <c r="BD13" i="8"/>
  <c r="BE13" i="8"/>
  <c r="BF13" i="8"/>
  <c r="BG13" i="8"/>
  <c r="BH13" i="8"/>
  <c r="BI13" i="8"/>
  <c r="BJ13" i="8"/>
  <c r="BK13" i="8"/>
  <c r="BL13" i="8"/>
  <c r="BM13" i="8"/>
  <c r="BN13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BB14" i="8"/>
  <c r="BC14" i="8"/>
  <c r="BD14" i="8"/>
  <c r="BE14" i="8"/>
  <c r="BF14" i="8"/>
  <c r="BG14" i="8"/>
  <c r="BH14" i="8"/>
  <c r="BI14" i="8"/>
  <c r="BJ14" i="8"/>
  <c r="BK14" i="8"/>
  <c r="BL14" i="8"/>
  <c r="BM14" i="8"/>
  <c r="BN14" i="8"/>
  <c r="BO14" i="8"/>
  <c r="BP14" i="8"/>
  <c r="BQ14" i="8"/>
  <c r="BR14" i="8"/>
  <c r="BS14" i="8"/>
  <c r="BT14" i="8"/>
  <c r="BU14" i="8"/>
  <c r="BV14" i="8"/>
  <c r="BW14" i="8"/>
  <c r="BX14" i="8"/>
  <c r="BY14" i="8"/>
  <c r="BZ14" i="8"/>
  <c r="CA14" i="8"/>
  <c r="CB14" i="8"/>
  <c r="CC14" i="8"/>
  <c r="CD14" i="8"/>
  <c r="BB15" i="8"/>
  <c r="BC15" i="8"/>
  <c r="BD15" i="8"/>
  <c r="BE15" i="8"/>
  <c r="BF15" i="8"/>
  <c r="BG15" i="8"/>
  <c r="BH15" i="8"/>
  <c r="BI15" i="8"/>
  <c r="BJ15" i="8"/>
  <c r="BK15" i="8"/>
  <c r="BL15" i="8"/>
  <c r="BM15" i="8"/>
  <c r="BN15" i="8"/>
  <c r="BO15" i="8"/>
  <c r="BP15" i="8"/>
  <c r="BQ15" i="8"/>
  <c r="BR15" i="8"/>
  <c r="BS15" i="8"/>
  <c r="BT15" i="8"/>
  <c r="BU15" i="8"/>
  <c r="BV15" i="8"/>
  <c r="BW15" i="8"/>
  <c r="BX15" i="8"/>
  <c r="BY15" i="8"/>
  <c r="BZ15" i="8"/>
  <c r="CA15" i="8"/>
  <c r="CB15" i="8"/>
  <c r="CC15" i="8"/>
  <c r="CD15" i="8"/>
  <c r="BB16" i="8"/>
  <c r="BC16" i="8"/>
  <c r="BD16" i="8"/>
  <c r="BE16" i="8"/>
  <c r="BF16" i="8"/>
  <c r="BG16" i="8"/>
  <c r="BH16" i="8"/>
  <c r="BI16" i="8"/>
  <c r="BJ16" i="8"/>
  <c r="BK16" i="8"/>
  <c r="BL16" i="8"/>
  <c r="BM16" i="8"/>
  <c r="BN16" i="8"/>
  <c r="BO16" i="8"/>
  <c r="BP16" i="8"/>
  <c r="BQ16" i="8"/>
  <c r="BR16" i="8"/>
  <c r="BS16" i="8"/>
  <c r="BT16" i="8"/>
  <c r="BU16" i="8"/>
  <c r="BV16" i="8"/>
  <c r="BW16" i="8"/>
  <c r="BX16" i="8"/>
  <c r="BY16" i="8"/>
  <c r="BZ16" i="8"/>
  <c r="CA16" i="8"/>
  <c r="CB16" i="8"/>
  <c r="CC16" i="8"/>
  <c r="CD16" i="8"/>
  <c r="BB17" i="8"/>
  <c r="BC17" i="8"/>
  <c r="BD17" i="8"/>
  <c r="BE17" i="8"/>
  <c r="BF17" i="8"/>
  <c r="BG17" i="8"/>
  <c r="BH17" i="8"/>
  <c r="BI17" i="8"/>
  <c r="BJ17" i="8"/>
  <c r="BK17" i="8"/>
  <c r="BL17" i="8"/>
  <c r="BM17" i="8"/>
  <c r="BN17" i="8"/>
  <c r="BO17" i="8"/>
  <c r="BP17" i="8"/>
  <c r="BQ17" i="8"/>
  <c r="BR17" i="8"/>
  <c r="BS17" i="8"/>
  <c r="BT17" i="8"/>
  <c r="BU17" i="8"/>
  <c r="BV17" i="8"/>
  <c r="BW17" i="8"/>
  <c r="BX17" i="8"/>
  <c r="BY17" i="8"/>
  <c r="BZ17" i="8"/>
  <c r="CA17" i="8"/>
  <c r="CB17" i="8"/>
  <c r="CC17" i="8"/>
  <c r="CD17" i="8"/>
  <c r="BB18" i="8"/>
  <c r="BC18" i="8"/>
  <c r="BD18" i="8"/>
  <c r="BE18" i="8"/>
  <c r="BF18" i="8"/>
  <c r="BG18" i="8"/>
  <c r="BH18" i="8"/>
  <c r="BI18" i="8"/>
  <c r="BJ18" i="8"/>
  <c r="BK18" i="8"/>
  <c r="BL18" i="8"/>
  <c r="BM18" i="8"/>
  <c r="BN18" i="8"/>
  <c r="BO18" i="8"/>
  <c r="BP18" i="8"/>
  <c r="BQ18" i="8"/>
  <c r="BR18" i="8"/>
  <c r="BS18" i="8"/>
  <c r="BT18" i="8"/>
  <c r="BU18" i="8"/>
  <c r="BV18" i="8"/>
  <c r="BW18" i="8"/>
  <c r="BX18" i="8"/>
  <c r="BY18" i="8"/>
  <c r="BZ18" i="8"/>
  <c r="CA18" i="8"/>
  <c r="CB18" i="8"/>
  <c r="CC18" i="8"/>
  <c r="CD18" i="8"/>
  <c r="BB19" i="8"/>
  <c r="BC19" i="8"/>
  <c r="BD19" i="8"/>
  <c r="BE19" i="8"/>
  <c r="BF19" i="8"/>
  <c r="BG19" i="8"/>
  <c r="BH19" i="8"/>
  <c r="BI19" i="8"/>
  <c r="BJ19" i="8"/>
  <c r="BK19" i="8"/>
  <c r="BL19" i="8"/>
  <c r="BM19" i="8"/>
  <c r="BN19" i="8"/>
  <c r="BO19" i="8"/>
  <c r="BP19" i="8"/>
  <c r="BQ19" i="8"/>
  <c r="BR19" i="8"/>
  <c r="BS19" i="8"/>
  <c r="BT19" i="8"/>
  <c r="BU19" i="8"/>
  <c r="BV19" i="8"/>
  <c r="BW19" i="8"/>
  <c r="BX19" i="8"/>
  <c r="BY19" i="8"/>
  <c r="BZ19" i="8"/>
  <c r="CA19" i="8"/>
  <c r="CB19" i="8"/>
  <c r="CC19" i="8"/>
  <c r="CD19" i="8"/>
  <c r="BB20" i="8"/>
  <c r="BC20" i="8"/>
  <c r="BD20" i="8"/>
  <c r="BE20" i="8"/>
  <c r="BF20" i="8"/>
  <c r="BG20" i="8"/>
  <c r="BH20" i="8"/>
  <c r="BI20" i="8"/>
  <c r="BJ20" i="8"/>
  <c r="BK20" i="8"/>
  <c r="BL20" i="8"/>
  <c r="BM20" i="8"/>
  <c r="BN20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CA20" i="8"/>
  <c r="CB20" i="8"/>
  <c r="CC20" i="8"/>
  <c r="CD20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BQ22" i="8"/>
  <c r="BR22" i="8"/>
  <c r="BS22" i="8"/>
  <c r="BT22" i="8"/>
  <c r="BU22" i="8"/>
  <c r="BV22" i="8"/>
  <c r="BW22" i="8"/>
  <c r="BX22" i="8"/>
  <c r="BY22" i="8"/>
  <c r="BZ22" i="8"/>
  <c r="CA22" i="8"/>
  <c r="CB22" i="8"/>
  <c r="CC22" i="8"/>
  <c r="CD22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BQ23" i="8"/>
  <c r="BR23" i="8"/>
  <c r="BS23" i="8"/>
  <c r="BT23" i="8"/>
  <c r="BU23" i="8"/>
  <c r="BV23" i="8"/>
  <c r="BW23" i="8"/>
  <c r="BX23" i="8"/>
  <c r="BY23" i="8"/>
  <c r="BZ23" i="8"/>
  <c r="CA23" i="8"/>
  <c r="CB23" i="8"/>
  <c r="CC23" i="8"/>
  <c r="CD23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BQ24" i="8"/>
  <c r="BR24" i="8"/>
  <c r="BS24" i="8"/>
  <c r="BT24" i="8"/>
  <c r="BU24" i="8"/>
  <c r="BV24" i="8"/>
  <c r="BW24" i="8"/>
  <c r="BX24" i="8"/>
  <c r="BY24" i="8"/>
  <c r="BZ24" i="8"/>
  <c r="CA24" i="8"/>
  <c r="CB24" i="8"/>
  <c r="CC24" i="8"/>
  <c r="CD24" i="8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CA25" i="8"/>
  <c r="CB25" i="8"/>
  <c r="CC25" i="8"/>
  <c r="CD25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BN26" i="8"/>
  <c r="BO26" i="8"/>
  <c r="BP26" i="8"/>
  <c r="BQ26" i="8"/>
  <c r="BR26" i="8"/>
  <c r="BS26" i="8"/>
  <c r="BT26" i="8"/>
  <c r="BU26" i="8"/>
  <c r="BV26" i="8"/>
  <c r="BW26" i="8"/>
  <c r="BX26" i="8"/>
  <c r="BY26" i="8"/>
  <c r="BZ26" i="8"/>
  <c r="CA26" i="8"/>
  <c r="CB26" i="8"/>
  <c r="CC26" i="8"/>
  <c r="CD26" i="8"/>
  <c r="BB27" i="8"/>
  <c r="BC27" i="8"/>
  <c r="BD27" i="8"/>
  <c r="BE27" i="8"/>
  <c r="BF27" i="8"/>
  <c r="BG27" i="8"/>
  <c r="BH27" i="8"/>
  <c r="BI27" i="8"/>
  <c r="BJ27" i="8"/>
  <c r="BK27" i="8"/>
  <c r="BL27" i="8"/>
  <c r="BM27" i="8"/>
  <c r="BN27" i="8"/>
  <c r="BO27" i="8"/>
  <c r="BP27" i="8"/>
  <c r="BQ27" i="8"/>
  <c r="BR27" i="8"/>
  <c r="BS27" i="8"/>
  <c r="BT27" i="8"/>
  <c r="BU27" i="8"/>
  <c r="BV27" i="8"/>
  <c r="BW27" i="8"/>
  <c r="BX27" i="8"/>
  <c r="BY27" i="8"/>
  <c r="BZ27" i="8"/>
  <c r="CA27" i="8"/>
  <c r="CB27" i="8"/>
  <c r="CC27" i="8"/>
  <c r="CD27" i="8"/>
  <c r="BB28" i="8"/>
  <c r="BC28" i="8"/>
  <c r="BD28" i="8"/>
  <c r="BE28" i="8"/>
  <c r="BF28" i="8"/>
  <c r="BG28" i="8"/>
  <c r="BH28" i="8"/>
  <c r="BI28" i="8"/>
  <c r="BJ28" i="8"/>
  <c r="BK28" i="8"/>
  <c r="BL28" i="8"/>
  <c r="BM28" i="8"/>
  <c r="BN28" i="8"/>
  <c r="BO28" i="8"/>
  <c r="BP28" i="8"/>
  <c r="BQ28" i="8"/>
  <c r="BR28" i="8"/>
  <c r="BS28" i="8"/>
  <c r="BT28" i="8"/>
  <c r="BU28" i="8"/>
  <c r="BV28" i="8"/>
  <c r="BW28" i="8"/>
  <c r="BX28" i="8"/>
  <c r="BY28" i="8"/>
  <c r="BZ28" i="8"/>
  <c r="CA28" i="8"/>
  <c r="CB28" i="8"/>
  <c r="CC28" i="8"/>
  <c r="CD28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BQ29" i="8"/>
  <c r="BR29" i="8"/>
  <c r="BS29" i="8"/>
  <c r="BT29" i="8"/>
  <c r="BU29" i="8"/>
  <c r="BV29" i="8"/>
  <c r="BW29" i="8"/>
  <c r="BX29" i="8"/>
  <c r="BY29" i="8"/>
  <c r="BZ29" i="8"/>
  <c r="CA29" i="8"/>
  <c r="CB29" i="8"/>
  <c r="CC29" i="8"/>
  <c r="CD29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N30" i="8"/>
  <c r="BO30" i="8"/>
  <c r="BP30" i="8"/>
  <c r="BQ30" i="8"/>
  <c r="BR30" i="8"/>
  <c r="BS30" i="8"/>
  <c r="BT30" i="8"/>
  <c r="BU30" i="8"/>
  <c r="BV30" i="8"/>
  <c r="BW30" i="8"/>
  <c r="BX30" i="8"/>
  <c r="BY30" i="8"/>
  <c r="BZ30" i="8"/>
  <c r="CA30" i="8"/>
  <c r="CB30" i="8"/>
  <c r="CC30" i="8"/>
  <c r="CD30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BQ31" i="8"/>
  <c r="BR31" i="8"/>
  <c r="BS31" i="8"/>
  <c r="BT31" i="8"/>
  <c r="BU31" i="8"/>
  <c r="BV31" i="8"/>
  <c r="BW31" i="8"/>
  <c r="BX31" i="8"/>
  <c r="BY31" i="8"/>
  <c r="BZ31" i="8"/>
  <c r="CA31" i="8"/>
  <c r="CB31" i="8"/>
  <c r="CC31" i="8"/>
  <c r="CD31" i="8"/>
  <c r="BB32" i="8"/>
  <c r="BC32" i="8"/>
  <c r="BD32" i="8"/>
  <c r="BE32" i="8"/>
  <c r="BF32" i="8"/>
  <c r="BG32" i="8"/>
  <c r="BH32" i="8"/>
  <c r="BI32" i="8"/>
  <c r="BJ32" i="8"/>
  <c r="BK32" i="8"/>
  <c r="BL32" i="8"/>
  <c r="BM32" i="8"/>
  <c r="BN32" i="8"/>
  <c r="BO32" i="8"/>
  <c r="BP32" i="8"/>
  <c r="BQ32" i="8"/>
  <c r="BR32" i="8"/>
  <c r="BS32" i="8"/>
  <c r="BT32" i="8"/>
  <c r="BU32" i="8"/>
  <c r="BV32" i="8"/>
  <c r="BW32" i="8"/>
  <c r="BX32" i="8"/>
  <c r="BY32" i="8"/>
  <c r="BZ32" i="8"/>
  <c r="CA32" i="8"/>
  <c r="CB32" i="8"/>
  <c r="CC32" i="8"/>
  <c r="CD32" i="8"/>
  <c r="BB33" i="8"/>
  <c r="BC33" i="8"/>
  <c r="BD33" i="8"/>
  <c r="BE33" i="8"/>
  <c r="BF33" i="8"/>
  <c r="BG33" i="8"/>
  <c r="BH33" i="8"/>
  <c r="BI33" i="8"/>
  <c r="BJ33" i="8"/>
  <c r="BK33" i="8"/>
  <c r="BL33" i="8"/>
  <c r="BM33" i="8"/>
  <c r="BN33" i="8"/>
  <c r="BO33" i="8"/>
  <c r="BP33" i="8"/>
  <c r="BQ33" i="8"/>
  <c r="BR33" i="8"/>
  <c r="BS33" i="8"/>
  <c r="BT33" i="8"/>
  <c r="BU33" i="8"/>
  <c r="BV33" i="8"/>
  <c r="BW33" i="8"/>
  <c r="BX33" i="8"/>
  <c r="BY33" i="8"/>
  <c r="BZ33" i="8"/>
  <c r="CA33" i="8"/>
  <c r="CB33" i="8"/>
  <c r="CC33" i="8"/>
  <c r="CD33" i="8"/>
  <c r="BB34" i="8"/>
  <c r="BC34" i="8"/>
  <c r="BD34" i="8"/>
  <c r="BE34" i="8"/>
  <c r="BF34" i="8"/>
  <c r="BG34" i="8"/>
  <c r="BH34" i="8"/>
  <c r="BI34" i="8"/>
  <c r="BJ34" i="8"/>
  <c r="BK34" i="8"/>
  <c r="BL34" i="8"/>
  <c r="BM34" i="8"/>
  <c r="BN34" i="8"/>
  <c r="BO34" i="8"/>
  <c r="BP34" i="8"/>
  <c r="BQ34" i="8"/>
  <c r="BR34" i="8"/>
  <c r="BS34" i="8"/>
  <c r="BT34" i="8"/>
  <c r="BU34" i="8"/>
  <c r="BV34" i="8"/>
  <c r="BW34" i="8"/>
  <c r="BX34" i="8"/>
  <c r="BY34" i="8"/>
  <c r="BZ34" i="8"/>
  <c r="CA34" i="8"/>
  <c r="CB34" i="8"/>
  <c r="CC34" i="8"/>
  <c r="CD34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BB37" i="8"/>
  <c r="BC37" i="8"/>
  <c r="BD37" i="8"/>
  <c r="BE37" i="8"/>
  <c r="BF37" i="8"/>
  <c r="BG37" i="8"/>
  <c r="BH37" i="8"/>
  <c r="BI37" i="8"/>
  <c r="BJ37" i="8"/>
  <c r="BK37" i="8"/>
  <c r="BL37" i="8"/>
  <c r="BM37" i="8"/>
  <c r="BN37" i="8"/>
  <c r="BO37" i="8"/>
  <c r="BP37" i="8"/>
  <c r="BQ37" i="8"/>
  <c r="BR37" i="8"/>
  <c r="BS37" i="8"/>
  <c r="BT37" i="8"/>
  <c r="BU37" i="8"/>
  <c r="BV37" i="8"/>
  <c r="BW37" i="8"/>
  <c r="BX37" i="8"/>
  <c r="BY37" i="8"/>
  <c r="BZ37" i="8"/>
  <c r="CA37" i="8"/>
  <c r="CB37" i="8"/>
  <c r="CC37" i="8"/>
  <c r="CD37" i="8"/>
  <c r="BB38" i="8"/>
  <c r="BC38" i="8"/>
  <c r="BD38" i="8"/>
  <c r="BE38" i="8"/>
  <c r="BF38" i="8"/>
  <c r="BG38" i="8"/>
  <c r="BH38" i="8"/>
  <c r="BI38" i="8"/>
  <c r="BJ38" i="8"/>
  <c r="BK38" i="8"/>
  <c r="BL38" i="8"/>
  <c r="BM38" i="8"/>
  <c r="BN38" i="8"/>
  <c r="BO38" i="8"/>
  <c r="BP38" i="8"/>
  <c r="BQ38" i="8"/>
  <c r="BR38" i="8"/>
  <c r="BS38" i="8"/>
  <c r="BT38" i="8"/>
  <c r="BU38" i="8"/>
  <c r="BV38" i="8"/>
  <c r="BW38" i="8"/>
  <c r="BX38" i="8"/>
  <c r="BY38" i="8"/>
  <c r="BZ38" i="8"/>
  <c r="CA38" i="8"/>
  <c r="CB38" i="8"/>
  <c r="CC38" i="8"/>
  <c r="CD38" i="8"/>
  <c r="BB39" i="8"/>
  <c r="BC39" i="8"/>
  <c r="BD39" i="8"/>
  <c r="BE39" i="8"/>
  <c r="BF39" i="8"/>
  <c r="BG39" i="8"/>
  <c r="BH39" i="8"/>
  <c r="BI39" i="8"/>
  <c r="BJ39" i="8"/>
  <c r="BK39" i="8"/>
  <c r="BL39" i="8"/>
  <c r="BM39" i="8"/>
  <c r="BN39" i="8"/>
  <c r="BO39" i="8"/>
  <c r="BP39" i="8"/>
  <c r="BQ39" i="8"/>
  <c r="BR39" i="8"/>
  <c r="BS39" i="8"/>
  <c r="BT39" i="8"/>
  <c r="BU39" i="8"/>
  <c r="BV39" i="8"/>
  <c r="BW39" i="8"/>
  <c r="BX39" i="8"/>
  <c r="BY39" i="8"/>
  <c r="BZ39" i="8"/>
  <c r="CA39" i="8"/>
  <c r="CB39" i="8"/>
  <c r="CC39" i="8"/>
  <c r="CD39" i="8"/>
  <c r="BB40" i="8"/>
  <c r="BC40" i="8"/>
  <c r="BD40" i="8"/>
  <c r="BE40" i="8"/>
  <c r="BF40" i="8"/>
  <c r="BG40" i="8"/>
  <c r="BH40" i="8"/>
  <c r="BI40" i="8"/>
  <c r="BJ40" i="8"/>
  <c r="BK40" i="8"/>
  <c r="BL40" i="8"/>
  <c r="BM40" i="8"/>
  <c r="BN40" i="8"/>
  <c r="BO40" i="8"/>
  <c r="BP40" i="8"/>
  <c r="BQ40" i="8"/>
  <c r="BR40" i="8"/>
  <c r="BS40" i="8"/>
  <c r="BT40" i="8"/>
  <c r="BU40" i="8"/>
  <c r="BV40" i="8"/>
  <c r="BW40" i="8"/>
  <c r="BX40" i="8"/>
  <c r="BY40" i="8"/>
  <c r="BZ40" i="8"/>
  <c r="CA40" i="8"/>
  <c r="CB40" i="8"/>
  <c r="CC40" i="8"/>
  <c r="CD40" i="8"/>
  <c r="BB41" i="8"/>
  <c r="BC41" i="8"/>
  <c r="BD41" i="8"/>
  <c r="BE41" i="8"/>
  <c r="BF41" i="8"/>
  <c r="BG41" i="8"/>
  <c r="BH41" i="8"/>
  <c r="BI41" i="8"/>
  <c r="BJ41" i="8"/>
  <c r="BK41" i="8"/>
  <c r="BL41" i="8"/>
  <c r="BM41" i="8"/>
  <c r="BN41" i="8"/>
  <c r="BO41" i="8"/>
  <c r="BP41" i="8"/>
  <c r="BQ41" i="8"/>
  <c r="BR41" i="8"/>
  <c r="BS41" i="8"/>
  <c r="BT41" i="8"/>
  <c r="BU41" i="8"/>
  <c r="BV41" i="8"/>
  <c r="BW41" i="8"/>
  <c r="BX41" i="8"/>
  <c r="BY41" i="8"/>
  <c r="BZ41" i="8"/>
  <c r="CA41" i="8"/>
  <c r="CB41" i="8"/>
  <c r="CC41" i="8"/>
  <c r="CD41" i="8"/>
  <c r="BB42" i="8"/>
  <c r="BC42" i="8"/>
  <c r="BD42" i="8"/>
  <c r="BE42" i="8"/>
  <c r="BF42" i="8"/>
  <c r="BG42" i="8"/>
  <c r="BH42" i="8"/>
  <c r="BI42" i="8"/>
  <c r="BJ42" i="8"/>
  <c r="BK42" i="8"/>
  <c r="BL42" i="8"/>
  <c r="BM42" i="8"/>
  <c r="BN42" i="8"/>
  <c r="BO42" i="8"/>
  <c r="BP42" i="8"/>
  <c r="BQ42" i="8"/>
  <c r="BR42" i="8"/>
  <c r="BS42" i="8"/>
  <c r="BT42" i="8"/>
  <c r="BU42" i="8"/>
  <c r="BV42" i="8"/>
  <c r="BW42" i="8"/>
  <c r="BX42" i="8"/>
  <c r="BY42" i="8"/>
  <c r="BZ42" i="8"/>
  <c r="CA42" i="8"/>
  <c r="CB42" i="8"/>
  <c r="CC42" i="8"/>
  <c r="CD42" i="8"/>
  <c r="BB43" i="8"/>
  <c r="BC43" i="8"/>
  <c r="BD43" i="8"/>
  <c r="BE43" i="8"/>
  <c r="BF43" i="8"/>
  <c r="BG43" i="8"/>
  <c r="BH43" i="8"/>
  <c r="BI43" i="8"/>
  <c r="BJ43" i="8"/>
  <c r="BK43" i="8"/>
  <c r="BL43" i="8"/>
  <c r="BM43" i="8"/>
  <c r="BN43" i="8"/>
  <c r="BO43" i="8"/>
  <c r="BP43" i="8"/>
  <c r="BQ43" i="8"/>
  <c r="BR43" i="8"/>
  <c r="BS43" i="8"/>
  <c r="BT43" i="8"/>
  <c r="BU43" i="8"/>
  <c r="BV43" i="8"/>
  <c r="BW43" i="8"/>
  <c r="BX43" i="8"/>
  <c r="BY43" i="8"/>
  <c r="BZ43" i="8"/>
  <c r="CA43" i="8"/>
  <c r="CB43" i="8"/>
  <c r="CC43" i="8"/>
  <c r="CD43" i="8"/>
  <c r="BB44" i="8"/>
  <c r="BC44" i="8"/>
  <c r="BD44" i="8"/>
  <c r="BE44" i="8"/>
  <c r="BF44" i="8"/>
  <c r="BG44" i="8"/>
  <c r="BH44" i="8"/>
  <c r="BI44" i="8"/>
  <c r="BJ44" i="8"/>
  <c r="BK44" i="8"/>
  <c r="BL44" i="8"/>
  <c r="BM44" i="8"/>
  <c r="BN44" i="8"/>
  <c r="BO44" i="8"/>
  <c r="BP44" i="8"/>
  <c r="BQ44" i="8"/>
  <c r="BR44" i="8"/>
  <c r="BS44" i="8"/>
  <c r="BT44" i="8"/>
  <c r="BU44" i="8"/>
  <c r="BV44" i="8"/>
  <c r="BW44" i="8"/>
  <c r="BX44" i="8"/>
  <c r="BY44" i="8"/>
  <c r="BZ44" i="8"/>
  <c r="CA44" i="8"/>
  <c r="CB44" i="8"/>
  <c r="CC44" i="8"/>
  <c r="CD44" i="8"/>
  <c r="BB45" i="8"/>
  <c r="BC45" i="8"/>
  <c r="BD45" i="8"/>
  <c r="BE45" i="8"/>
  <c r="BF45" i="8"/>
  <c r="BG45" i="8"/>
  <c r="BH45" i="8"/>
  <c r="BI45" i="8"/>
  <c r="BJ45" i="8"/>
  <c r="BK45" i="8"/>
  <c r="BL45" i="8"/>
  <c r="BM45" i="8"/>
  <c r="BN45" i="8"/>
  <c r="BO45" i="8"/>
  <c r="BP45" i="8"/>
  <c r="BQ45" i="8"/>
  <c r="BR45" i="8"/>
  <c r="BS45" i="8"/>
  <c r="BT45" i="8"/>
  <c r="BU45" i="8"/>
  <c r="BV45" i="8"/>
  <c r="BW45" i="8"/>
  <c r="BX45" i="8"/>
  <c r="BY45" i="8"/>
  <c r="BZ45" i="8"/>
  <c r="CA45" i="8"/>
  <c r="CB45" i="8"/>
  <c r="CC45" i="8"/>
  <c r="CD45" i="8"/>
  <c r="BB46" i="8"/>
  <c r="BC46" i="8"/>
  <c r="BD46" i="8"/>
  <c r="BE46" i="8"/>
  <c r="BF46" i="8"/>
  <c r="BG46" i="8"/>
  <c r="BH46" i="8"/>
  <c r="BI46" i="8"/>
  <c r="BJ46" i="8"/>
  <c r="BK46" i="8"/>
  <c r="BL46" i="8"/>
  <c r="BM46" i="8"/>
  <c r="BN46" i="8"/>
  <c r="BO46" i="8"/>
  <c r="BP46" i="8"/>
  <c r="BQ46" i="8"/>
  <c r="BR46" i="8"/>
  <c r="BS46" i="8"/>
  <c r="BT46" i="8"/>
  <c r="BU46" i="8"/>
  <c r="BV46" i="8"/>
  <c r="BW46" i="8"/>
  <c r="BX46" i="8"/>
  <c r="BY46" i="8"/>
  <c r="BZ46" i="8"/>
  <c r="CA46" i="8"/>
  <c r="CB46" i="8"/>
  <c r="CC46" i="8"/>
  <c r="CD46" i="8"/>
  <c r="BB47" i="8"/>
  <c r="BC47" i="8"/>
  <c r="BD47" i="8"/>
  <c r="BE47" i="8"/>
  <c r="BF47" i="8"/>
  <c r="BG47" i="8"/>
  <c r="BH47" i="8"/>
  <c r="BI47" i="8"/>
  <c r="BJ47" i="8"/>
  <c r="BK47" i="8"/>
  <c r="BL47" i="8"/>
  <c r="BM47" i="8"/>
  <c r="BN47" i="8"/>
  <c r="BO47" i="8"/>
  <c r="BP47" i="8"/>
  <c r="BQ47" i="8"/>
  <c r="BR47" i="8"/>
  <c r="BS47" i="8"/>
  <c r="BT47" i="8"/>
  <c r="BU47" i="8"/>
  <c r="BV47" i="8"/>
  <c r="BW47" i="8"/>
  <c r="BX47" i="8"/>
  <c r="BY47" i="8"/>
  <c r="BZ47" i="8"/>
  <c r="CA47" i="8"/>
  <c r="CB47" i="8"/>
  <c r="CC47" i="8"/>
  <c r="CD47" i="8"/>
  <c r="BB48" i="8"/>
  <c r="BC48" i="8"/>
  <c r="BD48" i="8"/>
  <c r="BE48" i="8"/>
  <c r="BF48" i="8"/>
  <c r="BG48" i="8"/>
  <c r="BH48" i="8"/>
  <c r="BI48" i="8"/>
  <c r="BJ48" i="8"/>
  <c r="BK48" i="8"/>
  <c r="BL48" i="8"/>
  <c r="BM48" i="8"/>
  <c r="BN48" i="8"/>
  <c r="BO48" i="8"/>
  <c r="BP48" i="8"/>
  <c r="BQ48" i="8"/>
  <c r="BR48" i="8"/>
  <c r="BS48" i="8"/>
  <c r="BT48" i="8"/>
  <c r="BU48" i="8"/>
  <c r="BV48" i="8"/>
  <c r="BW48" i="8"/>
  <c r="BX48" i="8"/>
  <c r="BY48" i="8"/>
  <c r="BZ48" i="8"/>
  <c r="CA48" i="8"/>
  <c r="CB48" i="8"/>
  <c r="CC48" i="8"/>
  <c r="CD48" i="8"/>
  <c r="BA5" i="8"/>
  <c r="BA6" i="8"/>
  <c r="BA7" i="8"/>
  <c r="BA8" i="8"/>
  <c r="BA9" i="8"/>
  <c r="BA10" i="8"/>
  <c r="BA11" i="8"/>
  <c r="BA12" i="8"/>
  <c r="BA13" i="8"/>
  <c r="BA14" i="8"/>
  <c r="BA15" i="8"/>
  <c r="BA16" i="8"/>
  <c r="BA17" i="8"/>
  <c r="BA18" i="8"/>
  <c r="BA19" i="8"/>
  <c r="BA20" i="8"/>
  <c r="BA21" i="8"/>
  <c r="BA22" i="8"/>
  <c r="BA23" i="8"/>
  <c r="BA24" i="8"/>
  <c r="BA25" i="8"/>
  <c r="BA26" i="8"/>
  <c r="BA27" i="8"/>
  <c r="BA28" i="8"/>
  <c r="BA29" i="8"/>
  <c r="BA30" i="8"/>
  <c r="BA31" i="8"/>
  <c r="BA32" i="8"/>
  <c r="BA33" i="8"/>
  <c r="BA34" i="8"/>
  <c r="BA35" i="8"/>
  <c r="BA36" i="8"/>
  <c r="BA37" i="8"/>
  <c r="BA38" i="8"/>
  <c r="BA39" i="8"/>
  <c r="BA40" i="8"/>
  <c r="BA41" i="8"/>
  <c r="BA42" i="8"/>
  <c r="BA43" i="8"/>
  <c r="BA44" i="8"/>
  <c r="BA45" i="8"/>
  <c r="BA46" i="8"/>
  <c r="BA47" i="8"/>
  <c r="BA48" i="8"/>
  <c r="BA4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FO70" i="8"/>
  <c r="FN70" i="8"/>
  <c r="A70" i="8"/>
  <c r="FO69" i="8"/>
  <c r="FN69" i="8"/>
  <c r="A69" i="8"/>
  <c r="FO68" i="8"/>
  <c r="FN68" i="8"/>
  <c r="A68" i="8"/>
  <c r="FO67" i="8"/>
  <c r="FN67" i="8"/>
  <c r="A67" i="8"/>
  <c r="FO66" i="8"/>
  <c r="FN66" i="8"/>
  <c r="A66" i="8"/>
  <c r="FO65" i="8"/>
  <c r="FN65" i="8"/>
  <c r="A65" i="8"/>
  <c r="FO64" i="8"/>
  <c r="FN64" i="8"/>
  <c r="A64" i="8"/>
  <c r="FO63" i="8"/>
  <c r="FN63" i="8"/>
  <c r="A63" i="8"/>
  <c r="FO62" i="8"/>
  <c r="FN62" i="8"/>
  <c r="A62" i="8"/>
  <c r="FO61" i="8"/>
  <c r="FN61" i="8"/>
  <c r="A61" i="8"/>
  <c r="FO60" i="8"/>
  <c r="FN60" i="8"/>
  <c r="A60" i="8"/>
  <c r="FO59" i="8"/>
  <c r="FN59" i="8"/>
  <c r="A59" i="8"/>
  <c r="FO58" i="8"/>
  <c r="FN58" i="8"/>
  <c r="A58" i="8"/>
  <c r="FO57" i="8"/>
  <c r="FN57" i="8"/>
  <c r="A57" i="8"/>
  <c r="FO56" i="8"/>
  <c r="FN56" i="8"/>
  <c r="A56" i="8"/>
  <c r="FO55" i="8"/>
  <c r="FN55" i="8"/>
  <c r="A55" i="8"/>
  <c r="FO54" i="8"/>
  <c r="FN54" i="8"/>
  <c r="A54" i="8"/>
  <c r="BA53" i="8" a="1"/>
  <c r="E4" i="8"/>
  <c r="FO4" i="3" a="1"/>
  <c r="FV3" i="8" a="1"/>
  <c r="J3" i="7"/>
  <c r="I137" i="6"/>
  <c r="J137" i="6" s="1"/>
  <c r="I136" i="6"/>
  <c r="J136" i="6" s="1"/>
  <c r="I135" i="6"/>
  <c r="J135" i="6" s="1"/>
  <c r="I134" i="6"/>
  <c r="J134" i="6" s="1"/>
  <c r="I133" i="6"/>
  <c r="J133" i="6" s="1"/>
  <c r="I132" i="6"/>
  <c r="J132" i="6" s="1"/>
  <c r="I131" i="6"/>
  <c r="J131" i="6" s="1"/>
  <c r="I130" i="6"/>
  <c r="J130" i="6" s="1"/>
  <c r="I129" i="6"/>
  <c r="J129" i="6" s="1"/>
  <c r="I128" i="6"/>
  <c r="J128" i="6" s="1"/>
  <c r="I127" i="6"/>
  <c r="J127" i="6" s="1"/>
  <c r="I126" i="6"/>
  <c r="J126" i="6" s="1"/>
  <c r="I125" i="6"/>
  <c r="J125" i="6" s="1"/>
  <c r="I124" i="6"/>
  <c r="J124" i="6" s="1"/>
  <c r="I123" i="6"/>
  <c r="J123" i="6" s="1"/>
  <c r="I122" i="6"/>
  <c r="J122" i="6" s="1"/>
  <c r="I121" i="6"/>
  <c r="J121" i="6" s="1"/>
  <c r="I120" i="6"/>
  <c r="J120" i="6" s="1"/>
  <c r="I119" i="6"/>
  <c r="J119" i="6" s="1"/>
  <c r="I118" i="6"/>
  <c r="J118" i="6" s="1"/>
  <c r="I117" i="6"/>
  <c r="J117" i="6" s="1"/>
  <c r="I116" i="6"/>
  <c r="J116" i="6" s="1"/>
  <c r="I115" i="6"/>
  <c r="J115" i="6" s="1"/>
  <c r="I114" i="6"/>
  <c r="J114" i="6" s="1"/>
  <c r="I113" i="6"/>
  <c r="J113" i="6" s="1"/>
  <c r="I112" i="6"/>
  <c r="J112" i="6" s="1"/>
  <c r="I111" i="6"/>
  <c r="J111" i="6" s="1"/>
  <c r="I110" i="6"/>
  <c r="J110" i="6" s="1"/>
  <c r="I109" i="6"/>
  <c r="J109" i="6" s="1"/>
  <c r="I108" i="6"/>
  <c r="J108" i="6" s="1"/>
  <c r="I107" i="6"/>
  <c r="J107" i="6" s="1"/>
  <c r="I106" i="6"/>
  <c r="J106" i="6" s="1"/>
  <c r="I105" i="6"/>
  <c r="J105" i="6" s="1"/>
  <c r="I104" i="6"/>
  <c r="J104" i="6" s="1"/>
  <c r="I103" i="6"/>
  <c r="J103" i="6" s="1"/>
  <c r="I102" i="6"/>
  <c r="J102" i="6" s="1"/>
  <c r="I101" i="6"/>
  <c r="J101" i="6" s="1"/>
  <c r="I100" i="6"/>
  <c r="J100" i="6" s="1"/>
  <c r="I99" i="6"/>
  <c r="J99" i="6" s="1"/>
  <c r="I98" i="6"/>
  <c r="J98" i="6" s="1"/>
  <c r="I97" i="6"/>
  <c r="J97" i="6" s="1"/>
  <c r="I96" i="6"/>
  <c r="J96" i="6" s="1"/>
  <c r="I95" i="6"/>
  <c r="J95" i="6" s="1"/>
  <c r="I94" i="6"/>
  <c r="J94" i="6" s="1"/>
  <c r="I93" i="6"/>
  <c r="J93" i="6" s="1"/>
  <c r="I47" i="6"/>
  <c r="J47" i="6" s="1"/>
  <c r="I46" i="6"/>
  <c r="J46" i="6" s="1"/>
  <c r="I45" i="6"/>
  <c r="J45" i="6" s="1"/>
  <c r="I44" i="6"/>
  <c r="J44" i="6" s="1"/>
  <c r="I43" i="6"/>
  <c r="J43" i="6" s="1"/>
  <c r="I42" i="6"/>
  <c r="J42" i="6" s="1"/>
  <c r="I41" i="6"/>
  <c r="J41" i="6" s="1"/>
  <c r="I40" i="6"/>
  <c r="J40" i="6" s="1"/>
  <c r="I39" i="6"/>
  <c r="J39" i="6" s="1"/>
  <c r="I38" i="6"/>
  <c r="J38" i="6" s="1"/>
  <c r="I37" i="6"/>
  <c r="J37" i="6" s="1"/>
  <c r="I36" i="6"/>
  <c r="J36" i="6" s="1"/>
  <c r="I35" i="6"/>
  <c r="J35" i="6" s="1"/>
  <c r="I34" i="6"/>
  <c r="J34" i="6" s="1"/>
  <c r="I33" i="6"/>
  <c r="J33" i="6" s="1"/>
  <c r="I32" i="6"/>
  <c r="J32" i="6" s="1"/>
  <c r="I31" i="6"/>
  <c r="J31" i="6" s="1"/>
  <c r="I30" i="6"/>
  <c r="J30" i="6" s="1"/>
  <c r="I29" i="6"/>
  <c r="J29" i="6" s="1"/>
  <c r="I28" i="6"/>
  <c r="J28" i="6" s="1"/>
  <c r="I27" i="6"/>
  <c r="J27" i="6" s="1"/>
  <c r="I26" i="6"/>
  <c r="J26" i="6" s="1"/>
  <c r="I25" i="6"/>
  <c r="J25" i="6" s="1"/>
  <c r="I24" i="6"/>
  <c r="J24" i="6" s="1"/>
  <c r="I23" i="6"/>
  <c r="J23" i="6" s="1"/>
  <c r="I22" i="6"/>
  <c r="J22" i="6" s="1"/>
  <c r="I21" i="6"/>
  <c r="J21" i="6" s="1"/>
  <c r="I20" i="6"/>
  <c r="J20" i="6" s="1"/>
  <c r="I19" i="6"/>
  <c r="J19" i="6" s="1"/>
  <c r="I18" i="6"/>
  <c r="J18" i="6" s="1"/>
  <c r="I17" i="6"/>
  <c r="J17" i="6" s="1"/>
  <c r="I16" i="6"/>
  <c r="J16" i="6" s="1"/>
  <c r="I15" i="6"/>
  <c r="J15" i="6" s="1"/>
  <c r="I14" i="6"/>
  <c r="J14" i="6" s="1"/>
  <c r="I13" i="6"/>
  <c r="J13" i="6" s="1"/>
  <c r="I12" i="6"/>
  <c r="J12" i="6" s="1"/>
  <c r="I11" i="6"/>
  <c r="J11" i="6" s="1"/>
  <c r="I10" i="6"/>
  <c r="J10" i="6" s="1"/>
  <c r="I9" i="6"/>
  <c r="J9" i="6" s="1"/>
  <c r="I8" i="6"/>
  <c r="J8" i="6" s="1"/>
  <c r="I7" i="6"/>
  <c r="J7" i="6" s="1"/>
  <c r="I6" i="6"/>
  <c r="J6" i="6" s="1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J5" i="6"/>
  <c r="J4" i="6"/>
  <c r="J3" i="6"/>
  <c r="HP3" i="8" a="1"/>
  <c r="A1" i="9"/>
  <c r="FN5" i="8"/>
  <c r="FN6" i="8"/>
  <c r="FN7" i="8"/>
  <c r="FN8" i="8"/>
  <c r="FN9" i="8"/>
  <c r="FN10" i="8"/>
  <c r="FN11" i="8"/>
  <c r="FN12" i="8"/>
  <c r="FN13" i="8"/>
  <c r="FN14" i="8"/>
  <c r="FN15" i="8"/>
  <c r="FN16" i="8"/>
  <c r="FN17" i="8"/>
  <c r="FN18" i="8"/>
  <c r="FN19" i="8"/>
  <c r="FN20" i="8"/>
  <c r="FN4" i="8"/>
  <c r="E3" i="7"/>
  <c r="D4" i="7"/>
  <c r="E4" i="7" s="1"/>
  <c r="D5" i="7"/>
  <c r="E5" i="7" s="1"/>
  <c r="D6" i="7"/>
  <c r="E6" i="7" s="1"/>
  <c r="D7" i="7"/>
  <c r="E7" i="7" s="1"/>
  <c r="D8" i="7"/>
  <c r="E8" i="7" s="1"/>
  <c r="D9" i="7"/>
  <c r="E9" i="7" s="1"/>
  <c r="D10" i="7"/>
  <c r="E10" i="7" s="1"/>
  <c r="D11" i="7"/>
  <c r="E11" i="7" s="1"/>
  <c r="D12" i="7"/>
  <c r="E12" i="7" s="1"/>
  <c r="D13" i="7"/>
  <c r="E13" i="7" s="1"/>
  <c r="D14" i="7"/>
  <c r="E14" i="7" s="1"/>
  <c r="D15" i="7"/>
  <c r="E15" i="7" s="1"/>
  <c r="D16" i="7"/>
  <c r="E16" i="7" s="1"/>
  <c r="D17" i="7"/>
  <c r="E17" i="7" s="1"/>
  <c r="D18" i="7"/>
  <c r="E18" i="7" s="1"/>
  <c r="D19" i="7"/>
  <c r="E19" i="7" s="1"/>
  <c r="D20" i="7"/>
  <c r="E20" i="7" s="1"/>
  <c r="D21" i="7"/>
  <c r="E21" i="7" s="1"/>
  <c r="D22" i="7"/>
  <c r="E22" i="7" s="1"/>
  <c r="D23" i="7"/>
  <c r="E23" i="7" s="1"/>
  <c r="D24" i="7"/>
  <c r="E24" i="7" s="1"/>
  <c r="D25" i="7"/>
  <c r="E25" i="7" s="1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32" i="7"/>
  <c r="E32" i="7" s="1"/>
  <c r="D33" i="7"/>
  <c r="E33" i="7" s="1"/>
  <c r="D34" i="7"/>
  <c r="E34" i="7" s="1"/>
  <c r="D35" i="7"/>
  <c r="E35" i="7" s="1"/>
  <c r="D36" i="7"/>
  <c r="E36" i="7" s="1"/>
  <c r="D37" i="7"/>
  <c r="E37" i="7" s="1"/>
  <c r="D38" i="7"/>
  <c r="E38" i="7" s="1"/>
  <c r="D39" i="7"/>
  <c r="E39" i="7" s="1"/>
  <c r="D40" i="7"/>
  <c r="E40" i="7" s="1"/>
  <c r="D41" i="7"/>
  <c r="E41" i="7" s="1"/>
  <c r="D42" i="7"/>
  <c r="E42" i="7" s="1"/>
  <c r="D43" i="7"/>
  <c r="E43" i="7" s="1"/>
  <c r="D44" i="7"/>
  <c r="E44" i="7" s="1"/>
  <c r="D45" i="7"/>
  <c r="E45" i="7" s="1"/>
  <c r="E46" i="7"/>
  <c r="D47" i="7"/>
  <c r="E47" i="7" s="1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" i="8"/>
  <c r="BA3" i="8" a="1"/>
  <c r="AJ4" i="8"/>
  <c r="AK4" i="8"/>
  <c r="EA4" i="8" s="1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AJ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Z5" i="8"/>
  <c r="AJ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Z6" i="8"/>
  <c r="AJ7" i="8"/>
  <c r="AK7" i="8"/>
  <c r="EA7" i="8" s="1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AJ9" i="8"/>
  <c r="AK9" i="8"/>
  <c r="EA9" i="8" s="1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AJ10" i="8"/>
  <c r="AK10" i="8"/>
  <c r="EA10" i="8" s="1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AJ11" i="8"/>
  <c r="AK11" i="8"/>
  <c r="EA11" i="8" s="1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Z11" i="8"/>
  <c r="AJ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Z12" i="8"/>
  <c r="AJ13" i="8"/>
  <c r="AK13" i="8"/>
  <c r="EA13" i="8" s="1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Z13" i="8"/>
  <c r="AJ14" i="8"/>
  <c r="AK14" i="8"/>
  <c r="EC14" i="8" s="1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Z14" i="8"/>
  <c r="AJ15" i="8"/>
  <c r="AK15" i="8"/>
  <c r="EC15" i="8" s="1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J16" i="8"/>
  <c r="AK16" i="8"/>
  <c r="EA16" i="8" s="1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J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J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J19" i="8"/>
  <c r="AK19" i="8"/>
  <c r="EC19" i="8" s="1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J20" i="8"/>
  <c r="AK20" i="8"/>
  <c r="EA20" i="8" s="1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J21" i="8"/>
  <c r="AK21" i="8"/>
  <c r="EC21" i="8" s="1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J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J23" i="8"/>
  <c r="AK23" i="8"/>
  <c r="EA23" i="8" s="1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J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J25" i="8"/>
  <c r="AK25" i="8"/>
  <c r="EA25" i="8" s="1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J26" i="8"/>
  <c r="AK26" i="8"/>
  <c r="EC26" i="8" s="1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J27" i="8"/>
  <c r="AK27" i="8"/>
  <c r="EA27" i="8" s="1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J28" i="8"/>
  <c r="AK28" i="8"/>
  <c r="EA28" i="8" s="1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J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J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J31" i="8"/>
  <c r="AK31" i="8"/>
  <c r="EC31" i="8" s="1"/>
  <c r="AL31" i="8"/>
  <c r="AM31" i="8"/>
  <c r="AN31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AJ33" i="8"/>
  <c r="AK33" i="8"/>
  <c r="EC33" i="8" s="1"/>
  <c r="AL33" i="8"/>
  <c r="AM33" i="8"/>
  <c r="AN33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AJ34" i="8"/>
  <c r="AK34" i="8"/>
  <c r="AL34" i="8"/>
  <c r="AM34" i="8"/>
  <c r="AN34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AJ35" i="8"/>
  <c r="AK35" i="8"/>
  <c r="EA35" i="8" s="1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AJ36" i="8"/>
  <c r="AK36" i="8"/>
  <c r="EA36" i="8" s="1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AJ37" i="8"/>
  <c r="AK37" i="8"/>
  <c r="EA37" i="8" s="1"/>
  <c r="AL37" i="8"/>
  <c r="AM37" i="8"/>
  <c r="AN37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AJ38" i="8"/>
  <c r="AK38" i="8"/>
  <c r="EC38" i="8" s="1"/>
  <c r="AL38" i="8"/>
  <c r="AM38" i="8"/>
  <c r="AN38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AJ39" i="8"/>
  <c r="AK39" i="8"/>
  <c r="EA39" i="8" s="1"/>
  <c r="AL39" i="8"/>
  <c r="AM39" i="8"/>
  <c r="AN39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AJ40" i="8"/>
  <c r="AK40" i="8"/>
  <c r="EA40" i="8" s="1"/>
  <c r="AL40" i="8"/>
  <c r="AM40" i="8"/>
  <c r="AN40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AJ41" i="8"/>
  <c r="AK41" i="8"/>
  <c r="AL41" i="8"/>
  <c r="AM41" i="8"/>
  <c r="AN41" i="8"/>
  <c r="AO41" i="8"/>
  <c r="AP41" i="8"/>
  <c r="AQ41" i="8"/>
  <c r="AR41" i="8"/>
  <c r="AS41" i="8"/>
  <c r="AT41" i="8"/>
  <c r="AU41" i="8"/>
  <c r="AV41" i="8"/>
  <c r="AW41" i="8"/>
  <c r="AX41" i="8"/>
  <c r="AY41" i="8"/>
  <c r="AZ41" i="8"/>
  <c r="AJ42" i="8"/>
  <c r="AK42" i="8"/>
  <c r="AL42" i="8"/>
  <c r="AM42" i="8"/>
  <c r="AN42" i="8"/>
  <c r="AO42" i="8"/>
  <c r="AP42" i="8"/>
  <c r="AQ42" i="8"/>
  <c r="AR42" i="8"/>
  <c r="AS42" i="8"/>
  <c r="AT42" i="8"/>
  <c r="AU42" i="8"/>
  <c r="AV42" i="8"/>
  <c r="AW42" i="8"/>
  <c r="AX42" i="8"/>
  <c r="AY42" i="8"/>
  <c r="AZ42" i="8"/>
  <c r="AJ43" i="8"/>
  <c r="AK43" i="8"/>
  <c r="EA43" i="8" s="1"/>
  <c r="AL43" i="8"/>
  <c r="AM43" i="8"/>
  <c r="AN43" i="8"/>
  <c r="AO43" i="8"/>
  <c r="AP43" i="8"/>
  <c r="AQ43" i="8"/>
  <c r="AR43" i="8"/>
  <c r="AS43" i="8"/>
  <c r="AT43" i="8"/>
  <c r="AU43" i="8"/>
  <c r="AV43" i="8"/>
  <c r="AW43" i="8"/>
  <c r="AX43" i="8"/>
  <c r="AY43" i="8"/>
  <c r="AZ43" i="8"/>
  <c r="AJ44" i="8"/>
  <c r="AK44" i="8"/>
  <c r="AL44" i="8"/>
  <c r="AM44" i="8"/>
  <c r="AN44" i="8"/>
  <c r="AO44" i="8"/>
  <c r="AP44" i="8"/>
  <c r="AQ44" i="8"/>
  <c r="AR44" i="8"/>
  <c r="AS44" i="8"/>
  <c r="AT44" i="8"/>
  <c r="AU44" i="8"/>
  <c r="AV44" i="8"/>
  <c r="AW44" i="8"/>
  <c r="AX44" i="8"/>
  <c r="AY44" i="8"/>
  <c r="AZ44" i="8"/>
  <c r="AJ45" i="8"/>
  <c r="AK45" i="8"/>
  <c r="EB45" i="8" s="1"/>
  <c r="AL45" i="8"/>
  <c r="AM45" i="8"/>
  <c r="AN45" i="8"/>
  <c r="AO45" i="8"/>
  <c r="AP45" i="8"/>
  <c r="AQ45" i="8"/>
  <c r="AR45" i="8"/>
  <c r="AS45" i="8"/>
  <c r="AT45" i="8"/>
  <c r="AU45" i="8"/>
  <c r="AV45" i="8"/>
  <c r="AW45" i="8"/>
  <c r="AX45" i="8"/>
  <c r="AY45" i="8"/>
  <c r="AZ45" i="8"/>
  <c r="AJ46" i="8"/>
  <c r="AK46" i="8"/>
  <c r="EB46" i="8" s="1"/>
  <c r="AL46" i="8"/>
  <c r="AM46" i="8"/>
  <c r="AN46" i="8"/>
  <c r="AO46" i="8"/>
  <c r="AP46" i="8"/>
  <c r="AQ46" i="8"/>
  <c r="AR46" i="8"/>
  <c r="AS46" i="8"/>
  <c r="AT46" i="8"/>
  <c r="AU46" i="8"/>
  <c r="AV46" i="8"/>
  <c r="AW46" i="8"/>
  <c r="AX46" i="8"/>
  <c r="AY46" i="8"/>
  <c r="AZ46" i="8"/>
  <c r="AJ47" i="8"/>
  <c r="AK47" i="8"/>
  <c r="EA47" i="8" s="1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Z47" i="8"/>
  <c r="AJ48" i="8"/>
  <c r="AK48" i="8"/>
  <c r="AL48" i="8"/>
  <c r="AM48" i="8"/>
  <c r="AN48" i="8"/>
  <c r="AO48" i="8"/>
  <c r="AP48" i="8"/>
  <c r="AQ48" i="8"/>
  <c r="AR48" i="8"/>
  <c r="AS48" i="8"/>
  <c r="AT48" i="8"/>
  <c r="AU48" i="8"/>
  <c r="AV48" i="8"/>
  <c r="AW48" i="8"/>
  <c r="AX48" i="8"/>
  <c r="AY48" i="8"/>
  <c r="AZ48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DV5" i="8" s="1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CX7" i="8" s="1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DX7" i="8" s="1"/>
  <c r="AG7" i="8"/>
  <c r="AH7" i="8"/>
  <c r="F8" i="8"/>
  <c r="G8" i="8"/>
  <c r="H8" i="8"/>
  <c r="I8" i="8"/>
  <c r="J8" i="8"/>
  <c r="K8" i="8"/>
  <c r="L8" i="8"/>
  <c r="M8" i="8"/>
  <c r="N8" i="8"/>
  <c r="DD8" i="8" s="1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DZ9" i="8" s="1"/>
  <c r="F10" i="8"/>
  <c r="G10" i="8"/>
  <c r="H10" i="8"/>
  <c r="I10" i="8"/>
  <c r="J10" i="8"/>
  <c r="K10" i="8"/>
  <c r="L10" i="8"/>
  <c r="M10" i="8"/>
  <c r="N10" i="8"/>
  <c r="O10" i="8"/>
  <c r="P10" i="8"/>
  <c r="Q10" i="8"/>
  <c r="DG10" i="8" s="1"/>
  <c r="R10" i="8"/>
  <c r="S10" i="8"/>
  <c r="T10" i="8"/>
  <c r="U10" i="8"/>
  <c r="V10" i="8"/>
  <c r="W10" i="8"/>
  <c r="X10" i="8"/>
  <c r="Y10" i="8"/>
  <c r="Z10" i="8"/>
  <c r="AA10" i="8"/>
  <c r="AB10" i="8"/>
  <c r="DR10" i="8" s="1"/>
  <c r="AC10" i="8"/>
  <c r="DU10" i="8" s="1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DI12" i="8" s="1"/>
  <c r="T12" i="8"/>
  <c r="U12" i="8"/>
  <c r="V12" i="8"/>
  <c r="W12" i="8"/>
  <c r="X12" i="8"/>
  <c r="Y12" i="8"/>
  <c r="Z12" i="8"/>
  <c r="AA12" i="8"/>
  <c r="AB12" i="8"/>
  <c r="AC12" i="8"/>
  <c r="AD12" i="8"/>
  <c r="AE12" i="8"/>
  <c r="DW12" i="8" s="1"/>
  <c r="AF12" i="8"/>
  <c r="AG12" i="8"/>
  <c r="AH12" i="8"/>
  <c r="F13" i="8"/>
  <c r="G13" i="8"/>
  <c r="H13" i="8"/>
  <c r="I13" i="8"/>
  <c r="J13" i="8"/>
  <c r="K13" i="8"/>
  <c r="L13" i="8"/>
  <c r="M13" i="8"/>
  <c r="N13" i="8"/>
  <c r="DD13" i="8" s="1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CY14" i="8" s="1"/>
  <c r="J14" i="8"/>
  <c r="K14" i="8"/>
  <c r="L14" i="8"/>
  <c r="M14" i="8"/>
  <c r="N14" i="8"/>
  <c r="O14" i="8"/>
  <c r="P14" i="8"/>
  <c r="Q14" i="8"/>
  <c r="R14" i="8"/>
  <c r="S14" i="8"/>
  <c r="T14" i="8"/>
  <c r="U14" i="8"/>
  <c r="DK14" i="8" s="1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DZ16" i="8" s="1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DV17" i="8" s="1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DO18" i="8" s="1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DJ19" i="8" s="1"/>
  <c r="U19" i="8"/>
  <c r="V19" i="8"/>
  <c r="W19" i="8"/>
  <c r="X19" i="8"/>
  <c r="Y19" i="8"/>
  <c r="Z19" i="8"/>
  <c r="DP19" i="8" s="1"/>
  <c r="AA19" i="8"/>
  <c r="AB19" i="8"/>
  <c r="AC19" i="8"/>
  <c r="AD19" i="8"/>
  <c r="AE19" i="8"/>
  <c r="AF19" i="8"/>
  <c r="DX19" i="8" s="1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DQ20" i="8" s="1"/>
  <c r="AB20" i="8"/>
  <c r="AC20" i="8"/>
  <c r="AD20" i="8"/>
  <c r="AE20" i="8"/>
  <c r="AF20" i="8"/>
  <c r="AG20" i="8"/>
  <c r="AH20" i="8"/>
  <c r="F21" i="8"/>
  <c r="G21" i="8"/>
  <c r="H21" i="8"/>
  <c r="I21" i="8"/>
  <c r="J21" i="8"/>
  <c r="CZ21" i="8" s="1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DZ21" i="8" s="1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DS22" i="8" s="1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DI24" i="8" s="1"/>
  <c r="T24" i="8"/>
  <c r="U24" i="8"/>
  <c r="V24" i="8"/>
  <c r="W24" i="8"/>
  <c r="X24" i="8"/>
  <c r="Y24" i="8"/>
  <c r="Z24" i="8"/>
  <c r="AA24" i="8"/>
  <c r="AB24" i="8"/>
  <c r="AC24" i="8"/>
  <c r="AD24" i="8"/>
  <c r="DV24" i="8" s="1"/>
  <c r="AE24" i="8"/>
  <c r="DW24" i="8" s="1"/>
  <c r="AF24" i="8"/>
  <c r="AG24" i="8"/>
  <c r="AH24" i="8"/>
  <c r="F25" i="8"/>
  <c r="G25" i="8"/>
  <c r="H25" i="8"/>
  <c r="I25" i="8"/>
  <c r="J25" i="8"/>
  <c r="K25" i="8"/>
  <c r="L25" i="8"/>
  <c r="DB25" i="8" s="1"/>
  <c r="M25" i="8"/>
  <c r="N25" i="8"/>
  <c r="O25" i="8"/>
  <c r="P25" i="8"/>
  <c r="Q25" i="8"/>
  <c r="R25" i="8"/>
  <c r="S25" i="8"/>
  <c r="T25" i="8"/>
  <c r="DJ25" i="8" s="1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CY26" i="8" s="1"/>
  <c r="J26" i="8"/>
  <c r="K26" i="8"/>
  <c r="L26" i="8"/>
  <c r="M26" i="8"/>
  <c r="N26" i="8"/>
  <c r="O26" i="8"/>
  <c r="P26" i="8"/>
  <c r="Q26" i="8"/>
  <c r="R26" i="8"/>
  <c r="S26" i="8"/>
  <c r="T26" i="8"/>
  <c r="U26" i="8"/>
  <c r="DK26" i="8" s="1"/>
  <c r="V26" i="8"/>
  <c r="W26" i="8"/>
  <c r="X26" i="8"/>
  <c r="Y26" i="8"/>
  <c r="Z26" i="8"/>
  <c r="AA26" i="8"/>
  <c r="DQ26" i="8" s="1"/>
  <c r="AB26" i="8"/>
  <c r="AC26" i="8"/>
  <c r="AD26" i="8"/>
  <c r="AE26" i="8"/>
  <c r="AF26" i="8"/>
  <c r="AG26" i="8"/>
  <c r="DY26" i="8" s="1"/>
  <c r="AH26" i="8"/>
  <c r="F27" i="8"/>
  <c r="G27" i="8"/>
  <c r="H27" i="8"/>
  <c r="I27" i="8"/>
  <c r="J27" i="8"/>
  <c r="K27" i="8"/>
  <c r="L27" i="8"/>
  <c r="M27" i="8"/>
  <c r="N27" i="8"/>
  <c r="O27" i="8"/>
  <c r="P27" i="8"/>
  <c r="DF27" i="8" s="1"/>
  <c r="Q27" i="8"/>
  <c r="R27" i="8"/>
  <c r="S27" i="8"/>
  <c r="T27" i="8"/>
  <c r="U27" i="8"/>
  <c r="V27" i="8"/>
  <c r="DL27" i="8" s="1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DH29" i="8" s="1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DO30" i="8" s="1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DJ31" i="8" s="1"/>
  <c r="U31" i="8"/>
  <c r="V31" i="8"/>
  <c r="W31" i="8"/>
  <c r="X31" i="8"/>
  <c r="Y31" i="8"/>
  <c r="Z31" i="8"/>
  <c r="AA31" i="8"/>
  <c r="AB31" i="8"/>
  <c r="AC31" i="8"/>
  <c r="AD31" i="8"/>
  <c r="AE31" i="8"/>
  <c r="DW31" i="8" s="1"/>
  <c r="AF31" i="8"/>
  <c r="DX31" i="8" s="1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DQ32" i="8" s="1"/>
  <c r="AB32" i="8"/>
  <c r="AC32" i="8"/>
  <c r="AD32" i="8"/>
  <c r="AE32" i="8"/>
  <c r="AF32" i="8"/>
  <c r="AG32" i="8"/>
  <c r="AH32" i="8"/>
  <c r="F33" i="8"/>
  <c r="G33" i="8"/>
  <c r="H33" i="8"/>
  <c r="I33" i="8"/>
  <c r="J33" i="8"/>
  <c r="CZ33" i="8" s="1"/>
  <c r="K33" i="8"/>
  <c r="L33" i="8"/>
  <c r="M33" i="8"/>
  <c r="N33" i="8"/>
  <c r="O33" i="8"/>
  <c r="P33" i="8"/>
  <c r="Q33" i="8"/>
  <c r="R33" i="8"/>
  <c r="S33" i="8"/>
  <c r="T33" i="8"/>
  <c r="DJ33" i="8" s="1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DZ33" i="8" s="1"/>
  <c r="F34" i="8"/>
  <c r="G34" i="8"/>
  <c r="H34" i="8"/>
  <c r="I34" i="8"/>
  <c r="J34" i="8"/>
  <c r="K34" i="8"/>
  <c r="L34" i="8"/>
  <c r="M34" i="8"/>
  <c r="N34" i="8"/>
  <c r="O34" i="8"/>
  <c r="P34" i="8"/>
  <c r="Q34" i="8"/>
  <c r="DG34" i="8" s="1"/>
  <c r="R34" i="8"/>
  <c r="S34" i="8"/>
  <c r="T34" i="8"/>
  <c r="U34" i="8"/>
  <c r="V34" i="8"/>
  <c r="W34" i="8"/>
  <c r="X34" i="8"/>
  <c r="Y34" i="8"/>
  <c r="Z34" i="8"/>
  <c r="AA34" i="8"/>
  <c r="AB34" i="8"/>
  <c r="AC34" i="8"/>
  <c r="DT34" i="8" s="1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DW36" i="8" s="1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DJ37" i="8" s="1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DK38" i="8" s="1"/>
  <c r="V38" i="8"/>
  <c r="W38" i="8"/>
  <c r="X38" i="8"/>
  <c r="Y38" i="8"/>
  <c r="Z38" i="8"/>
  <c r="AA38" i="8"/>
  <c r="AB38" i="8"/>
  <c r="AC38" i="8"/>
  <c r="AD38" i="8"/>
  <c r="AE38" i="8"/>
  <c r="AF38" i="8"/>
  <c r="DX38" i="8" s="1"/>
  <c r="AG38" i="8"/>
  <c r="DY38" i="8" s="1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DP39" i="8" s="1"/>
  <c r="AA39" i="8"/>
  <c r="AB39" i="8"/>
  <c r="AC39" i="8"/>
  <c r="AD39" i="8"/>
  <c r="AE39" i="8"/>
  <c r="DW39" i="8" s="1"/>
  <c r="AF39" i="8"/>
  <c r="AG39" i="8"/>
  <c r="AH39" i="8"/>
  <c r="F40" i="8"/>
  <c r="G40" i="8"/>
  <c r="H40" i="8"/>
  <c r="I40" i="8"/>
  <c r="J40" i="8"/>
  <c r="K40" i="8"/>
  <c r="DA40" i="8" s="1"/>
  <c r="L40" i="8"/>
  <c r="M40" i="8"/>
  <c r="N40" i="8"/>
  <c r="O40" i="8"/>
  <c r="P40" i="8"/>
  <c r="Q40" i="8"/>
  <c r="R40" i="8"/>
  <c r="S40" i="8"/>
  <c r="T40" i="8"/>
  <c r="U40" i="8"/>
  <c r="V40" i="8"/>
  <c r="W40" i="8"/>
  <c r="DM40" i="8" s="1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DO42" i="8" s="1"/>
  <c r="Z42" i="8"/>
  <c r="AA42" i="8"/>
  <c r="AB42" i="8"/>
  <c r="AC42" i="8"/>
  <c r="AD42" i="8"/>
  <c r="AE42" i="8"/>
  <c r="AF42" i="8"/>
  <c r="DX42" i="8" s="1"/>
  <c r="AG42" i="8"/>
  <c r="AH42" i="8"/>
  <c r="F43" i="8"/>
  <c r="G43" i="8"/>
  <c r="H43" i="8"/>
  <c r="CX43" i="8" s="1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DP44" i="8" s="1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DL45" i="8" s="1"/>
  <c r="W45" i="8"/>
  <c r="X45" i="8"/>
  <c r="Y45" i="8"/>
  <c r="Z45" i="8"/>
  <c r="AA45" i="8"/>
  <c r="AB45" i="8"/>
  <c r="AC45" i="8"/>
  <c r="AD45" i="8"/>
  <c r="AE45" i="8"/>
  <c r="AF45" i="8"/>
  <c r="AG45" i="8"/>
  <c r="AH45" i="8"/>
  <c r="DZ45" i="8" s="1"/>
  <c r="F46" i="8"/>
  <c r="G46" i="8"/>
  <c r="H46" i="8"/>
  <c r="I46" i="8"/>
  <c r="J46" i="8"/>
  <c r="K46" i="8"/>
  <c r="L46" i="8"/>
  <c r="M46" i="8"/>
  <c r="N46" i="8"/>
  <c r="O46" i="8"/>
  <c r="P46" i="8"/>
  <c r="Q46" i="8"/>
  <c r="DG46" i="8" s="1"/>
  <c r="R46" i="8"/>
  <c r="S46" i="8"/>
  <c r="T46" i="8"/>
  <c r="U46" i="8"/>
  <c r="V46" i="8"/>
  <c r="W46" i="8"/>
  <c r="X46" i="8"/>
  <c r="Y46" i="8"/>
  <c r="Z46" i="8"/>
  <c r="AA46" i="8"/>
  <c r="AB46" i="8"/>
  <c r="AC46" i="8"/>
  <c r="DU46" i="8" s="1"/>
  <c r="AD46" i="8"/>
  <c r="AE46" i="8"/>
  <c r="AF46" i="8"/>
  <c r="DX46" i="8" s="1"/>
  <c r="AG46" i="8"/>
  <c r="DY46" i="8" s="1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DN47" i="8" s="1"/>
  <c r="Y47" i="8"/>
  <c r="Z47" i="8"/>
  <c r="AA47" i="8"/>
  <c r="AB47" i="8"/>
  <c r="AC47" i="8"/>
  <c r="AD47" i="8"/>
  <c r="DV47" i="8" s="1"/>
  <c r="AE47" i="8"/>
  <c r="AF47" i="8"/>
  <c r="DX47" i="8" s="1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DI48" i="8" s="1"/>
  <c r="T48" i="8"/>
  <c r="U48" i="8"/>
  <c r="V48" i="8"/>
  <c r="W48" i="8"/>
  <c r="X48" i="8"/>
  <c r="Y48" i="8"/>
  <c r="Z48" i="8"/>
  <c r="AA48" i="8"/>
  <c r="AB48" i="8"/>
  <c r="AC48" i="8"/>
  <c r="AD48" i="8"/>
  <c r="AE48" i="8"/>
  <c r="DW48" i="8" s="1"/>
  <c r="AF48" i="8"/>
  <c r="AG48" i="8"/>
  <c r="AH48" i="8"/>
  <c r="E5" i="8"/>
  <c r="E6" i="8"/>
  <c r="E7" i="8"/>
  <c r="E8" i="8"/>
  <c r="E9" i="8"/>
  <c r="E10" i="8"/>
  <c r="E11" i="8"/>
  <c r="E12" i="8"/>
  <c r="E13" i="8"/>
  <c r="CW13" i="8" s="1"/>
  <c r="E14" i="8"/>
  <c r="E15" i="8"/>
  <c r="E16" i="8"/>
  <c r="E17" i="8"/>
  <c r="E18" i="8"/>
  <c r="E19" i="8"/>
  <c r="E20" i="8"/>
  <c r="E21" i="8"/>
  <c r="E22" i="8"/>
  <c r="E23" i="8"/>
  <c r="E24" i="8"/>
  <c r="CW24" i="8" s="1"/>
  <c r="E25" i="8"/>
  <c r="CW25" i="8" s="1"/>
  <c r="E26" i="8"/>
  <c r="E27" i="8"/>
  <c r="E28" i="8"/>
  <c r="E29" i="8"/>
  <c r="E30" i="8"/>
  <c r="CW30" i="8" s="1"/>
  <c r="E31" i="8"/>
  <c r="E32" i="8"/>
  <c r="E33" i="8"/>
  <c r="E34" i="8"/>
  <c r="E35" i="8"/>
  <c r="E36" i="8"/>
  <c r="CW36" i="8" s="1"/>
  <c r="E37" i="8"/>
  <c r="E38" i="8"/>
  <c r="E39" i="8"/>
  <c r="E40" i="8"/>
  <c r="E41" i="8"/>
  <c r="E42" i="8"/>
  <c r="E43" i="8"/>
  <c r="E44" i="8"/>
  <c r="E45" i="8"/>
  <c r="E46" i="8"/>
  <c r="E47" i="8"/>
  <c r="E48" i="8"/>
  <c r="CW48" i="8" s="1"/>
  <c r="AI1" i="8" a="1"/>
  <c r="E1" i="8" a="1"/>
  <c r="D94" i="6"/>
  <c r="E94" i="6" s="1"/>
  <c r="D95" i="6"/>
  <c r="E95" i="6" s="1"/>
  <c r="D96" i="6"/>
  <c r="E96" i="6" s="1"/>
  <c r="D97" i="6"/>
  <c r="E97" i="6" s="1"/>
  <c r="D98" i="6"/>
  <c r="E98" i="6" s="1"/>
  <c r="D99" i="6"/>
  <c r="E99" i="6" s="1"/>
  <c r="D100" i="6"/>
  <c r="E100" i="6" s="1"/>
  <c r="D101" i="6"/>
  <c r="E101" i="6" s="1"/>
  <c r="D102" i="6"/>
  <c r="E102" i="6" s="1"/>
  <c r="D103" i="6"/>
  <c r="E103" i="6" s="1"/>
  <c r="D104" i="6"/>
  <c r="E104" i="6" s="1"/>
  <c r="D105" i="6"/>
  <c r="E105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15" i="6"/>
  <c r="E115" i="6" s="1"/>
  <c r="D116" i="6"/>
  <c r="E116" i="6" s="1"/>
  <c r="D117" i="6"/>
  <c r="E117" i="6" s="1"/>
  <c r="D118" i="6"/>
  <c r="E118" i="6" s="1"/>
  <c r="D119" i="6"/>
  <c r="E119" i="6" s="1"/>
  <c r="D120" i="6"/>
  <c r="E120" i="6" s="1"/>
  <c r="D121" i="6"/>
  <c r="E121" i="6" s="1"/>
  <c r="D122" i="6"/>
  <c r="E122" i="6" s="1"/>
  <c r="D123" i="6"/>
  <c r="E123" i="6" s="1"/>
  <c r="D124" i="6"/>
  <c r="E124" i="6" s="1"/>
  <c r="D125" i="6"/>
  <c r="E125" i="6" s="1"/>
  <c r="D126" i="6"/>
  <c r="E126" i="6" s="1"/>
  <c r="D127" i="6"/>
  <c r="E127" i="6" s="1"/>
  <c r="D128" i="6"/>
  <c r="E128" i="6" s="1"/>
  <c r="D129" i="6"/>
  <c r="E129" i="6" s="1"/>
  <c r="D130" i="6"/>
  <c r="E130" i="6" s="1"/>
  <c r="D131" i="6"/>
  <c r="E131" i="6" s="1"/>
  <c r="D132" i="6"/>
  <c r="E132" i="6" s="1"/>
  <c r="D133" i="6"/>
  <c r="E133" i="6" s="1"/>
  <c r="D134" i="6"/>
  <c r="E134" i="6" s="1"/>
  <c r="D135" i="6"/>
  <c r="E135" i="6" s="1"/>
  <c r="D136" i="6"/>
  <c r="E136" i="6" s="1"/>
  <c r="D137" i="6"/>
  <c r="E137" i="6" s="1"/>
  <c r="D93" i="6"/>
  <c r="E93" i="6" s="1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48" i="6"/>
  <c r="D4" i="6"/>
  <c r="E4" i="6" s="1"/>
  <c r="D5" i="6"/>
  <c r="E5" i="6" s="1"/>
  <c r="D6" i="6"/>
  <c r="E6" i="6" s="1"/>
  <c r="D7" i="6"/>
  <c r="E7" i="6" s="1"/>
  <c r="D8" i="6"/>
  <c r="E8" i="6" s="1"/>
  <c r="D9" i="6"/>
  <c r="E9" i="6" s="1"/>
  <c r="D10" i="6"/>
  <c r="E10" i="6" s="1"/>
  <c r="D11" i="6"/>
  <c r="E11" i="6" s="1"/>
  <c r="D12" i="6"/>
  <c r="E12" i="6" s="1"/>
  <c r="D13" i="6"/>
  <c r="E13" i="6" s="1"/>
  <c r="D14" i="6"/>
  <c r="E14" i="6" s="1"/>
  <c r="D15" i="6"/>
  <c r="E15" i="6" s="1"/>
  <c r="D16" i="6"/>
  <c r="E16" i="6" s="1"/>
  <c r="D17" i="6"/>
  <c r="E17" i="6" s="1"/>
  <c r="D18" i="6"/>
  <c r="E18" i="6" s="1"/>
  <c r="D19" i="6"/>
  <c r="E19" i="6" s="1"/>
  <c r="D20" i="6"/>
  <c r="E20" i="6" s="1"/>
  <c r="D21" i="6"/>
  <c r="E21" i="6" s="1"/>
  <c r="D22" i="6"/>
  <c r="E22" i="6" s="1"/>
  <c r="D23" i="6"/>
  <c r="E23" i="6" s="1"/>
  <c r="D24" i="6"/>
  <c r="E24" i="6" s="1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E35" i="6" s="1"/>
  <c r="D36" i="6"/>
  <c r="E36" i="6" s="1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46" i="6"/>
  <c r="E46" i="6" s="1"/>
  <c r="D47" i="6"/>
  <c r="E47" i="6" s="1"/>
  <c r="D3" i="6"/>
  <c r="E3" i="6" s="1"/>
  <c r="G27" i="12"/>
  <c r="H27" i="12"/>
  <c r="D5" i="12"/>
  <c r="D1" i="12"/>
  <c r="A6" i="12" s="1"/>
  <c r="B5" i="12"/>
  <c r="CZ46" i="8"/>
  <c r="DM17" i="8"/>
  <c r="DA35" i="8"/>
  <c r="DP20" i="8"/>
  <c r="CW26" i="8"/>
  <c r="CW14" i="8"/>
  <c r="DX28" i="8"/>
  <c r="DN37" i="8"/>
  <c r="DY6" i="8"/>
  <c r="DK45" i="8"/>
  <c r="DJ14" i="8"/>
  <c r="DZ6" i="8"/>
  <c r="DI14" i="8"/>
  <c r="CW7" i="8"/>
  <c r="DQ36" i="8"/>
  <c r="EA44" i="8"/>
  <c r="EA32" i="8"/>
  <c r="EA8" i="8"/>
  <c r="DZ42" i="8"/>
  <c r="CX45" i="8"/>
  <c r="CZ42" i="8"/>
  <c r="DR41" i="8"/>
  <c r="DV33" i="8"/>
  <c r="CW9" i="8"/>
  <c r="CZ35" i="8"/>
  <c r="DR45" i="8"/>
  <c r="DF45" i="8"/>
  <c r="DW44" i="8"/>
  <c r="DP43" i="8"/>
  <c r="DG40" i="8"/>
  <c r="DQ38" i="8"/>
  <c r="CX37" i="8"/>
  <c r="DO36" i="8"/>
  <c r="DH35" i="8"/>
  <c r="DM34" i="8"/>
  <c r="DR33" i="8"/>
  <c r="DP31" i="8"/>
  <c r="DN29" i="8"/>
  <c r="DG28" i="8"/>
  <c r="DE26" i="8"/>
  <c r="DY22" i="8"/>
  <c r="DD19" i="8"/>
  <c r="DI18" i="8"/>
  <c r="DN17" i="8"/>
  <c r="DV13" i="8"/>
  <c r="DO12" i="8"/>
  <c r="DC12" i="8"/>
  <c r="DR9" i="8"/>
  <c r="DW8" i="8"/>
  <c r="DI6" i="8"/>
  <c r="DS4" i="8"/>
  <c r="CW43" i="8"/>
  <c r="DJ47" i="8"/>
  <c r="DA32" i="8"/>
  <c r="DZ25" i="8"/>
  <c r="DY25" i="8"/>
  <c r="DY29" i="8"/>
  <c r="DL22" i="8"/>
  <c r="DU8" i="8"/>
  <c r="DW46" i="8"/>
  <c r="DW15" i="8"/>
  <c r="CY39" i="8"/>
  <c r="DU20" i="8"/>
  <c r="DX17" i="8"/>
  <c r="DN12" i="8"/>
  <c r="DL46" i="8"/>
  <c r="DJ44" i="8"/>
  <c r="DB12" i="8"/>
  <c r="CY41" i="8"/>
  <c r="DQ35" i="8"/>
  <c r="DR30" i="8"/>
  <c r="DX24" i="8"/>
  <c r="DZ14" i="8"/>
  <c r="DU25" i="8"/>
  <c r="DV34" i="8"/>
  <c r="DY31" i="8"/>
  <c r="DZ26" i="8"/>
  <c r="CY17" i="8"/>
  <c r="CZ34" i="8"/>
  <c r="DY45" i="8"/>
  <c r="DW7" i="8"/>
  <c r="DU5" i="8"/>
  <c r="DW41" i="8"/>
  <c r="DI39" i="8"/>
  <c r="DA31" i="8"/>
  <c r="CX10" i="8"/>
  <c r="DS35" i="8"/>
  <c r="DC31" i="8"/>
  <c r="DW27" i="8"/>
  <c r="DZ38" i="8"/>
  <c r="DX36" i="8"/>
  <c r="CX34" i="8"/>
  <c r="CY29" i="8"/>
  <c r="CZ24" i="8"/>
  <c r="DW17" i="8"/>
  <c r="DU15" i="8"/>
  <c r="DV10" i="8"/>
  <c r="DT42" i="8"/>
  <c r="DM29" i="8"/>
  <c r="DX10" i="8"/>
  <c r="DV8" i="8"/>
  <c r="DR4" i="8"/>
  <c r="CW37" i="8"/>
  <c r="DU27" i="8"/>
  <c r="DV22" i="8"/>
  <c r="DS13" i="8"/>
  <c r="DW5" i="8"/>
  <c r="DV44" i="8"/>
  <c r="CX44" i="8"/>
  <c r="CX32" i="8"/>
  <c r="DR16" i="8"/>
  <c r="DI13" i="8"/>
  <c r="DS42" i="8"/>
  <c r="CY20" i="8"/>
  <c r="DZ8" i="8"/>
  <c r="DU39" i="8"/>
  <c r="CZ36" i="8"/>
  <c r="DW29" i="8"/>
  <c r="CY5" i="8"/>
  <c r="DN4" i="8"/>
  <c r="DD26" i="8"/>
  <c r="DX22" i="8"/>
  <c r="DH6" i="8"/>
  <c r="DH13" i="8"/>
  <c r="CX35" i="8"/>
  <c r="CW18" i="8"/>
  <c r="CW6" i="8"/>
  <c r="DA39" i="8"/>
  <c r="DZ10" i="8"/>
  <c r="DC5" i="8"/>
  <c r="DF48" i="8"/>
  <c r="CZ44" i="8"/>
  <c r="DT40" i="8"/>
  <c r="DV35" i="8"/>
  <c r="DU28" i="8"/>
  <c r="DW25" i="8"/>
  <c r="DB10" i="8"/>
  <c r="CX6" i="8"/>
  <c r="CW11" i="8"/>
  <c r="CY40" i="8"/>
  <c r="DV26" i="8"/>
  <c r="DC13" i="8"/>
  <c r="DY11" i="8"/>
  <c r="DU7" i="8"/>
  <c r="DY40" i="8"/>
  <c r="DY35" i="8"/>
  <c r="CY33" i="8"/>
  <c r="DY23" i="8"/>
  <c r="DJ9" i="8"/>
  <c r="DC8" i="8"/>
  <c r="CY4" i="8"/>
  <c r="DZ27" i="8"/>
  <c r="DX45" i="8"/>
  <c r="DU36" i="8"/>
  <c r="DV7" i="8"/>
  <c r="DT5" i="8"/>
  <c r="DY47" i="8"/>
  <c r="CZ47" i="8"/>
  <c r="DU43" i="8"/>
  <c r="DJ38" i="8"/>
  <c r="DT36" i="8"/>
  <c r="DK23" i="8"/>
  <c r="DK21" i="8"/>
  <c r="CY9" i="8"/>
  <c r="CZ4" i="8"/>
  <c r="DY42" i="8"/>
  <c r="DS36" i="8"/>
  <c r="CX33" i="8"/>
  <c r="DU26" i="8"/>
  <c r="DJ21" i="8"/>
  <c r="DZ13" i="8"/>
  <c r="DW4" i="8"/>
  <c r="DY39" i="8"/>
  <c r="CW34" i="8"/>
  <c r="DW47" i="8"/>
  <c r="DX44" i="8"/>
  <c r="DV40" i="8"/>
  <c r="DU35" i="8"/>
  <c r="DB34" i="8"/>
  <c r="DA25" i="8"/>
  <c r="CZ20" i="8"/>
  <c r="DK18" i="8"/>
  <c r="DH16" i="8"/>
  <c r="DB15" i="8"/>
  <c r="DI9" i="8"/>
  <c r="DV28" i="8"/>
  <c r="DM45" i="8"/>
  <c r="DO15" i="8"/>
  <c r="DN15" i="8"/>
  <c r="CW40" i="8"/>
  <c r="DM37" i="8"/>
  <c r="DP29" i="8"/>
  <c r="CW28" i="8"/>
  <c r="DJ23" i="8"/>
  <c r="CY18" i="8"/>
  <c r="DU40" i="8"/>
  <c r="DY20" i="8"/>
  <c r="DX43" i="8"/>
  <c r="DV41" i="8"/>
  <c r="CZ31" i="8"/>
  <c r="DV29" i="8"/>
  <c r="DY14" i="8"/>
  <c r="DA14" i="8"/>
  <c r="CW12" i="8"/>
  <c r="DT46" i="8"/>
  <c r="DZ40" i="8"/>
  <c r="DU29" i="8"/>
  <c r="DW19" i="8"/>
  <c r="EA30" i="8"/>
  <c r="EA6" i="8"/>
  <c r="CW47" i="8"/>
  <c r="CW35" i="8"/>
  <c r="CW23" i="8"/>
  <c r="DU48" i="8"/>
  <c r="DZ47" i="8"/>
  <c r="DV43" i="8"/>
  <c r="DT41" i="8"/>
  <c r="DW38" i="8"/>
  <c r="DZ35" i="8"/>
  <c r="DN35" i="8"/>
  <c r="DX33" i="8"/>
  <c r="DV31" i="8"/>
  <c r="DT29" i="8"/>
  <c r="DY28" i="8"/>
  <c r="DW26" i="8"/>
  <c r="DD25" i="8"/>
  <c r="DU24" i="8"/>
  <c r="DZ23" i="8"/>
  <c r="DV19" i="8"/>
  <c r="DT17" i="8"/>
  <c r="DY16" i="8"/>
  <c r="DW14" i="8"/>
  <c r="DU12" i="8"/>
  <c r="DZ11" i="8"/>
  <c r="DX9" i="8"/>
  <c r="DL9" i="8"/>
  <c r="CZ9" i="8"/>
  <c r="DY4" i="8"/>
  <c r="EA41" i="8"/>
  <c r="EA29" i="8"/>
  <c r="EA17" i="8"/>
  <c r="EA5" i="8"/>
  <c r="CZ40" i="8"/>
  <c r="DN18" i="8"/>
  <c r="CZ10" i="8"/>
  <c r="DU41" i="8"/>
  <c r="DY33" i="8"/>
  <c r="DY9" i="8"/>
  <c r="EA42" i="8"/>
  <c r="CY45" i="8"/>
  <c r="DX40" i="8"/>
  <c r="DV38" i="8"/>
  <c r="DP32" i="8"/>
  <c r="DB30" i="8"/>
  <c r="CZ28" i="8"/>
  <c r="CX26" i="8"/>
  <c r="DI19" i="8"/>
  <c r="DI7" i="8"/>
  <c r="DX4" i="8"/>
  <c r="DZ37" i="8"/>
  <c r="DX35" i="8"/>
  <c r="DT31" i="8"/>
  <c r="DR29" i="8"/>
  <c r="DP27" i="8"/>
  <c r="DN25" i="8"/>
  <c r="DV21" i="8"/>
  <c r="DY18" i="8"/>
  <c r="DV36" i="8"/>
  <c r="DZ28" i="8"/>
  <c r="DV12" i="8"/>
  <c r="DZ4" i="8"/>
  <c r="DT48" i="8"/>
  <c r="DW33" i="8"/>
  <c r="DU31" i="8"/>
  <c r="DS29" i="8"/>
  <c r="DZ18" i="8"/>
  <c r="DX16" i="8"/>
  <c r="DV14" i="8"/>
  <c r="DA11" i="8"/>
  <c r="DB6" i="8"/>
  <c r="DV45" i="8"/>
  <c r="DT43" i="8"/>
  <c r="DL35" i="8"/>
  <c r="DY30" i="8"/>
  <c r="DW28" i="8"/>
  <c r="DS24" i="8"/>
  <c r="DQ22" i="8"/>
  <c r="DO20" i="8"/>
  <c r="DA18" i="8"/>
  <c r="CY16" i="8"/>
  <c r="DL11" i="8"/>
  <c r="CX9" i="8"/>
  <c r="CW44" i="8"/>
  <c r="DN44" i="8"/>
  <c r="CX40" i="8"/>
  <c r="DT38" i="8"/>
  <c r="DP34" i="8"/>
  <c r="DZ32" i="8"/>
  <c r="DQ29" i="8"/>
  <c r="CX28" i="8"/>
  <c r="DH26" i="8"/>
  <c r="DA13" i="8"/>
  <c r="DU9" i="8"/>
  <c r="DL6" i="8"/>
  <c r="CX4" i="8"/>
  <c r="EA14" i="8"/>
  <c r="DN32" i="8"/>
  <c r="DO29" i="8"/>
  <c r="DZ5" i="8"/>
  <c r="DX26" i="8"/>
  <c r="DX14" i="8"/>
  <c r="EA18" i="8"/>
  <c r="DW45" i="8"/>
  <c r="DO37" i="8"/>
  <c r="DM35" i="8"/>
  <c r="DK33" i="8"/>
  <c r="DZ30" i="8"/>
  <c r="DT24" i="8"/>
  <c r="DW9" i="8"/>
  <c r="CW33" i="8"/>
  <c r="CW21" i="8"/>
  <c r="DI38" i="8"/>
  <c r="CY28" i="8"/>
  <c r="DX23" i="8"/>
  <c r="DT19" i="8"/>
  <c r="DQ10" i="8"/>
  <c r="DO8" i="8"/>
  <c r="DA6" i="8"/>
  <c r="DZ44" i="8"/>
  <c r="DG43" i="8"/>
  <c r="DQ41" i="8"/>
  <c r="DW35" i="8"/>
  <c r="DX30" i="8"/>
  <c r="DO27" i="8"/>
  <c r="CY23" i="8"/>
  <c r="DQ17" i="8"/>
  <c r="CX16" i="8"/>
  <c r="DN8" i="8"/>
  <c r="CZ6" i="8"/>
  <c r="EA26" i="8"/>
  <c r="CW31" i="8"/>
  <c r="DE48" i="8"/>
  <c r="DY27" i="8"/>
  <c r="DJ16" i="8"/>
  <c r="DY5" i="8"/>
  <c r="DU17" i="8"/>
  <c r="CW10" i="8"/>
  <c r="DI43" i="8"/>
  <c r="DC37" i="8"/>
  <c r="DI31" i="8"/>
  <c r="DQ27" i="8"/>
  <c r="DO25" i="8"/>
  <c r="DU19" i="8"/>
  <c r="DO13" i="8"/>
  <c r="DB8" i="8"/>
  <c r="CW45" i="8"/>
  <c r="DH43" i="8"/>
  <c r="DH31" i="8"/>
  <c r="CZ23" i="8"/>
  <c r="DR17" i="8"/>
  <c r="DP15" i="8"/>
  <c r="DN13" i="8"/>
  <c r="DX11" i="8"/>
  <c r="DV9" i="8"/>
  <c r="CY47" i="8"/>
  <c r="DO39" i="8"/>
  <c r="DA37" i="8"/>
  <c r="DU33" i="8"/>
  <c r="DM25" i="8"/>
  <c r="DI21" i="8"/>
  <c r="DB20" i="8"/>
  <c r="DY13" i="8"/>
  <c r="CY11" i="8"/>
  <c r="DS7" i="8"/>
  <c r="DX6" i="8"/>
  <c r="DQ5" i="8"/>
  <c r="DV4" i="8"/>
  <c r="DJ4" i="8"/>
  <c r="CW19" i="8"/>
  <c r="DQ48" i="8"/>
  <c r="CX47" i="8"/>
  <c r="DO46" i="8"/>
  <c r="DC46" i="8"/>
  <c r="DI40" i="8"/>
  <c r="DN39" i="8"/>
  <c r="DO34" i="8"/>
  <c r="DS33" i="8"/>
  <c r="DL25" i="8"/>
  <c r="DX20" i="8"/>
  <c r="CX18" i="8"/>
  <c r="DU16" i="8"/>
  <c r="DA15" i="8"/>
  <c r="DO10" i="8"/>
  <c r="DS9" i="8"/>
  <c r="DC41" i="8"/>
  <c r="DH40" i="8"/>
  <c r="CY37" i="8"/>
  <c r="DN34" i="8"/>
  <c r="CX30" i="8"/>
  <c r="DU11" i="8"/>
  <c r="DJ6" i="8"/>
  <c r="DH21" i="8"/>
  <c r="CZ18" i="8"/>
  <c r="DV48" i="8"/>
  <c r="DW43" i="8"/>
  <c r="CX38" i="8"/>
  <c r="DJ26" i="8"/>
  <c r="DR22" i="8"/>
  <c r="DW21" i="8"/>
  <c r="CY21" i="8"/>
  <c r="DD20" i="8"/>
  <c r="CZ16" i="8"/>
  <c r="CX14" i="8"/>
  <c r="DP8" i="8"/>
  <c r="DL4" i="8"/>
  <c r="DS48" i="8"/>
  <c r="DO44" i="8"/>
  <c r="DM42" i="8"/>
  <c r="DW40" i="8"/>
  <c r="DU38" i="8"/>
  <c r="DO32" i="8"/>
  <c r="DM30" i="8"/>
  <c r="CX21" i="8"/>
  <c r="DC20" i="8"/>
  <c r="DW16" i="8"/>
  <c r="DU14" i="8"/>
  <c r="DS12" i="8"/>
  <c r="CZ11" i="8"/>
  <c r="CW32" i="8"/>
  <c r="CW20" i="8"/>
  <c r="CW8" i="8"/>
  <c r="DU45" i="8"/>
  <c r="DB44" i="8"/>
  <c r="DY37" i="8"/>
  <c r="DI33" i="8"/>
  <c r="CZ30" i="8"/>
  <c r="DW23" i="8"/>
  <c r="DP22" i="8"/>
  <c r="DU21" i="8"/>
  <c r="DZ20" i="8"/>
  <c r="DN20" i="8"/>
  <c r="DX18" i="8"/>
  <c r="DV16" i="8"/>
  <c r="DM13" i="8"/>
  <c r="DW11" i="8"/>
  <c r="DP10" i="8"/>
  <c r="CX23" i="8"/>
  <c r="DH45" i="8"/>
  <c r="DW42" i="8"/>
  <c r="DH33" i="8"/>
  <c r="DW30" i="8"/>
  <c r="DI28" i="8"/>
  <c r="DV23" i="8"/>
  <c r="DP17" i="8"/>
  <c r="DC10" i="8"/>
  <c r="DD5" i="8"/>
  <c r="DT23" i="8"/>
  <c r="DT45" i="8"/>
  <c r="CY30" i="8"/>
  <c r="DO22" i="8"/>
  <c r="DZ15" i="8"/>
  <c r="DX13" i="8"/>
  <c r="CX11" i="8"/>
  <c r="CY6" i="8"/>
  <c r="DZ46" i="8"/>
  <c r="DO41" i="8"/>
  <c r="DW37" i="8"/>
  <c r="DN22" i="8"/>
  <c r="DV18" i="8"/>
  <c r="DT16" i="8"/>
  <c r="EA48" i="8"/>
  <c r="EA12" i="8"/>
  <c r="CW4" i="8"/>
  <c r="DS23" i="8"/>
  <c r="DV20" i="8"/>
  <c r="CY15" i="8"/>
  <c r="DY44" i="8"/>
  <c r="DS38" i="8"/>
  <c r="DC34" i="8"/>
  <c r="DK30" i="8"/>
  <c r="DX25" i="8"/>
  <c r="DC22" i="8"/>
  <c r="DL13" i="8"/>
  <c r="DV11" i="8"/>
  <c r="DT9" i="8"/>
  <c r="DY8" i="8"/>
  <c r="DK6" i="8"/>
  <c r="DU4" i="8"/>
  <c r="DI4" i="8"/>
  <c r="DN46" i="8"/>
  <c r="DG45" i="8"/>
  <c r="DV42" i="8"/>
  <c r="DP36" i="8"/>
  <c r="DX32" i="8"/>
  <c r="DV30" i="8"/>
  <c r="DC29" i="8"/>
  <c r="DU23" i="8"/>
  <c r="DB22" i="8"/>
  <c r="DS21" i="8"/>
  <c r="DL20" i="8"/>
  <c r="DY15" i="8"/>
  <c r="DN10" i="8"/>
  <c r="DG9" i="8"/>
  <c r="CZ8" i="8"/>
  <c r="DH4" i="8"/>
  <c r="DO48" i="8"/>
  <c r="DC48" i="8"/>
  <c r="DT47" i="8"/>
  <c r="DH47" i="8"/>
  <c r="DM46" i="8"/>
  <c r="DA46" i="8"/>
  <c r="CY44" i="8"/>
  <c r="DD43" i="8"/>
  <c r="DU42" i="8"/>
  <c r="DI42" i="8"/>
  <c r="DZ41" i="8"/>
  <c r="DN41" i="8"/>
  <c r="DB41" i="8"/>
  <c r="DS40" i="8"/>
  <c r="DX39" i="8"/>
  <c r="DE38" i="8"/>
  <c r="DV37" i="8"/>
  <c r="DY34" i="8"/>
  <c r="DA34" i="8"/>
  <c r="DW32" i="8"/>
  <c r="CY32" i="8"/>
  <c r="DD31" i="8"/>
  <c r="DU30" i="8"/>
  <c r="DZ29" i="8"/>
  <c r="DB29" i="8"/>
  <c r="DS28" i="8"/>
  <c r="DX27" i="8"/>
  <c r="CZ27" i="8"/>
  <c r="DV25" i="8"/>
  <c r="CX25" i="8"/>
  <c r="DO24" i="8"/>
  <c r="DH23" i="8"/>
  <c r="DM22" i="8"/>
  <c r="DA22" i="8"/>
  <c r="DR21" i="8"/>
  <c r="DF21" i="8"/>
  <c r="DW20" i="8"/>
  <c r="DU18" i="8"/>
  <c r="DZ17" i="8"/>
  <c r="DB17" i="8"/>
  <c r="DG16" i="8"/>
  <c r="DX15" i="8"/>
  <c r="CZ15" i="8"/>
  <c r="DE14" i="8"/>
  <c r="CX13" i="8"/>
  <c r="DT11" i="8"/>
  <c r="DH11" i="8"/>
  <c r="DY10" i="8"/>
  <c r="DM10" i="8"/>
  <c r="DA10" i="8"/>
  <c r="DF9" i="8"/>
  <c r="DK8" i="8"/>
  <c r="CY8" i="8"/>
  <c r="DP7" i="8"/>
  <c r="DD7" i="8"/>
  <c r="DU6" i="8"/>
  <c r="DN5" i="8"/>
  <c r="DB5" i="8"/>
  <c r="DA29" i="8"/>
  <c r="DA44" i="8"/>
  <c r="CY42" i="8"/>
  <c r="DT33" i="8"/>
  <c r="CZ13" i="8"/>
  <c r="DJ11" i="8"/>
  <c r="DH9" i="8"/>
  <c r="DW6" i="8"/>
  <c r="DP5" i="8"/>
  <c r="CW42" i="8"/>
  <c r="DU47" i="8"/>
  <c r="DB46" i="8"/>
  <c r="DJ42" i="8"/>
  <c r="DZ34" i="8"/>
  <c r="DG33" i="8"/>
  <c r="DR26" i="8"/>
  <c r="DZ22" i="8"/>
  <c r="DO17" i="8"/>
  <c r="DW13" i="8"/>
  <c r="DD12" i="8"/>
  <c r="DX8" i="8"/>
  <c r="DO5" i="8"/>
  <c r="DT4" i="8"/>
  <c r="EA24" i="8"/>
  <c r="DZ48" i="8"/>
  <c r="DA48" i="8"/>
  <c r="DB48" i="8"/>
  <c r="DH42" i="8"/>
  <c r="DM41" i="8"/>
  <c r="DR40" i="8"/>
  <c r="DD38" i="8"/>
  <c r="DI37" i="8"/>
  <c r="DB36" i="8"/>
  <c r="DL34" i="8"/>
  <c r="DJ32" i="8"/>
  <c r="DI32" i="8"/>
  <c r="DS30" i="8"/>
  <c r="DT30" i="8"/>
  <c r="DZ24" i="8"/>
  <c r="DB24" i="8"/>
  <c r="DG23" i="8"/>
  <c r="DQ21" i="8"/>
  <c r="DT18" i="8"/>
  <c r="DY17" i="8"/>
  <c r="CZ17" i="8"/>
  <c r="DA17" i="8"/>
  <c r="DK15" i="8"/>
  <c r="DU13" i="8"/>
  <c r="DZ12" i="8"/>
  <c r="DG11" i="8"/>
  <c r="DL10" i="8"/>
  <c r="CX8" i="8"/>
  <c r="DM5" i="8"/>
  <c r="DA5" i="8"/>
  <c r="EA34" i="8"/>
  <c r="DF4" i="8"/>
  <c r="DG35" i="8"/>
  <c r="DF28" i="8"/>
  <c r="DJ8" i="8"/>
  <c r="DM44" i="8"/>
  <c r="DK42" i="8"/>
  <c r="DZ39" i="8"/>
  <c r="DX37" i="8"/>
  <c r="DJ35" i="8"/>
  <c r="DY32" i="8"/>
  <c r="CZ25" i="8"/>
  <c r="DW18" i="8"/>
  <c r="DI16" i="8"/>
  <c r="DA8" i="8"/>
  <c r="DI47" i="8"/>
  <c r="CX42" i="8"/>
  <c r="DI35" i="8"/>
  <c r="CZ32" i="8"/>
  <c r="DJ30" i="8"/>
  <c r="DT28" i="8"/>
  <c r="DA27" i="8"/>
  <c r="CY25" i="8"/>
  <c r="DI23" i="8"/>
  <c r="DR14" i="8"/>
  <c r="CY13" i="8"/>
  <c r="DI11" i="8"/>
  <c r="DV6" i="8"/>
  <c r="CW16" i="8"/>
  <c r="DN48" i="8"/>
  <c r="DS47" i="8"/>
  <c r="DY41" i="8"/>
  <c r="DA41" i="8"/>
  <c r="DF40" i="8"/>
  <c r="DK39" i="8"/>
  <c r="DU37" i="8"/>
  <c r="DZ36" i="8"/>
  <c r="DX34" i="8"/>
  <c r="DV32" i="8"/>
  <c r="DR28" i="8"/>
  <c r="CY27" i="8"/>
  <c r="DI25" i="8"/>
  <c r="DM24" i="8"/>
  <c r="CZ22" i="8"/>
  <c r="CX20" i="8"/>
  <c r="DD14" i="8"/>
  <c r="DS11" i="8"/>
  <c r="DT6" i="8"/>
  <c r="EA46" i="8"/>
  <c r="EA22" i="8"/>
  <c r="CW39" i="8"/>
  <c r="DR35" i="8"/>
  <c r="DN24" i="8"/>
  <c r="ET54" i="8" a="1"/>
  <c r="DL29" i="8"/>
  <c r="DA24" i="8"/>
  <c r="DX5" i="8"/>
  <c r="DL5" i="8"/>
  <c r="EA33" i="8"/>
  <c r="EA21" i="8"/>
  <c r="EP48" i="8"/>
  <c r="EO48" i="8"/>
  <c r="EN48" i="8"/>
  <c r="EM48" i="8"/>
  <c r="EL48" i="8"/>
  <c r="EK48" i="8"/>
  <c r="EJ48" i="8"/>
  <c r="EI48" i="8"/>
  <c r="EH48" i="8"/>
  <c r="EG48" i="8"/>
  <c r="EF48" i="8"/>
  <c r="EE48" i="8"/>
  <c r="ED48" i="8"/>
  <c r="EC48" i="8"/>
  <c r="EB48" i="8"/>
  <c r="EP47" i="8"/>
  <c r="EO47" i="8"/>
  <c r="EN47" i="8"/>
  <c r="EM47" i="8"/>
  <c r="EL47" i="8"/>
  <c r="EK47" i="8"/>
  <c r="EJ47" i="8"/>
  <c r="EI47" i="8"/>
  <c r="EH47" i="8"/>
  <c r="EG47" i="8"/>
  <c r="EF47" i="8"/>
  <c r="EE47" i="8"/>
  <c r="ED47" i="8"/>
  <c r="EP46" i="8"/>
  <c r="EO46" i="8"/>
  <c r="EN46" i="8"/>
  <c r="EM46" i="8"/>
  <c r="EL46" i="8"/>
  <c r="EK46" i="8"/>
  <c r="EJ46" i="8"/>
  <c r="EI46" i="8"/>
  <c r="EH46" i="8"/>
  <c r="EG46" i="8"/>
  <c r="EF46" i="8"/>
  <c r="EE46" i="8"/>
  <c r="ED46" i="8"/>
  <c r="EC46" i="8"/>
  <c r="EP45" i="8"/>
  <c r="EO45" i="8"/>
  <c r="EN45" i="8"/>
  <c r="EM45" i="8"/>
  <c r="EL45" i="8"/>
  <c r="EK45" i="8"/>
  <c r="EJ45" i="8"/>
  <c r="EI45" i="8"/>
  <c r="EH45" i="8"/>
  <c r="EG45" i="8"/>
  <c r="EF45" i="8"/>
  <c r="EE45" i="8"/>
  <c r="ED45" i="8"/>
  <c r="EC45" i="8"/>
  <c r="EP44" i="8"/>
  <c r="EO44" i="8"/>
  <c r="EN44" i="8"/>
  <c r="EM44" i="8"/>
  <c r="EL44" i="8"/>
  <c r="EK44" i="8"/>
  <c r="EJ44" i="8"/>
  <c r="EI44" i="8"/>
  <c r="EH44" i="8"/>
  <c r="EG44" i="8"/>
  <c r="EF44" i="8"/>
  <c r="EE44" i="8"/>
  <c r="ED44" i="8"/>
  <c r="EC44" i="8"/>
  <c r="EB44" i="8"/>
  <c r="EP43" i="8"/>
  <c r="EO43" i="8"/>
  <c r="EN43" i="8"/>
  <c r="EM43" i="8"/>
  <c r="EL43" i="8"/>
  <c r="EK43" i="8"/>
  <c r="EJ43" i="8"/>
  <c r="EI43" i="8"/>
  <c r="EH43" i="8"/>
  <c r="EG43" i="8"/>
  <c r="EF43" i="8"/>
  <c r="EE43" i="8"/>
  <c r="ED43" i="8"/>
  <c r="EB43" i="8"/>
  <c r="EP42" i="8"/>
  <c r="EO42" i="8"/>
  <c r="EN42" i="8"/>
  <c r="EM42" i="8"/>
  <c r="EL42" i="8"/>
  <c r="EK42" i="8"/>
  <c r="EJ42" i="8"/>
  <c r="EI42" i="8"/>
  <c r="EH42" i="8"/>
  <c r="EG42" i="8"/>
  <c r="EF42" i="8"/>
  <c r="EE42" i="8"/>
  <c r="ED42" i="8"/>
  <c r="EC42" i="8"/>
  <c r="EB42" i="8"/>
  <c r="EP41" i="8"/>
  <c r="EO41" i="8"/>
  <c r="EN41" i="8"/>
  <c r="EM41" i="8"/>
  <c r="EL41" i="8"/>
  <c r="EK41" i="8"/>
  <c r="EJ41" i="8"/>
  <c r="EI41" i="8"/>
  <c r="EH41" i="8"/>
  <c r="EG41" i="8"/>
  <c r="EF41" i="8"/>
  <c r="EE41" i="8"/>
  <c r="ED41" i="8"/>
  <c r="EC41" i="8"/>
  <c r="EB41" i="8"/>
  <c r="EP40" i="8"/>
  <c r="EO40" i="8"/>
  <c r="EN40" i="8"/>
  <c r="EM40" i="8"/>
  <c r="EL40" i="8"/>
  <c r="EK40" i="8"/>
  <c r="EJ40" i="8"/>
  <c r="EI40" i="8"/>
  <c r="EH40" i="8"/>
  <c r="EG40" i="8"/>
  <c r="EF40" i="8"/>
  <c r="EE40" i="8"/>
  <c r="ED40" i="8"/>
  <c r="EB40" i="8"/>
  <c r="EP39" i="8"/>
  <c r="EO39" i="8"/>
  <c r="EN39" i="8"/>
  <c r="EM39" i="8"/>
  <c r="EL39" i="8"/>
  <c r="EK39" i="8"/>
  <c r="EJ39" i="8"/>
  <c r="EI39" i="8"/>
  <c r="EH39" i="8"/>
  <c r="EG39" i="8"/>
  <c r="EF39" i="8"/>
  <c r="EE39" i="8"/>
  <c r="ED39" i="8"/>
  <c r="EC39" i="8"/>
  <c r="EB39" i="8"/>
  <c r="EP38" i="8"/>
  <c r="EO38" i="8"/>
  <c r="EN38" i="8"/>
  <c r="EM38" i="8"/>
  <c r="EL38" i="8"/>
  <c r="EK38" i="8"/>
  <c r="EJ38" i="8"/>
  <c r="EI38" i="8"/>
  <c r="EH38" i="8"/>
  <c r="EG38" i="8"/>
  <c r="EF38" i="8"/>
  <c r="EE38" i="8"/>
  <c r="ED38" i="8"/>
  <c r="EP37" i="8"/>
  <c r="EO37" i="8"/>
  <c r="EN37" i="8"/>
  <c r="EM37" i="8"/>
  <c r="EL37" i="8"/>
  <c r="EK37" i="8"/>
  <c r="EJ37" i="8"/>
  <c r="EI37" i="8"/>
  <c r="EH37" i="8"/>
  <c r="EG37" i="8"/>
  <c r="EF37" i="8"/>
  <c r="EE37" i="8"/>
  <c r="ED37" i="8"/>
  <c r="EB37" i="8"/>
  <c r="EP36" i="8"/>
  <c r="EO36" i="8"/>
  <c r="EN36" i="8"/>
  <c r="EM36" i="8"/>
  <c r="EL36" i="8"/>
  <c r="EK36" i="8"/>
  <c r="EJ36" i="8"/>
  <c r="EI36" i="8"/>
  <c r="EH36" i="8"/>
  <c r="EG36" i="8"/>
  <c r="EF36" i="8"/>
  <c r="EE36" i="8"/>
  <c r="ED36" i="8"/>
  <c r="EC36" i="8"/>
  <c r="EB36" i="8"/>
  <c r="EP35" i="8"/>
  <c r="EO35" i="8"/>
  <c r="EN35" i="8"/>
  <c r="EM35" i="8"/>
  <c r="EL35" i="8"/>
  <c r="EK35" i="8"/>
  <c r="EJ35" i="8"/>
  <c r="EI35" i="8"/>
  <c r="EH35" i="8"/>
  <c r="EG35" i="8"/>
  <c r="EF35" i="8"/>
  <c r="EE35" i="8"/>
  <c r="ED35" i="8"/>
  <c r="EP34" i="8"/>
  <c r="EO34" i="8"/>
  <c r="EN34" i="8"/>
  <c r="EM34" i="8"/>
  <c r="EL34" i="8"/>
  <c r="EK34" i="8"/>
  <c r="EJ34" i="8"/>
  <c r="EI34" i="8"/>
  <c r="EH34" i="8"/>
  <c r="EG34" i="8"/>
  <c r="EF34" i="8"/>
  <c r="EE34" i="8"/>
  <c r="ED34" i="8"/>
  <c r="EC34" i="8"/>
  <c r="EB34" i="8"/>
  <c r="EP33" i="8"/>
  <c r="EO33" i="8"/>
  <c r="EN33" i="8"/>
  <c r="EM33" i="8"/>
  <c r="EL33" i="8"/>
  <c r="EK33" i="8"/>
  <c r="EJ33" i="8"/>
  <c r="EI33" i="8"/>
  <c r="EH33" i="8"/>
  <c r="EG33" i="8"/>
  <c r="EF33" i="8"/>
  <c r="EE33" i="8"/>
  <c r="ED33" i="8"/>
  <c r="EP32" i="8"/>
  <c r="EO32" i="8"/>
  <c r="EN32" i="8"/>
  <c r="EM32" i="8"/>
  <c r="EL32" i="8"/>
  <c r="EK32" i="8"/>
  <c r="EJ32" i="8"/>
  <c r="EI32" i="8"/>
  <c r="EH32" i="8"/>
  <c r="EG32" i="8"/>
  <c r="EF32" i="8"/>
  <c r="EE32" i="8"/>
  <c r="ED32" i="8"/>
  <c r="EC32" i="8"/>
  <c r="EB32" i="8"/>
  <c r="EP31" i="8"/>
  <c r="EO31" i="8"/>
  <c r="EN31" i="8"/>
  <c r="EM31" i="8"/>
  <c r="EL31" i="8"/>
  <c r="EK31" i="8"/>
  <c r="EJ31" i="8"/>
  <c r="EI31" i="8"/>
  <c r="EH31" i="8"/>
  <c r="EG31" i="8"/>
  <c r="EF31" i="8"/>
  <c r="EE31" i="8"/>
  <c r="ED31" i="8"/>
  <c r="EB31" i="8"/>
  <c r="EP30" i="8"/>
  <c r="EO30" i="8"/>
  <c r="EN30" i="8"/>
  <c r="EM30" i="8"/>
  <c r="EL30" i="8"/>
  <c r="EK30" i="8"/>
  <c r="EJ30" i="8"/>
  <c r="EI30" i="8"/>
  <c r="EH30" i="8"/>
  <c r="EG30" i="8"/>
  <c r="EF30" i="8"/>
  <c r="EE30" i="8"/>
  <c r="ED30" i="8"/>
  <c r="EC30" i="8"/>
  <c r="EB30" i="8"/>
  <c r="EP29" i="8"/>
  <c r="EO29" i="8"/>
  <c r="EN29" i="8"/>
  <c r="EM29" i="8"/>
  <c r="EL29" i="8"/>
  <c r="EK29" i="8"/>
  <c r="EJ29" i="8"/>
  <c r="EI29" i="8"/>
  <c r="EH29" i="8"/>
  <c r="EG29" i="8"/>
  <c r="EF29" i="8"/>
  <c r="EE29" i="8"/>
  <c r="ED29" i="8"/>
  <c r="EC29" i="8"/>
  <c r="EB29" i="8"/>
  <c r="EP28" i="8"/>
  <c r="EO28" i="8"/>
  <c r="EN28" i="8"/>
  <c r="EM28" i="8"/>
  <c r="EL28" i="8"/>
  <c r="EK28" i="8"/>
  <c r="EJ28" i="8"/>
  <c r="EI28" i="8"/>
  <c r="EH28" i="8"/>
  <c r="EG28" i="8"/>
  <c r="EF28" i="8"/>
  <c r="EE28" i="8"/>
  <c r="ED28" i="8"/>
  <c r="EB28" i="8"/>
  <c r="EP27" i="8"/>
  <c r="EO27" i="8"/>
  <c r="EN27" i="8"/>
  <c r="EM27" i="8"/>
  <c r="EL27" i="8"/>
  <c r="EK27" i="8"/>
  <c r="EJ27" i="8"/>
  <c r="EI27" i="8"/>
  <c r="EH27" i="8"/>
  <c r="EG27" i="8"/>
  <c r="EF27" i="8"/>
  <c r="EE27" i="8"/>
  <c r="ED27" i="8"/>
  <c r="EC27" i="8"/>
  <c r="EB27" i="8"/>
  <c r="EP26" i="8"/>
  <c r="EO26" i="8"/>
  <c r="EN26" i="8"/>
  <c r="EM26" i="8"/>
  <c r="EL26" i="8"/>
  <c r="EK26" i="8"/>
  <c r="EJ26" i="8"/>
  <c r="EI26" i="8"/>
  <c r="EH26" i="8"/>
  <c r="EG26" i="8"/>
  <c r="EF26" i="8"/>
  <c r="EE26" i="8"/>
  <c r="ED26" i="8"/>
  <c r="EP25" i="8"/>
  <c r="EO25" i="8"/>
  <c r="EN25" i="8"/>
  <c r="EM25" i="8"/>
  <c r="EL25" i="8"/>
  <c r="EK25" i="8"/>
  <c r="EJ25" i="8"/>
  <c r="EI25" i="8"/>
  <c r="EH25" i="8"/>
  <c r="EG25" i="8"/>
  <c r="EF25" i="8"/>
  <c r="EE25" i="8"/>
  <c r="ED25" i="8"/>
  <c r="EB25" i="8"/>
  <c r="EP24" i="8"/>
  <c r="EO24" i="8"/>
  <c r="EN24" i="8"/>
  <c r="EM24" i="8"/>
  <c r="EL24" i="8"/>
  <c r="EK24" i="8"/>
  <c r="EJ24" i="8"/>
  <c r="EI24" i="8"/>
  <c r="EH24" i="8"/>
  <c r="EG24" i="8"/>
  <c r="EF24" i="8"/>
  <c r="EE24" i="8"/>
  <c r="ED24" i="8"/>
  <c r="EC24" i="8"/>
  <c r="EB24" i="8"/>
  <c r="EP23" i="8"/>
  <c r="EO23" i="8"/>
  <c r="EN23" i="8"/>
  <c r="EM23" i="8"/>
  <c r="EL23" i="8"/>
  <c r="EK23" i="8"/>
  <c r="EJ23" i="8"/>
  <c r="EI23" i="8"/>
  <c r="EH23" i="8"/>
  <c r="EG23" i="8"/>
  <c r="EF23" i="8"/>
  <c r="EE23" i="8"/>
  <c r="ED23" i="8"/>
  <c r="EB23" i="8"/>
  <c r="EP22" i="8"/>
  <c r="EO22" i="8"/>
  <c r="EN22" i="8"/>
  <c r="EM22" i="8"/>
  <c r="EL22" i="8"/>
  <c r="EK22" i="8"/>
  <c r="EJ22" i="8"/>
  <c r="EI22" i="8"/>
  <c r="EH22" i="8"/>
  <c r="EG22" i="8"/>
  <c r="EF22" i="8"/>
  <c r="EE22" i="8"/>
  <c r="ED22" i="8"/>
  <c r="EC22" i="8"/>
  <c r="EB22" i="8"/>
  <c r="EP21" i="8"/>
  <c r="EO21" i="8"/>
  <c r="EN21" i="8"/>
  <c r="EM21" i="8"/>
  <c r="EL21" i="8"/>
  <c r="EK21" i="8"/>
  <c r="EJ21" i="8"/>
  <c r="EI21" i="8"/>
  <c r="EH21" i="8"/>
  <c r="EG21" i="8"/>
  <c r="EF21" i="8"/>
  <c r="EE21" i="8"/>
  <c r="ED21" i="8"/>
  <c r="EP20" i="8"/>
  <c r="EO20" i="8"/>
  <c r="EN20" i="8"/>
  <c r="EM20" i="8"/>
  <c r="EL20" i="8"/>
  <c r="EK20" i="8"/>
  <c r="EJ20" i="8"/>
  <c r="EI20" i="8"/>
  <c r="EH20" i="8"/>
  <c r="EG20" i="8"/>
  <c r="EF20" i="8"/>
  <c r="EE20" i="8"/>
  <c r="ED20" i="8"/>
  <c r="EC20" i="8"/>
  <c r="EB20" i="8"/>
  <c r="EP19" i="8"/>
  <c r="EO19" i="8"/>
  <c r="EN19" i="8"/>
  <c r="EM19" i="8"/>
  <c r="EL19" i="8"/>
  <c r="EK19" i="8"/>
  <c r="EJ19" i="8"/>
  <c r="EI19" i="8"/>
  <c r="EH19" i="8"/>
  <c r="EG19" i="8"/>
  <c r="EF19" i="8"/>
  <c r="EE19" i="8"/>
  <c r="ED19" i="8"/>
  <c r="EB19" i="8"/>
  <c r="EP18" i="8"/>
  <c r="EO18" i="8"/>
  <c r="EN18" i="8"/>
  <c r="EM18" i="8"/>
  <c r="EL18" i="8"/>
  <c r="EK18" i="8"/>
  <c r="EJ18" i="8"/>
  <c r="EI18" i="8"/>
  <c r="EH18" i="8"/>
  <c r="EG18" i="8"/>
  <c r="EF18" i="8"/>
  <c r="EE18" i="8"/>
  <c r="ED18" i="8"/>
  <c r="EC18" i="8"/>
  <c r="EB18" i="8"/>
  <c r="EP17" i="8"/>
  <c r="EO17" i="8"/>
  <c r="EN17" i="8"/>
  <c r="EM17" i="8"/>
  <c r="EL17" i="8"/>
  <c r="EK17" i="8"/>
  <c r="EJ17" i="8"/>
  <c r="EI17" i="8"/>
  <c r="EH17" i="8"/>
  <c r="EG17" i="8"/>
  <c r="EF17" i="8"/>
  <c r="EE17" i="8"/>
  <c r="ED17" i="8"/>
  <c r="EC17" i="8"/>
  <c r="EB17" i="8"/>
  <c r="EP16" i="8"/>
  <c r="EO16" i="8"/>
  <c r="EN16" i="8"/>
  <c r="EM16" i="8"/>
  <c r="EL16" i="8"/>
  <c r="EK16" i="8"/>
  <c r="EJ16" i="8"/>
  <c r="EI16" i="8"/>
  <c r="EH16" i="8"/>
  <c r="EG16" i="8"/>
  <c r="EF16" i="8"/>
  <c r="EE16" i="8"/>
  <c r="ED16" i="8"/>
  <c r="EB16" i="8"/>
  <c r="EP15" i="8"/>
  <c r="EO15" i="8"/>
  <c r="EN15" i="8"/>
  <c r="EM15" i="8"/>
  <c r="EL15" i="8"/>
  <c r="EK15" i="8"/>
  <c r="EJ15" i="8"/>
  <c r="EI15" i="8"/>
  <c r="EH15" i="8"/>
  <c r="EG15" i="8"/>
  <c r="EF15" i="8"/>
  <c r="EE15" i="8"/>
  <c r="ED15" i="8"/>
  <c r="EP14" i="8"/>
  <c r="EO14" i="8"/>
  <c r="EN14" i="8"/>
  <c r="EM14" i="8"/>
  <c r="EL14" i="8"/>
  <c r="EK14" i="8"/>
  <c r="EJ14" i="8"/>
  <c r="EI14" i="8"/>
  <c r="EH14" i="8"/>
  <c r="EG14" i="8"/>
  <c r="EF14" i="8"/>
  <c r="EE14" i="8"/>
  <c r="ED14" i="8"/>
  <c r="EP13" i="8"/>
  <c r="EO13" i="8"/>
  <c r="EN13" i="8"/>
  <c r="EM13" i="8"/>
  <c r="EL13" i="8"/>
  <c r="EK13" i="8"/>
  <c r="EJ13" i="8"/>
  <c r="EI13" i="8"/>
  <c r="EH13" i="8"/>
  <c r="EG13" i="8"/>
  <c r="EF13" i="8"/>
  <c r="EE13" i="8"/>
  <c r="ED13" i="8"/>
  <c r="EB13" i="8"/>
  <c r="EP12" i="8"/>
  <c r="EO12" i="8"/>
  <c r="EN12" i="8"/>
  <c r="EM12" i="8"/>
  <c r="EL12" i="8"/>
  <c r="EK12" i="8"/>
  <c r="EJ12" i="8"/>
  <c r="EI12" i="8"/>
  <c r="EH12" i="8"/>
  <c r="EG12" i="8"/>
  <c r="EF12" i="8"/>
  <c r="EE12" i="8"/>
  <c r="ED12" i="8"/>
  <c r="EC12" i="8"/>
  <c r="EB12" i="8"/>
  <c r="EP11" i="8"/>
  <c r="EO11" i="8"/>
  <c r="EN11" i="8"/>
  <c r="EM11" i="8"/>
  <c r="EL11" i="8"/>
  <c r="EK11" i="8"/>
  <c r="EJ11" i="8"/>
  <c r="EI11" i="8"/>
  <c r="EH11" i="8"/>
  <c r="EG11" i="8"/>
  <c r="EF11" i="8"/>
  <c r="EE11" i="8"/>
  <c r="ED11" i="8"/>
  <c r="EP10" i="8"/>
  <c r="EO10" i="8"/>
  <c r="EN10" i="8"/>
  <c r="EM10" i="8"/>
  <c r="EL10" i="8"/>
  <c r="EK10" i="8"/>
  <c r="EJ10" i="8"/>
  <c r="EI10" i="8"/>
  <c r="EH10" i="8"/>
  <c r="EG10" i="8"/>
  <c r="EF10" i="8"/>
  <c r="EE10" i="8"/>
  <c r="ED10" i="8"/>
  <c r="EC10" i="8"/>
  <c r="EP9" i="8"/>
  <c r="EO9" i="8"/>
  <c r="EN9" i="8"/>
  <c r="EM9" i="8"/>
  <c r="EL9" i="8"/>
  <c r="EK9" i="8"/>
  <c r="EJ9" i="8"/>
  <c r="EI9" i="8"/>
  <c r="EH9" i="8"/>
  <c r="EG9" i="8"/>
  <c r="EF9" i="8"/>
  <c r="EE9" i="8"/>
  <c r="ED9" i="8"/>
  <c r="EC9" i="8"/>
  <c r="EP8" i="8"/>
  <c r="EO8" i="8"/>
  <c r="EN8" i="8"/>
  <c r="EM8" i="8"/>
  <c r="EL8" i="8"/>
  <c r="EK8" i="8"/>
  <c r="EJ8" i="8"/>
  <c r="EI8" i="8"/>
  <c r="EH8" i="8"/>
  <c r="EG8" i="8"/>
  <c r="EF8" i="8"/>
  <c r="EE8" i="8"/>
  <c r="ED8" i="8"/>
  <c r="EC8" i="8"/>
  <c r="EB8" i="8"/>
  <c r="EP7" i="8"/>
  <c r="EO7" i="8"/>
  <c r="EN7" i="8"/>
  <c r="EM7" i="8"/>
  <c r="EL7" i="8"/>
  <c r="EK7" i="8"/>
  <c r="EJ7" i="8"/>
  <c r="EI7" i="8"/>
  <c r="EH7" i="8"/>
  <c r="EG7" i="8"/>
  <c r="EF7" i="8"/>
  <c r="EE7" i="8"/>
  <c r="ED7" i="8"/>
  <c r="EB7" i="8"/>
  <c r="EP6" i="8"/>
  <c r="EO6" i="8"/>
  <c r="EN6" i="8"/>
  <c r="EM6" i="8"/>
  <c r="EL6" i="8"/>
  <c r="EK6" i="8"/>
  <c r="EJ6" i="8"/>
  <c r="EI6" i="8"/>
  <c r="EH6" i="8"/>
  <c r="EG6" i="8"/>
  <c r="EF6" i="8"/>
  <c r="EE6" i="8"/>
  <c r="ED6" i="8"/>
  <c r="EC6" i="8"/>
  <c r="EB6" i="8"/>
  <c r="EP5" i="8"/>
  <c r="EO5" i="8"/>
  <c r="EN5" i="8"/>
  <c r="EM5" i="8"/>
  <c r="EL5" i="8"/>
  <c r="EK5" i="8"/>
  <c r="EJ5" i="8"/>
  <c r="EI5" i="8"/>
  <c r="EH5" i="8"/>
  <c r="EG5" i="8"/>
  <c r="EF5" i="8"/>
  <c r="EE5" i="8"/>
  <c r="ED5" i="8"/>
  <c r="EC5" i="8"/>
  <c r="EB5" i="8"/>
  <c r="EP4" i="8"/>
  <c r="EO4" i="8"/>
  <c r="EN4" i="8"/>
  <c r="EM4" i="8"/>
  <c r="EL4" i="8"/>
  <c r="EK4" i="8"/>
  <c r="EJ4" i="8"/>
  <c r="EI4" i="8"/>
  <c r="EH4" i="8"/>
  <c r="EG4" i="8"/>
  <c r="EF4" i="8"/>
  <c r="EE4" i="8"/>
  <c r="ED4" i="8"/>
  <c r="EB4" i="8"/>
  <c r="DR48" i="8" l="1"/>
  <c r="DS46" i="8"/>
  <c r="DS44" i="8"/>
  <c r="DS43" i="8"/>
  <c r="DQ43" i="8"/>
  <c r="DK43" i="8"/>
  <c r="DN40" i="8"/>
  <c r="DS39" i="8"/>
  <c r="CZ38" i="8"/>
  <c r="DR37" i="8"/>
  <c r="DR36" i="8"/>
  <c r="DN36" i="8"/>
  <c r="DT35" i="8"/>
  <c r="DM33" i="8"/>
  <c r="DN28" i="8"/>
  <c r="DT27" i="8"/>
  <c r="DQ25" i="8"/>
  <c r="DR24" i="8"/>
  <c r="DT21" i="8"/>
  <c r="DN21" i="8"/>
  <c r="DJ18" i="8"/>
  <c r="DN16" i="8"/>
  <c r="DT15" i="8"/>
  <c r="DQ13" i="8"/>
  <c r="DK13" i="8"/>
  <c r="DN9" i="8"/>
  <c r="DR8" i="8"/>
  <c r="DL8" i="8"/>
  <c r="DT7" i="8"/>
  <c r="DB4" i="8"/>
  <c r="DX48" i="8"/>
  <c r="DM48" i="8"/>
  <c r="DR47" i="8"/>
  <c r="DV46" i="8"/>
  <c r="DZ43" i="8"/>
  <c r="DX41" i="8"/>
  <c r="DL41" i="8"/>
  <c r="DV39" i="8"/>
  <c r="DT37" i="8"/>
  <c r="DY36" i="8"/>
  <c r="DM36" i="8"/>
  <c r="DW34" i="8"/>
  <c r="DU32" i="8"/>
  <c r="DZ31" i="8"/>
  <c r="DX29" i="8"/>
  <c r="DV27" i="8"/>
  <c r="DY24" i="8"/>
  <c r="DW22" i="8"/>
  <c r="DZ19" i="8"/>
  <c r="DS18" i="8"/>
  <c r="DL17" i="8"/>
  <c r="DV15" i="8"/>
  <c r="DY12" i="8"/>
  <c r="DM12" i="8"/>
  <c r="DR11" i="8"/>
  <c r="DW10" i="8"/>
  <c r="DY7" i="8"/>
  <c r="DS6" i="8"/>
  <c r="DI45" i="8"/>
  <c r="DE45" i="8"/>
  <c r="DE44" i="8"/>
  <c r="DJ41" i="8"/>
  <c r="DG39" i="8"/>
  <c r="DH38" i="8"/>
  <c r="DH28" i="8"/>
  <c r="DI22" i="8"/>
  <c r="DJ17" i="8"/>
  <c r="DJ5" i="8"/>
  <c r="DK46" i="8"/>
  <c r="DI44" i="8"/>
  <c r="DK34" i="8"/>
  <c r="DJ27" i="8"/>
  <c r="DK22" i="8"/>
  <c r="DI20" i="8"/>
  <c r="DJ15" i="8"/>
  <c r="DK10" i="8"/>
  <c r="DI8" i="8"/>
  <c r="CW38" i="8"/>
  <c r="CW17" i="8"/>
  <c r="CW27" i="8"/>
  <c r="CW15" i="8"/>
  <c r="CW46" i="8"/>
  <c r="CZ37" i="8"/>
  <c r="CY31" i="8"/>
  <c r="CY19" i="8"/>
  <c r="CY48" i="8"/>
  <c r="CY43" i="8"/>
  <c r="CX41" i="8"/>
  <c r="CY36" i="8"/>
  <c r="CY35" i="8"/>
  <c r="CX29" i="8"/>
  <c r="CX24" i="8"/>
  <c r="CX12" i="8"/>
  <c r="CX5" i="8"/>
  <c r="CZ48" i="8"/>
  <c r="CZ41" i="8"/>
  <c r="CX39" i="8"/>
  <c r="CY34" i="8"/>
  <c r="CZ29" i="8"/>
  <c r="CX27" i="8"/>
  <c r="CY22" i="8"/>
  <c r="CX15" i="8"/>
  <c r="CZ12" i="8"/>
  <c r="CY10" i="8"/>
  <c r="CZ5" i="8"/>
  <c r="EB9" i="8"/>
  <c r="EA45" i="8"/>
  <c r="EB33" i="8"/>
  <c r="EA15" i="8"/>
  <c r="EC23" i="8"/>
  <c r="EB10" i="8"/>
  <c r="EB15" i="8"/>
  <c r="EB47" i="8"/>
  <c r="EC47" i="8"/>
  <c r="EB11" i="8"/>
  <c r="EC11" i="8"/>
  <c r="EB21" i="8"/>
  <c r="EB35" i="8"/>
  <c r="EC35" i="8"/>
  <c r="EA19" i="8"/>
  <c r="EC28" i="8"/>
  <c r="EC13" i="8"/>
  <c r="EC37" i="8"/>
  <c r="EC4" i="8"/>
  <c r="EC16" i="8"/>
  <c r="EC40" i="8"/>
  <c r="EA31" i="8"/>
  <c r="FF15" i="8" s="1"/>
  <c r="EC25" i="8"/>
  <c r="EB14" i="8"/>
  <c r="EB26" i="8"/>
  <c r="EB38" i="8"/>
  <c r="EA38" i="8"/>
  <c r="EC7" i="8"/>
  <c r="EC43" i="8"/>
  <c r="DD37" i="8"/>
  <c r="DA43" i="8"/>
  <c r="DA36" i="8"/>
  <c r="DB31" i="8"/>
  <c r="DB19" i="8"/>
  <c r="DA7" i="8"/>
  <c r="DD47" i="8"/>
  <c r="DC39" i="8"/>
  <c r="DD35" i="8"/>
  <c r="DC28" i="8"/>
  <c r="DC27" i="8"/>
  <c r="DC23" i="8"/>
  <c r="DC17" i="8"/>
  <c r="DC16" i="8"/>
  <c r="DC15" i="8"/>
  <c r="DE11" i="8"/>
  <c r="DO47" i="8"/>
  <c r="DP35" i="8"/>
  <c r="DP23" i="8"/>
  <c r="DO11" i="8"/>
  <c r="DO4" i="8"/>
  <c r="DP45" i="8"/>
  <c r="DQ40" i="8"/>
  <c r="DP28" i="8"/>
  <c r="DQ16" i="8"/>
  <c r="DQ4" i="8"/>
  <c r="DG26" i="8"/>
  <c r="DG19" i="8"/>
  <c r="DG8" i="8"/>
  <c r="DF7" i="8"/>
  <c r="DG42" i="8"/>
  <c r="DF35" i="8"/>
  <c r="DG30" i="8"/>
  <c r="DH25" i="8"/>
  <c r="DF23" i="8"/>
  <c r="DG18" i="8"/>
  <c r="DG6" i="8"/>
  <c r="EI74" i="8"/>
  <c r="EI76" i="8"/>
  <c r="EI78" i="8"/>
  <c r="EI80" i="8"/>
  <c r="DO16" i="8"/>
  <c r="DC47" i="8"/>
  <c r="DC35" i="8"/>
  <c r="DE32" i="8"/>
  <c r="DB23" i="8"/>
  <c r="DR20" i="8"/>
  <c r="DS15" i="8"/>
  <c r="DF15" i="8"/>
  <c r="DN11" i="8"/>
  <c r="DB11" i="8"/>
  <c r="DJ7" i="8"/>
  <c r="DI5" i="8"/>
  <c r="EY5" i="8" s="1"/>
  <c r="DY48" i="8"/>
  <c r="DS10" i="8"/>
  <c r="CX19" i="8"/>
  <c r="CX17" i="8"/>
  <c r="DN33" i="8"/>
  <c r="DI46" i="8"/>
  <c r="DE35" i="8"/>
  <c r="DM4" i="8"/>
  <c r="DB43" i="8"/>
  <c r="CZ45" i="8"/>
  <c r="DB42" i="8"/>
  <c r="DE39" i="8"/>
  <c r="DR34" i="8"/>
  <c r="CY38" i="8"/>
  <c r="DB7" i="8"/>
  <c r="DQ28" i="8"/>
  <c r="DM21" i="8"/>
  <c r="DA47" i="8"/>
  <c r="CZ7" i="8"/>
  <c r="DU34" i="8"/>
  <c r="CX36" i="8"/>
  <c r="DX12" i="8"/>
  <c r="DP40" i="8"/>
  <c r="DD44" i="8"/>
  <c r="DG48" i="8"/>
  <c r="DL47" i="8"/>
  <c r="DP46" i="8"/>
  <c r="DF46" i="8"/>
  <c r="DC44" i="8"/>
  <c r="DL42" i="8"/>
  <c r="DS41" i="8"/>
  <c r="DE41" i="8"/>
  <c r="DZ7" i="8"/>
  <c r="DS27" i="8"/>
  <c r="DT22" i="8"/>
  <c r="DR27" i="8"/>
  <c r="DF39" i="8"/>
  <c r="CZ19" i="8"/>
  <c r="DP47" i="8"/>
  <c r="DP16" i="8"/>
  <c r="DJ45" i="8"/>
  <c r="DP41" i="8"/>
  <c r="DD41" i="8"/>
  <c r="DD39" i="8"/>
  <c r="DM9" i="8"/>
  <c r="CX48" i="8"/>
  <c r="CZ26" i="8"/>
  <c r="DM28" i="8"/>
  <c r="DT10" i="8"/>
  <c r="CZ43" i="8"/>
  <c r="DA12" i="8"/>
  <c r="DL33" i="8"/>
  <c r="DD48" i="8"/>
  <c r="DE43" i="8"/>
  <c r="DR38" i="8"/>
  <c r="DE36" i="8"/>
  <c r="DR31" i="8"/>
  <c r="DE31" i="8"/>
  <c r="DN45" i="8"/>
  <c r="CW5" i="8"/>
  <c r="DL21" i="8"/>
  <c r="DU22" i="8"/>
  <c r="CW22" i="8"/>
  <c r="CZ14" i="8"/>
  <c r="DO23" i="8"/>
  <c r="DP13" i="8"/>
  <c r="DX21" i="8"/>
  <c r="DP11" i="8"/>
  <c r="CY24" i="8"/>
  <c r="DS45" i="8"/>
  <c r="DL44" i="8"/>
  <c r="CY7" i="8"/>
  <c r="DY43" i="8"/>
  <c r="DY21" i="8"/>
  <c r="DJ43" i="8"/>
  <c r="CW41" i="8"/>
  <c r="CX31" i="8"/>
  <c r="DO35" i="8"/>
  <c r="CY12" i="8"/>
  <c r="DT39" i="8"/>
  <c r="CX22" i="8"/>
  <c r="CW29" i="8"/>
  <c r="CZ39" i="8"/>
  <c r="DC36" i="8"/>
  <c r="EW17" i="8" s="1"/>
  <c r="DO40" i="8"/>
  <c r="DB47" i="8"/>
  <c r="DA4" i="8"/>
  <c r="DY19" i="8"/>
  <c r="DO45" i="8"/>
  <c r="DN43" i="8"/>
  <c r="DC43" i="8"/>
  <c r="DA16" i="8"/>
  <c r="DP4" i="8"/>
  <c r="DQ47" i="8"/>
  <c r="DF47" i="8"/>
  <c r="CY46" i="8"/>
  <c r="CX46" i="8"/>
  <c r="DU44" i="8"/>
  <c r="DJ39" i="8"/>
  <c r="DJ48" i="8"/>
  <c r="DE47" i="8"/>
  <c r="DJ46" i="8"/>
  <c r="DB45" i="8"/>
  <c r="DT44" i="8"/>
  <c r="DH44" i="8"/>
  <c r="DL43" i="8"/>
  <c r="DQ42" i="8"/>
  <c r="DE42" i="8"/>
  <c r="DK41" i="8"/>
  <c r="DD40" i="8"/>
  <c r="DS37" i="8"/>
  <c r="DL36" i="8"/>
  <c r="DJ34" i="8"/>
  <c r="DC33" i="8"/>
  <c r="DT32" i="8"/>
  <c r="DQ30" i="8"/>
  <c r="DE30" i="8"/>
  <c r="DK29" i="8"/>
  <c r="DB28" i="8"/>
  <c r="DI27" i="8"/>
  <c r="DM26" i="8"/>
  <c r="DS25" i="8"/>
  <c r="DL24" i="8"/>
  <c r="DE23" i="8"/>
  <c r="DJ22" i="8"/>
  <c r="DA21" i="8"/>
  <c r="DT20" i="8"/>
  <c r="DR18" i="8"/>
  <c r="DF18" i="8"/>
  <c r="DK17" i="8"/>
  <c r="DD16" i="8"/>
  <c r="DG13" i="8"/>
  <c r="DK12" i="8"/>
  <c r="DC11" i="8"/>
  <c r="DJ10" i="8"/>
  <c r="DC9" i="8"/>
  <c r="DT8" i="8"/>
  <c r="DH8" i="8"/>
  <c r="DK7" i="8"/>
  <c r="DR6" i="8"/>
  <c r="DF6" i="8"/>
  <c r="DK5" i="8"/>
  <c r="DD4" i="8"/>
  <c r="DS34" i="8"/>
  <c r="DD32" i="8"/>
  <c r="DC30" i="8"/>
  <c r="DB18" i="8"/>
  <c r="DQ15" i="8"/>
  <c r="DC6" i="8"/>
  <c r="DK40" i="8"/>
  <c r="DB37" i="8"/>
  <c r="DF36" i="8"/>
  <c r="DK35" i="8"/>
  <c r="DQ34" i="8"/>
  <c r="DD34" i="8"/>
  <c r="DL30" i="8"/>
  <c r="DL28" i="8"/>
  <c r="DE27" i="8"/>
  <c r="DC25" i="8"/>
  <c r="DG24" i="8"/>
  <c r="DL23" i="8"/>
  <c r="DD22" i="8"/>
  <c r="DS17" i="8"/>
  <c r="DE17" i="8"/>
  <c r="DL16" i="8"/>
  <c r="DE15" i="8"/>
  <c r="DB13" i="8"/>
  <c r="DT12" i="8"/>
  <c r="DG12" i="8"/>
  <c r="DK11" i="8"/>
  <c r="DF10" i="8"/>
  <c r="DK9" i="8"/>
  <c r="DS5" i="8"/>
  <c r="DE5" i="8"/>
  <c r="DK4" i="8"/>
  <c r="DC32" i="8"/>
  <c r="DG31" i="8"/>
  <c r="DD29" i="8"/>
  <c r="DB27" i="8"/>
  <c r="DI26" i="8"/>
  <c r="DA20" i="8"/>
  <c r="DH19" i="8"/>
  <c r="DD15" i="8"/>
  <c r="DH7" i="8"/>
  <c r="DR5" i="8"/>
  <c r="DS26" i="8"/>
  <c r="DF26" i="8"/>
  <c r="DD24" i="8"/>
  <c r="DG21" i="8"/>
  <c r="DR19" i="8"/>
  <c r="DS14" i="8"/>
  <c r="DG14" i="8"/>
  <c r="DP12" i="8"/>
  <c r="DE12" i="8"/>
  <c r="DQ7" i="8"/>
  <c r="DE7" i="8"/>
  <c r="DC24" i="8"/>
  <c r="DQ14" i="8"/>
  <c r="DF33" i="8"/>
  <c r="DI30" i="8"/>
  <c r="DS16" i="8"/>
  <c r="DG4" i="8"/>
  <c r="DO38" i="8"/>
  <c r="DO33" i="8"/>
  <c r="DO31" i="8"/>
  <c r="DD28" i="8"/>
  <c r="DN19" i="8"/>
  <c r="DC19" i="8"/>
  <c r="DH18" i="8"/>
  <c r="DF16" i="8"/>
  <c r="DO14" i="8"/>
  <c r="DO7" i="8"/>
  <c r="DC7" i="8"/>
  <c r="DC38" i="8"/>
  <c r="DB26" i="8"/>
  <c r="DT25" i="8"/>
  <c r="DQ23" i="8"/>
  <c r="DC14" i="8"/>
  <c r="DT13" i="8"/>
  <c r="DQ11" i="8"/>
  <c r="DF11" i="8"/>
  <c r="DQ31" i="8"/>
  <c r="DR43" i="8"/>
  <c r="DT26" i="8"/>
  <c r="DR32" i="8"/>
  <c r="DP18" i="8"/>
  <c r="DS32" i="8"/>
  <c r="DR42" i="8"/>
  <c r="DR39" i="8"/>
  <c r="DQ37" i="8"/>
  <c r="DP42" i="8"/>
  <c r="DQ8" i="8"/>
  <c r="DR13" i="8"/>
  <c r="DR7" i="8"/>
  <c r="DS31" i="8"/>
  <c r="DR44" i="8"/>
  <c r="DR15" i="8"/>
  <c r="DS20" i="8"/>
  <c r="DQ18" i="8"/>
  <c r="DQ6" i="8"/>
  <c r="DP48" i="8"/>
  <c r="DQ19" i="8"/>
  <c r="DT14" i="8"/>
  <c r="DS8" i="8"/>
  <c r="DP37" i="8"/>
  <c r="DQ46" i="8"/>
  <c r="DR25" i="8"/>
  <c r="DP30" i="8"/>
  <c r="DQ12" i="8"/>
  <c r="DR12" i="8"/>
  <c r="DP25" i="8"/>
  <c r="DQ44" i="8"/>
  <c r="DQ39" i="8"/>
  <c r="DR46" i="8"/>
  <c r="DR23" i="8"/>
  <c r="DP24" i="8"/>
  <c r="DS19" i="8"/>
  <c r="DP26" i="8"/>
  <c r="DP21" i="8"/>
  <c r="DQ9" i="8"/>
  <c r="DQ24" i="8"/>
  <c r="DN38" i="8"/>
  <c r="DM31" i="8"/>
  <c r="DM19" i="8"/>
  <c r="DN14" i="8"/>
  <c r="EK86" i="8"/>
  <c r="EK88" i="8"/>
  <c r="EK90" i="8"/>
  <c r="EK92" i="8"/>
  <c r="EK94" i="8"/>
  <c r="EK98" i="8"/>
  <c r="DN31" i="8"/>
  <c r="DP38" i="8"/>
  <c r="DP6" i="8"/>
  <c r="DO28" i="8"/>
  <c r="FA14" i="8" s="1"/>
  <c r="DP33" i="8"/>
  <c r="DN7" i="8"/>
  <c r="DM16" i="8"/>
  <c r="DN23" i="8"/>
  <c r="DO43" i="8"/>
  <c r="DO26" i="8"/>
  <c r="DO6" i="8"/>
  <c r="DM18" i="8"/>
  <c r="DM6" i="8"/>
  <c r="DQ45" i="8"/>
  <c r="DO21" i="8"/>
  <c r="DP9" i="8"/>
  <c r="DO19" i="8"/>
  <c r="FA11" i="8" s="1"/>
  <c r="DM7" i="8"/>
  <c r="DM39" i="8"/>
  <c r="DM32" i="8"/>
  <c r="DM20" i="8"/>
  <c r="DM15" i="8"/>
  <c r="DQ33" i="8"/>
  <c r="DP14" i="8"/>
  <c r="DO9" i="8"/>
  <c r="EF73" i="8"/>
  <c r="EF75" i="8"/>
  <c r="EF77" i="8"/>
  <c r="EF79" i="8"/>
  <c r="EF81" i="8"/>
  <c r="DN27" i="8"/>
  <c r="DK20" i="8"/>
  <c r="DJ24" i="8"/>
  <c r="DL19" i="8"/>
  <c r="DJ36" i="8"/>
  <c r="DK24" i="8"/>
  <c r="DJ12" i="8"/>
  <c r="DL7" i="8"/>
  <c r="DM38" i="8"/>
  <c r="DL32" i="8"/>
  <c r="DN30" i="8"/>
  <c r="DK31" i="8"/>
  <c r="DM8" i="8"/>
  <c r="DL37" i="8"/>
  <c r="DJ13" i="8"/>
  <c r="DL39" i="8"/>
  <c r="DL18" i="8"/>
  <c r="DM14" i="8"/>
  <c r="DL31" i="8"/>
  <c r="DL38" i="8"/>
  <c r="DM27" i="8"/>
  <c r="DM43" i="8"/>
  <c r="DL48" i="8"/>
  <c r="DK16" i="8"/>
  <c r="DJ40" i="8"/>
  <c r="DN6" i="8"/>
  <c r="DL40" i="8"/>
  <c r="DM47" i="8"/>
  <c r="DL15" i="8"/>
  <c r="DK28" i="8"/>
  <c r="DM11" i="8"/>
  <c r="DN42" i="8"/>
  <c r="DN26" i="8"/>
  <c r="DK47" i="8"/>
  <c r="DK19" i="8"/>
  <c r="DK37" i="8"/>
  <c r="DL26" i="8"/>
  <c r="DL12" i="8"/>
  <c r="DK44" i="8"/>
  <c r="DK32" i="8"/>
  <c r="DK25" i="8"/>
  <c r="DL14" i="8"/>
  <c r="DK27" i="8"/>
  <c r="DJ20" i="8"/>
  <c r="DJ28" i="8"/>
  <c r="DM23" i="8"/>
  <c r="DF43" i="8"/>
  <c r="DG38" i="8"/>
  <c r="DE24" i="8"/>
  <c r="DH14" i="8"/>
  <c r="DH39" i="8"/>
  <c r="DF37" i="8"/>
  <c r="DG32" i="8"/>
  <c r="DE25" i="8"/>
  <c r="DG20" i="8"/>
  <c r="DG15" i="8"/>
  <c r="DF14" i="8"/>
  <c r="DD36" i="8"/>
  <c r="DE29" i="8"/>
  <c r="DF38" i="8"/>
  <c r="DH41" i="8"/>
  <c r="DE20" i="8"/>
  <c r="DE8" i="8"/>
  <c r="DE10" i="8"/>
  <c r="DG7" i="8"/>
  <c r="DF31" i="8"/>
  <c r="DH48" i="8"/>
  <c r="DG17" i="8"/>
  <c r="DG47" i="8"/>
  <c r="DF19" i="8"/>
  <c r="EX11" i="8" s="1"/>
  <c r="DH37" i="8"/>
  <c r="DE33" i="8"/>
  <c r="DE21" i="8"/>
  <c r="DE9" i="8"/>
  <c r="DF22" i="8"/>
  <c r="DD45" i="8"/>
  <c r="DE40" i="8"/>
  <c r="DD33" i="8"/>
  <c r="DE28" i="8"/>
  <c r="DD21" i="8"/>
  <c r="DE16" i="8"/>
  <c r="DD9" i="8"/>
  <c r="DE4" i="8"/>
  <c r="EI73" i="8"/>
  <c r="EI75" i="8"/>
  <c r="EI77" i="8"/>
  <c r="EI79" i="8"/>
  <c r="DH34" i="8"/>
  <c r="DH5" i="8"/>
  <c r="DG27" i="8"/>
  <c r="DH27" i="8"/>
  <c r="DI34" i="8"/>
  <c r="DI41" i="8"/>
  <c r="DG29" i="8"/>
  <c r="DI15" i="8"/>
  <c r="DH46" i="8"/>
  <c r="DG22" i="8"/>
  <c r="DI17" i="8"/>
  <c r="DH22" i="8"/>
  <c r="DK48" i="8"/>
  <c r="DH15" i="8"/>
  <c r="DJ29" i="8"/>
  <c r="DH10" i="8"/>
  <c r="DH30" i="8"/>
  <c r="DK36" i="8"/>
  <c r="DI10" i="8"/>
  <c r="DI29" i="8"/>
  <c r="EY14" i="8" s="1"/>
  <c r="DI36" i="8"/>
  <c r="DH17" i="8"/>
  <c r="DH24" i="8"/>
  <c r="DF29" i="8"/>
  <c r="DE13" i="8"/>
  <c r="DG44" i="8"/>
  <c r="DD23" i="8"/>
  <c r="DE18" i="8"/>
  <c r="DE6" i="8"/>
  <c r="DE22" i="8"/>
  <c r="DF17" i="8"/>
  <c r="EX9" i="8" s="1"/>
  <c r="DF8" i="8"/>
  <c r="DF34" i="8"/>
  <c r="DF42" i="8"/>
  <c r="DD42" i="8"/>
  <c r="DD30" i="8"/>
  <c r="DD6" i="8"/>
  <c r="DG5" i="8"/>
  <c r="DH36" i="8"/>
  <c r="DG25" i="8"/>
  <c r="DF20" i="8"/>
  <c r="EX12" i="8" s="1"/>
  <c r="DD46" i="8"/>
  <c r="DF24" i="8"/>
  <c r="DF5" i="8"/>
  <c r="EX5" i="8" s="1"/>
  <c r="DD18" i="8"/>
  <c r="DE37" i="8"/>
  <c r="DH20" i="8"/>
  <c r="DF30" i="8"/>
  <c r="DE46" i="8"/>
  <c r="DE34" i="8"/>
  <c r="DH12" i="8"/>
  <c r="DG36" i="8"/>
  <c r="DD17" i="8"/>
  <c r="DD10" i="8"/>
  <c r="DF13" i="8"/>
  <c r="DF25" i="8"/>
  <c r="DF41" i="8"/>
  <c r="DG37" i="8"/>
  <c r="DE19" i="8"/>
  <c r="DG41" i="8"/>
  <c r="DF44" i="8"/>
  <c r="DF12" i="8"/>
  <c r="DF32" i="8"/>
  <c r="DH32" i="8"/>
  <c r="DB9" i="8"/>
  <c r="DB14" i="8"/>
  <c r="DC4" i="8"/>
  <c r="DC45" i="8"/>
  <c r="EW20" i="8" s="1"/>
  <c r="DB21" i="8"/>
  <c r="DB40" i="8"/>
  <c r="DA42" i="8"/>
  <c r="DA45" i="8"/>
  <c r="DA33" i="8"/>
  <c r="DB16" i="8"/>
  <c r="DA26" i="8"/>
  <c r="DB38" i="8"/>
  <c r="DD11" i="8"/>
  <c r="DA28" i="8"/>
  <c r="DC42" i="8"/>
  <c r="DA30" i="8"/>
  <c r="DB35" i="8"/>
  <c r="DA19" i="8"/>
  <c r="DA38" i="8"/>
  <c r="DC26" i="8"/>
  <c r="DB33" i="8"/>
  <c r="EL74" i="8"/>
  <c r="EL76" i="8"/>
  <c r="EL78" i="8"/>
  <c r="EL80" i="8"/>
  <c r="DD27" i="8"/>
  <c r="DA23" i="8"/>
  <c r="DC21" i="8"/>
  <c r="DB39" i="8"/>
  <c r="DC18" i="8"/>
  <c r="DA9" i="8"/>
  <c r="DB32" i="8"/>
  <c r="DC40" i="8"/>
  <c r="EW19" i="8" s="1"/>
  <c r="EH86" i="8"/>
  <c r="EH88" i="8"/>
  <c r="EH90" i="8"/>
  <c r="EH92" i="8"/>
  <c r="EH94" i="8"/>
  <c r="EH96" i="8"/>
  <c r="EH98" i="8"/>
  <c r="EO73" i="8"/>
  <c r="EO75" i="8"/>
  <c r="EO77" i="8"/>
  <c r="EO79" i="8"/>
  <c r="EB85" i="8"/>
  <c r="EB87" i="8"/>
  <c r="EB89" i="8"/>
  <c r="EB91" i="8"/>
  <c r="EB93" i="8"/>
  <c r="EB97" i="8"/>
  <c r="EC73" i="8"/>
  <c r="EC75" i="8"/>
  <c r="EC77" i="8"/>
  <c r="EC79" i="8"/>
  <c r="EC81" i="8"/>
  <c r="DZ57" i="8"/>
  <c r="DZ63" i="8"/>
  <c r="DZ69" i="8"/>
  <c r="DZ75" i="8"/>
  <c r="EL73" i="8"/>
  <c r="EL75" i="8"/>
  <c r="EL77" i="8"/>
  <c r="EL79" i="8"/>
  <c r="EE85" i="8"/>
  <c r="EE87" i="8"/>
  <c r="EE89" i="8"/>
  <c r="EE91" i="8"/>
  <c r="EE93" i="8"/>
  <c r="EE95" i="8"/>
  <c r="EE97" i="8"/>
  <c r="EF74" i="8"/>
  <c r="EF76" i="8"/>
  <c r="EF78" i="8"/>
  <c r="EF80" i="8"/>
  <c r="DZ54" i="8"/>
  <c r="DZ60" i="8"/>
  <c r="DZ66" i="8"/>
  <c r="DZ72" i="8"/>
  <c r="DZ78" i="8"/>
  <c r="EE86" i="8"/>
  <c r="EE88" i="8"/>
  <c r="EE90" i="8"/>
  <c r="EE92" i="8"/>
  <c r="EE94" i="8"/>
  <c r="EE96" i="8"/>
  <c r="EE98" i="8"/>
  <c r="DZ56" i="8"/>
  <c r="DZ62" i="8"/>
  <c r="DZ68" i="8"/>
  <c r="DZ74" i="8"/>
  <c r="DZ55" i="8"/>
  <c r="DZ61" i="8"/>
  <c r="DZ67" i="8"/>
  <c r="DZ73" i="8"/>
  <c r="DZ79" i="8"/>
  <c r="EK87" i="8"/>
  <c r="EK91" i="8"/>
  <c r="EK97" i="8"/>
  <c r="EN85" i="8"/>
  <c r="EN87" i="8"/>
  <c r="EN89" i="8"/>
  <c r="EN91" i="8"/>
  <c r="EN93" i="8"/>
  <c r="EN95" i="8"/>
  <c r="EN97" i="8"/>
  <c r="EK85" i="8"/>
  <c r="EK93" i="8"/>
  <c r="EK95" i="8"/>
  <c r="DZ59" i="8"/>
  <c r="DZ65" i="8"/>
  <c r="DZ71" i="8"/>
  <c r="DZ77" i="8"/>
  <c r="EK96" i="8"/>
  <c r="DZ58" i="8"/>
  <c r="DZ64" i="8"/>
  <c r="DZ70" i="8"/>
  <c r="DZ76" i="8"/>
  <c r="EN86" i="8"/>
  <c r="EN88" i="8"/>
  <c r="EN92" i="8"/>
  <c r="EN94" i="8"/>
  <c r="EN96" i="8"/>
  <c r="EN98" i="8"/>
  <c r="EC74" i="8"/>
  <c r="EC76" i="8"/>
  <c r="EC78" i="8"/>
  <c r="EC80" i="8"/>
  <c r="EH85" i="8"/>
  <c r="EH87" i="8"/>
  <c r="EH89" i="8"/>
  <c r="EH91" i="8"/>
  <c r="EH93" i="8"/>
  <c r="EH95" i="8"/>
  <c r="EH97" i="8"/>
  <c r="EO72" i="8"/>
  <c r="EO74" i="8"/>
  <c r="EO76" i="8"/>
  <c r="EO78" i="8"/>
  <c r="EO80" i="8"/>
  <c r="EB86" i="8"/>
  <c r="EB88" i="8"/>
  <c r="EB92" i="8"/>
  <c r="EB94" i="8"/>
  <c r="EB96" i="8"/>
  <c r="EB98" i="8"/>
  <c r="EN90" i="8"/>
  <c r="EK89" i="8"/>
  <c r="EB90" i="8"/>
  <c r="EB95" i="8"/>
  <c r="EL72" i="8"/>
  <c r="EI72" i="8"/>
  <c r="EF72" i="8"/>
  <c r="EC72" i="8"/>
  <c r="EO71" i="8"/>
  <c r="EL71" i="8"/>
  <c r="EI71" i="8"/>
  <c r="EF71" i="8"/>
  <c r="EC71" i="8"/>
  <c r="EO70" i="8"/>
  <c r="EL70" i="8"/>
  <c r="EI70" i="8"/>
  <c r="EF70" i="8"/>
  <c r="EC70" i="8"/>
  <c r="J185" i="22"/>
  <c r="J185" i="7"/>
  <c r="E185" i="22"/>
  <c r="E185" i="7"/>
  <c r="EJ91" i="8"/>
  <c r="EG91" i="8"/>
  <c r="ED91" i="8"/>
  <c r="EA91" i="8"/>
  <c r="EP90" i="8"/>
  <c r="FK69" i="8" s="1"/>
  <c r="EM90" i="8"/>
  <c r="FJ69" i="8" s="1"/>
  <c r="EJ90" i="8"/>
  <c r="FI69" i="8" s="1"/>
  <c r="EG90" i="8"/>
  <c r="FH69" i="8" s="1"/>
  <c r="ED90" i="8"/>
  <c r="FG69" i="8" s="1"/>
  <c r="EA90" i="8"/>
  <c r="FF69" i="8" s="1"/>
  <c r="EP89" i="8"/>
  <c r="EM89" i="8"/>
  <c r="EJ89" i="8"/>
  <c r="EG89" i="8"/>
  <c r="ED89" i="8"/>
  <c r="EA89" i="8"/>
  <c r="EP88" i="8"/>
  <c r="FK68" i="8" s="1"/>
  <c r="EM88" i="8"/>
  <c r="FJ68" i="8" s="1"/>
  <c r="EJ88" i="8"/>
  <c r="FI68" i="8" s="1"/>
  <c r="EG88" i="8"/>
  <c r="FH68" i="8" s="1"/>
  <c r="ED88" i="8"/>
  <c r="FG68" i="8" s="1"/>
  <c r="EA88" i="8"/>
  <c r="FF68" i="8" s="1"/>
  <c r="EP87" i="8"/>
  <c r="EM87" i="8"/>
  <c r="EJ87" i="8"/>
  <c r="EG87" i="8"/>
  <c r="ED87" i="8"/>
  <c r="EA87" i="8"/>
  <c r="EP86" i="8"/>
  <c r="FK67" i="8" s="1"/>
  <c r="EM86" i="8"/>
  <c r="FJ67" i="8" s="1"/>
  <c r="EJ86" i="8"/>
  <c r="FI67" i="8" s="1"/>
  <c r="EG86" i="8"/>
  <c r="FH67" i="8" s="1"/>
  <c r="ED86" i="8"/>
  <c r="FG67" i="8" s="1"/>
  <c r="EA86" i="8"/>
  <c r="FF67" i="8" s="1"/>
  <c r="EP85" i="8"/>
  <c r="EM85" i="8"/>
  <c r="EJ85" i="8"/>
  <c r="EG85" i="8"/>
  <c r="ED85" i="8"/>
  <c r="EA85" i="8"/>
  <c r="EP84" i="8"/>
  <c r="FK66" i="8" s="1"/>
  <c r="EM84" i="8"/>
  <c r="FJ66" i="8" s="1"/>
  <c r="EJ84" i="8"/>
  <c r="FI66" i="8" s="1"/>
  <c r="EG84" i="8"/>
  <c r="FH66" i="8" s="1"/>
  <c r="ED84" i="8"/>
  <c r="FG66" i="8" s="1"/>
  <c r="EA84" i="8"/>
  <c r="FF66" i="8" s="1"/>
  <c r="EP83" i="8"/>
  <c r="EM83" i="8"/>
  <c r="EJ83" i="8"/>
  <c r="EG83" i="8"/>
  <c r="ED83" i="8"/>
  <c r="EA83" i="8"/>
  <c r="EP82" i="8"/>
  <c r="EM82" i="8"/>
  <c r="EJ82" i="8"/>
  <c r="EG82" i="8"/>
  <c r="ED82" i="8"/>
  <c r="EA82" i="8"/>
  <c r="EP81" i="8"/>
  <c r="FK65" i="8" s="1"/>
  <c r="EM81" i="8"/>
  <c r="FJ65" i="8" s="1"/>
  <c r="EJ81" i="8"/>
  <c r="FI65" i="8" s="1"/>
  <c r="EG81" i="8"/>
  <c r="FH65" i="8" s="1"/>
  <c r="ED81" i="8"/>
  <c r="FG65" i="8" s="1"/>
  <c r="EA81" i="8"/>
  <c r="FF65" i="8" s="1"/>
  <c r="EP80" i="8"/>
  <c r="EM80" i="8"/>
  <c r="EJ80" i="8"/>
  <c r="EG80" i="8"/>
  <c r="EP79" i="8"/>
  <c r="EG79" i="8"/>
  <c r="EM78" i="8"/>
  <c r="FJ64" i="8" s="1"/>
  <c r="EJ78" i="8"/>
  <c r="FI64" i="8" s="1"/>
  <c r="EG78" i="8"/>
  <c r="FH64" i="8" s="1"/>
  <c r="ED78" i="8"/>
  <c r="FG64" i="8" s="1"/>
  <c r="EA78" i="8"/>
  <c r="FF64" i="8" s="1"/>
  <c r="EP77" i="8"/>
  <c r="EM77" i="8"/>
  <c r="EJ77" i="8"/>
  <c r="EG77" i="8"/>
  <c r="ED77" i="8"/>
  <c r="EA77" i="8"/>
  <c r="EP76" i="8"/>
  <c r="EM76" i="8"/>
  <c r="EJ76" i="8"/>
  <c r="EG76" i="8"/>
  <c r="ED76" i="8"/>
  <c r="EA76" i="8"/>
  <c r="EP75" i="8"/>
  <c r="EM75" i="8"/>
  <c r="EJ75" i="8"/>
  <c r="EG75" i="8"/>
  <c r="ED75" i="8"/>
  <c r="EA75" i="8"/>
  <c r="EP74" i="8"/>
  <c r="EM74" i="8"/>
  <c r="EJ74" i="8"/>
  <c r="EG74" i="8"/>
  <c r="ED74" i="8"/>
  <c r="EA74" i="8"/>
  <c r="EP73" i="8"/>
  <c r="EM73" i="8"/>
  <c r="EJ73" i="8"/>
  <c r="EG73" i="8"/>
  <c r="ED73" i="8"/>
  <c r="EA73" i="8"/>
  <c r="EP72" i="8"/>
  <c r="FK63" i="8" s="1"/>
  <c r="EM72" i="8"/>
  <c r="FJ63" i="8" s="1"/>
  <c r="EJ72" i="8"/>
  <c r="FI63" i="8" s="1"/>
  <c r="EG72" i="8"/>
  <c r="FH63" i="8" s="1"/>
  <c r="ED72" i="8"/>
  <c r="FG63" i="8" s="1"/>
  <c r="EA72" i="8"/>
  <c r="FF63" i="8" s="1"/>
  <c r="EP71" i="8"/>
  <c r="EM71" i="8"/>
  <c r="EJ71" i="8"/>
  <c r="EG71" i="8"/>
  <c r="ED71" i="8"/>
  <c r="EA71" i="8"/>
  <c r="EP70" i="8"/>
  <c r="FK62" i="8" s="1"/>
  <c r="EM70" i="8"/>
  <c r="FJ62" i="8" s="1"/>
  <c r="EJ70" i="8"/>
  <c r="FI62" i="8" s="1"/>
  <c r="EG70" i="8"/>
  <c r="FH62" i="8" s="1"/>
  <c r="ED70" i="8"/>
  <c r="FG62" i="8" s="1"/>
  <c r="EA70" i="8"/>
  <c r="FF62" i="8" s="1"/>
  <c r="EP69" i="8"/>
  <c r="FK61" i="8" s="1"/>
  <c r="EM69" i="8"/>
  <c r="FJ61" i="8" s="1"/>
  <c r="EJ69" i="8"/>
  <c r="FI61" i="8" s="1"/>
  <c r="EG69" i="8"/>
  <c r="FH61" i="8" s="1"/>
  <c r="ED69" i="8"/>
  <c r="FG61" i="8" s="1"/>
  <c r="EA69" i="8"/>
  <c r="FF61" i="8" s="1"/>
  <c r="EP68" i="8"/>
  <c r="FK60" i="8" s="1"/>
  <c r="EM68" i="8"/>
  <c r="FJ60" i="8" s="1"/>
  <c r="EJ68" i="8"/>
  <c r="FI60" i="8" s="1"/>
  <c r="EG68" i="8"/>
  <c r="FH60" i="8" s="1"/>
  <c r="ED68" i="8"/>
  <c r="FG60" i="8" s="1"/>
  <c r="EA68" i="8"/>
  <c r="FF60" i="8" s="1"/>
  <c r="EP67" i="8"/>
  <c r="FK59" i="8" s="1"/>
  <c r="EM67" i="8"/>
  <c r="FJ59" i="8" s="1"/>
  <c r="EJ67" i="8"/>
  <c r="FI59" i="8" s="1"/>
  <c r="EG67" i="8"/>
  <c r="FH59" i="8" s="1"/>
  <c r="ED67" i="8"/>
  <c r="FG59" i="8" s="1"/>
  <c r="EA67" i="8"/>
  <c r="FF59" i="8" s="1"/>
  <c r="EP66" i="8"/>
  <c r="FK58" i="8" s="1"/>
  <c r="EM66" i="8"/>
  <c r="FJ58" i="8" s="1"/>
  <c r="EJ66" i="8"/>
  <c r="FI58" i="8" s="1"/>
  <c r="EG66" i="8"/>
  <c r="FH58" i="8" s="1"/>
  <c r="ED66" i="8"/>
  <c r="FG58" i="8" s="1"/>
  <c r="EA66" i="8"/>
  <c r="FF58" i="8" s="1"/>
  <c r="EP65" i="8"/>
  <c r="EM65" i="8"/>
  <c r="EJ65" i="8"/>
  <c r="EG65" i="8"/>
  <c r="ED65" i="8"/>
  <c r="EA65" i="8"/>
  <c r="EP64" i="8"/>
  <c r="EM64" i="8"/>
  <c r="EJ64" i="8"/>
  <c r="EG64" i="8"/>
  <c r="ED64" i="8"/>
  <c r="EA64" i="8"/>
  <c r="EP63" i="8"/>
  <c r="EM63" i="8"/>
  <c r="EJ63" i="8"/>
  <c r="EG63" i="8"/>
  <c r="ED63" i="8"/>
  <c r="EA63" i="8"/>
  <c r="EP62" i="8"/>
  <c r="FK57" i="8" s="1"/>
  <c r="EM62" i="8"/>
  <c r="FJ57" i="8" s="1"/>
  <c r="EJ62" i="8"/>
  <c r="FI57" i="8" s="1"/>
  <c r="EG62" i="8"/>
  <c r="FH57" i="8" s="1"/>
  <c r="ED62" i="8"/>
  <c r="FG57" i="8" s="1"/>
  <c r="EA62" i="8"/>
  <c r="FF57" i="8" s="1"/>
  <c r="EP61" i="8"/>
  <c r="FK56" i="8" s="1"/>
  <c r="EM61" i="8"/>
  <c r="FJ56" i="8" s="1"/>
  <c r="EJ61" i="8"/>
  <c r="FI56" i="8" s="1"/>
  <c r="EG61" i="8"/>
  <c r="FH56" i="8" s="1"/>
  <c r="ED61" i="8"/>
  <c r="FG56" i="8" s="1"/>
  <c r="EA61" i="8"/>
  <c r="FF56" i="8" s="1"/>
  <c r="EP60" i="8"/>
  <c r="EM60" i="8"/>
  <c r="EJ60" i="8"/>
  <c r="EG60" i="8"/>
  <c r="ED60" i="8"/>
  <c r="EA60" i="8"/>
  <c r="EP59" i="8"/>
  <c r="EM59" i="8"/>
  <c r="EJ59" i="8"/>
  <c r="EG59" i="8"/>
  <c r="ED59" i="8"/>
  <c r="EA59" i="8"/>
  <c r="EP58" i="8"/>
  <c r="EM58" i="8"/>
  <c r="EJ58" i="8"/>
  <c r="EG58" i="8"/>
  <c r="ED58" i="8"/>
  <c r="EA58" i="8"/>
  <c r="EP57" i="8"/>
  <c r="EM57" i="8"/>
  <c r="EJ57" i="8"/>
  <c r="EG57" i="8"/>
  <c r="ED57" i="8"/>
  <c r="EA57" i="8"/>
  <c r="EP56" i="8"/>
  <c r="EM56" i="8"/>
  <c r="EJ56" i="8"/>
  <c r="EG56" i="8"/>
  <c r="ED56" i="8"/>
  <c r="EA56" i="8"/>
  <c r="EP55" i="8"/>
  <c r="FK55" i="8" s="1"/>
  <c r="EM55" i="8"/>
  <c r="FJ55" i="8" s="1"/>
  <c r="EJ55" i="8"/>
  <c r="FI55" i="8" s="1"/>
  <c r="EG55" i="8"/>
  <c r="FH55" i="8" s="1"/>
  <c r="ED55" i="8"/>
  <c r="FG55" i="8" s="1"/>
  <c r="EA55" i="8"/>
  <c r="FF55" i="8" s="1"/>
  <c r="EP54" i="8"/>
  <c r="FK54" i="8" s="1"/>
  <c r="EM54" i="8"/>
  <c r="FJ54" i="8" s="1"/>
  <c r="EJ54" i="8"/>
  <c r="FI54" i="8" s="1"/>
  <c r="EG54" i="8"/>
  <c r="FH54" i="8" s="1"/>
  <c r="ED54" i="8"/>
  <c r="FG54" i="8" s="1"/>
  <c r="EA54" i="8"/>
  <c r="FF54" i="8" s="1"/>
  <c r="DZ98" i="8"/>
  <c r="DZ97" i="8"/>
  <c r="DZ96" i="8"/>
  <c r="DZ95" i="8"/>
  <c r="DZ94" i="8"/>
  <c r="DZ93" i="8"/>
  <c r="DZ92" i="8"/>
  <c r="DZ91" i="8"/>
  <c r="DZ90" i="8"/>
  <c r="DZ89" i="8"/>
  <c r="DZ88" i="8"/>
  <c r="DZ87" i="8"/>
  <c r="DZ86" i="8"/>
  <c r="DZ85" i="8"/>
  <c r="DZ84" i="8"/>
  <c r="DZ83" i="8"/>
  <c r="DZ82" i="8"/>
  <c r="DZ81" i="8"/>
  <c r="DZ80" i="8"/>
  <c r="EO98" i="8"/>
  <c r="EL98" i="8"/>
  <c r="EI98" i="8"/>
  <c r="EF98" i="8"/>
  <c r="EC98" i="8"/>
  <c r="EO97" i="8"/>
  <c r="EL97" i="8"/>
  <c r="EI97" i="8"/>
  <c r="EF97" i="8"/>
  <c r="EC97" i="8"/>
  <c r="EO96" i="8"/>
  <c r="EL96" i="8"/>
  <c r="EI96" i="8"/>
  <c r="EF96" i="8"/>
  <c r="EC96" i="8"/>
  <c r="EO95" i="8"/>
  <c r="EL95" i="8"/>
  <c r="EI95" i="8"/>
  <c r="EF95" i="8"/>
  <c r="EC95" i="8"/>
  <c r="EO94" i="8"/>
  <c r="EL94" i="8"/>
  <c r="EI94" i="8"/>
  <c r="EF94" i="8"/>
  <c r="EC94" i="8"/>
  <c r="EO93" i="8"/>
  <c r="EL93" i="8"/>
  <c r="EI93" i="8"/>
  <c r="EF93" i="8"/>
  <c r="EC93" i="8"/>
  <c r="EO92" i="8"/>
  <c r="EL92" i="8"/>
  <c r="EI92" i="8"/>
  <c r="EF92" i="8"/>
  <c r="EC92" i="8"/>
  <c r="EO91" i="8"/>
  <c r="EL91" i="8"/>
  <c r="EI91" i="8"/>
  <c r="EF91" i="8"/>
  <c r="EC91" i="8"/>
  <c r="EO90" i="8"/>
  <c r="EL90" i="8"/>
  <c r="EI90" i="8"/>
  <c r="EF90" i="8"/>
  <c r="EC90" i="8"/>
  <c r="EO89" i="8"/>
  <c r="EL89" i="8"/>
  <c r="EI89" i="8"/>
  <c r="EF89" i="8"/>
  <c r="EC89" i="8"/>
  <c r="EO88" i="8"/>
  <c r="EL88" i="8"/>
  <c r="EI88" i="8"/>
  <c r="EF88" i="8"/>
  <c r="EC88" i="8"/>
  <c r="EO87" i="8"/>
  <c r="EL87" i="8"/>
  <c r="EI87" i="8"/>
  <c r="EF87" i="8"/>
  <c r="EC87" i="8"/>
  <c r="EO86" i="8"/>
  <c r="EL86" i="8"/>
  <c r="EI86" i="8"/>
  <c r="EF86" i="8"/>
  <c r="EC86" i="8"/>
  <c r="EO85" i="8"/>
  <c r="EL85" i="8"/>
  <c r="EI85" i="8"/>
  <c r="EF85" i="8"/>
  <c r="EC85" i="8"/>
  <c r="EO84" i="8"/>
  <c r="EL84" i="8"/>
  <c r="EI84" i="8"/>
  <c r="EF84" i="8"/>
  <c r="EC84" i="8"/>
  <c r="EO83" i="8"/>
  <c r="EL83" i="8"/>
  <c r="EI83" i="8"/>
  <c r="EF83" i="8"/>
  <c r="EC83" i="8"/>
  <c r="EO82" i="8"/>
  <c r="EL82" i="8"/>
  <c r="EI82" i="8"/>
  <c r="EF82" i="8"/>
  <c r="EC82" i="8"/>
  <c r="EO81" i="8"/>
  <c r="EL81" i="8"/>
  <c r="EI81" i="8"/>
  <c r="EO69" i="8"/>
  <c r="EL69" i="8"/>
  <c r="EI69" i="8"/>
  <c r="EF69" i="8"/>
  <c r="EC69" i="8"/>
  <c r="EO68" i="8"/>
  <c r="EL68" i="8"/>
  <c r="EI68" i="8"/>
  <c r="EF68" i="8"/>
  <c r="EC68" i="8"/>
  <c r="EO67" i="8"/>
  <c r="EL67" i="8"/>
  <c r="EI67" i="8"/>
  <c r="EF67" i="8"/>
  <c r="EC67" i="8"/>
  <c r="EO66" i="8"/>
  <c r="EL66" i="8"/>
  <c r="EI66" i="8"/>
  <c r="EF66" i="8"/>
  <c r="EC66" i="8"/>
  <c r="EO65" i="8"/>
  <c r="EL65" i="8"/>
  <c r="EI65" i="8"/>
  <c r="EF65" i="8"/>
  <c r="EC65" i="8"/>
  <c r="EO64" i="8"/>
  <c r="EL64" i="8"/>
  <c r="EI64" i="8"/>
  <c r="EF64" i="8"/>
  <c r="EC64" i="8"/>
  <c r="EO63" i="8"/>
  <c r="EL63" i="8"/>
  <c r="EI63" i="8"/>
  <c r="EF63" i="8"/>
  <c r="EC63" i="8"/>
  <c r="EO62" i="8"/>
  <c r="EL62" i="8"/>
  <c r="EI62" i="8"/>
  <c r="EF62" i="8"/>
  <c r="EC62" i="8"/>
  <c r="EO61" i="8"/>
  <c r="EL61" i="8"/>
  <c r="EI61" i="8"/>
  <c r="EF61" i="8"/>
  <c r="EC61" i="8"/>
  <c r="EO60" i="8"/>
  <c r="EL60" i="8"/>
  <c r="EI60" i="8"/>
  <c r="EF60" i="8"/>
  <c r="EC60" i="8"/>
  <c r="EO59" i="8"/>
  <c r="EL59" i="8"/>
  <c r="EI59" i="8"/>
  <c r="EF59" i="8"/>
  <c r="EC59" i="8"/>
  <c r="EO58" i="8"/>
  <c r="EL58" i="8"/>
  <c r="EI58" i="8"/>
  <c r="EF58" i="8"/>
  <c r="EC58" i="8"/>
  <c r="EO57" i="8"/>
  <c r="EL57" i="8"/>
  <c r="EI57" i="8"/>
  <c r="EF57" i="8"/>
  <c r="EC57" i="8"/>
  <c r="EO56" i="8"/>
  <c r="EL56" i="8"/>
  <c r="EI56" i="8"/>
  <c r="EF56" i="8"/>
  <c r="EC56" i="8"/>
  <c r="EO55" i="8"/>
  <c r="EL55" i="8"/>
  <c r="EI55" i="8"/>
  <c r="EF55" i="8"/>
  <c r="EC55" i="8"/>
  <c r="EO54" i="8"/>
  <c r="EL54" i="8"/>
  <c r="EI54" i="8"/>
  <c r="EF54" i="8"/>
  <c r="EC54" i="8"/>
  <c r="EN84" i="8"/>
  <c r="EK84" i="8"/>
  <c r="EH84" i="8"/>
  <c r="EE84" i="8"/>
  <c r="EB84" i="8"/>
  <c r="EN83" i="8"/>
  <c r="EK83" i="8"/>
  <c r="EH83" i="8"/>
  <c r="EE83" i="8"/>
  <c r="EB83" i="8"/>
  <c r="EN82" i="8"/>
  <c r="EK82" i="8"/>
  <c r="EH82" i="8"/>
  <c r="EE82" i="8"/>
  <c r="EB82" i="8"/>
  <c r="EN81" i="8"/>
  <c r="EK81" i="8"/>
  <c r="EH81" i="8"/>
  <c r="EE81" i="8"/>
  <c r="EB81" i="8"/>
  <c r="EN80" i="8"/>
  <c r="EK80" i="8"/>
  <c r="EH80" i="8"/>
  <c r="EH79" i="8"/>
  <c r="EN78" i="8"/>
  <c r="EK78" i="8"/>
  <c r="EH78" i="8"/>
  <c r="EE78" i="8"/>
  <c r="EB78" i="8"/>
  <c r="EN77" i="8"/>
  <c r="EK77" i="8"/>
  <c r="EH77" i="8"/>
  <c r="EE77" i="8"/>
  <c r="EB77" i="8"/>
  <c r="EN76" i="8"/>
  <c r="EK76" i="8"/>
  <c r="EH76" i="8"/>
  <c r="EE76" i="8"/>
  <c r="EB76" i="8"/>
  <c r="EN75" i="8"/>
  <c r="EK75" i="8"/>
  <c r="EH75" i="8"/>
  <c r="EE75" i="8"/>
  <c r="EB75" i="8"/>
  <c r="EN74" i="8"/>
  <c r="EK74" i="8"/>
  <c r="EH74" i="8"/>
  <c r="EE74" i="8"/>
  <c r="EB74" i="8"/>
  <c r="EN73" i="8"/>
  <c r="EK73" i="8"/>
  <c r="EH73" i="8"/>
  <c r="EE73" i="8"/>
  <c r="EB73" i="8"/>
  <c r="EN72" i="8"/>
  <c r="EK72" i="8"/>
  <c r="EH72" i="8"/>
  <c r="EE72" i="8"/>
  <c r="EB72" i="8"/>
  <c r="EN71" i="8"/>
  <c r="EK71" i="8"/>
  <c r="EH71" i="8"/>
  <c r="EE71" i="8"/>
  <c r="EB71" i="8"/>
  <c r="EN70" i="8"/>
  <c r="EK70" i="8"/>
  <c r="EH70" i="8"/>
  <c r="EE70" i="8"/>
  <c r="EB70" i="8"/>
  <c r="EN69" i="8"/>
  <c r="EK69" i="8"/>
  <c r="EH69" i="8"/>
  <c r="EE69" i="8"/>
  <c r="EB69" i="8"/>
  <c r="EN68" i="8"/>
  <c r="EK68" i="8"/>
  <c r="EH68" i="8"/>
  <c r="EE68" i="8"/>
  <c r="EB68" i="8"/>
  <c r="EN67" i="8"/>
  <c r="EK67" i="8"/>
  <c r="EH67" i="8"/>
  <c r="EE67" i="8"/>
  <c r="EB67" i="8"/>
  <c r="EN66" i="8"/>
  <c r="EK66" i="8"/>
  <c r="EH66" i="8"/>
  <c r="EE66" i="8"/>
  <c r="EB66" i="8"/>
  <c r="EN65" i="8"/>
  <c r="EK65" i="8"/>
  <c r="EH65" i="8"/>
  <c r="EE65" i="8"/>
  <c r="EB65" i="8"/>
  <c r="EN64" i="8"/>
  <c r="EK64" i="8"/>
  <c r="EH64" i="8"/>
  <c r="EE64" i="8"/>
  <c r="EB64" i="8"/>
  <c r="EN63" i="8"/>
  <c r="EK63" i="8"/>
  <c r="EH63" i="8"/>
  <c r="EE63" i="8"/>
  <c r="EB63" i="8"/>
  <c r="EN62" i="8"/>
  <c r="EK62" i="8"/>
  <c r="EH62" i="8"/>
  <c r="EE62" i="8"/>
  <c r="EB62" i="8"/>
  <c r="EN61" i="8"/>
  <c r="EK61" i="8"/>
  <c r="EH61" i="8"/>
  <c r="EE61" i="8"/>
  <c r="EB61" i="8"/>
  <c r="EN60" i="8"/>
  <c r="EK60" i="8"/>
  <c r="EH60" i="8"/>
  <c r="EE60" i="8"/>
  <c r="EB60" i="8"/>
  <c r="EN59" i="8"/>
  <c r="EK59" i="8"/>
  <c r="EH59" i="8"/>
  <c r="EE59" i="8"/>
  <c r="EB59" i="8"/>
  <c r="EN58" i="8"/>
  <c r="EK58" i="8"/>
  <c r="EH58" i="8"/>
  <c r="EE58" i="8"/>
  <c r="EB58" i="8"/>
  <c r="EN57" i="8"/>
  <c r="EK57" i="8"/>
  <c r="EH57" i="8"/>
  <c r="EE57" i="8"/>
  <c r="EB57" i="8"/>
  <c r="EN56" i="8"/>
  <c r="EK56" i="8"/>
  <c r="EH56" i="8"/>
  <c r="EE56" i="8"/>
  <c r="EB56" i="8"/>
  <c r="EN55" i="8"/>
  <c r="EK55" i="8"/>
  <c r="EH55" i="8"/>
  <c r="EE55" i="8"/>
  <c r="EB55" i="8"/>
  <c r="EN54" i="8"/>
  <c r="EK54" i="8"/>
  <c r="EH54" i="8"/>
  <c r="EE54" i="8"/>
  <c r="EB54" i="8"/>
  <c r="EP98" i="8"/>
  <c r="EM98" i="8"/>
  <c r="EJ98" i="8"/>
  <c r="EG98" i="8"/>
  <c r="ED98" i="8"/>
  <c r="EA98" i="8"/>
  <c r="EP97" i="8"/>
  <c r="EM97" i="8"/>
  <c r="EJ97" i="8"/>
  <c r="EG97" i="8"/>
  <c r="ED97" i="8"/>
  <c r="EA97" i="8"/>
  <c r="EP96" i="8"/>
  <c r="EM96" i="8"/>
  <c r="EJ96" i="8"/>
  <c r="EG96" i="8"/>
  <c r="ED96" i="8"/>
  <c r="EA96" i="8"/>
  <c r="EP95" i="8"/>
  <c r="EM95" i="8"/>
  <c r="EJ95" i="8"/>
  <c r="EG95" i="8"/>
  <c r="ED95" i="8"/>
  <c r="EA95" i="8"/>
  <c r="EP94" i="8"/>
  <c r="EM94" i="8"/>
  <c r="EJ94" i="8"/>
  <c r="EG94" i="8"/>
  <c r="ED94" i="8"/>
  <c r="EA94" i="8"/>
  <c r="EP93" i="8"/>
  <c r="FK70" i="8" s="1"/>
  <c r="EM93" i="8"/>
  <c r="FJ70" i="8" s="1"/>
  <c r="EJ93" i="8"/>
  <c r="FI70" i="8" s="1"/>
  <c r="EG93" i="8"/>
  <c r="FH70" i="8" s="1"/>
  <c r="ED93" i="8"/>
  <c r="FG70" i="8" s="1"/>
  <c r="EA93" i="8"/>
  <c r="FF70" i="8" s="1"/>
  <c r="EP92" i="8"/>
  <c r="EM92" i="8"/>
  <c r="EJ92" i="8"/>
  <c r="EG92" i="8"/>
  <c r="ED92" i="8"/>
  <c r="EA92" i="8"/>
  <c r="EP91" i="8"/>
  <c r="EM91" i="8"/>
  <c r="EP78" i="8"/>
  <c r="FK64" i="8" s="1"/>
  <c r="EE80" i="8"/>
  <c r="ED80" i="8"/>
  <c r="EB80" i="8"/>
  <c r="EA80" i="8"/>
  <c r="EN79" i="8"/>
  <c r="EM79" i="8"/>
  <c r="EJ79" i="8"/>
  <c r="EK79" i="8"/>
  <c r="EE79" i="8"/>
  <c r="ED79" i="8"/>
  <c r="EA79" i="8"/>
  <c r="EB79" i="8"/>
  <c r="A7" i="12"/>
  <c r="D6" i="12"/>
  <c r="B6" i="12"/>
  <c r="EU5" i="8"/>
  <c r="EV5" i="8"/>
  <c r="EW5" i="8"/>
  <c r="EZ5" i="8"/>
  <c r="FA5" i="8"/>
  <c r="FB5" i="8"/>
  <c r="FC5" i="8"/>
  <c r="FD5" i="8"/>
  <c r="EU6" i="8"/>
  <c r="EV6" i="8"/>
  <c r="EW6" i="8"/>
  <c r="EX6" i="8"/>
  <c r="EY6" i="8"/>
  <c r="EZ6" i="8"/>
  <c r="FA6" i="8"/>
  <c r="FB6" i="8"/>
  <c r="FC6" i="8"/>
  <c r="FD6" i="8"/>
  <c r="EU7" i="8"/>
  <c r="EV7" i="8"/>
  <c r="EW7" i="8"/>
  <c r="EY7" i="8"/>
  <c r="EZ7" i="8"/>
  <c r="FA7" i="8"/>
  <c r="FC7" i="8"/>
  <c r="FD7" i="8"/>
  <c r="EU8" i="8"/>
  <c r="EV8" i="8"/>
  <c r="EW8" i="8"/>
  <c r="EX8" i="8"/>
  <c r="EY8" i="8"/>
  <c r="EZ8" i="8"/>
  <c r="FA8" i="8"/>
  <c r="FB8" i="8"/>
  <c r="FC8" i="8"/>
  <c r="FD8" i="8"/>
  <c r="EU9" i="8"/>
  <c r="EV9" i="8"/>
  <c r="EW9" i="8"/>
  <c r="EY9" i="8"/>
  <c r="EZ9" i="8"/>
  <c r="FA9" i="8"/>
  <c r="FB9" i="8"/>
  <c r="FC9" i="8"/>
  <c r="FD9" i="8"/>
  <c r="EU10" i="8"/>
  <c r="EV10" i="8"/>
  <c r="EW10" i="8"/>
  <c r="EX10" i="8"/>
  <c r="EY10" i="8"/>
  <c r="EZ10" i="8"/>
  <c r="FA10" i="8"/>
  <c r="FB10" i="8"/>
  <c r="FC10" i="8"/>
  <c r="FD10" i="8"/>
  <c r="EU11" i="8"/>
  <c r="EV11" i="8"/>
  <c r="EW11" i="8"/>
  <c r="EY11" i="8"/>
  <c r="EZ11" i="8"/>
  <c r="FB11" i="8"/>
  <c r="FC11" i="8"/>
  <c r="FD11" i="8"/>
  <c r="EU12" i="8"/>
  <c r="EV12" i="8"/>
  <c r="EW12" i="8"/>
  <c r="EY12" i="8"/>
  <c r="EZ12" i="8"/>
  <c r="FA12" i="8"/>
  <c r="FB12" i="8"/>
  <c r="FC12" i="8"/>
  <c r="FD12" i="8"/>
  <c r="EU13" i="8"/>
  <c r="EV13" i="8"/>
  <c r="EW13" i="8"/>
  <c r="EX13" i="8"/>
  <c r="EY13" i="8"/>
  <c r="EZ13" i="8"/>
  <c r="FA13" i="8"/>
  <c r="FB13" i="8"/>
  <c r="FC13" i="8"/>
  <c r="FD13" i="8"/>
  <c r="EU14" i="8"/>
  <c r="EV14" i="8"/>
  <c r="EW14" i="8"/>
  <c r="EX14" i="8"/>
  <c r="EZ14" i="8"/>
  <c r="FB14" i="8"/>
  <c r="FC14" i="8"/>
  <c r="FD14" i="8"/>
  <c r="EU15" i="8"/>
  <c r="EV15" i="8"/>
  <c r="EW15" i="8"/>
  <c r="EX15" i="8"/>
  <c r="EY15" i="8"/>
  <c r="EZ15" i="8"/>
  <c r="FA15" i="8"/>
  <c r="FB15" i="8"/>
  <c r="FC15" i="8"/>
  <c r="FD15" i="8"/>
  <c r="EU16" i="8"/>
  <c r="EV16" i="8"/>
  <c r="EW16" i="8"/>
  <c r="EX16" i="8"/>
  <c r="EY16" i="8"/>
  <c r="EZ16" i="8"/>
  <c r="FA16" i="8"/>
  <c r="FB16" i="8"/>
  <c r="FC16" i="8"/>
  <c r="FD16" i="8"/>
  <c r="EU17" i="8"/>
  <c r="EV17" i="8"/>
  <c r="EX17" i="8"/>
  <c r="EY17" i="8"/>
  <c r="EZ17" i="8"/>
  <c r="FA17" i="8"/>
  <c r="FB17" i="8"/>
  <c r="FC17" i="8"/>
  <c r="FD17" i="8"/>
  <c r="EU18" i="8"/>
  <c r="EV18" i="8"/>
  <c r="EW18" i="8"/>
  <c r="EX18" i="8"/>
  <c r="EY18" i="8"/>
  <c r="EZ18" i="8"/>
  <c r="FA18" i="8"/>
  <c r="FB18" i="8"/>
  <c r="FC18" i="8"/>
  <c r="FD18" i="8"/>
  <c r="EU19" i="8"/>
  <c r="EV19" i="8"/>
  <c r="EX19" i="8"/>
  <c r="EY19" i="8"/>
  <c r="EZ19" i="8"/>
  <c r="FA19" i="8"/>
  <c r="FB19" i="8"/>
  <c r="FC19" i="8"/>
  <c r="FD19" i="8"/>
  <c r="EU20" i="8"/>
  <c r="EV20" i="8"/>
  <c r="EY20" i="8"/>
  <c r="FA20" i="8"/>
  <c r="FB20" i="8"/>
  <c r="FC20" i="8"/>
  <c r="FD20" i="8"/>
  <c r="FF5" i="8"/>
  <c r="FF6" i="8"/>
  <c r="FF7" i="8"/>
  <c r="FF8" i="8"/>
  <c r="FF9" i="8"/>
  <c r="FF10" i="8"/>
  <c r="FF11" i="8"/>
  <c r="FF12" i="8"/>
  <c r="FF13" i="8"/>
  <c r="FF14" i="8"/>
  <c r="FF16" i="8"/>
  <c r="FF17" i="8"/>
  <c r="FF18" i="8"/>
  <c r="FF19" i="8"/>
  <c r="FF20" i="8"/>
  <c r="FG5" i="8"/>
  <c r="FG6" i="8"/>
  <c r="FG7" i="8"/>
  <c r="FG8" i="8"/>
  <c r="FG9" i="8"/>
  <c r="FG10" i="8"/>
  <c r="FG11" i="8"/>
  <c r="FG12" i="8"/>
  <c r="FG13" i="8"/>
  <c r="FG14" i="8"/>
  <c r="FG15" i="8"/>
  <c r="FG16" i="8"/>
  <c r="FG17" i="8"/>
  <c r="FG18" i="8"/>
  <c r="FG19" i="8"/>
  <c r="FG20" i="8"/>
  <c r="FH6" i="8"/>
  <c r="FH9" i="8"/>
  <c r="FH12" i="8"/>
  <c r="FH15" i="8"/>
  <c r="FH18" i="8"/>
  <c r="FI6" i="8"/>
  <c r="FI9" i="8"/>
  <c r="FI12" i="8"/>
  <c r="FI15" i="8"/>
  <c r="FI18" i="8"/>
  <c r="FK6" i="8"/>
  <c r="FK9" i="8"/>
  <c r="FK12" i="8"/>
  <c r="FK15" i="8"/>
  <c r="FK18" i="8"/>
  <c r="FH5" i="8"/>
  <c r="FH8" i="8"/>
  <c r="FH11" i="8"/>
  <c r="FH14" i="8"/>
  <c r="FH17" i="8"/>
  <c r="FH20" i="8"/>
  <c r="FI5" i="8"/>
  <c r="FJ5" i="8"/>
  <c r="FK5" i="8"/>
  <c r="FJ6" i="8"/>
  <c r="FH13" i="8"/>
  <c r="FJ15" i="8"/>
  <c r="FI11" i="8"/>
  <c r="FI13" i="8"/>
  <c r="FI20" i="8"/>
  <c r="FJ11" i="8"/>
  <c r="FJ13" i="8"/>
  <c r="FJ20" i="8"/>
  <c r="FK14" i="8"/>
  <c r="FH10" i="8"/>
  <c r="FK11" i="8"/>
  <c r="FK13" i="8"/>
  <c r="FK20" i="8"/>
  <c r="FH7" i="8"/>
  <c r="FJ9" i="8"/>
  <c r="FH16" i="8"/>
  <c r="FJ18" i="8"/>
  <c r="FI7" i="8"/>
  <c r="FI14" i="8"/>
  <c r="FI16" i="8"/>
  <c r="FJ12" i="8"/>
  <c r="FK7" i="8"/>
  <c r="FJ7" i="8"/>
  <c r="FJ14" i="8"/>
  <c r="FJ16" i="8"/>
  <c r="FK16" i="8"/>
  <c r="FI8" i="8"/>
  <c r="FI17" i="8"/>
  <c r="FJ8" i="8"/>
  <c r="FJ17" i="8"/>
  <c r="FK8" i="8"/>
  <c r="FK17" i="8"/>
  <c r="FI10" i="8"/>
  <c r="FH19" i="8"/>
  <c r="FJ10" i="8"/>
  <c r="FI19" i="8"/>
  <c r="FK10" i="8"/>
  <c r="FJ19" i="8"/>
  <c r="FK19" i="8"/>
  <c r="FB7" i="8" l="1"/>
  <c r="EZ20" i="8"/>
  <c r="EX7" i="8"/>
  <c r="EX20" i="8"/>
  <c r="A8" i="12"/>
  <c r="D7" i="12"/>
  <c r="B7" i="12"/>
  <c r="FL61" i="8"/>
  <c r="FL56" i="8"/>
  <c r="FL60" i="8"/>
  <c r="FL59" i="8"/>
  <c r="FL58" i="8"/>
  <c r="FL54" i="8"/>
  <c r="FL67" i="8"/>
  <c r="FL65" i="8"/>
  <c r="FL63" i="8"/>
  <c r="FL62" i="8"/>
  <c r="FL68" i="8"/>
  <c r="FL66" i="8"/>
  <c r="FL55" i="8"/>
  <c r="FL57" i="8"/>
  <c r="FL70" i="8"/>
  <c r="FL64" i="8"/>
  <c r="FL69" i="8"/>
  <c r="EW4" i="8"/>
  <c r="EX4" i="8"/>
  <c r="EY4" i="8"/>
  <c r="EZ4" i="8"/>
  <c r="FA4" i="8"/>
  <c r="FB4" i="8"/>
  <c r="FC4" i="8"/>
  <c r="FD4" i="8"/>
  <c r="EV4" i="8"/>
  <c r="EU4" i="8"/>
  <c r="FE17" i="8"/>
  <c r="FE11" i="8"/>
  <c r="FE7" i="8"/>
  <c r="FE16" i="8"/>
  <c r="FE10" i="8"/>
  <c r="FL20" i="8"/>
  <c r="FL8" i="8"/>
  <c r="FL19" i="8"/>
  <c r="FL7" i="8"/>
  <c r="FE12" i="8"/>
  <c r="FL18" i="8"/>
  <c r="FL6" i="8"/>
  <c r="FE18" i="8"/>
  <c r="FE15" i="8"/>
  <c r="FE5" i="8"/>
  <c r="FL17" i="8"/>
  <c r="FL5" i="8"/>
  <c r="FE6" i="8"/>
  <c r="FL16" i="8"/>
  <c r="FE19" i="8"/>
  <c r="FE20" i="8"/>
  <c r="FL14" i="8"/>
  <c r="FE14" i="8"/>
  <c r="FE8" i="8"/>
  <c r="FL13" i="8"/>
  <c r="FL12" i="8"/>
  <c r="FL15" i="8"/>
  <c r="FE9" i="8"/>
  <c r="FL11" i="8"/>
  <c r="FL10" i="8"/>
  <c r="FE13" i="8"/>
  <c r="FL9" i="8"/>
  <c r="FG4" i="8"/>
  <c r="FF4" i="8"/>
  <c r="FJ4" i="8"/>
  <c r="FH4" i="8"/>
  <c r="FK4" i="8"/>
  <c r="FI4" i="8"/>
  <c r="B8" i="12"/>
  <c r="A9" i="12"/>
  <c r="D8" i="12"/>
  <c r="FL4" i="8" l="1"/>
  <c r="FE4" i="8"/>
  <c r="D9" i="12"/>
  <c r="B9" i="12"/>
  <c r="A10" i="12"/>
  <c r="V14" i="9"/>
  <c r="V13" i="9"/>
  <c r="V15" i="9"/>
  <c r="V6" i="9"/>
  <c r="A11" i="12" l="1"/>
  <c r="D10" i="12"/>
  <c r="B10" i="12"/>
  <c r="V18" i="9"/>
  <c r="V21" i="9"/>
  <c r="V22" i="9"/>
  <c r="V17" i="9"/>
  <c r="V24" i="9"/>
  <c r="V28" i="9"/>
  <c r="V20" i="9"/>
  <c r="V26" i="9"/>
  <c r="V27" i="9"/>
  <c r="V16" i="9"/>
  <c r="V25" i="9"/>
  <c r="V23" i="9"/>
  <c r="V7" i="9"/>
  <c r="V8" i="9" s="1"/>
  <c r="V9" i="9" s="1"/>
  <c r="V10" i="9" s="1"/>
  <c r="V11" i="9" s="1"/>
  <c r="V12" i="9" s="1"/>
  <c r="V19" i="9"/>
  <c r="A12" i="12" l="1"/>
  <c r="B11" i="12"/>
  <c r="D11" i="12"/>
  <c r="B12" i="12" l="1"/>
  <c r="A13" i="12"/>
  <c r="D12" i="12"/>
  <c r="X86" i="8"/>
  <c r="D80" i="6"/>
  <c r="E80" i="6" s="1"/>
  <c r="F86" i="8"/>
  <c r="AG86" i="8"/>
  <c r="R86" i="8"/>
  <c r="U86" i="8"/>
  <c r="AD86" i="8"/>
  <c r="L86" i="8"/>
  <c r="I86" i="8"/>
  <c r="O86" i="8"/>
  <c r="AA86" i="8"/>
  <c r="AG91" i="8"/>
  <c r="AD91" i="8"/>
  <c r="O91" i="8"/>
  <c r="U91" i="8"/>
  <c r="L91" i="8"/>
  <c r="I91" i="8"/>
  <c r="AA91" i="8"/>
  <c r="F91" i="8"/>
  <c r="D85" i="6"/>
  <c r="E85" i="6" s="1"/>
  <c r="R91" i="8"/>
  <c r="X91" i="8"/>
  <c r="AD73" i="8"/>
  <c r="U73" i="8"/>
  <c r="X73" i="8"/>
  <c r="L73" i="8"/>
  <c r="O73" i="8"/>
  <c r="D67" i="6"/>
  <c r="E67" i="6" s="1"/>
  <c r="F73" i="8"/>
  <c r="I73" i="8"/>
  <c r="AG73" i="8"/>
  <c r="R73" i="8"/>
  <c r="AA73" i="8"/>
  <c r="F83" i="8"/>
  <c r="L83" i="8"/>
  <c r="U83" i="8"/>
  <c r="O83" i="8"/>
  <c r="AD83" i="8"/>
  <c r="AA83" i="8"/>
  <c r="D77" i="6"/>
  <c r="E77" i="6" s="1"/>
  <c r="X83" i="8"/>
  <c r="R83" i="8"/>
  <c r="AG83" i="8"/>
  <c r="I83" i="8"/>
  <c r="L93" i="8"/>
  <c r="I93" i="8"/>
  <c r="F93" i="8"/>
  <c r="D87" i="6"/>
  <c r="E87" i="6" s="1"/>
  <c r="AG93" i="8"/>
  <c r="U93" i="8"/>
  <c r="AD93" i="8"/>
  <c r="AA93" i="8"/>
  <c r="X93" i="8"/>
  <c r="R93" i="8"/>
  <c r="O93" i="8"/>
  <c r="O80" i="8"/>
  <c r="L80" i="8"/>
  <c r="R80" i="8"/>
  <c r="D74" i="6"/>
  <c r="E74" i="6" s="1"/>
  <c r="F80" i="8"/>
  <c r="AG80" i="8"/>
  <c r="AD80" i="8"/>
  <c r="AA80" i="8"/>
  <c r="U80" i="8"/>
  <c r="X80" i="8"/>
  <c r="I80" i="8"/>
  <c r="O67" i="8"/>
  <c r="X67" i="8"/>
  <c r="U67" i="8"/>
  <c r="R67" i="8"/>
  <c r="L67" i="8"/>
  <c r="I67" i="8"/>
  <c r="F67" i="8"/>
  <c r="AD67" i="8"/>
  <c r="AA67" i="8"/>
  <c r="D61" i="6"/>
  <c r="E61" i="6" s="1"/>
  <c r="AG67" i="8"/>
  <c r="BK73" i="8"/>
  <c r="BT73" i="8"/>
  <c r="BE73" i="8"/>
  <c r="BQ73" i="8"/>
  <c r="CC73" i="8"/>
  <c r="BH73" i="8"/>
  <c r="I67" i="6"/>
  <c r="J67" i="6" s="1"/>
  <c r="BZ73" i="8"/>
  <c r="BW73" i="8"/>
  <c r="BN73" i="8"/>
  <c r="BB73" i="8"/>
  <c r="AG61" i="8"/>
  <c r="R61" i="8"/>
  <c r="D55" i="6"/>
  <c r="E55" i="6" s="1"/>
  <c r="X61" i="8"/>
  <c r="U61" i="8"/>
  <c r="L61" i="8"/>
  <c r="O61" i="8"/>
  <c r="I61" i="8"/>
  <c r="F61" i="8"/>
  <c r="AD61" i="8"/>
  <c r="AA61" i="8"/>
  <c r="AD98" i="8"/>
  <c r="L98" i="8"/>
  <c r="D92" i="6"/>
  <c r="E92" i="6" s="1"/>
  <c r="O98" i="8"/>
  <c r="X98" i="8"/>
  <c r="AG98" i="8"/>
  <c r="R98" i="8"/>
  <c r="U98" i="8"/>
  <c r="F98" i="8"/>
  <c r="I98" i="8"/>
  <c r="AA98" i="8"/>
  <c r="BZ75" i="8"/>
  <c r="BK75" i="8"/>
  <c r="BW75" i="8"/>
  <c r="BH75" i="8"/>
  <c r="BT75" i="8"/>
  <c r="BE75" i="8"/>
  <c r="BQ75" i="8"/>
  <c r="I69" i="6"/>
  <c r="J69" i="6" s="1"/>
  <c r="CC75" i="8"/>
  <c r="BB75" i="8"/>
  <c r="BN75" i="8"/>
  <c r="F87" i="8"/>
  <c r="I87" i="8"/>
  <c r="AD87" i="8"/>
  <c r="D81" i="6"/>
  <c r="E81" i="6" s="1"/>
  <c r="L87" i="8"/>
  <c r="X87" i="8"/>
  <c r="AA87" i="8"/>
  <c r="AG87" i="8"/>
  <c r="O87" i="8"/>
  <c r="U87" i="8"/>
  <c r="R87" i="8"/>
  <c r="AA82" i="8"/>
  <c r="X82" i="8"/>
  <c r="AG82" i="8"/>
  <c r="AD82" i="8"/>
  <c r="U82" i="8"/>
  <c r="R82" i="8"/>
  <c r="O82" i="8"/>
  <c r="L82" i="8"/>
  <c r="D76" i="6"/>
  <c r="E76" i="6" s="1"/>
  <c r="I82" i="8"/>
  <c r="F82" i="8"/>
  <c r="U81" i="8"/>
  <c r="R81" i="8"/>
  <c r="O81" i="8"/>
  <c r="L81" i="8"/>
  <c r="I81" i="8"/>
  <c r="F81" i="8"/>
  <c r="D75" i="6"/>
  <c r="E75" i="6" s="1"/>
  <c r="AA81" i="8"/>
  <c r="X81" i="8"/>
  <c r="AG81" i="8"/>
  <c r="AD81" i="8"/>
  <c r="U68" i="8"/>
  <c r="AG68" i="8"/>
  <c r="AD68" i="8"/>
  <c r="AA68" i="8"/>
  <c r="X68" i="8"/>
  <c r="R68" i="8"/>
  <c r="F68" i="8"/>
  <c r="O68" i="8"/>
  <c r="L68" i="8"/>
  <c r="D62" i="6"/>
  <c r="E62" i="6" s="1"/>
  <c r="I68" i="8"/>
  <c r="R55" i="8"/>
  <c r="O55" i="8"/>
  <c r="L55" i="8"/>
  <c r="U55" i="8"/>
  <c r="I55" i="8"/>
  <c r="F55" i="8"/>
  <c r="X55" i="8"/>
  <c r="D49" i="6"/>
  <c r="E49" i="6" s="1"/>
  <c r="AG55" i="8"/>
  <c r="AD55" i="8"/>
  <c r="AA55" i="8"/>
  <c r="BZ94" i="8"/>
  <c r="BN94" i="8"/>
  <c r="BB94" i="8"/>
  <c r="BW94" i="8"/>
  <c r="BK94" i="8"/>
  <c r="BH94" i="8"/>
  <c r="BT94" i="8"/>
  <c r="I88" i="6"/>
  <c r="J88" i="6" s="1"/>
  <c r="BE94" i="8"/>
  <c r="BQ94" i="8"/>
  <c r="CC94" i="8"/>
  <c r="BZ86" i="8"/>
  <c r="BN86" i="8"/>
  <c r="BB86" i="8"/>
  <c r="BW86" i="8"/>
  <c r="BK86" i="8"/>
  <c r="BT86" i="8"/>
  <c r="BH86" i="8"/>
  <c r="CC86" i="8"/>
  <c r="I80" i="6"/>
  <c r="J80" i="6" s="1"/>
  <c r="BE86" i="8"/>
  <c r="BQ86" i="8"/>
  <c r="CC59" i="8"/>
  <c r="BQ59" i="8"/>
  <c r="BE59" i="8"/>
  <c r="BZ59" i="8"/>
  <c r="BN59" i="8"/>
  <c r="BB59" i="8"/>
  <c r="BW59" i="8"/>
  <c r="BH59" i="8"/>
  <c r="I53" i="6"/>
  <c r="J53" i="6" s="1"/>
  <c r="BT59" i="8"/>
  <c r="BK59" i="8"/>
  <c r="F77" i="8"/>
  <c r="I77" i="8"/>
  <c r="L77" i="8"/>
  <c r="O77" i="8"/>
  <c r="X77" i="8"/>
  <c r="AD77" i="8"/>
  <c r="AG77" i="8"/>
  <c r="R77" i="8"/>
  <c r="D71" i="6"/>
  <c r="E71" i="6" s="1"/>
  <c r="AA77" i="8"/>
  <c r="U77" i="8"/>
  <c r="CC57" i="8"/>
  <c r="BQ57" i="8"/>
  <c r="BE57" i="8"/>
  <c r="BZ57" i="8"/>
  <c r="BN57" i="8"/>
  <c r="BB57" i="8"/>
  <c r="BK57" i="8"/>
  <c r="I51" i="6"/>
  <c r="J51" i="6" s="1"/>
  <c r="BW57" i="8"/>
  <c r="BH57" i="8"/>
  <c r="BT57" i="8"/>
  <c r="AA69" i="8"/>
  <c r="AG69" i="8"/>
  <c r="O69" i="8"/>
  <c r="L69" i="8"/>
  <c r="F69" i="8"/>
  <c r="AD69" i="8"/>
  <c r="X69" i="8"/>
  <c r="U69" i="8"/>
  <c r="D63" i="6"/>
  <c r="E63" i="6" s="1"/>
  <c r="R69" i="8"/>
  <c r="I69" i="8"/>
  <c r="BT68" i="8"/>
  <c r="BH68" i="8"/>
  <c r="CC68" i="8"/>
  <c r="BQ68" i="8"/>
  <c r="BE68" i="8"/>
  <c r="BZ68" i="8"/>
  <c r="BK68" i="8"/>
  <c r="BW68" i="8"/>
  <c r="BN68" i="8"/>
  <c r="I62" i="6"/>
  <c r="J62" i="6" s="1"/>
  <c r="BB68" i="8"/>
  <c r="O88" i="8"/>
  <c r="I88" i="8"/>
  <c r="F88" i="8"/>
  <c r="L88" i="8"/>
  <c r="U88" i="8"/>
  <c r="D82" i="6"/>
  <c r="E82" i="6" s="1"/>
  <c r="AD88" i="8"/>
  <c r="AG88" i="8"/>
  <c r="AA88" i="8"/>
  <c r="X88" i="8"/>
  <c r="R88" i="8"/>
  <c r="AG84" i="8"/>
  <c r="X84" i="8"/>
  <c r="L84" i="8"/>
  <c r="U84" i="8"/>
  <c r="D78" i="6"/>
  <c r="E78" i="6" s="1"/>
  <c r="AD84" i="8"/>
  <c r="R84" i="8"/>
  <c r="F84" i="8"/>
  <c r="O84" i="8"/>
  <c r="AA84" i="8"/>
  <c r="I84" i="8"/>
  <c r="BZ63" i="8"/>
  <c r="CC63" i="8"/>
  <c r="BK63" i="8"/>
  <c r="BW63" i="8"/>
  <c r="BH63" i="8"/>
  <c r="BE63" i="8"/>
  <c r="BQ63" i="8"/>
  <c r="I57" i="6"/>
  <c r="J57" i="6" s="1"/>
  <c r="BT63" i="8"/>
  <c r="BN63" i="8"/>
  <c r="BB63" i="8"/>
  <c r="I59" i="8"/>
  <c r="AD59" i="8"/>
  <c r="AG59" i="8"/>
  <c r="L59" i="8"/>
  <c r="F59" i="8"/>
  <c r="X59" i="8"/>
  <c r="D53" i="6"/>
  <c r="E53" i="6" s="1"/>
  <c r="AA59" i="8"/>
  <c r="R59" i="8"/>
  <c r="U59" i="8"/>
  <c r="O59" i="8"/>
  <c r="L96" i="8"/>
  <c r="D90" i="6"/>
  <c r="E90" i="6" s="1"/>
  <c r="X96" i="8"/>
  <c r="U96" i="8"/>
  <c r="R96" i="8"/>
  <c r="O96" i="8"/>
  <c r="F96" i="8"/>
  <c r="AA96" i="8"/>
  <c r="AG96" i="8"/>
  <c r="AD96" i="8"/>
  <c r="I96" i="8"/>
  <c r="AG63" i="8"/>
  <c r="U63" i="8"/>
  <c r="AD63" i="8"/>
  <c r="L63" i="8"/>
  <c r="F63" i="8"/>
  <c r="O63" i="8"/>
  <c r="D57" i="6"/>
  <c r="E57" i="6" s="1"/>
  <c r="X63" i="8"/>
  <c r="AA63" i="8"/>
  <c r="R63" i="8"/>
  <c r="I63" i="8"/>
  <c r="F58" i="8"/>
  <c r="L58" i="8"/>
  <c r="R58" i="8"/>
  <c r="AG58" i="8"/>
  <c r="AD58" i="8"/>
  <c r="AA58" i="8"/>
  <c r="X58" i="8"/>
  <c r="D52" i="6"/>
  <c r="E52" i="6" s="1"/>
  <c r="U58" i="8"/>
  <c r="I58" i="8"/>
  <c r="O58" i="8"/>
  <c r="AG57" i="8"/>
  <c r="AD57" i="8"/>
  <c r="AA57" i="8"/>
  <c r="X57" i="8"/>
  <c r="U57" i="8"/>
  <c r="R57" i="8"/>
  <c r="I57" i="8"/>
  <c r="O57" i="8"/>
  <c r="L57" i="8"/>
  <c r="D51" i="6"/>
  <c r="E51" i="6" s="1"/>
  <c r="F57" i="8"/>
  <c r="BK89" i="8"/>
  <c r="BE89" i="8"/>
  <c r="BQ89" i="8"/>
  <c r="CC89" i="8"/>
  <c r="I83" i="6"/>
  <c r="J83" i="6" s="1"/>
  <c r="BB89" i="8"/>
  <c r="BH89" i="8"/>
  <c r="BN89" i="8"/>
  <c r="BT89" i="8"/>
  <c r="BZ89" i="8"/>
  <c r="BW89" i="8"/>
  <c r="BQ76" i="8"/>
  <c r="BK76" i="8"/>
  <c r="BW76" i="8"/>
  <c r="CC76" i="8"/>
  <c r="BH76" i="8"/>
  <c r="I70" i="6"/>
  <c r="J70" i="6" s="1"/>
  <c r="BT76" i="8"/>
  <c r="BE76" i="8"/>
  <c r="BB76" i="8"/>
  <c r="BN76" i="8"/>
  <c r="BZ76" i="8"/>
  <c r="I76" i="8"/>
  <c r="F76" i="8"/>
  <c r="AD76" i="8"/>
  <c r="AG76" i="8"/>
  <c r="L76" i="8"/>
  <c r="X76" i="8"/>
  <c r="U76" i="8"/>
  <c r="O76" i="8"/>
  <c r="AA76" i="8"/>
  <c r="R76" i="8"/>
  <c r="D70" i="6"/>
  <c r="E70" i="6" s="1"/>
  <c r="BZ69" i="8"/>
  <c r="BN69" i="8"/>
  <c r="BB69" i="8"/>
  <c r="BW69" i="8"/>
  <c r="BK69" i="8"/>
  <c r="BH69" i="8"/>
  <c r="I63" i="6"/>
  <c r="J63" i="6" s="1"/>
  <c r="BT69" i="8"/>
  <c r="BE69" i="8"/>
  <c r="BQ69" i="8"/>
  <c r="CC69" i="8"/>
  <c r="BW81" i="8"/>
  <c r="BK81" i="8"/>
  <c r="BT81" i="8"/>
  <c r="BH81" i="8"/>
  <c r="BZ81" i="8"/>
  <c r="BN81" i="8"/>
  <c r="BE81" i="8"/>
  <c r="BQ81" i="8"/>
  <c r="I75" i="6"/>
  <c r="J75" i="6" s="1"/>
  <c r="BB81" i="8"/>
  <c r="CC81" i="8"/>
  <c r="AG85" i="8"/>
  <c r="D79" i="6"/>
  <c r="E79" i="6" s="1"/>
  <c r="U85" i="8"/>
  <c r="L85" i="8"/>
  <c r="O85" i="8"/>
  <c r="X85" i="8"/>
  <c r="F85" i="8"/>
  <c r="R85" i="8"/>
  <c r="I85" i="8"/>
  <c r="AA85" i="8"/>
  <c r="AD85" i="8"/>
  <c r="CC82" i="8"/>
  <c r="BQ82" i="8"/>
  <c r="BE82" i="8"/>
  <c r="BZ82" i="8"/>
  <c r="BN82" i="8"/>
  <c r="BB82" i="8"/>
  <c r="BK82" i="8"/>
  <c r="BW82" i="8"/>
  <c r="BH82" i="8"/>
  <c r="BT82" i="8"/>
  <c r="I76" i="6"/>
  <c r="J76" i="6" s="1"/>
  <c r="AG74" i="8"/>
  <c r="I74" i="8"/>
  <c r="R74" i="8"/>
  <c r="U74" i="8"/>
  <c r="L74" i="8"/>
  <c r="D68" i="6"/>
  <c r="E68" i="6" s="1"/>
  <c r="X74" i="8"/>
  <c r="O74" i="8"/>
  <c r="AA74" i="8"/>
  <c r="AD74" i="8"/>
  <c r="F74" i="8"/>
  <c r="I90" i="6"/>
  <c r="J90" i="6" s="1"/>
  <c r="BQ96" i="8"/>
  <c r="CC96" i="8"/>
  <c r="BB96" i="8"/>
  <c r="BN96" i="8"/>
  <c r="BZ96" i="8"/>
  <c r="BK96" i="8"/>
  <c r="BW96" i="8"/>
  <c r="BE96" i="8"/>
  <c r="BT96" i="8"/>
  <c r="BH96" i="8"/>
  <c r="BT91" i="8"/>
  <c r="BH91" i="8"/>
  <c r="CC91" i="8"/>
  <c r="BQ91" i="8"/>
  <c r="BE91" i="8"/>
  <c r="I85" i="6"/>
  <c r="J85" i="6" s="1"/>
  <c r="BZ91" i="8"/>
  <c r="BK91" i="8"/>
  <c r="BW91" i="8"/>
  <c r="BN91" i="8"/>
  <c r="BB91" i="8"/>
  <c r="BQ90" i="8"/>
  <c r="BK90" i="8"/>
  <c r="BW90" i="8"/>
  <c r="BE90" i="8"/>
  <c r="CC90" i="8"/>
  <c r="I84" i="6"/>
  <c r="J84" i="6" s="1"/>
  <c r="BB90" i="8"/>
  <c r="BH90" i="8"/>
  <c r="BN90" i="8"/>
  <c r="BT90" i="8"/>
  <c r="BZ90" i="8"/>
  <c r="BW77" i="8"/>
  <c r="CC77" i="8"/>
  <c r="BE77" i="8"/>
  <c r="BQ77" i="8"/>
  <c r="BT77" i="8"/>
  <c r="BK77" i="8"/>
  <c r="I71" i="6"/>
  <c r="J71" i="6" s="1"/>
  <c r="BB77" i="8"/>
  <c r="BN77" i="8"/>
  <c r="BZ77" i="8"/>
  <c r="BH77" i="8"/>
  <c r="CC64" i="8"/>
  <c r="BK64" i="8"/>
  <c r="BW64" i="8"/>
  <c r="BB64" i="8"/>
  <c r="BN64" i="8"/>
  <c r="BH64" i="8"/>
  <c r="BZ64" i="8"/>
  <c r="BT64" i="8"/>
  <c r="I58" i="6"/>
  <c r="J58" i="6" s="1"/>
  <c r="BQ64" i="8"/>
  <c r="BE64" i="8"/>
  <c r="BW56" i="8"/>
  <c r="BK56" i="8"/>
  <c r="BT56" i="8"/>
  <c r="BH56" i="8"/>
  <c r="BZ56" i="8"/>
  <c r="I50" i="6"/>
  <c r="J50" i="6" s="1"/>
  <c r="CC56" i="8"/>
  <c r="BE56" i="8"/>
  <c r="BQ56" i="8"/>
  <c r="BN56" i="8"/>
  <c r="BB56" i="8"/>
  <c r="U95" i="8"/>
  <c r="R95" i="8"/>
  <c r="AG95" i="8"/>
  <c r="O95" i="8"/>
  <c r="F95" i="8"/>
  <c r="L95" i="8"/>
  <c r="I95" i="8"/>
  <c r="D89" i="6"/>
  <c r="E89" i="6" s="1"/>
  <c r="AA95" i="8"/>
  <c r="X95" i="8"/>
  <c r="AD95" i="8"/>
  <c r="F92" i="8"/>
  <c r="AD92" i="8"/>
  <c r="AA92" i="8"/>
  <c r="X92" i="8"/>
  <c r="U92" i="8"/>
  <c r="R92" i="8"/>
  <c r="O92" i="8"/>
  <c r="L92" i="8"/>
  <c r="D86" i="6"/>
  <c r="E86" i="6" s="1"/>
  <c r="I92" i="8"/>
  <c r="AG92" i="8"/>
  <c r="BZ87" i="8"/>
  <c r="BH87" i="8"/>
  <c r="BT87" i="8"/>
  <c r="BE87" i="8"/>
  <c r="BQ87" i="8"/>
  <c r="CC87" i="8"/>
  <c r="BK87" i="8"/>
  <c r="I81" i="6"/>
  <c r="J81" i="6" s="1"/>
  <c r="BW87" i="8"/>
  <c r="BB87" i="8"/>
  <c r="BN87" i="8"/>
  <c r="BZ92" i="8"/>
  <c r="BN92" i="8"/>
  <c r="BB92" i="8"/>
  <c r="BW92" i="8"/>
  <c r="BK92" i="8"/>
  <c r="I86" i="6"/>
  <c r="J86" i="6" s="1"/>
  <c r="BH92" i="8"/>
  <c r="BT92" i="8"/>
  <c r="BE92" i="8"/>
  <c r="BQ92" i="8"/>
  <c r="CC92" i="8"/>
  <c r="L90" i="8"/>
  <c r="R90" i="8"/>
  <c r="AA90" i="8"/>
  <c r="O90" i="8"/>
  <c r="U90" i="8"/>
  <c r="D84" i="6"/>
  <c r="E84" i="6" s="1"/>
  <c r="AD90" i="8"/>
  <c r="F90" i="8"/>
  <c r="I90" i="8"/>
  <c r="X90" i="8"/>
  <c r="AG90" i="8"/>
  <c r="I78" i="6"/>
  <c r="J78" i="6" s="1"/>
  <c r="BE84" i="8"/>
  <c r="BQ84" i="8"/>
  <c r="CC84" i="8"/>
  <c r="BB84" i="8"/>
  <c r="BN84" i="8"/>
  <c r="BZ84" i="8"/>
  <c r="BW84" i="8"/>
  <c r="BK84" i="8"/>
  <c r="BH84" i="8"/>
  <c r="BT84" i="8"/>
  <c r="BW79" i="8"/>
  <c r="BK79" i="8"/>
  <c r="BT79" i="8"/>
  <c r="BH79" i="8"/>
  <c r="CC79" i="8"/>
  <c r="BN79" i="8"/>
  <c r="BQ79" i="8"/>
  <c r="BZ79" i="8"/>
  <c r="I73" i="6"/>
  <c r="J73" i="6" s="1"/>
  <c r="BE79" i="8"/>
  <c r="BB79" i="8"/>
  <c r="CC78" i="8"/>
  <c r="BK78" i="8"/>
  <c r="BW78" i="8"/>
  <c r="BB78" i="8"/>
  <c r="BE78" i="8"/>
  <c r="BN78" i="8"/>
  <c r="BZ78" i="8"/>
  <c r="I72" i="6"/>
  <c r="J72" i="6" s="1"/>
  <c r="BH78" i="8"/>
  <c r="BT78" i="8"/>
  <c r="BQ78" i="8"/>
  <c r="BW65" i="8"/>
  <c r="BQ65" i="8"/>
  <c r="CC65" i="8"/>
  <c r="BE65" i="8"/>
  <c r="I59" i="6"/>
  <c r="J59" i="6" s="1"/>
  <c r="BH65" i="8"/>
  <c r="BB65" i="8"/>
  <c r="BT65" i="8"/>
  <c r="BN65" i="8"/>
  <c r="BZ65" i="8"/>
  <c r="BK65" i="8"/>
  <c r="O66" i="8"/>
  <c r="U66" i="8"/>
  <c r="X66" i="8"/>
  <c r="R66" i="8"/>
  <c r="L66" i="8"/>
  <c r="D60" i="6"/>
  <c r="E60" i="6" s="1"/>
  <c r="F66" i="8"/>
  <c r="I66" i="8"/>
  <c r="AA66" i="8"/>
  <c r="AD66" i="8"/>
  <c r="AG66" i="8"/>
  <c r="BT62" i="8"/>
  <c r="BH62" i="8"/>
  <c r="CC62" i="8"/>
  <c r="BQ62" i="8"/>
  <c r="BE62" i="8"/>
  <c r="BZ62" i="8"/>
  <c r="BN62" i="8"/>
  <c r="BB62" i="8"/>
  <c r="BK62" i="8"/>
  <c r="I56" i="6"/>
  <c r="J56" i="6" s="1"/>
  <c r="BW62" i="8"/>
  <c r="R94" i="8"/>
  <c r="O94" i="8"/>
  <c r="L94" i="8"/>
  <c r="X94" i="8"/>
  <c r="D88" i="6"/>
  <c r="E88" i="6" s="1"/>
  <c r="U94" i="8"/>
  <c r="I94" i="8"/>
  <c r="F94" i="8"/>
  <c r="AD94" i="8"/>
  <c r="AA94" i="8"/>
  <c r="AG94" i="8"/>
  <c r="AD75" i="8"/>
  <c r="X75" i="8"/>
  <c r="AA75" i="8"/>
  <c r="R75" i="8"/>
  <c r="L75" i="8"/>
  <c r="AG75" i="8"/>
  <c r="U75" i="8"/>
  <c r="D69" i="6"/>
  <c r="E69" i="6" s="1"/>
  <c r="I75" i="8"/>
  <c r="F75" i="8"/>
  <c r="O75" i="8"/>
  <c r="AA56" i="8"/>
  <c r="X56" i="8"/>
  <c r="U56" i="8"/>
  <c r="R56" i="8"/>
  <c r="AG56" i="8"/>
  <c r="O56" i="8"/>
  <c r="L56" i="8"/>
  <c r="AD56" i="8"/>
  <c r="I56" i="8"/>
  <c r="F56" i="8"/>
  <c r="D50" i="6"/>
  <c r="E50" i="6" s="1"/>
  <c r="BZ71" i="8"/>
  <c r="BN71" i="8"/>
  <c r="BB71" i="8"/>
  <c r="BW71" i="8"/>
  <c r="BK71" i="8"/>
  <c r="BH71" i="8"/>
  <c r="BT71" i="8"/>
  <c r="I65" i="6"/>
  <c r="J65" i="6" s="1"/>
  <c r="BE71" i="8"/>
  <c r="BQ71" i="8"/>
  <c r="CC71" i="8"/>
  <c r="BW61" i="8"/>
  <c r="BH61" i="8"/>
  <c r="BT61" i="8"/>
  <c r="BE61" i="8"/>
  <c r="BQ61" i="8"/>
  <c r="CC61" i="8"/>
  <c r="I55" i="6"/>
  <c r="J55" i="6" s="1"/>
  <c r="BK61" i="8"/>
  <c r="BB61" i="8"/>
  <c r="BN61" i="8"/>
  <c r="BZ61" i="8"/>
  <c r="O71" i="8"/>
  <c r="D65" i="6"/>
  <c r="E65" i="6" s="1"/>
  <c r="AG71" i="8"/>
  <c r="AD71" i="8"/>
  <c r="AA71" i="8"/>
  <c r="X71" i="8"/>
  <c r="U71" i="8"/>
  <c r="F71" i="8"/>
  <c r="R71" i="8"/>
  <c r="L71" i="8"/>
  <c r="I71" i="8"/>
  <c r="CC80" i="8"/>
  <c r="BQ80" i="8"/>
  <c r="BE80" i="8"/>
  <c r="BZ80" i="8"/>
  <c r="BN80" i="8"/>
  <c r="BB80" i="8"/>
  <c r="BK80" i="8"/>
  <c r="BW80" i="8"/>
  <c r="I74" i="6"/>
  <c r="J74" i="6" s="1"/>
  <c r="BH80" i="8"/>
  <c r="BT80" i="8"/>
  <c r="AG72" i="8"/>
  <c r="U72" i="8"/>
  <c r="D66" i="6"/>
  <c r="E66" i="6" s="1"/>
  <c r="I72" i="8"/>
  <c r="F72" i="8"/>
  <c r="L72" i="8"/>
  <c r="AA72" i="8"/>
  <c r="AD72" i="8"/>
  <c r="X72" i="8"/>
  <c r="R72" i="8"/>
  <c r="O72" i="8"/>
  <c r="I66" i="6"/>
  <c r="J66" i="6" s="1"/>
  <c r="BK72" i="8"/>
  <c r="BW72" i="8"/>
  <c r="BE72" i="8"/>
  <c r="BQ72" i="8"/>
  <c r="CC72" i="8"/>
  <c r="BB72" i="8"/>
  <c r="BZ72" i="8"/>
  <c r="BN72" i="8"/>
  <c r="BH72" i="8"/>
  <c r="BT72" i="8"/>
  <c r="BZ67" i="8"/>
  <c r="BN67" i="8"/>
  <c r="BB67" i="8"/>
  <c r="BW67" i="8"/>
  <c r="BK67" i="8"/>
  <c r="BH67" i="8"/>
  <c r="BT67" i="8"/>
  <c r="I61" i="6"/>
  <c r="J61" i="6" s="1"/>
  <c r="BE67" i="8"/>
  <c r="BQ67" i="8"/>
  <c r="CC67" i="8"/>
  <c r="I60" i="6"/>
  <c r="J60" i="6" s="1"/>
  <c r="BK66" i="8"/>
  <c r="BW66" i="8"/>
  <c r="BE66" i="8"/>
  <c r="BB66" i="8"/>
  <c r="BN66" i="8"/>
  <c r="CC66" i="8"/>
  <c r="BH66" i="8"/>
  <c r="BZ66" i="8"/>
  <c r="BT66" i="8"/>
  <c r="BQ66" i="8"/>
  <c r="BZ85" i="8"/>
  <c r="BQ85" i="8"/>
  <c r="CC85" i="8"/>
  <c r="BH85" i="8"/>
  <c r="BT85" i="8"/>
  <c r="BE85" i="8"/>
  <c r="I79" i="6"/>
  <c r="J79" i="6" s="1"/>
  <c r="BB85" i="8"/>
  <c r="BN85" i="8"/>
  <c r="BW85" i="8"/>
  <c r="BK85" i="8"/>
  <c r="AG70" i="8"/>
  <c r="L70" i="8"/>
  <c r="D64" i="6"/>
  <c r="E64" i="6" s="1"/>
  <c r="I70" i="8"/>
  <c r="F70" i="8"/>
  <c r="R70" i="8"/>
  <c r="O70" i="8"/>
  <c r="AD70" i="8"/>
  <c r="U70" i="8"/>
  <c r="AA70" i="8"/>
  <c r="X70" i="8"/>
  <c r="F89" i="8"/>
  <c r="I89" i="8"/>
  <c r="L89" i="8"/>
  <c r="AG89" i="8"/>
  <c r="O89" i="8"/>
  <c r="AA89" i="8"/>
  <c r="X89" i="8"/>
  <c r="D83" i="6"/>
  <c r="E83" i="6" s="1"/>
  <c r="R89" i="8"/>
  <c r="U89" i="8"/>
  <c r="AD89" i="8"/>
  <c r="U64" i="8"/>
  <c r="AA64" i="8"/>
  <c r="I64" i="8"/>
  <c r="F64" i="8"/>
  <c r="O64" i="8"/>
  <c r="L64" i="8"/>
  <c r="D58" i="6"/>
  <c r="E58" i="6" s="1"/>
  <c r="R64" i="8"/>
  <c r="AD64" i="8"/>
  <c r="AG64" i="8"/>
  <c r="X64" i="8"/>
  <c r="BT70" i="8"/>
  <c r="BH70" i="8"/>
  <c r="CC70" i="8"/>
  <c r="BQ70" i="8"/>
  <c r="BE70" i="8"/>
  <c r="BW70" i="8"/>
  <c r="I64" i="6"/>
  <c r="J64" i="6" s="1"/>
  <c r="BN70" i="8"/>
  <c r="BK70" i="8"/>
  <c r="BB70" i="8"/>
  <c r="BZ70" i="8"/>
  <c r="L78" i="8"/>
  <c r="AA78" i="8"/>
  <c r="D72" i="6"/>
  <c r="E72" i="6" s="1"/>
  <c r="U78" i="8"/>
  <c r="AD78" i="8"/>
  <c r="X78" i="8"/>
  <c r="F78" i="8"/>
  <c r="I78" i="8"/>
  <c r="R78" i="8"/>
  <c r="O78" i="8"/>
  <c r="AG78" i="8"/>
  <c r="BW58" i="8"/>
  <c r="BK58" i="8"/>
  <c r="BT58" i="8"/>
  <c r="BH58" i="8"/>
  <c r="BE58" i="8"/>
  <c r="I52" i="6"/>
  <c r="J52" i="6" s="1"/>
  <c r="BQ58" i="8"/>
  <c r="CC58" i="8"/>
  <c r="BB58" i="8"/>
  <c r="BN58" i="8"/>
  <c r="BZ58" i="8"/>
  <c r="BT95" i="8"/>
  <c r="BH95" i="8"/>
  <c r="CC95" i="8"/>
  <c r="BQ95" i="8"/>
  <c r="BE95" i="8"/>
  <c r="BW95" i="8"/>
  <c r="BK95" i="8"/>
  <c r="I89" i="6"/>
  <c r="J89" i="6" s="1"/>
  <c r="BB95" i="8"/>
  <c r="BN95" i="8"/>
  <c r="BZ95" i="8"/>
  <c r="I54" i="6"/>
  <c r="J54" i="6" s="1"/>
  <c r="BN60" i="8"/>
  <c r="BZ60" i="8"/>
  <c r="BK60" i="8"/>
  <c r="BW60" i="8"/>
  <c r="BE60" i="8"/>
  <c r="BQ60" i="8"/>
  <c r="BB60" i="8"/>
  <c r="CC60" i="8"/>
  <c r="BH60" i="8"/>
  <c r="BT60" i="8"/>
  <c r="CC55" i="8"/>
  <c r="BQ55" i="8"/>
  <c r="BE55" i="8"/>
  <c r="BZ55" i="8"/>
  <c r="BN55" i="8"/>
  <c r="BB55" i="8"/>
  <c r="BK55" i="8"/>
  <c r="I49" i="6"/>
  <c r="J49" i="6" s="1"/>
  <c r="BW55" i="8"/>
  <c r="BH55" i="8"/>
  <c r="BT55" i="8"/>
  <c r="BW83" i="8"/>
  <c r="BK83" i="8"/>
  <c r="BT83" i="8"/>
  <c r="BH83" i="8"/>
  <c r="BE83" i="8"/>
  <c r="BZ83" i="8"/>
  <c r="BQ83" i="8"/>
  <c r="I77" i="6"/>
  <c r="J77" i="6" s="1"/>
  <c r="CC83" i="8"/>
  <c r="BB83" i="8"/>
  <c r="BN83" i="8"/>
  <c r="BT93" i="8"/>
  <c r="BH93" i="8"/>
  <c r="CC93" i="8"/>
  <c r="BQ93" i="8"/>
  <c r="BE93" i="8"/>
  <c r="BK93" i="8"/>
  <c r="BZ93" i="8"/>
  <c r="BW93" i="8"/>
  <c r="BB93" i="8"/>
  <c r="BN93" i="8"/>
  <c r="I87" i="6"/>
  <c r="J87" i="6" s="1"/>
  <c r="BW54" i="8"/>
  <c r="BK54" i="8"/>
  <c r="BT54" i="8"/>
  <c r="BH54" i="8"/>
  <c r="CC54" i="8"/>
  <c r="BQ54" i="8"/>
  <c r="BN54" i="8"/>
  <c r="BB54" i="8"/>
  <c r="BZ54" i="8"/>
  <c r="I48" i="6"/>
  <c r="J48" i="6" s="1"/>
  <c r="BE54" i="8"/>
  <c r="I79" i="8"/>
  <c r="F79" i="8"/>
  <c r="AG79" i="8"/>
  <c r="AD79" i="8"/>
  <c r="AA79" i="8"/>
  <c r="D73" i="6"/>
  <c r="E73" i="6" s="1"/>
  <c r="X79" i="8"/>
  <c r="U79" i="8"/>
  <c r="R79" i="8"/>
  <c r="O79" i="8"/>
  <c r="L79" i="8"/>
  <c r="BW97" i="8"/>
  <c r="CC97" i="8"/>
  <c r="I91" i="6"/>
  <c r="J91" i="6" s="1"/>
  <c r="BE97" i="8"/>
  <c r="BQ97" i="8"/>
  <c r="BH97" i="8"/>
  <c r="BT97" i="8"/>
  <c r="BB97" i="8"/>
  <c r="BN97" i="8"/>
  <c r="BZ97" i="8"/>
  <c r="BK97" i="8"/>
  <c r="BE88" i="8"/>
  <c r="BW88" i="8"/>
  <c r="I82" i="6"/>
  <c r="J82" i="6" s="1"/>
  <c r="BK88" i="8"/>
  <c r="CC88" i="8"/>
  <c r="BQ88" i="8"/>
  <c r="BB88" i="8"/>
  <c r="BH88" i="8"/>
  <c r="BN88" i="8"/>
  <c r="BT88" i="8"/>
  <c r="BZ88" i="8"/>
  <c r="L65" i="8"/>
  <c r="AD65" i="8"/>
  <c r="F65" i="8"/>
  <c r="X65" i="8"/>
  <c r="I65" i="8"/>
  <c r="AG65" i="8"/>
  <c r="R65" i="8"/>
  <c r="AA65" i="8"/>
  <c r="D59" i="6"/>
  <c r="E59" i="6" s="1"/>
  <c r="O65" i="8"/>
  <c r="U65" i="8"/>
  <c r="BW98" i="8"/>
  <c r="BK98" i="8"/>
  <c r="BT98" i="8"/>
  <c r="BH98" i="8"/>
  <c r="BZ98" i="8"/>
  <c r="BN98" i="8"/>
  <c r="BE98" i="8"/>
  <c r="I92" i="6"/>
  <c r="J92" i="6" s="1"/>
  <c r="BQ98" i="8"/>
  <c r="BB98" i="8"/>
  <c r="CC98" i="8"/>
  <c r="AA62" i="8"/>
  <c r="AG62" i="8"/>
  <c r="F62" i="8"/>
  <c r="D56" i="6"/>
  <c r="E56" i="6" s="1"/>
  <c r="R62" i="8"/>
  <c r="U62" i="8"/>
  <c r="I62" i="8"/>
  <c r="AD62" i="8"/>
  <c r="O62" i="8"/>
  <c r="L62" i="8"/>
  <c r="X62" i="8"/>
  <c r="F60" i="8"/>
  <c r="L60" i="8"/>
  <c r="I60" i="8"/>
  <c r="O60" i="8"/>
  <c r="AD60" i="8"/>
  <c r="U60" i="8"/>
  <c r="D54" i="6"/>
  <c r="E54" i="6" s="1"/>
  <c r="R60" i="8"/>
  <c r="AG60" i="8"/>
  <c r="X60" i="8"/>
  <c r="AA60" i="8"/>
  <c r="AG97" i="8"/>
  <c r="X97" i="8"/>
  <c r="U97" i="8"/>
  <c r="AA97" i="8"/>
  <c r="I97" i="8"/>
  <c r="D91" i="6"/>
  <c r="E91" i="6" s="1"/>
  <c r="R97" i="8"/>
  <c r="L97" i="8"/>
  <c r="O97" i="8"/>
  <c r="AD97" i="8"/>
  <c r="F97" i="8"/>
  <c r="CC74" i="8"/>
  <c r="BQ74" i="8"/>
  <c r="BE74" i="8"/>
  <c r="BZ74" i="8"/>
  <c r="BN74" i="8"/>
  <c r="BB74" i="8"/>
  <c r="BW74" i="8"/>
  <c r="BK74" i="8"/>
  <c r="I68" i="6"/>
  <c r="J68" i="6" s="1"/>
  <c r="BH74" i="8"/>
  <c r="BT74" i="8"/>
  <c r="D13" i="12" l="1"/>
  <c r="A14" i="12"/>
  <c r="B13" i="12"/>
  <c r="DB84" i="8"/>
  <c r="DJ61" i="8"/>
  <c r="CW77" i="8"/>
  <c r="DD77" i="8"/>
  <c r="DB96" i="8"/>
  <c r="DD65" i="8"/>
  <c r="DA76" i="8"/>
  <c r="DD89" i="8"/>
  <c r="CX89" i="8"/>
  <c r="DC60" i="8"/>
  <c r="DP84" i="8"/>
  <c r="CX76" i="8"/>
  <c r="DI57" i="8"/>
  <c r="DH57" i="8"/>
  <c r="DJ57" i="8"/>
  <c r="CX98" i="8"/>
  <c r="CW98" i="8"/>
  <c r="CW97" i="8"/>
  <c r="CX97" i="8"/>
  <c r="DP60" i="8"/>
  <c r="DO60" i="8"/>
  <c r="DN60" i="8"/>
  <c r="DF62" i="8"/>
  <c r="DE62" i="8"/>
  <c r="DG62" i="8"/>
  <c r="DI65" i="8"/>
  <c r="DJ65" i="8"/>
  <c r="DH65" i="8"/>
  <c r="DV79" i="8"/>
  <c r="DU79" i="8"/>
  <c r="DT79" i="8"/>
  <c r="CZ78" i="8"/>
  <c r="DA78" i="8"/>
  <c r="CY78" i="8"/>
  <c r="DB64" i="8"/>
  <c r="DC64" i="8"/>
  <c r="DD64" i="8"/>
  <c r="DF89" i="8"/>
  <c r="DE89" i="8"/>
  <c r="DG89" i="8"/>
  <c r="CZ70" i="8"/>
  <c r="CY70" i="8"/>
  <c r="DA70" i="8"/>
  <c r="DX72" i="8"/>
  <c r="DY72" i="8"/>
  <c r="DW72" i="8"/>
  <c r="DA71" i="8"/>
  <c r="CZ71" i="8"/>
  <c r="CY71" i="8"/>
  <c r="DU56" i="8"/>
  <c r="DT56" i="8"/>
  <c r="DV56" i="8"/>
  <c r="DM75" i="8"/>
  <c r="DL75" i="8"/>
  <c r="DK75" i="8"/>
  <c r="DM94" i="8"/>
  <c r="DL94" i="8"/>
  <c r="DK94" i="8"/>
  <c r="DH66" i="8"/>
  <c r="DI66" i="8"/>
  <c r="EY58" i="8" s="1"/>
  <c r="DJ66" i="8"/>
  <c r="DX90" i="8"/>
  <c r="DY90" i="8"/>
  <c r="DW90" i="8"/>
  <c r="DB92" i="8"/>
  <c r="DD92" i="8"/>
  <c r="DC92" i="8"/>
  <c r="CY95" i="8"/>
  <c r="DA95" i="8"/>
  <c r="CZ95" i="8"/>
  <c r="DV85" i="8"/>
  <c r="DT85" i="8"/>
  <c r="DU85" i="8"/>
  <c r="DE76" i="8"/>
  <c r="DG76" i="8"/>
  <c r="DF76" i="8"/>
  <c r="DK57" i="8"/>
  <c r="DL57" i="8"/>
  <c r="DM57" i="8"/>
  <c r="DY58" i="8"/>
  <c r="DX58" i="8"/>
  <c r="DW58" i="8"/>
  <c r="DT63" i="8"/>
  <c r="DU63" i="8"/>
  <c r="DV63" i="8"/>
  <c r="DA59" i="8"/>
  <c r="CZ59" i="8"/>
  <c r="CY59" i="8"/>
  <c r="DA84" i="8"/>
  <c r="CY84" i="8"/>
  <c r="CZ84" i="8"/>
  <c r="DP88" i="8"/>
  <c r="DN88" i="8"/>
  <c r="DO88" i="8"/>
  <c r="DL69" i="8"/>
  <c r="EZ61" i="8" s="1"/>
  <c r="DK69" i="8"/>
  <c r="DM69" i="8"/>
  <c r="DT77" i="8"/>
  <c r="DV77" i="8"/>
  <c r="DU77" i="8"/>
  <c r="DG55" i="8"/>
  <c r="DE55" i="8"/>
  <c r="DF55" i="8"/>
  <c r="DL68" i="8"/>
  <c r="EZ60" i="8" s="1"/>
  <c r="DK68" i="8"/>
  <c r="DM68" i="8"/>
  <c r="CX82" i="8"/>
  <c r="CW82" i="8"/>
  <c r="DL87" i="8"/>
  <c r="DM87" i="8"/>
  <c r="DK87" i="8"/>
  <c r="DM98" i="8"/>
  <c r="DK98" i="8"/>
  <c r="DL98" i="8"/>
  <c r="DG61" i="8"/>
  <c r="DE61" i="8"/>
  <c r="DF61" i="8"/>
  <c r="EX56" i="8" s="1"/>
  <c r="DB67" i="8"/>
  <c r="DD67" i="8"/>
  <c r="DC67" i="8"/>
  <c r="EW59" i="8" s="1"/>
  <c r="CX93" i="8"/>
  <c r="CW93" i="8"/>
  <c r="DC83" i="8"/>
  <c r="DB83" i="8"/>
  <c r="DD83" i="8"/>
  <c r="DT73" i="8"/>
  <c r="DV73" i="8"/>
  <c r="DU73" i="8"/>
  <c r="DS86" i="8"/>
  <c r="DQ86" i="8"/>
  <c r="DR86" i="8"/>
  <c r="DS65" i="8"/>
  <c r="DQ65" i="8"/>
  <c r="DR65" i="8"/>
  <c r="CX80" i="8"/>
  <c r="CW80" i="8"/>
  <c r="DV97" i="8"/>
  <c r="DT97" i="8"/>
  <c r="DU97" i="8"/>
  <c r="DY60" i="8"/>
  <c r="DX60" i="8"/>
  <c r="DW60" i="8"/>
  <c r="DV62" i="8"/>
  <c r="DT62" i="8"/>
  <c r="DU62" i="8"/>
  <c r="DY65" i="8"/>
  <c r="DX65" i="8"/>
  <c r="DW65" i="8"/>
  <c r="DY79" i="8"/>
  <c r="DX79" i="8"/>
  <c r="DW79" i="8"/>
  <c r="CX78" i="8"/>
  <c r="CW78" i="8"/>
  <c r="DE64" i="8"/>
  <c r="DG64" i="8"/>
  <c r="DF64" i="8"/>
  <c r="DY89" i="8"/>
  <c r="DW89" i="8"/>
  <c r="DX89" i="8"/>
  <c r="DD71" i="8"/>
  <c r="DC71" i="8"/>
  <c r="DB71" i="8"/>
  <c r="DC56" i="8"/>
  <c r="DB56" i="8"/>
  <c r="DD56" i="8"/>
  <c r="DY75" i="8"/>
  <c r="DX75" i="8"/>
  <c r="DW75" i="8"/>
  <c r="DN66" i="8"/>
  <c r="DO66" i="8"/>
  <c r="FA58" i="8" s="1"/>
  <c r="DP66" i="8"/>
  <c r="DO90" i="8"/>
  <c r="DP90" i="8"/>
  <c r="DN90" i="8"/>
  <c r="DE92" i="8"/>
  <c r="DG92" i="8"/>
  <c r="DF92" i="8"/>
  <c r="DC95" i="8"/>
  <c r="DB95" i="8"/>
  <c r="DD95" i="8"/>
  <c r="CX74" i="8"/>
  <c r="CW74" i="8"/>
  <c r="DQ85" i="8"/>
  <c r="DS85" i="8"/>
  <c r="DR85" i="8"/>
  <c r="DL76" i="8"/>
  <c r="DM76" i="8"/>
  <c r="DK76" i="8"/>
  <c r="DP57" i="8"/>
  <c r="DO57" i="8"/>
  <c r="DN57" i="8"/>
  <c r="DI58" i="8"/>
  <c r="DJ58" i="8"/>
  <c r="DH58" i="8"/>
  <c r="DM63" i="8"/>
  <c r="DK63" i="8"/>
  <c r="DL63" i="8"/>
  <c r="DD96" i="8"/>
  <c r="DC96" i="8"/>
  <c r="DS84" i="8"/>
  <c r="DQ84" i="8"/>
  <c r="DR84" i="8"/>
  <c r="DS88" i="8"/>
  <c r="DQ88" i="8"/>
  <c r="DR88" i="8"/>
  <c r="DN69" i="8"/>
  <c r="DP69" i="8"/>
  <c r="DO69" i="8"/>
  <c r="FA61" i="8" s="1"/>
  <c r="DO77" i="8"/>
  <c r="DP77" i="8"/>
  <c r="DN77" i="8"/>
  <c r="DJ55" i="8"/>
  <c r="DH55" i="8"/>
  <c r="DI55" i="8"/>
  <c r="DU81" i="8"/>
  <c r="DT81" i="8"/>
  <c r="DV81" i="8"/>
  <c r="CY82" i="8"/>
  <c r="DA82" i="8"/>
  <c r="CZ82" i="8"/>
  <c r="DE87" i="8"/>
  <c r="DF87" i="8"/>
  <c r="DG87" i="8"/>
  <c r="DI98" i="8"/>
  <c r="DJ98" i="8"/>
  <c r="DH98" i="8"/>
  <c r="DC61" i="8"/>
  <c r="EW56" i="8" s="1"/>
  <c r="DB61" i="8"/>
  <c r="DD61" i="8"/>
  <c r="DJ67" i="8"/>
  <c r="DH67" i="8"/>
  <c r="DI67" i="8"/>
  <c r="EY59" i="8" s="1"/>
  <c r="DJ80" i="8"/>
  <c r="DH80" i="8"/>
  <c r="DI80" i="8"/>
  <c r="CY93" i="8"/>
  <c r="CZ93" i="8"/>
  <c r="DA93" i="8"/>
  <c r="CX83" i="8"/>
  <c r="CW83" i="8"/>
  <c r="DO91" i="8"/>
  <c r="DN91" i="8"/>
  <c r="DP91" i="8"/>
  <c r="DG86" i="8"/>
  <c r="DE86" i="8"/>
  <c r="DF86" i="8"/>
  <c r="DQ89" i="8"/>
  <c r="DR89" i="8"/>
  <c r="DS89" i="8"/>
  <c r="DG97" i="8"/>
  <c r="DE97" i="8"/>
  <c r="DF97" i="8"/>
  <c r="DJ60" i="8"/>
  <c r="DI60" i="8"/>
  <c r="DH60" i="8"/>
  <c r="CY62" i="8"/>
  <c r="DA62" i="8"/>
  <c r="CZ62" i="8"/>
  <c r="DA65" i="8"/>
  <c r="CZ65" i="8"/>
  <c r="CY65" i="8"/>
  <c r="CX79" i="8"/>
  <c r="CW79" i="8"/>
  <c r="DP78" i="8"/>
  <c r="DN78" i="8"/>
  <c r="DO78" i="8"/>
  <c r="CX64" i="8"/>
  <c r="CW64" i="8"/>
  <c r="DB89" i="8"/>
  <c r="DC89" i="8"/>
  <c r="DB70" i="8"/>
  <c r="DD70" i="8"/>
  <c r="DC70" i="8"/>
  <c r="DG72" i="8"/>
  <c r="DF72" i="8"/>
  <c r="DE72" i="8"/>
  <c r="DI71" i="8"/>
  <c r="DJ71" i="8"/>
  <c r="DH71" i="8"/>
  <c r="DG56" i="8"/>
  <c r="DF56" i="8"/>
  <c r="DE56" i="8"/>
  <c r="DD75" i="8"/>
  <c r="DB75" i="8"/>
  <c r="DC75" i="8"/>
  <c r="DN94" i="8"/>
  <c r="DP94" i="8"/>
  <c r="DO94" i="8"/>
  <c r="DK66" i="8"/>
  <c r="DM66" i="8"/>
  <c r="DL66" i="8"/>
  <c r="EZ58" i="8" s="1"/>
  <c r="DA90" i="8"/>
  <c r="CY90" i="8"/>
  <c r="CZ90" i="8"/>
  <c r="DJ92" i="8"/>
  <c r="DI92" i="8"/>
  <c r="DH92" i="8"/>
  <c r="CX95" i="8"/>
  <c r="CW95" i="8"/>
  <c r="DT74" i="8"/>
  <c r="DV74" i="8"/>
  <c r="DU74" i="8"/>
  <c r="DA85" i="8"/>
  <c r="CZ85" i="8"/>
  <c r="CY85" i="8"/>
  <c r="DO76" i="8"/>
  <c r="DP76" i="8"/>
  <c r="DN76" i="8"/>
  <c r="DS57" i="8"/>
  <c r="DR57" i="8"/>
  <c r="DQ57" i="8"/>
  <c r="DD58" i="8"/>
  <c r="DC58" i="8"/>
  <c r="DB58" i="8"/>
  <c r="DW63" i="8"/>
  <c r="DX63" i="8"/>
  <c r="DY63" i="8"/>
  <c r="DG59" i="8"/>
  <c r="DF59" i="8"/>
  <c r="DE59" i="8"/>
  <c r="DF84" i="8"/>
  <c r="DG84" i="8"/>
  <c r="DE84" i="8"/>
  <c r="DY88" i="8"/>
  <c r="DW88" i="8"/>
  <c r="DX88" i="8"/>
  <c r="DV69" i="8"/>
  <c r="DU69" i="8"/>
  <c r="FC61" i="8" s="1"/>
  <c r="DT69" i="8"/>
  <c r="DG77" i="8"/>
  <c r="DF77" i="8"/>
  <c r="DE77" i="8"/>
  <c r="CZ68" i="8"/>
  <c r="EV60" i="8" s="1"/>
  <c r="CY68" i="8"/>
  <c r="DA68" i="8"/>
  <c r="DY81" i="8"/>
  <c r="DX81" i="8"/>
  <c r="DW81" i="8"/>
  <c r="DY87" i="8"/>
  <c r="DX87" i="8"/>
  <c r="DW87" i="8"/>
  <c r="DY98" i="8"/>
  <c r="DX98" i="8"/>
  <c r="DW98" i="8"/>
  <c r="DM61" i="8"/>
  <c r="DK61" i="8"/>
  <c r="DL61" i="8"/>
  <c r="EZ56" i="8" s="1"/>
  <c r="DM67" i="8"/>
  <c r="DK67" i="8"/>
  <c r="DL67" i="8"/>
  <c r="EZ59" i="8" s="1"/>
  <c r="DC80" i="8"/>
  <c r="DD80" i="8"/>
  <c r="DB80" i="8"/>
  <c r="DC93" i="8"/>
  <c r="DD93" i="8"/>
  <c r="DB93" i="8"/>
  <c r="DS73" i="8"/>
  <c r="DR73" i="8"/>
  <c r="DQ73" i="8"/>
  <c r="DI91" i="8"/>
  <c r="DJ91" i="8"/>
  <c r="DH91" i="8"/>
  <c r="CY86" i="8"/>
  <c r="CZ86" i="8"/>
  <c r="DA86" i="8"/>
  <c r="CX70" i="8"/>
  <c r="CW70" i="8"/>
  <c r="DD63" i="8"/>
  <c r="DC63" i="8"/>
  <c r="DB63" i="8"/>
  <c r="DY77" i="8"/>
  <c r="DX77" i="8"/>
  <c r="DW77" i="8"/>
  <c r="DC55" i="8"/>
  <c r="DD55" i="8"/>
  <c r="DB55" i="8"/>
  <c r="DM81" i="8"/>
  <c r="DK81" i="8"/>
  <c r="DL81" i="8"/>
  <c r="DK73" i="8"/>
  <c r="DM73" i="8"/>
  <c r="DL73" i="8"/>
  <c r="DC97" i="8"/>
  <c r="DD97" i="8"/>
  <c r="DB97" i="8"/>
  <c r="DL62" i="8"/>
  <c r="DM62" i="8"/>
  <c r="DK62" i="8"/>
  <c r="DO65" i="8"/>
  <c r="DP65" i="8"/>
  <c r="DN65" i="8"/>
  <c r="DA79" i="8"/>
  <c r="CZ79" i="8"/>
  <c r="CY79" i="8"/>
  <c r="DT78" i="8"/>
  <c r="DV78" i="8"/>
  <c r="DU78" i="8"/>
  <c r="CY64" i="8"/>
  <c r="CZ64" i="8"/>
  <c r="DA64" i="8"/>
  <c r="DA89" i="8"/>
  <c r="CY89" i="8"/>
  <c r="CZ89" i="8"/>
  <c r="DX70" i="8"/>
  <c r="DY70" i="8"/>
  <c r="DW70" i="8"/>
  <c r="U54" i="8"/>
  <c r="D48" i="6"/>
  <c r="E48" i="6" s="1"/>
  <c r="E139" i="6" s="1"/>
  <c r="I54" i="8"/>
  <c r="AG54" i="8"/>
  <c r="AD54" i="8"/>
  <c r="F54" i="8"/>
  <c r="X54" i="8"/>
  <c r="AA54" i="8"/>
  <c r="L54" i="8"/>
  <c r="O54" i="8"/>
  <c r="R54" i="8"/>
  <c r="DH72" i="8"/>
  <c r="DI72" i="8"/>
  <c r="DJ72" i="8"/>
  <c r="CX71" i="8"/>
  <c r="CW71" i="8"/>
  <c r="DY56" i="8"/>
  <c r="DX56" i="8"/>
  <c r="DW56" i="8"/>
  <c r="DI75" i="8"/>
  <c r="DJ75" i="8"/>
  <c r="DH75" i="8"/>
  <c r="DC94" i="8"/>
  <c r="DB94" i="8"/>
  <c r="DD94" i="8"/>
  <c r="DG66" i="8"/>
  <c r="DF66" i="8"/>
  <c r="EX58" i="8" s="1"/>
  <c r="DE66" i="8"/>
  <c r="CX90" i="8"/>
  <c r="CW90" i="8"/>
  <c r="DM92" i="8"/>
  <c r="DL92" i="8"/>
  <c r="DK92" i="8"/>
  <c r="DG95" i="8"/>
  <c r="DF95" i="8"/>
  <c r="DE95" i="8"/>
  <c r="DO96" i="8"/>
  <c r="DQ74" i="8"/>
  <c r="DS74" i="8"/>
  <c r="DR74" i="8"/>
  <c r="DH85" i="8"/>
  <c r="DJ85" i="8"/>
  <c r="DI85" i="8"/>
  <c r="DD76" i="8"/>
  <c r="DC76" i="8"/>
  <c r="DB76" i="8"/>
  <c r="DT57" i="8"/>
  <c r="DV57" i="8"/>
  <c r="DU57" i="8"/>
  <c r="CX58" i="8"/>
  <c r="CW58" i="8"/>
  <c r="CY96" i="8"/>
  <c r="DA96" i="8"/>
  <c r="CZ96" i="8"/>
  <c r="DM59" i="8"/>
  <c r="DL59" i="8"/>
  <c r="DK59" i="8"/>
  <c r="CX84" i="8"/>
  <c r="CW84" i="8"/>
  <c r="DV88" i="8"/>
  <c r="DU88" i="8"/>
  <c r="DT88" i="8"/>
  <c r="CX69" i="8"/>
  <c r="CW69" i="8"/>
  <c r="EU61" i="8" s="1"/>
  <c r="DC77" i="8"/>
  <c r="DB77" i="8"/>
  <c r="DR55" i="8"/>
  <c r="DQ55" i="8"/>
  <c r="DS55" i="8"/>
  <c r="DN81" i="8"/>
  <c r="DP81" i="8"/>
  <c r="DO81" i="8"/>
  <c r="DD82" i="8"/>
  <c r="DB82" i="8"/>
  <c r="DC82" i="8"/>
  <c r="DQ87" i="8"/>
  <c r="DR87" i="8"/>
  <c r="DS87" i="8"/>
  <c r="DO98" i="8"/>
  <c r="DP98" i="8"/>
  <c r="DN98" i="8"/>
  <c r="DP61" i="8"/>
  <c r="DO61" i="8"/>
  <c r="FA56" i="8" s="1"/>
  <c r="DN61" i="8"/>
  <c r="DN67" i="8"/>
  <c r="DP67" i="8"/>
  <c r="DO67" i="8"/>
  <c r="FA59" i="8" s="1"/>
  <c r="DE80" i="8"/>
  <c r="DF80" i="8"/>
  <c r="DG80" i="8"/>
  <c r="CY83" i="8"/>
  <c r="CZ83" i="8"/>
  <c r="DA83" i="8"/>
  <c r="DI73" i="8"/>
  <c r="DJ73" i="8"/>
  <c r="DH73" i="8"/>
  <c r="DD86" i="8"/>
  <c r="DC86" i="8"/>
  <c r="DB86" i="8"/>
  <c r="DP96" i="8"/>
  <c r="DN96" i="8"/>
  <c r="DH97" i="8"/>
  <c r="DJ97" i="8"/>
  <c r="DI97" i="8"/>
  <c r="DK60" i="8"/>
  <c r="DM60" i="8"/>
  <c r="DL60" i="8"/>
  <c r="DI62" i="8"/>
  <c r="DJ62" i="8"/>
  <c r="DH62" i="8"/>
  <c r="CW65" i="8"/>
  <c r="CX65" i="8"/>
  <c r="DK78" i="8"/>
  <c r="DM78" i="8"/>
  <c r="DL78" i="8"/>
  <c r="DR64" i="8"/>
  <c r="DS64" i="8"/>
  <c r="DQ64" i="8"/>
  <c r="CW89" i="8"/>
  <c r="DN72" i="8"/>
  <c r="DO72" i="8"/>
  <c r="DP72" i="8"/>
  <c r="DM71" i="8"/>
  <c r="DK71" i="8"/>
  <c r="DL71" i="8"/>
  <c r="DI56" i="8"/>
  <c r="DH56" i="8"/>
  <c r="DJ56" i="8"/>
  <c r="DR75" i="8"/>
  <c r="DQ75" i="8"/>
  <c r="DS75" i="8"/>
  <c r="DE94" i="8"/>
  <c r="DG94" i="8"/>
  <c r="DF94" i="8"/>
  <c r="DU90" i="8"/>
  <c r="DV90" i="8"/>
  <c r="DT90" i="8"/>
  <c r="DO92" i="8"/>
  <c r="DP92" i="8"/>
  <c r="DN92" i="8"/>
  <c r="DY95" i="8"/>
  <c r="DX95" i="8"/>
  <c r="DW95" i="8"/>
  <c r="DG74" i="8"/>
  <c r="DE74" i="8"/>
  <c r="DF74" i="8"/>
  <c r="CW85" i="8"/>
  <c r="CX85" i="8"/>
  <c r="DX76" i="8"/>
  <c r="DW76" i="8"/>
  <c r="DY76" i="8"/>
  <c r="DW57" i="8"/>
  <c r="DY57" i="8"/>
  <c r="DX57" i="8"/>
  <c r="CY63" i="8"/>
  <c r="CZ63" i="8"/>
  <c r="DA63" i="8"/>
  <c r="DU96" i="8"/>
  <c r="DT96" i="8"/>
  <c r="DV96" i="8"/>
  <c r="DJ59" i="8"/>
  <c r="DH59" i="8"/>
  <c r="DI59" i="8"/>
  <c r="DI84" i="8"/>
  <c r="DJ84" i="8"/>
  <c r="DH84" i="8"/>
  <c r="DB69" i="8"/>
  <c r="DD69" i="8"/>
  <c r="DC69" i="8"/>
  <c r="EW61" i="8" s="1"/>
  <c r="CZ77" i="8"/>
  <c r="CY77" i="8"/>
  <c r="DA77" i="8"/>
  <c r="DV55" i="8"/>
  <c r="DU55" i="8"/>
  <c r="DT55" i="8"/>
  <c r="DD68" i="8"/>
  <c r="DC68" i="8"/>
  <c r="EW60" i="8" s="1"/>
  <c r="DB68" i="8"/>
  <c r="DS81" i="8"/>
  <c r="DR81" i="8"/>
  <c r="DQ81" i="8"/>
  <c r="DG82" i="8"/>
  <c r="DF82" i="8"/>
  <c r="DE82" i="8"/>
  <c r="DP87" i="8"/>
  <c r="DN87" i="8"/>
  <c r="DO87" i="8"/>
  <c r="DG98" i="8"/>
  <c r="DE98" i="8"/>
  <c r="DF98" i="8"/>
  <c r="DF67" i="8"/>
  <c r="EX59" i="8" s="1"/>
  <c r="DG67" i="8"/>
  <c r="DE67" i="8"/>
  <c r="DG93" i="8"/>
  <c r="DF93" i="8"/>
  <c r="DE93" i="8"/>
  <c r="DX83" i="8"/>
  <c r="DW83" i="8"/>
  <c r="DY83" i="8"/>
  <c r="DY73" i="8"/>
  <c r="DX73" i="8"/>
  <c r="DW73" i="8"/>
  <c r="CX91" i="8"/>
  <c r="CW91" i="8"/>
  <c r="DT86" i="8"/>
  <c r="DV86" i="8"/>
  <c r="DU86" i="8"/>
  <c r="DY91" i="8"/>
  <c r="DX91" i="8"/>
  <c r="DW91" i="8"/>
  <c r="DT60" i="8"/>
  <c r="DV60" i="8"/>
  <c r="DU60" i="8"/>
  <c r="DV65" i="8"/>
  <c r="DT65" i="8"/>
  <c r="DU65" i="8"/>
  <c r="DD79" i="8"/>
  <c r="DB79" i="8"/>
  <c r="DC79" i="8"/>
  <c r="J139" i="6"/>
  <c r="DK64" i="8"/>
  <c r="DL64" i="8"/>
  <c r="DP70" i="8"/>
  <c r="DO70" i="8"/>
  <c r="DN70" i="8"/>
  <c r="DU72" i="8"/>
  <c r="DT72" i="8"/>
  <c r="DV72" i="8"/>
  <c r="DN71" i="8"/>
  <c r="DP71" i="8"/>
  <c r="DO71" i="8"/>
  <c r="DM56" i="8"/>
  <c r="DK56" i="8"/>
  <c r="DL56" i="8"/>
  <c r="DP75" i="8"/>
  <c r="DO75" i="8"/>
  <c r="DN75" i="8"/>
  <c r="DI94" i="8"/>
  <c r="DH94" i="8"/>
  <c r="DJ94" i="8"/>
  <c r="DX66" i="8"/>
  <c r="FD58" i="8" s="1"/>
  <c r="DW66" i="8"/>
  <c r="DY66" i="8"/>
  <c r="DD78" i="8"/>
  <c r="DQ92" i="8"/>
  <c r="DR92" i="8"/>
  <c r="DS92" i="8"/>
  <c r="DI95" i="8"/>
  <c r="DH95" i="8"/>
  <c r="DJ95" i="8"/>
  <c r="DP74" i="8"/>
  <c r="DO74" i="8"/>
  <c r="DN74" i="8"/>
  <c r="DP85" i="8"/>
  <c r="DO85" i="8"/>
  <c r="DN85" i="8"/>
  <c r="DU76" i="8"/>
  <c r="DV76" i="8"/>
  <c r="DT76" i="8"/>
  <c r="DE58" i="8"/>
  <c r="DG58" i="8"/>
  <c r="DF58" i="8"/>
  <c r="DI63" i="8"/>
  <c r="DH63" i="8"/>
  <c r="DJ63" i="8"/>
  <c r="DW96" i="8"/>
  <c r="DY96" i="8"/>
  <c r="DX96" i="8"/>
  <c r="DS59" i="8"/>
  <c r="DR59" i="8"/>
  <c r="DQ59" i="8"/>
  <c r="DV84" i="8"/>
  <c r="DU84" i="8"/>
  <c r="DT84" i="8"/>
  <c r="DM88" i="8"/>
  <c r="DK88" i="8"/>
  <c r="DL88" i="8"/>
  <c r="DF69" i="8"/>
  <c r="EX61" i="8" s="1"/>
  <c r="DE69" i="8"/>
  <c r="DG69" i="8"/>
  <c r="CX77" i="8"/>
  <c r="DW55" i="8"/>
  <c r="DX55" i="8"/>
  <c r="DY55" i="8"/>
  <c r="DF68" i="8"/>
  <c r="EX60" i="8" s="1"/>
  <c r="DE68" i="8"/>
  <c r="DG68" i="8"/>
  <c r="DI82" i="8"/>
  <c r="DJ82" i="8"/>
  <c r="DH82" i="8"/>
  <c r="DB87" i="8"/>
  <c r="DC87" i="8"/>
  <c r="DD87" i="8"/>
  <c r="DI61" i="8"/>
  <c r="EY56" i="8" s="1"/>
  <c r="DH61" i="8"/>
  <c r="CZ80" i="8"/>
  <c r="CY80" i="8"/>
  <c r="DA80" i="8"/>
  <c r="DJ93" i="8"/>
  <c r="DI93" i="8"/>
  <c r="DH93" i="8"/>
  <c r="DI83" i="8"/>
  <c r="DH83" i="8"/>
  <c r="DJ83" i="8"/>
  <c r="DA73" i="8"/>
  <c r="CZ73" i="8"/>
  <c r="CY73" i="8"/>
  <c r="DS91" i="8"/>
  <c r="DQ91" i="8"/>
  <c r="DR91" i="8"/>
  <c r="DL86" i="8"/>
  <c r="DM86" i="8"/>
  <c r="DK86" i="8"/>
  <c r="DA94" i="8"/>
  <c r="CY94" i="8"/>
  <c r="CZ94" i="8"/>
  <c r="DS76" i="8"/>
  <c r="DR76" i="8"/>
  <c r="DQ76" i="8"/>
  <c r="DX68" i="8"/>
  <c r="FD60" i="8" s="1"/>
  <c r="DW68" i="8"/>
  <c r="DY68" i="8"/>
  <c r="DA61" i="8"/>
  <c r="CZ61" i="8"/>
  <c r="EV56" i="8" s="1"/>
  <c r="CY61" i="8"/>
  <c r="CY97" i="8"/>
  <c r="CZ97" i="8"/>
  <c r="DA97" i="8"/>
  <c r="DE60" i="8"/>
  <c r="DG60" i="8"/>
  <c r="DF60" i="8"/>
  <c r="CW62" i="8"/>
  <c r="CX62" i="8"/>
  <c r="DB65" i="8"/>
  <c r="DC65" i="8"/>
  <c r="DE79" i="8"/>
  <c r="DG79" i="8"/>
  <c r="DF79" i="8"/>
  <c r="DS78" i="8"/>
  <c r="DQ78" i="8"/>
  <c r="DR78" i="8"/>
  <c r="DU89" i="8"/>
  <c r="DV89" i="8"/>
  <c r="DT89" i="8"/>
  <c r="DS70" i="8"/>
  <c r="DQ70" i="8"/>
  <c r="DR70" i="8"/>
  <c r="DR72" i="8"/>
  <c r="DS72" i="8"/>
  <c r="DQ72" i="8"/>
  <c r="DR71" i="8"/>
  <c r="DQ71" i="8"/>
  <c r="DS71" i="8"/>
  <c r="DN56" i="8"/>
  <c r="DP56" i="8"/>
  <c r="DO56" i="8"/>
  <c r="DV75" i="8"/>
  <c r="DT75" i="8"/>
  <c r="DU75" i="8"/>
  <c r="DU66" i="8"/>
  <c r="FC58" i="8" s="1"/>
  <c r="DT66" i="8"/>
  <c r="DV66" i="8"/>
  <c r="DK90" i="8"/>
  <c r="DL90" i="8"/>
  <c r="DM90" i="8"/>
  <c r="DV92" i="8"/>
  <c r="DU92" i="8"/>
  <c r="DT92" i="8"/>
  <c r="DK95" i="8"/>
  <c r="DM95" i="8"/>
  <c r="DL95" i="8"/>
  <c r="DF85" i="8"/>
  <c r="DG85" i="8"/>
  <c r="DE85" i="8"/>
  <c r="CW76" i="8"/>
  <c r="CW57" i="8"/>
  <c r="CX57" i="8"/>
  <c r="CY58" i="8"/>
  <c r="DA58" i="8"/>
  <c r="CZ58" i="8"/>
  <c r="DQ63" i="8"/>
  <c r="DS63" i="8"/>
  <c r="DR63" i="8"/>
  <c r="DQ96" i="8"/>
  <c r="DR96" i="8"/>
  <c r="DS96" i="8"/>
  <c r="DD88" i="8"/>
  <c r="DC88" i="8"/>
  <c r="DB88" i="8"/>
  <c r="DW69" i="8"/>
  <c r="DY69" i="8"/>
  <c r="DX69" i="8"/>
  <c r="FD61" i="8" s="1"/>
  <c r="CX68" i="8"/>
  <c r="CW68" i="8"/>
  <c r="EU60" i="8" s="1"/>
  <c r="CX81" i="8"/>
  <c r="CW81" i="8"/>
  <c r="DK82" i="8"/>
  <c r="DL82" i="8"/>
  <c r="DM82" i="8"/>
  <c r="DB98" i="8"/>
  <c r="DC98" i="8"/>
  <c r="DD98" i="8"/>
  <c r="DY61" i="8"/>
  <c r="DX61" i="8"/>
  <c r="FD56" i="8" s="1"/>
  <c r="DW61" i="8"/>
  <c r="DY67" i="8"/>
  <c r="DX67" i="8"/>
  <c r="FD59" i="8" s="1"/>
  <c r="DW67" i="8"/>
  <c r="DO80" i="8"/>
  <c r="DP80" i="8"/>
  <c r="DN80" i="8"/>
  <c r="DO93" i="8"/>
  <c r="DN93" i="8"/>
  <c r="DP93" i="8"/>
  <c r="DP83" i="8"/>
  <c r="DO83" i="8"/>
  <c r="DN83" i="8"/>
  <c r="CX73" i="8"/>
  <c r="CW73" i="8"/>
  <c r="CY91" i="8"/>
  <c r="CZ91" i="8"/>
  <c r="DA91" i="8"/>
  <c r="DJ86" i="8"/>
  <c r="DH86" i="8"/>
  <c r="DI86" i="8"/>
  <c r="DQ60" i="8"/>
  <c r="DS60" i="8"/>
  <c r="DR60" i="8"/>
  <c r="DJ78" i="8"/>
  <c r="DH78" i="8"/>
  <c r="DI78" i="8"/>
  <c r="DK72" i="8"/>
  <c r="DL72" i="8"/>
  <c r="DM72" i="8"/>
  <c r="DD66" i="8"/>
  <c r="DB66" i="8"/>
  <c r="DC66" i="8"/>
  <c r="EW58" i="8" s="1"/>
  <c r="DQ97" i="8"/>
  <c r="DR97" i="8"/>
  <c r="DS97" i="8"/>
  <c r="CY60" i="8"/>
  <c r="DA60" i="8"/>
  <c r="CZ60" i="8"/>
  <c r="DX62" i="8"/>
  <c r="DW62" i="8"/>
  <c r="DY62" i="8"/>
  <c r="DI79" i="8"/>
  <c r="DH79" i="8"/>
  <c r="DJ79" i="8"/>
  <c r="DB78" i="8"/>
  <c r="DC78" i="8"/>
  <c r="DN64" i="8"/>
  <c r="DP64" i="8"/>
  <c r="DO64" i="8"/>
  <c r="DM89" i="8"/>
  <c r="DK89" i="8"/>
  <c r="DL89" i="8"/>
  <c r="DL70" i="8"/>
  <c r="DM70" i="8"/>
  <c r="DK70" i="8"/>
  <c r="DD72" i="8"/>
  <c r="DB72" i="8"/>
  <c r="DC72" i="8"/>
  <c r="DV71" i="8"/>
  <c r="DU71" i="8"/>
  <c r="DT71" i="8"/>
  <c r="DR56" i="8"/>
  <c r="DQ56" i="8"/>
  <c r="DS56" i="8"/>
  <c r="DY94" i="8"/>
  <c r="DX94" i="8"/>
  <c r="DW94" i="8"/>
  <c r="DR66" i="8"/>
  <c r="FB58" i="8" s="1"/>
  <c r="DQ66" i="8"/>
  <c r="DS66" i="8"/>
  <c r="DE90" i="8"/>
  <c r="DF90" i="8"/>
  <c r="DG90" i="8"/>
  <c r="CX92" i="8"/>
  <c r="CW92" i="8"/>
  <c r="DM64" i="8"/>
  <c r="DB90" i="8"/>
  <c r="DD74" i="8"/>
  <c r="DB74" i="8"/>
  <c r="DC74" i="8"/>
  <c r="DD85" i="8"/>
  <c r="DB85" i="8"/>
  <c r="DC85" i="8"/>
  <c r="CZ76" i="8"/>
  <c r="CY76" i="8"/>
  <c r="DM58" i="8"/>
  <c r="DL58" i="8"/>
  <c r="DK58" i="8"/>
  <c r="DN63" i="8"/>
  <c r="DP63" i="8"/>
  <c r="DO63" i="8"/>
  <c r="CX96" i="8"/>
  <c r="CW96" i="8"/>
  <c r="DP59" i="8"/>
  <c r="DN59" i="8"/>
  <c r="DO59" i="8"/>
  <c r="DK84" i="8"/>
  <c r="DM84" i="8"/>
  <c r="DL84" i="8"/>
  <c r="CX88" i="8"/>
  <c r="CW88" i="8"/>
  <c r="DS69" i="8"/>
  <c r="DR69" i="8"/>
  <c r="FB61" i="8" s="1"/>
  <c r="DQ69" i="8"/>
  <c r="DK77" i="8"/>
  <c r="DL77" i="8"/>
  <c r="DM77" i="8"/>
  <c r="DO55" i="8"/>
  <c r="DP55" i="8"/>
  <c r="DN55" i="8"/>
  <c r="DJ68" i="8"/>
  <c r="DI68" i="8"/>
  <c r="EY60" i="8" s="1"/>
  <c r="DH68" i="8"/>
  <c r="CY81" i="8"/>
  <c r="DA81" i="8"/>
  <c r="CZ81" i="8"/>
  <c r="DU82" i="8"/>
  <c r="DT82" i="8"/>
  <c r="DV82" i="8"/>
  <c r="DU87" i="8"/>
  <c r="DV87" i="8"/>
  <c r="DT87" i="8"/>
  <c r="DV98" i="8"/>
  <c r="DT98" i="8"/>
  <c r="DU98" i="8"/>
  <c r="DK80" i="8"/>
  <c r="DM80" i="8"/>
  <c r="DL80" i="8"/>
  <c r="DS93" i="8"/>
  <c r="DR93" i="8"/>
  <c r="DQ93" i="8"/>
  <c r="DC91" i="8"/>
  <c r="DB91" i="8"/>
  <c r="DD91" i="8"/>
  <c r="DX86" i="8"/>
  <c r="DW86" i="8"/>
  <c r="DY86" i="8"/>
  <c r="DC62" i="8"/>
  <c r="DD62" i="8"/>
  <c r="DB62" i="8"/>
  <c r="DV59" i="8"/>
  <c r="DT59" i="8"/>
  <c r="DU59" i="8"/>
  <c r="DK83" i="8"/>
  <c r="DM83" i="8"/>
  <c r="DL83" i="8"/>
  <c r="DM97" i="8"/>
  <c r="DK97" i="8"/>
  <c r="DL97" i="8"/>
  <c r="DD60" i="8"/>
  <c r="DB60" i="8"/>
  <c r="DS62" i="8"/>
  <c r="DR62" i="8"/>
  <c r="DQ62" i="8"/>
  <c r="DL65" i="8"/>
  <c r="DM65" i="8"/>
  <c r="DK65" i="8"/>
  <c r="DM79" i="8"/>
  <c r="DL79" i="8"/>
  <c r="DK79" i="8"/>
  <c r="DX64" i="8"/>
  <c r="DW64" i="8"/>
  <c r="DY64" i="8"/>
  <c r="DH89" i="8"/>
  <c r="DJ89" i="8"/>
  <c r="DI89" i="8"/>
  <c r="DT70" i="8"/>
  <c r="DV70" i="8"/>
  <c r="DU70" i="8"/>
  <c r="CX72" i="8"/>
  <c r="CW72" i="8"/>
  <c r="DY71" i="8"/>
  <c r="DX71" i="8"/>
  <c r="DW71" i="8"/>
  <c r="DG75" i="8"/>
  <c r="DE75" i="8"/>
  <c r="DF75" i="8"/>
  <c r="DR94" i="8"/>
  <c r="DQ94" i="8"/>
  <c r="DS94" i="8"/>
  <c r="CY66" i="8"/>
  <c r="CZ66" i="8"/>
  <c r="EV58" i="8" s="1"/>
  <c r="DA66" i="8"/>
  <c r="DS90" i="8"/>
  <c r="DQ90" i="8"/>
  <c r="DR90" i="8"/>
  <c r="DV95" i="8"/>
  <c r="DU95" i="8"/>
  <c r="DT95" i="8"/>
  <c r="DM74" i="8"/>
  <c r="DK74" i="8"/>
  <c r="DL74" i="8"/>
  <c r="DM85" i="8"/>
  <c r="DL85" i="8"/>
  <c r="DK85" i="8"/>
  <c r="DC57" i="8"/>
  <c r="DB57" i="8"/>
  <c r="DD57" i="8"/>
  <c r="DG96" i="8"/>
  <c r="DF96" i="8"/>
  <c r="DE96" i="8"/>
  <c r="CX59" i="8"/>
  <c r="CW59" i="8"/>
  <c r="DC84" i="8"/>
  <c r="DD84" i="8"/>
  <c r="CZ88" i="8"/>
  <c r="DA88" i="8"/>
  <c r="CY88" i="8"/>
  <c r="DS77" i="8"/>
  <c r="DR77" i="8"/>
  <c r="DQ77" i="8"/>
  <c r="CW55" i="8"/>
  <c r="CX55" i="8"/>
  <c r="DP68" i="8"/>
  <c r="DN68" i="8"/>
  <c r="DO68" i="8"/>
  <c r="FA60" i="8" s="1"/>
  <c r="DC81" i="8"/>
  <c r="DD81" i="8"/>
  <c r="DB81" i="8"/>
  <c r="DW82" i="8"/>
  <c r="DY82" i="8"/>
  <c r="DX82" i="8"/>
  <c r="DA87" i="8"/>
  <c r="CY87" i="8"/>
  <c r="CZ87" i="8"/>
  <c r="DS61" i="8"/>
  <c r="DR61" i="8"/>
  <c r="FB56" i="8" s="1"/>
  <c r="DQ61" i="8"/>
  <c r="DR67" i="8"/>
  <c r="FB59" i="8" s="1"/>
  <c r="DQ67" i="8"/>
  <c r="DS67" i="8"/>
  <c r="DS80" i="8"/>
  <c r="DR80" i="8"/>
  <c r="DQ80" i="8"/>
  <c r="DV93" i="8"/>
  <c r="DT93" i="8"/>
  <c r="DU93" i="8"/>
  <c r="DS83" i="8"/>
  <c r="DR83" i="8"/>
  <c r="DQ83" i="8"/>
  <c r="DG73" i="8"/>
  <c r="DE73" i="8"/>
  <c r="DF73" i="8"/>
  <c r="DK91" i="8"/>
  <c r="DM91" i="8"/>
  <c r="DL91" i="8"/>
  <c r="CW86" i="8"/>
  <c r="CX86" i="8"/>
  <c r="DA56" i="8"/>
  <c r="CY56" i="8"/>
  <c r="CZ56" i="8"/>
  <c r="DX74" i="8"/>
  <c r="DY74" i="8"/>
  <c r="DW74" i="8"/>
  <c r="DU58" i="8"/>
  <c r="DT58" i="8"/>
  <c r="DV58" i="8"/>
  <c r="DJ87" i="8"/>
  <c r="DI87" i="8"/>
  <c r="DH87" i="8"/>
  <c r="DP97" i="8"/>
  <c r="DO97" i="8"/>
  <c r="DN97" i="8"/>
  <c r="CX60" i="8"/>
  <c r="CW60" i="8"/>
  <c r="DE65" i="8"/>
  <c r="DF65" i="8"/>
  <c r="DG65" i="8"/>
  <c r="DO79" i="8"/>
  <c r="DN79" i="8"/>
  <c r="DP79" i="8"/>
  <c r="DX78" i="8"/>
  <c r="DY78" i="8"/>
  <c r="DW78" i="8"/>
  <c r="DT64" i="8"/>
  <c r="DU64" i="8"/>
  <c r="DV64" i="8"/>
  <c r="DG70" i="8"/>
  <c r="DE70" i="8"/>
  <c r="DF70" i="8"/>
  <c r="DA72" i="8"/>
  <c r="CY72" i="8"/>
  <c r="CZ72" i="8"/>
  <c r="CX75" i="8"/>
  <c r="CW75" i="8"/>
  <c r="DU94" i="8"/>
  <c r="DT94" i="8"/>
  <c r="DV94" i="8"/>
  <c r="CW66" i="8"/>
  <c r="EU58" i="8" s="1"/>
  <c r="CX66" i="8"/>
  <c r="DI90" i="8"/>
  <c r="DH90" i="8"/>
  <c r="DJ90" i="8"/>
  <c r="DY92" i="8"/>
  <c r="DX92" i="8"/>
  <c r="DW92" i="8"/>
  <c r="DP95" i="8"/>
  <c r="DO95" i="8"/>
  <c r="DN95" i="8"/>
  <c r="DH74" i="8"/>
  <c r="DJ74" i="8"/>
  <c r="DI74" i="8"/>
  <c r="DG57" i="8"/>
  <c r="DF57" i="8"/>
  <c r="DE57" i="8"/>
  <c r="DP58" i="8"/>
  <c r="DN58" i="8"/>
  <c r="DO58" i="8"/>
  <c r="DF63" i="8"/>
  <c r="DE63" i="8"/>
  <c r="DG63" i="8"/>
  <c r="DJ96" i="8"/>
  <c r="DH96" i="8"/>
  <c r="DI96" i="8"/>
  <c r="DC59" i="8"/>
  <c r="DB59" i="8"/>
  <c r="DD59" i="8"/>
  <c r="DO84" i="8"/>
  <c r="FA66" i="8" s="1"/>
  <c r="DN84" i="8"/>
  <c r="DE88" i="8"/>
  <c r="DF88" i="8"/>
  <c r="DG88" i="8"/>
  <c r="CY69" i="8"/>
  <c r="DA69" i="8"/>
  <c r="CZ69" i="8"/>
  <c r="EV61" i="8" s="1"/>
  <c r="CY55" i="8"/>
  <c r="DA55" i="8"/>
  <c r="CZ55" i="8"/>
  <c r="DQ68" i="8"/>
  <c r="DR68" i="8"/>
  <c r="FB60" i="8" s="1"/>
  <c r="DS68" i="8"/>
  <c r="DE81" i="8"/>
  <c r="DG81" i="8"/>
  <c r="DF81" i="8"/>
  <c r="DP82" i="8"/>
  <c r="DO82" i="8"/>
  <c r="DN82" i="8"/>
  <c r="CX87" i="8"/>
  <c r="CW87" i="8"/>
  <c r="DR98" i="8"/>
  <c r="DQ98" i="8"/>
  <c r="DS98" i="8"/>
  <c r="DT61" i="8"/>
  <c r="DV61" i="8"/>
  <c r="DU61" i="8"/>
  <c r="FC56" i="8" s="1"/>
  <c r="DV67" i="8"/>
  <c r="DT67" i="8"/>
  <c r="DU67" i="8"/>
  <c r="FC59" i="8" s="1"/>
  <c r="DV80" i="8"/>
  <c r="DT80" i="8"/>
  <c r="DU80" i="8"/>
  <c r="DK93" i="8"/>
  <c r="DM93" i="8"/>
  <c r="DL93" i="8"/>
  <c r="DT83" i="8"/>
  <c r="DU83" i="8"/>
  <c r="DV83" i="8"/>
  <c r="DD73" i="8"/>
  <c r="DC73" i="8"/>
  <c r="DB73" i="8"/>
  <c r="DG91" i="8"/>
  <c r="DF91" i="8"/>
  <c r="DE91" i="8"/>
  <c r="DQ79" i="8"/>
  <c r="DS79" i="8"/>
  <c r="DR79" i="8"/>
  <c r="DI88" i="8"/>
  <c r="DJ88" i="8"/>
  <c r="DH88" i="8"/>
  <c r="DA67" i="8"/>
  <c r="CY67" i="8"/>
  <c r="CZ67" i="8"/>
  <c r="EV59" i="8" s="1"/>
  <c r="DX97" i="8"/>
  <c r="DW97" i="8"/>
  <c r="DY97" i="8"/>
  <c r="DP62" i="8"/>
  <c r="DO62" i="8"/>
  <c r="DN62" i="8"/>
  <c r="DG78" i="8"/>
  <c r="DF78" i="8"/>
  <c r="DE78" i="8"/>
  <c r="DI64" i="8"/>
  <c r="DH64" i="8"/>
  <c r="DJ64" i="8"/>
  <c r="DN89" i="8"/>
  <c r="DO89" i="8"/>
  <c r="DP89" i="8"/>
  <c r="DH70" i="8"/>
  <c r="DJ70" i="8"/>
  <c r="DI70" i="8"/>
  <c r="EY62" i="8" s="1"/>
  <c r="DG71" i="8"/>
  <c r="DE71" i="8"/>
  <c r="DF71" i="8"/>
  <c r="CX56" i="8"/>
  <c r="CW56" i="8"/>
  <c r="CY75" i="8"/>
  <c r="CZ75" i="8"/>
  <c r="DA75" i="8"/>
  <c r="CW94" i="8"/>
  <c r="CX94" i="8"/>
  <c r="DD90" i="8"/>
  <c r="DC90" i="8"/>
  <c r="DA92" i="8"/>
  <c r="CZ92" i="8"/>
  <c r="CY92" i="8"/>
  <c r="DS95" i="8"/>
  <c r="DR95" i="8"/>
  <c r="DQ95" i="8"/>
  <c r="CY74" i="8"/>
  <c r="CZ74" i="8"/>
  <c r="DA74" i="8"/>
  <c r="DY85" i="8"/>
  <c r="DX85" i="8"/>
  <c r="DW85" i="8"/>
  <c r="DJ76" i="8"/>
  <c r="DI76" i="8"/>
  <c r="DH76" i="8"/>
  <c r="CY57" i="8"/>
  <c r="DA57" i="8"/>
  <c r="CZ57" i="8"/>
  <c r="DQ58" i="8"/>
  <c r="DR58" i="8"/>
  <c r="DS58" i="8"/>
  <c r="CW63" i="8"/>
  <c r="CX63" i="8"/>
  <c r="DK96" i="8"/>
  <c r="DM96" i="8"/>
  <c r="DL96" i="8"/>
  <c r="DX59" i="8"/>
  <c r="DY59" i="8"/>
  <c r="DW59" i="8"/>
  <c r="DW84" i="8"/>
  <c r="DY84" i="8"/>
  <c r="DX84" i="8"/>
  <c r="DJ69" i="8"/>
  <c r="DI69" i="8"/>
  <c r="EY61" i="8" s="1"/>
  <c r="DH69" i="8"/>
  <c r="DJ77" i="8"/>
  <c r="DI77" i="8"/>
  <c r="DH77" i="8"/>
  <c r="DK55" i="8"/>
  <c r="DM55" i="8"/>
  <c r="DL55" i="8"/>
  <c r="DU68" i="8"/>
  <c r="FC60" i="8" s="1"/>
  <c r="DT68" i="8"/>
  <c r="DV68" i="8"/>
  <c r="DI81" i="8"/>
  <c r="DH81" i="8"/>
  <c r="DJ81" i="8"/>
  <c r="DS82" i="8"/>
  <c r="DR82" i="8"/>
  <c r="DQ82" i="8"/>
  <c r="DA98" i="8"/>
  <c r="CY98" i="8"/>
  <c r="CZ98" i="8"/>
  <c r="CW61" i="8"/>
  <c r="EU56" i="8" s="1"/>
  <c r="CX61" i="8"/>
  <c r="CX67" i="8"/>
  <c r="CW67" i="8"/>
  <c r="EU59" i="8" s="1"/>
  <c r="DW80" i="8"/>
  <c r="DY80" i="8"/>
  <c r="DX80" i="8"/>
  <c r="DW93" i="8"/>
  <c r="DX93" i="8"/>
  <c r="DY93" i="8"/>
  <c r="DG83" i="8"/>
  <c r="DF83" i="8"/>
  <c r="DE83" i="8"/>
  <c r="DP73" i="8"/>
  <c r="DO73" i="8"/>
  <c r="DN73" i="8"/>
  <c r="DU91" i="8"/>
  <c r="DT91" i="8"/>
  <c r="DV91" i="8"/>
  <c r="DP86" i="8"/>
  <c r="DO86" i="8"/>
  <c r="DN86" i="8"/>
  <c r="HO39" i="8" a="1"/>
  <c r="HO38" i="8" a="1"/>
  <c r="HO21" i="8" a="1"/>
  <c r="HO4" i="8" a="1"/>
  <c r="HO6" i="8" a="1"/>
  <c r="HO33" i="8" a="1"/>
  <c r="HO43" i="8" a="1"/>
  <c r="HO45" i="8" a="1"/>
  <c r="HO29" i="8" a="1"/>
  <c r="HO10" i="8" a="1"/>
  <c r="HO12" i="8" a="1"/>
  <c r="HO16" i="8" a="1"/>
  <c r="HO35" i="8" a="1"/>
  <c r="HO46" i="8" a="1"/>
  <c r="HO47" i="8" a="1"/>
  <c r="HO13" i="8" a="1"/>
  <c r="HO17" i="8" a="1"/>
  <c r="HO37" i="8" a="1"/>
  <c r="HO5" i="8" a="1"/>
  <c r="HO27" i="8" a="1"/>
  <c r="HO34" i="8" a="1"/>
  <c r="HO26" i="8" a="1"/>
  <c r="HO25" i="8" a="1"/>
  <c r="HO42" i="8" a="1"/>
  <c r="HO7" i="8" a="1"/>
  <c r="HO36" i="8" a="1"/>
  <c r="HO44" i="8" a="1"/>
  <c r="HO31" i="8" a="1"/>
  <c r="HO9" i="8" a="1"/>
  <c r="HO32" i="8" a="1"/>
  <c r="HO41" i="8" a="1"/>
  <c r="HO11" i="8" a="1"/>
  <c r="HO23" i="8" a="1"/>
  <c r="HO40" i="8" a="1"/>
  <c r="HO15" i="8" a="1"/>
  <c r="HO8" i="8" a="1"/>
  <c r="HO24" i="8" a="1"/>
  <c r="HO49" i="8" a="1"/>
  <c r="HO20" i="8" a="1"/>
  <c r="HO14" i="8" a="1"/>
  <c r="HO30" i="8" a="1"/>
  <c r="HO22" i="8" a="1"/>
  <c r="HO50" i="8" a="1"/>
  <c r="HO18" i="8" a="1"/>
  <c r="HO48" i="8" a="1"/>
  <c r="HO28" i="8" a="1"/>
  <c r="HO19" i="8" a="1"/>
  <c r="D14" i="12" l="1"/>
  <c r="A15" i="12"/>
  <c r="B14" i="12"/>
  <c r="EX67" i="8"/>
  <c r="EW66" i="8"/>
  <c r="EX68" i="8"/>
  <c r="EU67" i="8"/>
  <c r="EW68" i="8"/>
  <c r="EZ69" i="8"/>
  <c r="FD68" i="8"/>
  <c r="EU65" i="8"/>
  <c r="EV68" i="8"/>
  <c r="EZ66" i="8"/>
  <c r="EZ67" i="8"/>
  <c r="EW65" i="8"/>
  <c r="FC62" i="8"/>
  <c r="FC66" i="8"/>
  <c r="EZ62" i="8"/>
  <c r="EV55" i="8"/>
  <c r="EX62" i="8"/>
  <c r="FC68" i="8"/>
  <c r="EY69" i="8"/>
  <c r="FE56" i="8"/>
  <c r="FA62" i="8"/>
  <c r="EV65" i="8"/>
  <c r="EX64" i="8"/>
  <c r="EV62" i="8"/>
  <c r="EX63" i="8"/>
  <c r="FC65" i="8"/>
  <c r="FB67" i="8"/>
  <c r="EZ63" i="8"/>
  <c r="EY65" i="8"/>
  <c r="FB66" i="8"/>
  <c r="FD66" i="8"/>
  <c r="EY64" i="8"/>
  <c r="FB62" i="8"/>
  <c r="EU66" i="8"/>
  <c r="FD62" i="8"/>
  <c r="EV66" i="8"/>
  <c r="EV63" i="8"/>
  <c r="EW69" i="8"/>
  <c r="EZ70" i="8"/>
  <c r="EW57" i="8"/>
  <c r="FA57" i="8"/>
  <c r="EU68" i="8"/>
  <c r="EW67" i="8"/>
  <c r="M139" i="6"/>
  <c r="EZ68" i="8"/>
  <c r="FA63" i="8"/>
  <c r="EY63" i="8"/>
  <c r="DM54" i="8"/>
  <c r="DL54" i="8"/>
  <c r="EZ54" i="8" s="1"/>
  <c r="DK54" i="8"/>
  <c r="EX57" i="8"/>
  <c r="FE59" i="8"/>
  <c r="EU63" i="8"/>
  <c r="EX66" i="8"/>
  <c r="FB63" i="8"/>
  <c r="FB65" i="8"/>
  <c r="FA65" i="8"/>
  <c r="EY55" i="8"/>
  <c r="FA68" i="8"/>
  <c r="DJ54" i="8"/>
  <c r="DH54" i="8"/>
  <c r="DI54" i="8"/>
  <c r="EY54" i="8" s="1"/>
  <c r="EV70" i="8"/>
  <c r="EU64" i="8"/>
  <c r="FD55" i="8"/>
  <c r="FA55" i="8"/>
  <c r="FE60" i="8"/>
  <c r="FC63" i="8"/>
  <c r="DG54" i="8"/>
  <c r="DF54" i="8"/>
  <c r="EX54" i="8" s="1"/>
  <c r="DE54" i="8"/>
  <c r="FD63" i="8"/>
  <c r="EV64" i="8"/>
  <c r="DD54" i="8"/>
  <c r="DC54" i="8"/>
  <c r="EW54" i="8" s="1"/>
  <c r="DB54" i="8"/>
  <c r="EZ65" i="8"/>
  <c r="EX55" i="8"/>
  <c r="EY70" i="8"/>
  <c r="EV69" i="8"/>
  <c r="EV57" i="8"/>
  <c r="EW70" i="8"/>
  <c r="FA70" i="8"/>
  <c r="EY68" i="8"/>
  <c r="FB70" i="8"/>
  <c r="EW63" i="8"/>
  <c r="EW64" i="8"/>
  <c r="FA67" i="8"/>
  <c r="EZ64" i="8"/>
  <c r="FB55" i="8"/>
  <c r="EY66" i="8"/>
  <c r="DN54" i="8"/>
  <c r="DO54" i="8"/>
  <c r="FA54" i="8" s="1"/>
  <c r="DP54" i="8"/>
  <c r="EW62" i="8"/>
  <c r="FC70" i="8"/>
  <c r="FB57" i="8"/>
  <c r="FC55" i="8"/>
  <c r="EU69" i="8"/>
  <c r="CW54" i="8"/>
  <c r="EU54" i="8" s="1"/>
  <c r="CX54" i="8"/>
  <c r="EV67" i="8"/>
  <c r="FD67" i="8"/>
  <c r="FA69" i="8"/>
  <c r="EX69" i="8"/>
  <c r="EZ55" i="8"/>
  <c r="EU57" i="8"/>
  <c r="DS54" i="8"/>
  <c r="DQ54" i="8"/>
  <c r="DR54" i="8"/>
  <c r="FB54" i="8" s="1"/>
  <c r="EX65" i="8"/>
  <c r="FD70" i="8"/>
  <c r="FD64" i="8"/>
  <c r="EU55" i="8"/>
  <c r="EY67" i="8"/>
  <c r="FB64" i="8"/>
  <c r="DV54" i="8"/>
  <c r="DU54" i="8"/>
  <c r="FC54" i="8" s="1"/>
  <c r="DT54" i="8"/>
  <c r="FD57" i="8"/>
  <c r="FE61" i="8"/>
  <c r="EU62" i="8"/>
  <c r="DY54" i="8"/>
  <c r="DX54" i="8"/>
  <c r="FD54" i="8" s="1"/>
  <c r="DW54" i="8"/>
  <c r="EZ57" i="8"/>
  <c r="EW55" i="8"/>
  <c r="FA64" i="8"/>
  <c r="EU70" i="8"/>
  <c r="FD69" i="8"/>
  <c r="EY57" i="8"/>
  <c r="FE58" i="8"/>
  <c r="FB69" i="8"/>
  <c r="FC67" i="8"/>
  <c r="EX70" i="8"/>
  <c r="FC69" i="8"/>
  <c r="DA54" i="8"/>
  <c r="CZ54" i="8"/>
  <c r="EV54" i="8" s="1"/>
  <c r="CY54" i="8"/>
  <c r="FC64" i="8"/>
  <c r="FD65" i="8"/>
  <c r="FB68" i="8"/>
  <c r="FC57" i="8"/>
  <c r="B29" i="9" l="1"/>
  <c r="A16" i="12"/>
  <c r="D15" i="12"/>
  <c r="B15" i="12"/>
  <c r="FE67" i="8"/>
  <c r="FE66" i="8"/>
  <c r="FE62" i="8"/>
  <c r="FE65" i="8"/>
  <c r="FE70" i="8"/>
  <c r="FE55" i="8"/>
  <c r="FE54" i="8"/>
  <c r="FE64" i="8"/>
  <c r="FE68" i="8"/>
  <c r="FE69" i="8"/>
  <c r="FE63" i="8"/>
  <c r="FE57" i="8"/>
  <c r="B16" i="12" l="1"/>
  <c r="D16" i="12"/>
  <c r="A17" i="12"/>
  <c r="D17" i="12" l="1"/>
  <c r="A18" i="12"/>
  <c r="B17" i="12"/>
  <c r="B18" i="12" l="1"/>
  <c r="A19" i="12"/>
  <c r="D18" i="12"/>
  <c r="A20" i="12" l="1"/>
  <c r="B19" i="12"/>
  <c r="D19" i="12"/>
  <c r="B20" i="12" l="1"/>
  <c r="A21" i="12"/>
  <c r="D20" i="12"/>
  <c r="D21" i="12" l="1"/>
  <c r="A22" i="12"/>
  <c r="B21" i="12"/>
  <c r="A23" i="12" l="1"/>
  <c r="D22" i="12"/>
  <c r="B22" i="12"/>
  <c r="A24" i="12" l="1"/>
  <c r="D23" i="12"/>
  <c r="B23" i="12"/>
  <c r="B24" i="12" l="1"/>
  <c r="A25" i="12"/>
  <c r="D24" i="12"/>
  <c r="D25" i="12" l="1"/>
  <c r="B25" i="12"/>
  <c r="A26" i="12"/>
  <c r="A27" i="12" l="1"/>
  <c r="D26" i="12"/>
  <c r="B26" i="12"/>
  <c r="A28" i="12" l="1"/>
  <c r="D27" i="12"/>
  <c r="B27" i="12"/>
  <c r="A29" i="12" l="1"/>
  <c r="D28" i="12"/>
  <c r="B28" i="12"/>
  <c r="B29" i="12" l="1"/>
  <c r="D29" i="12"/>
  <c r="A30" i="12"/>
  <c r="D30" i="12" l="1"/>
  <c r="B30" i="12"/>
  <c r="A31" i="12"/>
  <c r="D31" i="12" l="1"/>
  <c r="A32" i="12"/>
  <c r="B31" i="12"/>
  <c r="A33" i="12" l="1"/>
  <c r="D32" i="12"/>
  <c r="B32" i="12"/>
  <c r="B33" i="12" l="1"/>
  <c r="A34" i="12"/>
  <c r="D33" i="12"/>
  <c r="D34" i="12" l="1"/>
  <c r="B34" i="12"/>
  <c r="A35" i="12"/>
  <c r="D35" i="12" l="1"/>
  <c r="B35" i="12"/>
  <c r="A36" i="12"/>
  <c r="A37" i="12" l="1"/>
  <c r="D36" i="12"/>
  <c r="B36" i="12"/>
  <c r="B37" i="12" l="1"/>
  <c r="A38" i="12"/>
  <c r="D37" i="12"/>
  <c r="D38" i="12" l="1"/>
  <c r="B38" i="12"/>
  <c r="A39" i="12"/>
  <c r="D39" i="12" l="1"/>
  <c r="A40" i="12"/>
  <c r="B39" i="12"/>
  <c r="A41" i="12" l="1"/>
  <c r="D40" i="12"/>
  <c r="B40" i="12"/>
  <c r="B41" i="12" l="1"/>
  <c r="D41" i="12"/>
  <c r="A42" i="12"/>
  <c r="D42" i="12" l="1"/>
  <c r="B42" i="12"/>
  <c r="A43" i="12"/>
  <c r="D43" i="12" l="1"/>
  <c r="A44" i="12"/>
  <c r="B43" i="12"/>
  <c r="A45" i="12" l="1"/>
  <c r="D44" i="12"/>
  <c r="B44" i="12"/>
  <c r="B45" i="12" l="1"/>
  <c r="A46" i="12"/>
  <c r="D45" i="12"/>
  <c r="D46" i="12" l="1"/>
  <c r="B46" i="12"/>
  <c r="A47" i="12"/>
  <c r="D47" i="12" l="1"/>
  <c r="B47" i="12"/>
  <c r="A48" i="12"/>
  <c r="A49" i="12" l="1"/>
  <c r="D48" i="12"/>
  <c r="B48" i="12"/>
  <c r="B49" i="12" l="1"/>
  <c r="A50" i="12"/>
  <c r="D49" i="12"/>
  <c r="D50" i="12" l="1"/>
  <c r="B50" i="12"/>
  <c r="A51" i="12"/>
  <c r="D51" i="12" l="1"/>
  <c r="A52" i="12"/>
  <c r="B51" i="12"/>
  <c r="A53" i="12" l="1"/>
  <c r="D52" i="12"/>
  <c r="B52" i="12"/>
  <c r="B53" i="12" l="1"/>
  <c r="D53" i="12"/>
  <c r="A54" i="12"/>
  <c r="D54" i="12" l="1"/>
  <c r="B54" i="12"/>
  <c r="A55" i="12"/>
  <c r="D55" i="12" l="1"/>
  <c r="A56" i="12"/>
  <c r="B55" i="12"/>
  <c r="A60" i="12" l="1" a="1"/>
  <c r="A60" i="12" s="1"/>
  <c r="D56" i="12"/>
  <c r="B56" i="12"/>
  <c r="ER51" i="8"/>
  <c r="EQ51" i="8"/>
  <c r="EP51" i="8"/>
  <c r="EO51" i="8"/>
  <c r="EN51" i="8"/>
  <c r="EM51" i="8"/>
  <c r="EL51" i="8"/>
  <c r="EK51" i="8"/>
  <c r="EJ51" i="8"/>
  <c r="EI51" i="8"/>
  <c r="EH51" i="8"/>
  <c r="EG51" i="8"/>
  <c r="EF51" i="8"/>
  <c r="EE51" i="8"/>
  <c r="ED51" i="8"/>
  <c r="EC51" i="8"/>
  <c r="EB51" i="8"/>
  <c r="EA51" i="8"/>
  <c r="DZ51" i="8"/>
  <c r="DY51" i="8"/>
  <c r="DX51" i="8"/>
  <c r="DW51" i="8"/>
  <c r="DV51" i="8"/>
  <c r="DU51" i="8"/>
  <c r="DT51" i="8"/>
  <c r="DS51" i="8"/>
  <c r="DR51" i="8"/>
  <c r="DQ51" i="8"/>
  <c r="DP51" i="8"/>
  <c r="DO51" i="8"/>
  <c r="DN51" i="8"/>
  <c r="DM51" i="8"/>
  <c r="DL51" i="8"/>
  <c r="DK51" i="8"/>
  <c r="DJ51" i="8"/>
  <c r="DI51" i="8"/>
  <c r="DH51" i="8"/>
  <c r="DG51" i="8"/>
  <c r="DF51" i="8"/>
  <c r="DE51" i="8"/>
  <c r="DD51" i="8"/>
  <c r="DC51" i="8"/>
  <c r="DB51" i="8"/>
  <c r="DA51" i="8"/>
  <c r="CZ51" i="8"/>
  <c r="CY51" i="8"/>
  <c r="CX51" i="8"/>
  <c r="CV51" i="8"/>
  <c r="CU51" i="8"/>
  <c r="CT51" i="8"/>
  <c r="CS51" i="8"/>
  <c r="CR51" i="8"/>
  <c r="CQ51" i="8"/>
  <c r="CP51" i="8"/>
  <c r="CO51" i="8"/>
  <c r="CN51" i="8"/>
  <c r="CM51" i="8"/>
  <c r="CL51" i="8"/>
  <c r="CK51" i="8"/>
  <c r="CJ51" i="8"/>
  <c r="CI51" i="8"/>
  <c r="CH51" i="8"/>
  <c r="CG51" i="8"/>
  <c r="CF51" i="8"/>
  <c r="CE51" i="8"/>
  <c r="CD51" i="8"/>
  <c r="CC51" i="8"/>
  <c r="CB51" i="8"/>
  <c r="CA51" i="8"/>
  <c r="BZ51" i="8"/>
  <c r="BY51" i="8"/>
  <c r="BX51" i="8"/>
  <c r="BW51" i="8"/>
  <c r="BV51" i="8"/>
  <c r="BU51" i="8"/>
  <c r="BT51" i="8"/>
  <c r="BS51" i="8"/>
  <c r="BR51" i="8"/>
  <c r="BQ51" i="8"/>
  <c r="BP51" i="8"/>
  <c r="BO51" i="8"/>
  <c r="BN51" i="8"/>
  <c r="BM51" i="8"/>
  <c r="BL51" i="8"/>
  <c r="BK51" i="8"/>
  <c r="BJ51" i="8"/>
  <c r="BI51" i="8"/>
  <c r="BH51" i="8"/>
  <c r="BG51" i="8"/>
  <c r="BF51" i="8"/>
  <c r="BE51" i="8"/>
  <c r="BD51" i="8"/>
  <c r="BC51" i="8"/>
  <c r="BB51" i="8"/>
  <c r="ER1" i="8"/>
  <c r="EQ1" i="8"/>
  <c r="EP1" i="8"/>
  <c r="EO1" i="8"/>
  <c r="EN1" i="8"/>
  <c r="EM1" i="8"/>
  <c r="EL1" i="8"/>
  <c r="EK1" i="8"/>
  <c r="EJ1" i="8"/>
  <c r="EI1" i="8"/>
  <c r="EH1" i="8"/>
  <c r="EG1" i="8"/>
  <c r="EF1" i="8"/>
  <c r="EE1" i="8"/>
  <c r="ED1" i="8"/>
  <c r="EC1" i="8"/>
  <c r="EB1" i="8"/>
  <c r="EA1" i="8"/>
  <c r="DZ1" i="8"/>
  <c r="DY1" i="8"/>
  <c r="DX1" i="8"/>
  <c r="DW1" i="8"/>
  <c r="DV1" i="8"/>
  <c r="DU1" i="8"/>
  <c r="DT1" i="8"/>
  <c r="DS1" i="8"/>
  <c r="DR1" i="8"/>
  <c r="DQ1" i="8"/>
  <c r="DP1" i="8"/>
  <c r="DO1" i="8"/>
  <c r="DN1" i="8"/>
  <c r="DM1" i="8"/>
  <c r="DL1" i="8"/>
  <c r="DK1" i="8"/>
  <c r="DJ1" i="8"/>
  <c r="DI1" i="8"/>
  <c r="DH1" i="8"/>
  <c r="DG1" i="8"/>
  <c r="DF1" i="8"/>
  <c r="DE1" i="8"/>
  <c r="DD1" i="8"/>
  <c r="DC1" i="8"/>
  <c r="DB1" i="8"/>
  <c r="DA1" i="8"/>
  <c r="CZ1" i="8"/>
  <c r="CY1" i="8"/>
  <c r="CX1" i="8"/>
  <c r="CV1" i="8"/>
  <c r="CU1" i="8"/>
  <c r="CT1" i="8"/>
  <c r="CS1" i="8"/>
  <c r="CR1" i="8"/>
  <c r="CQ1" i="8"/>
  <c r="CP1" i="8"/>
  <c r="CO1" i="8"/>
  <c r="CN1" i="8"/>
  <c r="CM1" i="8"/>
  <c r="CL1" i="8"/>
  <c r="CK1" i="8"/>
  <c r="CJ1" i="8"/>
  <c r="CI1" i="8"/>
  <c r="CH1" i="8"/>
  <c r="CG1" i="8"/>
  <c r="CF1" i="8"/>
  <c r="CE1" i="8"/>
  <c r="CD1" i="8"/>
  <c r="CC1" i="8"/>
  <c r="CB1" i="8"/>
  <c r="CA1" i="8"/>
  <c r="BZ1" i="8"/>
  <c r="BY1" i="8"/>
  <c r="BX1" i="8"/>
  <c r="BW1" i="8"/>
  <c r="BV1" i="8"/>
  <c r="BU1" i="8"/>
  <c r="BT1" i="8"/>
  <c r="BS1" i="8"/>
  <c r="BR1" i="8"/>
  <c r="BQ1" i="8"/>
  <c r="BP1" i="8"/>
  <c r="BO1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A2" i="17"/>
  <c r="I1" i="17"/>
  <c r="B1" i="17"/>
  <c r="I137" i="22"/>
  <c r="J137" i="22" s="1"/>
  <c r="D137" i="22"/>
  <c r="E137" i="22" s="1"/>
  <c r="I136" i="22"/>
  <c r="J136" i="22" s="1"/>
  <c r="D136" i="22"/>
  <c r="E136" i="22" s="1"/>
  <c r="I135" i="22"/>
  <c r="J135" i="22" s="1"/>
  <c r="D135" i="22"/>
  <c r="E135" i="22" s="1"/>
  <c r="I134" i="22"/>
  <c r="J134" i="22" s="1"/>
  <c r="D134" i="22"/>
  <c r="E134" i="22" s="1"/>
  <c r="I133" i="22"/>
  <c r="J133" i="22" s="1"/>
  <c r="D133" i="22"/>
  <c r="E133" i="22" s="1"/>
  <c r="I132" i="22"/>
  <c r="J132" i="22" s="1"/>
  <c r="D132" i="22"/>
  <c r="E132" i="22" s="1"/>
  <c r="I131" i="22"/>
  <c r="J131" i="22" s="1"/>
  <c r="D131" i="22"/>
  <c r="E131" i="22" s="1"/>
  <c r="I130" i="22"/>
  <c r="J130" i="22" s="1"/>
  <c r="D130" i="22"/>
  <c r="E130" i="22" s="1"/>
  <c r="I129" i="22"/>
  <c r="J129" i="22" s="1"/>
  <c r="D129" i="22"/>
  <c r="E129" i="22" s="1"/>
  <c r="I128" i="22"/>
  <c r="J128" i="22" s="1"/>
  <c r="D128" i="22"/>
  <c r="E128" i="22" s="1"/>
  <c r="I127" i="22"/>
  <c r="J127" i="22" s="1"/>
  <c r="D127" i="22"/>
  <c r="E127" i="22" s="1"/>
  <c r="I126" i="22"/>
  <c r="J126" i="22" s="1"/>
  <c r="D126" i="22"/>
  <c r="E126" i="22" s="1"/>
  <c r="I125" i="22"/>
  <c r="J125" i="22" s="1"/>
  <c r="D125" i="22"/>
  <c r="E125" i="22" s="1"/>
  <c r="I124" i="22"/>
  <c r="J124" i="22" s="1"/>
  <c r="D124" i="22"/>
  <c r="E124" i="22" s="1"/>
  <c r="I123" i="22"/>
  <c r="J123" i="22" s="1"/>
  <c r="D123" i="22"/>
  <c r="E123" i="22" s="1"/>
  <c r="I122" i="22"/>
  <c r="J122" i="22" s="1"/>
  <c r="D122" i="22"/>
  <c r="E122" i="22" s="1"/>
  <c r="I121" i="22"/>
  <c r="J121" i="22" s="1"/>
  <c r="D121" i="22"/>
  <c r="E121" i="22" s="1"/>
  <c r="I120" i="22"/>
  <c r="J120" i="22" s="1"/>
  <c r="D120" i="22"/>
  <c r="E120" i="22" s="1"/>
  <c r="I119" i="22"/>
  <c r="J119" i="22" s="1"/>
  <c r="D119" i="22"/>
  <c r="E119" i="22" s="1"/>
  <c r="I118" i="22"/>
  <c r="J118" i="22" s="1"/>
  <c r="D118" i="22"/>
  <c r="E118" i="22" s="1"/>
  <c r="I117" i="22"/>
  <c r="J117" i="22" s="1"/>
  <c r="D117" i="22"/>
  <c r="E117" i="22" s="1"/>
  <c r="I116" i="22"/>
  <c r="J116" i="22" s="1"/>
  <c r="D116" i="22"/>
  <c r="E116" i="22" s="1"/>
  <c r="I115" i="22"/>
  <c r="J115" i="22" s="1"/>
  <c r="D115" i="22"/>
  <c r="E115" i="22" s="1"/>
  <c r="I114" i="22"/>
  <c r="J114" i="22" s="1"/>
  <c r="D114" i="22"/>
  <c r="E114" i="22" s="1"/>
  <c r="I113" i="22"/>
  <c r="J113" i="22" s="1"/>
  <c r="D113" i="22"/>
  <c r="E113" i="22" s="1"/>
  <c r="I112" i="22"/>
  <c r="J112" i="22" s="1"/>
  <c r="D112" i="22"/>
  <c r="E112" i="22" s="1"/>
  <c r="I111" i="22"/>
  <c r="J111" i="22" s="1"/>
  <c r="D111" i="22"/>
  <c r="E111" i="22" s="1"/>
  <c r="I110" i="22"/>
  <c r="J110" i="22" s="1"/>
  <c r="D110" i="22"/>
  <c r="E110" i="22" s="1"/>
  <c r="I109" i="22"/>
  <c r="J109" i="22" s="1"/>
  <c r="D109" i="22"/>
  <c r="E109" i="22" s="1"/>
  <c r="I108" i="22"/>
  <c r="J108" i="22" s="1"/>
  <c r="D108" i="22"/>
  <c r="E108" i="22" s="1"/>
  <c r="I107" i="22"/>
  <c r="J107" i="22" s="1"/>
  <c r="D107" i="22"/>
  <c r="E107" i="22" s="1"/>
  <c r="I106" i="22"/>
  <c r="J106" i="22" s="1"/>
  <c r="D106" i="22"/>
  <c r="E106" i="22" s="1"/>
  <c r="I105" i="22"/>
  <c r="J105" i="22" s="1"/>
  <c r="D105" i="22"/>
  <c r="E105" i="22" s="1"/>
  <c r="I104" i="22"/>
  <c r="J104" i="22" s="1"/>
  <c r="D104" i="22"/>
  <c r="E104" i="22" s="1"/>
  <c r="I103" i="22"/>
  <c r="J103" i="22" s="1"/>
  <c r="D103" i="22"/>
  <c r="E103" i="22" s="1"/>
  <c r="I102" i="22"/>
  <c r="J102" i="22" s="1"/>
  <c r="D102" i="22"/>
  <c r="E102" i="22" s="1"/>
  <c r="I101" i="22"/>
  <c r="J101" i="22" s="1"/>
  <c r="D101" i="22"/>
  <c r="E101" i="22" s="1"/>
  <c r="I100" i="22"/>
  <c r="J100" i="22" s="1"/>
  <c r="D100" i="22"/>
  <c r="E100" i="22" s="1"/>
  <c r="I99" i="22"/>
  <c r="J99" i="22" s="1"/>
  <c r="D99" i="22"/>
  <c r="E99" i="22" s="1"/>
  <c r="I98" i="22"/>
  <c r="J98" i="22" s="1"/>
  <c r="D98" i="22"/>
  <c r="E98" i="22" s="1"/>
  <c r="I97" i="22"/>
  <c r="J97" i="22" s="1"/>
  <c r="D97" i="22"/>
  <c r="E97" i="22" s="1"/>
  <c r="I96" i="22"/>
  <c r="J96" i="22" s="1"/>
  <c r="D96" i="22"/>
  <c r="E96" i="22" s="1"/>
  <c r="I95" i="22"/>
  <c r="J95" i="22" s="1"/>
  <c r="D95" i="22"/>
  <c r="E95" i="22" s="1"/>
  <c r="I94" i="22"/>
  <c r="J94" i="22" s="1"/>
  <c r="D94" i="22"/>
  <c r="E94" i="22" s="1"/>
  <c r="I93" i="22"/>
  <c r="J93" i="22" s="1"/>
  <c r="D93" i="22"/>
  <c r="E93" i="22" s="1"/>
  <c r="ET54" i="8"/>
  <c r="BA53" i="8"/>
  <c r="HO50" i="8"/>
  <c r="HO49" i="8"/>
  <c r="HO48" i="8"/>
  <c r="HO47" i="8"/>
  <c r="HO46" i="8"/>
  <c r="HO45" i="8"/>
  <c r="HO44" i="8"/>
  <c r="HO43" i="8"/>
  <c r="HO42" i="8"/>
  <c r="HO41" i="8"/>
  <c r="HO40" i="8"/>
  <c r="HO39" i="8"/>
  <c r="HO38" i="8"/>
  <c r="HO37" i="8"/>
  <c r="HO36" i="8"/>
  <c r="HO35" i="8"/>
  <c r="HO34" i="8"/>
  <c r="HO33" i="8"/>
  <c r="HO32" i="8"/>
  <c r="HO31" i="8"/>
  <c r="HO30" i="8"/>
  <c r="HO29" i="8"/>
  <c r="HO28" i="8"/>
  <c r="HO27" i="8"/>
  <c r="HO26" i="8"/>
  <c r="HO25" i="8"/>
  <c r="HO24" i="8"/>
  <c r="HO23" i="8"/>
  <c r="HO22" i="8"/>
  <c r="HO21" i="8"/>
  <c r="HO20" i="8"/>
  <c r="HO19" i="8"/>
  <c r="HO18" i="8"/>
  <c r="HO17" i="8"/>
  <c r="HO16" i="8"/>
  <c r="HO15" i="8"/>
  <c r="HO14" i="8"/>
  <c r="HO13" i="8"/>
  <c r="HO12" i="8"/>
  <c r="HO11" i="8"/>
  <c r="HO10" i="8"/>
  <c r="HO9" i="8"/>
  <c r="HO8" i="8"/>
  <c r="HO7" i="8"/>
  <c r="HO6" i="8"/>
  <c r="HO5" i="8"/>
  <c r="HO4" i="8"/>
  <c r="ET4" i="8"/>
  <c r="HP3" i="8"/>
  <c r="FV3" i="8"/>
  <c r="BA3" i="8"/>
  <c r="AI1" i="8"/>
  <c r="AI51" i="8" s="1" a="1"/>
  <c r="AI51" i="8" s="1"/>
  <c r="E1" i="8"/>
  <c r="FO4" i="3"/>
  <c r="I137" i="7"/>
  <c r="J137" i="7" s="1"/>
  <c r="D137" i="7"/>
  <c r="E137" i="7" s="1"/>
  <c r="I136" i="7"/>
  <c r="J136" i="7" s="1"/>
  <c r="D136" i="7"/>
  <c r="E136" i="7" s="1"/>
  <c r="I135" i="7"/>
  <c r="J135" i="7" s="1"/>
  <c r="D135" i="7"/>
  <c r="E135" i="7" s="1"/>
  <c r="I134" i="7"/>
  <c r="J134" i="7" s="1"/>
  <c r="D134" i="7"/>
  <c r="E134" i="7" s="1"/>
  <c r="I133" i="7"/>
  <c r="J133" i="7" s="1"/>
  <c r="D133" i="7"/>
  <c r="E133" i="7" s="1"/>
  <c r="I132" i="7"/>
  <c r="J132" i="7" s="1"/>
  <c r="D132" i="7"/>
  <c r="E132" i="7" s="1"/>
  <c r="I131" i="7"/>
  <c r="J131" i="7" s="1"/>
  <c r="D131" i="7"/>
  <c r="E131" i="7" s="1"/>
  <c r="I130" i="7"/>
  <c r="J130" i="7" s="1"/>
  <c r="D130" i="7"/>
  <c r="E130" i="7" s="1"/>
  <c r="I129" i="7"/>
  <c r="J129" i="7" s="1"/>
  <c r="D129" i="7"/>
  <c r="E129" i="7" s="1"/>
  <c r="I128" i="7"/>
  <c r="J128" i="7" s="1"/>
  <c r="D128" i="7"/>
  <c r="E128" i="7" s="1"/>
  <c r="I127" i="7"/>
  <c r="J127" i="7" s="1"/>
  <c r="D127" i="7"/>
  <c r="E127" i="7" s="1"/>
  <c r="I126" i="7"/>
  <c r="J126" i="7" s="1"/>
  <c r="D126" i="7"/>
  <c r="E126" i="7" s="1"/>
  <c r="I125" i="7"/>
  <c r="J125" i="7" s="1"/>
  <c r="D125" i="7"/>
  <c r="E125" i="7" s="1"/>
  <c r="I124" i="7"/>
  <c r="J124" i="7" s="1"/>
  <c r="D124" i="7"/>
  <c r="E124" i="7" s="1"/>
  <c r="I123" i="7"/>
  <c r="J123" i="7" s="1"/>
  <c r="D123" i="7"/>
  <c r="E123" i="7" s="1"/>
  <c r="I122" i="7"/>
  <c r="J122" i="7" s="1"/>
  <c r="D122" i="7"/>
  <c r="E122" i="7" s="1"/>
  <c r="I121" i="7"/>
  <c r="J121" i="7" s="1"/>
  <c r="D121" i="7"/>
  <c r="E121" i="7" s="1"/>
  <c r="I120" i="7"/>
  <c r="J120" i="7" s="1"/>
  <c r="D120" i="7"/>
  <c r="E120" i="7" s="1"/>
  <c r="I119" i="7"/>
  <c r="J119" i="7" s="1"/>
  <c r="D119" i="7"/>
  <c r="E119" i="7" s="1"/>
  <c r="I118" i="7"/>
  <c r="J118" i="7" s="1"/>
  <c r="D118" i="7"/>
  <c r="E118" i="7" s="1"/>
  <c r="I117" i="7"/>
  <c r="J117" i="7" s="1"/>
  <c r="D117" i="7"/>
  <c r="E117" i="7" s="1"/>
  <c r="I116" i="7"/>
  <c r="J116" i="7" s="1"/>
  <c r="D116" i="7"/>
  <c r="E116" i="7" s="1"/>
  <c r="I115" i="7"/>
  <c r="J115" i="7" s="1"/>
  <c r="D115" i="7"/>
  <c r="E115" i="7" s="1"/>
  <c r="I114" i="7"/>
  <c r="J114" i="7" s="1"/>
  <c r="D114" i="7"/>
  <c r="E114" i="7" s="1"/>
  <c r="I113" i="7"/>
  <c r="J113" i="7" s="1"/>
  <c r="D113" i="7"/>
  <c r="E113" i="7" s="1"/>
  <c r="I112" i="7"/>
  <c r="J112" i="7" s="1"/>
  <c r="D112" i="7"/>
  <c r="E112" i="7" s="1"/>
  <c r="I111" i="7"/>
  <c r="J111" i="7" s="1"/>
  <c r="D111" i="7"/>
  <c r="E111" i="7" s="1"/>
  <c r="I110" i="7"/>
  <c r="J110" i="7" s="1"/>
  <c r="D110" i="7"/>
  <c r="E110" i="7" s="1"/>
  <c r="I109" i="7"/>
  <c r="J109" i="7" s="1"/>
  <c r="D109" i="7"/>
  <c r="E109" i="7" s="1"/>
  <c r="I108" i="7"/>
  <c r="J108" i="7" s="1"/>
  <c r="D108" i="7"/>
  <c r="E108" i="7" s="1"/>
  <c r="I107" i="7"/>
  <c r="J107" i="7" s="1"/>
  <c r="D107" i="7"/>
  <c r="E107" i="7" s="1"/>
  <c r="I106" i="7"/>
  <c r="J106" i="7" s="1"/>
  <c r="D106" i="7"/>
  <c r="E106" i="7" s="1"/>
  <c r="I105" i="7"/>
  <c r="J105" i="7" s="1"/>
  <c r="D105" i="7"/>
  <c r="E105" i="7" s="1"/>
  <c r="I104" i="7"/>
  <c r="J104" i="7" s="1"/>
  <c r="D104" i="7"/>
  <c r="E104" i="7" s="1"/>
  <c r="I103" i="7"/>
  <c r="J103" i="7" s="1"/>
  <c r="D103" i="7"/>
  <c r="E103" i="7" s="1"/>
  <c r="I102" i="7"/>
  <c r="J102" i="7" s="1"/>
  <c r="D102" i="7"/>
  <c r="E102" i="7" s="1"/>
  <c r="I101" i="7"/>
  <c r="J101" i="7" s="1"/>
  <c r="D101" i="7"/>
  <c r="E101" i="7" s="1"/>
  <c r="I100" i="7"/>
  <c r="J100" i="7" s="1"/>
  <c r="D100" i="7"/>
  <c r="E100" i="7" s="1"/>
  <c r="I99" i="7"/>
  <c r="J99" i="7" s="1"/>
  <c r="D99" i="7"/>
  <c r="E99" i="7" s="1"/>
  <c r="I98" i="7"/>
  <c r="J98" i="7" s="1"/>
  <c r="D98" i="7"/>
  <c r="E98" i="7" s="1"/>
  <c r="I97" i="7"/>
  <c r="J97" i="7" s="1"/>
  <c r="D97" i="7"/>
  <c r="E97" i="7" s="1"/>
  <c r="I96" i="7"/>
  <c r="J96" i="7" s="1"/>
  <c r="D96" i="7"/>
  <c r="E96" i="7" s="1"/>
  <c r="I95" i="7"/>
  <c r="J95" i="7" s="1"/>
  <c r="D95" i="7"/>
  <c r="E95" i="7" s="1"/>
  <c r="I94" i="7"/>
  <c r="J94" i="7" s="1"/>
  <c r="D94" i="7"/>
  <c r="E94" i="7" s="1"/>
  <c r="I93" i="7"/>
  <c r="J93" i="7" s="1"/>
  <c r="J138" i="7" l="1"/>
  <c r="J138" i="22"/>
  <c r="E138" i="7"/>
  <c r="N29" i="9" s="1"/>
  <c r="E138" i="22"/>
  <c r="BA1" i="8" a="1"/>
  <c r="BA1" i="8" s="1"/>
  <c r="E51" i="8" a="1"/>
  <c r="E51" i="8" s="1"/>
  <c r="CW1" i="8" a="1"/>
  <c r="CW1" i="8" s="1"/>
  <c r="M138" i="22" l="1"/>
  <c r="M138" i="7"/>
  <c r="BA51" i="8" a="1"/>
  <c r="BA51" i="8" s="1"/>
  <c r="CW51" i="8" a="1"/>
  <c r="CW5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tc={362A7306-B7E9-4AF6-9FED-F43A025E9A40}</author>
  </authors>
  <commentList>
    <comment ref="M1" authorId="0" shapeId="0" xr:uid="{362A7306-B7E9-4AF6-9FED-F43A025E9A40}">
      <text>
        <t>[Threaded comment]
Your version of Excel allows you to read this threaded comment; however, any edits to it will get removed if the file is opened in a newer version of Excel. Learn more: https://go.microsoft.com/fwlink/?linkid=870924
Comment:
    DETAIL TH ET PW DANS BARRE DE PROGRESSION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tc={2728FE20-FE85-4946-91A2-06A53CDBFAFF}</author>
    <author>tc={9ECAE2EC-AC14-49B6-A4D8-316B0EC0F314}</author>
    <author>tc={8203FD48-7BC1-449E-8487-2B89A6B38EE8}</author>
    <author>tc={2684AC0E-D310-44A0-B803-7985969C4668}</author>
    <author>tc={98A27A8A-9A64-4C65-BC44-7A4FA02CCE30}</author>
    <author>tc={0F5DE451-4748-4751-A4CD-7BA102F1B57E}</author>
    <author>tc={4A1F5B4B-EEEC-41C8-AFF2-42D7CA4ED12D}</author>
    <author>tc={A5321467-C35D-48C3-9F23-1DF975F68642}</author>
    <author>tc={0E32EAD3-B5E1-4FDB-A294-5647A38ABBC1}</author>
    <author>tc={9EEC5929-CE6A-47D6-9EC7-52A57D3DEE83}</author>
    <author>tc={A531C8B3-A0D8-479A-A824-BAADC11C41A5}</author>
    <author>tc={678128CA-231D-4A89-8AFB-F6804D55A109}</author>
    <author>tc={6C35900F-9999-4BB0-BDA0-7A21CC14B11F}</author>
    <author>tc={BE5AFFA0-8B2D-4D36-ABD5-8136ACC04DAD}</author>
    <author>tc={D12F23CE-8984-46F6-94E7-9FE5AA40CD1D}</author>
    <author>tc={76B4B922-96A2-4BE2-8840-E2C2DF9330A2}</author>
    <author>tc={612665AA-6CFE-4B97-B1B7-0E77F6B85CE3}</author>
    <author>tc={44C3131F-95C9-4E51-83D3-AC4338AD7885}</author>
    <author>tc={F45FE10D-4CCA-48EE-B475-21BF52126961}</author>
  </authors>
  <commentList>
    <comment ref="K21" authorId="0" shapeId="0" xr:uid="{2728FE20-FE85-4946-91A2-06A53CDBFA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14/10/25
</t>
      </text>
    </comment>
    <comment ref="AB29" authorId="1" shapeId="0" xr:uid="{9ECAE2EC-AC14-49B6-A4D8-316B0EC0F314}">
      <text>
        <t>[Threaded comment]
Your version of Excel allows you to read this threaded comment; however, any edits to it will get removed if the file is opened in a newer version of Excel. Learn more: https://go.microsoft.com/fwlink/?linkid=870924
Comment:
    Rattrapage 04/03/2026</t>
      </text>
    </comment>
    <comment ref="AH29" authorId="2" shapeId="0" xr:uid="{8203FD48-7BC1-449E-8487-2B89A6B38EE8}">
      <text>
        <t>[Threaded comment]
Your version of Excel allows you to read this threaded comment; however, any edits to it will get removed if the file is opened in a newer version of Excel. Learn more: https://go.microsoft.com/fwlink/?linkid=870924
Comment:
    Rattrapage 04/03/2026</t>
      </text>
    </comment>
    <comment ref="AM39" authorId="3" shapeId="0" xr:uid="{2684AC0E-D310-44A0-B803-7985969C4668}">
      <text>
        <t>[Threaded comment]
Your version of Excel allows you to read this threaded comment; however, any edits to it will get removed if the file is opened in a newer version of Excel. Learn more: https://go.microsoft.com/fwlink/?linkid=870924
Comment:
    06/10/25</t>
      </text>
    </comment>
    <comment ref="AS39" authorId="4" shapeId="0" xr:uid="{98A27A8A-9A64-4C65-BC44-7A4FA02CCE30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Incohérence entre les dates  colonnes AM &amp; AS. Correction appliquée : 
- colonne AM : "P" --&gt; "R"</t>
      </text>
    </comment>
    <comment ref="AM40" authorId="5" shapeId="0" xr:uid="{0F5DE451-4748-4751-A4CD-7BA102F1B57E}">
      <text>
        <t>[Threaded comment]
Your version of Excel allows you to read this threaded comment; however, any edits to it will get removed if the file is opened in a newer version of Excel. Learn more: https://go.microsoft.com/fwlink/?linkid=870924
Comment:
    07/10</t>
      </text>
    </comment>
    <comment ref="AS40" authorId="6" shapeId="0" xr:uid="{4A1F5B4B-EEEC-41C8-AFF2-42D7CA4ED12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Incohérence entre les dates  colonnes AM &amp; AS. Correction appliquée : 
- AM : "P" --&gt; "R"</t>
      </text>
    </comment>
    <comment ref="P41" authorId="7" shapeId="0" xr:uid="{A5321467-C35D-48C3-9F23-1DF975F68642}">
      <text>
        <t>[Threaded comment]
Your version of Excel allows you to read this threaded comment; however, any edits to it will get removed if the file is opened in a newer version of Excel. Learn more: https://go.microsoft.com/fwlink/?linkid=870924
Comment:
    05/03/26</t>
      </text>
    </comment>
    <comment ref="V41" authorId="8" shapeId="0" xr:uid="{0E32EAD3-B5E1-4FDB-A294-5647A38ABB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05/03/26
</t>
      </text>
    </comment>
    <comment ref="AM41" authorId="9" shapeId="0" xr:uid="{9EEC5929-CE6A-47D6-9EC7-52A57D3DEE83}">
      <text>
        <t>[Threaded comment]
Your version of Excel allows you to read this threaded comment; however, any edits to it will get removed if the file is opened in a newer version of Excel. Learn more: https://go.microsoft.com/fwlink/?linkid=870924
Comment:
    16/10</t>
      </text>
    </comment>
    <comment ref="AS41" authorId="10" shapeId="0" xr:uid="{A531C8B3-A0D8-479A-A824-BAADC11C41A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Incohérence entre les dates  colonnes AM &amp; AS. Correction appliquée : 
- AM : "P" --&gt; "R"</t>
      </text>
    </comment>
    <comment ref="AM42" authorId="11" shapeId="0" xr:uid="{678128CA-231D-4A89-8AFB-F6804D55A1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15/10
</t>
      </text>
    </comment>
    <comment ref="AS42" authorId="12" shapeId="0" xr:uid="{6C35900F-9999-4BB0-BDA0-7A21CC14B11F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Incohérence entre les dates  colonnes AM &amp; AS. Correction appliquée : 
- AM : "P" --&gt; "R"</t>
      </text>
    </comment>
    <comment ref="AM43" authorId="13" shapeId="0" xr:uid="{BE5AFFA0-8B2D-4D36-ABD5-8136ACC04DAD}">
      <text>
        <t>[Threaded comment]
Your version of Excel allows you to read this threaded comment; however, any edits to it will get removed if the file is opened in a newer version of Excel. Learn more: https://go.microsoft.com/fwlink/?linkid=870924
Comment:
    22/10</t>
      </text>
    </comment>
    <comment ref="AS43" authorId="14" shapeId="0" xr:uid="{D12F23CE-8984-46F6-94E7-9FE5AA40CD1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Incohérence entre les dates  colonnes AM &amp; AS. Correction appliquée : 
- AM : "P" --&gt; "R"</t>
      </text>
    </comment>
    <comment ref="AM44" authorId="15" shapeId="0" xr:uid="{76B4B922-96A2-4BE2-8840-E2C2DF9330A2}">
      <text>
        <t>[Threaded comment]
Your version of Excel allows you to read this threaded comment; however, any edits to it will get removed if the file is opened in a newer version of Excel. Learn more: https://go.microsoft.com/fwlink/?linkid=870924
Comment:
    09/10</t>
      </text>
    </comment>
    <comment ref="AS44" authorId="16" shapeId="0" xr:uid="{612665AA-6CFE-4B97-B1B7-0E77F6B85CE3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Incohérence entre les dates  colonnes AM &amp; AS. Correction appliquée : 
- AM : "P" --&gt; "R"</t>
      </text>
    </comment>
    <comment ref="AM45" authorId="17" shapeId="0" xr:uid="{44C3131F-95C9-4E51-83D3-AC4338AD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14/10</t>
      </text>
    </comment>
    <comment ref="AS45" authorId="18" shapeId="0" xr:uid="{F45FE10D-4CCA-48EE-B475-21BF52126961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Incohérence entre les dates  colonnes AM &amp; AS. Correction appliquée : 
- AM : "P" --&gt; "R"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tc={99A0E7B6-629B-45D1-8B2F-ED1DB1E4F64F}</author>
    <author>tc={9C19A91B-2F7B-42D6-9282-D6BFE6597D78}</author>
    <author>tc={A0821213-6799-4FDD-818D-D28C1F86EFB5}</author>
  </authors>
  <commentList>
    <comment ref="AS16" authorId="0" shapeId="0" xr:uid="{99A0E7B6-629B-45D1-8B2F-ED1DB1E4F64F}">
      <text>
        <t>[Threaded comment]
Your version of Excel allows you to read this threaded comment; however, any edits to it will get removed if the file is opened in a newer version of Excel. Learn more: https://go.microsoft.com/fwlink/?linkid=870924
Comment:
    4 credit / 8
Reply:
    8/8 credit 13/01/26</t>
      </text>
    </comment>
    <comment ref="AT16" authorId="1" shapeId="0" xr:uid="{9C19A91B-2F7B-42D6-9282-D6BFE6597D78}">
      <text>
        <t>[Threaded comment]
Your version of Excel allows you to read this threaded comment; however, any edits to it will get removed if the file is opened in a newer version of Excel. Learn more: https://go.microsoft.com/fwlink/?linkid=870924
Comment:
    Credits 3&amp;4: 05/03/2026
IAT attendance 2/2
Reply:
    Credit 5 et 6 
09/03
Reply:
    Credits 7-8: 10/03/2026</t>
      </text>
    </comment>
    <comment ref="AS25" authorId="2" shapeId="0" xr:uid="{A0821213-6799-4FDD-818D-D28C1F86EFB5}">
      <text>
        <t>[Threaded comment]
Your version of Excel allows you to read this threaded comment; however, any edits to it will get removed if the file is opened in a newer version of Excel. Learn more: https://go.microsoft.com/fwlink/?linkid=870924
Comment:
    4/4 credits 19/01/26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tc={251E2937-9EC3-4DDC-8F1F-B676D59E68E3}</author>
    <author>tc={C6648A83-1C0C-4B28-B912-1C0D4C1E2776}</author>
    <author>tc={B00320EA-127A-4F25-BFA3-7C606AF485E3}</author>
    <author>tc={D4DFB52A-5A78-47AA-8D44-30D075F586EE}</author>
    <author>tc={9183246A-EE41-42E8-9884-61916CBFB605}</author>
  </authors>
  <commentList>
    <comment ref="Q30" authorId="0" shapeId="0" xr:uid="{251E2937-9EC3-4DDC-8F1F-B676D59E68E3}">
      <text>
        <t>[Threaded comment]
Your version of Excel allows you to read this threaded comment; however, any edits to it will get removed if the file is opened in a newer version of Excel. Learn more: https://go.microsoft.com/fwlink/?linkid=870924
Comment:
    FAILED</t>
      </text>
    </comment>
    <comment ref="Q31" authorId="1" shapeId="0" xr:uid="{C6648A83-1C0C-4B28-B912-1C0D4C1E2776}">
      <text>
        <t>[Threaded comment]
Your version of Excel allows you to read this threaded comment; however, any edits to it will get removed if the file is opened in a newer version of Excel. Learn more: https://go.microsoft.com/fwlink/?linkid=870924
Comment:
    FAILED</t>
      </text>
    </comment>
    <comment ref="W44" authorId="2" shapeId="0" xr:uid="{B00320EA-127A-4F25-BFA3-7C606AF485E3}">
      <text>
        <t>[Threaded comment]
Your version of Excel allows you to read this threaded comment; however, any edits to it will get removed if the file is opened in a newer version of Excel. Learn more: https://go.microsoft.com/fwlink/?linkid=870924
Comment:
    2credit sur 6
Reply:
    Crash lion air fait</t>
      </text>
    </comment>
    <comment ref="AO44" authorId="3" shapeId="0" xr:uid="{D4DFB52A-5A78-47AA-8D44-30D075F586EE}">
      <text>
        <t>[Threaded comment]
Your version of Excel allows you to read this threaded comment; however, any edits to it will get removed if the file is opened in a newer version of Excel. Learn more: https://go.microsoft.com/fwlink/?linkid=870924
Comment:
    Crash analysis effectué 10/06</t>
      </text>
    </comment>
    <comment ref="BE44" authorId="4" shapeId="0" xr:uid="{9183246A-EE41-42E8-9884-61916CBFB605}">
      <text>
        <t>[Threaded comment]
Your version of Excel allows you to read this threaded comment; however, any edits to it will get removed if the file is opened in a newer version of Excel. Learn more: https://go.microsoft.com/fwlink/?linkid=870924
Comment:
    2 credits / 6 faits le 02/06/26
Reply:
    4 crédits le 11/06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tc={19968924-B5EC-4DC4-A2FE-447BFB9B5A59}</author>
    <author>tc={8E38237B-466D-4FDD-B503-F30B0FB15117}</author>
  </authors>
  <commentList>
    <comment ref="AA15" authorId="0" shapeId="0" xr:uid="{19968924-B5EC-4DC4-A2FE-447BFB9B5A59}">
      <text>
        <t>[Threaded comment]
Your version of Excel allows you to read this threaded comment; however, any edits to it will get removed if the file is opened in a newer version of Excel. Learn more: https://go.microsoft.com/fwlink/?linkid=870924
Comment:
    A faire Olivier 9 septembre</t>
      </text>
    </comment>
    <comment ref="AG15" authorId="1" shapeId="0" xr:uid="{8E38237B-466D-4FDD-B503-F30B0FB15117}">
      <text>
        <t>[Threaded comment]
Your version of Excel allows you to read this threaded comment; however, any edits to it will get removed if the file is opened in a newer version of Excel. Learn more: https://go.microsoft.com/fwlink/?linkid=870924
Comment:
    A faire Olivier 9 Septembre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tc={85148593-6654-4A31-8040-1A9B1B1C21C7}</author>
    <author>tc={7A8AC5BC-61AB-4F18-96F7-0C41D9A8E88A}</author>
    <author>tc={729FD759-D49A-4F0B-8CD4-1D3276C17B60}</author>
    <author>tc={76EDBCA4-CAE5-433E-ADA0-C897DCB402B7}</author>
    <author>tc={4A60D5EF-49A7-41A9-8F8F-EAA56A1BB3A4}</author>
    <author>tc={ED6F4A85-CC55-426A-B3AC-CE2865EE662C}</author>
  </authors>
  <commentList>
    <comment ref="O7" authorId="0" shapeId="0" xr:uid="{85148593-6654-4A31-8040-1A9B1B1C21C7}">
      <text>
        <t>[Threaded comment]
Your version of Excel allows you to read this threaded comment; however, any edits to it will get removed if the file is opened in a newer version of Excel. Learn more: https://go.microsoft.com/fwlink/?linkid=870924
Comment:
    A faire: Rattraper jusqu'à slide 20
Reply:
    Rattraper par IATs (Quelques infos manquantes-Complété par FT)
Le 3/9/25</t>
      </text>
    </comment>
    <comment ref="BE13" authorId="1" shapeId="0" xr:uid="{7A8AC5BC-61AB-4F18-96F7-0C41D9A8E88A}">
      <text>
        <t>[Threaded comment]
Your version of Excel allows you to read this threaded comment; however, any edits to it will get removed if the file is opened in a newer version of Excel. Learn more: https://go.microsoft.com/fwlink/?linkid=870924
Comment:
    Maladie
Reply:
    rattrapé par les deux autres IATS</t>
      </text>
    </comment>
    <comment ref="AY16" authorId="2" shapeId="0" xr:uid="{729FD759-D49A-4F0B-8CD4-1D3276C17B6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Rattrapé par Fajar</t>
      </text>
    </comment>
    <comment ref="AA23" authorId="3" shapeId="0" xr:uid="{76EDBCA4-CAE5-433E-ADA0-C897DCB402B7}">
      <text>
        <t>[Threaded comment]
Your version of Excel allows you to read this threaded comment; however, any edits to it will get removed if the file is opened in a newer version of Excel. Learn more: https://go.microsoft.com/fwlink/?linkid=870924
Comment:
    Caught up 24/07/26</t>
      </text>
    </comment>
    <comment ref="AM26" authorId="4" shapeId="0" xr:uid="{4A60D5EF-49A7-41A9-8F8F-EAA56A1BB3A4}">
      <text>
        <t>[Threaded comment]
Your version of Excel allows you to read this threaded comment; however, any edits to it will get removed if the file is opened in a newer version of Excel. Learn more: https://go.microsoft.com/fwlink/?linkid=870924
Comment:
    Absence complète: maladie</t>
      </text>
    </comment>
    <comment ref="C39" authorId="5" shapeId="0" xr:uid="{ED6F4A85-CC55-426A-B3AC-CE2865EE6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Présent : 50% début
Reply:
    Rattrapé avec FAIZ et RIRIS en professeurs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tc={65146CE1-C39E-423A-B899-11427065D2D2}</author>
  </authors>
  <commentList>
    <comment ref="O25" authorId="0" shapeId="0" xr:uid="{65146CE1-C39E-423A-B899-11427065D2D2}">
      <text>
        <t>[Threaded comment]
Your version of Excel allows you to read this threaded comment; however, any edits to it will get removed if the file is opened in a newer version of Excel. Learn more: https://go.microsoft.com/fwlink/?linkid=870924
Comment:
    5/8/26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tc={8F212F8E-E2A4-4E9B-A3EE-793FA383E876}</author>
    <author>tc={3FCE0B58-8B74-4910-8067-1A19AD710246}</author>
    <author>tc={EB8E40BE-2FF3-4D0F-A565-3F4F3B6D2A96}</author>
  </authors>
  <commentList>
    <comment ref="AA13" authorId="0" shapeId="0" xr:uid="{8F212F8E-E2A4-4E9B-A3EE-793FA383E876}">
      <text>
        <t>[Threaded comment]
Your version of Excel allows you to read this threaded comment; however, any edits to it will get removed if the file is opened in a newer version of Excel. Learn more: https://go.microsoft.com/fwlink/?linkid=870924
Comment:
    6-8-26</t>
      </text>
    </comment>
    <comment ref="O22" authorId="1" shapeId="0" xr:uid="{3FCE0B58-8B74-4910-8067-1A19AD710246}">
      <text>
        <t>[Threaded comment]
Your version of Excel allows you to read this threaded comment; however, any edits to it will get removed if the file is opened in a newer version of Excel. Learn more: https://go.microsoft.com/fwlink/?linkid=870924
Comment:
    Viewed during TASYA's step C 28/07/26</t>
      </text>
    </comment>
    <comment ref="O37" authorId="2" shapeId="0" xr:uid="{EB8E40BE-2FF3-4D0F-A565-3F4F3B6D2A96}">
      <text>
        <t>[Threaded comment]
Your version of Excel allows you to read this threaded comment; however, any edits to it will get removed if the file is opened in a newer version of Excel. Learn more: https://go.microsoft.com/fwlink/?linkid=870924
Comment:
    07/08/26: vu avec Tasya en step C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tc={2D2BAEBA-7B92-4D68-961D-4A2C22E9F714}</author>
  </authors>
  <commentList>
    <comment ref="BK14" authorId="0" shapeId="0" xr:uid="{2D2BAEBA-7B92-4D68-961D-4A2C22E9F7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seul credit réalisé au 30/04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<sst xmlns="http://schemas.openxmlformats.org/spreadsheetml/2006/main" count="9218" uniqueCount="461">
  <si>
    <t>week</t>
  </si>
  <si>
    <t>scheduled</t>
  </si>
  <si>
    <t>Month</t>
  </si>
  <si>
    <t>MLG</t>
  </si>
  <si>
    <t>CMI</t>
  </si>
  <si>
    <t xml:space="preserve">IAT Progression </t>
  </si>
  <si>
    <t>DELIVERY RATE</t>
  </si>
  <si>
    <t>P0 ITEMS NOT DELIVERED</t>
  </si>
  <si>
    <t>CAPEX-017</t>
  </si>
  <si>
    <t>Software</t>
  </si>
  <si>
    <t>CAPEX-036</t>
  </si>
  <si>
    <t>Elastic membrane manoscope</t>
  </si>
  <si>
    <t>CAPEX-056</t>
  </si>
  <si>
    <t>Transformer training kit</t>
  </si>
  <si>
    <t>CAPEX-074</t>
  </si>
  <si>
    <t>Acoustic kit</t>
  </si>
  <si>
    <t>CAPEX-077</t>
  </si>
  <si>
    <t>Kit Electricity and electromagnetism</t>
  </si>
  <si>
    <t>CAPEX-080</t>
  </si>
  <si>
    <t>Power Kit</t>
  </si>
  <si>
    <t>CAPEX-081</t>
  </si>
  <si>
    <t>Electromagnetic induction</t>
  </si>
  <si>
    <t/>
  </si>
  <si>
    <t>IAT attendance rate</t>
  </si>
  <si>
    <t>THEORIE</t>
  </si>
  <si>
    <t>Pratique</t>
  </si>
  <si>
    <t>IAT</t>
  </si>
  <si>
    <t>GRADE</t>
  </si>
  <si>
    <t>LESSON</t>
  </si>
  <si>
    <t>A</t>
  </si>
  <si>
    <t>B</t>
  </si>
  <si>
    <t>C</t>
  </si>
  <si>
    <t>VALIDATION</t>
  </si>
  <si>
    <t>D</t>
  </si>
  <si>
    <t>TASYA</t>
  </si>
  <si>
    <t>1.1.1</t>
  </si>
  <si>
    <t>2.1.1</t>
  </si>
  <si>
    <t>2.1.2</t>
  </si>
  <si>
    <t>2.1.3</t>
  </si>
  <si>
    <t>2.1.4</t>
  </si>
  <si>
    <t>2.1.5</t>
  </si>
  <si>
    <t>2.1.6</t>
  </si>
  <si>
    <t>2.2.1</t>
  </si>
  <si>
    <t>2.3.1</t>
  </si>
  <si>
    <t>2.3.2</t>
  </si>
  <si>
    <t>2.3.3</t>
  </si>
  <si>
    <t>2.3.4</t>
  </si>
  <si>
    <t>2.4.1</t>
  </si>
  <si>
    <t>2.5.1</t>
  </si>
  <si>
    <t>3A.1.1</t>
  </si>
  <si>
    <t>3A.2.1</t>
  </si>
  <si>
    <t>3A.3.1</t>
  </si>
  <si>
    <t>3A.3.2</t>
  </si>
  <si>
    <t>4A.1.1</t>
  </si>
  <si>
    <t>4A.1.2</t>
  </si>
  <si>
    <t>4A.1.3</t>
  </si>
  <si>
    <t>4A.1.4</t>
  </si>
  <si>
    <t>4A.1.5</t>
  </si>
  <si>
    <t>4A.1.6</t>
  </si>
  <si>
    <t>4A.2.1</t>
  </si>
  <si>
    <t>4A.2.2</t>
  </si>
  <si>
    <t>4A.2.3</t>
  </si>
  <si>
    <t>4A.3.1</t>
  </si>
  <si>
    <t>4A.3.2</t>
  </si>
  <si>
    <t>4A.3.3</t>
  </si>
  <si>
    <t>5A.1.1</t>
  </si>
  <si>
    <t>5A.1.2</t>
  </si>
  <si>
    <t>5A.2.1</t>
  </si>
  <si>
    <t>5A.2.2</t>
  </si>
  <si>
    <t>6A.1.1</t>
  </si>
  <si>
    <t>6A.1.2</t>
  </si>
  <si>
    <t>6A.2.1</t>
  </si>
  <si>
    <t>6A.2.2</t>
  </si>
  <si>
    <t>6A.2.3</t>
  </si>
  <si>
    <t>7A.1.1</t>
  </si>
  <si>
    <t>7A.1.2</t>
  </si>
  <si>
    <t>7A.1.3</t>
  </si>
  <si>
    <t>7A.1.4</t>
  </si>
  <si>
    <t>7A.1.5</t>
  </si>
  <si>
    <t>7A.1.6</t>
  </si>
  <si>
    <t>9.1.1</t>
  </si>
  <si>
    <t>9.1.2</t>
  </si>
  <si>
    <t>9.1.3</t>
  </si>
  <si>
    <t>9.2.1</t>
  </si>
  <si>
    <t>9.3.1</t>
  </si>
  <si>
    <t>9.4.1</t>
  </si>
  <si>
    <t>3B.1.1</t>
  </si>
  <si>
    <t>3B.1.2</t>
  </si>
  <si>
    <t>3B.2.1</t>
  </si>
  <si>
    <t>3B.2.2</t>
  </si>
  <si>
    <t>3B.2.3</t>
  </si>
  <si>
    <t>3B.3.1</t>
  </si>
  <si>
    <t>3B.3.2</t>
  </si>
  <si>
    <t>4B.1.1</t>
  </si>
  <si>
    <t>4B.1.2</t>
  </si>
  <si>
    <t>4B.1.4</t>
  </si>
  <si>
    <t>4B.2.1</t>
  </si>
  <si>
    <t>4B.2.3</t>
  </si>
  <si>
    <t>4B.3.1</t>
  </si>
  <si>
    <t>4B.3.2</t>
  </si>
  <si>
    <t>4B.3.3</t>
  </si>
  <si>
    <t>4B.3.4</t>
  </si>
  <si>
    <t>4B.3.5</t>
  </si>
  <si>
    <t>4B.3.6</t>
  </si>
  <si>
    <t>4B.3.7</t>
  </si>
  <si>
    <t>4B.3.8</t>
  </si>
  <si>
    <t>5B.1.1</t>
  </si>
  <si>
    <t>5B.1.2</t>
  </si>
  <si>
    <t>5B.1.3</t>
  </si>
  <si>
    <t>5B.2.1</t>
  </si>
  <si>
    <t>5B.3.1</t>
  </si>
  <si>
    <t>5B.3.2</t>
  </si>
  <si>
    <t>5B.3.3</t>
  </si>
  <si>
    <t>10A.1.1</t>
  </si>
  <si>
    <t>10A.1.2</t>
  </si>
  <si>
    <t>10A.1.3</t>
  </si>
  <si>
    <t>11A.1.1</t>
  </si>
  <si>
    <t>11A.2.1</t>
  </si>
  <si>
    <t>7B.1.1</t>
  </si>
  <si>
    <t>7B.1.2</t>
  </si>
  <si>
    <t>7B.1.3</t>
  </si>
  <si>
    <t>7B.1.4</t>
  </si>
  <si>
    <t>3C.1.1</t>
  </si>
  <si>
    <t>3C.1.2</t>
  </si>
  <si>
    <t>3C.1.3</t>
  </si>
  <si>
    <t>3C.2.1</t>
  </si>
  <si>
    <t>4C.1.1</t>
  </si>
  <si>
    <t>4C.2.1</t>
  </si>
  <si>
    <t>4C.3.1</t>
  </si>
  <si>
    <t>4C.4.1</t>
  </si>
  <si>
    <t>4C.5.1</t>
  </si>
  <si>
    <t>4C.6.1</t>
  </si>
  <si>
    <t>5C.1.1</t>
  </si>
  <si>
    <t>5C.1.2</t>
  </si>
  <si>
    <t>5C.1.3</t>
  </si>
  <si>
    <t>5C.1.4</t>
  </si>
  <si>
    <t>5C.1.5</t>
  </si>
  <si>
    <t>5C.2.1</t>
  </si>
  <si>
    <t>5C.3.1</t>
  </si>
  <si>
    <t>5C.3.2</t>
  </si>
  <si>
    <t>5C.3.3</t>
  </si>
  <si>
    <t>5C.3.4</t>
  </si>
  <si>
    <t>10B.1.1</t>
  </si>
  <si>
    <t>10B.1.2</t>
  </si>
  <si>
    <t>10B.1.3</t>
  </si>
  <si>
    <t>10B.1.4</t>
  </si>
  <si>
    <t>10B.1.5</t>
  </si>
  <si>
    <t>10B.1.6</t>
  </si>
  <si>
    <t>11B.1.1</t>
  </si>
  <si>
    <t>11B.1.2</t>
  </si>
  <si>
    <t>11B.1.3</t>
  </si>
  <si>
    <t>7C.1.1</t>
  </si>
  <si>
    <t>7C.1.2</t>
  </si>
  <si>
    <t>7C.1.3</t>
  </si>
  <si>
    <t>7C.1.4</t>
  </si>
  <si>
    <t>7C.1.5</t>
  </si>
  <si>
    <t>7C.1.6</t>
  </si>
  <si>
    <t>12.1.1</t>
  </si>
  <si>
    <t>12.1.2</t>
  </si>
  <si>
    <t>12.2.1</t>
  </si>
  <si>
    <t>12.3.1</t>
  </si>
  <si>
    <t>12.3.2</t>
  </si>
  <si>
    <t>12.3.3</t>
  </si>
  <si>
    <t>12.3.4</t>
  </si>
  <si>
    <t>FAIZ</t>
  </si>
  <si>
    <t>RIRIS</t>
  </si>
  <si>
    <t>BIMA</t>
  </si>
  <si>
    <t>RIFQI</t>
  </si>
  <si>
    <t>ARIFAH</t>
  </si>
  <si>
    <t>DEVI</t>
  </si>
  <si>
    <t>AINUR</t>
  </si>
  <si>
    <t>FAJAR</t>
  </si>
  <si>
    <t>ALIF</t>
  </si>
  <si>
    <t>ABSENT</t>
  </si>
  <si>
    <t>F</t>
  </si>
  <si>
    <t>FAILED (STEPS C/D ONLY)</t>
  </si>
  <si>
    <t>P</t>
  </si>
  <si>
    <t>PRESENT</t>
  </si>
  <si>
    <t>R</t>
  </si>
  <si>
    <t>REMEDIAL</t>
  </si>
  <si>
    <t>O</t>
  </si>
  <si>
    <t>OPTIONAL</t>
  </si>
  <si>
    <t>Cours Planifié</t>
  </si>
  <si>
    <t>X</t>
  </si>
  <si>
    <t>PARTIAL PRESENCE</t>
  </si>
  <si>
    <t>A CORRIGER</t>
  </si>
  <si>
    <t>DIKI</t>
  </si>
  <si>
    <t>RIZKI</t>
  </si>
  <si>
    <t>GITA</t>
  </si>
  <si>
    <t>GHATA</t>
  </si>
  <si>
    <t>RAHMAT</t>
  </si>
  <si>
    <t>AYUTYASTUTI</t>
  </si>
  <si>
    <t>KARTIKA</t>
  </si>
  <si>
    <t>DATE DE DIFFUSION</t>
  </si>
  <si>
    <t>Batch#1</t>
  </si>
  <si>
    <t>C1</t>
  </si>
  <si>
    <t>C2</t>
  </si>
  <si>
    <t>C3</t>
  </si>
  <si>
    <t>Batch#2</t>
  </si>
  <si>
    <t>RIZKY</t>
  </si>
  <si>
    <t>4B.1.3</t>
  </si>
  <si>
    <t>4B.2.2</t>
  </si>
  <si>
    <t>TH</t>
  </si>
  <si>
    <t>PW</t>
  </si>
  <si>
    <t>QTY IAT</t>
  </si>
  <si>
    <t>IAT PRES.</t>
  </si>
  <si>
    <t>RATE</t>
  </si>
  <si>
    <t>1.1.1.A</t>
  </si>
  <si>
    <t>2.1.1.A</t>
  </si>
  <si>
    <t>2.1.2.A</t>
  </si>
  <si>
    <t>2.1.3.A</t>
  </si>
  <si>
    <t>2.1.4.A</t>
  </si>
  <si>
    <t>2.1.5.A</t>
  </si>
  <si>
    <t>2.1.6.A</t>
  </si>
  <si>
    <t>2.2.1.A</t>
  </si>
  <si>
    <t>2.3.1.A</t>
  </si>
  <si>
    <t>2.3.2.A</t>
  </si>
  <si>
    <t>2.3.3.A</t>
  </si>
  <si>
    <t>2.3.4.A</t>
  </si>
  <si>
    <t>2.4.1.A</t>
  </si>
  <si>
    <t>2.5.1.A</t>
  </si>
  <si>
    <t>3A.1.1.A</t>
  </si>
  <si>
    <t>3A.2.1.A</t>
  </si>
  <si>
    <t>3A.3.1.A</t>
  </si>
  <si>
    <t>3A.3.2.A</t>
  </si>
  <si>
    <t>4A.1.1.A</t>
  </si>
  <si>
    <t>4A.1.2.A</t>
  </si>
  <si>
    <t>4A.1.3.A</t>
  </si>
  <si>
    <t>4A.1.4.A</t>
  </si>
  <si>
    <t>4A.1.5.A</t>
  </si>
  <si>
    <t>4A.1.6.A</t>
  </si>
  <si>
    <t>4A.2.1.A</t>
  </si>
  <si>
    <t>4A.2.2.A</t>
  </si>
  <si>
    <t>4A.2.3.A</t>
  </si>
  <si>
    <t>4A.3.1.A</t>
  </si>
  <si>
    <t>4A.3.2.A</t>
  </si>
  <si>
    <t>4A.3.3.A</t>
  </si>
  <si>
    <t>5A.1.1.A</t>
  </si>
  <si>
    <t>5A.1.2.A</t>
  </si>
  <si>
    <t>5A.2.1.A</t>
  </si>
  <si>
    <t>5A.2.2.A</t>
  </si>
  <si>
    <t>6A.1.1.A</t>
  </si>
  <si>
    <t>6A.1.2.A</t>
  </si>
  <si>
    <t>6A.2.1.A</t>
  </si>
  <si>
    <t>6A.2.2.A</t>
  </si>
  <si>
    <t>6A.2.3.A</t>
  </si>
  <si>
    <t>7A.1.1.A</t>
  </si>
  <si>
    <t>7A.1.2.A</t>
  </si>
  <si>
    <t>7A.1.3.A</t>
  </si>
  <si>
    <t>7A.1.4.A</t>
  </si>
  <si>
    <t>7A.1.5.A</t>
  </si>
  <si>
    <t>7A.1.6.A</t>
  </si>
  <si>
    <t>1.1.1.B</t>
  </si>
  <si>
    <t>2.1.1.B</t>
  </si>
  <si>
    <t>2.1.2.B</t>
  </si>
  <si>
    <t>2.1.3.B</t>
  </si>
  <si>
    <t>2.1.4.B</t>
  </si>
  <si>
    <t>2.1.5.B</t>
  </si>
  <si>
    <t>2.1.6.B</t>
  </si>
  <si>
    <t>2.2.1.B</t>
  </si>
  <si>
    <t>2.3.1.B</t>
  </si>
  <si>
    <t>2.3.2.B</t>
  </si>
  <si>
    <t>2.3.3.B</t>
  </si>
  <si>
    <t>2.3.4.B</t>
  </si>
  <si>
    <t>2.4.1.B</t>
  </si>
  <si>
    <t>2.5.1.B</t>
  </si>
  <si>
    <t>3A.1.1.B</t>
  </si>
  <si>
    <t>3A.2.1.B</t>
  </si>
  <si>
    <t>3A.3.1.B</t>
  </si>
  <si>
    <t>3A.3.2.B</t>
  </si>
  <si>
    <t>4A.1.1.B</t>
  </si>
  <si>
    <t>4A.1.2.B</t>
  </si>
  <si>
    <t>4A.1.3.B</t>
  </si>
  <si>
    <t>4A.1.4.B</t>
  </si>
  <si>
    <t>4A.1.5.B</t>
  </si>
  <si>
    <t>4A.1.6.B</t>
  </si>
  <si>
    <t>4A.2.1.B</t>
  </si>
  <si>
    <t>4A.2.2.B</t>
  </si>
  <si>
    <t>4A.2.3.B</t>
  </si>
  <si>
    <t>4A.3.1.B</t>
  </si>
  <si>
    <t>4A.3.2.B</t>
  </si>
  <si>
    <t>4A.3.3.B</t>
  </si>
  <si>
    <t>5A.1.1.B</t>
  </si>
  <si>
    <t>5A.1.2.B</t>
  </si>
  <si>
    <t>5A.2.1.B</t>
  </si>
  <si>
    <t>5A.2.2.B</t>
  </si>
  <si>
    <t>6A.1.1.B</t>
  </si>
  <si>
    <t>6A.1.2.B</t>
  </si>
  <si>
    <t>6A.2.1.B</t>
  </si>
  <si>
    <t>6A.2.2.B</t>
  </si>
  <si>
    <t>6A.2.3.B</t>
  </si>
  <si>
    <t>7A.1.1.B</t>
  </si>
  <si>
    <t>7A.1.2.B</t>
  </si>
  <si>
    <t>7A.1.3.B</t>
  </si>
  <si>
    <t>7A.1.4.B</t>
  </si>
  <si>
    <t>7A.1.5.B</t>
  </si>
  <si>
    <t>7A.1.6.B</t>
  </si>
  <si>
    <t>1.1.1.C</t>
  </si>
  <si>
    <t xml:space="preserve"> </t>
  </si>
  <si>
    <t>2.1.1.C</t>
  </si>
  <si>
    <t>2.1.2.C</t>
  </si>
  <si>
    <t>2.1.3.C</t>
  </si>
  <si>
    <t>2.1.4.C</t>
  </si>
  <si>
    <t>2.1.5.C</t>
  </si>
  <si>
    <t>2.1.6.C</t>
  </si>
  <si>
    <t>2.2.1.C</t>
  </si>
  <si>
    <t>2.3.1.C</t>
  </si>
  <si>
    <t>2.3.2.C</t>
  </si>
  <si>
    <t>2.3.3.C</t>
  </si>
  <si>
    <t>2.3.4.C</t>
  </si>
  <si>
    <t>2.4.1.C</t>
  </si>
  <si>
    <t>2.5.1.C</t>
  </si>
  <si>
    <t>3A.1.1.C</t>
  </si>
  <si>
    <t>3A.2.1.C</t>
  </si>
  <si>
    <t>3A.3.1.C</t>
  </si>
  <si>
    <t>3A.3.2.C</t>
  </si>
  <si>
    <t>4A.1.1.C</t>
  </si>
  <si>
    <t>4A.1.2.C</t>
  </si>
  <si>
    <t>4A.1.3.C</t>
  </si>
  <si>
    <t>4A.1.4.C</t>
  </si>
  <si>
    <t>4A.1.5.C</t>
  </si>
  <si>
    <t>4A.1.6.C</t>
  </si>
  <si>
    <t>4A.2.1.C</t>
  </si>
  <si>
    <t>4A.2.2.C</t>
  </si>
  <si>
    <t>4A.2.3.C</t>
  </si>
  <si>
    <t>4A.3.1.C</t>
  </si>
  <si>
    <t>4A.3.2.C</t>
  </si>
  <si>
    <t>4A.3.3.C</t>
  </si>
  <si>
    <t>5A.1.1.C</t>
  </si>
  <si>
    <t>5A.1.2.C</t>
  </si>
  <si>
    <t>5A.2.1.C</t>
  </si>
  <si>
    <t>5A.2.2.C</t>
  </si>
  <si>
    <t>6A.1.1.C</t>
  </si>
  <si>
    <t>6A.1.2.C</t>
  </si>
  <si>
    <t>6A.2.1.C</t>
  </si>
  <si>
    <t>6A.2.2.C</t>
  </si>
  <si>
    <t>6A.2.3.C</t>
  </si>
  <si>
    <t>7A.1.1.C</t>
  </si>
  <si>
    <t>7A.1.2.C</t>
  </si>
  <si>
    <t>7A.1.3.C</t>
  </si>
  <si>
    <t>7A.1.4.C</t>
  </si>
  <si>
    <t>7A.1.5.C</t>
  </si>
  <si>
    <t>7A.1.6.C</t>
  </si>
  <si>
    <t>AVERAGE RATE (A+B+C)</t>
  </si>
  <si>
    <t>TOTAL RATE</t>
  </si>
  <si>
    <t>1.1.1.D</t>
  </si>
  <si>
    <t>2.1.1.D</t>
  </si>
  <si>
    <t>2.1.2.D</t>
  </si>
  <si>
    <t>2.1.3.D</t>
  </si>
  <si>
    <t>2.1.4.D</t>
  </si>
  <si>
    <t>2.1.5.D</t>
  </si>
  <si>
    <t>2.1.6.D</t>
  </si>
  <si>
    <t>2.2.1.D</t>
  </si>
  <si>
    <t>2.3.1.D</t>
  </si>
  <si>
    <t>2.3.2.D</t>
  </si>
  <si>
    <t>2.3.3.D</t>
  </si>
  <si>
    <t>2.3.4.D</t>
  </si>
  <si>
    <t>2.4.1.D</t>
  </si>
  <si>
    <t>2.5.1.D</t>
  </si>
  <si>
    <t>3A.1.1.D</t>
  </si>
  <si>
    <t>3A.2.1.D</t>
  </si>
  <si>
    <t>3A.3.1.D</t>
  </si>
  <si>
    <t>3A.3.2.D</t>
  </si>
  <si>
    <t>4A.1.1.D</t>
  </si>
  <si>
    <t>4A.1.2.D</t>
  </si>
  <si>
    <t>4A.1.3.D</t>
  </si>
  <si>
    <t>4A.1.4.D</t>
  </si>
  <si>
    <t>4A.1.5.D</t>
  </si>
  <si>
    <t>4A.1.6.D</t>
  </si>
  <si>
    <t>4A.2.1.D</t>
  </si>
  <si>
    <t>4A.2.2.D</t>
  </si>
  <si>
    <t>4A.2.3.D</t>
  </si>
  <si>
    <t>4A.3.1.D</t>
  </si>
  <si>
    <t>4A.3.2.D</t>
  </si>
  <si>
    <t>4A.3.3.D</t>
  </si>
  <si>
    <t>5A.1.1.D</t>
  </si>
  <si>
    <t>5A.1.2.D</t>
  </si>
  <si>
    <t>5A.2.1.D</t>
  </si>
  <si>
    <t>5A.2.2.D</t>
  </si>
  <si>
    <t>6A.1.1.D</t>
  </si>
  <si>
    <t>6A.1.2.D</t>
  </si>
  <si>
    <t>6A.2.1.D</t>
  </si>
  <si>
    <t>6A.2.2.D</t>
  </si>
  <si>
    <t>6A.2.3.D</t>
  </si>
  <si>
    <t>7A.1.1.D</t>
  </si>
  <si>
    <t>7A.1.2.D</t>
  </si>
  <si>
    <t>7A.1.3.D</t>
  </si>
  <si>
    <t>7A.1.4.D</t>
  </si>
  <si>
    <t>7A.1.5.D</t>
  </si>
  <si>
    <t>7A.1.6.D</t>
  </si>
  <si>
    <t>AVERAGE RATE (D)</t>
  </si>
  <si>
    <t>TOTAL</t>
  </si>
  <si>
    <t>S/MOD</t>
  </si>
  <si>
    <t>C/D</t>
  </si>
  <si>
    <t>LECON</t>
  </si>
  <si>
    <t>MOYENNE MLG</t>
  </si>
  <si>
    <t>MOYENNE CMI</t>
  </si>
  <si>
    <t>OBJECTIF</t>
  </si>
  <si>
    <t>A+B</t>
  </si>
  <si>
    <t>A-TH</t>
  </si>
  <si>
    <t>A-PW</t>
  </si>
  <si>
    <t>B-TH</t>
  </si>
  <si>
    <t>B-PW</t>
  </si>
  <si>
    <t>C-TH</t>
  </si>
  <si>
    <t>C-PW</t>
  </si>
  <si>
    <t>=SI DATE PREVISIONNELLE CORRESPOND COMPTER LE NOMBRE DE P EN TH ET PW</t>
  </si>
  <si>
    <t>ANNISA</t>
  </si>
  <si>
    <t>AKHMAD</t>
  </si>
  <si>
    <t>1.1.1.C/D</t>
  </si>
  <si>
    <t>2.1.1.C/D</t>
  </si>
  <si>
    <t>2.1.2.C/D</t>
  </si>
  <si>
    <t>2.1.3.C/D</t>
  </si>
  <si>
    <t>2.1.4.C/D</t>
  </si>
  <si>
    <t>2.1.5.C/D</t>
  </si>
  <si>
    <t>2.1.6.C/D</t>
  </si>
  <si>
    <t>2.2.1.C/D</t>
  </si>
  <si>
    <t>2.3.1.C/D</t>
  </si>
  <si>
    <t>2.3.2.C/D</t>
  </si>
  <si>
    <t>2.3.3.C/D</t>
  </si>
  <si>
    <t>2.3.4.C/D</t>
  </si>
  <si>
    <t>2.4.1.C/D</t>
  </si>
  <si>
    <t>2.5.1.C/D</t>
  </si>
  <si>
    <t>3A.1.1.C/D</t>
  </si>
  <si>
    <t>3A.2.1.C/D</t>
  </si>
  <si>
    <t>3A.3.1.C/D</t>
  </si>
  <si>
    <t>3A.3.2.C/D</t>
  </si>
  <si>
    <t>4A.1.1.C/D</t>
  </si>
  <si>
    <t>4A.1.2.C/D</t>
  </si>
  <si>
    <t>4A.1.3.C/D</t>
  </si>
  <si>
    <t>4A.1.4.C/D</t>
  </si>
  <si>
    <t>4A.1.5.C/D</t>
  </si>
  <si>
    <t>4A.1.6.C/D</t>
  </si>
  <si>
    <t>4A.2.1.C/D</t>
  </si>
  <si>
    <t>4A.2.2.C/D</t>
  </si>
  <si>
    <t>4A.2.3.C/D</t>
  </si>
  <si>
    <t>4A.3.1.C/D</t>
  </si>
  <si>
    <t>4A.3.2.C/D</t>
  </si>
  <si>
    <t>4A.3.3.C/D</t>
  </si>
  <si>
    <t>5A.1.1.C/D</t>
  </si>
  <si>
    <t>5A.1.2.C/D</t>
  </si>
  <si>
    <t>5A.2.1.C/D</t>
  </si>
  <si>
    <t>5A.2.2.C/D</t>
  </si>
  <si>
    <t>6A.1.1.C/D</t>
  </si>
  <si>
    <t>6A.1.2.C/D</t>
  </si>
  <si>
    <t>6A.2.1.C/D</t>
  </si>
  <si>
    <t>6A.2.2.C/D</t>
  </si>
  <si>
    <t>6A.2.3.C/D</t>
  </si>
  <si>
    <t>7A.1.1.C/D</t>
  </si>
  <si>
    <t>7A.1.2.C/D</t>
  </si>
  <si>
    <t>7A.1.3.C/D</t>
  </si>
  <si>
    <t>7A.1.4.C/D</t>
  </si>
  <si>
    <t>7A.1.5.C/D</t>
  </si>
  <si>
    <t>7A.1.6.C/D</t>
  </si>
  <si>
    <t>AVERAGE RATE</t>
  </si>
  <si>
    <t>ANNISA (ICHA)</t>
  </si>
  <si>
    <t>AKHMAD (ZIDAN)</t>
  </si>
  <si>
    <t>15/07/2026</t>
  </si>
  <si>
    <t>16/07/2026</t>
  </si>
  <si>
    <t>30/07/2026</t>
  </si>
  <si>
    <t>30/04/026</t>
  </si>
  <si>
    <t>=SI(RECHERCHEX($A2;'TH_CMI GRADE 10'!$A$7:$A$49;'TH_CMI GRADE 10'!D7:D49;"";0;1)="P";"OK";"")COL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</si>
</sst>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29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36"/>
      <color theme="0"/>
      <name val="Aptos Narrow"/>
      <family val="2"/>
      <scheme val="minor"/>
    </font>
    <font>
      <sz val="48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0"/>
      <name val="Consolas"/>
      <family val="3"/>
    </font>
    <font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Aptos Narrow"/>
      <family val="2"/>
    </font>
    <font>
      <b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indexed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3ECC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rgb="FF000000"/>
      </left>
      <right/>
      <top style="medium">
        <color indexed="64"/>
      </top>
      <bottom style="medium">
        <color indexed="64"/>
      </bottom>
      <diagonal/>
    </border>
    <border>
      <left style="double">
        <color rgb="FF000000"/>
      </left>
      <right style="thin">
        <color indexed="64"/>
      </right>
      <top/>
      <bottom style="medium">
        <color indexed="64"/>
      </bottom>
      <diagonal/>
    </border>
    <border>
      <left style="double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000000"/>
      </right>
      <top/>
      <bottom/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dashed">
        <color rgb="FF000000"/>
      </left>
      <right style="dashed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95">
    <xf numFmtId="0" fontId="0" fillId="0" borderId="0" xfId="0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1" xfId="0" applyNumberFormat="1" applyBorder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5" borderId="15" xfId="0" applyFill="1" applyBorder="1" applyAlignment="1" applyProtection="1">
      <alignment horizontal="center" vertical="center"/>
      <protection locked="0"/>
    </xf>
    <xf numFmtId="0" fontId="0" fillId="5" borderId="16" xfId="0" applyFill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5" borderId="11" xfId="0" applyFill="1" applyBorder="1" applyAlignment="1" applyProtection="1">
      <alignment horizontal="center" vertical="center"/>
      <protection locked="0"/>
    </xf>
    <xf numFmtId="0" fontId="0" fillId="5" borderId="3" xfId="0" applyFill="1" applyBorder="1" applyAlignment="1" applyProtection="1">
      <alignment horizontal="center" vertical="center"/>
      <protection locked="0"/>
    </xf>
    <xf numFmtId="0" fontId="0" fillId="5" borderId="12" xfId="0" applyFill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5" borderId="1" xfId="0" applyFill="1" applyBorder="1" applyProtection="1">
      <protection locked="0"/>
    </xf>
    <xf numFmtId="14" fontId="0" fillId="0" borderId="2" xfId="0" applyNumberFormat="1" applyBorder="1" applyProtection="1">
      <protection locked="0"/>
    </xf>
    <xf numFmtId="0" fontId="1" fillId="0" borderId="0" xfId="0" applyFont="1"/>
    <xf numFmtId="9" fontId="0" fillId="0" borderId="0" xfId="0" applyNumberFormat="1"/>
    <xf numFmtId="0" fontId="0" fillId="6" borderId="0" xfId="0" applyFill="1"/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0" xfId="1" applyNumberFormat="1" applyFont="1"/>
    <xf numFmtId="0" fontId="0" fillId="0" borderId="0" xfId="0" applyAlignment="1">
      <alignment textRotation="45"/>
    </xf>
    <xf numFmtId="0" fontId="8" fillId="0" borderId="0" xfId="0" applyFont="1" applyAlignment="1">
      <alignment textRotation="45"/>
    </xf>
    <xf numFmtId="0" fontId="6" fillId="0" borderId="0" xfId="0" applyFont="1" applyAlignment="1">
      <alignment textRotation="45"/>
    </xf>
    <xf numFmtId="0" fontId="7" fillId="0" borderId="0" xfId="0" applyFont="1" applyAlignment="1">
      <alignment textRotation="45"/>
    </xf>
    <xf numFmtId="9" fontId="0" fillId="0" borderId="0" xfId="1" applyFont="1"/>
    <xf numFmtId="0" fontId="0" fillId="8" borderId="15" xfId="0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 applyProtection="1">
      <alignment horizontal="center" vertical="center"/>
      <protection locked="0"/>
    </xf>
    <xf numFmtId="0" fontId="1" fillId="8" borderId="2" xfId="0" applyFont="1" applyFill="1" applyBorder="1" applyAlignment="1" applyProtection="1">
      <alignment horizontal="center" vertical="center"/>
      <protection locked="0"/>
    </xf>
    <xf numFmtId="0" fontId="1" fillId="8" borderId="14" xfId="0" applyFont="1" applyFill="1" applyBorder="1" applyAlignment="1" applyProtection="1">
      <alignment horizontal="center" vertical="center"/>
      <protection locked="0"/>
    </xf>
    <xf numFmtId="0" fontId="0" fillId="8" borderId="16" xfId="0" applyFill="1" applyBorder="1" applyAlignment="1" applyProtection="1">
      <alignment horizontal="center"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8" borderId="12" xfId="0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1" fillId="8" borderId="13" xfId="0" applyFont="1" applyFill="1" applyBorder="1" applyAlignment="1" applyProtection="1">
      <alignment horizontal="center" vertic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8" borderId="11" xfId="0" applyFill="1" applyBorder="1" applyAlignment="1" applyProtection="1">
      <alignment horizontal="center" vertical="center"/>
      <protection locked="0"/>
    </xf>
    <xf numFmtId="0" fontId="0" fillId="8" borderId="5" xfId="0" applyFill="1" applyBorder="1" applyAlignment="1" applyProtection="1">
      <alignment horizontal="center" vertical="center"/>
      <protection locked="0"/>
    </xf>
    <xf numFmtId="164" fontId="0" fillId="0" borderId="0" xfId="0" applyNumberFormat="1"/>
    <xf numFmtId="17" fontId="0" fillId="0" borderId="0" xfId="0" applyNumberFormat="1" applyAlignment="1">
      <alignment textRotation="90"/>
    </xf>
    <xf numFmtId="17" fontId="0" fillId="0" borderId="0" xfId="0" applyNumberFormat="1" applyAlignment="1">
      <alignment textRotation="45"/>
    </xf>
    <xf numFmtId="0" fontId="0" fillId="0" borderId="0" xfId="0" quotePrefix="1"/>
    <xf numFmtId="9" fontId="2" fillId="0" borderId="0" xfId="1" applyFont="1"/>
    <xf numFmtId="0" fontId="9" fillId="9" borderId="0" xfId="0" applyFont="1" applyFill="1"/>
    <xf numFmtId="9" fontId="9" fillId="9" borderId="0" xfId="1" applyFont="1" applyFill="1"/>
    <xf numFmtId="0" fontId="12" fillId="9" borderId="0" xfId="0" applyFont="1" applyFill="1"/>
    <xf numFmtId="0" fontId="10" fillId="9" borderId="0" xfId="0" applyFont="1" applyFill="1"/>
    <xf numFmtId="9" fontId="13" fillId="9" borderId="0" xfId="0" applyNumberFormat="1" applyFont="1" applyFill="1"/>
    <xf numFmtId="0" fontId="14" fillId="9" borderId="0" xfId="0" applyFont="1" applyFill="1"/>
    <xf numFmtId="2" fontId="6" fillId="0" borderId="0" xfId="1" applyNumberFormat="1" applyFont="1"/>
    <xf numFmtId="2" fontId="15" fillId="0" borderId="0" xfId="1" applyNumberFormat="1" applyFont="1"/>
    <xf numFmtId="0" fontId="2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4" fontId="17" fillId="0" borderId="0" xfId="0" applyNumberFormat="1" applyFont="1"/>
    <xf numFmtId="0" fontId="6" fillId="9" borderId="0" xfId="0" applyFont="1" applyFill="1"/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0" fontId="1" fillId="0" borderId="20" xfId="0" applyFont="1" applyBorder="1" applyAlignment="1">
      <alignment horizontal="center" vertical="center" textRotation="90"/>
    </xf>
    <xf numFmtId="0" fontId="1" fillId="0" borderId="21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1" fillId="0" borderId="24" xfId="0" applyFont="1" applyBorder="1" applyAlignment="1">
      <alignment horizontal="center" vertical="center" textRotation="9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8" borderId="1" xfId="0" applyFont="1" applyFill="1" applyBorder="1" applyAlignment="1" applyProtection="1">
      <alignment horizontal="center" vertical="center"/>
      <protection locked="0"/>
    </xf>
    <xf numFmtId="0" fontId="1" fillId="8" borderId="4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15" xfId="0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8" borderId="15" xfId="0" applyFont="1" applyFill="1" applyBorder="1" applyAlignment="1" applyProtection="1">
      <alignment horizontal="center" vertical="center"/>
      <protection locked="0"/>
    </xf>
    <xf numFmtId="0" fontId="1" fillId="8" borderId="16" xfId="0" applyFont="1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>
      <alignment horizontal="center" vertical="center" textRotation="90"/>
    </xf>
    <xf numFmtId="0" fontId="0" fillId="7" borderId="15" xfId="0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20" fillId="0" borderId="34" xfId="0" applyFont="1" applyBorder="1" applyAlignment="1">
      <alignment horizontal="center" vertical="center" textRotation="90"/>
    </xf>
    <xf numFmtId="0" fontId="20" fillId="0" borderId="19" xfId="0" applyFont="1" applyBorder="1" applyAlignment="1">
      <alignment horizontal="center" vertical="center" textRotation="90"/>
    </xf>
    <xf numFmtId="0" fontId="20" fillId="0" borderId="21" xfId="0" applyFont="1" applyBorder="1" applyAlignment="1">
      <alignment horizontal="center" vertical="center" textRotation="90"/>
    </xf>
    <xf numFmtId="0" fontId="20" fillId="0" borderId="29" xfId="0" applyFont="1" applyBorder="1" applyAlignment="1">
      <alignment horizontal="center" vertical="center" textRotation="90"/>
    </xf>
    <xf numFmtId="0" fontId="0" fillId="7" borderId="4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horizontal="center" vertical="center"/>
      <protection locked="0"/>
    </xf>
    <xf numFmtId="0" fontId="20" fillId="0" borderId="18" xfId="0" applyFont="1" applyBorder="1" applyAlignment="1">
      <alignment horizontal="center" vertical="center" textRotation="90"/>
    </xf>
    <xf numFmtId="0" fontId="20" fillId="0" borderId="35" xfId="0" applyFont="1" applyBorder="1" applyAlignment="1">
      <alignment horizontal="center" vertical="center" textRotation="90"/>
    </xf>
    <xf numFmtId="0" fontId="20" fillId="0" borderId="27" xfId="0" applyFont="1" applyBorder="1" applyAlignment="1">
      <alignment horizontal="center" vertical="center" textRotation="90"/>
    </xf>
    <xf numFmtId="0" fontId="20" fillId="0" borderId="30" xfId="0" applyFont="1" applyBorder="1" applyAlignment="1">
      <alignment horizontal="center" vertical="center" textRotation="90"/>
    </xf>
    <xf numFmtId="0" fontId="1" fillId="5" borderId="1" xfId="0" applyFont="1" applyFill="1" applyBorder="1" applyAlignment="1" applyProtection="1">
      <alignment horizontal="center" vertical="center"/>
      <protection locked="0"/>
    </xf>
    <xf numFmtId="0" fontId="1" fillId="5" borderId="15" xfId="0" applyFont="1" applyFill="1" applyBorder="1" applyAlignment="1" applyProtection="1">
      <alignment horizontal="center" vertical="center"/>
      <protection locked="0"/>
    </xf>
    <xf numFmtId="0" fontId="1" fillId="5" borderId="16" xfId="0" applyFont="1" applyFill="1" applyBorder="1" applyAlignment="1" applyProtection="1">
      <alignment horizontal="center" vertical="center"/>
      <protection locked="0"/>
    </xf>
    <xf numFmtId="0" fontId="1" fillId="5" borderId="15" xfId="0" applyFont="1" applyFill="1" applyBorder="1" applyAlignment="1" applyProtection="1">
      <alignment vertical="center"/>
      <protection locked="0"/>
    </xf>
    <xf numFmtId="0" fontId="0" fillId="5" borderId="16" xfId="0" applyFill="1" applyBorder="1" applyProtection="1">
      <protection locked="0"/>
    </xf>
    <xf numFmtId="0" fontId="0" fillId="5" borderId="15" xfId="0" applyFill="1" applyBorder="1" applyProtection="1">
      <protection locked="0"/>
    </xf>
    <xf numFmtId="0" fontId="0" fillId="5" borderId="11" xfId="0" applyFill="1" applyBorder="1" applyProtection="1">
      <protection locked="0"/>
    </xf>
    <xf numFmtId="0" fontId="0" fillId="5" borderId="3" xfId="0" applyFill="1" applyBorder="1" applyProtection="1">
      <protection locked="0"/>
    </xf>
    <xf numFmtId="0" fontId="0" fillId="5" borderId="12" xfId="0" applyFill="1" applyBorder="1" applyProtection="1">
      <protection locked="0"/>
    </xf>
    <xf numFmtId="14" fontId="21" fillId="0" borderId="13" xfId="0" applyNumberFormat="1" applyFont="1" applyBorder="1" applyAlignment="1" applyProtection="1">
      <alignment horizontal="center" vertical="center"/>
      <protection locked="0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14" fontId="22" fillId="0" borderId="16" xfId="0" applyNumberFormat="1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14" fontId="22" fillId="0" borderId="15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>
      <alignment horizontal="center" vertical="center"/>
    </xf>
    <xf numFmtId="14" fontId="22" fillId="0" borderId="15" xfId="0" applyNumberFormat="1" applyFont="1" applyBorder="1" applyAlignment="1">
      <alignment horizontal="center" vertical="center"/>
    </xf>
    <xf numFmtId="14" fontId="22" fillId="0" borderId="11" xfId="0" applyNumberFormat="1" applyFont="1" applyBorder="1" applyAlignment="1" applyProtection="1">
      <alignment horizontal="center" vertical="center"/>
      <protection locked="0"/>
    </xf>
    <xf numFmtId="14" fontId="22" fillId="0" borderId="3" xfId="0" applyNumberFormat="1" applyFont="1" applyBorder="1" applyAlignment="1" applyProtection="1">
      <alignment horizontal="center" vertical="center"/>
      <protection locked="0"/>
    </xf>
    <xf numFmtId="14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4" fontId="22" fillId="0" borderId="11" xfId="0" applyNumberFormat="1" applyFont="1" applyBorder="1" applyAlignment="1">
      <alignment horizontal="center" vertical="center"/>
    </xf>
    <xf numFmtId="0" fontId="19" fillId="0" borderId="15" xfId="0" applyFont="1" applyBorder="1"/>
    <xf numFmtId="0" fontId="19" fillId="0" borderId="1" xfId="0" applyFont="1" applyBorder="1"/>
    <xf numFmtId="0" fontId="19" fillId="0" borderId="16" xfId="0" applyFont="1" applyBorder="1"/>
    <xf numFmtId="0" fontId="1" fillId="0" borderId="27" xfId="0" applyFont="1" applyBorder="1" applyAlignment="1">
      <alignment horizontal="center" vertical="center" textRotation="90"/>
    </xf>
    <xf numFmtId="0" fontId="1" fillId="0" borderId="29" xfId="0" applyFont="1" applyBorder="1" applyAlignment="1">
      <alignment horizontal="center" vertical="center" textRotation="90"/>
    </xf>
    <xf numFmtId="0" fontId="1" fillId="0" borderId="30" xfId="0" applyFont="1" applyBorder="1" applyAlignment="1">
      <alignment horizontal="center" vertical="center" textRotation="90"/>
    </xf>
    <xf numFmtId="0" fontId="20" fillId="0" borderId="36" xfId="0" applyFont="1" applyBorder="1" applyAlignment="1">
      <alignment horizontal="center" vertical="center" textRotation="90"/>
    </xf>
    <xf numFmtId="0" fontId="20" fillId="0" borderId="26" xfId="0" applyFont="1" applyBorder="1" applyAlignment="1">
      <alignment horizontal="center" vertical="center" textRotation="90"/>
    </xf>
    <xf numFmtId="14" fontId="19" fillId="0" borderId="15" xfId="0" applyNumberFormat="1" applyFont="1" applyBorder="1"/>
    <xf numFmtId="14" fontId="23" fillId="0" borderId="16" xfId="0" applyNumberFormat="1" applyFont="1" applyBorder="1" applyAlignment="1" applyProtection="1">
      <alignment horizontal="center" vertical="center"/>
      <protection locked="0"/>
    </xf>
    <xf numFmtId="14" fontId="19" fillId="0" borderId="1" xfId="0" applyNumberFormat="1" applyFont="1" applyBorder="1"/>
    <xf numFmtId="0" fontId="9" fillId="11" borderId="0" xfId="0" applyFont="1" applyFill="1"/>
    <xf numFmtId="9" fontId="24" fillId="11" borderId="0" xfId="0" applyNumberFormat="1" applyFont="1" applyFill="1"/>
    <xf numFmtId="0" fontId="9" fillId="10" borderId="0" xfId="0" applyFont="1" applyFill="1"/>
    <xf numFmtId="9" fontId="24" fillId="10" borderId="0" xfId="0" applyNumberFormat="1" applyFont="1" applyFill="1"/>
    <xf numFmtId="9" fontId="9" fillId="11" borderId="0" xfId="0" applyNumberFormat="1" applyFont="1" applyFill="1"/>
    <xf numFmtId="9" fontId="9" fillId="10" borderId="0" xfId="0" applyNumberFormat="1" applyFont="1" applyFill="1"/>
    <xf numFmtId="0" fontId="1" fillId="0" borderId="0" xfId="0" applyFont="1" applyAlignment="1">
      <alignment wrapText="1"/>
    </xf>
    <xf numFmtId="16" fontId="19" fillId="0" borderId="1" xfId="0" applyNumberFormat="1" applyFont="1" applyBorder="1"/>
    <xf numFmtId="0" fontId="0" fillId="0" borderId="1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22" fillId="8" borderId="15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8" borderId="16" xfId="0" applyFont="1" applyFill="1" applyBorder="1" applyAlignment="1">
      <alignment horizontal="center" vertical="center"/>
    </xf>
    <xf numFmtId="14" fontId="22" fillId="0" borderId="37" xfId="0" applyNumberFormat="1" applyFont="1" applyBorder="1" applyAlignment="1" applyProtection="1">
      <alignment horizontal="center" vertical="center"/>
      <protection locked="0"/>
    </xf>
    <xf numFmtId="14" fontId="22" fillId="8" borderId="1" xfId="0" applyNumberFormat="1" applyFont="1" applyFill="1" applyBorder="1" applyAlignment="1">
      <alignment horizontal="center" vertical="center"/>
    </xf>
    <xf numFmtId="14" fontId="22" fillId="0" borderId="38" xfId="0" applyNumberFormat="1" applyFont="1" applyBorder="1" applyAlignment="1" applyProtection="1">
      <alignment horizontal="center" vertical="center"/>
      <protection locked="0"/>
    </xf>
    <xf numFmtId="0" fontId="22" fillId="8" borderId="11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22" fillId="8" borderId="12" xfId="0" applyFont="1" applyFill="1" applyBorder="1" applyAlignment="1">
      <alignment horizontal="center" vertical="center"/>
    </xf>
    <xf numFmtId="14" fontId="22" fillId="8" borderId="15" xfId="0" applyNumberFormat="1" applyFont="1" applyFill="1" applyBorder="1" applyAlignment="1">
      <alignment horizontal="center" vertical="center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0" fontId="0" fillId="7" borderId="38" xfId="0" applyFill="1" applyBorder="1" applyAlignment="1" applyProtection="1">
      <alignment horizontal="center" vertical="center"/>
      <protection locked="0"/>
    </xf>
    <xf numFmtId="0" fontId="6" fillId="12" borderId="0" xfId="0" applyFont="1" applyFill="1"/>
    <xf numFmtId="0" fontId="0" fillId="7" borderId="16" xfId="0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14" fontId="21" fillId="7" borderId="13" xfId="0" applyNumberFormat="1" applyFont="1" applyFill="1" applyBorder="1" applyAlignment="1" applyProtection="1">
      <alignment horizontal="center" vertical="center"/>
      <protection locked="0"/>
    </xf>
    <xf numFmtId="14" fontId="22" fillId="7" borderId="2" xfId="0" applyNumberFormat="1" applyFont="1" applyFill="1" applyBorder="1" applyAlignment="1" applyProtection="1">
      <alignment horizontal="center" vertical="center"/>
      <protection locked="0"/>
    </xf>
    <xf numFmtId="14" fontId="22" fillId="7" borderId="16" xfId="0" applyNumberFormat="1" applyFont="1" applyFill="1" applyBorder="1" applyAlignment="1" applyProtection="1">
      <alignment horizontal="center" vertical="center"/>
      <protection locked="0"/>
    </xf>
    <xf numFmtId="14" fontId="22" fillId="7" borderId="15" xfId="0" applyNumberFormat="1" applyFont="1" applyFill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2" fillId="7" borderId="16" xfId="0" applyFont="1" applyFill="1" applyBorder="1" applyAlignment="1">
      <alignment horizontal="center" vertical="center"/>
    </xf>
    <xf numFmtId="0" fontId="22" fillId="7" borderId="15" xfId="0" applyFont="1" applyFill="1" applyBorder="1" applyAlignment="1">
      <alignment horizontal="center" vertical="center"/>
    </xf>
    <xf numFmtId="14" fontId="22" fillId="7" borderId="37" xfId="0" applyNumberFormat="1" applyFont="1" applyFill="1" applyBorder="1" applyAlignment="1" applyProtection="1">
      <alignment horizontal="center" vertical="center"/>
      <protection locked="0"/>
    </xf>
    <xf numFmtId="14" fontId="22" fillId="7" borderId="15" xfId="0" applyNumberFormat="1" applyFont="1" applyFill="1" applyBorder="1" applyAlignment="1" applyProtection="1">
      <alignment horizontal="center" vertical="center"/>
      <protection locked="0"/>
    </xf>
    <xf numFmtId="14" fontId="22" fillId="7" borderId="1" xfId="0" applyNumberFormat="1" applyFont="1" applyFill="1" applyBorder="1" applyAlignment="1" applyProtection="1">
      <alignment horizontal="center" vertical="center"/>
      <protection locked="0"/>
    </xf>
    <xf numFmtId="14" fontId="22" fillId="7" borderId="1" xfId="0" applyNumberFormat="1" applyFont="1" applyFill="1" applyBorder="1" applyAlignment="1">
      <alignment horizontal="center" vertical="center"/>
    </xf>
    <xf numFmtId="14" fontId="23" fillId="7" borderId="16" xfId="0" applyNumberFormat="1" applyFont="1" applyFill="1" applyBorder="1" applyAlignment="1" applyProtection="1">
      <alignment horizontal="center" vertical="center"/>
      <protection locked="0"/>
    </xf>
    <xf numFmtId="0" fontId="0" fillId="7" borderId="0" xfId="0" applyFill="1" applyAlignment="1">
      <alignment horizontal="center" vertical="center"/>
    </xf>
    <xf numFmtId="0" fontId="0" fillId="7" borderId="0" xfId="0" applyFill="1" applyAlignment="1" applyProtection="1">
      <alignment horizontal="center" vertical="center"/>
      <protection locked="0"/>
    </xf>
    <xf numFmtId="14" fontId="22" fillId="7" borderId="0" xfId="0" applyNumberFormat="1" applyFont="1" applyFill="1" applyAlignment="1" applyProtection="1">
      <alignment horizontal="center" vertical="center"/>
      <protection locked="0"/>
    </xf>
    <xf numFmtId="0" fontId="22" fillId="7" borderId="0" xfId="0" applyFont="1" applyFill="1" applyAlignment="1">
      <alignment horizontal="center" vertical="center"/>
    </xf>
    <xf numFmtId="14" fontId="22" fillId="7" borderId="0" xfId="0" applyNumberFormat="1" applyFont="1" applyFill="1" applyAlignment="1">
      <alignment horizontal="center" vertical="center"/>
    </xf>
    <xf numFmtId="0" fontId="19" fillId="7" borderId="0" xfId="0" applyFont="1" applyFill="1"/>
    <xf numFmtId="0" fontId="1" fillId="8" borderId="6" xfId="0" applyFont="1" applyFill="1" applyBorder="1" applyAlignment="1" applyProtection="1">
      <alignment horizontal="center" vertical="center"/>
      <protection locked="0"/>
    </xf>
    <xf numFmtId="0" fontId="0" fillId="13" borderId="1" xfId="0" applyFill="1" applyBorder="1" applyAlignment="1" applyProtection="1">
      <alignment horizontal="center" vertical="center"/>
      <protection locked="0"/>
    </xf>
    <xf numFmtId="0" fontId="22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44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/>
      <protection locked="0"/>
    </xf>
    <xf numFmtId="0" fontId="0" fillId="0" borderId="4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8" borderId="47" xfId="0" applyFill="1" applyBorder="1" applyAlignment="1" applyProtection="1">
      <alignment horizontal="center" vertical="center"/>
      <protection locked="0"/>
    </xf>
    <xf numFmtId="0" fontId="0" fillId="7" borderId="45" xfId="0" applyFill="1" applyBorder="1" applyAlignment="1" applyProtection="1">
      <alignment horizontal="center" vertical="center"/>
      <protection locked="0"/>
    </xf>
    <xf numFmtId="0" fontId="0" fillId="7" borderId="7" xfId="0" applyFill="1" applyBorder="1" applyAlignment="1" applyProtection="1">
      <alignment horizontal="center" vertical="center"/>
      <protection locked="0"/>
    </xf>
    <xf numFmtId="0" fontId="22" fillId="5" borderId="15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16" xfId="0" applyFont="1" applyFill="1" applyBorder="1" applyAlignment="1">
      <alignment horizontal="center" vertical="center"/>
    </xf>
    <xf numFmtId="0" fontId="1" fillId="5" borderId="4" xfId="0" applyFont="1" applyFill="1" applyBorder="1" applyAlignment="1" applyProtection="1">
      <alignment horizontal="center" vertical="center"/>
      <protection locked="0"/>
    </xf>
    <xf numFmtId="0" fontId="1" fillId="5" borderId="13" xfId="0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5" borderId="14" xfId="0" applyFont="1" applyFill="1" applyBorder="1" applyAlignment="1" applyProtection="1">
      <alignment horizontal="center" vertical="center"/>
      <protection locked="0"/>
    </xf>
    <xf numFmtId="0" fontId="1" fillId="5" borderId="6" xfId="0" applyFont="1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14" fontId="22" fillId="5" borderId="15" xfId="0" applyNumberFormat="1" applyFont="1" applyFill="1" applyBorder="1" applyAlignment="1">
      <alignment horizontal="center" vertical="center"/>
    </xf>
    <xf numFmtId="14" fontId="22" fillId="5" borderId="37" xfId="0" applyNumberFormat="1" applyFont="1" applyFill="1" applyBorder="1" applyAlignment="1" applyProtection="1">
      <alignment horizontal="center" vertical="center"/>
      <protection locked="0"/>
    </xf>
    <xf numFmtId="14" fontId="22" fillId="5" borderId="1" xfId="0" applyNumberFormat="1" applyFont="1" applyFill="1" applyBorder="1" applyAlignment="1">
      <alignment horizontal="center" vertical="center"/>
    </xf>
    <xf numFmtId="14" fontId="22" fillId="5" borderId="1" xfId="0" applyNumberFormat="1" applyFont="1" applyFill="1" applyBorder="1" applyAlignment="1" applyProtection="1">
      <alignment horizontal="center" vertical="center"/>
      <protection locked="0"/>
    </xf>
    <xf numFmtId="0" fontId="2" fillId="4" borderId="0" xfId="0" applyFont="1" applyFill="1"/>
    <xf numFmtId="0" fontId="16" fillId="12" borderId="0" xfId="0" applyFont="1" applyFill="1"/>
    <xf numFmtId="0" fontId="2" fillId="3" borderId="0" xfId="0" applyFont="1" applyFill="1"/>
    <xf numFmtId="0" fontId="25" fillId="3" borderId="0" xfId="0" applyFont="1" applyFill="1"/>
    <xf numFmtId="0" fontId="26" fillId="3" borderId="0" xfId="0" applyFont="1" applyFill="1"/>
    <xf numFmtId="0" fontId="2" fillId="6" borderId="0" xfId="0" applyFont="1" applyFill="1"/>
    <xf numFmtId="0" fontId="2" fillId="2" borderId="0" xfId="0" applyFont="1" applyFill="1"/>
    <xf numFmtId="14" fontId="0" fillId="0" borderId="15" xfId="0" applyNumberFormat="1" applyBorder="1" applyProtection="1">
      <protection locked="0"/>
    </xf>
    <xf numFmtId="14" fontId="0" fillId="0" borderId="11" xfId="0" applyNumberFormat="1" applyBorder="1" applyProtection="1">
      <protection locked="0"/>
    </xf>
    <xf numFmtId="14" fontId="0" fillId="0" borderId="16" xfId="0" applyNumberFormat="1" applyBorder="1" applyProtection="1">
      <protection locked="0"/>
    </xf>
    <xf numFmtId="14" fontId="0" fillId="0" borderId="19" xfId="0" applyNumberFormat="1" applyBorder="1" applyProtection="1">
      <protection locked="0"/>
    </xf>
    <xf numFmtId="14" fontId="0" fillId="0" borderId="12" xfId="0" applyNumberFormat="1" applyBorder="1" applyProtection="1">
      <protection locked="0"/>
    </xf>
    <xf numFmtId="0" fontId="22" fillId="5" borderId="11" xfId="0" applyFont="1" applyFill="1" applyBorder="1" applyAlignment="1">
      <alignment horizontal="center" vertical="center"/>
    </xf>
    <xf numFmtId="0" fontId="22" fillId="5" borderId="3" xfId="0" applyFont="1" applyFill="1" applyBorder="1" applyAlignment="1">
      <alignment horizontal="center" vertical="center"/>
    </xf>
    <xf numFmtId="0" fontId="22" fillId="5" borderId="12" xfId="0" applyFont="1" applyFill="1" applyBorder="1" applyAlignment="1">
      <alignment horizontal="center" vertical="center"/>
    </xf>
    <xf numFmtId="0" fontId="20" fillId="0" borderId="49" xfId="0" applyFont="1" applyBorder="1" applyAlignment="1">
      <alignment horizontal="center" vertical="center" textRotation="90"/>
    </xf>
    <xf numFmtId="14" fontId="21" fillId="0" borderId="50" xfId="0" applyNumberFormat="1" applyFont="1" applyBorder="1" applyAlignment="1" applyProtection="1">
      <alignment horizontal="center" vertical="center"/>
      <protection locked="0"/>
    </xf>
    <xf numFmtId="14" fontId="22" fillId="0" borderId="51" xfId="0" applyNumberFormat="1" applyFont="1" applyBorder="1" applyAlignment="1" applyProtection="1">
      <alignment horizontal="center" vertical="center"/>
      <protection locked="0"/>
    </xf>
    <xf numFmtId="0" fontId="20" fillId="0" borderId="53" xfId="0" applyFont="1" applyBorder="1" applyAlignment="1">
      <alignment horizontal="center" vertical="center" textRotation="90"/>
    </xf>
    <xf numFmtId="14" fontId="22" fillId="0" borderId="54" xfId="0" applyNumberFormat="1" applyFont="1" applyBorder="1" applyAlignment="1" applyProtection="1">
      <alignment horizontal="center" vertical="center"/>
      <protection locked="0"/>
    </xf>
    <xf numFmtId="14" fontId="23" fillId="0" borderId="54" xfId="0" applyNumberFormat="1" applyFont="1" applyBorder="1" applyAlignment="1" applyProtection="1">
      <alignment horizontal="center" vertical="center"/>
      <protection locked="0"/>
    </xf>
    <xf numFmtId="0" fontId="19" fillId="0" borderId="55" xfId="0" applyFont="1" applyBorder="1"/>
    <xf numFmtId="14" fontId="19" fillId="0" borderId="16" xfId="0" applyNumberFormat="1" applyFont="1" applyBorder="1"/>
    <xf numFmtId="14" fontId="22" fillId="0" borderId="15" xfId="0" applyNumberFormat="1" applyFont="1" applyBorder="1" applyAlignment="1">
      <alignment horizontal="center" vertical="center" wrapText="1"/>
    </xf>
    <xf numFmtId="0" fontId="0" fillId="3" borderId="15" xfId="0" applyFill="1" applyBorder="1" applyAlignment="1" applyProtection="1">
      <alignment horizontal="center" vertical="center"/>
      <protection locked="0"/>
    </xf>
    <xf numFmtId="14" fontId="22" fillId="8" borderId="1" xfId="0" applyNumberFormat="1" applyFont="1" applyFill="1" applyBorder="1" applyAlignment="1" applyProtection="1">
      <alignment horizontal="center" vertical="center"/>
      <protection locked="0"/>
    </xf>
    <xf numFmtId="14" fontId="22" fillId="8" borderId="37" xfId="0" applyNumberFormat="1" applyFont="1" applyFill="1" applyBorder="1" applyAlignment="1" applyProtection="1">
      <alignment horizontal="center" vertical="center"/>
      <protection locked="0"/>
    </xf>
    <xf numFmtId="16" fontId="22" fillId="8" borderId="15" xfId="0" applyNumberFormat="1" applyFont="1" applyFill="1" applyBorder="1" applyAlignment="1">
      <alignment horizontal="center" vertical="center"/>
    </xf>
    <xf numFmtId="16" fontId="22" fillId="8" borderId="1" xfId="0" applyNumberFormat="1" applyFont="1" applyFill="1" applyBorder="1" applyAlignment="1">
      <alignment horizontal="center" vertical="center"/>
    </xf>
    <xf numFmtId="0" fontId="0" fillId="13" borderId="15" xfId="0" applyFill="1" applyBorder="1" applyAlignment="1" applyProtection="1">
      <alignment horizontal="center" vertical="center"/>
      <protection locked="0"/>
    </xf>
    <xf numFmtId="0" fontId="0" fillId="13" borderId="0" xfId="0" applyFill="1"/>
    <xf numFmtId="0" fontId="2" fillId="13" borderId="0" xfId="0" applyFont="1" applyFill="1"/>
    <xf numFmtId="14" fontId="23" fillId="0" borderId="15" xfId="0" applyNumberFormat="1" applyFont="1" applyBorder="1" applyAlignment="1">
      <alignment horizontal="center" vertical="center"/>
    </xf>
    <xf numFmtId="0" fontId="0" fillId="5" borderId="56" xfId="0" applyFill="1" applyBorder="1" applyAlignment="1" applyProtection="1">
      <alignment horizontal="center" vertical="center"/>
      <protection locked="0"/>
    </xf>
    <xf numFmtId="0" fontId="0" fillId="0" borderId="56" xfId="0" applyBorder="1" applyAlignment="1" applyProtection="1">
      <alignment horizontal="center" vertical="center"/>
      <protection locked="0"/>
    </xf>
    <xf numFmtId="0" fontId="0" fillId="5" borderId="57" xfId="0" applyFill="1" applyBorder="1" applyAlignment="1" applyProtection="1">
      <alignment horizontal="center" vertical="center"/>
      <protection locked="0"/>
    </xf>
    <xf numFmtId="0" fontId="0" fillId="5" borderId="58" xfId="0" applyFill="1" applyBorder="1" applyAlignment="1" applyProtection="1">
      <alignment horizontal="center" vertical="center"/>
      <protection locked="0"/>
    </xf>
    <xf numFmtId="0" fontId="0" fillId="8" borderId="56" xfId="0" applyFill="1" applyBorder="1" applyAlignment="1" applyProtection="1">
      <alignment horizontal="center" vertical="center"/>
      <protection locked="0"/>
    </xf>
    <xf numFmtId="0" fontId="0" fillId="7" borderId="56" xfId="0" applyFill="1" applyBorder="1" applyAlignment="1" applyProtection="1">
      <alignment horizontal="center" vertical="center"/>
      <protection locked="0"/>
    </xf>
    <xf numFmtId="0" fontId="0" fillId="8" borderId="67" xfId="0" applyFill="1" applyBorder="1" applyAlignment="1" applyProtection="1">
      <alignment horizontal="center" vertical="center"/>
      <protection locked="0"/>
    </xf>
    <xf numFmtId="0" fontId="0" fillId="8" borderId="68" xfId="0" applyFill="1" applyBorder="1" applyAlignment="1" applyProtection="1">
      <alignment horizontal="center" vertical="center"/>
      <protection locked="0"/>
    </xf>
    <xf numFmtId="0" fontId="0" fillId="7" borderId="67" xfId="0" applyFill="1" applyBorder="1" applyAlignment="1" applyProtection="1">
      <alignment horizontal="center" vertical="center"/>
      <protection locked="0"/>
    </xf>
    <xf numFmtId="0" fontId="0" fillId="7" borderId="68" xfId="0" applyFill="1" applyBorder="1" applyAlignment="1" applyProtection="1">
      <alignment horizontal="center" vertical="center"/>
      <protection locked="0"/>
    </xf>
    <xf numFmtId="0" fontId="0" fillId="8" borderId="69" xfId="0" applyFill="1" applyBorder="1" applyAlignment="1" applyProtection="1">
      <alignment horizontal="center" vertical="center"/>
      <protection locked="0"/>
    </xf>
    <xf numFmtId="0" fontId="0" fillId="8" borderId="38" xfId="0" applyFill="1" applyBorder="1" applyAlignment="1" applyProtection="1">
      <alignment horizontal="center" vertical="center"/>
      <protection locked="0"/>
    </xf>
    <xf numFmtId="0" fontId="0" fillId="8" borderId="70" xfId="0" applyFill="1" applyBorder="1" applyAlignment="1" applyProtection="1">
      <alignment horizontal="center" vertical="center"/>
      <protection locked="0"/>
    </xf>
    <xf numFmtId="0" fontId="0" fillId="8" borderId="44" xfId="0" applyFill="1" applyBorder="1" applyAlignment="1" applyProtection="1">
      <alignment horizontal="center" vertical="center"/>
      <protection locked="0"/>
    </xf>
    <xf numFmtId="0" fontId="0" fillId="7" borderId="44" xfId="0" applyFill="1" applyBorder="1" applyAlignment="1" applyProtection="1">
      <alignment horizontal="center" vertical="center"/>
      <protection locked="0"/>
    </xf>
    <xf numFmtId="0" fontId="0" fillId="8" borderId="71" xfId="0" applyFill="1" applyBorder="1" applyAlignment="1" applyProtection="1">
      <alignment horizontal="center" vertical="center"/>
      <protection locked="0"/>
    </xf>
    <xf numFmtId="0" fontId="0" fillId="8" borderId="72" xfId="0" applyFill="1" applyBorder="1" applyAlignment="1" applyProtection="1">
      <alignment horizontal="center" vertical="center"/>
      <protection locked="0"/>
    </xf>
    <xf numFmtId="0" fontId="0" fillId="8" borderId="73" xfId="0" applyFill="1" applyBorder="1" applyAlignment="1" applyProtection="1">
      <alignment horizontal="center" vertical="center"/>
      <protection locked="0"/>
    </xf>
    <xf numFmtId="0" fontId="0" fillId="5" borderId="44" xfId="0" applyFill="1" applyBorder="1" applyAlignment="1" applyProtection="1">
      <alignment horizontal="center" vertical="center"/>
      <protection locked="0"/>
    </xf>
    <xf numFmtId="0" fontId="1" fillId="0" borderId="47" xfId="0" applyFont="1" applyBorder="1" applyAlignment="1">
      <alignment horizontal="center" vertical="center" textRotation="90"/>
    </xf>
    <xf numFmtId="0" fontId="1" fillId="7" borderId="1" xfId="0" applyFont="1" applyFill="1" applyBorder="1" applyAlignment="1" applyProtection="1">
      <alignment horizontal="center" vertical="center"/>
      <protection locked="0"/>
    </xf>
    <xf numFmtId="0" fontId="1" fillId="7" borderId="16" xfId="0" applyFont="1" applyFill="1" applyBorder="1" applyAlignment="1" applyProtection="1">
      <alignment horizontal="center" vertical="center"/>
      <protection locked="0"/>
    </xf>
    <xf numFmtId="0" fontId="0" fillId="0" borderId="75" xfId="0" applyBorder="1" applyAlignment="1">
      <alignment horizontal="center" vertical="center"/>
    </xf>
    <xf numFmtId="0" fontId="1" fillId="0" borderId="76" xfId="0" applyFont="1" applyBorder="1" applyAlignment="1">
      <alignment horizontal="center" vertical="center" textRotation="90"/>
    </xf>
    <xf numFmtId="0" fontId="1" fillId="0" borderId="77" xfId="0" applyFont="1" applyBorder="1" applyAlignment="1">
      <alignment horizontal="center" vertical="center" textRotation="90"/>
    </xf>
    <xf numFmtId="0" fontId="20" fillId="0" borderId="78" xfId="0" applyFont="1" applyBorder="1" applyAlignment="1">
      <alignment horizontal="center" vertical="center" textRotation="90"/>
    </xf>
    <xf numFmtId="0" fontId="20" fillId="0" borderId="79" xfId="0" applyFont="1" applyBorder="1" applyAlignment="1">
      <alignment horizontal="center" vertical="center" textRotation="90"/>
    </xf>
    <xf numFmtId="0" fontId="1" fillId="0" borderId="74" xfId="0" applyFont="1" applyBorder="1" applyAlignment="1">
      <alignment horizontal="center" vertical="center" textRotation="90"/>
    </xf>
    <xf numFmtId="0" fontId="1" fillId="0" borderId="80" xfId="0" applyFont="1" applyBorder="1" applyAlignment="1">
      <alignment horizontal="center" vertical="center" textRotation="90"/>
    </xf>
    <xf numFmtId="0" fontId="1" fillId="0" borderId="81" xfId="0" applyFont="1" applyBorder="1" applyAlignment="1">
      <alignment horizontal="center" vertical="center" textRotation="90"/>
    </xf>
    <xf numFmtId="0" fontId="1" fillId="0" borderId="82" xfId="0" applyFont="1" applyBorder="1" applyAlignment="1">
      <alignment horizontal="center" vertical="center" textRotation="90"/>
    </xf>
    <xf numFmtId="0" fontId="1" fillId="0" borderId="83" xfId="0" applyFont="1" applyBorder="1" applyAlignment="1">
      <alignment horizontal="center" vertical="center" textRotation="90"/>
    </xf>
    <xf numFmtId="0" fontId="1" fillId="0" borderId="84" xfId="0" applyFont="1" applyBorder="1" applyAlignment="1">
      <alignment horizontal="center" vertical="center" textRotation="90"/>
    </xf>
    <xf numFmtId="0" fontId="1" fillId="0" borderId="85" xfId="0" applyFont="1" applyBorder="1" applyAlignment="1">
      <alignment horizontal="center" vertical="center" textRotation="90"/>
    </xf>
    <xf numFmtId="0" fontId="0" fillId="0" borderId="4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60" xfId="0" applyFont="1" applyBorder="1" applyAlignment="1" applyProtection="1">
      <alignment horizontal="center" vertical="center"/>
      <protection locked="0"/>
    </xf>
    <xf numFmtId="0" fontId="1" fillId="0" borderId="86" xfId="0" applyFont="1" applyBorder="1" applyAlignment="1" applyProtection="1">
      <alignment horizontal="center" vertical="center"/>
      <protection locked="0"/>
    </xf>
    <xf numFmtId="0" fontId="1" fillId="5" borderId="8" xfId="0" applyFont="1" applyFill="1" applyBorder="1" applyAlignment="1" applyProtection="1">
      <alignment horizontal="center" vertical="center"/>
      <protection locked="0"/>
    </xf>
    <xf numFmtId="0" fontId="1" fillId="5" borderId="9" xfId="0" applyFont="1" applyFill="1" applyBorder="1" applyAlignment="1" applyProtection="1">
      <alignment horizontal="center" vertical="center"/>
      <protection locked="0"/>
    </xf>
    <xf numFmtId="0" fontId="1" fillId="5" borderId="10" xfId="0" applyFont="1" applyFill="1" applyBorder="1" applyAlignment="1" applyProtection="1">
      <alignment horizontal="center" vertical="center"/>
      <protection locked="0"/>
    </xf>
    <xf numFmtId="0" fontId="1" fillId="5" borderId="60" xfId="0" applyFont="1" applyFill="1" applyBorder="1" applyAlignment="1" applyProtection="1">
      <alignment horizontal="center" vertical="center"/>
      <protection locked="0"/>
    </xf>
    <xf numFmtId="0" fontId="1" fillId="5" borderId="86" xfId="0" applyFont="1" applyFill="1" applyBorder="1" applyAlignment="1" applyProtection="1">
      <alignment horizontal="center" vertical="center"/>
      <protection locked="0"/>
    </xf>
    <xf numFmtId="0" fontId="1" fillId="5" borderId="8" xfId="0" applyFont="1" applyFill="1" applyBorder="1" applyAlignment="1" applyProtection="1">
      <alignment vertical="center"/>
      <protection locked="0"/>
    </xf>
    <xf numFmtId="0" fontId="0" fillId="5" borderId="9" xfId="0" applyFill="1" applyBorder="1" applyProtection="1">
      <protection locked="0"/>
    </xf>
    <xf numFmtId="0" fontId="0" fillId="5" borderId="10" xfId="0" applyFill="1" applyBorder="1" applyProtection="1">
      <protection locked="0"/>
    </xf>
    <xf numFmtId="14" fontId="1" fillId="0" borderId="8" xfId="0" applyNumberFormat="1" applyFont="1" applyBorder="1" applyAlignment="1" applyProtection="1">
      <alignment vertical="center"/>
      <protection locked="0"/>
    </xf>
    <xf numFmtId="14" fontId="0" fillId="0" borderId="9" xfId="0" applyNumberFormat="1" applyBorder="1" applyProtection="1">
      <protection locked="0"/>
    </xf>
    <xf numFmtId="14" fontId="0" fillId="0" borderId="10" xfId="0" applyNumberFormat="1" applyBorder="1" applyProtection="1">
      <protection locked="0"/>
    </xf>
    <xf numFmtId="14" fontId="0" fillId="0" borderId="8" xfId="0" applyNumberFormat="1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1" fillId="5" borderId="17" xfId="0" applyFont="1" applyFill="1" applyBorder="1" applyAlignment="1" applyProtection="1">
      <alignment horizontal="center" vertical="center"/>
      <protection locked="0"/>
    </xf>
    <xf numFmtId="14" fontId="21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9" xfId="0" applyNumberFormat="1" applyFont="1" applyBorder="1" applyAlignment="1" applyProtection="1">
      <alignment horizontal="center" vertical="center"/>
      <protection locked="0"/>
    </xf>
    <xf numFmtId="14" fontId="22" fillId="0" borderId="10" xfId="0" applyNumberFormat="1" applyFont="1" applyBorder="1" applyAlignment="1" applyProtection="1">
      <alignment horizontal="center" vertical="center"/>
      <protection locked="0"/>
    </xf>
    <xf numFmtId="14" fontId="22" fillId="5" borderId="8" xfId="0" applyNumberFormat="1" applyFont="1" applyFill="1" applyBorder="1" applyAlignment="1">
      <alignment horizontal="center" vertical="center"/>
    </xf>
    <xf numFmtId="0" fontId="22" fillId="5" borderId="9" xfId="0" applyFont="1" applyFill="1" applyBorder="1" applyAlignment="1">
      <alignment horizontal="center" vertical="center"/>
    </xf>
    <xf numFmtId="0" fontId="22" fillId="5" borderId="10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14" fontId="22" fillId="5" borderId="9" xfId="0" applyNumberFormat="1" applyFont="1" applyFill="1" applyBorder="1" applyAlignment="1" applyProtection="1">
      <alignment horizontal="center" vertical="center"/>
      <protection locked="0"/>
    </xf>
    <xf numFmtId="0" fontId="19" fillId="0" borderId="32" xfId="0" applyFont="1" applyBorder="1"/>
    <xf numFmtId="0" fontId="0" fillId="0" borderId="32" xfId="0" applyBorder="1"/>
    <xf numFmtId="14" fontId="22" fillId="0" borderId="8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1" fillId="8" borderId="8" xfId="0" applyFont="1" applyFill="1" applyBorder="1" applyAlignment="1" applyProtection="1">
      <alignment horizontal="center" vertical="center"/>
      <protection locked="0"/>
    </xf>
    <xf numFmtId="0" fontId="1" fillId="8" borderId="9" xfId="0" applyFont="1" applyFill="1" applyBorder="1" applyAlignment="1" applyProtection="1">
      <alignment horizontal="center" vertical="center"/>
      <protection locked="0"/>
    </xf>
    <xf numFmtId="0" fontId="1" fillId="8" borderId="10" xfId="0" applyFont="1" applyFill="1" applyBorder="1" applyAlignment="1" applyProtection="1">
      <alignment horizontal="center" vertical="center"/>
      <protection locked="0"/>
    </xf>
    <xf numFmtId="0" fontId="0" fillId="8" borderId="60" xfId="0" applyFill="1" applyBorder="1" applyAlignment="1" applyProtection="1">
      <alignment horizontal="center" vertical="center"/>
      <protection locked="0"/>
    </xf>
    <xf numFmtId="0" fontId="0" fillId="8" borderId="8" xfId="0" applyFill="1" applyBorder="1" applyAlignment="1" applyProtection="1">
      <alignment horizontal="center" vertical="center"/>
      <protection locked="0"/>
    </xf>
    <xf numFmtId="0" fontId="0" fillId="8" borderId="9" xfId="0" applyFill="1" applyBorder="1" applyAlignment="1" applyProtection="1">
      <alignment horizontal="center" vertical="center"/>
      <protection locked="0"/>
    </xf>
    <xf numFmtId="0" fontId="0" fillId="8" borderId="10" xfId="0" applyFill="1" applyBorder="1" applyAlignment="1" applyProtection="1">
      <alignment horizontal="center" vertical="center"/>
      <protection locked="0"/>
    </xf>
    <xf numFmtId="0" fontId="0" fillId="8" borderId="65" xfId="0" applyFill="1" applyBorder="1" applyAlignment="1" applyProtection="1">
      <alignment horizontal="center" vertical="center"/>
      <protection locked="0"/>
    </xf>
    <xf numFmtId="0" fontId="0" fillId="8" borderId="66" xfId="0" applyFill="1" applyBorder="1" applyAlignment="1" applyProtection="1">
      <alignment horizontal="center" vertical="center"/>
      <protection locked="0"/>
    </xf>
    <xf numFmtId="0" fontId="0" fillId="7" borderId="8" xfId="0" applyFill="1" applyBorder="1" applyAlignment="1" applyProtection="1">
      <alignment horizontal="center" vertical="center"/>
      <protection locked="0"/>
    </xf>
    <xf numFmtId="0" fontId="0" fillId="7" borderId="9" xfId="0" applyFill="1" applyBorder="1" applyAlignment="1" applyProtection="1">
      <alignment horizontal="center" vertical="center"/>
      <protection locked="0"/>
    </xf>
    <xf numFmtId="0" fontId="0" fillId="7" borderId="10" xfId="0" applyFill="1" applyBorder="1" applyAlignment="1" applyProtection="1">
      <alignment horizontal="center" vertical="center"/>
      <protection locked="0"/>
    </xf>
    <xf numFmtId="0" fontId="22" fillId="8" borderId="8" xfId="0" applyFont="1" applyFill="1" applyBorder="1" applyAlignment="1">
      <alignment horizontal="center" vertical="center"/>
    </xf>
    <xf numFmtId="0" fontId="22" fillId="8" borderId="9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/>
    </xf>
    <xf numFmtId="0" fontId="0" fillId="8" borderId="86" xfId="0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/>
    </xf>
    <xf numFmtId="0" fontId="0" fillId="5" borderId="8" xfId="0" applyFill="1" applyBorder="1" applyAlignment="1" applyProtection="1">
      <alignment horizontal="center" vertical="center"/>
      <protection locked="0"/>
    </xf>
    <xf numFmtId="0" fontId="0" fillId="5" borderId="9" xfId="0" applyFill="1" applyBorder="1" applyAlignment="1" applyProtection="1">
      <alignment horizontal="center" vertical="center"/>
      <protection locked="0"/>
    </xf>
    <xf numFmtId="0" fontId="0" fillId="5" borderId="10" xfId="0" applyFill="1" applyBorder="1" applyAlignment="1" applyProtection="1">
      <alignment horizontal="center" vertical="center"/>
      <protection locked="0"/>
    </xf>
    <xf numFmtId="0" fontId="0" fillId="5" borderId="60" xfId="0" applyFill="1" applyBorder="1" applyAlignment="1" applyProtection="1">
      <alignment horizontal="center" vertical="center"/>
      <protection locked="0"/>
    </xf>
    <xf numFmtId="0" fontId="0" fillId="5" borderId="86" xfId="0" applyFill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5" borderId="8" xfId="0" applyFill="1" applyBorder="1" applyProtection="1">
      <protection locked="0"/>
    </xf>
    <xf numFmtId="9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27" fillId="0" borderId="0" xfId="0" applyFont="1"/>
    <xf numFmtId="0" fontId="28" fillId="0" borderId="0" xfId="0" applyFont="1"/>
    <xf numFmtId="0" fontId="1" fillId="10" borderId="16" xfId="0" applyFont="1" applyFill="1" applyBorder="1" applyAlignment="1" applyProtection="1">
      <alignment horizontal="center" vertical="center"/>
      <protection locked="0"/>
    </xf>
    <xf numFmtId="0" fontId="0" fillId="10" borderId="0" xfId="0" applyFill="1"/>
    <xf numFmtId="0" fontId="2" fillId="10" borderId="0" xfId="0" applyFont="1" applyFill="1"/>
    <xf numFmtId="0" fontId="0" fillId="10" borderId="16" xfId="0" applyFill="1" applyBorder="1" applyAlignment="1" applyProtection="1">
      <alignment horizontal="center" vertical="center"/>
      <protection locked="0"/>
    </xf>
    <xf numFmtId="0" fontId="0" fillId="13" borderId="44" xfId="0" applyFill="1" applyBorder="1" applyAlignment="1" applyProtection="1">
      <alignment horizontal="center" vertical="center"/>
      <protection locked="0"/>
    </xf>
    <xf numFmtId="0" fontId="0" fillId="13" borderId="56" xfId="0" applyFill="1" applyBorder="1" applyAlignment="1" applyProtection="1">
      <alignment horizontal="center" vertical="center"/>
      <protection locked="0"/>
    </xf>
    <xf numFmtId="0" fontId="1" fillId="13" borderId="15" xfId="0" applyFont="1" applyFill="1" applyBorder="1" applyAlignment="1" applyProtection="1">
      <alignment horizontal="center" vertical="center"/>
      <protection locked="0"/>
    </xf>
    <xf numFmtId="0" fontId="0" fillId="13" borderId="16" xfId="0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67" xfId="0" applyFill="1" applyBorder="1" applyAlignment="1" applyProtection="1">
      <alignment horizontal="center" vertical="center"/>
      <protection locked="0"/>
    </xf>
    <xf numFmtId="0" fontId="0" fillId="10" borderId="1" xfId="0" applyFill="1" applyBorder="1" applyAlignment="1" applyProtection="1">
      <alignment horizontal="center" vertical="center"/>
      <protection locked="0"/>
    </xf>
    <xf numFmtId="0" fontId="0" fillId="13" borderId="12" xfId="0" applyFill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0" fillId="5" borderId="13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0" fillId="5" borderId="14" xfId="0" applyFill="1" applyBorder="1" applyAlignment="1" applyProtection="1">
      <alignment horizontal="center" vertical="center"/>
      <protection locked="0"/>
    </xf>
    <xf numFmtId="0" fontId="0" fillId="0" borderId="87" xfId="0" applyBorder="1" applyAlignment="1" applyProtection="1">
      <alignment horizontal="center" vertical="center"/>
      <protection locked="0"/>
    </xf>
    <xf numFmtId="0" fontId="0" fillId="0" borderId="72" xfId="0" applyBorder="1" applyAlignment="1" applyProtection="1">
      <alignment horizontal="center" vertical="center"/>
      <protection locked="0"/>
    </xf>
    <xf numFmtId="0" fontId="0" fillId="0" borderId="88" xfId="0" applyBorder="1" applyAlignment="1" applyProtection="1">
      <alignment horizontal="center" vertical="center"/>
      <protection locked="0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11" fillId="9" borderId="0" xfId="0" applyFont="1" applyFill="1" applyAlignment="1">
      <alignment horizont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</cellXfs>
  <cellStyles count="2">
    <cellStyle name="Normal" xfId="0" builtinId="0"/>
    <cellStyle name="Per cent" xfId="1" builtinId="5"/>
  </cellStyles>
  <dxfs count="107"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theme="4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8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6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6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 patternType="solid">
          <bgColor theme="4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3ECC3"/>
        </patternFill>
      </fill>
    </dxf>
    <dxf>
      <fill>
        <patternFill patternType="solid">
          <bgColor theme="4" tint="0.79998168889431442"/>
        </patternFill>
      </fill>
    </dxf>
    <dxf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ont>
        <color theme="8"/>
      </font>
      <fill>
        <patternFill>
          <bgColor theme="6" tint="0.79998168889431442"/>
        </patternFill>
      </fill>
    </dxf>
    <dxf>
      <font>
        <color rgb="FFFF0000"/>
      </font>
      <fill>
        <patternFill>
          <bgColor theme="6" tint="0.79998168889431442"/>
        </patternFill>
      </fill>
    </dxf>
    <dxf>
      <fill>
        <patternFill>
          <bgColor rgb="FFF3ECC3"/>
        </patternFill>
      </fill>
    </dxf>
    <dxf>
      <fill>
        <patternFill>
          <bgColor theme="4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6161"/>
      <color rgb="FFFF5353"/>
      <color rgb="FFFF9F9F"/>
      <color rgb="FFFF82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" Target="richData/rdrichvalue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Types" Target="richData/rdRichValueTypes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CMI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Data!$FM$3</c:f>
              <c:strCache>
                <c:ptCount val="1"/>
                <c:pt idx="0">
                  <c:v>OBJECTIF</c:v>
                </c:pt>
              </c:strCache>
            </c:strRef>
          </c:tx>
          <c:spPr>
            <a:noFill/>
            <a:ln w="1270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Data!$ET$4:$ET$20</c:f>
              <c:strCache>
                <c:ptCount val="17"/>
                <c:pt idx="0">
                  <c:v>1.1</c:v>
                </c:pt>
                <c:pt idx="1">
                  <c:v>2.1</c:v>
                </c:pt>
                <c:pt idx="2">
                  <c:v>2.2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  <c:pt idx="6">
                  <c:v>3A.1</c:v>
                </c:pt>
                <c:pt idx="7">
                  <c:v>3A.2</c:v>
                </c:pt>
                <c:pt idx="8">
                  <c:v>3A.3</c:v>
                </c:pt>
                <c:pt idx="9">
                  <c:v>4A.1</c:v>
                </c:pt>
                <c:pt idx="10">
                  <c:v>4A.2</c:v>
                </c:pt>
                <c:pt idx="11">
                  <c:v>4A.3</c:v>
                </c:pt>
                <c:pt idx="12">
                  <c:v>5A.1</c:v>
                </c:pt>
                <c:pt idx="13">
                  <c:v>5A.2</c:v>
                </c:pt>
                <c:pt idx="14">
                  <c:v>6A.1</c:v>
                </c:pt>
                <c:pt idx="15">
                  <c:v>6A.2</c:v>
                </c:pt>
                <c:pt idx="16">
                  <c:v>7A.1</c:v>
                </c:pt>
              </c:strCache>
            </c:strRef>
          </c:cat>
          <c:val>
            <c:numRef>
              <c:f>Data!$FM$4:$FM$20</c:f>
              <c:numCache>
                <c:formatCode>0%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7F-4E82-B0C4-8AC717ED1C87}"/>
            </c:ext>
          </c:extLst>
        </c:ser>
        <c:ser>
          <c:idx val="2"/>
          <c:order val="2"/>
          <c:tx>
            <c:strRef>
              <c:f>Data!$FL$3</c:f>
              <c:strCache>
                <c:ptCount val="1"/>
                <c:pt idx="0">
                  <c:v>MOYENNE CMI</c:v>
                </c:pt>
              </c:strCache>
            </c:strRef>
          </c:tx>
          <c:spPr>
            <a:solidFill>
              <a:srgbClr val="44B3E1">
                <a:alpha val="51000"/>
              </a:srgbClr>
            </a:soli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Data!$ET$4:$ET$20</c:f>
              <c:strCache>
                <c:ptCount val="17"/>
                <c:pt idx="0">
                  <c:v>1.1</c:v>
                </c:pt>
                <c:pt idx="1">
                  <c:v>2.1</c:v>
                </c:pt>
                <c:pt idx="2">
                  <c:v>2.2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  <c:pt idx="6">
                  <c:v>3A.1</c:v>
                </c:pt>
                <c:pt idx="7">
                  <c:v>3A.2</c:v>
                </c:pt>
                <c:pt idx="8">
                  <c:v>3A.3</c:v>
                </c:pt>
                <c:pt idx="9">
                  <c:v>4A.1</c:v>
                </c:pt>
                <c:pt idx="10">
                  <c:v>4A.2</c:v>
                </c:pt>
                <c:pt idx="11">
                  <c:v>4A.3</c:v>
                </c:pt>
                <c:pt idx="12">
                  <c:v>5A.1</c:v>
                </c:pt>
                <c:pt idx="13">
                  <c:v>5A.2</c:v>
                </c:pt>
                <c:pt idx="14">
                  <c:v>6A.1</c:v>
                </c:pt>
                <c:pt idx="15">
                  <c:v>6A.2</c:v>
                </c:pt>
                <c:pt idx="16">
                  <c:v>7A.1</c:v>
                </c:pt>
              </c:strCache>
            </c:strRef>
          </c:cat>
          <c:val>
            <c:numRef>
              <c:f>Data!$FL$4:$FL$20</c:f>
              <c:numCache>
                <c:formatCode>0%</c:formatCode>
                <c:ptCount val="17"/>
                <c:pt idx="0">
                  <c:v>0.83333333333333326</c:v>
                </c:pt>
                <c:pt idx="1">
                  <c:v>0.56944444444444442</c:v>
                </c:pt>
                <c:pt idx="2">
                  <c:v>1</c:v>
                </c:pt>
                <c:pt idx="3">
                  <c:v>0.58333333333333326</c:v>
                </c:pt>
                <c:pt idx="4">
                  <c:v>1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0.61111111111111105</c:v>
                </c:pt>
                <c:pt idx="10">
                  <c:v>0.44444444444444442</c:v>
                </c:pt>
                <c:pt idx="11">
                  <c:v>0.52777777777777779</c:v>
                </c:pt>
                <c:pt idx="12">
                  <c:v>0.5</c:v>
                </c:pt>
                <c:pt idx="13">
                  <c:v>0.31481481481481477</c:v>
                </c:pt>
                <c:pt idx="14">
                  <c:v>0.3833333333333333</c:v>
                </c:pt>
                <c:pt idx="15">
                  <c:v>0.35555555555555557</c:v>
                </c:pt>
                <c:pt idx="16">
                  <c:v>0.83333333333333326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A-4DFD-86FC-3F07B857BBA1}"/>
            </c:ext>
          </c:extLst>
        </c:ser>
        <c:ser>
          <c:idx val="1"/>
          <c:order val="3"/>
          <c:tx>
            <c:v>JHVJV</c:v>
          </c:tx>
          <c:spPr>
            <a:solidFill>
              <a:schemeClr val="tx2">
                <a:lumMod val="50000"/>
                <a:lumOff val="50000"/>
              </a:schemeClr>
            </a:solidFill>
          </c:spPr>
          <c:invertIfNegative val="0"/>
          <c:val>
            <c:numRef>
              <c:f>Data!$FL$54:$FL$70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DB-4F04-8C7B-8C0622C11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275010568"/>
        <c:axId val="1275042312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Data!$FE$3</c15:sqref>
                        </c15:formulaRef>
                      </c:ext>
                    </c:extLst>
                    <c:strCache>
                      <c:ptCount val="1"/>
                      <c:pt idx="0">
                        <c:v>MOYENNE MLG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Data!$ET$4:$ET$20</c15:sqref>
                        </c15:formulaRef>
                      </c:ext>
                    </c:extLst>
                    <c:strCache>
                      <c:ptCount val="17"/>
                      <c:pt idx="0">
                        <c:v>1.1</c:v>
                      </c:pt>
                      <c:pt idx="1">
                        <c:v>2.1</c:v>
                      </c:pt>
                      <c:pt idx="2">
                        <c:v>2.2</c:v>
                      </c:pt>
                      <c:pt idx="3">
                        <c:v>2.3</c:v>
                      </c:pt>
                      <c:pt idx="4">
                        <c:v>2.4</c:v>
                      </c:pt>
                      <c:pt idx="5">
                        <c:v>2.5</c:v>
                      </c:pt>
                      <c:pt idx="6">
                        <c:v>3A.1</c:v>
                      </c:pt>
                      <c:pt idx="7">
                        <c:v>3A.2</c:v>
                      </c:pt>
                      <c:pt idx="8">
                        <c:v>3A.3</c:v>
                      </c:pt>
                      <c:pt idx="9">
                        <c:v>4A.1</c:v>
                      </c:pt>
                      <c:pt idx="10">
                        <c:v>4A.2</c:v>
                      </c:pt>
                      <c:pt idx="11">
                        <c:v>4A.3</c:v>
                      </c:pt>
                      <c:pt idx="12">
                        <c:v>5A.1</c:v>
                      </c:pt>
                      <c:pt idx="13">
                        <c:v>5A.2</c:v>
                      </c:pt>
                      <c:pt idx="14">
                        <c:v>6A.1</c:v>
                      </c:pt>
                      <c:pt idx="15">
                        <c:v>6A.2</c:v>
                      </c:pt>
                      <c:pt idx="16">
                        <c:v>7A.1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Data!$FE$4:$FE$20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A7F-4E82-B0C4-8AC717ED1C87}"/>
                  </c:ext>
                </c:extLst>
              </c15:ser>
            </c15:filteredBarSeries>
          </c:ext>
        </c:extLst>
      </c:barChart>
      <c:catAx>
        <c:axId val="127501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42312"/>
        <c:crosses val="autoZero"/>
        <c:auto val="1"/>
        <c:lblAlgn val="ctr"/>
        <c:lblOffset val="100"/>
        <c:noMultiLvlLbl val="0"/>
      </c:catAx>
      <c:valAx>
        <c:axId val="12750423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105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MLG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Data!$FM$3</c:f>
              <c:strCache>
                <c:ptCount val="1"/>
                <c:pt idx="0">
                  <c:v>OBJECTIF</c:v>
                </c:pt>
              </c:strCache>
            </c:strRef>
          </c:tx>
          <c:spPr>
            <a:noFill/>
            <a:ln w="1270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cat>
            <c:strRef>
              <c:f>Data!$ET$4:$ET$20</c:f>
              <c:strCache>
                <c:ptCount val="17"/>
                <c:pt idx="0">
                  <c:v>1.1</c:v>
                </c:pt>
                <c:pt idx="1">
                  <c:v>2.1</c:v>
                </c:pt>
                <c:pt idx="2">
                  <c:v>2.2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  <c:pt idx="6">
                  <c:v>3A.1</c:v>
                </c:pt>
                <c:pt idx="7">
                  <c:v>3A.2</c:v>
                </c:pt>
                <c:pt idx="8">
                  <c:v>3A.3</c:v>
                </c:pt>
                <c:pt idx="9">
                  <c:v>4A.1</c:v>
                </c:pt>
                <c:pt idx="10">
                  <c:v>4A.2</c:v>
                </c:pt>
                <c:pt idx="11">
                  <c:v>4A.3</c:v>
                </c:pt>
                <c:pt idx="12">
                  <c:v>5A.1</c:v>
                </c:pt>
                <c:pt idx="13">
                  <c:v>5A.2</c:v>
                </c:pt>
                <c:pt idx="14">
                  <c:v>6A.1</c:v>
                </c:pt>
                <c:pt idx="15">
                  <c:v>6A.2</c:v>
                </c:pt>
                <c:pt idx="16">
                  <c:v>7A.1</c:v>
                </c:pt>
              </c:strCache>
            </c:strRef>
          </c:cat>
          <c:val>
            <c:numRef>
              <c:f>Data!$FM$4:$FM$20</c:f>
              <c:numCache>
                <c:formatCode>0%</c:formatCode>
                <c:ptCount val="1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A7F-4E82-B0C4-8AC717ED1C87}"/>
            </c:ext>
          </c:extLst>
        </c:ser>
        <c:ser>
          <c:idx val="0"/>
          <c:order val="1"/>
          <c:tx>
            <c:strRef>
              <c:f>Data!$FE$3</c:f>
              <c:strCache>
                <c:ptCount val="1"/>
                <c:pt idx="0">
                  <c:v>MOYENNE MLG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Data!$ET$4:$ET$20</c:f>
              <c:strCache>
                <c:ptCount val="17"/>
                <c:pt idx="0">
                  <c:v>1.1</c:v>
                </c:pt>
                <c:pt idx="1">
                  <c:v>2.1</c:v>
                </c:pt>
                <c:pt idx="2">
                  <c:v>2.2</c:v>
                </c:pt>
                <c:pt idx="3">
                  <c:v>2.3</c:v>
                </c:pt>
                <c:pt idx="4">
                  <c:v>2.4</c:v>
                </c:pt>
                <c:pt idx="5">
                  <c:v>2.5</c:v>
                </c:pt>
                <c:pt idx="6">
                  <c:v>3A.1</c:v>
                </c:pt>
                <c:pt idx="7">
                  <c:v>3A.2</c:v>
                </c:pt>
                <c:pt idx="8">
                  <c:v>3A.3</c:v>
                </c:pt>
                <c:pt idx="9">
                  <c:v>4A.1</c:v>
                </c:pt>
                <c:pt idx="10">
                  <c:v>4A.2</c:v>
                </c:pt>
                <c:pt idx="11">
                  <c:v>4A.3</c:v>
                </c:pt>
                <c:pt idx="12">
                  <c:v>5A.1</c:v>
                </c:pt>
                <c:pt idx="13">
                  <c:v>5A.2</c:v>
                </c:pt>
                <c:pt idx="14">
                  <c:v>6A.1</c:v>
                </c:pt>
                <c:pt idx="15">
                  <c:v>6A.2</c:v>
                </c:pt>
                <c:pt idx="16">
                  <c:v>7A.1</c:v>
                </c:pt>
              </c:strCache>
            </c:strRef>
          </c:cat>
          <c:val>
            <c:numRef>
              <c:f>Data!$FE$4:$FE$20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7F-4E82-B0C4-8AC717ED1C87}"/>
            </c:ext>
          </c:extLst>
        </c:ser>
        <c:ser>
          <c:idx val="1"/>
          <c:order val="2"/>
          <c:tx>
            <c:v>ETAT S-1 MLG</c:v>
          </c:tx>
          <c:spPr>
            <a:solidFill>
              <a:schemeClr val="accent3">
                <a:lumMod val="60000"/>
                <a:lumOff val="40000"/>
              </a:schemeClr>
            </a:solidFill>
            <a:ln w="9525" cap="flat">
              <a:noFill/>
              <a:prstDash val="solid"/>
            </a:ln>
          </c:spPr>
          <c:invertIfNegative val="0"/>
          <c:val>
            <c:numRef>
              <c:f>Data!$FE$54:$FE$70</c:f>
              <c:numCache>
                <c:formatCode>0%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C-4DC3-84B8-8D017883C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275010568"/>
        <c:axId val="1275042312"/>
      </c:barChart>
      <c:catAx>
        <c:axId val="127501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42312"/>
        <c:crosses val="autoZero"/>
        <c:auto val="1"/>
        <c:lblAlgn val="ctr"/>
        <c:lblOffset val="100"/>
        <c:noMultiLvlLbl val="0"/>
      </c:catAx>
      <c:valAx>
        <c:axId val="12750423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0105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TTP</a:t>
            </a:r>
            <a:r>
              <a:rPr lang="en-GB" baseline="0"/>
              <a:t>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2078703703703704"/>
          <c:w val="0.89030796150481195"/>
          <c:h val="0.63241542723826183"/>
        </c:manualLayout>
      </c:layout>
      <c:lineChart>
        <c:grouping val="standard"/>
        <c:varyColors val="0"/>
        <c:ser>
          <c:idx val="0"/>
          <c:order val="0"/>
          <c:tx>
            <c:strRef>
              <c:f>'Feuil2 (2)'!$C$3</c:f>
              <c:strCache>
                <c:ptCount val="1"/>
                <c:pt idx="0">
                  <c:v>scheduled</c:v>
                </c:pt>
              </c:strCache>
            </c:strRef>
          </c:tx>
          <c:spPr>
            <a:ln w="63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'Feuil2 (2)'!$B$5:$B$47</c:f>
              <c:strCache>
                <c:ptCount val="43"/>
                <c:pt idx="0">
                  <c:v>33/2025</c:v>
                </c:pt>
                <c:pt idx="1">
                  <c:v>34/2025</c:v>
                </c:pt>
                <c:pt idx="2">
                  <c:v>35/2025</c:v>
                </c:pt>
                <c:pt idx="3">
                  <c:v>36/2025</c:v>
                </c:pt>
                <c:pt idx="4">
                  <c:v>37/2025</c:v>
                </c:pt>
                <c:pt idx="5">
                  <c:v>38/2025</c:v>
                </c:pt>
                <c:pt idx="6">
                  <c:v>39/2025</c:v>
                </c:pt>
                <c:pt idx="7">
                  <c:v>40/2025</c:v>
                </c:pt>
                <c:pt idx="8">
                  <c:v>41/2025</c:v>
                </c:pt>
                <c:pt idx="9">
                  <c:v>42/2025</c:v>
                </c:pt>
                <c:pt idx="10">
                  <c:v>43/2025</c:v>
                </c:pt>
                <c:pt idx="11">
                  <c:v>44/2025</c:v>
                </c:pt>
                <c:pt idx="12">
                  <c:v>45/2025</c:v>
                </c:pt>
                <c:pt idx="13">
                  <c:v>46/2025</c:v>
                </c:pt>
                <c:pt idx="14">
                  <c:v>47/2025</c:v>
                </c:pt>
                <c:pt idx="15">
                  <c:v>48/2025</c:v>
                </c:pt>
                <c:pt idx="16">
                  <c:v>49/2025</c:v>
                </c:pt>
                <c:pt idx="17">
                  <c:v>50/2025</c:v>
                </c:pt>
                <c:pt idx="18">
                  <c:v>51/2025</c:v>
                </c:pt>
                <c:pt idx="19">
                  <c:v>52/2025</c:v>
                </c:pt>
                <c:pt idx="20">
                  <c:v>1/2026</c:v>
                </c:pt>
                <c:pt idx="21">
                  <c:v>2/2026</c:v>
                </c:pt>
                <c:pt idx="22">
                  <c:v>3/2026</c:v>
                </c:pt>
                <c:pt idx="23">
                  <c:v>4/2026</c:v>
                </c:pt>
                <c:pt idx="24">
                  <c:v>5/2026</c:v>
                </c:pt>
                <c:pt idx="25">
                  <c:v>6/2026</c:v>
                </c:pt>
                <c:pt idx="26">
                  <c:v>7/2026</c:v>
                </c:pt>
                <c:pt idx="27">
                  <c:v>8/2026</c:v>
                </c:pt>
                <c:pt idx="28">
                  <c:v>9/2026</c:v>
                </c:pt>
                <c:pt idx="29">
                  <c:v>10/2026</c:v>
                </c:pt>
                <c:pt idx="30">
                  <c:v>11/2026</c:v>
                </c:pt>
                <c:pt idx="31">
                  <c:v>12/2026</c:v>
                </c:pt>
                <c:pt idx="32">
                  <c:v>13/2026</c:v>
                </c:pt>
                <c:pt idx="33">
                  <c:v>14/2026</c:v>
                </c:pt>
                <c:pt idx="34">
                  <c:v>15/2026</c:v>
                </c:pt>
                <c:pt idx="35">
                  <c:v>16/2026</c:v>
                </c:pt>
                <c:pt idx="36">
                  <c:v>17/2026</c:v>
                </c:pt>
                <c:pt idx="37">
                  <c:v>18/2026</c:v>
                </c:pt>
                <c:pt idx="38">
                  <c:v>19/2026</c:v>
                </c:pt>
                <c:pt idx="39">
                  <c:v>20/2026</c:v>
                </c:pt>
                <c:pt idx="40">
                  <c:v>21/2026</c:v>
                </c:pt>
                <c:pt idx="41">
                  <c:v>#N/A</c:v>
                </c:pt>
                <c:pt idx="42">
                  <c:v>#N/A</c:v>
                </c:pt>
              </c:strCache>
            </c:strRef>
          </c:cat>
          <c:val>
            <c:numRef>
              <c:f>'Feuil2 (2)'!$C$5:$C$47</c:f>
              <c:numCache>
                <c:formatCode>General</c:formatCode>
                <c:ptCount val="43"/>
                <c:pt idx="0">
                  <c:v>15</c:v>
                </c:pt>
                <c:pt idx="1">
                  <c:v>25</c:v>
                </c:pt>
                <c:pt idx="2">
                  <c:v>34</c:v>
                </c:pt>
                <c:pt idx="3">
                  <c:v>43</c:v>
                </c:pt>
                <c:pt idx="4">
                  <c:v>56</c:v>
                </c:pt>
                <c:pt idx="5">
                  <c:v>56</c:v>
                </c:pt>
                <c:pt idx="6">
                  <c:v>68</c:v>
                </c:pt>
                <c:pt idx="7">
                  <c:v>77</c:v>
                </c:pt>
                <c:pt idx="8">
                  <c:v>89</c:v>
                </c:pt>
                <c:pt idx="9">
                  <c:v>115</c:v>
                </c:pt>
                <c:pt idx="10">
                  <c:v>143</c:v>
                </c:pt>
                <c:pt idx="11">
                  <c:v>170</c:v>
                </c:pt>
                <c:pt idx="12">
                  <c:v>193</c:v>
                </c:pt>
                <c:pt idx="13">
                  <c:v>199</c:v>
                </c:pt>
                <c:pt idx="14">
                  <c:v>203</c:v>
                </c:pt>
                <c:pt idx="15">
                  <c:v>210</c:v>
                </c:pt>
                <c:pt idx="16">
                  <c:v>212</c:v>
                </c:pt>
                <c:pt idx="17">
                  <c:v>220</c:v>
                </c:pt>
                <c:pt idx="18">
                  <c:v>220</c:v>
                </c:pt>
                <c:pt idx="19">
                  <c:v>225</c:v>
                </c:pt>
                <c:pt idx="20">
                  <c:v>226</c:v>
                </c:pt>
                <c:pt idx="21">
                  <c:v>243</c:v>
                </c:pt>
                <c:pt idx="22">
                  <c:v>251</c:v>
                </c:pt>
                <c:pt idx="23">
                  <c:v>269</c:v>
                </c:pt>
                <c:pt idx="24">
                  <c:v>290</c:v>
                </c:pt>
                <c:pt idx="25">
                  <c:v>314</c:v>
                </c:pt>
                <c:pt idx="26">
                  <c:v>333</c:v>
                </c:pt>
                <c:pt idx="27">
                  <c:v>357</c:v>
                </c:pt>
                <c:pt idx="28">
                  <c:v>373</c:v>
                </c:pt>
                <c:pt idx="29">
                  <c:v>390</c:v>
                </c:pt>
                <c:pt idx="30">
                  <c:v>406</c:v>
                </c:pt>
                <c:pt idx="31">
                  <c:v>409</c:v>
                </c:pt>
                <c:pt idx="32">
                  <c:v>416</c:v>
                </c:pt>
                <c:pt idx="33">
                  <c:v>438</c:v>
                </c:pt>
                <c:pt idx="34">
                  <c:v>454</c:v>
                </c:pt>
                <c:pt idx="35">
                  <c:v>479</c:v>
                </c:pt>
                <c:pt idx="36">
                  <c:v>490</c:v>
                </c:pt>
                <c:pt idx="37">
                  <c:v>502</c:v>
                </c:pt>
                <c:pt idx="38">
                  <c:v>518</c:v>
                </c:pt>
                <c:pt idx="39">
                  <c:v>526</c:v>
                </c:pt>
                <c:pt idx="40">
                  <c:v>538</c:v>
                </c:pt>
                <c:pt idx="41">
                  <c:v>#N/A</c:v>
                </c:pt>
                <c:pt idx="4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1-4F4D-A6D2-F21D2155C2E1}"/>
            </c:ext>
          </c:extLst>
        </c:ser>
        <c:ser>
          <c:idx val="1"/>
          <c:order val="1"/>
          <c:tx>
            <c:strRef>
              <c:f>'Feuil2 (2)'!$E$3</c:f>
              <c:strCache>
                <c:ptCount val="1"/>
                <c:pt idx="0">
                  <c:v>MLG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'Feuil2 (2)'!$B$5:$B$47</c:f>
              <c:strCache>
                <c:ptCount val="43"/>
                <c:pt idx="0">
                  <c:v>33/2025</c:v>
                </c:pt>
                <c:pt idx="1">
                  <c:v>34/2025</c:v>
                </c:pt>
                <c:pt idx="2">
                  <c:v>35/2025</c:v>
                </c:pt>
                <c:pt idx="3">
                  <c:v>36/2025</c:v>
                </c:pt>
                <c:pt idx="4">
                  <c:v>37/2025</c:v>
                </c:pt>
                <c:pt idx="5">
                  <c:v>38/2025</c:v>
                </c:pt>
                <c:pt idx="6">
                  <c:v>39/2025</c:v>
                </c:pt>
                <c:pt idx="7">
                  <c:v>40/2025</c:v>
                </c:pt>
                <c:pt idx="8">
                  <c:v>41/2025</c:v>
                </c:pt>
                <c:pt idx="9">
                  <c:v>42/2025</c:v>
                </c:pt>
                <c:pt idx="10">
                  <c:v>43/2025</c:v>
                </c:pt>
                <c:pt idx="11">
                  <c:v>44/2025</c:v>
                </c:pt>
                <c:pt idx="12">
                  <c:v>45/2025</c:v>
                </c:pt>
                <c:pt idx="13">
                  <c:v>46/2025</c:v>
                </c:pt>
                <c:pt idx="14">
                  <c:v>47/2025</c:v>
                </c:pt>
                <c:pt idx="15">
                  <c:v>48/2025</c:v>
                </c:pt>
                <c:pt idx="16">
                  <c:v>49/2025</c:v>
                </c:pt>
                <c:pt idx="17">
                  <c:v>50/2025</c:v>
                </c:pt>
                <c:pt idx="18">
                  <c:v>51/2025</c:v>
                </c:pt>
                <c:pt idx="19">
                  <c:v>52/2025</c:v>
                </c:pt>
                <c:pt idx="20">
                  <c:v>1/2026</c:v>
                </c:pt>
                <c:pt idx="21">
                  <c:v>2/2026</c:v>
                </c:pt>
                <c:pt idx="22">
                  <c:v>3/2026</c:v>
                </c:pt>
                <c:pt idx="23">
                  <c:v>4/2026</c:v>
                </c:pt>
                <c:pt idx="24">
                  <c:v>5/2026</c:v>
                </c:pt>
                <c:pt idx="25">
                  <c:v>6/2026</c:v>
                </c:pt>
                <c:pt idx="26">
                  <c:v>7/2026</c:v>
                </c:pt>
                <c:pt idx="27">
                  <c:v>8/2026</c:v>
                </c:pt>
                <c:pt idx="28">
                  <c:v>9/2026</c:v>
                </c:pt>
                <c:pt idx="29">
                  <c:v>10/2026</c:v>
                </c:pt>
                <c:pt idx="30">
                  <c:v>11/2026</c:v>
                </c:pt>
                <c:pt idx="31">
                  <c:v>12/2026</c:v>
                </c:pt>
                <c:pt idx="32">
                  <c:v>13/2026</c:v>
                </c:pt>
                <c:pt idx="33">
                  <c:v>14/2026</c:v>
                </c:pt>
                <c:pt idx="34">
                  <c:v>15/2026</c:v>
                </c:pt>
                <c:pt idx="35">
                  <c:v>16/2026</c:v>
                </c:pt>
                <c:pt idx="36">
                  <c:v>17/2026</c:v>
                </c:pt>
                <c:pt idx="37">
                  <c:v>18/2026</c:v>
                </c:pt>
                <c:pt idx="38">
                  <c:v>19/2026</c:v>
                </c:pt>
                <c:pt idx="39">
                  <c:v>20/2026</c:v>
                </c:pt>
                <c:pt idx="40">
                  <c:v>21/2026</c:v>
                </c:pt>
                <c:pt idx="41">
                  <c:v>#N/A</c:v>
                </c:pt>
                <c:pt idx="42">
                  <c:v>#N/A</c:v>
                </c:pt>
              </c:strCache>
            </c:strRef>
          </c:cat>
          <c:val>
            <c:numRef>
              <c:f>'Feuil2 (2)'!$E$5:$E$56</c:f>
              <c:numCache>
                <c:formatCode>General</c:formatCode>
                <c:ptCount val="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1-4F4D-A6D2-F21D2155C2E1}"/>
            </c:ext>
          </c:extLst>
        </c:ser>
        <c:ser>
          <c:idx val="2"/>
          <c:order val="2"/>
          <c:tx>
            <c:strRef>
              <c:f>'Feuil2 (2)'!$F$3</c:f>
              <c:strCache>
                <c:ptCount val="1"/>
                <c:pt idx="0">
                  <c:v>CMI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'Feuil2 (2)'!$B$5:$B$47</c:f>
              <c:strCache>
                <c:ptCount val="43"/>
                <c:pt idx="0">
                  <c:v>33/2025</c:v>
                </c:pt>
                <c:pt idx="1">
                  <c:v>34/2025</c:v>
                </c:pt>
                <c:pt idx="2">
                  <c:v>35/2025</c:v>
                </c:pt>
                <c:pt idx="3">
                  <c:v>36/2025</c:v>
                </c:pt>
                <c:pt idx="4">
                  <c:v>37/2025</c:v>
                </c:pt>
                <c:pt idx="5">
                  <c:v>38/2025</c:v>
                </c:pt>
                <c:pt idx="6">
                  <c:v>39/2025</c:v>
                </c:pt>
                <c:pt idx="7">
                  <c:v>40/2025</c:v>
                </c:pt>
                <c:pt idx="8">
                  <c:v>41/2025</c:v>
                </c:pt>
                <c:pt idx="9">
                  <c:v>42/2025</c:v>
                </c:pt>
                <c:pt idx="10">
                  <c:v>43/2025</c:v>
                </c:pt>
                <c:pt idx="11">
                  <c:v>44/2025</c:v>
                </c:pt>
                <c:pt idx="12">
                  <c:v>45/2025</c:v>
                </c:pt>
                <c:pt idx="13">
                  <c:v>46/2025</c:v>
                </c:pt>
                <c:pt idx="14">
                  <c:v>47/2025</c:v>
                </c:pt>
                <c:pt idx="15">
                  <c:v>48/2025</c:v>
                </c:pt>
                <c:pt idx="16">
                  <c:v>49/2025</c:v>
                </c:pt>
                <c:pt idx="17">
                  <c:v>50/2025</c:v>
                </c:pt>
                <c:pt idx="18">
                  <c:v>51/2025</c:v>
                </c:pt>
                <c:pt idx="19">
                  <c:v>52/2025</c:v>
                </c:pt>
                <c:pt idx="20">
                  <c:v>1/2026</c:v>
                </c:pt>
                <c:pt idx="21">
                  <c:v>2/2026</c:v>
                </c:pt>
                <c:pt idx="22">
                  <c:v>3/2026</c:v>
                </c:pt>
                <c:pt idx="23">
                  <c:v>4/2026</c:v>
                </c:pt>
                <c:pt idx="24">
                  <c:v>5/2026</c:v>
                </c:pt>
                <c:pt idx="25">
                  <c:v>6/2026</c:v>
                </c:pt>
                <c:pt idx="26">
                  <c:v>7/2026</c:v>
                </c:pt>
                <c:pt idx="27">
                  <c:v>8/2026</c:v>
                </c:pt>
                <c:pt idx="28">
                  <c:v>9/2026</c:v>
                </c:pt>
                <c:pt idx="29">
                  <c:v>10/2026</c:v>
                </c:pt>
                <c:pt idx="30">
                  <c:v>11/2026</c:v>
                </c:pt>
                <c:pt idx="31">
                  <c:v>12/2026</c:v>
                </c:pt>
                <c:pt idx="32">
                  <c:v>13/2026</c:v>
                </c:pt>
                <c:pt idx="33">
                  <c:v>14/2026</c:v>
                </c:pt>
                <c:pt idx="34">
                  <c:v>15/2026</c:v>
                </c:pt>
                <c:pt idx="35">
                  <c:v>16/2026</c:v>
                </c:pt>
                <c:pt idx="36">
                  <c:v>17/2026</c:v>
                </c:pt>
                <c:pt idx="37">
                  <c:v>18/2026</c:v>
                </c:pt>
                <c:pt idx="38">
                  <c:v>19/2026</c:v>
                </c:pt>
                <c:pt idx="39">
                  <c:v>20/2026</c:v>
                </c:pt>
                <c:pt idx="40">
                  <c:v>21/2026</c:v>
                </c:pt>
                <c:pt idx="41">
                  <c:v>#N/A</c:v>
                </c:pt>
                <c:pt idx="42">
                  <c:v>#N/A</c:v>
                </c:pt>
              </c:strCache>
            </c:strRef>
          </c:cat>
          <c:val>
            <c:numRef>
              <c:f>'Feuil2 (2)'!$F$5:$F$56</c:f>
              <c:numCache>
                <c:formatCode>General</c:formatCode>
                <c:ptCount val="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B1-4F4D-A6D2-F21D2155C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322904"/>
        <c:axId val="812326504"/>
      </c:lineChart>
      <c:catAx>
        <c:axId val="812322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326504"/>
        <c:crosses val="autoZero"/>
        <c:auto val="1"/>
        <c:lblAlgn val="ctr"/>
        <c:lblOffset val="100"/>
        <c:tickMarkSkip val="1"/>
        <c:noMultiLvlLbl val="0"/>
      </c:catAx>
      <c:valAx>
        <c:axId val="8123265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12322904"/>
        <c:crosses val="autoZero"/>
        <c:crossBetween val="midCat"/>
      </c:valAx>
      <c:spPr>
        <a:noFill/>
        <a:ln cap="flat">
          <a:solidFill>
            <a:schemeClr val="accent1"/>
          </a:solidFill>
          <a:beve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752475</xdr:colOff>
      <xdr:row>4</xdr:row>
      <xdr:rowOff>133350</xdr:rowOff>
    </xdr:from>
    <xdr:to>
      <xdr:col>12</xdr:col>
      <xdr:colOff>227693</xdr:colOff>
      <xdr:row>24</xdr:row>
      <xdr:rowOff>9071</xdr:rowOff>
    </xdr:to>
    <xdr:pic>
      <xdr:nvPicPr>
        <xdr:cNvPr id="5" name="Image 19">
          <a:extLst>
            <a:ext uri="{FF2B5EF4-FFF2-40B4-BE49-F238E27FC236}">
              <a16:creationId xmlns:a16="http://schemas.microsoft.com/office/drawing/2014/main" id="{80428C0A-0737-F20C-1784-A59BC34214B4}"/>
            </a:ext>
            <a:ext uri="{147F2762-F138-4A5C-976F-8EAC2B608ADB}">
              <a16:predDERef xmlns:a16="http://schemas.microsoft.com/office/drawing/2014/main" pred="{F138F273-DE00-4455-AC2E-37981D3E7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2118" y="1720850"/>
          <a:ext cx="2761343" cy="3685721"/>
        </a:xfrm>
        <a:prstGeom prst="rect">
          <a:avLst/>
        </a:prstGeom>
      </xdr:spPr>
    </xdr:pic>
    <xdr:clientData/>
  </xdr:twoCellAnchor>
  <xdr:twoCellAnchor>
    <xdr:from>
      <xdr:col>12</xdr:col>
      <xdr:colOff>25691</xdr:colOff>
      <xdr:row>2</xdr:row>
      <xdr:rowOff>42815</xdr:rowOff>
    </xdr:from>
    <xdr:to>
      <xdr:col>19</xdr:col>
      <xdr:colOff>656167</xdr:colOff>
      <xdr:row>26</xdr:row>
      <xdr:rowOff>137583</xdr:rowOff>
    </xdr:to>
    <xdr:graphicFrame macro="">
      <xdr:nvGraphicFramePr>
        <xdr:cNvPr id="7" name="Graphique 2">
          <a:extLst>
            <a:ext uri="{FF2B5EF4-FFF2-40B4-BE49-F238E27FC236}">
              <a16:creationId xmlns:a16="http://schemas.microsoft.com/office/drawing/2014/main" id="{6AD762A2-425E-1F9A-E076-8B8AE2E6B50C}"/>
            </a:ext>
            <a:ext uri="{147F2762-F138-4A5C-976F-8EAC2B608ADB}">
              <a16:predDERef xmlns:a16="http://schemas.microsoft.com/office/drawing/2014/main" pred="{80428C0A-0737-F20C-1784-A59BC3421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623904</xdr:colOff>
      <xdr:row>4</xdr:row>
      <xdr:rowOff>149946</xdr:rowOff>
    </xdr:from>
    <xdr:to>
      <xdr:col>8</xdr:col>
      <xdr:colOff>312969</xdr:colOff>
      <xdr:row>6</xdr:row>
      <xdr:rowOff>16176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4F1FA815-93D8-B06A-39DF-485470FABBC4}"/>
            </a:ext>
            <a:ext uri="{147F2762-F138-4A5C-976F-8EAC2B608ADB}">
              <a16:predDERef xmlns:a16="http://schemas.microsoft.com/office/drawing/2014/main" pred="{6AD762A2-425E-1F9A-E076-8B8AE2E6B50C}"/>
            </a:ext>
          </a:extLst>
        </xdr:cNvPr>
        <xdr:cNvSpPr txBox="1"/>
      </xdr:nvSpPr>
      <xdr:spPr>
        <a:xfrm>
          <a:off x="6177463" y="1715921"/>
          <a:ext cx="472053" cy="221399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r"/>
          <a:r>
            <a:rPr lang="en-US" sz="1000" b="0" i="0" u="none" strike="noStrike">
              <a:solidFill>
                <a:schemeClr val="bg2">
                  <a:lumMod val="25000"/>
                </a:schemeClr>
              </a:solidFill>
              <a:latin typeface="Aptos Narrow" panose="020B0004020202020204" pitchFamily="34" charset="0"/>
            </a:rPr>
            <a:t>7A.1</a:t>
          </a:r>
        </a:p>
      </xdr:txBody>
    </xdr:sp>
    <xdr:clientData/>
  </xdr:twoCellAnchor>
  <xdr:twoCellAnchor>
    <xdr:from>
      <xdr:col>0</xdr:col>
      <xdr:colOff>120941</xdr:colOff>
      <xdr:row>2</xdr:row>
      <xdr:rowOff>60958</xdr:rowOff>
    </xdr:from>
    <xdr:to>
      <xdr:col>7</xdr:col>
      <xdr:colOff>751417</xdr:colOff>
      <xdr:row>26</xdr:row>
      <xdr:rowOff>145143</xdr:rowOff>
    </xdr:to>
    <xdr:graphicFrame macro="">
      <xdr:nvGraphicFramePr>
        <xdr:cNvPr id="6" name="Graphique 2">
          <a:extLst>
            <a:ext uri="{FF2B5EF4-FFF2-40B4-BE49-F238E27FC236}">
              <a16:creationId xmlns:a16="http://schemas.microsoft.com/office/drawing/2014/main" id="{167885F0-FF83-04C0-FC30-E79EFCBE8548}"/>
            </a:ext>
            <a:ext uri="{147F2762-F138-4A5C-976F-8EAC2B608ADB}">
              <a16:predDERef xmlns:a16="http://schemas.microsoft.com/office/drawing/2014/main" pred="{4F1FA815-93D8-B06A-39DF-485470FAB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147784</xdr:colOff>
      <xdr:row>8</xdr:row>
      <xdr:rowOff>158750</xdr:rowOff>
    </xdr:from>
    <xdr:to>
      <xdr:col>30</xdr:col>
      <xdr:colOff>744570</xdr:colOff>
      <xdr:row>33</xdr:row>
      <xdr:rowOff>149050</xdr:rowOff>
    </xdr:to>
    <xdr:graphicFrame macro="">
      <xdr:nvGraphicFramePr>
        <xdr:cNvPr id="4" name="Graphique 1">
          <a:extLst>
            <a:ext uri="{FF2B5EF4-FFF2-40B4-BE49-F238E27FC236}">
              <a16:creationId xmlns:a16="http://schemas.microsoft.com/office/drawing/2014/main" id="{1F6C320F-B663-9BAA-4739-C3EBE56DD3B5}"/>
            </a:ext>
            <a:ext uri="{147F2762-F138-4A5C-976F-8EAC2B608ADB}">
              <a16:predDERef xmlns:a16="http://schemas.microsoft.com/office/drawing/2014/main" pred="{167885F0-FF83-04C0-FC30-E79EFCBE85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Xavier Dran" id="{44D93FBA-6533-42A3-8F8A-1B112905B21D}" userId="S::xavier.dran.ext@novae-group.com::6b4e87da-f69d-424f-88f9-bd7bedd950bf" providerId="AD"/>
  <person displayName="Luidjy Payet" id="{F494E9D3-34E7-48F9-A378-A2C4355940FB}" userId="S::luidjy.payet.ext@novae-group.com::0d86b82b-2949-424b-a603-a2f5727f9e2a" providerId="AD"/>
  <person displayName="Antoine Des Deserts" id="{F46F49A5-3BFA-4C74-96AE-DB64A1615F9A}" userId="S::antoine.desdeserts@novae-group.com::9ba6cedf-6509-46b4-9d3f-118ffa40e297" providerId="AD"/>
  <person displayName="Etienne Garien" id="{F595A580-9EEF-499C-B977-0123DE22CECC}" userId="S::etienne.garien.ext@novae-group.com::12102657-b427-40c3-92cc-f1c853d8bd87" providerId="AD"/>
  <person displayName="Jonathan Pascal" id="{4C45A82D-0103-4565-B087-11F88CE271F9}" userId="S::jonathan.pascal.ext@novae-group.com::e8a4651b-17cb-481e-8735-3f522c95f517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59</v>
    <v>8</v>
    <v>0</v>
    <v>1</v>
  </rv>
  <rv s="0">
    <v>32</v>
    <v>8</v>
    <v>0</v>
    <v>1</v>
  </rv>
  <rv s="0">
    <v>47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5-08-24T13:26:29.19" personId="{F494E9D3-34E7-48F9-A378-A2C4355940FB}" id="{362A7306-B7E9-4AF6-9FED-F43A025E9A40}">
    <text>DETAIL TH ET PW DANS BARRE DE PROGRESSION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1" dT="2025-10-16T08:59:43.26" personId="{4C45A82D-0103-4565-B087-11F88CE271F9}" id="{2728FE20-FE85-4946-91A2-06A53CDBFAFF}">
    <text xml:space="preserve">14/10/25
</text>
  </threadedComment>
  <threadedComment ref="AB29" dT="2026-03-05T01:01:33.97" personId="{F595A580-9EEF-499C-B977-0123DE22CECC}" id="{9ECAE2EC-AC14-49B6-A4D8-316B0EC0F314}">
    <text>Rattrapage 04/03/2026</text>
  </threadedComment>
  <threadedComment ref="AH29" dT="2026-03-05T01:01:59.64" personId="{F595A580-9EEF-499C-B977-0123DE22CECC}" id="{8203FD48-7BC1-449E-8487-2B89A6B38EE8}">
    <text>Rattrapage 04/03/2026</text>
  </threadedComment>
  <threadedComment ref="AM39" dT="2025-10-07T01:31:06.77" personId="{4C45A82D-0103-4565-B087-11F88CE271F9}" id="{2684AC0E-D310-44A0-B803-7985969C4668}">
    <text>06/10/25</text>
  </threadedComment>
  <threadedComment ref="AS39" dT="2026-07-03T08:59:14.19" personId="{F46F49A5-3BFA-4C74-96AE-DB64A1615F9A}" id="{98A27A8A-9A64-4C65-BC44-7A4FA02CCE30}">
    <text>Incohérence entre les dates  colonnes AM &amp; AS. Correction appliquée : 
- colonne AM : "P" --&gt; "R"</text>
  </threadedComment>
  <threadedComment ref="AM40" dT="2025-10-16T03:28:54.85" personId="{4C45A82D-0103-4565-B087-11F88CE271F9}" id="{0F5DE451-4748-4751-A4CD-7BA102F1B57E}">
    <text>07/10</text>
  </threadedComment>
  <threadedComment ref="AS40" dT="2026-07-03T09:00:19.02" personId="{F46F49A5-3BFA-4C74-96AE-DB64A1615F9A}" id="{4A1F5B4B-EEEC-41C8-AFF2-42D7CA4ED12D}">
    <text>Incohérence entre les dates  colonnes AM &amp; AS. Correction appliquée : 
- AM : "P" --&gt; "R"</text>
  </threadedComment>
  <threadedComment ref="P41" dT="2026-03-05T04:47:30.00" personId="{4C45A82D-0103-4565-B087-11F88CE271F9}" id="{A5321467-C35D-48C3-9F23-1DF975F68642}">
    <text>05/03/26</text>
  </threadedComment>
  <threadedComment ref="V41" dT="2026-03-05T04:47:20.75" personId="{4C45A82D-0103-4565-B087-11F88CE271F9}" id="{0E32EAD3-B5E1-4FDB-A294-5647A38ABBC1}">
    <text xml:space="preserve">05/03/26
</text>
  </threadedComment>
  <threadedComment ref="AM41" dT="2025-10-16T03:28:15.45" personId="{4C45A82D-0103-4565-B087-11F88CE271F9}" id="{9EEC5929-CE6A-47D6-9EC7-52A57D3DEE83}">
    <text>16/10</text>
  </threadedComment>
  <threadedComment ref="AS41" dT="2026-07-03T09:00:51.93" personId="{F46F49A5-3BFA-4C74-96AE-DB64A1615F9A}" id="{A531C8B3-A0D8-479A-A824-BAADC11C41A5}">
    <text>Incohérence entre les dates  colonnes AM &amp; AS. Correction appliquée : 
- AM : "P" --&gt; "R"</text>
  </threadedComment>
  <threadedComment ref="AM42" dT="2025-10-16T03:29:01.59" personId="{4C45A82D-0103-4565-B087-11F88CE271F9}" id="{678128CA-231D-4A89-8AFB-F6804D55A109}">
    <text xml:space="preserve">15/10
</text>
  </threadedComment>
  <threadedComment ref="AS42" dT="2026-07-03T09:01:25.09" personId="{F46F49A5-3BFA-4C74-96AE-DB64A1615F9A}" id="{6C35900F-9999-4BB0-BDA0-7A21CC14B11F}">
    <text>Incohérence entre les dates  colonnes AM &amp; AS. Correction appliquée : 
- AM : "P" --&gt; "R"</text>
  </threadedComment>
  <threadedComment ref="AM43" dT="2025-10-22T03:16:29.79" personId="{4C45A82D-0103-4565-B087-11F88CE271F9}" id="{BE5AFFA0-8B2D-4D36-ABD5-8136ACC04DAD}">
    <text>22/10</text>
  </threadedComment>
  <threadedComment ref="AS43" dT="2026-07-03T09:07:20.16" personId="{F46F49A5-3BFA-4C74-96AE-DB64A1615F9A}" id="{D12F23CE-8984-46F6-94E7-9FE5AA40CD1D}">
    <text>Incohérence entre les dates  colonnes AM &amp; AS. Correction appliquée : 
- AM : "P" --&gt; "R"</text>
  </threadedComment>
  <threadedComment ref="AM44" dT="2025-10-10T02:25:02.77" personId="{4C45A82D-0103-4565-B087-11F88CE271F9}" id="{76B4B922-96A2-4BE2-8840-E2C2DF9330A2}">
    <text>09/10</text>
  </threadedComment>
  <threadedComment ref="AS44" dT="2026-07-03T09:07:25.69" personId="{F46F49A5-3BFA-4C74-96AE-DB64A1615F9A}" id="{612665AA-6CFE-4B97-B1B7-0E77F6B85CE3}">
    <text>Incohérence entre les dates  colonnes AM &amp; AS. Correction appliquée : 
- AM : "P" --&gt; "R"</text>
  </threadedComment>
  <threadedComment ref="AM45" dT="2025-10-16T03:29:40.09" personId="{4C45A82D-0103-4565-B087-11F88CE271F9}" id="{44C3131F-95C9-4E51-83D3-AC4338AD7885}">
    <text>14/10</text>
  </threadedComment>
  <threadedComment ref="AS45" dT="2026-07-03T09:07:31.08" personId="{F46F49A5-3BFA-4C74-96AE-DB64A1615F9A}" id="{F45FE10D-4CCA-48EE-B475-21BF52126961}">
    <text>Incohérence entre les dates  colonnes AM &amp; AS. Correction appliquée : 
- AM : "P" --&gt; "R"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S16" dT="2026-01-12T09:16:19.17" personId="{4C45A82D-0103-4565-B087-11F88CE271F9}" id="{99A0E7B6-629B-45D1-8B2F-ED1DB1E4F64F}">
    <text>4 credit / 8</text>
  </threadedComment>
  <threadedComment ref="AS16" dT="2026-01-13T06:54:48.91" personId="{4C45A82D-0103-4565-B087-11F88CE271F9}" id="{E7F7ADB6-D8F5-4F1B-BFAA-9D5C4BA434F3}" parentId="{99A0E7B6-629B-45D1-8B2F-ED1DB1E4F64F}">
    <text>8/8 credit 13/01/26</text>
  </threadedComment>
  <threadedComment ref="AT16" dT="2026-03-05T04:52:48.14" personId="{F595A580-9EEF-499C-B977-0123DE22CECC}" id="{9C19A91B-2F7B-42D6-9282-D6BFE6597D78}">
    <text>Credits 3&amp;4: 05/03/2026
IAT attendance 2/2</text>
  </threadedComment>
  <threadedComment ref="AT16" dT="2026-03-09T07:00:37.09" personId="{4C45A82D-0103-4565-B087-11F88CE271F9}" id="{8108871E-D1AF-477E-9603-44D6457C4EA9}" parentId="{9C19A91B-2F7B-42D6-9282-D6BFE6597D78}">
    <text>Credit 5 et 6 
09/03</text>
  </threadedComment>
  <threadedComment ref="AT16" dT="2026-03-10T04:49:26.74" personId="{F595A580-9EEF-499C-B977-0123DE22CECC}" id="{D53AE31A-B876-4047-BFEF-8F7677BC7FE1}" parentId="{9C19A91B-2F7B-42D6-9282-D6BFE6597D78}">
    <text>Credits 7-8: 10/03/2026</text>
  </threadedComment>
  <threadedComment ref="AS25" dT="2026-01-19T09:11:28.31" personId="{4C45A82D-0103-4565-B087-11F88CE271F9}" id="{A0821213-6799-4FDD-818D-D28C1F86EFB5}">
    <text>4/4 credits 19/01/26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Q30" dT="2026-08-12T02:37:55.82" personId="{4C45A82D-0103-4565-B087-11F88CE271F9}" id="{251E2937-9EC3-4DDC-8F1F-B676D59E68E3}">
    <text>FAILED</text>
  </threadedComment>
  <threadedComment ref="Q31" dT="2026-08-12T02:38:05.63" personId="{4C45A82D-0103-4565-B087-11F88CE271F9}" id="{C6648A83-1C0C-4B28-B912-1C0D4C1E2776}">
    <text>FAILED</text>
  </threadedComment>
  <threadedComment ref="W44" dT="2026-06-02T03:12:47.80" personId="{4C45A82D-0103-4565-B087-11F88CE271F9}" id="{B00320EA-127A-4F25-BFA3-7C606AF485E3}">
    <text>2credit sur 6</text>
  </threadedComment>
  <threadedComment ref="W44" dT="2026-06-11T03:55:03.11" personId="{4C45A82D-0103-4565-B087-11F88CE271F9}" id="{B7D86DB6-8DF6-46BC-B390-AB78E6B2BC60}" parentId="{B00320EA-127A-4F25-BFA3-7C606AF485E3}">
    <text>Crash lion air fait</text>
  </threadedComment>
  <threadedComment ref="AO44" dT="2026-06-10T04:19:32.96" personId="{4C45A82D-0103-4565-B087-11F88CE271F9}" id="{D4DFB52A-5A78-47AA-8D44-30D075F586EE}">
    <text>Crash analysis effectué 10/06</text>
  </threadedComment>
  <threadedComment ref="BE44" dT="2026-06-02T03:56:44.87" personId="{4C45A82D-0103-4565-B087-11F88CE271F9}" id="{9183246A-EE41-42E8-9884-61916CBFB605}">
    <text>2 credits / 6 faits le 02/06/26</text>
  </threadedComment>
  <threadedComment ref="BE44" dT="2026-06-11T03:55:24.55" personId="{4C45A82D-0103-4565-B087-11F88CE271F9}" id="{B6EA0776-5F33-4E89-A30D-36F591E71A77}" parentId="{9183246A-EE41-42E8-9884-61916CBFB605}">
    <text>4 crédits le 11/06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A15" dT="2026-08-20T05:22:49.86" personId="{4C45A82D-0103-4565-B087-11F88CE271F9}" id="{19968924-B5EC-4DC4-A2FE-447BFB9B5A59}">
    <text>A faire Olivier 9 septembre</text>
  </threadedComment>
  <threadedComment ref="AG15" dT="2026-08-20T05:23:02.61" personId="{4C45A82D-0103-4565-B087-11F88CE271F9}" id="{8E38237B-466D-4FDD-B503-F30B0FB15117}">
    <text>A faire Olivier 9 Septembre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O7" dT="2025-08-25T08:09:06.00" personId="{F494E9D3-34E7-48F9-A378-A2C4355940FB}" id="{85148593-6654-4A31-8040-1A9B1B1C21C7}">
    <text>A faire: Rattraper jusqu'à slide 20</text>
  </threadedComment>
  <threadedComment ref="O7" dT="2025-09-03T09:15:14.23" personId="{F494E9D3-34E7-48F9-A378-A2C4355940FB}" id="{8741DEF0-8B81-4C06-B8F4-D5BA8768D7AF}" parentId="{85148593-6654-4A31-8040-1A9B1B1C21C7}">
    <text>Rattraper par IATs (Quelques infos manquantes-Complété par FT)
Le 3/9/25</text>
  </threadedComment>
  <threadedComment ref="BE13" dT="2025-09-18T04:46:43.32" personId="{44D93FBA-6533-42A3-8F8A-1B112905B21D}" id="{7A8AC5BC-61AB-4F18-96F7-0C41D9A8E88A}">
    <text>Maladie</text>
  </threadedComment>
  <threadedComment ref="BE13" dT="2025-09-23T09:18:33.22" personId="{44D93FBA-6533-42A3-8F8A-1B112905B21D}" id="{CCA2E1F6-63F3-4D4C-9488-B5ACA6F9CA41}" parentId="{7A8AC5BC-61AB-4F18-96F7-0C41D9A8E88A}">
    <text>rattrapé par les deux autres IATS</text>
  </threadedComment>
  <threadedComment ref="AY16" dT="2025-09-16T09:17:32.22" personId="{F494E9D3-34E7-48F9-A378-A2C4355940FB}" id="{729FD759-D49A-4F0B-8CD4-1D3276C17B60}">
    <text>Rattrapé par Fajar</text>
  </threadedComment>
  <threadedComment ref="AA23" dT="2026-07-29T03:12:22.83" personId="{44D93FBA-6533-42A3-8F8A-1B112905B21D}" id="{76EDBCA4-CAE5-433E-ADA0-C897DCB402B7}">
    <text>Caught up 24/07/26</text>
  </threadedComment>
  <threadedComment ref="AM26" dT="2025-09-03T04:01:28.45" personId="{44D93FBA-6533-42A3-8F8A-1B112905B21D}" id="{4A60D5EF-49A7-41A9-8F8F-EAA56A1BB3A4}">
    <text>Absence complète: maladie</text>
  </threadedComment>
  <threadedComment ref="C39" dT="2025-08-20T07:18:21.50" personId="{F494E9D3-34E7-48F9-A378-A2C4355940FB}" id="{ED6F4A85-CC55-426A-B3AC-CE2865EE662C}">
    <text>Présent : 50% début</text>
  </threadedComment>
  <threadedComment ref="C39" dT="2025-09-16T10:13:02.21" personId="{44D93FBA-6533-42A3-8F8A-1B112905B21D}" id="{1715FA5E-7282-4027-BD52-52F363453552}" parentId="{ED6F4A85-CC55-426A-B3AC-CE2865EE662C}">
    <text>Rattrapé avec FAIZ et RIRIS en professeurs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O25" dT="2026-08-05T12:25:54.80" personId="{44D93FBA-6533-42A3-8F8A-1B112905B21D}" id="{65146CE1-C39E-423A-B899-11427065D2D2}">
    <text>5/8/26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A13" dT="2026-08-06T09:22:43.10" personId="{44D93FBA-6533-42A3-8F8A-1B112905B21D}" id="{8F212F8E-E2A4-4E9B-A3EE-793FA383E876}">
    <text>6-8-26</text>
  </threadedComment>
  <threadedComment ref="O22" dT="2026-07-28T10:30:59.95" personId="{44D93FBA-6533-42A3-8F8A-1B112905B21D}" id="{3FCE0B58-8B74-4910-8067-1A19AD710246}">
    <text>Viewed during TASYA's step C 28/07/26</text>
  </threadedComment>
  <threadedComment ref="O37" dT="2026-08-07T04:32:18.65" personId="{44D93FBA-6533-42A3-8F8A-1B112905B21D}" id="{EB8E40BE-2FF3-4D0F-A565-3F4F3B6D2A96}">
    <text>07/08/26: vu avec Tasya en step C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K14" dT="2026-04-30T06:17:13.47" personId="{44D93FBA-6533-42A3-8F8A-1B112905B21D}" id="{2D2BAEBA-7B92-4D68-961D-4A2C22E9F714}">
    <text xml:space="preserve">1 seul credit réalisé au 30/04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B94F-3FD3-44BA-8214-14B251D06269}">
  <sheetPr codeName="Feuil5"/>
  <dimension ref="A1:H60"/>
  <sheetViews>
    <sheetView zoomScale="64" workbookViewId="0">
      <selection activeCell="C5" sqref="C5"/>
    </sheetView>
  </sheetViews>
  <sheetFormatPr defaultColWidth="11.42578125" defaultRowHeight="14.45"/>
  <cols>
    <col min="4" max="4" width="12.140625" bestFit="1" customWidth="1"/>
  </cols>
  <sheetData>
    <row r="1" spans="1:6">
      <c r="A1">
        <v>45880</v>
      </c>
      <c r="B1">
        <f>WEEKNUM(A1)</f>
        <v>33</v>
      </c>
      <c r="C1">
        <f>YEAR(A1)</f>
        <v>2025</v>
      </c>
      <c r="D1">
        <f>52-B1+B2</f>
        <v>41</v>
      </c>
    </row>
    <row r="2" spans="1:6">
      <c r="A2">
        <v>46171.5</v>
      </c>
      <c r="B2">
        <f>WEEKNUM(A2)</f>
        <v>22</v>
      </c>
      <c r="C2">
        <f>YEAR(A2)</f>
        <v>2026</v>
      </c>
    </row>
    <row r="3" spans="1:6">
      <c r="B3" t="s">
        <v>0</v>
      </c>
      <c r="C3" t="s">
        <v>1</v>
      </c>
      <c r="D3" t="s">
        <v>2</v>
      </c>
      <c r="E3" t="s">
        <v>3</v>
      </c>
      <c r="F3" t="s">
        <v>4</v>
      </c>
    </row>
    <row r="4" spans="1:6" hidden="1"/>
    <row r="5" spans="1:6">
      <c r="A5">
        <v>1</v>
      </c>
      <c r="B5" t="str">
        <f t="shared" ref="B5:B56" si="0">IFERROR(IF($A5+$B$1-1&gt;52,$B$1+A5-53&amp;"/"&amp;IF($A5+$B$1-1&gt;52,$C$2,$C$1),$B$1+A5-1&amp;"/"&amp;IF($A5+$B$1-1&gt;52,$C$2,$C$1)),NA())</f>
        <v>33/2025</v>
      </c>
      <c r="C5" s="70">
        <v>15</v>
      </c>
      <c r="D5" t="str">
        <f ca="1">IFERROR(IF(IFERROR(
TEXT(
DATE(YEAR(TODAY()),1,1)
+7*(IF($A5+$B$1-1&gt;52,$B$1+A5-53,$B$1+A5-1)-1),
"mmmm"
),NA())&amp;" "&amp;IF($A5+$B$1-1&gt;52,RIGHT($C$2,2),RIGHT($C$1,2))=D4,NA(),IFERROR(
TEXT(
DATE(YEAR(TODAY()),1,1)
+7*(IF($A5+$B$1-1&gt;52,$B$1+A5-53,$B$1+A5-1)-1),
"mmmm"
),NA())&amp;" "&amp;IF($A5+$B$1-1&gt;52,RIGHT($C$2,2),RIGHT($C$1,2))),NA())</f>
        <v>août 25</v>
      </c>
      <c r="E5" t="e">
        <v>#N/A</v>
      </c>
      <c r="F5" t="e">
        <v>#N/A</v>
      </c>
    </row>
    <row r="6" spans="1:6">
      <c r="A6">
        <f t="shared" ref="A6:A56" si="1">IFERROR(IF(A5+1&gt;$D$1,NA(),A5+1),NA())</f>
        <v>2</v>
      </c>
      <c r="B6" t="str">
        <f t="shared" si="0"/>
        <v>34/2025</v>
      </c>
      <c r="C6" s="70">
        <v>25</v>
      </c>
      <c r="D6" t="str">
        <f t="shared" ref="D6:D56" ca="1" si="2">IFERROR(IFERROR(
TEXT(
DATE(YEAR(TODAY()),1,1)
+7*(IF($A6+$B$1-1&gt;52,$B$1+A6-53,$B$1+A6-1)-1),
"mmmm"
),NA())&amp;" "&amp;IF($A6+$B$1-1&gt;52,RIGHT($C$2,2),RIGHT($C$1,2)),NA())</f>
        <v>août 25</v>
      </c>
      <c r="E6" t="e">
        <v>#N/A</v>
      </c>
      <c r="F6" t="e">
        <v>#N/A</v>
      </c>
    </row>
    <row r="7" spans="1:6">
      <c r="A7">
        <f t="shared" si="1"/>
        <v>3</v>
      </c>
      <c r="B7" t="str">
        <f t="shared" si="0"/>
        <v>35/2025</v>
      </c>
      <c r="C7" s="70">
        <v>34</v>
      </c>
      <c r="D7" t="str">
        <f t="shared" ca="1" si="2"/>
        <v>août 25</v>
      </c>
      <c r="E7" t="e">
        <v>#N/A</v>
      </c>
      <c r="F7" t="e">
        <v>#N/A</v>
      </c>
    </row>
    <row r="8" spans="1:6">
      <c r="A8">
        <f t="shared" si="1"/>
        <v>4</v>
      </c>
      <c r="B8" t="str">
        <f t="shared" si="0"/>
        <v>36/2025</v>
      </c>
      <c r="C8" s="70">
        <v>43</v>
      </c>
      <c r="D8" t="str">
        <f t="shared" ca="1" si="2"/>
        <v>septembre 25</v>
      </c>
      <c r="E8" t="e">
        <v>#N/A</v>
      </c>
      <c r="F8" t="e">
        <v>#N/A</v>
      </c>
    </row>
    <row r="9" spans="1:6">
      <c r="A9">
        <f t="shared" si="1"/>
        <v>5</v>
      </c>
      <c r="B9" t="str">
        <f t="shared" si="0"/>
        <v>37/2025</v>
      </c>
      <c r="C9" s="70">
        <v>56</v>
      </c>
      <c r="D9" t="str">
        <f t="shared" ca="1" si="2"/>
        <v>septembre 25</v>
      </c>
      <c r="E9" t="e">
        <v>#N/A</v>
      </c>
      <c r="F9" t="e">
        <v>#N/A</v>
      </c>
    </row>
    <row r="10" spans="1:6">
      <c r="A10">
        <f t="shared" si="1"/>
        <v>6</v>
      </c>
      <c r="B10" t="str">
        <f t="shared" si="0"/>
        <v>38/2025</v>
      </c>
      <c r="C10" s="70">
        <v>56</v>
      </c>
      <c r="D10" t="str">
        <f t="shared" ca="1" si="2"/>
        <v>septembre 25</v>
      </c>
      <c r="E10" t="e">
        <v>#N/A</v>
      </c>
      <c r="F10" t="e">
        <v>#N/A</v>
      </c>
    </row>
    <row r="11" spans="1:6">
      <c r="A11">
        <f t="shared" si="1"/>
        <v>7</v>
      </c>
      <c r="B11" t="str">
        <f t="shared" si="0"/>
        <v>39/2025</v>
      </c>
      <c r="C11" s="70">
        <v>68</v>
      </c>
      <c r="D11" t="str">
        <f t="shared" ca="1" si="2"/>
        <v>septembre 25</v>
      </c>
      <c r="E11" t="e">
        <v>#N/A</v>
      </c>
      <c r="F11" t="e">
        <v>#N/A</v>
      </c>
    </row>
    <row r="12" spans="1:6">
      <c r="A12">
        <f t="shared" si="1"/>
        <v>8</v>
      </c>
      <c r="B12" t="str">
        <f t="shared" si="0"/>
        <v>40/2025</v>
      </c>
      <c r="C12" s="70">
        <v>77</v>
      </c>
      <c r="D12" t="str">
        <f t="shared" ca="1" si="2"/>
        <v>octobre 25</v>
      </c>
      <c r="E12" t="e">
        <v>#N/A</v>
      </c>
      <c r="F12" t="e">
        <v>#N/A</v>
      </c>
    </row>
    <row r="13" spans="1:6">
      <c r="A13">
        <f t="shared" si="1"/>
        <v>9</v>
      </c>
      <c r="B13" t="str">
        <f t="shared" si="0"/>
        <v>41/2025</v>
      </c>
      <c r="C13" s="70">
        <v>89</v>
      </c>
      <c r="D13" t="str">
        <f t="shared" ca="1" si="2"/>
        <v>octobre 25</v>
      </c>
      <c r="E13" t="e">
        <v>#N/A</v>
      </c>
      <c r="F13" t="e">
        <v>#N/A</v>
      </c>
    </row>
    <row r="14" spans="1:6">
      <c r="A14">
        <f t="shared" si="1"/>
        <v>10</v>
      </c>
      <c r="B14" t="str">
        <f t="shared" si="0"/>
        <v>42/2025</v>
      </c>
      <c r="C14" s="70">
        <v>115</v>
      </c>
      <c r="D14" t="str">
        <f t="shared" ca="1" si="2"/>
        <v>octobre 25</v>
      </c>
      <c r="E14" t="e">
        <v>#N/A</v>
      </c>
      <c r="F14" t="e">
        <v>#N/A</v>
      </c>
    </row>
    <row r="15" spans="1:6">
      <c r="A15">
        <f t="shared" si="1"/>
        <v>11</v>
      </c>
      <c r="B15" t="str">
        <f t="shared" si="0"/>
        <v>43/2025</v>
      </c>
      <c r="C15" s="70">
        <v>143</v>
      </c>
      <c r="D15" t="str">
        <f t="shared" ca="1" si="2"/>
        <v>octobre 25</v>
      </c>
      <c r="E15" t="e">
        <v>#N/A</v>
      </c>
      <c r="F15" t="e">
        <v>#N/A</v>
      </c>
    </row>
    <row r="16" spans="1:6">
      <c r="A16">
        <f t="shared" si="1"/>
        <v>12</v>
      </c>
      <c r="B16" t="str">
        <f t="shared" si="0"/>
        <v>44/2025</v>
      </c>
      <c r="C16" s="70">
        <v>170</v>
      </c>
      <c r="D16" t="str">
        <f t="shared" ca="1" si="2"/>
        <v>octobre 25</v>
      </c>
      <c r="E16" t="e">
        <v>#N/A</v>
      </c>
      <c r="F16" t="e">
        <v>#N/A</v>
      </c>
    </row>
    <row r="17" spans="1:8">
      <c r="A17">
        <f t="shared" si="1"/>
        <v>13</v>
      </c>
      <c r="B17" t="str">
        <f t="shared" si="0"/>
        <v>45/2025</v>
      </c>
      <c r="C17" s="70">
        <v>193</v>
      </c>
      <c r="D17" t="str">
        <f t="shared" ca="1" si="2"/>
        <v>novembre 25</v>
      </c>
      <c r="E17" t="e">
        <v>#N/A</v>
      </c>
      <c r="F17" t="e">
        <v>#N/A</v>
      </c>
    </row>
    <row r="18" spans="1:8">
      <c r="A18">
        <f t="shared" si="1"/>
        <v>14</v>
      </c>
      <c r="B18" t="str">
        <f t="shared" si="0"/>
        <v>46/2025</v>
      </c>
      <c r="C18" s="70">
        <v>199</v>
      </c>
      <c r="D18" t="str">
        <f t="shared" ca="1" si="2"/>
        <v>novembre 25</v>
      </c>
      <c r="E18" t="e">
        <v>#N/A</v>
      </c>
      <c r="F18" t="e">
        <v>#N/A</v>
      </c>
    </row>
    <row r="19" spans="1:8">
      <c r="A19">
        <f t="shared" si="1"/>
        <v>15</v>
      </c>
      <c r="B19" t="str">
        <f t="shared" si="0"/>
        <v>47/2025</v>
      </c>
      <c r="C19" s="70">
        <v>203</v>
      </c>
      <c r="D19" t="str">
        <f t="shared" ca="1" si="2"/>
        <v>novembre 25</v>
      </c>
      <c r="E19" t="e">
        <v>#N/A</v>
      </c>
      <c r="F19" t="e">
        <v>#N/A</v>
      </c>
    </row>
    <row r="20" spans="1:8">
      <c r="A20">
        <f t="shared" si="1"/>
        <v>16</v>
      </c>
      <c r="B20" t="str">
        <f t="shared" si="0"/>
        <v>48/2025</v>
      </c>
      <c r="C20" s="70">
        <v>210</v>
      </c>
      <c r="D20" t="str">
        <f t="shared" ca="1" si="2"/>
        <v>novembre 25</v>
      </c>
      <c r="E20" t="e">
        <v>#N/A</v>
      </c>
      <c r="F20" t="e">
        <v>#N/A</v>
      </c>
    </row>
    <row r="21" spans="1:8">
      <c r="A21">
        <f t="shared" si="1"/>
        <v>17</v>
      </c>
      <c r="B21" t="str">
        <f t="shared" si="0"/>
        <v>49/2025</v>
      </c>
      <c r="C21" s="70">
        <v>212</v>
      </c>
      <c r="D21" t="str">
        <f t="shared" ca="1" si="2"/>
        <v>décembre 25</v>
      </c>
      <c r="E21" t="e">
        <v>#N/A</v>
      </c>
      <c r="F21" t="e">
        <v>#N/A</v>
      </c>
    </row>
    <row r="22" spans="1:8">
      <c r="A22">
        <f t="shared" si="1"/>
        <v>18</v>
      </c>
      <c r="B22" t="str">
        <f t="shared" si="0"/>
        <v>50/2025</v>
      </c>
      <c r="C22" s="70">
        <v>220</v>
      </c>
      <c r="D22" t="str">
        <f t="shared" ca="1" si="2"/>
        <v>décembre 25</v>
      </c>
      <c r="E22" t="e">
        <v>#N/A</v>
      </c>
      <c r="F22" t="e">
        <v>#N/A</v>
      </c>
    </row>
    <row r="23" spans="1:8">
      <c r="A23">
        <f t="shared" si="1"/>
        <v>19</v>
      </c>
      <c r="B23" t="str">
        <f t="shared" si="0"/>
        <v>51/2025</v>
      </c>
      <c r="C23" s="70">
        <v>220</v>
      </c>
      <c r="D23" t="str">
        <f t="shared" ca="1" si="2"/>
        <v>décembre 25</v>
      </c>
      <c r="E23" t="e">
        <v>#N/A</v>
      </c>
      <c r="F23" t="e">
        <v>#N/A</v>
      </c>
    </row>
    <row r="24" spans="1:8">
      <c r="A24">
        <f t="shared" si="1"/>
        <v>20</v>
      </c>
      <c r="B24" t="str">
        <f t="shared" si="0"/>
        <v>52/2025</v>
      </c>
      <c r="C24" s="70">
        <v>225</v>
      </c>
      <c r="D24" t="str">
        <f t="shared" ca="1" si="2"/>
        <v>décembre 25</v>
      </c>
      <c r="E24" t="e">
        <v>#N/A</v>
      </c>
      <c r="F24" t="e">
        <v>#N/A</v>
      </c>
    </row>
    <row r="25" spans="1:8">
      <c r="A25">
        <f t="shared" si="1"/>
        <v>21</v>
      </c>
      <c r="B25" t="str">
        <f t="shared" si="0"/>
        <v>1/2026</v>
      </c>
      <c r="C25" s="70">
        <v>226</v>
      </c>
      <c r="D25" t="str">
        <f t="shared" ca="1" si="2"/>
        <v>janvier 26</v>
      </c>
      <c r="E25" t="e">
        <v>#N/A</v>
      </c>
      <c r="F25" t="e">
        <v>#N/A</v>
      </c>
    </row>
    <row r="26" spans="1:8">
      <c r="A26">
        <f t="shared" si="1"/>
        <v>22</v>
      </c>
      <c r="B26" t="str">
        <f t="shared" si="0"/>
        <v>2/2026</v>
      </c>
      <c r="C26" s="70">
        <v>243</v>
      </c>
      <c r="D26" t="str">
        <f t="shared" ca="1" si="2"/>
        <v>janvier 26</v>
      </c>
      <c r="E26" t="e">
        <v>#N/A</v>
      </c>
      <c r="F26" t="e">
        <v>#N/A</v>
      </c>
    </row>
    <row r="27" spans="1:8">
      <c r="A27">
        <f t="shared" si="1"/>
        <v>23</v>
      </c>
      <c r="B27" t="str">
        <f t="shared" si="0"/>
        <v>3/2026</v>
      </c>
      <c r="C27" s="70">
        <v>251</v>
      </c>
      <c r="D27" t="str">
        <f t="shared" ca="1" si="2"/>
        <v>janvier 26</v>
      </c>
      <c r="E27" t="e">
        <v>#N/A</v>
      </c>
      <c r="F27" t="e">
        <v>#N/A</v>
      </c>
      <c r="G27">
        <f>IF($A5+$B$1-1&gt;52,$B$1+$A5-53,$B$1+$A5-1)</f>
        <v>33</v>
      </c>
      <c r="H27">
        <f>IF($A5+$B$1-1&gt;52,$C$2,$C$1)</f>
        <v>2025</v>
      </c>
    </row>
    <row r="28" spans="1:8">
      <c r="A28">
        <f t="shared" si="1"/>
        <v>24</v>
      </c>
      <c r="B28" t="str">
        <f t="shared" si="0"/>
        <v>4/2026</v>
      </c>
      <c r="C28" s="70">
        <v>269</v>
      </c>
      <c r="D28" t="str">
        <f t="shared" ca="1" si="2"/>
        <v>janvier 26</v>
      </c>
      <c r="E28" t="e">
        <v>#N/A</v>
      </c>
      <c r="F28" t="e">
        <v>#N/A</v>
      </c>
      <c r="G28">
        <f ca="1">_xlfn.ISOWEEKNUM(TODAY())</f>
        <v>34</v>
      </c>
    </row>
    <row r="29" spans="1:8">
      <c r="A29">
        <f t="shared" si="1"/>
        <v>25</v>
      </c>
      <c r="B29" t="str">
        <f t="shared" si="0"/>
        <v>5/2026</v>
      </c>
      <c r="C29" s="70">
        <v>290</v>
      </c>
      <c r="D29" t="str">
        <f t="shared" ca="1" si="2"/>
        <v>janvier 26</v>
      </c>
      <c r="E29" t="e">
        <v>#N/A</v>
      </c>
      <c r="F29" t="e">
        <v>#N/A</v>
      </c>
      <c r="G29">
        <f ca="1">YEAR(TODAY())</f>
        <v>2026</v>
      </c>
    </row>
    <row r="30" spans="1:8">
      <c r="A30">
        <f t="shared" si="1"/>
        <v>26</v>
      </c>
      <c r="B30" t="str">
        <f t="shared" si="0"/>
        <v>6/2026</v>
      </c>
      <c r="C30" s="70">
        <v>314</v>
      </c>
      <c r="D30" t="str">
        <f t="shared" ca="1" si="2"/>
        <v>février 26</v>
      </c>
      <c r="E30" t="e">
        <v>#N/A</v>
      </c>
      <c r="F30" t="e">
        <v>#N/A</v>
      </c>
    </row>
    <row r="31" spans="1:8">
      <c r="A31">
        <f t="shared" si="1"/>
        <v>27</v>
      </c>
      <c r="B31" t="str">
        <f t="shared" si="0"/>
        <v>7/2026</v>
      </c>
      <c r="C31" s="70">
        <v>333</v>
      </c>
      <c r="D31" t="str">
        <f t="shared" ca="1" si="2"/>
        <v>février 26</v>
      </c>
      <c r="E31" t="e">
        <v>#N/A</v>
      </c>
      <c r="F31" t="e">
        <v>#N/A</v>
      </c>
    </row>
    <row r="32" spans="1:8">
      <c r="A32">
        <f t="shared" si="1"/>
        <v>28</v>
      </c>
      <c r="B32" t="str">
        <f t="shared" si="0"/>
        <v>8/2026</v>
      </c>
      <c r="C32" s="70">
        <v>357</v>
      </c>
      <c r="D32" t="str">
        <f t="shared" ca="1" si="2"/>
        <v>février 26</v>
      </c>
      <c r="E32" t="e">
        <v>#N/A</v>
      </c>
      <c r="F32" t="e">
        <v>#N/A</v>
      </c>
    </row>
    <row r="33" spans="1:6">
      <c r="A33">
        <f t="shared" si="1"/>
        <v>29</v>
      </c>
      <c r="B33" t="str">
        <f t="shared" si="0"/>
        <v>9/2026</v>
      </c>
      <c r="C33" s="70">
        <v>373</v>
      </c>
      <c r="D33" t="str">
        <f t="shared" ca="1" si="2"/>
        <v>février 26</v>
      </c>
      <c r="E33" t="e">
        <v>#N/A</v>
      </c>
      <c r="F33" t="e">
        <v>#N/A</v>
      </c>
    </row>
    <row r="34" spans="1:6">
      <c r="A34">
        <f t="shared" si="1"/>
        <v>30</v>
      </c>
      <c r="B34" t="str">
        <f t="shared" si="0"/>
        <v>10/2026</v>
      </c>
      <c r="C34" s="70">
        <v>390</v>
      </c>
      <c r="D34" t="str">
        <f t="shared" ca="1" si="2"/>
        <v>mars 26</v>
      </c>
      <c r="E34" t="e">
        <v>#N/A</v>
      </c>
      <c r="F34" t="e">
        <v>#N/A</v>
      </c>
    </row>
    <row r="35" spans="1:6">
      <c r="A35">
        <f t="shared" si="1"/>
        <v>31</v>
      </c>
      <c r="B35" t="str">
        <f t="shared" si="0"/>
        <v>11/2026</v>
      </c>
      <c r="C35" s="70">
        <v>406</v>
      </c>
      <c r="D35" t="str">
        <f t="shared" ca="1" si="2"/>
        <v>mars 26</v>
      </c>
      <c r="E35" t="e">
        <v>#N/A</v>
      </c>
      <c r="F35" t="e">
        <v>#N/A</v>
      </c>
    </row>
    <row r="36" spans="1:6">
      <c r="A36">
        <f t="shared" si="1"/>
        <v>32</v>
      </c>
      <c r="B36" t="str">
        <f t="shared" si="0"/>
        <v>12/2026</v>
      </c>
      <c r="C36" s="70">
        <v>409</v>
      </c>
      <c r="D36" t="str">
        <f t="shared" ca="1" si="2"/>
        <v>mars 26</v>
      </c>
      <c r="E36" t="e">
        <v>#N/A</v>
      </c>
      <c r="F36" t="e">
        <v>#N/A</v>
      </c>
    </row>
    <row r="37" spans="1:6">
      <c r="A37">
        <f t="shared" si="1"/>
        <v>33</v>
      </c>
      <c r="B37" t="str">
        <f t="shared" si="0"/>
        <v>13/2026</v>
      </c>
      <c r="C37" s="70">
        <v>416</v>
      </c>
      <c r="D37" t="str">
        <f t="shared" ca="1" si="2"/>
        <v>mars 26</v>
      </c>
      <c r="E37" t="e">
        <v>#N/A</v>
      </c>
      <c r="F37" t="e">
        <v>#N/A</v>
      </c>
    </row>
    <row r="38" spans="1:6">
      <c r="A38">
        <f t="shared" si="1"/>
        <v>34</v>
      </c>
      <c r="B38" t="str">
        <f t="shared" si="0"/>
        <v>14/2026</v>
      </c>
      <c r="C38" s="70">
        <v>438</v>
      </c>
      <c r="D38" t="str">
        <f t="shared" ca="1" si="2"/>
        <v>avril 26</v>
      </c>
      <c r="E38" t="e">
        <v>#N/A</v>
      </c>
      <c r="F38" t="e">
        <v>#N/A</v>
      </c>
    </row>
    <row r="39" spans="1:6">
      <c r="A39">
        <f t="shared" si="1"/>
        <v>35</v>
      </c>
      <c r="B39" t="str">
        <f t="shared" si="0"/>
        <v>15/2026</v>
      </c>
      <c r="C39" s="70">
        <v>454</v>
      </c>
      <c r="D39" t="str">
        <f t="shared" ca="1" si="2"/>
        <v>avril 26</v>
      </c>
      <c r="E39" t="e">
        <v>#N/A</v>
      </c>
      <c r="F39" t="e">
        <v>#N/A</v>
      </c>
    </row>
    <row r="40" spans="1:6">
      <c r="A40">
        <f t="shared" si="1"/>
        <v>36</v>
      </c>
      <c r="B40" t="str">
        <f t="shared" si="0"/>
        <v>16/2026</v>
      </c>
      <c r="C40" s="70">
        <v>479</v>
      </c>
      <c r="D40" t="str">
        <f t="shared" ca="1" si="2"/>
        <v>avril 26</v>
      </c>
      <c r="E40" t="e">
        <v>#N/A</v>
      </c>
      <c r="F40" t="e">
        <v>#N/A</v>
      </c>
    </row>
    <row r="41" spans="1:6">
      <c r="A41">
        <f t="shared" si="1"/>
        <v>37</v>
      </c>
      <c r="B41" t="str">
        <f t="shared" si="0"/>
        <v>17/2026</v>
      </c>
      <c r="C41" s="70">
        <v>490</v>
      </c>
      <c r="D41" t="str">
        <f t="shared" ca="1" si="2"/>
        <v>avril 26</v>
      </c>
      <c r="E41" t="e">
        <v>#N/A</v>
      </c>
      <c r="F41" t="e">
        <v>#N/A</v>
      </c>
    </row>
    <row r="42" spans="1:6">
      <c r="A42">
        <f t="shared" si="1"/>
        <v>38</v>
      </c>
      <c r="B42" t="str">
        <f t="shared" si="0"/>
        <v>18/2026</v>
      </c>
      <c r="C42" s="70">
        <v>502</v>
      </c>
      <c r="D42" t="str">
        <f t="shared" ca="1" si="2"/>
        <v>avril 26</v>
      </c>
      <c r="E42" t="e">
        <v>#N/A</v>
      </c>
      <c r="F42" t="e">
        <v>#N/A</v>
      </c>
    </row>
    <row r="43" spans="1:6">
      <c r="A43">
        <f t="shared" si="1"/>
        <v>39</v>
      </c>
      <c r="B43" t="str">
        <f t="shared" si="0"/>
        <v>19/2026</v>
      </c>
      <c r="C43" s="70">
        <v>518</v>
      </c>
      <c r="D43" t="str">
        <f t="shared" ca="1" si="2"/>
        <v>mai 26</v>
      </c>
      <c r="E43" t="e">
        <v>#N/A</v>
      </c>
      <c r="F43" t="e">
        <v>#N/A</v>
      </c>
    </row>
    <row r="44" spans="1:6">
      <c r="A44">
        <f t="shared" si="1"/>
        <v>40</v>
      </c>
      <c r="B44" t="str">
        <f t="shared" si="0"/>
        <v>20/2026</v>
      </c>
      <c r="C44" s="70">
        <v>526</v>
      </c>
      <c r="D44" t="str">
        <f t="shared" ca="1" si="2"/>
        <v>mai 26</v>
      </c>
      <c r="E44" t="e">
        <v>#N/A</v>
      </c>
      <c r="F44" t="e">
        <v>#N/A</v>
      </c>
    </row>
    <row r="45" spans="1:6">
      <c r="A45">
        <f t="shared" si="1"/>
        <v>41</v>
      </c>
      <c r="B45" t="str">
        <f t="shared" si="0"/>
        <v>21/2026</v>
      </c>
      <c r="C45" s="70">
        <v>538</v>
      </c>
      <c r="D45" t="str">
        <f t="shared" ca="1" si="2"/>
        <v>mai 26</v>
      </c>
      <c r="E45" t="e">
        <v>#N/A</v>
      </c>
      <c r="F45" t="e">
        <v>#N/A</v>
      </c>
    </row>
    <row r="46" spans="1:6">
      <c r="A46" t="e">
        <f t="shared" si="1"/>
        <v>#N/A</v>
      </c>
      <c r="B46" t="e">
        <f t="shared" si="0"/>
        <v>#N/A</v>
      </c>
      <c r="C46" s="70" t="e">
        <v>#N/A</v>
      </c>
      <c r="D46" t="e">
        <f t="shared" ca="1" si="2"/>
        <v>#N/A</v>
      </c>
      <c r="E46" t="e">
        <v>#N/A</v>
      </c>
      <c r="F46" t="e">
        <v>#N/A</v>
      </c>
    </row>
    <row r="47" spans="1:6">
      <c r="A47" t="e">
        <f t="shared" si="1"/>
        <v>#N/A</v>
      </c>
      <c r="B47" t="e">
        <f t="shared" si="0"/>
        <v>#N/A</v>
      </c>
      <c r="C47" s="70" t="e">
        <v>#N/A</v>
      </c>
      <c r="D47" t="e">
        <f t="shared" ca="1" si="2"/>
        <v>#N/A</v>
      </c>
      <c r="E47" t="e">
        <v>#N/A</v>
      </c>
      <c r="F47" t="e">
        <v>#N/A</v>
      </c>
    </row>
    <row r="48" spans="1:6">
      <c r="A48" t="e">
        <f t="shared" si="1"/>
        <v>#N/A</v>
      </c>
      <c r="B48" t="e">
        <f t="shared" si="0"/>
        <v>#N/A</v>
      </c>
      <c r="C48" s="70" t="e">
        <v>#N/A</v>
      </c>
      <c r="D48" t="e">
        <f t="shared" ca="1" si="2"/>
        <v>#N/A</v>
      </c>
      <c r="E48" t="e">
        <v>#N/A</v>
      </c>
      <c r="F48" t="e">
        <v>#N/A</v>
      </c>
    </row>
    <row r="49" spans="1:6">
      <c r="A49" t="e">
        <f t="shared" si="1"/>
        <v>#N/A</v>
      </c>
      <c r="B49" t="e">
        <f t="shared" si="0"/>
        <v>#N/A</v>
      </c>
      <c r="C49" s="70" t="e">
        <v>#N/A</v>
      </c>
      <c r="D49" t="e">
        <f t="shared" ca="1" si="2"/>
        <v>#N/A</v>
      </c>
      <c r="E49" t="e">
        <v>#N/A</v>
      </c>
      <c r="F49" t="e">
        <v>#N/A</v>
      </c>
    </row>
    <row r="50" spans="1:6">
      <c r="A50" t="e">
        <f t="shared" si="1"/>
        <v>#N/A</v>
      </c>
      <c r="B50" t="e">
        <f t="shared" si="0"/>
        <v>#N/A</v>
      </c>
      <c r="C50" s="70" t="e">
        <v>#N/A</v>
      </c>
      <c r="D50" t="e">
        <f t="shared" ca="1" si="2"/>
        <v>#N/A</v>
      </c>
      <c r="E50" t="e">
        <v>#N/A</v>
      </c>
      <c r="F50" t="e">
        <v>#N/A</v>
      </c>
    </row>
    <row r="51" spans="1:6">
      <c r="A51" t="e">
        <f t="shared" si="1"/>
        <v>#N/A</v>
      </c>
      <c r="B51" t="e">
        <f t="shared" si="0"/>
        <v>#N/A</v>
      </c>
      <c r="C51" s="70" t="e">
        <v>#N/A</v>
      </c>
      <c r="D51" t="e">
        <f t="shared" ca="1" si="2"/>
        <v>#N/A</v>
      </c>
      <c r="E51" t="e">
        <v>#N/A</v>
      </c>
      <c r="F51" t="e">
        <v>#N/A</v>
      </c>
    </row>
    <row r="52" spans="1:6">
      <c r="A52" t="e">
        <f t="shared" si="1"/>
        <v>#N/A</v>
      </c>
      <c r="B52" t="e">
        <f t="shared" si="0"/>
        <v>#N/A</v>
      </c>
      <c r="C52" s="70" t="e">
        <v>#N/A</v>
      </c>
      <c r="D52" t="e">
        <f t="shared" ca="1" si="2"/>
        <v>#N/A</v>
      </c>
      <c r="E52" t="e">
        <v>#N/A</v>
      </c>
      <c r="F52" t="e">
        <v>#N/A</v>
      </c>
    </row>
    <row r="53" spans="1:6">
      <c r="A53" t="e">
        <f t="shared" si="1"/>
        <v>#N/A</v>
      </c>
      <c r="B53" t="e">
        <f t="shared" si="0"/>
        <v>#N/A</v>
      </c>
      <c r="C53" s="70" t="e">
        <v>#N/A</v>
      </c>
      <c r="D53" t="e">
        <f t="shared" ca="1" si="2"/>
        <v>#N/A</v>
      </c>
      <c r="E53" t="e">
        <v>#N/A</v>
      </c>
      <c r="F53" t="e">
        <v>#N/A</v>
      </c>
    </row>
    <row r="54" spans="1:6">
      <c r="A54" t="e">
        <f t="shared" si="1"/>
        <v>#N/A</v>
      </c>
      <c r="B54" t="e">
        <f t="shared" si="0"/>
        <v>#N/A</v>
      </c>
      <c r="C54" s="70" t="e">
        <v>#N/A</v>
      </c>
      <c r="D54" t="e">
        <f t="shared" ca="1" si="2"/>
        <v>#N/A</v>
      </c>
      <c r="E54" t="e">
        <v>#N/A</v>
      </c>
      <c r="F54" t="e">
        <v>#N/A</v>
      </c>
    </row>
    <row r="55" spans="1:6">
      <c r="A55" t="e">
        <f t="shared" si="1"/>
        <v>#N/A</v>
      </c>
      <c r="B55" t="e">
        <f t="shared" si="0"/>
        <v>#N/A</v>
      </c>
      <c r="C55" s="70" t="e">
        <v>#N/A</v>
      </c>
      <c r="D55" t="e">
        <f t="shared" ca="1" si="2"/>
        <v>#N/A</v>
      </c>
      <c r="E55" t="e">
        <v>#N/A</v>
      </c>
      <c r="F55" t="e">
        <v>#N/A</v>
      </c>
    </row>
    <row r="56" spans="1:6">
      <c r="A56" t="e">
        <f t="shared" si="1"/>
        <v>#N/A</v>
      </c>
      <c r="B56" t="e">
        <f t="shared" si="0"/>
        <v>#N/A</v>
      </c>
      <c r="C56" s="70" t="e">
        <v>#N/A</v>
      </c>
      <c r="D56" t="e">
        <f t="shared" ca="1" si="2"/>
        <v>#N/A</v>
      </c>
      <c r="E56" t="e">
        <v>#N/A</v>
      </c>
      <c r="F56" t="e">
        <v>#N/A</v>
      </c>
    </row>
    <row r="60" spans="1:6">
      <c r="A60" s="54" t="e" cm="1">
        <f t="array" aca="1" ref="A60" ca="1">_xlfn._xlws.FILTER(A5:F56,(YEAR(A5:A56)=YEAR(TODAY()))*(_xlfn.ISOWEEKNUM(A5:A56)&lt;=_xlfn.ISOWEEKNUM(TODAY()))*(_xlfn.ISOWEEKNUM(A5:A56)&gt;MAX(_xlfn.ISOWEEKNUM(TODAY())-5,0)),"")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C9C1-56AC-4168-AB57-978599B63E41}">
  <sheetPr codeName="Feuil6"/>
  <dimension ref="A1:AD44"/>
  <sheetViews>
    <sheetView showGridLines="0" zoomScale="70" zoomScaleNormal="70" workbookViewId="0">
      <selection activeCell="A2" sqref="A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1" max="1" width="12.5703125" style="56" bestFit="1" customWidth="1"/>
    <col min="2" max="8" width="11.42578125" style="56"/>
    <col min="9" max="9" width="8.5703125" style="56" customWidth="1"/>
    <col min="10" max="12" width="9.5703125" style="56" customWidth="1"/>
    <col min="13" max="16384" width="11.42578125" style="56"/>
  </cols>
  <sheetData>
    <row r="1" spans="1:30" ht="47.45">
      <c r="A1" s="59" t="str">
        <f ca="1">"WEEK N°"&amp;WEEKNUM(TODAY())&amp;"/"&amp;YEAR(TODAY())</f>
        <v>WEEK N°34/2026</v>
      </c>
      <c r="X1" s="56" t="s">
        <v>4</v>
      </c>
      <c r="AA1" s="56" t="s">
        <v>3</v>
      </c>
    </row>
    <row r="2" spans="1:30" ht="47.45">
      <c r="A2" s="59" t="s">
        <v>5</v>
      </c>
    </row>
    <row r="3" spans="1:30" ht="14.45">
      <c r="V3" s="56" t="s">
        <v>6</v>
      </c>
      <c r="X3" s="57">
        <v>280.58363858363856</v>
      </c>
      <c r="AA3" s="57">
        <v>311.1865763546798</v>
      </c>
    </row>
    <row r="5" spans="1:30" ht="14.45">
      <c r="V5" s="56" t="s">
        <v>7</v>
      </c>
    </row>
    <row r="6" spans="1:30" ht="14.45">
      <c r="V6" s="61" t="str">
        <f>IF(W6&lt;&gt;"",1,IF(AA6&lt;&gt;"",1,""))&amp;IF(IF(W6&lt;&gt;"",1,IF(AA6&lt;&gt;"",1,""))&lt;&gt;"",".","")</f>
        <v>1.</v>
      </c>
      <c r="W6" s="69" t="s">
        <v>8</v>
      </c>
      <c r="X6" s="69" t="s">
        <v>9</v>
      </c>
      <c r="Y6" s="69"/>
      <c r="Z6" s="69"/>
      <c r="AA6" s="69" t="s">
        <v>8</v>
      </c>
      <c r="AB6" s="69" t="s">
        <v>9</v>
      </c>
      <c r="AC6" s="69"/>
      <c r="AD6" s="69"/>
    </row>
    <row r="7" spans="1:30" ht="14.45">
      <c r="V7" s="61" t="str">
        <f t="shared" ref="V7:V28" si="0">IF(W7&lt;&gt;"",LEFT(V6,LEN(V6)-1)+1,IF(AA7&lt;&gt;"",LEFT(V6,LEN(V6)-1)+1,""))&amp;IF(IF(W7&lt;&gt;"",LEFT(V6,LEN(V6)-1)+1,IF(AA7&lt;&gt;"",LEFT(V6,LEN(V6)-1)+1,""))&lt;&gt;"",".","")</f>
        <v>2.</v>
      </c>
      <c r="W7" s="69" t="s">
        <v>10</v>
      </c>
      <c r="X7" s="69" t="s">
        <v>11</v>
      </c>
      <c r="Y7" s="69"/>
      <c r="Z7" s="69"/>
      <c r="AA7" s="69" t="s">
        <v>10</v>
      </c>
      <c r="AB7" s="69" t="s">
        <v>11</v>
      </c>
      <c r="AC7" s="69"/>
      <c r="AD7" s="69"/>
    </row>
    <row r="8" spans="1:30" ht="14.45">
      <c r="V8" s="61" t="str">
        <f t="shared" si="0"/>
        <v>3.</v>
      </c>
      <c r="W8" s="69" t="s">
        <v>12</v>
      </c>
      <c r="X8" s="69" t="s">
        <v>13</v>
      </c>
      <c r="Y8" s="69"/>
      <c r="Z8" s="69"/>
      <c r="AA8" s="69" t="s">
        <v>12</v>
      </c>
      <c r="AB8" s="69" t="s">
        <v>13</v>
      </c>
      <c r="AC8" s="69"/>
      <c r="AD8" s="69"/>
    </row>
    <row r="9" spans="1:30" ht="14.45">
      <c r="V9" s="61" t="str">
        <f t="shared" si="0"/>
        <v>4.</v>
      </c>
      <c r="W9" s="56" t="s">
        <v>14</v>
      </c>
      <c r="X9" s="56" t="s">
        <v>15</v>
      </c>
      <c r="AA9" s="56" t="s">
        <v>14</v>
      </c>
      <c r="AB9" s="56" t="s">
        <v>15</v>
      </c>
    </row>
    <row r="10" spans="1:30" ht="14.45">
      <c r="V10" s="61" t="str">
        <f t="shared" si="0"/>
        <v>5.</v>
      </c>
      <c r="W10" s="56" t="s">
        <v>16</v>
      </c>
      <c r="X10" s="56" t="s">
        <v>17</v>
      </c>
      <c r="AA10" s="56" t="s">
        <v>16</v>
      </c>
      <c r="AB10" s="56" t="s">
        <v>17</v>
      </c>
    </row>
    <row r="11" spans="1:30" ht="14.45">
      <c r="V11" s="61" t="str">
        <f t="shared" si="0"/>
        <v>6.</v>
      </c>
      <c r="AA11" s="56" t="s">
        <v>18</v>
      </c>
      <c r="AB11" s="56" t="s">
        <v>19</v>
      </c>
    </row>
    <row r="12" spans="1:30" ht="14.45">
      <c r="V12" s="61" t="str">
        <f t="shared" si="0"/>
        <v>7.</v>
      </c>
      <c r="AA12" s="56" t="s">
        <v>20</v>
      </c>
      <c r="AB12" s="56" t="s">
        <v>21</v>
      </c>
    </row>
    <row r="13" spans="1:30" ht="14.45">
      <c r="V13" s="61" t="str">
        <f t="shared" si="0"/>
        <v/>
      </c>
      <c r="AA13" s="56" t="s">
        <v>22</v>
      </c>
      <c r="AB13" s="56" t="s">
        <v>22</v>
      </c>
    </row>
    <row r="14" spans="1:30" ht="14.45">
      <c r="V14" s="61" t="str">
        <f t="shared" si="0"/>
        <v/>
      </c>
      <c r="AA14" s="56" t="s">
        <v>22</v>
      </c>
      <c r="AB14" s="56" t="s">
        <v>22</v>
      </c>
    </row>
    <row r="15" spans="1:30" ht="14.45">
      <c r="V15" s="61" t="str">
        <f t="shared" si="0"/>
        <v/>
      </c>
      <c r="AA15" s="56" t="s">
        <v>22</v>
      </c>
      <c r="AB15" s="56" t="s">
        <v>22</v>
      </c>
    </row>
    <row r="16" spans="1:30" ht="14.45">
      <c r="V16" s="61" t="str">
        <f t="shared" si="0"/>
        <v/>
      </c>
      <c r="W16" s="56" t="s">
        <v>22</v>
      </c>
      <c r="X16" s="56" t="s">
        <v>22</v>
      </c>
      <c r="AA16" s="56" t="s">
        <v>22</v>
      </c>
      <c r="AB16" s="56" t="s">
        <v>22</v>
      </c>
    </row>
    <row r="17" spans="1:28" ht="14.45">
      <c r="V17" s="61" t="str">
        <f t="shared" si="0"/>
        <v/>
      </c>
      <c r="W17" s="56" t="s">
        <v>22</v>
      </c>
      <c r="X17" s="56" t="s">
        <v>22</v>
      </c>
      <c r="AA17" s="56" t="s">
        <v>22</v>
      </c>
      <c r="AB17" s="56" t="s">
        <v>22</v>
      </c>
    </row>
    <row r="18" spans="1:28" ht="14.45">
      <c r="V18" s="61" t="str">
        <f t="shared" si="0"/>
        <v/>
      </c>
      <c r="W18" s="56" t="s">
        <v>22</v>
      </c>
      <c r="X18" s="56" t="s">
        <v>22</v>
      </c>
      <c r="AA18" s="56" t="s">
        <v>22</v>
      </c>
      <c r="AB18" s="56" t="s">
        <v>22</v>
      </c>
    </row>
    <row r="19" spans="1:28" ht="14.45">
      <c r="V19" s="61" t="str">
        <f t="shared" si="0"/>
        <v/>
      </c>
      <c r="W19" s="56" t="s">
        <v>22</v>
      </c>
      <c r="X19" s="56" t="s">
        <v>22</v>
      </c>
      <c r="AA19" s="56" t="s">
        <v>22</v>
      </c>
      <c r="AB19" s="56" t="s">
        <v>22</v>
      </c>
    </row>
    <row r="20" spans="1:28" ht="14.45">
      <c r="V20" s="61" t="str">
        <f t="shared" si="0"/>
        <v/>
      </c>
      <c r="W20" s="56" t="s">
        <v>22</v>
      </c>
      <c r="X20" s="56" t="s">
        <v>22</v>
      </c>
      <c r="AA20" s="56" t="s">
        <v>22</v>
      </c>
      <c r="AB20" s="56" t="s">
        <v>22</v>
      </c>
    </row>
    <row r="21" spans="1:28" ht="14.45">
      <c r="V21" s="61" t="str">
        <f t="shared" si="0"/>
        <v/>
      </c>
      <c r="W21" s="56" t="s">
        <v>22</v>
      </c>
      <c r="X21" s="56" t="s">
        <v>22</v>
      </c>
      <c r="AA21" s="56" t="s">
        <v>22</v>
      </c>
      <c r="AB21" s="56" t="s">
        <v>22</v>
      </c>
    </row>
    <row r="22" spans="1:28" ht="14.45">
      <c r="V22" s="61" t="str">
        <f t="shared" si="0"/>
        <v/>
      </c>
      <c r="W22" s="56" t="s">
        <v>22</v>
      </c>
      <c r="X22" s="56" t="s">
        <v>22</v>
      </c>
      <c r="AA22" s="56" t="s">
        <v>22</v>
      </c>
      <c r="AB22" s="56" t="s">
        <v>22</v>
      </c>
    </row>
    <row r="23" spans="1:28" ht="14.45">
      <c r="V23" s="61" t="str">
        <f t="shared" si="0"/>
        <v/>
      </c>
      <c r="W23" s="56" t="s">
        <v>22</v>
      </c>
      <c r="X23" s="56" t="s">
        <v>22</v>
      </c>
      <c r="AA23" s="56" t="s">
        <v>22</v>
      </c>
      <c r="AB23" s="56" t="s">
        <v>22</v>
      </c>
    </row>
    <row r="24" spans="1:28" ht="14.45">
      <c r="V24" s="61" t="str">
        <f t="shared" si="0"/>
        <v/>
      </c>
      <c r="W24" s="56" t="s">
        <v>22</v>
      </c>
      <c r="X24" s="56" t="s">
        <v>22</v>
      </c>
      <c r="AA24" s="56" t="s">
        <v>22</v>
      </c>
      <c r="AB24" s="56" t="s">
        <v>22</v>
      </c>
    </row>
    <row r="25" spans="1:28" ht="14.45">
      <c r="V25" s="61" t="str">
        <f t="shared" si="0"/>
        <v/>
      </c>
      <c r="W25" s="56" t="s">
        <v>22</v>
      </c>
      <c r="X25" s="56" t="s">
        <v>22</v>
      </c>
      <c r="AA25" s="56" t="s">
        <v>22</v>
      </c>
      <c r="AB25" s="56" t="s">
        <v>22</v>
      </c>
    </row>
    <row r="26" spans="1:28" ht="14.45">
      <c r="V26" s="61" t="str">
        <f t="shared" si="0"/>
        <v/>
      </c>
      <c r="W26" s="56" t="s">
        <v>22</v>
      </c>
      <c r="X26" s="56" t="s">
        <v>22</v>
      </c>
      <c r="AA26" s="56" t="s">
        <v>22</v>
      </c>
      <c r="AB26" s="56" t="s">
        <v>22</v>
      </c>
    </row>
    <row r="27" spans="1:28" ht="14.45">
      <c r="V27" s="61" t="str">
        <f t="shared" si="0"/>
        <v/>
      </c>
      <c r="W27" s="56" t="s">
        <v>22</v>
      </c>
      <c r="X27" s="56" t="s">
        <v>22</v>
      </c>
      <c r="AA27" s="56" t="s">
        <v>22</v>
      </c>
      <c r="AB27" s="56" t="s">
        <v>22</v>
      </c>
    </row>
    <row r="28" spans="1:28" ht="63">
      <c r="A28" s="388" t="s">
        <v>23</v>
      </c>
      <c r="B28" s="388"/>
      <c r="C28" s="388"/>
      <c r="D28" s="388"/>
      <c r="E28" s="388"/>
      <c r="F28" s="388"/>
      <c r="G28" s="388"/>
      <c r="V28" s="61" t="str">
        <f t="shared" si="0"/>
        <v/>
      </c>
      <c r="W28" s="56" t="s">
        <v>22</v>
      </c>
      <c r="X28" s="56" t="s">
        <v>22</v>
      </c>
      <c r="AA28" s="56" t="s">
        <v>22</v>
      </c>
      <c r="AB28" s="56" t="s">
        <v>22</v>
      </c>
    </row>
    <row r="29" spans="1:28" s="58" customFormat="1" ht="25.9">
      <c r="A29" s="58" t="s">
        <v>3</v>
      </c>
      <c r="B29" s="60" t="e">
        <f ca="1">'KPI MLG_Old'!M139</f>
        <v>#DIV/0!</v>
      </c>
      <c r="M29" s="58" t="s">
        <v>4</v>
      </c>
      <c r="N29" s="60">
        <f ca="1">'KPI CMI'!E138</f>
        <v>0.96223958333333326</v>
      </c>
      <c r="W29" s="56" t="s">
        <v>22</v>
      </c>
      <c r="X29" s="56" t="s">
        <v>22</v>
      </c>
      <c r="AA29" s="56" t="s">
        <v>22</v>
      </c>
      <c r="AB29" s="56" t="s">
        <v>22</v>
      </c>
    </row>
    <row r="30" spans="1:28" ht="14.45">
      <c r="W30" s="56" t="s">
        <v>22</v>
      </c>
      <c r="X30" s="56" t="s">
        <v>22</v>
      </c>
      <c r="AA30" s="56" t="s">
        <v>22</v>
      </c>
      <c r="AB30" s="56" t="s">
        <v>22</v>
      </c>
    </row>
    <row r="31" spans="1:28" ht="14.45">
      <c r="W31" s="56" t="s">
        <v>22</v>
      </c>
      <c r="X31" s="56" t="s">
        <v>22</v>
      </c>
    </row>
    <row r="32" spans="1:28" ht="14.45">
      <c r="W32" s="56" t="s">
        <v>22</v>
      </c>
      <c r="X32" s="56" t="s">
        <v>22</v>
      </c>
    </row>
    <row r="33" spans="23:24" ht="14.45">
      <c r="W33" s="56" t="s">
        <v>22</v>
      </c>
      <c r="X33" s="56" t="s">
        <v>22</v>
      </c>
    </row>
    <row r="34" spans="23:24" ht="14.45">
      <c r="W34" s="56" t="s">
        <v>22</v>
      </c>
      <c r="X34" s="56" t="s">
        <v>22</v>
      </c>
    </row>
    <row r="35" spans="23:24" ht="14.45">
      <c r="W35" s="56" t="s">
        <v>22</v>
      </c>
      <c r="X35" s="56" t="s">
        <v>22</v>
      </c>
    </row>
    <row r="36" spans="23:24" ht="14.45">
      <c r="W36" s="56" t="s">
        <v>22</v>
      </c>
      <c r="X36" s="56" t="s">
        <v>22</v>
      </c>
    </row>
    <row r="37" spans="23:24" ht="14.45">
      <c r="W37" s="56" t="s">
        <v>22</v>
      </c>
      <c r="X37" s="56" t="s">
        <v>22</v>
      </c>
    </row>
    <row r="38" spans="23:24" ht="14.45">
      <c r="W38" s="56" t="s">
        <v>22</v>
      </c>
      <c r="X38" s="56" t="s">
        <v>22</v>
      </c>
    </row>
    <row r="39" spans="23:24" ht="14.45">
      <c r="W39" s="56" t="s">
        <v>22</v>
      </c>
      <c r="X39" s="56" t="s">
        <v>22</v>
      </c>
    </row>
    <row r="40" spans="23:24" ht="14.45">
      <c r="W40" s="56" t="s">
        <v>22</v>
      </c>
      <c r="X40" s="56" t="s">
        <v>22</v>
      </c>
    </row>
    <row r="41" spans="23:24" ht="14.45">
      <c r="W41" s="56" t="s">
        <v>22</v>
      </c>
      <c r="X41" s="56" t="s">
        <v>22</v>
      </c>
    </row>
    <row r="42" spans="23:24" ht="14.45">
      <c r="W42" s="56" t="s">
        <v>22</v>
      </c>
      <c r="X42" s="56" t="s">
        <v>22</v>
      </c>
    </row>
    <row r="43" spans="23:24" ht="14.45">
      <c r="W43" s="56" t="s">
        <v>22</v>
      </c>
      <c r="X43" s="56" t="s">
        <v>22</v>
      </c>
    </row>
    <row r="44" spans="23:24" ht="14.45">
      <c r="W44" s="56" t="s">
        <v>22</v>
      </c>
      <c r="X44" s="56" t="s">
        <v>22</v>
      </c>
    </row>
  </sheetData>
  <mergeCells count="1">
    <mergeCell ref="A28:G28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5D6B-1153-4B04-9F27-198C5F3AF4C5}">
  <sheetPr codeName="Feuil8"/>
  <dimension ref="A1:O1292"/>
  <sheetViews>
    <sheetView topLeftCell="J3" workbookViewId="0">
      <selection activeCell="J3" sqref="J3"/>
    </sheetView>
  </sheetViews>
  <sheetFormatPr defaultColWidth="11.42578125" defaultRowHeight="14.45"/>
  <cols>
    <col min="1" max="1" width="14.5703125" bestFit="1" customWidth="1"/>
    <col min="4" max="4" width="1.85546875" bestFit="1" customWidth="1"/>
    <col min="10" max="10" width="1.85546875" bestFit="1" customWidth="1"/>
  </cols>
  <sheetData>
    <row r="1" spans="1:15">
      <c r="E1" s="72" t="s">
        <v>24</v>
      </c>
      <c r="F1" s="72"/>
      <c r="G1" s="72"/>
      <c r="H1" s="72"/>
      <c r="I1" s="72"/>
      <c r="J1" s="72"/>
      <c r="K1" s="72" t="s">
        <v>25</v>
      </c>
      <c r="L1" s="72"/>
      <c r="M1" s="72"/>
      <c r="N1" s="72"/>
      <c r="O1" s="72"/>
    </row>
    <row r="2" spans="1:15">
      <c r="A2" t="s">
        <v>26</v>
      </c>
      <c r="B2" t="s">
        <v>27</v>
      </c>
      <c r="C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</row>
    <row r="3" spans="1:15">
      <c r="A3" t="s">
        <v>34</v>
      </c>
      <c r="B3">
        <v>10</v>
      </c>
      <c r="C3" t="s">
        <v>35</v>
      </c>
      <c r="D3">
        <v>3</v>
      </c>
      <c r="H3" s="71" t="b">
        <f>IF(AND(ISBLANK(E3),ISBLANK(F3),ISBLANK(G3)),FALSE,TRUE)</f>
        <v>0</v>
      </c>
      <c r="J3">
        <v>0</v>
      </c>
    </row>
    <row r="4" spans="1:15">
      <c r="A4" t="s">
        <v>34</v>
      </c>
      <c r="B4">
        <v>10</v>
      </c>
      <c r="C4" t="s">
        <v>36</v>
      </c>
      <c r="D4">
        <v>2</v>
      </c>
      <c r="H4" s="71" t="b">
        <f t="shared" ref="H4:H67" si="0">IF(AND(ISBLANK(E4),ISBLANK(F4),ISBLANK(G4)),FALSE,TRUE)</f>
        <v>0</v>
      </c>
      <c r="J4">
        <v>1</v>
      </c>
      <c r="N4" s="71" t="b">
        <f t="shared" ref="N4:N67" si="1">IF(AND(ISBLANK(K4),ISBLANK(L4),ISBLANK(M4)),FALSE,TRUE)</f>
        <v>0</v>
      </c>
    </row>
    <row r="5" spans="1:15">
      <c r="A5" t="s">
        <v>34</v>
      </c>
      <c r="B5">
        <v>10</v>
      </c>
      <c r="C5" t="s">
        <v>37</v>
      </c>
      <c r="D5">
        <v>1</v>
      </c>
      <c r="H5" s="71" t="b">
        <f t="shared" si="0"/>
        <v>0</v>
      </c>
      <c r="J5">
        <v>3</v>
      </c>
      <c r="N5" s="71" t="b">
        <f t="shared" si="1"/>
        <v>0</v>
      </c>
    </row>
    <row r="6" spans="1:15">
      <c r="A6" t="s">
        <v>34</v>
      </c>
      <c r="B6">
        <v>10</v>
      </c>
      <c r="C6" t="s">
        <v>38</v>
      </c>
      <c r="D6">
        <v>1</v>
      </c>
      <c r="H6" s="71" t="b">
        <f t="shared" si="0"/>
        <v>0</v>
      </c>
      <c r="J6">
        <v>0</v>
      </c>
    </row>
    <row r="7" spans="1:15">
      <c r="A7" t="s">
        <v>34</v>
      </c>
      <c r="B7">
        <v>10</v>
      </c>
      <c r="C7" t="s">
        <v>39</v>
      </c>
      <c r="D7">
        <v>1</v>
      </c>
      <c r="H7" s="71" t="b">
        <f t="shared" si="0"/>
        <v>0</v>
      </c>
      <c r="J7">
        <v>1</v>
      </c>
      <c r="N7" s="71" t="b">
        <f t="shared" si="1"/>
        <v>0</v>
      </c>
    </row>
    <row r="8" spans="1:15">
      <c r="A8" t="s">
        <v>34</v>
      </c>
      <c r="B8">
        <v>10</v>
      </c>
      <c r="C8" t="s">
        <v>40</v>
      </c>
      <c r="D8">
        <v>1</v>
      </c>
      <c r="H8" s="71" t="b">
        <f t="shared" si="0"/>
        <v>0</v>
      </c>
      <c r="J8">
        <v>1</v>
      </c>
      <c r="N8" s="71" t="b">
        <f t="shared" si="1"/>
        <v>0</v>
      </c>
    </row>
    <row r="9" spans="1:15">
      <c r="A9" t="s">
        <v>34</v>
      </c>
      <c r="B9">
        <v>10</v>
      </c>
      <c r="C9" t="s">
        <v>41</v>
      </c>
      <c r="D9">
        <v>1</v>
      </c>
      <c r="H9" s="71" t="b">
        <f t="shared" si="0"/>
        <v>0</v>
      </c>
      <c r="J9">
        <v>1</v>
      </c>
      <c r="N9" s="71" t="b">
        <f t="shared" si="1"/>
        <v>0</v>
      </c>
    </row>
    <row r="10" spans="1:15">
      <c r="A10" t="s">
        <v>34</v>
      </c>
      <c r="B10">
        <v>10</v>
      </c>
      <c r="C10" t="s">
        <v>42</v>
      </c>
      <c r="D10">
        <v>1</v>
      </c>
      <c r="H10" s="71" t="b">
        <f t="shared" si="0"/>
        <v>0</v>
      </c>
      <c r="J10">
        <v>0</v>
      </c>
    </row>
    <row r="11" spans="1:15">
      <c r="A11" t="s">
        <v>34</v>
      </c>
      <c r="B11">
        <v>10</v>
      </c>
      <c r="C11" t="s">
        <v>43</v>
      </c>
      <c r="D11">
        <v>1</v>
      </c>
      <c r="H11" s="71" t="b">
        <f t="shared" si="0"/>
        <v>0</v>
      </c>
      <c r="J11">
        <v>0</v>
      </c>
    </row>
    <row r="12" spans="1:15">
      <c r="A12" t="s">
        <v>34</v>
      </c>
      <c r="B12">
        <v>10</v>
      </c>
      <c r="C12" t="s">
        <v>44</v>
      </c>
      <c r="D12">
        <v>1</v>
      </c>
      <c r="H12" s="71" t="b">
        <f t="shared" si="0"/>
        <v>0</v>
      </c>
      <c r="J12">
        <v>2</v>
      </c>
      <c r="N12" s="71" t="b">
        <f t="shared" si="1"/>
        <v>0</v>
      </c>
    </row>
    <row r="13" spans="1:15">
      <c r="A13" t="s">
        <v>34</v>
      </c>
      <c r="B13">
        <v>10</v>
      </c>
      <c r="C13" t="s">
        <v>45</v>
      </c>
      <c r="D13">
        <v>1</v>
      </c>
      <c r="H13" s="71" t="b">
        <f t="shared" si="0"/>
        <v>0</v>
      </c>
      <c r="J13">
        <v>1</v>
      </c>
      <c r="N13" s="71" t="b">
        <f t="shared" si="1"/>
        <v>0</v>
      </c>
    </row>
    <row r="14" spans="1:15">
      <c r="A14" t="s">
        <v>34</v>
      </c>
      <c r="B14">
        <v>10</v>
      </c>
      <c r="C14" t="s">
        <v>46</v>
      </c>
      <c r="D14">
        <v>1</v>
      </c>
      <c r="H14" s="71" t="b">
        <f t="shared" si="0"/>
        <v>0</v>
      </c>
      <c r="J14">
        <v>1</v>
      </c>
      <c r="N14" s="71" t="b">
        <f t="shared" si="1"/>
        <v>0</v>
      </c>
    </row>
    <row r="15" spans="1:15">
      <c r="A15" t="s">
        <v>34</v>
      </c>
      <c r="B15">
        <v>10</v>
      </c>
      <c r="C15" t="s">
        <v>47</v>
      </c>
      <c r="D15">
        <v>3</v>
      </c>
      <c r="H15" s="71" t="b">
        <f t="shared" si="0"/>
        <v>0</v>
      </c>
      <c r="J15">
        <v>0</v>
      </c>
    </row>
    <row r="16" spans="1:15">
      <c r="A16" t="s">
        <v>34</v>
      </c>
      <c r="B16">
        <v>10</v>
      </c>
      <c r="C16" t="s">
        <v>48</v>
      </c>
      <c r="D16">
        <v>2</v>
      </c>
      <c r="H16" s="71" t="b">
        <f t="shared" si="0"/>
        <v>0</v>
      </c>
      <c r="J16">
        <v>2</v>
      </c>
      <c r="N16" s="71" t="b">
        <f t="shared" si="1"/>
        <v>0</v>
      </c>
    </row>
    <row r="17" spans="1:14">
      <c r="A17" t="s">
        <v>34</v>
      </c>
      <c r="B17">
        <v>10</v>
      </c>
      <c r="C17" t="s">
        <v>49</v>
      </c>
      <c r="D17">
        <v>4</v>
      </c>
      <c r="H17" s="71" t="b">
        <f t="shared" si="0"/>
        <v>0</v>
      </c>
      <c r="J17">
        <v>0</v>
      </c>
    </row>
    <row r="18" spans="1:14">
      <c r="A18" t="s">
        <v>34</v>
      </c>
      <c r="B18">
        <v>10</v>
      </c>
      <c r="C18" t="s">
        <v>50</v>
      </c>
      <c r="D18">
        <v>2</v>
      </c>
      <c r="H18" s="71" t="b">
        <f t="shared" si="0"/>
        <v>0</v>
      </c>
      <c r="J18">
        <v>0</v>
      </c>
    </row>
    <row r="19" spans="1:14">
      <c r="A19" t="s">
        <v>34</v>
      </c>
      <c r="B19">
        <v>10</v>
      </c>
      <c r="C19" t="s">
        <v>51</v>
      </c>
      <c r="D19">
        <v>0</v>
      </c>
      <c r="H19" s="71" t="b">
        <f t="shared" si="0"/>
        <v>0</v>
      </c>
      <c r="J19">
        <v>8</v>
      </c>
      <c r="N19" s="71" t="b">
        <f t="shared" si="1"/>
        <v>0</v>
      </c>
    </row>
    <row r="20" spans="1:14">
      <c r="A20" t="s">
        <v>34</v>
      </c>
      <c r="B20">
        <v>10</v>
      </c>
      <c r="C20" t="s">
        <v>52</v>
      </c>
      <c r="D20">
        <v>0</v>
      </c>
      <c r="H20" s="71" t="b">
        <f t="shared" si="0"/>
        <v>0</v>
      </c>
      <c r="J20">
        <v>8</v>
      </c>
      <c r="N20" s="71" t="b">
        <f t="shared" si="1"/>
        <v>0</v>
      </c>
    </row>
    <row r="21" spans="1:14">
      <c r="A21" t="s">
        <v>34</v>
      </c>
      <c r="B21">
        <v>10</v>
      </c>
      <c r="C21" t="s">
        <v>53</v>
      </c>
      <c r="D21">
        <v>2</v>
      </c>
      <c r="H21" s="71" t="b">
        <f t="shared" si="0"/>
        <v>0</v>
      </c>
      <c r="J21">
        <v>0</v>
      </c>
    </row>
    <row r="22" spans="1:14">
      <c r="A22" t="s">
        <v>34</v>
      </c>
      <c r="B22">
        <v>10</v>
      </c>
      <c r="C22" t="s">
        <v>54</v>
      </c>
      <c r="D22">
        <v>1</v>
      </c>
      <c r="H22" s="71" t="b">
        <f t="shared" si="0"/>
        <v>0</v>
      </c>
      <c r="J22">
        <v>2</v>
      </c>
      <c r="N22" s="71" t="b">
        <f t="shared" si="1"/>
        <v>0</v>
      </c>
    </row>
    <row r="23" spans="1:14">
      <c r="A23" t="s">
        <v>34</v>
      </c>
      <c r="B23">
        <v>10</v>
      </c>
      <c r="C23" t="s">
        <v>55</v>
      </c>
      <c r="D23">
        <v>1</v>
      </c>
      <c r="H23" s="71" t="b">
        <f t="shared" si="0"/>
        <v>0</v>
      </c>
      <c r="J23">
        <v>2</v>
      </c>
      <c r="N23" s="71" t="b">
        <f t="shared" si="1"/>
        <v>0</v>
      </c>
    </row>
    <row r="24" spans="1:14">
      <c r="A24" t="s">
        <v>34</v>
      </c>
      <c r="B24">
        <v>10</v>
      </c>
      <c r="C24" t="s">
        <v>56</v>
      </c>
      <c r="D24">
        <v>1</v>
      </c>
      <c r="H24" s="71" t="b">
        <f t="shared" si="0"/>
        <v>0</v>
      </c>
      <c r="J24">
        <v>0</v>
      </c>
    </row>
    <row r="25" spans="1:14">
      <c r="A25" t="s">
        <v>34</v>
      </c>
      <c r="B25">
        <v>10</v>
      </c>
      <c r="C25" t="s">
        <v>57</v>
      </c>
      <c r="D25">
        <v>1</v>
      </c>
      <c r="H25" s="71" t="b">
        <f t="shared" si="0"/>
        <v>0</v>
      </c>
      <c r="J25">
        <v>0</v>
      </c>
    </row>
    <row r="26" spans="1:14">
      <c r="A26" t="s">
        <v>34</v>
      </c>
      <c r="B26">
        <v>10</v>
      </c>
      <c r="C26" t="s">
        <v>58</v>
      </c>
      <c r="D26">
        <v>1</v>
      </c>
      <c r="H26" s="71" t="b">
        <f t="shared" si="0"/>
        <v>0</v>
      </c>
      <c r="J26">
        <v>2</v>
      </c>
      <c r="N26" s="71" t="b">
        <f t="shared" si="1"/>
        <v>0</v>
      </c>
    </row>
    <row r="27" spans="1:14">
      <c r="A27" t="s">
        <v>34</v>
      </c>
      <c r="B27">
        <v>10</v>
      </c>
      <c r="C27" t="s">
        <v>59</v>
      </c>
      <c r="D27">
        <v>1</v>
      </c>
      <c r="H27" s="71" t="b">
        <f t="shared" si="0"/>
        <v>0</v>
      </c>
      <c r="J27">
        <v>0</v>
      </c>
    </row>
    <row r="28" spans="1:14">
      <c r="A28" t="s">
        <v>34</v>
      </c>
      <c r="B28">
        <v>10</v>
      </c>
      <c r="C28" t="s">
        <v>60</v>
      </c>
      <c r="D28">
        <v>1</v>
      </c>
      <c r="H28" s="71" t="b">
        <f t="shared" si="0"/>
        <v>0</v>
      </c>
      <c r="J28">
        <v>2</v>
      </c>
      <c r="N28" s="71" t="b">
        <f t="shared" si="1"/>
        <v>0</v>
      </c>
    </row>
    <row r="29" spans="1:14">
      <c r="A29" t="s">
        <v>34</v>
      </c>
      <c r="B29">
        <v>10</v>
      </c>
      <c r="C29" t="s">
        <v>61</v>
      </c>
      <c r="D29">
        <v>1</v>
      </c>
      <c r="H29" s="71" t="b">
        <f t="shared" si="0"/>
        <v>0</v>
      </c>
      <c r="J29">
        <v>2</v>
      </c>
      <c r="N29" s="71" t="b">
        <f t="shared" si="1"/>
        <v>0</v>
      </c>
    </row>
    <row r="30" spans="1:14">
      <c r="A30" t="s">
        <v>34</v>
      </c>
      <c r="B30">
        <v>10</v>
      </c>
      <c r="C30" t="s">
        <v>62</v>
      </c>
      <c r="D30">
        <v>1</v>
      </c>
      <c r="H30" s="71" t="b">
        <f t="shared" si="0"/>
        <v>0</v>
      </c>
      <c r="J30">
        <v>2</v>
      </c>
      <c r="N30" s="71" t="b">
        <f t="shared" si="1"/>
        <v>0</v>
      </c>
    </row>
    <row r="31" spans="1:14">
      <c r="A31" t="s">
        <v>34</v>
      </c>
      <c r="B31">
        <v>10</v>
      </c>
      <c r="C31" t="s">
        <v>63</v>
      </c>
      <c r="D31">
        <v>1</v>
      </c>
      <c r="H31" s="71" t="b">
        <f t="shared" si="0"/>
        <v>0</v>
      </c>
      <c r="J31">
        <v>0</v>
      </c>
    </row>
    <row r="32" spans="1:14">
      <c r="A32" t="s">
        <v>34</v>
      </c>
      <c r="B32">
        <v>10</v>
      </c>
      <c r="C32" t="s">
        <v>64</v>
      </c>
      <c r="D32">
        <v>1</v>
      </c>
      <c r="H32" s="71" t="b">
        <f t="shared" si="0"/>
        <v>0</v>
      </c>
      <c r="J32">
        <v>3</v>
      </c>
      <c r="N32" s="71" t="b">
        <f t="shared" si="1"/>
        <v>0</v>
      </c>
    </row>
    <row r="33" spans="1:14">
      <c r="A33" t="s">
        <v>34</v>
      </c>
      <c r="B33">
        <v>10</v>
      </c>
      <c r="C33" t="s">
        <v>65</v>
      </c>
      <c r="D33">
        <v>4</v>
      </c>
      <c r="H33" s="71" t="b">
        <f t="shared" si="0"/>
        <v>0</v>
      </c>
      <c r="J33">
        <v>4</v>
      </c>
      <c r="N33" s="71" t="b">
        <f t="shared" si="1"/>
        <v>0</v>
      </c>
    </row>
    <row r="34" spans="1:14">
      <c r="A34" t="s">
        <v>34</v>
      </c>
      <c r="B34">
        <v>10</v>
      </c>
      <c r="C34" t="s">
        <v>66</v>
      </c>
      <c r="D34">
        <v>3</v>
      </c>
      <c r="H34" s="71" t="b">
        <f t="shared" si="0"/>
        <v>0</v>
      </c>
      <c r="J34">
        <v>0</v>
      </c>
    </row>
    <row r="35" spans="1:14">
      <c r="A35" t="s">
        <v>34</v>
      </c>
      <c r="B35">
        <v>10</v>
      </c>
      <c r="C35" t="s">
        <v>67</v>
      </c>
      <c r="D35">
        <v>2</v>
      </c>
      <c r="H35" s="71" t="b">
        <f t="shared" si="0"/>
        <v>0</v>
      </c>
      <c r="J35">
        <v>4</v>
      </c>
      <c r="N35" s="71" t="b">
        <f t="shared" si="1"/>
        <v>0</v>
      </c>
    </row>
    <row r="36" spans="1:14">
      <c r="A36" t="s">
        <v>34</v>
      </c>
      <c r="B36">
        <v>10</v>
      </c>
      <c r="C36" t="s">
        <v>68</v>
      </c>
      <c r="D36">
        <v>4</v>
      </c>
      <c r="H36" s="71" t="b">
        <f t="shared" si="0"/>
        <v>0</v>
      </c>
      <c r="J36">
        <v>4</v>
      </c>
      <c r="N36" s="71" t="b">
        <f t="shared" si="1"/>
        <v>0</v>
      </c>
    </row>
    <row r="37" spans="1:14">
      <c r="A37" t="s">
        <v>34</v>
      </c>
      <c r="B37">
        <v>10</v>
      </c>
      <c r="C37" t="s">
        <v>69</v>
      </c>
      <c r="D37">
        <v>2</v>
      </c>
      <c r="H37" s="71" t="b">
        <f t="shared" si="0"/>
        <v>0</v>
      </c>
      <c r="J37">
        <v>2</v>
      </c>
      <c r="N37" s="71" t="b">
        <f t="shared" si="1"/>
        <v>0</v>
      </c>
    </row>
    <row r="38" spans="1:14">
      <c r="A38" t="s">
        <v>34</v>
      </c>
      <c r="B38">
        <v>10</v>
      </c>
      <c r="C38" t="s">
        <v>70</v>
      </c>
      <c r="D38">
        <v>2</v>
      </c>
      <c r="H38" s="71" t="b">
        <f t="shared" si="0"/>
        <v>0</v>
      </c>
      <c r="J38">
        <v>3</v>
      </c>
      <c r="N38" s="71" t="b">
        <f t="shared" si="1"/>
        <v>0</v>
      </c>
    </row>
    <row r="39" spans="1:14">
      <c r="A39" t="s">
        <v>34</v>
      </c>
      <c r="B39">
        <v>10</v>
      </c>
      <c r="C39" t="s">
        <v>71</v>
      </c>
      <c r="D39">
        <v>1</v>
      </c>
      <c r="H39" s="71" t="b">
        <f t="shared" si="0"/>
        <v>0</v>
      </c>
      <c r="J39">
        <v>0</v>
      </c>
    </row>
    <row r="40" spans="1:14">
      <c r="A40" t="s">
        <v>34</v>
      </c>
      <c r="B40">
        <v>10</v>
      </c>
      <c r="C40" t="s">
        <v>72</v>
      </c>
      <c r="D40">
        <v>1</v>
      </c>
      <c r="H40" s="71" t="b">
        <f t="shared" si="0"/>
        <v>0</v>
      </c>
      <c r="J40">
        <v>4</v>
      </c>
      <c r="N40" s="71" t="b">
        <f t="shared" si="1"/>
        <v>0</v>
      </c>
    </row>
    <row r="41" spans="1:14">
      <c r="A41" t="s">
        <v>34</v>
      </c>
      <c r="B41">
        <v>10</v>
      </c>
      <c r="C41" t="s">
        <v>73</v>
      </c>
      <c r="D41">
        <v>2</v>
      </c>
      <c r="H41" s="71" t="b">
        <f t="shared" si="0"/>
        <v>0</v>
      </c>
      <c r="J41">
        <v>3</v>
      </c>
      <c r="N41" s="71" t="b">
        <f t="shared" si="1"/>
        <v>0</v>
      </c>
    </row>
    <row r="42" spans="1:14">
      <c r="A42" t="s">
        <v>34</v>
      </c>
      <c r="B42">
        <v>10</v>
      </c>
      <c r="C42" t="s">
        <v>74</v>
      </c>
      <c r="D42">
        <v>2</v>
      </c>
      <c r="H42" s="71" t="b">
        <f t="shared" si="0"/>
        <v>0</v>
      </c>
      <c r="J42">
        <v>0</v>
      </c>
    </row>
    <row r="43" spans="1:14">
      <c r="A43" t="s">
        <v>34</v>
      </c>
      <c r="B43">
        <v>10</v>
      </c>
      <c r="C43" t="s">
        <v>75</v>
      </c>
      <c r="D43">
        <v>2</v>
      </c>
      <c r="H43" s="71" t="b">
        <f t="shared" si="0"/>
        <v>0</v>
      </c>
      <c r="J43">
        <v>0</v>
      </c>
    </row>
    <row r="44" spans="1:14">
      <c r="A44" t="s">
        <v>34</v>
      </c>
      <c r="B44">
        <v>10</v>
      </c>
      <c r="C44" t="s">
        <v>76</v>
      </c>
      <c r="D44">
        <v>2</v>
      </c>
      <c r="H44" s="71" t="b">
        <f t="shared" si="0"/>
        <v>0</v>
      </c>
      <c r="J44">
        <v>0</v>
      </c>
    </row>
    <row r="45" spans="1:14">
      <c r="A45" t="s">
        <v>34</v>
      </c>
      <c r="B45">
        <v>10</v>
      </c>
      <c r="C45" t="s">
        <v>77</v>
      </c>
      <c r="D45">
        <v>2</v>
      </c>
      <c r="H45" s="71" t="b">
        <f t="shared" si="0"/>
        <v>0</v>
      </c>
      <c r="J45">
        <v>0</v>
      </c>
    </row>
    <row r="46" spans="1:14">
      <c r="A46" t="s">
        <v>34</v>
      </c>
      <c r="B46">
        <v>10</v>
      </c>
      <c r="C46" t="s">
        <v>78</v>
      </c>
      <c r="D46">
        <v>2</v>
      </c>
      <c r="H46" s="71" t="b">
        <f t="shared" si="0"/>
        <v>0</v>
      </c>
      <c r="J46">
        <v>0</v>
      </c>
    </row>
    <row r="47" spans="1:14">
      <c r="A47" t="s">
        <v>34</v>
      </c>
      <c r="B47">
        <v>10</v>
      </c>
      <c r="C47" t="s">
        <v>79</v>
      </c>
      <c r="D47">
        <v>2</v>
      </c>
      <c r="H47" s="71" t="b">
        <f t="shared" si="0"/>
        <v>0</v>
      </c>
      <c r="J47">
        <v>0</v>
      </c>
    </row>
    <row r="48" spans="1:14">
      <c r="A48" t="s">
        <v>34</v>
      </c>
      <c r="B48">
        <v>11</v>
      </c>
      <c r="C48" t="s">
        <v>80</v>
      </c>
      <c r="D48">
        <v>1</v>
      </c>
      <c r="H48" s="71" t="b">
        <f t="shared" si="0"/>
        <v>0</v>
      </c>
      <c r="J48">
        <v>2</v>
      </c>
      <c r="N48" s="71" t="b">
        <f t="shared" si="1"/>
        <v>0</v>
      </c>
    </row>
    <row r="49" spans="1:14">
      <c r="A49" t="s">
        <v>34</v>
      </c>
      <c r="B49">
        <v>11</v>
      </c>
      <c r="C49" t="s">
        <v>81</v>
      </c>
      <c r="D49">
        <v>2</v>
      </c>
      <c r="H49" s="71" t="b">
        <f t="shared" si="0"/>
        <v>0</v>
      </c>
      <c r="J49">
        <v>2</v>
      </c>
      <c r="N49" s="71" t="b">
        <f t="shared" si="1"/>
        <v>0</v>
      </c>
    </row>
    <row r="50" spans="1:14">
      <c r="A50" t="s">
        <v>34</v>
      </c>
      <c r="B50">
        <v>11</v>
      </c>
      <c r="C50" t="s">
        <v>82</v>
      </c>
      <c r="D50">
        <v>2</v>
      </c>
      <c r="H50" s="71" t="b">
        <f t="shared" si="0"/>
        <v>0</v>
      </c>
      <c r="J50">
        <v>2</v>
      </c>
      <c r="N50" s="71" t="b">
        <f t="shared" si="1"/>
        <v>0</v>
      </c>
    </row>
    <row r="51" spans="1:14">
      <c r="A51" t="s">
        <v>34</v>
      </c>
      <c r="B51">
        <v>11</v>
      </c>
      <c r="C51" t="s">
        <v>83</v>
      </c>
      <c r="D51">
        <v>2</v>
      </c>
      <c r="H51" s="71" t="b">
        <f t="shared" si="0"/>
        <v>0</v>
      </c>
      <c r="J51">
        <v>2</v>
      </c>
      <c r="N51" s="71" t="b">
        <f t="shared" si="1"/>
        <v>0</v>
      </c>
    </row>
    <row r="52" spans="1:14">
      <c r="A52" t="s">
        <v>34</v>
      </c>
      <c r="B52">
        <v>11</v>
      </c>
      <c r="C52" t="s">
        <v>84</v>
      </c>
      <c r="D52">
        <v>2</v>
      </c>
      <c r="H52" s="71" t="b">
        <f t="shared" si="0"/>
        <v>0</v>
      </c>
      <c r="J52">
        <v>2</v>
      </c>
      <c r="N52" s="71" t="b">
        <f t="shared" si="1"/>
        <v>0</v>
      </c>
    </row>
    <row r="53" spans="1:14">
      <c r="A53" t="s">
        <v>34</v>
      </c>
      <c r="B53">
        <v>11</v>
      </c>
      <c r="C53" t="s">
        <v>85</v>
      </c>
      <c r="D53">
        <v>1</v>
      </c>
      <c r="H53" s="71" t="b">
        <f t="shared" si="0"/>
        <v>0</v>
      </c>
      <c r="J53">
        <v>2</v>
      </c>
      <c r="N53" s="71" t="b">
        <f t="shared" si="1"/>
        <v>0</v>
      </c>
    </row>
    <row r="54" spans="1:14">
      <c r="A54" t="s">
        <v>34</v>
      </c>
      <c r="B54">
        <v>11</v>
      </c>
      <c r="C54" t="s">
        <v>86</v>
      </c>
      <c r="D54">
        <v>1</v>
      </c>
      <c r="H54" s="71" t="b">
        <f t="shared" si="0"/>
        <v>0</v>
      </c>
      <c r="J54">
        <v>2</v>
      </c>
      <c r="N54" s="71" t="b">
        <f t="shared" si="1"/>
        <v>0</v>
      </c>
    </row>
    <row r="55" spans="1:14">
      <c r="A55" t="s">
        <v>34</v>
      </c>
      <c r="B55">
        <v>11</v>
      </c>
      <c r="C55" t="s">
        <v>87</v>
      </c>
      <c r="D55">
        <v>1</v>
      </c>
      <c r="H55" s="71" t="b">
        <f t="shared" si="0"/>
        <v>0</v>
      </c>
      <c r="J55">
        <v>5</v>
      </c>
      <c r="N55" s="71" t="b">
        <f t="shared" si="1"/>
        <v>0</v>
      </c>
    </row>
    <row r="56" spans="1:14">
      <c r="A56" t="s">
        <v>34</v>
      </c>
      <c r="B56">
        <v>11</v>
      </c>
      <c r="C56" t="s">
        <v>88</v>
      </c>
      <c r="D56">
        <v>1</v>
      </c>
      <c r="H56" s="71" t="b">
        <f t="shared" si="0"/>
        <v>0</v>
      </c>
      <c r="J56">
        <v>2</v>
      </c>
      <c r="N56" s="71" t="b">
        <f t="shared" si="1"/>
        <v>0</v>
      </c>
    </row>
    <row r="57" spans="1:14">
      <c r="A57" t="s">
        <v>34</v>
      </c>
      <c r="B57">
        <v>11</v>
      </c>
      <c r="C57" t="s">
        <v>89</v>
      </c>
      <c r="D57">
        <v>2</v>
      </c>
      <c r="H57" s="71" t="b">
        <f t="shared" si="0"/>
        <v>0</v>
      </c>
      <c r="J57">
        <v>2</v>
      </c>
      <c r="N57" s="71" t="b">
        <f t="shared" si="1"/>
        <v>0</v>
      </c>
    </row>
    <row r="58" spans="1:14">
      <c r="A58" t="s">
        <v>34</v>
      </c>
      <c r="B58">
        <v>11</v>
      </c>
      <c r="C58" t="s">
        <v>90</v>
      </c>
      <c r="D58">
        <v>2</v>
      </c>
      <c r="H58" s="71" t="b">
        <f t="shared" si="0"/>
        <v>0</v>
      </c>
      <c r="J58">
        <v>0</v>
      </c>
    </row>
    <row r="59" spans="1:14">
      <c r="A59" t="s">
        <v>34</v>
      </c>
      <c r="B59">
        <v>11</v>
      </c>
      <c r="C59" t="s">
        <v>91</v>
      </c>
      <c r="D59">
        <v>2</v>
      </c>
      <c r="H59" s="71" t="b">
        <f t="shared" si="0"/>
        <v>0</v>
      </c>
      <c r="J59">
        <v>1</v>
      </c>
      <c r="N59" s="71" t="b">
        <f t="shared" si="1"/>
        <v>0</v>
      </c>
    </row>
    <row r="60" spans="1:14">
      <c r="A60" t="s">
        <v>34</v>
      </c>
      <c r="B60">
        <v>11</v>
      </c>
      <c r="C60" t="s">
        <v>92</v>
      </c>
      <c r="D60">
        <v>1</v>
      </c>
      <c r="H60" s="71" t="b">
        <f t="shared" si="0"/>
        <v>0</v>
      </c>
      <c r="J60">
        <v>0</v>
      </c>
    </row>
    <row r="61" spans="1:14">
      <c r="A61" t="s">
        <v>34</v>
      </c>
      <c r="B61">
        <v>11</v>
      </c>
      <c r="C61" t="s">
        <v>93</v>
      </c>
      <c r="D61">
        <v>1</v>
      </c>
      <c r="H61" s="71" t="b">
        <f t="shared" si="0"/>
        <v>0</v>
      </c>
      <c r="J61">
        <v>0</v>
      </c>
    </row>
    <row r="62" spans="1:14">
      <c r="A62" t="s">
        <v>34</v>
      </c>
      <c r="B62">
        <v>11</v>
      </c>
      <c r="C62" t="s">
        <v>94</v>
      </c>
      <c r="D62">
        <v>1</v>
      </c>
      <c r="H62" s="71" t="b">
        <f t="shared" si="0"/>
        <v>0</v>
      </c>
      <c r="J62">
        <v>3</v>
      </c>
      <c r="N62" s="71" t="b">
        <f t="shared" si="1"/>
        <v>0</v>
      </c>
    </row>
    <row r="63" spans="1:14">
      <c r="A63" t="s">
        <v>34</v>
      </c>
      <c r="B63">
        <v>11</v>
      </c>
      <c r="C63" t="s">
        <v>95</v>
      </c>
      <c r="D63">
        <v>1</v>
      </c>
      <c r="H63" s="71" t="b">
        <f t="shared" si="0"/>
        <v>0</v>
      </c>
      <c r="J63">
        <v>2</v>
      </c>
      <c r="N63" s="71" t="b">
        <f t="shared" si="1"/>
        <v>0</v>
      </c>
    </row>
    <row r="64" spans="1:14">
      <c r="A64" t="s">
        <v>34</v>
      </c>
      <c r="B64">
        <v>11</v>
      </c>
      <c r="C64" t="s">
        <v>96</v>
      </c>
      <c r="D64">
        <v>1</v>
      </c>
      <c r="H64" s="71" t="b">
        <f t="shared" si="0"/>
        <v>0</v>
      </c>
      <c r="J64">
        <v>2</v>
      </c>
      <c r="N64" s="71" t="b">
        <f t="shared" si="1"/>
        <v>0</v>
      </c>
    </row>
    <row r="65" spans="1:14">
      <c r="A65" t="s">
        <v>34</v>
      </c>
      <c r="B65">
        <v>11</v>
      </c>
      <c r="C65" t="s">
        <v>97</v>
      </c>
      <c r="D65">
        <v>1</v>
      </c>
      <c r="H65" s="71" t="b">
        <f t="shared" si="0"/>
        <v>0</v>
      </c>
      <c r="J65">
        <v>2</v>
      </c>
      <c r="N65" s="71" t="b">
        <f t="shared" si="1"/>
        <v>0</v>
      </c>
    </row>
    <row r="66" spans="1:14">
      <c r="A66" t="s">
        <v>34</v>
      </c>
      <c r="B66">
        <v>11</v>
      </c>
      <c r="C66" t="s">
        <v>98</v>
      </c>
      <c r="D66">
        <v>1</v>
      </c>
      <c r="H66" s="71" t="b">
        <f t="shared" si="0"/>
        <v>0</v>
      </c>
      <c r="J66">
        <v>1</v>
      </c>
      <c r="N66" s="71" t="b">
        <f t="shared" si="1"/>
        <v>0</v>
      </c>
    </row>
    <row r="67" spans="1:14">
      <c r="A67" t="s">
        <v>34</v>
      </c>
      <c r="B67">
        <v>11</v>
      </c>
      <c r="C67" t="s">
        <v>99</v>
      </c>
      <c r="D67">
        <v>1</v>
      </c>
      <c r="H67" s="71" t="b">
        <f t="shared" si="0"/>
        <v>0</v>
      </c>
      <c r="J67">
        <v>1</v>
      </c>
      <c r="N67" s="71" t="b">
        <f t="shared" si="1"/>
        <v>0</v>
      </c>
    </row>
    <row r="68" spans="1:14">
      <c r="A68" t="s">
        <v>34</v>
      </c>
      <c r="B68">
        <v>11</v>
      </c>
      <c r="C68" t="s">
        <v>100</v>
      </c>
      <c r="D68">
        <v>1</v>
      </c>
      <c r="H68" s="71" t="b">
        <f t="shared" ref="H68:H131" si="2">IF(AND(ISBLANK(E68),ISBLANK(F68),ISBLANK(G68)),FALSE,TRUE)</f>
        <v>0</v>
      </c>
      <c r="J68">
        <v>1</v>
      </c>
      <c r="N68" s="71" t="b">
        <f t="shared" ref="N68:N131" si="3">IF(AND(ISBLANK(K68),ISBLANK(L68),ISBLANK(M68)),FALSE,TRUE)</f>
        <v>0</v>
      </c>
    </row>
    <row r="69" spans="1:14">
      <c r="A69" t="s">
        <v>34</v>
      </c>
      <c r="B69">
        <v>11</v>
      </c>
      <c r="C69" t="s">
        <v>101</v>
      </c>
      <c r="D69">
        <v>1</v>
      </c>
      <c r="H69" s="71" t="b">
        <f t="shared" si="2"/>
        <v>0</v>
      </c>
      <c r="J69">
        <v>2</v>
      </c>
      <c r="N69" s="71" t="b">
        <f t="shared" si="3"/>
        <v>0</v>
      </c>
    </row>
    <row r="70" spans="1:14">
      <c r="A70" t="s">
        <v>34</v>
      </c>
      <c r="B70">
        <v>11</v>
      </c>
      <c r="C70" t="s">
        <v>102</v>
      </c>
      <c r="D70">
        <v>1</v>
      </c>
      <c r="H70" s="71" t="b">
        <f t="shared" si="2"/>
        <v>0</v>
      </c>
      <c r="J70">
        <v>2</v>
      </c>
      <c r="N70" s="71" t="b">
        <f t="shared" si="3"/>
        <v>0</v>
      </c>
    </row>
    <row r="71" spans="1:14">
      <c r="A71" t="s">
        <v>34</v>
      </c>
      <c r="B71">
        <v>11</v>
      </c>
      <c r="C71" t="s">
        <v>103</v>
      </c>
      <c r="D71">
        <v>1</v>
      </c>
      <c r="H71" s="71" t="b">
        <f t="shared" si="2"/>
        <v>0</v>
      </c>
      <c r="J71">
        <v>1</v>
      </c>
      <c r="N71" s="71" t="b">
        <f t="shared" si="3"/>
        <v>0</v>
      </c>
    </row>
    <row r="72" spans="1:14">
      <c r="A72" t="s">
        <v>34</v>
      </c>
      <c r="B72">
        <v>11</v>
      </c>
      <c r="C72" t="s">
        <v>104</v>
      </c>
      <c r="D72">
        <v>1</v>
      </c>
      <c r="H72" s="71" t="b">
        <f t="shared" si="2"/>
        <v>0</v>
      </c>
      <c r="J72">
        <v>2</v>
      </c>
      <c r="N72" s="71" t="b">
        <f t="shared" si="3"/>
        <v>0</v>
      </c>
    </row>
    <row r="73" spans="1:14">
      <c r="A73" t="s">
        <v>34</v>
      </c>
      <c r="B73">
        <v>11</v>
      </c>
      <c r="C73" t="s">
        <v>105</v>
      </c>
      <c r="D73">
        <v>1</v>
      </c>
      <c r="H73" s="71" t="b">
        <f t="shared" si="2"/>
        <v>0</v>
      </c>
      <c r="J73">
        <v>2</v>
      </c>
      <c r="N73" s="71" t="b">
        <f t="shared" si="3"/>
        <v>0</v>
      </c>
    </row>
    <row r="74" spans="1:14">
      <c r="A74" t="s">
        <v>34</v>
      </c>
      <c r="B74">
        <v>11</v>
      </c>
      <c r="C74" t="s">
        <v>106</v>
      </c>
      <c r="D74">
        <v>2</v>
      </c>
      <c r="H74" s="71" t="b">
        <f t="shared" si="2"/>
        <v>0</v>
      </c>
      <c r="J74">
        <v>3</v>
      </c>
      <c r="N74" s="71" t="b">
        <f t="shared" si="3"/>
        <v>0</v>
      </c>
    </row>
    <row r="75" spans="1:14">
      <c r="A75" t="s">
        <v>34</v>
      </c>
      <c r="B75">
        <v>11</v>
      </c>
      <c r="C75" t="s">
        <v>107</v>
      </c>
      <c r="D75">
        <v>2</v>
      </c>
      <c r="H75" s="71" t="b">
        <f t="shared" si="2"/>
        <v>0</v>
      </c>
      <c r="J75">
        <v>3</v>
      </c>
      <c r="N75" s="71" t="b">
        <f t="shared" si="3"/>
        <v>0</v>
      </c>
    </row>
    <row r="76" spans="1:14">
      <c r="A76" t="s">
        <v>34</v>
      </c>
      <c r="B76">
        <v>11</v>
      </c>
      <c r="C76" t="s">
        <v>108</v>
      </c>
      <c r="D76">
        <v>1</v>
      </c>
      <c r="H76" s="71" t="b">
        <f t="shared" si="2"/>
        <v>0</v>
      </c>
      <c r="J76">
        <v>3</v>
      </c>
      <c r="N76" s="71" t="b">
        <f t="shared" si="3"/>
        <v>0</v>
      </c>
    </row>
    <row r="77" spans="1:14">
      <c r="A77" t="s">
        <v>34</v>
      </c>
      <c r="B77">
        <v>11</v>
      </c>
      <c r="C77" t="s">
        <v>109</v>
      </c>
      <c r="D77">
        <v>2</v>
      </c>
      <c r="H77" s="71" t="b">
        <f t="shared" si="2"/>
        <v>0</v>
      </c>
      <c r="J77">
        <v>3</v>
      </c>
      <c r="N77" s="71" t="b">
        <f t="shared" si="3"/>
        <v>0</v>
      </c>
    </row>
    <row r="78" spans="1:14">
      <c r="A78" t="s">
        <v>34</v>
      </c>
      <c r="B78">
        <v>11</v>
      </c>
      <c r="C78" t="s">
        <v>110</v>
      </c>
      <c r="D78">
        <v>2</v>
      </c>
      <c r="H78" s="71" t="b">
        <f t="shared" si="2"/>
        <v>0</v>
      </c>
      <c r="J78">
        <v>3</v>
      </c>
      <c r="N78" s="71" t="b">
        <f t="shared" si="3"/>
        <v>0</v>
      </c>
    </row>
    <row r="79" spans="1:14">
      <c r="A79" t="s">
        <v>34</v>
      </c>
      <c r="B79">
        <v>11</v>
      </c>
      <c r="C79" t="s">
        <v>111</v>
      </c>
      <c r="D79">
        <v>2</v>
      </c>
      <c r="H79" s="71" t="b">
        <f t="shared" si="2"/>
        <v>0</v>
      </c>
      <c r="J79">
        <v>3</v>
      </c>
      <c r="N79" s="71" t="b">
        <f t="shared" si="3"/>
        <v>0</v>
      </c>
    </row>
    <row r="80" spans="1:14">
      <c r="A80" t="s">
        <v>34</v>
      </c>
      <c r="B80">
        <v>11</v>
      </c>
      <c r="C80" t="s">
        <v>112</v>
      </c>
      <c r="D80">
        <v>2</v>
      </c>
      <c r="H80" s="71" t="b">
        <f t="shared" si="2"/>
        <v>0</v>
      </c>
      <c r="J80">
        <v>3</v>
      </c>
      <c r="N80" s="71" t="b">
        <f t="shared" si="3"/>
        <v>0</v>
      </c>
    </row>
    <row r="81" spans="1:14">
      <c r="A81" t="s">
        <v>34</v>
      </c>
      <c r="B81">
        <v>11</v>
      </c>
      <c r="C81" t="s">
        <v>113</v>
      </c>
      <c r="D81">
        <v>2</v>
      </c>
      <c r="H81" s="71" t="b">
        <f t="shared" si="2"/>
        <v>0</v>
      </c>
      <c r="J81">
        <v>2</v>
      </c>
      <c r="N81" s="71" t="b">
        <f t="shared" si="3"/>
        <v>0</v>
      </c>
    </row>
    <row r="82" spans="1:14">
      <c r="A82" t="s">
        <v>34</v>
      </c>
      <c r="B82">
        <v>11</v>
      </c>
      <c r="C82" t="s">
        <v>114</v>
      </c>
      <c r="D82">
        <v>2</v>
      </c>
      <c r="H82" s="71" t="b">
        <f t="shared" si="2"/>
        <v>0</v>
      </c>
      <c r="J82">
        <v>0</v>
      </c>
    </row>
    <row r="83" spans="1:14">
      <c r="A83" t="s">
        <v>34</v>
      </c>
      <c r="B83">
        <v>11</v>
      </c>
      <c r="C83" t="s">
        <v>115</v>
      </c>
      <c r="D83">
        <v>2</v>
      </c>
      <c r="H83" s="71" t="b">
        <f t="shared" si="2"/>
        <v>0</v>
      </c>
      <c r="J83">
        <v>0</v>
      </c>
    </row>
    <row r="84" spans="1:14">
      <c r="A84" t="s">
        <v>34</v>
      </c>
      <c r="B84">
        <v>11</v>
      </c>
      <c r="C84" t="s">
        <v>116</v>
      </c>
      <c r="D84">
        <v>2</v>
      </c>
      <c r="H84" s="71" t="b">
        <f t="shared" si="2"/>
        <v>0</v>
      </c>
      <c r="J84">
        <v>0</v>
      </c>
    </row>
    <row r="85" spans="1:14">
      <c r="A85" t="s">
        <v>34</v>
      </c>
      <c r="B85">
        <v>11</v>
      </c>
      <c r="C85" t="s">
        <v>117</v>
      </c>
      <c r="D85">
        <v>6</v>
      </c>
      <c r="H85" s="71" t="b">
        <f t="shared" si="2"/>
        <v>0</v>
      </c>
      <c r="J85">
        <v>0</v>
      </c>
    </row>
    <row r="86" spans="1:14">
      <c r="A86" t="s">
        <v>34</v>
      </c>
      <c r="B86">
        <v>11</v>
      </c>
      <c r="C86" t="s">
        <v>118</v>
      </c>
      <c r="D86">
        <v>3</v>
      </c>
      <c r="H86" s="71" t="b">
        <f t="shared" si="2"/>
        <v>0</v>
      </c>
      <c r="J86">
        <v>0</v>
      </c>
    </row>
    <row r="87" spans="1:14">
      <c r="A87" t="s">
        <v>34</v>
      </c>
      <c r="B87">
        <v>11</v>
      </c>
      <c r="C87" t="s">
        <v>119</v>
      </c>
      <c r="D87">
        <v>3</v>
      </c>
      <c r="H87" s="71" t="b">
        <f t="shared" si="2"/>
        <v>0</v>
      </c>
      <c r="J87">
        <v>0</v>
      </c>
    </row>
    <row r="88" spans="1:14">
      <c r="A88" t="s">
        <v>34</v>
      </c>
      <c r="B88">
        <v>11</v>
      </c>
      <c r="C88" t="s">
        <v>120</v>
      </c>
      <c r="D88">
        <v>3</v>
      </c>
      <c r="H88" s="71" t="b">
        <f t="shared" si="2"/>
        <v>0</v>
      </c>
      <c r="J88">
        <v>0</v>
      </c>
    </row>
    <row r="89" spans="1:14">
      <c r="A89" t="s">
        <v>34</v>
      </c>
      <c r="B89">
        <v>11</v>
      </c>
      <c r="C89" t="s">
        <v>121</v>
      </c>
      <c r="D89">
        <v>3</v>
      </c>
      <c r="H89" s="71" t="b">
        <f t="shared" si="2"/>
        <v>0</v>
      </c>
      <c r="J89">
        <v>0</v>
      </c>
    </row>
    <row r="90" spans="1:14">
      <c r="A90" t="s">
        <v>34</v>
      </c>
      <c r="B90">
        <v>12</v>
      </c>
      <c r="C90" t="s">
        <v>122</v>
      </c>
      <c r="D90">
        <v>2</v>
      </c>
      <c r="H90" s="71" t="b">
        <f t="shared" si="2"/>
        <v>0</v>
      </c>
      <c r="J90">
        <v>2</v>
      </c>
      <c r="N90" s="71" t="b">
        <f t="shared" si="3"/>
        <v>0</v>
      </c>
    </row>
    <row r="91" spans="1:14">
      <c r="A91" t="s">
        <v>34</v>
      </c>
      <c r="B91">
        <v>12</v>
      </c>
      <c r="C91" t="s">
        <v>123</v>
      </c>
      <c r="D91">
        <v>2</v>
      </c>
      <c r="H91" s="71" t="b">
        <f t="shared" si="2"/>
        <v>0</v>
      </c>
      <c r="J91">
        <v>2</v>
      </c>
      <c r="N91" s="71" t="b">
        <f t="shared" si="3"/>
        <v>0</v>
      </c>
    </row>
    <row r="92" spans="1:14">
      <c r="A92" t="s">
        <v>34</v>
      </c>
      <c r="B92">
        <v>12</v>
      </c>
      <c r="C92" t="s">
        <v>124</v>
      </c>
      <c r="D92">
        <v>2</v>
      </c>
      <c r="H92" s="71" t="b">
        <f t="shared" si="2"/>
        <v>0</v>
      </c>
      <c r="J92">
        <v>0</v>
      </c>
    </row>
    <row r="93" spans="1:14">
      <c r="A93" t="s">
        <v>34</v>
      </c>
      <c r="B93">
        <v>12</v>
      </c>
      <c r="C93" t="s">
        <v>125</v>
      </c>
      <c r="D93">
        <v>4</v>
      </c>
      <c r="H93" s="71" t="b">
        <f t="shared" si="2"/>
        <v>0</v>
      </c>
      <c r="J93">
        <v>4</v>
      </c>
      <c r="N93" s="71" t="b">
        <f t="shared" si="3"/>
        <v>0</v>
      </c>
    </row>
    <row r="94" spans="1:14">
      <c r="A94" t="s">
        <v>34</v>
      </c>
      <c r="B94">
        <v>12</v>
      </c>
      <c r="C94" t="s">
        <v>126</v>
      </c>
      <c r="D94">
        <v>2</v>
      </c>
      <c r="H94" s="71" t="b">
        <f t="shared" si="2"/>
        <v>0</v>
      </c>
      <c r="J94">
        <v>2</v>
      </c>
      <c r="N94" s="71" t="b">
        <f t="shared" si="3"/>
        <v>0</v>
      </c>
    </row>
    <row r="95" spans="1:14">
      <c r="A95" t="s">
        <v>34</v>
      </c>
      <c r="B95">
        <v>12</v>
      </c>
      <c r="C95" t="s">
        <v>127</v>
      </c>
      <c r="D95">
        <v>2</v>
      </c>
      <c r="H95" s="71" t="b">
        <f t="shared" si="2"/>
        <v>0</v>
      </c>
      <c r="J95">
        <v>2</v>
      </c>
      <c r="N95" s="71" t="b">
        <f t="shared" si="3"/>
        <v>0</v>
      </c>
    </row>
    <row r="96" spans="1:14">
      <c r="A96" t="s">
        <v>34</v>
      </c>
      <c r="B96">
        <v>12</v>
      </c>
      <c r="C96" t="s">
        <v>128</v>
      </c>
      <c r="D96">
        <v>2</v>
      </c>
      <c r="H96" s="71" t="b">
        <f t="shared" si="2"/>
        <v>0</v>
      </c>
      <c r="J96">
        <v>2</v>
      </c>
      <c r="N96" s="71" t="b">
        <f t="shared" si="3"/>
        <v>0</v>
      </c>
    </row>
    <row r="97" spans="1:14">
      <c r="A97" t="s">
        <v>34</v>
      </c>
      <c r="B97">
        <v>12</v>
      </c>
      <c r="C97" t="s">
        <v>129</v>
      </c>
      <c r="D97">
        <v>2</v>
      </c>
      <c r="H97" s="71" t="b">
        <f t="shared" si="2"/>
        <v>0</v>
      </c>
      <c r="J97">
        <v>0</v>
      </c>
    </row>
    <row r="98" spans="1:14">
      <c r="A98" t="s">
        <v>34</v>
      </c>
      <c r="B98">
        <v>12</v>
      </c>
      <c r="C98" t="s">
        <v>130</v>
      </c>
      <c r="D98">
        <v>2</v>
      </c>
      <c r="H98" s="71" t="b">
        <f t="shared" si="2"/>
        <v>0</v>
      </c>
      <c r="J98">
        <v>1</v>
      </c>
      <c r="N98" s="71" t="b">
        <f t="shared" si="3"/>
        <v>0</v>
      </c>
    </row>
    <row r="99" spans="1:14">
      <c r="A99" t="s">
        <v>34</v>
      </c>
      <c r="B99">
        <v>12</v>
      </c>
      <c r="C99" t="s">
        <v>131</v>
      </c>
      <c r="D99">
        <v>3</v>
      </c>
      <c r="H99" s="71" t="b">
        <f t="shared" si="2"/>
        <v>0</v>
      </c>
      <c r="J99">
        <v>1</v>
      </c>
      <c r="N99" s="71" t="b">
        <f t="shared" si="3"/>
        <v>0</v>
      </c>
    </row>
    <row r="100" spans="1:14">
      <c r="A100" t="s">
        <v>34</v>
      </c>
      <c r="B100">
        <v>12</v>
      </c>
      <c r="C100" t="s">
        <v>132</v>
      </c>
      <c r="D100">
        <v>1</v>
      </c>
      <c r="H100" s="71" t="b">
        <f t="shared" si="2"/>
        <v>0</v>
      </c>
      <c r="J100">
        <v>1</v>
      </c>
      <c r="N100" s="71" t="b">
        <f t="shared" si="3"/>
        <v>0</v>
      </c>
    </row>
    <row r="101" spans="1:14">
      <c r="A101" t="s">
        <v>34</v>
      </c>
      <c r="B101">
        <v>12</v>
      </c>
      <c r="C101" t="s">
        <v>133</v>
      </c>
      <c r="D101">
        <v>1</v>
      </c>
      <c r="H101" s="71" t="b">
        <f t="shared" si="2"/>
        <v>0</v>
      </c>
      <c r="J101">
        <v>0</v>
      </c>
    </row>
    <row r="102" spans="1:14">
      <c r="A102" t="s">
        <v>34</v>
      </c>
      <c r="B102">
        <v>12</v>
      </c>
      <c r="C102" t="s">
        <v>134</v>
      </c>
      <c r="D102">
        <v>1</v>
      </c>
      <c r="H102" s="71" t="b">
        <f t="shared" si="2"/>
        <v>0</v>
      </c>
      <c r="J102">
        <v>1</v>
      </c>
      <c r="N102" s="71" t="b">
        <f t="shared" si="3"/>
        <v>0</v>
      </c>
    </row>
    <row r="103" spans="1:14">
      <c r="A103" t="s">
        <v>34</v>
      </c>
      <c r="B103">
        <v>12</v>
      </c>
      <c r="C103" t="s">
        <v>135</v>
      </c>
      <c r="D103">
        <v>2</v>
      </c>
      <c r="H103" s="71" t="b">
        <f t="shared" si="2"/>
        <v>0</v>
      </c>
      <c r="J103">
        <v>1</v>
      </c>
      <c r="N103" s="71" t="b">
        <f t="shared" si="3"/>
        <v>0</v>
      </c>
    </row>
    <row r="104" spans="1:14">
      <c r="A104" t="s">
        <v>34</v>
      </c>
      <c r="B104">
        <v>12</v>
      </c>
      <c r="C104" t="s">
        <v>136</v>
      </c>
      <c r="D104">
        <v>2</v>
      </c>
      <c r="H104" s="71" t="b">
        <f t="shared" si="2"/>
        <v>0</v>
      </c>
      <c r="J104">
        <v>1</v>
      </c>
      <c r="N104" s="71" t="b">
        <f t="shared" si="3"/>
        <v>0</v>
      </c>
    </row>
    <row r="105" spans="1:14">
      <c r="A105" t="s">
        <v>34</v>
      </c>
      <c r="B105">
        <v>12</v>
      </c>
      <c r="C105" t="s">
        <v>137</v>
      </c>
      <c r="D105">
        <v>2</v>
      </c>
      <c r="H105" s="71" t="b">
        <f t="shared" si="2"/>
        <v>0</v>
      </c>
      <c r="J105">
        <v>1</v>
      </c>
      <c r="N105" s="71" t="b">
        <f t="shared" si="3"/>
        <v>0</v>
      </c>
    </row>
    <row r="106" spans="1:14">
      <c r="A106" t="s">
        <v>34</v>
      </c>
      <c r="B106">
        <v>12</v>
      </c>
      <c r="C106" t="s">
        <v>138</v>
      </c>
      <c r="D106">
        <v>1</v>
      </c>
      <c r="H106" s="71" t="b">
        <f t="shared" si="2"/>
        <v>0</v>
      </c>
      <c r="J106">
        <v>1</v>
      </c>
      <c r="N106" s="71" t="b">
        <f t="shared" si="3"/>
        <v>0</v>
      </c>
    </row>
    <row r="107" spans="1:14">
      <c r="A107" t="s">
        <v>34</v>
      </c>
      <c r="B107">
        <v>12</v>
      </c>
      <c r="C107" t="s">
        <v>139</v>
      </c>
      <c r="D107">
        <v>1</v>
      </c>
      <c r="H107" s="71" t="b">
        <f t="shared" si="2"/>
        <v>0</v>
      </c>
      <c r="J107">
        <v>1</v>
      </c>
      <c r="N107" s="71" t="b">
        <f t="shared" si="3"/>
        <v>0</v>
      </c>
    </row>
    <row r="108" spans="1:14">
      <c r="A108" t="s">
        <v>34</v>
      </c>
      <c r="B108">
        <v>12</v>
      </c>
      <c r="C108" t="s">
        <v>140</v>
      </c>
      <c r="D108">
        <v>1</v>
      </c>
      <c r="H108" s="71" t="b">
        <f t="shared" si="2"/>
        <v>0</v>
      </c>
      <c r="J108">
        <v>1</v>
      </c>
      <c r="N108" s="71" t="b">
        <f t="shared" si="3"/>
        <v>0</v>
      </c>
    </row>
    <row r="109" spans="1:14">
      <c r="A109" t="s">
        <v>34</v>
      </c>
      <c r="B109">
        <v>12</v>
      </c>
      <c r="C109" t="s">
        <v>141</v>
      </c>
      <c r="D109">
        <v>1</v>
      </c>
      <c r="H109" s="71" t="b">
        <f t="shared" si="2"/>
        <v>0</v>
      </c>
      <c r="J109">
        <v>1</v>
      </c>
      <c r="N109" s="71" t="b">
        <f t="shared" si="3"/>
        <v>0</v>
      </c>
    </row>
    <row r="110" spans="1:14">
      <c r="A110" t="s">
        <v>34</v>
      </c>
      <c r="B110">
        <v>12</v>
      </c>
      <c r="C110" t="s">
        <v>142</v>
      </c>
      <c r="D110">
        <v>2</v>
      </c>
      <c r="H110" s="71" t="b">
        <f t="shared" si="2"/>
        <v>0</v>
      </c>
      <c r="J110">
        <v>1</v>
      </c>
      <c r="N110" s="71" t="b">
        <f t="shared" si="3"/>
        <v>0</v>
      </c>
    </row>
    <row r="111" spans="1:14">
      <c r="A111" t="s">
        <v>34</v>
      </c>
      <c r="B111">
        <v>12</v>
      </c>
      <c r="C111" t="s">
        <v>143</v>
      </c>
      <c r="D111">
        <v>1</v>
      </c>
      <c r="H111" s="71" t="b">
        <f t="shared" si="2"/>
        <v>0</v>
      </c>
      <c r="J111">
        <v>2</v>
      </c>
      <c r="N111" s="71" t="b">
        <f t="shared" si="3"/>
        <v>0</v>
      </c>
    </row>
    <row r="112" spans="1:14">
      <c r="A112" t="s">
        <v>34</v>
      </c>
      <c r="B112">
        <v>12</v>
      </c>
      <c r="C112" t="s">
        <v>144</v>
      </c>
      <c r="D112">
        <v>1</v>
      </c>
      <c r="H112" s="71" t="b">
        <f t="shared" si="2"/>
        <v>0</v>
      </c>
      <c r="J112">
        <v>2</v>
      </c>
      <c r="N112" s="71" t="b">
        <f t="shared" si="3"/>
        <v>0</v>
      </c>
    </row>
    <row r="113" spans="1:14">
      <c r="A113" t="s">
        <v>34</v>
      </c>
      <c r="B113">
        <v>12</v>
      </c>
      <c r="C113" t="s">
        <v>145</v>
      </c>
      <c r="D113">
        <v>1</v>
      </c>
      <c r="H113" s="71" t="b">
        <f t="shared" si="2"/>
        <v>0</v>
      </c>
      <c r="J113">
        <v>0</v>
      </c>
    </row>
    <row r="114" spans="1:14">
      <c r="A114" t="s">
        <v>34</v>
      </c>
      <c r="B114">
        <v>12</v>
      </c>
      <c r="C114" t="s">
        <v>146</v>
      </c>
      <c r="D114">
        <v>1</v>
      </c>
      <c r="H114" s="71" t="b">
        <f t="shared" si="2"/>
        <v>0</v>
      </c>
      <c r="J114">
        <v>0</v>
      </c>
    </row>
    <row r="115" spans="1:14">
      <c r="A115" t="s">
        <v>34</v>
      </c>
      <c r="B115">
        <v>12</v>
      </c>
      <c r="C115" t="s">
        <v>147</v>
      </c>
      <c r="D115">
        <v>1</v>
      </c>
      <c r="H115" s="71" t="b">
        <f t="shared" si="2"/>
        <v>0</v>
      </c>
      <c r="J115">
        <v>2</v>
      </c>
      <c r="N115" s="71" t="b">
        <f t="shared" si="3"/>
        <v>0</v>
      </c>
    </row>
    <row r="116" spans="1:14">
      <c r="A116" t="s">
        <v>34</v>
      </c>
      <c r="B116">
        <v>12</v>
      </c>
      <c r="C116" t="s">
        <v>148</v>
      </c>
      <c r="D116">
        <v>2</v>
      </c>
      <c r="H116" s="71" t="b">
        <f t="shared" si="2"/>
        <v>0</v>
      </c>
      <c r="J116">
        <v>2</v>
      </c>
      <c r="N116" s="71" t="b">
        <f t="shared" si="3"/>
        <v>0</v>
      </c>
    </row>
    <row r="117" spans="1:14">
      <c r="A117" t="s">
        <v>34</v>
      </c>
      <c r="B117">
        <v>12</v>
      </c>
      <c r="C117" t="s">
        <v>149</v>
      </c>
      <c r="D117">
        <v>3</v>
      </c>
      <c r="H117" s="71" t="b">
        <f t="shared" si="2"/>
        <v>0</v>
      </c>
      <c r="J117">
        <v>0</v>
      </c>
    </row>
    <row r="118" spans="1:14">
      <c r="A118" t="s">
        <v>34</v>
      </c>
      <c r="B118">
        <v>12</v>
      </c>
      <c r="C118" t="s">
        <v>150</v>
      </c>
      <c r="D118">
        <v>3</v>
      </c>
      <c r="H118" s="71" t="b">
        <f t="shared" si="2"/>
        <v>0</v>
      </c>
      <c r="J118">
        <v>0</v>
      </c>
    </row>
    <row r="119" spans="1:14">
      <c r="A119" t="s">
        <v>34</v>
      </c>
      <c r="B119">
        <v>12</v>
      </c>
      <c r="C119" t="s">
        <v>151</v>
      </c>
      <c r="D119">
        <v>2</v>
      </c>
      <c r="H119" s="71" t="b">
        <f t="shared" si="2"/>
        <v>0</v>
      </c>
      <c r="J119">
        <v>0</v>
      </c>
    </row>
    <row r="120" spans="1:14">
      <c r="A120" t="s">
        <v>34</v>
      </c>
      <c r="B120">
        <v>12</v>
      </c>
      <c r="C120" t="s">
        <v>152</v>
      </c>
      <c r="D120">
        <v>2</v>
      </c>
      <c r="H120" s="71" t="b">
        <f t="shared" si="2"/>
        <v>0</v>
      </c>
      <c r="J120">
        <v>0</v>
      </c>
    </row>
    <row r="121" spans="1:14">
      <c r="A121" t="s">
        <v>34</v>
      </c>
      <c r="B121">
        <v>12</v>
      </c>
      <c r="C121" t="s">
        <v>153</v>
      </c>
      <c r="D121">
        <v>2</v>
      </c>
      <c r="H121" s="71" t="b">
        <f t="shared" si="2"/>
        <v>0</v>
      </c>
      <c r="J121">
        <v>0</v>
      </c>
    </row>
    <row r="122" spans="1:14">
      <c r="A122" t="s">
        <v>34</v>
      </c>
      <c r="B122">
        <v>12</v>
      </c>
      <c r="C122" t="s">
        <v>154</v>
      </c>
      <c r="D122">
        <v>2</v>
      </c>
      <c r="H122" s="71" t="b">
        <f t="shared" si="2"/>
        <v>0</v>
      </c>
      <c r="J122">
        <v>0</v>
      </c>
    </row>
    <row r="123" spans="1:14">
      <c r="A123" t="s">
        <v>34</v>
      </c>
      <c r="B123">
        <v>12</v>
      </c>
      <c r="C123" t="s">
        <v>155</v>
      </c>
      <c r="D123">
        <v>2</v>
      </c>
      <c r="H123" s="71" t="b">
        <f t="shared" si="2"/>
        <v>0</v>
      </c>
      <c r="J123">
        <v>0</v>
      </c>
    </row>
    <row r="124" spans="1:14">
      <c r="A124" t="s">
        <v>34</v>
      </c>
      <c r="B124">
        <v>12</v>
      </c>
      <c r="C124" t="s">
        <v>156</v>
      </c>
      <c r="D124">
        <v>2</v>
      </c>
      <c r="H124" s="71" t="b">
        <f t="shared" si="2"/>
        <v>0</v>
      </c>
      <c r="J124">
        <v>0</v>
      </c>
    </row>
    <row r="125" spans="1:14">
      <c r="A125" t="s">
        <v>34</v>
      </c>
      <c r="B125">
        <v>12</v>
      </c>
      <c r="C125" t="s">
        <v>157</v>
      </c>
      <c r="D125">
        <v>0</v>
      </c>
      <c r="H125" s="71" t="b">
        <f t="shared" si="2"/>
        <v>0</v>
      </c>
      <c r="J125">
        <v>8</v>
      </c>
      <c r="N125" s="71" t="b">
        <f t="shared" si="3"/>
        <v>0</v>
      </c>
    </row>
    <row r="126" spans="1:14">
      <c r="A126" t="s">
        <v>34</v>
      </c>
      <c r="B126">
        <v>12</v>
      </c>
      <c r="C126" t="s">
        <v>158</v>
      </c>
      <c r="D126">
        <v>0</v>
      </c>
      <c r="H126" s="71" t="b">
        <f t="shared" si="2"/>
        <v>0</v>
      </c>
      <c r="J126">
        <v>8</v>
      </c>
      <c r="N126" s="71" t="b">
        <f t="shared" si="3"/>
        <v>0</v>
      </c>
    </row>
    <row r="127" spans="1:14">
      <c r="A127" t="s">
        <v>34</v>
      </c>
      <c r="B127">
        <v>12</v>
      </c>
      <c r="C127" t="s">
        <v>159</v>
      </c>
      <c r="D127">
        <v>4</v>
      </c>
      <c r="H127" s="71" t="b">
        <f t="shared" si="2"/>
        <v>0</v>
      </c>
      <c r="J127">
        <v>4</v>
      </c>
      <c r="N127" s="71" t="b">
        <f t="shared" si="3"/>
        <v>0</v>
      </c>
    </row>
    <row r="128" spans="1:14">
      <c r="A128" t="s">
        <v>34</v>
      </c>
      <c r="B128">
        <v>12</v>
      </c>
      <c r="C128" t="s">
        <v>160</v>
      </c>
      <c r="D128">
        <v>4</v>
      </c>
      <c r="H128" s="71" t="b">
        <f t="shared" si="2"/>
        <v>0</v>
      </c>
      <c r="J128">
        <v>8</v>
      </c>
      <c r="N128" s="71" t="b">
        <f t="shared" si="3"/>
        <v>0</v>
      </c>
    </row>
    <row r="129" spans="1:14">
      <c r="A129" t="s">
        <v>34</v>
      </c>
      <c r="B129">
        <v>12</v>
      </c>
      <c r="C129" t="s">
        <v>161</v>
      </c>
      <c r="D129">
        <v>1</v>
      </c>
      <c r="H129" s="71" t="b">
        <f t="shared" si="2"/>
        <v>0</v>
      </c>
      <c r="J129">
        <v>0</v>
      </c>
    </row>
    <row r="130" spans="1:14">
      <c r="A130" t="s">
        <v>34</v>
      </c>
      <c r="B130">
        <v>12</v>
      </c>
      <c r="C130" t="s">
        <v>162</v>
      </c>
      <c r="D130">
        <v>0</v>
      </c>
      <c r="H130" s="71" t="b">
        <f t="shared" si="2"/>
        <v>0</v>
      </c>
      <c r="J130">
        <v>0</v>
      </c>
    </row>
    <row r="131" spans="1:14">
      <c r="A131" t="s">
        <v>34</v>
      </c>
      <c r="B131">
        <v>12</v>
      </c>
      <c r="C131" t="s">
        <v>163</v>
      </c>
      <c r="D131">
        <v>0</v>
      </c>
      <c r="H131" s="71" t="b">
        <f t="shared" si="2"/>
        <v>0</v>
      </c>
      <c r="J131">
        <v>6</v>
      </c>
      <c r="N131" s="71" t="b">
        <f t="shared" si="3"/>
        <v>0</v>
      </c>
    </row>
    <row r="132" spans="1:14">
      <c r="A132" t="s">
        <v>164</v>
      </c>
      <c r="B132">
        <v>10</v>
      </c>
      <c r="C132" t="s">
        <v>35</v>
      </c>
      <c r="D132">
        <v>3</v>
      </c>
      <c r="H132" s="71" t="b">
        <f>IF(AND(ISBLANK(E132),ISBLANK(F132),ISBLANK(G132)),FALSE,TRUE)</f>
        <v>0</v>
      </c>
      <c r="J132">
        <v>0</v>
      </c>
    </row>
    <row r="133" spans="1:14">
      <c r="A133" t="s">
        <v>164</v>
      </c>
      <c r="B133">
        <v>10</v>
      </c>
      <c r="C133" t="s">
        <v>36</v>
      </c>
      <c r="D133">
        <v>2</v>
      </c>
      <c r="H133" s="71" t="b">
        <f t="shared" ref="H133:H196" si="4">IF(AND(ISBLANK(E133),ISBLANK(F133),ISBLANK(G133)),FALSE,TRUE)</f>
        <v>0</v>
      </c>
      <c r="J133">
        <v>1</v>
      </c>
      <c r="N133" s="71" t="b">
        <f>IF(AND(ISBLANK(K133),ISBLANK(L133),ISBLANK(M133)),FALSE,TRUE)</f>
        <v>0</v>
      </c>
    </row>
    <row r="134" spans="1:14">
      <c r="A134" t="s">
        <v>164</v>
      </c>
      <c r="B134">
        <v>10</v>
      </c>
      <c r="C134" t="s">
        <v>37</v>
      </c>
      <c r="D134">
        <v>1</v>
      </c>
      <c r="H134" s="71" t="b">
        <f t="shared" si="4"/>
        <v>0</v>
      </c>
      <c r="J134">
        <v>3</v>
      </c>
      <c r="N134" s="71" t="b">
        <f>IF(AND(ISBLANK(K134),ISBLANK(L134),ISBLANK(M134)),FALSE,TRUE)</f>
        <v>0</v>
      </c>
    </row>
    <row r="135" spans="1:14">
      <c r="A135" t="s">
        <v>164</v>
      </c>
      <c r="B135">
        <v>10</v>
      </c>
      <c r="C135" t="s">
        <v>38</v>
      </c>
      <c r="D135">
        <v>1</v>
      </c>
      <c r="H135" s="71" t="b">
        <f t="shared" si="4"/>
        <v>0</v>
      </c>
      <c r="J135">
        <v>0</v>
      </c>
    </row>
    <row r="136" spans="1:14">
      <c r="A136" t="s">
        <v>164</v>
      </c>
      <c r="B136">
        <v>10</v>
      </c>
      <c r="C136" t="s">
        <v>39</v>
      </c>
      <c r="D136">
        <v>1</v>
      </c>
      <c r="H136" s="71" t="b">
        <f t="shared" si="4"/>
        <v>0</v>
      </c>
      <c r="J136">
        <v>1</v>
      </c>
      <c r="N136" s="71" t="b">
        <f>IF(AND(ISBLANK(K136),ISBLANK(L136),ISBLANK(M136)),FALSE,TRUE)</f>
        <v>0</v>
      </c>
    </row>
    <row r="137" spans="1:14">
      <c r="A137" t="s">
        <v>164</v>
      </c>
      <c r="B137">
        <v>10</v>
      </c>
      <c r="C137" t="s">
        <v>40</v>
      </c>
      <c r="D137">
        <v>1</v>
      </c>
      <c r="H137" s="71" t="b">
        <f t="shared" si="4"/>
        <v>0</v>
      </c>
      <c r="J137">
        <v>1</v>
      </c>
      <c r="N137" s="71" t="b">
        <f>IF(AND(ISBLANK(K137),ISBLANK(L137),ISBLANK(M137)),FALSE,TRUE)</f>
        <v>0</v>
      </c>
    </row>
    <row r="138" spans="1:14">
      <c r="A138" t="s">
        <v>164</v>
      </c>
      <c r="B138">
        <v>10</v>
      </c>
      <c r="C138" t="s">
        <v>41</v>
      </c>
      <c r="D138">
        <v>1</v>
      </c>
      <c r="H138" s="71" t="b">
        <f t="shared" si="4"/>
        <v>0</v>
      </c>
      <c r="J138">
        <v>1</v>
      </c>
      <c r="N138" s="71" t="b">
        <f>IF(AND(ISBLANK(K138),ISBLANK(L138),ISBLANK(M138)),FALSE,TRUE)</f>
        <v>0</v>
      </c>
    </row>
    <row r="139" spans="1:14">
      <c r="A139" t="s">
        <v>164</v>
      </c>
      <c r="B139">
        <v>10</v>
      </c>
      <c r="C139" t="s">
        <v>42</v>
      </c>
      <c r="D139">
        <v>1</v>
      </c>
      <c r="H139" s="71" t="b">
        <f t="shared" si="4"/>
        <v>0</v>
      </c>
      <c r="J139">
        <v>0</v>
      </c>
    </row>
    <row r="140" spans="1:14">
      <c r="A140" t="s">
        <v>164</v>
      </c>
      <c r="B140">
        <v>10</v>
      </c>
      <c r="C140" t="s">
        <v>43</v>
      </c>
      <c r="D140">
        <v>1</v>
      </c>
      <c r="H140" s="71" t="b">
        <f t="shared" si="4"/>
        <v>0</v>
      </c>
      <c r="J140">
        <v>0</v>
      </c>
    </row>
    <row r="141" spans="1:14">
      <c r="A141" t="s">
        <v>164</v>
      </c>
      <c r="B141">
        <v>10</v>
      </c>
      <c r="C141" t="s">
        <v>44</v>
      </c>
      <c r="D141">
        <v>1</v>
      </c>
      <c r="H141" s="71" t="b">
        <f t="shared" si="4"/>
        <v>0</v>
      </c>
      <c r="J141">
        <v>2</v>
      </c>
      <c r="N141" s="71" t="b">
        <f>IF(AND(ISBLANK(K141),ISBLANK(L141),ISBLANK(M141)),FALSE,TRUE)</f>
        <v>0</v>
      </c>
    </row>
    <row r="142" spans="1:14">
      <c r="A142" t="s">
        <v>164</v>
      </c>
      <c r="B142">
        <v>10</v>
      </c>
      <c r="C142" t="s">
        <v>45</v>
      </c>
      <c r="D142">
        <v>1</v>
      </c>
      <c r="H142" s="71" t="b">
        <f t="shared" si="4"/>
        <v>0</v>
      </c>
      <c r="J142">
        <v>1</v>
      </c>
      <c r="N142" s="71" t="b">
        <f>IF(AND(ISBLANK(K142),ISBLANK(L142),ISBLANK(M142)),FALSE,TRUE)</f>
        <v>0</v>
      </c>
    </row>
    <row r="143" spans="1:14">
      <c r="A143" t="s">
        <v>164</v>
      </c>
      <c r="B143">
        <v>10</v>
      </c>
      <c r="C143" t="s">
        <v>46</v>
      </c>
      <c r="D143">
        <v>1</v>
      </c>
      <c r="H143" s="71" t="b">
        <f t="shared" si="4"/>
        <v>0</v>
      </c>
      <c r="J143">
        <v>1</v>
      </c>
      <c r="N143" s="71" t="b">
        <f>IF(AND(ISBLANK(K143),ISBLANK(L143),ISBLANK(M143)),FALSE,TRUE)</f>
        <v>0</v>
      </c>
    </row>
    <row r="144" spans="1:14">
      <c r="A144" t="s">
        <v>164</v>
      </c>
      <c r="B144">
        <v>10</v>
      </c>
      <c r="C144" t="s">
        <v>47</v>
      </c>
      <c r="D144">
        <v>3</v>
      </c>
      <c r="H144" s="71" t="b">
        <f t="shared" si="4"/>
        <v>0</v>
      </c>
      <c r="J144">
        <v>0</v>
      </c>
    </row>
    <row r="145" spans="1:14">
      <c r="A145" t="s">
        <v>164</v>
      </c>
      <c r="B145">
        <v>10</v>
      </c>
      <c r="C145" t="s">
        <v>48</v>
      </c>
      <c r="D145">
        <v>2</v>
      </c>
      <c r="H145" s="71" t="b">
        <f t="shared" si="4"/>
        <v>0</v>
      </c>
      <c r="J145">
        <v>2</v>
      </c>
      <c r="N145" s="71" t="b">
        <f>IF(AND(ISBLANK(K145),ISBLANK(L145),ISBLANK(M145)),FALSE,TRUE)</f>
        <v>0</v>
      </c>
    </row>
    <row r="146" spans="1:14">
      <c r="A146" t="s">
        <v>164</v>
      </c>
      <c r="B146">
        <v>10</v>
      </c>
      <c r="C146" t="s">
        <v>49</v>
      </c>
      <c r="D146">
        <v>4</v>
      </c>
      <c r="H146" s="71" t="b">
        <f t="shared" si="4"/>
        <v>0</v>
      </c>
      <c r="J146">
        <v>0</v>
      </c>
    </row>
    <row r="147" spans="1:14">
      <c r="A147" t="s">
        <v>164</v>
      </c>
      <c r="B147">
        <v>10</v>
      </c>
      <c r="C147" t="s">
        <v>50</v>
      </c>
      <c r="D147">
        <v>2</v>
      </c>
      <c r="H147" s="71" t="b">
        <f t="shared" si="4"/>
        <v>0</v>
      </c>
      <c r="J147">
        <v>0</v>
      </c>
    </row>
    <row r="148" spans="1:14">
      <c r="A148" t="s">
        <v>164</v>
      </c>
      <c r="B148">
        <v>10</v>
      </c>
      <c r="C148" t="s">
        <v>51</v>
      </c>
      <c r="D148">
        <v>0</v>
      </c>
      <c r="H148" s="71" t="b">
        <f t="shared" si="4"/>
        <v>0</v>
      </c>
      <c r="J148">
        <v>8</v>
      </c>
      <c r="N148" s="71" t="b">
        <f>IF(AND(ISBLANK(K148),ISBLANK(L148),ISBLANK(M148)),FALSE,TRUE)</f>
        <v>0</v>
      </c>
    </row>
    <row r="149" spans="1:14">
      <c r="A149" t="s">
        <v>164</v>
      </c>
      <c r="B149">
        <v>10</v>
      </c>
      <c r="C149" t="s">
        <v>52</v>
      </c>
      <c r="D149">
        <v>0</v>
      </c>
      <c r="H149" s="71" t="b">
        <f t="shared" si="4"/>
        <v>0</v>
      </c>
      <c r="J149">
        <v>8</v>
      </c>
      <c r="N149" s="71" t="b">
        <f>IF(AND(ISBLANK(K149),ISBLANK(L149),ISBLANK(M149)),FALSE,TRUE)</f>
        <v>0</v>
      </c>
    </row>
    <row r="150" spans="1:14">
      <c r="A150" t="s">
        <v>164</v>
      </c>
      <c r="B150">
        <v>10</v>
      </c>
      <c r="C150" t="s">
        <v>53</v>
      </c>
      <c r="D150">
        <v>2</v>
      </c>
      <c r="H150" s="71" t="b">
        <f t="shared" si="4"/>
        <v>0</v>
      </c>
      <c r="J150">
        <v>0</v>
      </c>
    </row>
    <row r="151" spans="1:14">
      <c r="A151" t="s">
        <v>164</v>
      </c>
      <c r="B151">
        <v>10</v>
      </c>
      <c r="C151" t="s">
        <v>54</v>
      </c>
      <c r="D151">
        <v>1</v>
      </c>
      <c r="H151" s="71" t="b">
        <f t="shared" si="4"/>
        <v>0</v>
      </c>
      <c r="J151">
        <v>2</v>
      </c>
      <c r="N151" s="71" t="b">
        <f>IF(AND(ISBLANK(K151),ISBLANK(L151),ISBLANK(M151)),FALSE,TRUE)</f>
        <v>0</v>
      </c>
    </row>
    <row r="152" spans="1:14">
      <c r="A152" t="s">
        <v>164</v>
      </c>
      <c r="B152">
        <v>10</v>
      </c>
      <c r="C152" t="s">
        <v>55</v>
      </c>
      <c r="D152">
        <v>1</v>
      </c>
      <c r="H152" s="71" t="b">
        <f t="shared" si="4"/>
        <v>0</v>
      </c>
      <c r="J152">
        <v>2</v>
      </c>
      <c r="N152" s="71" t="b">
        <f>IF(AND(ISBLANK(K152),ISBLANK(L152),ISBLANK(M152)),FALSE,TRUE)</f>
        <v>0</v>
      </c>
    </row>
    <row r="153" spans="1:14">
      <c r="A153" t="s">
        <v>164</v>
      </c>
      <c r="B153">
        <v>10</v>
      </c>
      <c r="C153" t="s">
        <v>56</v>
      </c>
      <c r="D153">
        <v>1</v>
      </c>
      <c r="H153" s="71" t="b">
        <f t="shared" si="4"/>
        <v>0</v>
      </c>
      <c r="J153">
        <v>0</v>
      </c>
    </row>
    <row r="154" spans="1:14">
      <c r="A154" t="s">
        <v>164</v>
      </c>
      <c r="B154">
        <v>10</v>
      </c>
      <c r="C154" t="s">
        <v>57</v>
      </c>
      <c r="D154">
        <v>1</v>
      </c>
      <c r="H154" s="71" t="b">
        <f t="shared" si="4"/>
        <v>0</v>
      </c>
      <c r="J154">
        <v>0</v>
      </c>
    </row>
    <row r="155" spans="1:14">
      <c r="A155" t="s">
        <v>164</v>
      </c>
      <c r="B155">
        <v>10</v>
      </c>
      <c r="C155" t="s">
        <v>58</v>
      </c>
      <c r="D155">
        <v>1</v>
      </c>
      <c r="H155" s="71" t="b">
        <f t="shared" si="4"/>
        <v>0</v>
      </c>
      <c r="J155">
        <v>2</v>
      </c>
      <c r="N155" s="71" t="b">
        <f>IF(AND(ISBLANK(K155),ISBLANK(L155),ISBLANK(M155)),FALSE,TRUE)</f>
        <v>0</v>
      </c>
    </row>
    <row r="156" spans="1:14">
      <c r="A156" t="s">
        <v>164</v>
      </c>
      <c r="B156">
        <v>10</v>
      </c>
      <c r="C156" t="s">
        <v>59</v>
      </c>
      <c r="D156">
        <v>1</v>
      </c>
      <c r="H156" s="71" t="b">
        <f t="shared" si="4"/>
        <v>0</v>
      </c>
      <c r="J156">
        <v>0</v>
      </c>
    </row>
    <row r="157" spans="1:14">
      <c r="A157" t="s">
        <v>164</v>
      </c>
      <c r="B157">
        <v>10</v>
      </c>
      <c r="C157" t="s">
        <v>60</v>
      </c>
      <c r="D157">
        <v>1</v>
      </c>
      <c r="H157" s="71" t="b">
        <f t="shared" si="4"/>
        <v>0</v>
      </c>
      <c r="J157">
        <v>2</v>
      </c>
      <c r="N157" s="71" t="b">
        <f>IF(AND(ISBLANK(K157),ISBLANK(L157),ISBLANK(M157)),FALSE,TRUE)</f>
        <v>0</v>
      </c>
    </row>
    <row r="158" spans="1:14">
      <c r="A158" t="s">
        <v>164</v>
      </c>
      <c r="B158">
        <v>10</v>
      </c>
      <c r="C158" t="s">
        <v>61</v>
      </c>
      <c r="D158">
        <v>1</v>
      </c>
      <c r="H158" s="71" t="b">
        <f t="shared" si="4"/>
        <v>0</v>
      </c>
      <c r="J158">
        <v>2</v>
      </c>
      <c r="N158" s="71" t="b">
        <f>IF(AND(ISBLANK(K158),ISBLANK(L158),ISBLANK(M158)),FALSE,TRUE)</f>
        <v>0</v>
      </c>
    </row>
    <row r="159" spans="1:14">
      <c r="A159" t="s">
        <v>164</v>
      </c>
      <c r="B159">
        <v>10</v>
      </c>
      <c r="C159" t="s">
        <v>62</v>
      </c>
      <c r="D159">
        <v>1</v>
      </c>
      <c r="H159" s="71" t="b">
        <f t="shared" si="4"/>
        <v>0</v>
      </c>
      <c r="J159">
        <v>2</v>
      </c>
      <c r="N159" s="71" t="b">
        <f>IF(AND(ISBLANK(K159),ISBLANK(L159),ISBLANK(M159)),FALSE,TRUE)</f>
        <v>0</v>
      </c>
    </row>
    <row r="160" spans="1:14">
      <c r="A160" t="s">
        <v>164</v>
      </c>
      <c r="B160">
        <v>10</v>
      </c>
      <c r="C160" t="s">
        <v>63</v>
      </c>
      <c r="D160">
        <v>1</v>
      </c>
      <c r="H160" s="71" t="b">
        <f t="shared" si="4"/>
        <v>0</v>
      </c>
      <c r="J160">
        <v>0</v>
      </c>
    </row>
    <row r="161" spans="1:14">
      <c r="A161" t="s">
        <v>164</v>
      </c>
      <c r="B161">
        <v>10</v>
      </c>
      <c r="C161" t="s">
        <v>64</v>
      </c>
      <c r="D161">
        <v>1</v>
      </c>
      <c r="H161" s="71" t="b">
        <f t="shared" si="4"/>
        <v>0</v>
      </c>
      <c r="J161">
        <v>3</v>
      </c>
      <c r="N161" s="71" t="b">
        <f>IF(AND(ISBLANK(K161),ISBLANK(L161),ISBLANK(M161)),FALSE,TRUE)</f>
        <v>0</v>
      </c>
    </row>
    <row r="162" spans="1:14">
      <c r="A162" t="s">
        <v>164</v>
      </c>
      <c r="B162">
        <v>10</v>
      </c>
      <c r="C162" t="s">
        <v>65</v>
      </c>
      <c r="D162">
        <v>4</v>
      </c>
      <c r="H162" s="71" t="b">
        <f t="shared" si="4"/>
        <v>0</v>
      </c>
      <c r="J162">
        <v>4</v>
      </c>
      <c r="N162" s="71" t="b">
        <f>IF(AND(ISBLANK(K162),ISBLANK(L162),ISBLANK(M162)),FALSE,TRUE)</f>
        <v>0</v>
      </c>
    </row>
    <row r="163" spans="1:14">
      <c r="A163" t="s">
        <v>164</v>
      </c>
      <c r="B163">
        <v>10</v>
      </c>
      <c r="C163" t="s">
        <v>66</v>
      </c>
      <c r="D163">
        <v>3</v>
      </c>
      <c r="H163" s="71" t="b">
        <f t="shared" si="4"/>
        <v>0</v>
      </c>
      <c r="J163">
        <v>0</v>
      </c>
    </row>
    <row r="164" spans="1:14">
      <c r="A164" t="s">
        <v>164</v>
      </c>
      <c r="B164">
        <v>10</v>
      </c>
      <c r="C164" t="s">
        <v>67</v>
      </c>
      <c r="D164">
        <v>2</v>
      </c>
      <c r="H164" s="71" t="b">
        <f t="shared" si="4"/>
        <v>0</v>
      </c>
      <c r="J164">
        <v>4</v>
      </c>
      <c r="N164" s="71" t="b">
        <f>IF(AND(ISBLANK(K164),ISBLANK(L164),ISBLANK(M164)),FALSE,TRUE)</f>
        <v>0</v>
      </c>
    </row>
    <row r="165" spans="1:14">
      <c r="A165" t="s">
        <v>164</v>
      </c>
      <c r="B165">
        <v>10</v>
      </c>
      <c r="C165" t="s">
        <v>68</v>
      </c>
      <c r="D165">
        <v>4</v>
      </c>
      <c r="H165" s="71" t="b">
        <f t="shared" si="4"/>
        <v>0</v>
      </c>
      <c r="J165">
        <v>4</v>
      </c>
      <c r="N165" s="71" t="b">
        <f>IF(AND(ISBLANK(K165),ISBLANK(L165),ISBLANK(M165)),FALSE,TRUE)</f>
        <v>0</v>
      </c>
    </row>
    <row r="166" spans="1:14">
      <c r="A166" t="s">
        <v>164</v>
      </c>
      <c r="B166">
        <v>10</v>
      </c>
      <c r="C166" t="s">
        <v>69</v>
      </c>
      <c r="D166">
        <v>2</v>
      </c>
      <c r="H166" s="71" t="b">
        <f t="shared" si="4"/>
        <v>0</v>
      </c>
      <c r="J166">
        <v>2</v>
      </c>
      <c r="N166" s="71" t="b">
        <f>IF(AND(ISBLANK(K166),ISBLANK(L166),ISBLANK(M166)),FALSE,TRUE)</f>
        <v>0</v>
      </c>
    </row>
    <row r="167" spans="1:14">
      <c r="A167" t="s">
        <v>164</v>
      </c>
      <c r="B167">
        <v>10</v>
      </c>
      <c r="C167" t="s">
        <v>70</v>
      </c>
      <c r="D167">
        <v>2</v>
      </c>
      <c r="H167" s="71" t="b">
        <f t="shared" si="4"/>
        <v>0</v>
      </c>
      <c r="J167">
        <v>3</v>
      </c>
      <c r="N167" s="71" t="b">
        <f>IF(AND(ISBLANK(K167),ISBLANK(L167),ISBLANK(M167)),FALSE,TRUE)</f>
        <v>0</v>
      </c>
    </row>
    <row r="168" spans="1:14">
      <c r="A168" t="s">
        <v>164</v>
      </c>
      <c r="B168">
        <v>10</v>
      </c>
      <c r="C168" t="s">
        <v>71</v>
      </c>
      <c r="D168">
        <v>1</v>
      </c>
      <c r="H168" s="71" t="b">
        <f t="shared" si="4"/>
        <v>0</v>
      </c>
      <c r="J168">
        <v>0</v>
      </c>
    </row>
    <row r="169" spans="1:14">
      <c r="A169" t="s">
        <v>164</v>
      </c>
      <c r="B169">
        <v>10</v>
      </c>
      <c r="C169" t="s">
        <v>72</v>
      </c>
      <c r="D169">
        <v>1</v>
      </c>
      <c r="H169" s="71" t="b">
        <f t="shared" si="4"/>
        <v>0</v>
      </c>
      <c r="J169">
        <v>4</v>
      </c>
      <c r="N169" s="71" t="b">
        <f>IF(AND(ISBLANK(K169),ISBLANK(L169),ISBLANK(M169)),FALSE,TRUE)</f>
        <v>0</v>
      </c>
    </row>
    <row r="170" spans="1:14">
      <c r="A170" t="s">
        <v>164</v>
      </c>
      <c r="B170">
        <v>10</v>
      </c>
      <c r="C170" t="s">
        <v>73</v>
      </c>
      <c r="D170">
        <v>2</v>
      </c>
      <c r="H170" s="71" t="b">
        <f t="shared" si="4"/>
        <v>0</v>
      </c>
      <c r="J170">
        <v>3</v>
      </c>
      <c r="N170" s="71" t="b">
        <f>IF(AND(ISBLANK(K170),ISBLANK(L170),ISBLANK(M170)),FALSE,TRUE)</f>
        <v>0</v>
      </c>
    </row>
    <row r="171" spans="1:14">
      <c r="A171" t="s">
        <v>164</v>
      </c>
      <c r="B171">
        <v>10</v>
      </c>
      <c r="C171" t="s">
        <v>74</v>
      </c>
      <c r="D171">
        <v>2</v>
      </c>
      <c r="H171" s="71" t="b">
        <f t="shared" si="4"/>
        <v>0</v>
      </c>
      <c r="J171">
        <v>0</v>
      </c>
    </row>
    <row r="172" spans="1:14">
      <c r="A172" t="s">
        <v>164</v>
      </c>
      <c r="B172">
        <v>10</v>
      </c>
      <c r="C172" t="s">
        <v>75</v>
      </c>
      <c r="D172">
        <v>2</v>
      </c>
      <c r="H172" s="71" t="b">
        <f t="shared" si="4"/>
        <v>0</v>
      </c>
      <c r="J172">
        <v>0</v>
      </c>
    </row>
    <row r="173" spans="1:14">
      <c r="A173" t="s">
        <v>164</v>
      </c>
      <c r="B173">
        <v>10</v>
      </c>
      <c r="C173" t="s">
        <v>76</v>
      </c>
      <c r="D173">
        <v>2</v>
      </c>
      <c r="H173" s="71" t="b">
        <f t="shared" si="4"/>
        <v>0</v>
      </c>
      <c r="J173">
        <v>0</v>
      </c>
    </row>
    <row r="174" spans="1:14">
      <c r="A174" t="s">
        <v>164</v>
      </c>
      <c r="B174">
        <v>10</v>
      </c>
      <c r="C174" t="s">
        <v>77</v>
      </c>
      <c r="D174">
        <v>2</v>
      </c>
      <c r="H174" s="71" t="b">
        <f t="shared" si="4"/>
        <v>0</v>
      </c>
      <c r="J174">
        <v>0</v>
      </c>
    </row>
    <row r="175" spans="1:14">
      <c r="A175" t="s">
        <v>164</v>
      </c>
      <c r="B175">
        <v>10</v>
      </c>
      <c r="C175" t="s">
        <v>78</v>
      </c>
      <c r="D175">
        <v>2</v>
      </c>
      <c r="H175" s="71" t="b">
        <f t="shared" si="4"/>
        <v>0</v>
      </c>
      <c r="J175">
        <v>0</v>
      </c>
    </row>
    <row r="176" spans="1:14">
      <c r="A176" t="s">
        <v>164</v>
      </c>
      <c r="B176">
        <v>10</v>
      </c>
      <c r="C176" t="s">
        <v>79</v>
      </c>
      <c r="D176">
        <v>2</v>
      </c>
      <c r="H176" s="71" t="b">
        <f t="shared" si="4"/>
        <v>0</v>
      </c>
      <c r="J176">
        <v>0</v>
      </c>
    </row>
    <row r="177" spans="1:14">
      <c r="A177" t="s">
        <v>164</v>
      </c>
      <c r="B177">
        <v>11</v>
      </c>
      <c r="C177" t="s">
        <v>80</v>
      </c>
      <c r="D177">
        <v>1</v>
      </c>
      <c r="H177" s="71" t="b">
        <f t="shared" si="4"/>
        <v>0</v>
      </c>
      <c r="J177">
        <v>2</v>
      </c>
      <c r="N177" s="71" t="b">
        <f t="shared" ref="N177:N186" si="5">IF(AND(ISBLANK(K177),ISBLANK(L177),ISBLANK(M177)),FALSE,TRUE)</f>
        <v>0</v>
      </c>
    </row>
    <row r="178" spans="1:14">
      <c r="A178" t="s">
        <v>164</v>
      </c>
      <c r="B178">
        <v>11</v>
      </c>
      <c r="C178" t="s">
        <v>81</v>
      </c>
      <c r="D178">
        <v>2</v>
      </c>
      <c r="H178" s="71" t="b">
        <f t="shared" si="4"/>
        <v>0</v>
      </c>
      <c r="J178">
        <v>2</v>
      </c>
      <c r="N178" s="71" t="b">
        <f t="shared" si="5"/>
        <v>0</v>
      </c>
    </row>
    <row r="179" spans="1:14">
      <c r="A179" t="s">
        <v>164</v>
      </c>
      <c r="B179">
        <v>11</v>
      </c>
      <c r="C179" t="s">
        <v>82</v>
      </c>
      <c r="D179">
        <v>2</v>
      </c>
      <c r="H179" s="71" t="b">
        <f t="shared" si="4"/>
        <v>0</v>
      </c>
      <c r="J179">
        <v>2</v>
      </c>
      <c r="N179" s="71" t="b">
        <f t="shared" si="5"/>
        <v>0</v>
      </c>
    </row>
    <row r="180" spans="1:14">
      <c r="A180" t="s">
        <v>164</v>
      </c>
      <c r="B180">
        <v>11</v>
      </c>
      <c r="C180" t="s">
        <v>83</v>
      </c>
      <c r="D180">
        <v>2</v>
      </c>
      <c r="H180" s="71" t="b">
        <f t="shared" si="4"/>
        <v>0</v>
      </c>
      <c r="J180">
        <v>2</v>
      </c>
      <c r="N180" s="71" t="b">
        <f t="shared" si="5"/>
        <v>0</v>
      </c>
    </row>
    <row r="181" spans="1:14">
      <c r="A181" t="s">
        <v>164</v>
      </c>
      <c r="B181">
        <v>11</v>
      </c>
      <c r="C181" t="s">
        <v>84</v>
      </c>
      <c r="D181">
        <v>2</v>
      </c>
      <c r="H181" s="71" t="b">
        <f t="shared" si="4"/>
        <v>0</v>
      </c>
      <c r="J181">
        <v>2</v>
      </c>
      <c r="N181" s="71" t="b">
        <f t="shared" si="5"/>
        <v>0</v>
      </c>
    </row>
    <row r="182" spans="1:14">
      <c r="A182" t="s">
        <v>164</v>
      </c>
      <c r="B182">
        <v>11</v>
      </c>
      <c r="C182" t="s">
        <v>85</v>
      </c>
      <c r="D182">
        <v>1</v>
      </c>
      <c r="H182" s="71" t="b">
        <f t="shared" si="4"/>
        <v>0</v>
      </c>
      <c r="J182">
        <v>2</v>
      </c>
      <c r="N182" s="71" t="b">
        <f t="shared" si="5"/>
        <v>0</v>
      </c>
    </row>
    <row r="183" spans="1:14">
      <c r="A183" t="s">
        <v>164</v>
      </c>
      <c r="B183">
        <v>11</v>
      </c>
      <c r="C183" t="s">
        <v>86</v>
      </c>
      <c r="D183">
        <v>1</v>
      </c>
      <c r="H183" s="71" t="b">
        <f t="shared" si="4"/>
        <v>0</v>
      </c>
      <c r="J183">
        <v>2</v>
      </c>
      <c r="N183" s="71" t="b">
        <f t="shared" si="5"/>
        <v>0</v>
      </c>
    </row>
    <row r="184" spans="1:14">
      <c r="A184" t="s">
        <v>164</v>
      </c>
      <c r="B184">
        <v>11</v>
      </c>
      <c r="C184" t="s">
        <v>87</v>
      </c>
      <c r="D184">
        <v>1</v>
      </c>
      <c r="H184" s="71" t="b">
        <f t="shared" si="4"/>
        <v>0</v>
      </c>
      <c r="J184">
        <v>5</v>
      </c>
      <c r="N184" s="71" t="b">
        <f t="shared" si="5"/>
        <v>0</v>
      </c>
    </row>
    <row r="185" spans="1:14">
      <c r="A185" t="s">
        <v>164</v>
      </c>
      <c r="B185">
        <v>11</v>
      </c>
      <c r="C185" t="s">
        <v>88</v>
      </c>
      <c r="D185">
        <v>1</v>
      </c>
      <c r="H185" s="71" t="b">
        <f t="shared" si="4"/>
        <v>0</v>
      </c>
      <c r="J185">
        <v>2</v>
      </c>
      <c r="N185" s="71" t="b">
        <f t="shared" si="5"/>
        <v>0</v>
      </c>
    </row>
    <row r="186" spans="1:14">
      <c r="A186" t="s">
        <v>164</v>
      </c>
      <c r="B186">
        <v>11</v>
      </c>
      <c r="C186" t="s">
        <v>89</v>
      </c>
      <c r="D186">
        <v>2</v>
      </c>
      <c r="H186" s="71" t="b">
        <f t="shared" si="4"/>
        <v>0</v>
      </c>
      <c r="J186">
        <v>2</v>
      </c>
      <c r="N186" s="71" t="b">
        <f t="shared" si="5"/>
        <v>0</v>
      </c>
    </row>
    <row r="187" spans="1:14">
      <c r="A187" t="s">
        <v>164</v>
      </c>
      <c r="B187">
        <v>11</v>
      </c>
      <c r="C187" t="s">
        <v>90</v>
      </c>
      <c r="D187">
        <v>2</v>
      </c>
      <c r="H187" s="71" t="b">
        <f t="shared" si="4"/>
        <v>0</v>
      </c>
      <c r="J187">
        <v>0</v>
      </c>
    </row>
    <row r="188" spans="1:14">
      <c r="A188" t="s">
        <v>164</v>
      </c>
      <c r="B188">
        <v>11</v>
      </c>
      <c r="C188" t="s">
        <v>91</v>
      </c>
      <c r="D188">
        <v>2</v>
      </c>
      <c r="H188" s="71" t="b">
        <f t="shared" si="4"/>
        <v>0</v>
      </c>
      <c r="J188">
        <v>1</v>
      </c>
      <c r="N188" s="71" t="b">
        <f>IF(AND(ISBLANK(K188),ISBLANK(L188),ISBLANK(M188)),FALSE,TRUE)</f>
        <v>0</v>
      </c>
    </row>
    <row r="189" spans="1:14">
      <c r="A189" t="s">
        <v>164</v>
      </c>
      <c r="B189">
        <v>11</v>
      </c>
      <c r="C189" t="s">
        <v>92</v>
      </c>
      <c r="D189">
        <v>1</v>
      </c>
      <c r="H189" s="71" t="b">
        <f t="shared" si="4"/>
        <v>0</v>
      </c>
      <c r="J189">
        <v>0</v>
      </c>
    </row>
    <row r="190" spans="1:14">
      <c r="A190" t="s">
        <v>164</v>
      </c>
      <c r="B190">
        <v>11</v>
      </c>
      <c r="C190" t="s">
        <v>93</v>
      </c>
      <c r="D190">
        <v>1</v>
      </c>
      <c r="H190" s="71" t="b">
        <f t="shared" si="4"/>
        <v>0</v>
      </c>
      <c r="J190">
        <v>0</v>
      </c>
    </row>
    <row r="191" spans="1:14">
      <c r="A191" t="s">
        <v>164</v>
      </c>
      <c r="B191">
        <v>11</v>
      </c>
      <c r="C191" t="s">
        <v>94</v>
      </c>
      <c r="D191">
        <v>1</v>
      </c>
      <c r="H191" s="71" t="b">
        <f t="shared" si="4"/>
        <v>0</v>
      </c>
      <c r="J191">
        <v>3</v>
      </c>
      <c r="N191" s="71" t="b">
        <f t="shared" ref="N191:N210" si="6">IF(AND(ISBLANK(K191),ISBLANK(L191),ISBLANK(M191)),FALSE,TRUE)</f>
        <v>0</v>
      </c>
    </row>
    <row r="192" spans="1:14">
      <c r="A192" t="s">
        <v>164</v>
      </c>
      <c r="B192">
        <v>11</v>
      </c>
      <c r="C192" t="s">
        <v>95</v>
      </c>
      <c r="D192">
        <v>1</v>
      </c>
      <c r="H192" s="71" t="b">
        <f t="shared" si="4"/>
        <v>0</v>
      </c>
      <c r="J192">
        <v>2</v>
      </c>
      <c r="N192" s="71" t="b">
        <f t="shared" si="6"/>
        <v>0</v>
      </c>
    </row>
    <row r="193" spans="1:14">
      <c r="A193" t="s">
        <v>164</v>
      </c>
      <c r="B193">
        <v>11</v>
      </c>
      <c r="C193" t="s">
        <v>96</v>
      </c>
      <c r="D193">
        <v>1</v>
      </c>
      <c r="H193" s="71" t="b">
        <f t="shared" si="4"/>
        <v>0</v>
      </c>
      <c r="J193">
        <v>2</v>
      </c>
      <c r="N193" s="71" t="b">
        <f t="shared" si="6"/>
        <v>0</v>
      </c>
    </row>
    <row r="194" spans="1:14">
      <c r="A194" t="s">
        <v>164</v>
      </c>
      <c r="B194">
        <v>11</v>
      </c>
      <c r="C194" t="s">
        <v>97</v>
      </c>
      <c r="D194">
        <v>1</v>
      </c>
      <c r="H194" s="71" t="b">
        <f t="shared" si="4"/>
        <v>0</v>
      </c>
      <c r="J194">
        <v>2</v>
      </c>
      <c r="N194" s="71" t="b">
        <f t="shared" si="6"/>
        <v>0</v>
      </c>
    </row>
    <row r="195" spans="1:14">
      <c r="A195" t="s">
        <v>164</v>
      </c>
      <c r="B195">
        <v>11</v>
      </c>
      <c r="C195" t="s">
        <v>98</v>
      </c>
      <c r="D195">
        <v>1</v>
      </c>
      <c r="H195" s="71" t="b">
        <f t="shared" si="4"/>
        <v>0</v>
      </c>
      <c r="J195">
        <v>1</v>
      </c>
      <c r="N195" s="71" t="b">
        <f t="shared" si="6"/>
        <v>0</v>
      </c>
    </row>
    <row r="196" spans="1:14">
      <c r="A196" t="s">
        <v>164</v>
      </c>
      <c r="B196">
        <v>11</v>
      </c>
      <c r="C196" t="s">
        <v>99</v>
      </c>
      <c r="D196">
        <v>1</v>
      </c>
      <c r="H196" s="71" t="b">
        <f t="shared" si="4"/>
        <v>0</v>
      </c>
      <c r="J196">
        <v>1</v>
      </c>
      <c r="N196" s="71" t="b">
        <f t="shared" si="6"/>
        <v>0</v>
      </c>
    </row>
    <row r="197" spans="1:14">
      <c r="A197" t="s">
        <v>164</v>
      </c>
      <c r="B197">
        <v>11</v>
      </c>
      <c r="C197" t="s">
        <v>100</v>
      </c>
      <c r="D197">
        <v>1</v>
      </c>
      <c r="H197" s="71" t="b">
        <f t="shared" ref="H197:H260" si="7">IF(AND(ISBLANK(E197),ISBLANK(F197),ISBLANK(G197)),FALSE,TRUE)</f>
        <v>0</v>
      </c>
      <c r="J197">
        <v>1</v>
      </c>
      <c r="N197" s="71" t="b">
        <f t="shared" si="6"/>
        <v>0</v>
      </c>
    </row>
    <row r="198" spans="1:14">
      <c r="A198" t="s">
        <v>164</v>
      </c>
      <c r="B198">
        <v>11</v>
      </c>
      <c r="C198" t="s">
        <v>101</v>
      </c>
      <c r="D198">
        <v>1</v>
      </c>
      <c r="H198" s="71" t="b">
        <f t="shared" si="7"/>
        <v>0</v>
      </c>
      <c r="J198">
        <v>2</v>
      </c>
      <c r="N198" s="71" t="b">
        <f t="shared" si="6"/>
        <v>0</v>
      </c>
    </row>
    <row r="199" spans="1:14">
      <c r="A199" t="s">
        <v>164</v>
      </c>
      <c r="B199">
        <v>11</v>
      </c>
      <c r="C199" t="s">
        <v>102</v>
      </c>
      <c r="D199">
        <v>1</v>
      </c>
      <c r="H199" s="71" t="b">
        <f t="shared" si="7"/>
        <v>0</v>
      </c>
      <c r="J199">
        <v>2</v>
      </c>
      <c r="N199" s="71" t="b">
        <f t="shared" si="6"/>
        <v>0</v>
      </c>
    </row>
    <row r="200" spans="1:14">
      <c r="A200" t="s">
        <v>164</v>
      </c>
      <c r="B200">
        <v>11</v>
      </c>
      <c r="C200" t="s">
        <v>103</v>
      </c>
      <c r="D200">
        <v>1</v>
      </c>
      <c r="H200" s="71" t="b">
        <f t="shared" si="7"/>
        <v>0</v>
      </c>
      <c r="J200">
        <v>1</v>
      </c>
      <c r="N200" s="71" t="b">
        <f t="shared" si="6"/>
        <v>0</v>
      </c>
    </row>
    <row r="201" spans="1:14">
      <c r="A201" t="s">
        <v>164</v>
      </c>
      <c r="B201">
        <v>11</v>
      </c>
      <c r="C201" t="s">
        <v>104</v>
      </c>
      <c r="D201">
        <v>1</v>
      </c>
      <c r="H201" s="71" t="b">
        <f t="shared" si="7"/>
        <v>0</v>
      </c>
      <c r="J201">
        <v>2</v>
      </c>
      <c r="N201" s="71" t="b">
        <f t="shared" si="6"/>
        <v>0</v>
      </c>
    </row>
    <row r="202" spans="1:14">
      <c r="A202" t="s">
        <v>164</v>
      </c>
      <c r="B202">
        <v>11</v>
      </c>
      <c r="C202" t="s">
        <v>105</v>
      </c>
      <c r="D202">
        <v>1</v>
      </c>
      <c r="H202" s="71" t="b">
        <f t="shared" si="7"/>
        <v>0</v>
      </c>
      <c r="J202">
        <v>2</v>
      </c>
      <c r="N202" s="71" t="b">
        <f t="shared" si="6"/>
        <v>0</v>
      </c>
    </row>
    <row r="203" spans="1:14">
      <c r="A203" t="s">
        <v>164</v>
      </c>
      <c r="B203">
        <v>11</v>
      </c>
      <c r="C203" t="s">
        <v>106</v>
      </c>
      <c r="D203">
        <v>2</v>
      </c>
      <c r="H203" s="71" t="b">
        <f t="shared" si="7"/>
        <v>0</v>
      </c>
      <c r="J203">
        <v>3</v>
      </c>
      <c r="N203" s="71" t="b">
        <f t="shared" si="6"/>
        <v>0</v>
      </c>
    </row>
    <row r="204" spans="1:14">
      <c r="A204" t="s">
        <v>164</v>
      </c>
      <c r="B204">
        <v>11</v>
      </c>
      <c r="C204" t="s">
        <v>107</v>
      </c>
      <c r="D204">
        <v>2</v>
      </c>
      <c r="H204" s="71" t="b">
        <f t="shared" si="7"/>
        <v>0</v>
      </c>
      <c r="J204">
        <v>3</v>
      </c>
      <c r="N204" s="71" t="b">
        <f t="shared" si="6"/>
        <v>0</v>
      </c>
    </row>
    <row r="205" spans="1:14">
      <c r="A205" t="s">
        <v>164</v>
      </c>
      <c r="B205">
        <v>11</v>
      </c>
      <c r="C205" t="s">
        <v>108</v>
      </c>
      <c r="D205">
        <v>1</v>
      </c>
      <c r="H205" s="71" t="b">
        <f t="shared" si="7"/>
        <v>0</v>
      </c>
      <c r="J205">
        <v>3</v>
      </c>
      <c r="N205" s="71" t="b">
        <f t="shared" si="6"/>
        <v>0</v>
      </c>
    </row>
    <row r="206" spans="1:14">
      <c r="A206" t="s">
        <v>164</v>
      </c>
      <c r="B206">
        <v>11</v>
      </c>
      <c r="C206" t="s">
        <v>109</v>
      </c>
      <c r="D206">
        <v>2</v>
      </c>
      <c r="H206" s="71" t="b">
        <f t="shared" si="7"/>
        <v>0</v>
      </c>
      <c r="J206">
        <v>3</v>
      </c>
      <c r="N206" s="71" t="b">
        <f t="shared" si="6"/>
        <v>0</v>
      </c>
    </row>
    <row r="207" spans="1:14">
      <c r="A207" t="s">
        <v>164</v>
      </c>
      <c r="B207">
        <v>11</v>
      </c>
      <c r="C207" t="s">
        <v>110</v>
      </c>
      <c r="D207">
        <v>2</v>
      </c>
      <c r="H207" s="71" t="b">
        <f t="shared" si="7"/>
        <v>0</v>
      </c>
      <c r="J207">
        <v>3</v>
      </c>
      <c r="N207" s="71" t="b">
        <f t="shared" si="6"/>
        <v>0</v>
      </c>
    </row>
    <row r="208" spans="1:14">
      <c r="A208" t="s">
        <v>164</v>
      </c>
      <c r="B208">
        <v>11</v>
      </c>
      <c r="C208" t="s">
        <v>111</v>
      </c>
      <c r="D208">
        <v>2</v>
      </c>
      <c r="H208" s="71" t="b">
        <f t="shared" si="7"/>
        <v>0</v>
      </c>
      <c r="J208">
        <v>3</v>
      </c>
      <c r="N208" s="71" t="b">
        <f t="shared" si="6"/>
        <v>0</v>
      </c>
    </row>
    <row r="209" spans="1:14">
      <c r="A209" t="s">
        <v>164</v>
      </c>
      <c r="B209">
        <v>11</v>
      </c>
      <c r="C209" t="s">
        <v>112</v>
      </c>
      <c r="D209">
        <v>2</v>
      </c>
      <c r="H209" s="71" t="b">
        <f t="shared" si="7"/>
        <v>0</v>
      </c>
      <c r="J209">
        <v>3</v>
      </c>
      <c r="N209" s="71" t="b">
        <f t="shared" si="6"/>
        <v>0</v>
      </c>
    </row>
    <row r="210" spans="1:14">
      <c r="A210" t="s">
        <v>164</v>
      </c>
      <c r="B210">
        <v>11</v>
      </c>
      <c r="C210" t="s">
        <v>113</v>
      </c>
      <c r="D210">
        <v>2</v>
      </c>
      <c r="H210" s="71" t="b">
        <f t="shared" si="7"/>
        <v>0</v>
      </c>
      <c r="J210">
        <v>2</v>
      </c>
      <c r="N210" s="71" t="b">
        <f t="shared" si="6"/>
        <v>0</v>
      </c>
    </row>
    <row r="211" spans="1:14">
      <c r="A211" t="s">
        <v>164</v>
      </c>
      <c r="B211">
        <v>11</v>
      </c>
      <c r="C211" t="s">
        <v>114</v>
      </c>
      <c r="D211">
        <v>2</v>
      </c>
      <c r="H211" s="71" t="b">
        <f t="shared" si="7"/>
        <v>0</v>
      </c>
      <c r="J211">
        <v>0</v>
      </c>
    </row>
    <row r="212" spans="1:14">
      <c r="A212" t="s">
        <v>164</v>
      </c>
      <c r="B212">
        <v>11</v>
      </c>
      <c r="C212" t="s">
        <v>115</v>
      </c>
      <c r="D212">
        <v>2</v>
      </c>
      <c r="H212" s="71" t="b">
        <f t="shared" si="7"/>
        <v>0</v>
      </c>
      <c r="J212">
        <v>0</v>
      </c>
    </row>
    <row r="213" spans="1:14">
      <c r="A213" t="s">
        <v>164</v>
      </c>
      <c r="B213">
        <v>11</v>
      </c>
      <c r="C213" t="s">
        <v>116</v>
      </c>
      <c r="D213">
        <v>2</v>
      </c>
      <c r="H213" s="71" t="b">
        <f t="shared" si="7"/>
        <v>0</v>
      </c>
      <c r="J213">
        <v>0</v>
      </c>
    </row>
    <row r="214" spans="1:14">
      <c r="A214" t="s">
        <v>164</v>
      </c>
      <c r="B214">
        <v>11</v>
      </c>
      <c r="C214" t="s">
        <v>117</v>
      </c>
      <c r="D214">
        <v>6</v>
      </c>
      <c r="H214" s="71" t="b">
        <f t="shared" si="7"/>
        <v>0</v>
      </c>
      <c r="J214">
        <v>0</v>
      </c>
    </row>
    <row r="215" spans="1:14">
      <c r="A215" t="s">
        <v>164</v>
      </c>
      <c r="B215">
        <v>11</v>
      </c>
      <c r="C215" t="s">
        <v>118</v>
      </c>
      <c r="D215">
        <v>3</v>
      </c>
      <c r="H215" s="71" t="b">
        <f t="shared" si="7"/>
        <v>0</v>
      </c>
      <c r="J215">
        <v>0</v>
      </c>
    </row>
    <row r="216" spans="1:14">
      <c r="A216" t="s">
        <v>164</v>
      </c>
      <c r="B216">
        <v>11</v>
      </c>
      <c r="C216" t="s">
        <v>119</v>
      </c>
      <c r="D216">
        <v>3</v>
      </c>
      <c r="H216" s="71" t="b">
        <f t="shared" si="7"/>
        <v>0</v>
      </c>
      <c r="J216">
        <v>0</v>
      </c>
    </row>
    <row r="217" spans="1:14">
      <c r="A217" t="s">
        <v>164</v>
      </c>
      <c r="B217">
        <v>11</v>
      </c>
      <c r="C217" t="s">
        <v>120</v>
      </c>
      <c r="D217">
        <v>3</v>
      </c>
      <c r="H217" s="71" t="b">
        <f t="shared" si="7"/>
        <v>0</v>
      </c>
      <c r="J217">
        <v>0</v>
      </c>
    </row>
    <row r="218" spans="1:14">
      <c r="A218" t="s">
        <v>164</v>
      </c>
      <c r="B218">
        <v>11</v>
      </c>
      <c r="C218" t="s">
        <v>121</v>
      </c>
      <c r="D218">
        <v>3</v>
      </c>
      <c r="H218" s="71" t="b">
        <f t="shared" si="7"/>
        <v>0</v>
      </c>
      <c r="J218">
        <v>0</v>
      </c>
    </row>
    <row r="219" spans="1:14">
      <c r="A219" t="s">
        <v>164</v>
      </c>
      <c r="B219">
        <v>12</v>
      </c>
      <c r="C219" t="s">
        <v>122</v>
      </c>
      <c r="D219">
        <v>2</v>
      </c>
      <c r="H219" s="71" t="b">
        <f t="shared" si="7"/>
        <v>0</v>
      </c>
      <c r="J219">
        <v>2</v>
      </c>
      <c r="N219" s="71" t="b">
        <f>IF(AND(ISBLANK(K219),ISBLANK(L219),ISBLANK(M219)),FALSE,TRUE)</f>
        <v>0</v>
      </c>
    </row>
    <row r="220" spans="1:14">
      <c r="A220" t="s">
        <v>164</v>
      </c>
      <c r="B220">
        <v>12</v>
      </c>
      <c r="C220" t="s">
        <v>123</v>
      </c>
      <c r="D220">
        <v>2</v>
      </c>
      <c r="H220" s="71" t="b">
        <f t="shared" si="7"/>
        <v>0</v>
      </c>
      <c r="J220">
        <v>2</v>
      </c>
      <c r="N220" s="71" t="b">
        <f>IF(AND(ISBLANK(K220),ISBLANK(L220),ISBLANK(M220)),FALSE,TRUE)</f>
        <v>0</v>
      </c>
    </row>
    <row r="221" spans="1:14">
      <c r="A221" t="s">
        <v>164</v>
      </c>
      <c r="B221">
        <v>12</v>
      </c>
      <c r="C221" t="s">
        <v>124</v>
      </c>
      <c r="D221">
        <v>2</v>
      </c>
      <c r="H221" s="71" t="b">
        <f t="shared" si="7"/>
        <v>0</v>
      </c>
      <c r="J221">
        <v>0</v>
      </c>
    </row>
    <row r="222" spans="1:14">
      <c r="A222" t="s">
        <v>164</v>
      </c>
      <c r="B222">
        <v>12</v>
      </c>
      <c r="C222" t="s">
        <v>125</v>
      </c>
      <c r="D222">
        <v>4</v>
      </c>
      <c r="H222" s="71" t="b">
        <f t="shared" si="7"/>
        <v>0</v>
      </c>
      <c r="J222">
        <v>4</v>
      </c>
      <c r="N222" s="71" t="b">
        <f>IF(AND(ISBLANK(K222),ISBLANK(L222),ISBLANK(M222)),FALSE,TRUE)</f>
        <v>0</v>
      </c>
    </row>
    <row r="223" spans="1:14">
      <c r="A223" t="s">
        <v>164</v>
      </c>
      <c r="B223">
        <v>12</v>
      </c>
      <c r="C223" t="s">
        <v>126</v>
      </c>
      <c r="D223">
        <v>2</v>
      </c>
      <c r="H223" s="71" t="b">
        <f t="shared" si="7"/>
        <v>0</v>
      </c>
      <c r="J223">
        <v>2</v>
      </c>
      <c r="N223" s="71" t="b">
        <f>IF(AND(ISBLANK(K223),ISBLANK(L223),ISBLANK(M223)),FALSE,TRUE)</f>
        <v>0</v>
      </c>
    </row>
    <row r="224" spans="1:14">
      <c r="A224" t="s">
        <v>164</v>
      </c>
      <c r="B224">
        <v>12</v>
      </c>
      <c r="C224" t="s">
        <v>127</v>
      </c>
      <c r="D224">
        <v>2</v>
      </c>
      <c r="H224" s="71" t="b">
        <f t="shared" si="7"/>
        <v>0</v>
      </c>
      <c r="J224">
        <v>2</v>
      </c>
      <c r="N224" s="71" t="b">
        <f>IF(AND(ISBLANK(K224),ISBLANK(L224),ISBLANK(M224)),FALSE,TRUE)</f>
        <v>0</v>
      </c>
    </row>
    <row r="225" spans="1:14">
      <c r="A225" t="s">
        <v>164</v>
      </c>
      <c r="B225">
        <v>12</v>
      </c>
      <c r="C225" t="s">
        <v>128</v>
      </c>
      <c r="D225">
        <v>2</v>
      </c>
      <c r="H225" s="71" t="b">
        <f t="shared" si="7"/>
        <v>0</v>
      </c>
      <c r="J225">
        <v>2</v>
      </c>
      <c r="N225" s="71" t="b">
        <f>IF(AND(ISBLANK(K225),ISBLANK(L225),ISBLANK(M225)),FALSE,TRUE)</f>
        <v>0</v>
      </c>
    </row>
    <row r="226" spans="1:14">
      <c r="A226" t="s">
        <v>164</v>
      </c>
      <c r="B226">
        <v>12</v>
      </c>
      <c r="C226" t="s">
        <v>129</v>
      </c>
      <c r="D226">
        <v>2</v>
      </c>
      <c r="H226" s="71" t="b">
        <f t="shared" si="7"/>
        <v>0</v>
      </c>
      <c r="J226">
        <v>0</v>
      </c>
    </row>
    <row r="227" spans="1:14">
      <c r="A227" t="s">
        <v>164</v>
      </c>
      <c r="B227">
        <v>12</v>
      </c>
      <c r="C227" t="s">
        <v>130</v>
      </c>
      <c r="D227">
        <v>2</v>
      </c>
      <c r="H227" s="71" t="b">
        <f t="shared" si="7"/>
        <v>0</v>
      </c>
      <c r="J227">
        <v>1</v>
      </c>
      <c r="N227" s="71" t="b">
        <f>IF(AND(ISBLANK(K227),ISBLANK(L227),ISBLANK(M227)),FALSE,TRUE)</f>
        <v>0</v>
      </c>
    </row>
    <row r="228" spans="1:14">
      <c r="A228" t="s">
        <v>164</v>
      </c>
      <c r="B228">
        <v>12</v>
      </c>
      <c r="C228" t="s">
        <v>131</v>
      </c>
      <c r="D228">
        <v>3</v>
      </c>
      <c r="H228" s="71" t="b">
        <f t="shared" si="7"/>
        <v>0</v>
      </c>
      <c r="J228">
        <v>1</v>
      </c>
      <c r="N228" s="71" t="b">
        <f>IF(AND(ISBLANK(K228),ISBLANK(L228),ISBLANK(M228)),FALSE,TRUE)</f>
        <v>0</v>
      </c>
    </row>
    <row r="229" spans="1:14">
      <c r="A229" t="s">
        <v>164</v>
      </c>
      <c r="B229">
        <v>12</v>
      </c>
      <c r="C229" t="s">
        <v>132</v>
      </c>
      <c r="D229">
        <v>1</v>
      </c>
      <c r="H229" s="71" t="b">
        <f t="shared" si="7"/>
        <v>0</v>
      </c>
      <c r="J229">
        <v>1</v>
      </c>
      <c r="N229" s="71" t="b">
        <f>IF(AND(ISBLANK(K229),ISBLANK(L229),ISBLANK(M229)),FALSE,TRUE)</f>
        <v>0</v>
      </c>
    </row>
    <row r="230" spans="1:14">
      <c r="A230" t="s">
        <v>164</v>
      </c>
      <c r="B230">
        <v>12</v>
      </c>
      <c r="C230" t="s">
        <v>133</v>
      </c>
      <c r="D230">
        <v>1</v>
      </c>
      <c r="H230" s="71" t="b">
        <f t="shared" si="7"/>
        <v>0</v>
      </c>
      <c r="J230">
        <v>0</v>
      </c>
    </row>
    <row r="231" spans="1:14">
      <c r="A231" t="s">
        <v>164</v>
      </c>
      <c r="B231">
        <v>12</v>
      </c>
      <c r="C231" t="s">
        <v>134</v>
      </c>
      <c r="D231">
        <v>1</v>
      </c>
      <c r="H231" s="71" t="b">
        <f t="shared" si="7"/>
        <v>0</v>
      </c>
      <c r="J231">
        <v>1</v>
      </c>
      <c r="N231" s="71" t="b">
        <f t="shared" ref="N231:N241" si="8">IF(AND(ISBLANK(K231),ISBLANK(L231),ISBLANK(M231)),FALSE,TRUE)</f>
        <v>0</v>
      </c>
    </row>
    <row r="232" spans="1:14">
      <c r="A232" t="s">
        <v>164</v>
      </c>
      <c r="B232">
        <v>12</v>
      </c>
      <c r="C232" t="s">
        <v>135</v>
      </c>
      <c r="D232">
        <v>2</v>
      </c>
      <c r="H232" s="71" t="b">
        <f t="shared" si="7"/>
        <v>0</v>
      </c>
      <c r="J232">
        <v>1</v>
      </c>
      <c r="N232" s="71" t="b">
        <f t="shared" si="8"/>
        <v>0</v>
      </c>
    </row>
    <row r="233" spans="1:14">
      <c r="A233" t="s">
        <v>164</v>
      </c>
      <c r="B233">
        <v>12</v>
      </c>
      <c r="C233" t="s">
        <v>136</v>
      </c>
      <c r="D233">
        <v>2</v>
      </c>
      <c r="H233" s="71" t="b">
        <f t="shared" si="7"/>
        <v>0</v>
      </c>
      <c r="J233">
        <v>1</v>
      </c>
      <c r="N233" s="71" t="b">
        <f t="shared" si="8"/>
        <v>0</v>
      </c>
    </row>
    <row r="234" spans="1:14">
      <c r="A234" t="s">
        <v>164</v>
      </c>
      <c r="B234">
        <v>12</v>
      </c>
      <c r="C234" t="s">
        <v>137</v>
      </c>
      <c r="D234">
        <v>2</v>
      </c>
      <c r="H234" s="71" t="b">
        <f t="shared" si="7"/>
        <v>0</v>
      </c>
      <c r="J234">
        <v>1</v>
      </c>
      <c r="N234" s="71" t="b">
        <f t="shared" si="8"/>
        <v>0</v>
      </c>
    </row>
    <row r="235" spans="1:14">
      <c r="A235" t="s">
        <v>164</v>
      </c>
      <c r="B235">
        <v>12</v>
      </c>
      <c r="C235" t="s">
        <v>138</v>
      </c>
      <c r="D235">
        <v>1</v>
      </c>
      <c r="H235" s="71" t="b">
        <f t="shared" si="7"/>
        <v>0</v>
      </c>
      <c r="J235">
        <v>1</v>
      </c>
      <c r="N235" s="71" t="b">
        <f t="shared" si="8"/>
        <v>0</v>
      </c>
    </row>
    <row r="236" spans="1:14">
      <c r="A236" t="s">
        <v>164</v>
      </c>
      <c r="B236">
        <v>12</v>
      </c>
      <c r="C236" t="s">
        <v>139</v>
      </c>
      <c r="D236">
        <v>1</v>
      </c>
      <c r="H236" s="71" t="b">
        <f t="shared" si="7"/>
        <v>0</v>
      </c>
      <c r="J236">
        <v>1</v>
      </c>
      <c r="N236" s="71" t="b">
        <f t="shared" si="8"/>
        <v>0</v>
      </c>
    </row>
    <row r="237" spans="1:14">
      <c r="A237" t="s">
        <v>164</v>
      </c>
      <c r="B237">
        <v>12</v>
      </c>
      <c r="C237" t="s">
        <v>140</v>
      </c>
      <c r="D237">
        <v>1</v>
      </c>
      <c r="H237" s="71" t="b">
        <f t="shared" si="7"/>
        <v>0</v>
      </c>
      <c r="J237">
        <v>1</v>
      </c>
      <c r="N237" s="71" t="b">
        <f t="shared" si="8"/>
        <v>0</v>
      </c>
    </row>
    <row r="238" spans="1:14">
      <c r="A238" t="s">
        <v>164</v>
      </c>
      <c r="B238">
        <v>12</v>
      </c>
      <c r="C238" t="s">
        <v>141</v>
      </c>
      <c r="D238">
        <v>1</v>
      </c>
      <c r="H238" s="71" t="b">
        <f t="shared" si="7"/>
        <v>0</v>
      </c>
      <c r="J238">
        <v>1</v>
      </c>
      <c r="N238" s="71" t="b">
        <f t="shared" si="8"/>
        <v>0</v>
      </c>
    </row>
    <row r="239" spans="1:14">
      <c r="A239" t="s">
        <v>164</v>
      </c>
      <c r="B239">
        <v>12</v>
      </c>
      <c r="C239" t="s">
        <v>142</v>
      </c>
      <c r="D239">
        <v>2</v>
      </c>
      <c r="H239" s="71" t="b">
        <f t="shared" si="7"/>
        <v>0</v>
      </c>
      <c r="J239">
        <v>1</v>
      </c>
      <c r="N239" s="71" t="b">
        <f t="shared" si="8"/>
        <v>0</v>
      </c>
    </row>
    <row r="240" spans="1:14">
      <c r="A240" t="s">
        <v>164</v>
      </c>
      <c r="B240">
        <v>12</v>
      </c>
      <c r="C240" t="s">
        <v>143</v>
      </c>
      <c r="D240">
        <v>1</v>
      </c>
      <c r="H240" s="71" t="b">
        <f t="shared" si="7"/>
        <v>0</v>
      </c>
      <c r="J240">
        <v>2</v>
      </c>
      <c r="N240" s="71" t="b">
        <f t="shared" si="8"/>
        <v>0</v>
      </c>
    </row>
    <row r="241" spans="1:14">
      <c r="A241" t="s">
        <v>164</v>
      </c>
      <c r="B241">
        <v>12</v>
      </c>
      <c r="C241" t="s">
        <v>144</v>
      </c>
      <c r="D241">
        <v>1</v>
      </c>
      <c r="H241" s="71" t="b">
        <f t="shared" si="7"/>
        <v>0</v>
      </c>
      <c r="J241">
        <v>2</v>
      </c>
      <c r="N241" s="71" t="b">
        <f t="shared" si="8"/>
        <v>0</v>
      </c>
    </row>
    <row r="242" spans="1:14">
      <c r="A242" t="s">
        <v>164</v>
      </c>
      <c r="B242">
        <v>12</v>
      </c>
      <c r="C242" t="s">
        <v>145</v>
      </c>
      <c r="D242">
        <v>1</v>
      </c>
      <c r="H242" s="71" t="b">
        <f t="shared" si="7"/>
        <v>0</v>
      </c>
      <c r="J242">
        <v>0</v>
      </c>
    </row>
    <row r="243" spans="1:14">
      <c r="A243" t="s">
        <v>164</v>
      </c>
      <c r="B243">
        <v>12</v>
      </c>
      <c r="C243" t="s">
        <v>146</v>
      </c>
      <c r="D243">
        <v>1</v>
      </c>
      <c r="H243" s="71" t="b">
        <f t="shared" si="7"/>
        <v>0</v>
      </c>
      <c r="J243">
        <v>0</v>
      </c>
    </row>
    <row r="244" spans="1:14">
      <c r="A244" t="s">
        <v>164</v>
      </c>
      <c r="B244">
        <v>12</v>
      </c>
      <c r="C244" t="s">
        <v>147</v>
      </c>
      <c r="D244">
        <v>1</v>
      </c>
      <c r="H244" s="71" t="b">
        <f t="shared" si="7"/>
        <v>0</v>
      </c>
      <c r="J244">
        <v>2</v>
      </c>
      <c r="N244" s="71" t="b">
        <f>IF(AND(ISBLANK(K244),ISBLANK(L244),ISBLANK(M244)),FALSE,TRUE)</f>
        <v>0</v>
      </c>
    </row>
    <row r="245" spans="1:14">
      <c r="A245" t="s">
        <v>164</v>
      </c>
      <c r="B245">
        <v>12</v>
      </c>
      <c r="C245" t="s">
        <v>148</v>
      </c>
      <c r="D245">
        <v>2</v>
      </c>
      <c r="H245" s="71" t="b">
        <f t="shared" si="7"/>
        <v>0</v>
      </c>
      <c r="J245">
        <v>2</v>
      </c>
      <c r="N245" s="71" t="b">
        <f>IF(AND(ISBLANK(K245),ISBLANK(L245),ISBLANK(M245)),FALSE,TRUE)</f>
        <v>0</v>
      </c>
    </row>
    <row r="246" spans="1:14">
      <c r="A246" t="s">
        <v>164</v>
      </c>
      <c r="B246">
        <v>12</v>
      </c>
      <c r="C246" t="s">
        <v>149</v>
      </c>
      <c r="D246">
        <v>3</v>
      </c>
      <c r="H246" s="71" t="b">
        <f t="shared" si="7"/>
        <v>0</v>
      </c>
      <c r="J246">
        <v>0</v>
      </c>
    </row>
    <row r="247" spans="1:14">
      <c r="A247" t="s">
        <v>164</v>
      </c>
      <c r="B247">
        <v>12</v>
      </c>
      <c r="C247" t="s">
        <v>150</v>
      </c>
      <c r="D247">
        <v>3</v>
      </c>
      <c r="H247" s="71" t="b">
        <f t="shared" si="7"/>
        <v>0</v>
      </c>
      <c r="J247">
        <v>0</v>
      </c>
    </row>
    <row r="248" spans="1:14">
      <c r="A248" t="s">
        <v>164</v>
      </c>
      <c r="B248">
        <v>12</v>
      </c>
      <c r="C248" t="s">
        <v>151</v>
      </c>
      <c r="D248">
        <v>2</v>
      </c>
      <c r="H248" s="71" t="b">
        <f t="shared" si="7"/>
        <v>0</v>
      </c>
      <c r="J248">
        <v>0</v>
      </c>
    </row>
    <row r="249" spans="1:14">
      <c r="A249" t="s">
        <v>164</v>
      </c>
      <c r="B249">
        <v>12</v>
      </c>
      <c r="C249" t="s">
        <v>152</v>
      </c>
      <c r="D249">
        <v>2</v>
      </c>
      <c r="H249" s="71" t="b">
        <f t="shared" si="7"/>
        <v>0</v>
      </c>
      <c r="J249">
        <v>0</v>
      </c>
    </row>
    <row r="250" spans="1:14">
      <c r="A250" t="s">
        <v>164</v>
      </c>
      <c r="B250">
        <v>12</v>
      </c>
      <c r="C250" t="s">
        <v>153</v>
      </c>
      <c r="D250">
        <v>2</v>
      </c>
      <c r="H250" s="71" t="b">
        <f t="shared" si="7"/>
        <v>0</v>
      </c>
      <c r="J250">
        <v>0</v>
      </c>
    </row>
    <row r="251" spans="1:14">
      <c r="A251" t="s">
        <v>164</v>
      </c>
      <c r="B251">
        <v>12</v>
      </c>
      <c r="C251" t="s">
        <v>154</v>
      </c>
      <c r="D251">
        <v>2</v>
      </c>
      <c r="H251" s="71" t="b">
        <f t="shared" si="7"/>
        <v>0</v>
      </c>
      <c r="J251">
        <v>0</v>
      </c>
    </row>
    <row r="252" spans="1:14">
      <c r="A252" t="s">
        <v>164</v>
      </c>
      <c r="B252">
        <v>12</v>
      </c>
      <c r="C252" t="s">
        <v>155</v>
      </c>
      <c r="D252">
        <v>2</v>
      </c>
      <c r="H252" s="71" t="b">
        <f t="shared" si="7"/>
        <v>0</v>
      </c>
      <c r="J252">
        <v>0</v>
      </c>
    </row>
    <row r="253" spans="1:14">
      <c r="A253" t="s">
        <v>164</v>
      </c>
      <c r="B253">
        <v>12</v>
      </c>
      <c r="C253" t="s">
        <v>156</v>
      </c>
      <c r="D253">
        <v>2</v>
      </c>
      <c r="H253" s="71" t="b">
        <f t="shared" si="7"/>
        <v>0</v>
      </c>
      <c r="J253">
        <v>0</v>
      </c>
    </row>
    <row r="254" spans="1:14">
      <c r="A254" t="s">
        <v>164</v>
      </c>
      <c r="B254">
        <v>12</v>
      </c>
      <c r="C254" t="s">
        <v>157</v>
      </c>
      <c r="D254">
        <v>0</v>
      </c>
      <c r="H254" s="71" t="b">
        <f t="shared" si="7"/>
        <v>0</v>
      </c>
      <c r="J254">
        <v>8</v>
      </c>
      <c r="N254" s="71" t="b">
        <f>IF(AND(ISBLANK(K254),ISBLANK(L254),ISBLANK(M254)),FALSE,TRUE)</f>
        <v>0</v>
      </c>
    </row>
    <row r="255" spans="1:14">
      <c r="A255" t="s">
        <v>164</v>
      </c>
      <c r="B255">
        <v>12</v>
      </c>
      <c r="C255" t="s">
        <v>158</v>
      </c>
      <c r="D255">
        <v>0</v>
      </c>
      <c r="H255" s="71" t="b">
        <f t="shared" si="7"/>
        <v>0</v>
      </c>
      <c r="J255">
        <v>8</v>
      </c>
      <c r="N255" s="71" t="b">
        <f>IF(AND(ISBLANK(K255),ISBLANK(L255),ISBLANK(M255)),FALSE,TRUE)</f>
        <v>0</v>
      </c>
    </row>
    <row r="256" spans="1:14">
      <c r="A256" t="s">
        <v>164</v>
      </c>
      <c r="B256">
        <v>12</v>
      </c>
      <c r="C256" t="s">
        <v>159</v>
      </c>
      <c r="D256">
        <v>4</v>
      </c>
      <c r="H256" s="71" t="b">
        <f t="shared" si="7"/>
        <v>0</v>
      </c>
      <c r="J256">
        <v>4</v>
      </c>
      <c r="N256" s="71" t="b">
        <f>IF(AND(ISBLANK(K256),ISBLANK(L256),ISBLANK(M256)),FALSE,TRUE)</f>
        <v>0</v>
      </c>
    </row>
    <row r="257" spans="1:14">
      <c r="A257" t="s">
        <v>164</v>
      </c>
      <c r="B257">
        <v>12</v>
      </c>
      <c r="C257" t="s">
        <v>160</v>
      </c>
      <c r="D257">
        <v>4</v>
      </c>
      <c r="H257" s="71" t="b">
        <f t="shared" si="7"/>
        <v>0</v>
      </c>
      <c r="J257">
        <v>8</v>
      </c>
      <c r="N257" s="71" t="b">
        <f>IF(AND(ISBLANK(K257),ISBLANK(L257),ISBLANK(M257)),FALSE,TRUE)</f>
        <v>0</v>
      </c>
    </row>
    <row r="258" spans="1:14">
      <c r="A258" t="s">
        <v>164</v>
      </c>
      <c r="B258">
        <v>12</v>
      </c>
      <c r="C258" t="s">
        <v>161</v>
      </c>
      <c r="D258">
        <v>1</v>
      </c>
      <c r="H258" s="71" t="b">
        <f t="shared" si="7"/>
        <v>0</v>
      </c>
      <c r="J258">
        <v>0</v>
      </c>
    </row>
    <row r="259" spans="1:14">
      <c r="A259" t="s">
        <v>164</v>
      </c>
      <c r="B259">
        <v>12</v>
      </c>
      <c r="C259" t="s">
        <v>162</v>
      </c>
      <c r="D259">
        <v>0</v>
      </c>
      <c r="H259" s="71" t="b">
        <f t="shared" si="7"/>
        <v>0</v>
      </c>
      <c r="J259">
        <v>0</v>
      </c>
    </row>
    <row r="260" spans="1:14">
      <c r="A260" t="s">
        <v>164</v>
      </c>
      <c r="B260">
        <v>12</v>
      </c>
      <c r="C260" t="s">
        <v>163</v>
      </c>
      <c r="D260">
        <v>0</v>
      </c>
      <c r="H260" s="71" t="b">
        <f t="shared" si="7"/>
        <v>0</v>
      </c>
      <c r="J260">
        <v>6</v>
      </c>
      <c r="N260" s="71" t="b">
        <f>IF(AND(ISBLANK(K260),ISBLANK(L260),ISBLANK(M260)),FALSE,TRUE)</f>
        <v>0</v>
      </c>
    </row>
    <row r="261" spans="1:14">
      <c r="A261" t="s">
        <v>165</v>
      </c>
      <c r="B261">
        <v>10</v>
      </c>
      <c r="C261" t="s">
        <v>35</v>
      </c>
      <c r="D261">
        <v>3</v>
      </c>
      <c r="H261" s="71" t="b">
        <f>IF(AND(ISBLANK(E261),ISBLANK(F261),ISBLANK(G261)),FALSE,TRUE)</f>
        <v>0</v>
      </c>
      <c r="J261">
        <v>0</v>
      </c>
    </row>
    <row r="262" spans="1:14">
      <c r="A262" t="s">
        <v>165</v>
      </c>
      <c r="B262">
        <v>10</v>
      </c>
      <c r="C262" t="s">
        <v>36</v>
      </c>
      <c r="D262">
        <v>2</v>
      </c>
      <c r="H262" s="71" t="b">
        <f t="shared" ref="H262:H325" si="9">IF(AND(ISBLANK(E262),ISBLANK(F262),ISBLANK(G262)),FALSE,TRUE)</f>
        <v>0</v>
      </c>
      <c r="J262">
        <v>1</v>
      </c>
      <c r="N262" s="71" t="b">
        <f>IF(AND(ISBLANK(K262),ISBLANK(L262),ISBLANK(M262)),FALSE,TRUE)</f>
        <v>0</v>
      </c>
    </row>
    <row r="263" spans="1:14">
      <c r="A263" t="s">
        <v>165</v>
      </c>
      <c r="B263">
        <v>10</v>
      </c>
      <c r="C263" t="s">
        <v>37</v>
      </c>
      <c r="D263">
        <v>1</v>
      </c>
      <c r="H263" s="71" t="b">
        <f t="shared" si="9"/>
        <v>0</v>
      </c>
      <c r="J263">
        <v>3</v>
      </c>
      <c r="N263" s="71" t="b">
        <f>IF(AND(ISBLANK(K263),ISBLANK(L263),ISBLANK(M263)),FALSE,TRUE)</f>
        <v>0</v>
      </c>
    </row>
    <row r="264" spans="1:14">
      <c r="A264" t="s">
        <v>165</v>
      </c>
      <c r="B264">
        <v>10</v>
      </c>
      <c r="C264" t="s">
        <v>38</v>
      </c>
      <c r="D264">
        <v>1</v>
      </c>
      <c r="H264" s="71" t="b">
        <f t="shared" si="9"/>
        <v>0</v>
      </c>
      <c r="J264">
        <v>0</v>
      </c>
    </row>
    <row r="265" spans="1:14">
      <c r="A265" t="s">
        <v>165</v>
      </c>
      <c r="B265">
        <v>10</v>
      </c>
      <c r="C265" t="s">
        <v>39</v>
      </c>
      <c r="D265">
        <v>1</v>
      </c>
      <c r="H265" s="71" t="b">
        <f t="shared" si="9"/>
        <v>0</v>
      </c>
      <c r="J265">
        <v>1</v>
      </c>
      <c r="N265" s="71" t="b">
        <f>IF(AND(ISBLANK(K265),ISBLANK(L265),ISBLANK(M265)),FALSE,TRUE)</f>
        <v>0</v>
      </c>
    </row>
    <row r="266" spans="1:14">
      <c r="A266" t="s">
        <v>165</v>
      </c>
      <c r="B266">
        <v>10</v>
      </c>
      <c r="C266" t="s">
        <v>40</v>
      </c>
      <c r="D266">
        <v>1</v>
      </c>
      <c r="H266" s="71" t="b">
        <f t="shared" si="9"/>
        <v>0</v>
      </c>
      <c r="J266">
        <v>1</v>
      </c>
      <c r="N266" s="71" t="b">
        <f>IF(AND(ISBLANK(K266),ISBLANK(L266),ISBLANK(M266)),FALSE,TRUE)</f>
        <v>0</v>
      </c>
    </row>
    <row r="267" spans="1:14">
      <c r="A267" t="s">
        <v>165</v>
      </c>
      <c r="B267">
        <v>10</v>
      </c>
      <c r="C267" t="s">
        <v>41</v>
      </c>
      <c r="D267">
        <v>1</v>
      </c>
      <c r="H267" s="71" t="b">
        <f t="shared" si="9"/>
        <v>0</v>
      </c>
      <c r="J267">
        <v>1</v>
      </c>
      <c r="N267" s="71" t="b">
        <f>IF(AND(ISBLANK(K267),ISBLANK(L267),ISBLANK(M267)),FALSE,TRUE)</f>
        <v>0</v>
      </c>
    </row>
    <row r="268" spans="1:14">
      <c r="A268" t="s">
        <v>165</v>
      </c>
      <c r="B268">
        <v>10</v>
      </c>
      <c r="C268" t="s">
        <v>42</v>
      </c>
      <c r="D268">
        <v>1</v>
      </c>
      <c r="H268" s="71" t="b">
        <f t="shared" si="9"/>
        <v>0</v>
      </c>
      <c r="J268">
        <v>0</v>
      </c>
    </row>
    <row r="269" spans="1:14">
      <c r="A269" t="s">
        <v>165</v>
      </c>
      <c r="B269">
        <v>10</v>
      </c>
      <c r="C269" t="s">
        <v>43</v>
      </c>
      <c r="D269">
        <v>1</v>
      </c>
      <c r="H269" s="71" t="b">
        <f t="shared" si="9"/>
        <v>0</v>
      </c>
      <c r="J269">
        <v>0</v>
      </c>
    </row>
    <row r="270" spans="1:14">
      <c r="A270" t="s">
        <v>165</v>
      </c>
      <c r="B270">
        <v>10</v>
      </c>
      <c r="C270" t="s">
        <v>44</v>
      </c>
      <c r="D270">
        <v>1</v>
      </c>
      <c r="H270" s="71" t="b">
        <f t="shared" si="9"/>
        <v>0</v>
      </c>
      <c r="J270">
        <v>2</v>
      </c>
      <c r="N270" s="71" t="b">
        <f>IF(AND(ISBLANK(K270),ISBLANK(L270),ISBLANK(M270)),FALSE,TRUE)</f>
        <v>0</v>
      </c>
    </row>
    <row r="271" spans="1:14">
      <c r="A271" t="s">
        <v>165</v>
      </c>
      <c r="B271">
        <v>10</v>
      </c>
      <c r="C271" t="s">
        <v>45</v>
      </c>
      <c r="D271">
        <v>1</v>
      </c>
      <c r="H271" s="71" t="b">
        <f t="shared" si="9"/>
        <v>0</v>
      </c>
      <c r="J271">
        <v>1</v>
      </c>
      <c r="N271" s="71" t="b">
        <f>IF(AND(ISBLANK(K271),ISBLANK(L271),ISBLANK(M271)),FALSE,TRUE)</f>
        <v>0</v>
      </c>
    </row>
    <row r="272" spans="1:14">
      <c r="A272" t="s">
        <v>165</v>
      </c>
      <c r="B272">
        <v>10</v>
      </c>
      <c r="C272" t="s">
        <v>46</v>
      </c>
      <c r="D272">
        <v>1</v>
      </c>
      <c r="H272" s="71" t="b">
        <f t="shared" si="9"/>
        <v>0</v>
      </c>
      <c r="J272">
        <v>1</v>
      </c>
      <c r="N272" s="71" t="b">
        <f>IF(AND(ISBLANK(K272),ISBLANK(L272),ISBLANK(M272)),FALSE,TRUE)</f>
        <v>0</v>
      </c>
    </row>
    <row r="273" spans="1:14">
      <c r="A273" t="s">
        <v>165</v>
      </c>
      <c r="B273">
        <v>10</v>
      </c>
      <c r="C273" t="s">
        <v>47</v>
      </c>
      <c r="D273">
        <v>3</v>
      </c>
      <c r="H273" s="71" t="b">
        <f t="shared" si="9"/>
        <v>0</v>
      </c>
      <c r="J273">
        <v>0</v>
      </c>
    </row>
    <row r="274" spans="1:14">
      <c r="A274" t="s">
        <v>165</v>
      </c>
      <c r="B274">
        <v>10</v>
      </c>
      <c r="C274" t="s">
        <v>48</v>
      </c>
      <c r="D274">
        <v>2</v>
      </c>
      <c r="H274" s="71" t="b">
        <f t="shared" si="9"/>
        <v>0</v>
      </c>
      <c r="J274">
        <v>2</v>
      </c>
      <c r="N274" s="71" t="b">
        <f>IF(AND(ISBLANK(K274),ISBLANK(L274),ISBLANK(M274)),FALSE,TRUE)</f>
        <v>0</v>
      </c>
    </row>
    <row r="275" spans="1:14">
      <c r="A275" t="s">
        <v>165</v>
      </c>
      <c r="B275">
        <v>10</v>
      </c>
      <c r="C275" t="s">
        <v>49</v>
      </c>
      <c r="D275">
        <v>4</v>
      </c>
      <c r="H275" s="71" t="b">
        <f t="shared" si="9"/>
        <v>0</v>
      </c>
      <c r="J275">
        <v>0</v>
      </c>
    </row>
    <row r="276" spans="1:14">
      <c r="A276" t="s">
        <v>165</v>
      </c>
      <c r="B276">
        <v>10</v>
      </c>
      <c r="C276" t="s">
        <v>50</v>
      </c>
      <c r="D276">
        <v>2</v>
      </c>
      <c r="H276" s="71" t="b">
        <f t="shared" si="9"/>
        <v>0</v>
      </c>
      <c r="J276">
        <v>0</v>
      </c>
    </row>
    <row r="277" spans="1:14">
      <c r="A277" t="s">
        <v>165</v>
      </c>
      <c r="B277">
        <v>10</v>
      </c>
      <c r="C277" t="s">
        <v>51</v>
      </c>
      <c r="D277">
        <v>0</v>
      </c>
      <c r="H277" s="71" t="b">
        <f t="shared" si="9"/>
        <v>0</v>
      </c>
      <c r="J277">
        <v>8</v>
      </c>
      <c r="N277" s="71" t="b">
        <f>IF(AND(ISBLANK(K277),ISBLANK(L277),ISBLANK(M277)),FALSE,TRUE)</f>
        <v>0</v>
      </c>
    </row>
    <row r="278" spans="1:14">
      <c r="A278" t="s">
        <v>165</v>
      </c>
      <c r="B278">
        <v>10</v>
      </c>
      <c r="C278" t="s">
        <v>52</v>
      </c>
      <c r="D278">
        <v>0</v>
      </c>
      <c r="H278" s="71" t="b">
        <f t="shared" si="9"/>
        <v>0</v>
      </c>
      <c r="J278">
        <v>8</v>
      </c>
      <c r="N278" s="71" t="b">
        <f>IF(AND(ISBLANK(K278),ISBLANK(L278),ISBLANK(M278)),FALSE,TRUE)</f>
        <v>0</v>
      </c>
    </row>
    <row r="279" spans="1:14">
      <c r="A279" t="s">
        <v>165</v>
      </c>
      <c r="B279">
        <v>10</v>
      </c>
      <c r="C279" t="s">
        <v>53</v>
      </c>
      <c r="D279">
        <v>2</v>
      </c>
      <c r="H279" s="71" t="b">
        <f t="shared" si="9"/>
        <v>0</v>
      </c>
      <c r="J279">
        <v>0</v>
      </c>
    </row>
    <row r="280" spans="1:14">
      <c r="A280" t="s">
        <v>165</v>
      </c>
      <c r="B280">
        <v>10</v>
      </c>
      <c r="C280" t="s">
        <v>54</v>
      </c>
      <c r="D280">
        <v>1</v>
      </c>
      <c r="H280" s="71" t="b">
        <f t="shared" si="9"/>
        <v>0</v>
      </c>
      <c r="J280">
        <v>2</v>
      </c>
      <c r="N280" s="71" t="b">
        <f>IF(AND(ISBLANK(K280),ISBLANK(L280),ISBLANK(M280)),FALSE,TRUE)</f>
        <v>0</v>
      </c>
    </row>
    <row r="281" spans="1:14">
      <c r="A281" t="s">
        <v>165</v>
      </c>
      <c r="B281">
        <v>10</v>
      </c>
      <c r="C281" t="s">
        <v>55</v>
      </c>
      <c r="D281">
        <v>1</v>
      </c>
      <c r="H281" s="71" t="b">
        <f t="shared" si="9"/>
        <v>0</v>
      </c>
      <c r="J281">
        <v>2</v>
      </c>
      <c r="N281" s="71" t="b">
        <f>IF(AND(ISBLANK(K281),ISBLANK(L281),ISBLANK(M281)),FALSE,TRUE)</f>
        <v>0</v>
      </c>
    </row>
    <row r="282" spans="1:14">
      <c r="A282" t="s">
        <v>165</v>
      </c>
      <c r="B282">
        <v>10</v>
      </c>
      <c r="C282" t="s">
        <v>56</v>
      </c>
      <c r="D282">
        <v>1</v>
      </c>
      <c r="H282" s="71" t="b">
        <f t="shared" si="9"/>
        <v>0</v>
      </c>
      <c r="J282">
        <v>0</v>
      </c>
    </row>
    <row r="283" spans="1:14">
      <c r="A283" t="s">
        <v>165</v>
      </c>
      <c r="B283">
        <v>10</v>
      </c>
      <c r="C283" t="s">
        <v>57</v>
      </c>
      <c r="D283">
        <v>1</v>
      </c>
      <c r="H283" s="71" t="b">
        <f t="shared" si="9"/>
        <v>0</v>
      </c>
      <c r="J283">
        <v>0</v>
      </c>
    </row>
    <row r="284" spans="1:14">
      <c r="A284" t="s">
        <v>165</v>
      </c>
      <c r="B284">
        <v>10</v>
      </c>
      <c r="C284" t="s">
        <v>58</v>
      </c>
      <c r="D284">
        <v>1</v>
      </c>
      <c r="H284" s="71" t="b">
        <f t="shared" si="9"/>
        <v>0</v>
      </c>
      <c r="J284">
        <v>2</v>
      </c>
      <c r="N284" s="71" t="b">
        <f>IF(AND(ISBLANK(K284),ISBLANK(L284),ISBLANK(M284)),FALSE,TRUE)</f>
        <v>0</v>
      </c>
    </row>
    <row r="285" spans="1:14">
      <c r="A285" t="s">
        <v>165</v>
      </c>
      <c r="B285">
        <v>10</v>
      </c>
      <c r="C285" t="s">
        <v>59</v>
      </c>
      <c r="D285">
        <v>1</v>
      </c>
      <c r="H285" s="71" t="b">
        <f t="shared" si="9"/>
        <v>0</v>
      </c>
      <c r="J285">
        <v>0</v>
      </c>
    </row>
    <row r="286" spans="1:14">
      <c r="A286" t="s">
        <v>165</v>
      </c>
      <c r="B286">
        <v>10</v>
      </c>
      <c r="C286" t="s">
        <v>60</v>
      </c>
      <c r="D286">
        <v>1</v>
      </c>
      <c r="H286" s="71" t="b">
        <f t="shared" si="9"/>
        <v>0</v>
      </c>
      <c r="J286">
        <v>2</v>
      </c>
      <c r="N286" s="71" t="b">
        <f>IF(AND(ISBLANK(K286),ISBLANK(L286),ISBLANK(M286)),FALSE,TRUE)</f>
        <v>0</v>
      </c>
    </row>
    <row r="287" spans="1:14">
      <c r="A287" t="s">
        <v>165</v>
      </c>
      <c r="B287">
        <v>10</v>
      </c>
      <c r="C287" t="s">
        <v>61</v>
      </c>
      <c r="D287">
        <v>1</v>
      </c>
      <c r="H287" s="71" t="b">
        <f t="shared" si="9"/>
        <v>0</v>
      </c>
      <c r="J287">
        <v>2</v>
      </c>
      <c r="N287" s="71" t="b">
        <f>IF(AND(ISBLANK(K287),ISBLANK(L287),ISBLANK(M287)),FALSE,TRUE)</f>
        <v>0</v>
      </c>
    </row>
    <row r="288" spans="1:14">
      <c r="A288" t="s">
        <v>165</v>
      </c>
      <c r="B288">
        <v>10</v>
      </c>
      <c r="C288" t="s">
        <v>62</v>
      </c>
      <c r="D288">
        <v>1</v>
      </c>
      <c r="H288" s="71" t="b">
        <f t="shared" si="9"/>
        <v>0</v>
      </c>
      <c r="J288">
        <v>2</v>
      </c>
      <c r="N288" s="71" t="b">
        <f>IF(AND(ISBLANK(K288),ISBLANK(L288),ISBLANK(M288)),FALSE,TRUE)</f>
        <v>0</v>
      </c>
    </row>
    <row r="289" spans="1:14">
      <c r="A289" t="s">
        <v>165</v>
      </c>
      <c r="B289">
        <v>10</v>
      </c>
      <c r="C289" t="s">
        <v>63</v>
      </c>
      <c r="D289">
        <v>1</v>
      </c>
      <c r="H289" s="71" t="b">
        <f t="shared" si="9"/>
        <v>0</v>
      </c>
      <c r="J289">
        <v>0</v>
      </c>
    </row>
    <row r="290" spans="1:14">
      <c r="A290" t="s">
        <v>165</v>
      </c>
      <c r="B290">
        <v>10</v>
      </c>
      <c r="C290" t="s">
        <v>64</v>
      </c>
      <c r="D290">
        <v>1</v>
      </c>
      <c r="H290" s="71" t="b">
        <f t="shared" si="9"/>
        <v>0</v>
      </c>
      <c r="J290">
        <v>3</v>
      </c>
      <c r="N290" s="71" t="b">
        <f>IF(AND(ISBLANK(K290),ISBLANK(L290),ISBLANK(M290)),FALSE,TRUE)</f>
        <v>0</v>
      </c>
    </row>
    <row r="291" spans="1:14">
      <c r="A291" t="s">
        <v>165</v>
      </c>
      <c r="B291">
        <v>10</v>
      </c>
      <c r="C291" t="s">
        <v>65</v>
      </c>
      <c r="D291">
        <v>4</v>
      </c>
      <c r="H291" s="71" t="b">
        <f t="shared" si="9"/>
        <v>0</v>
      </c>
      <c r="J291">
        <v>4</v>
      </c>
      <c r="N291" s="71" t="b">
        <f>IF(AND(ISBLANK(K291),ISBLANK(L291),ISBLANK(M291)),FALSE,TRUE)</f>
        <v>0</v>
      </c>
    </row>
    <row r="292" spans="1:14">
      <c r="A292" t="s">
        <v>165</v>
      </c>
      <c r="B292">
        <v>10</v>
      </c>
      <c r="C292" t="s">
        <v>66</v>
      </c>
      <c r="D292">
        <v>3</v>
      </c>
      <c r="H292" s="71" t="b">
        <f t="shared" si="9"/>
        <v>0</v>
      </c>
      <c r="J292">
        <v>0</v>
      </c>
    </row>
    <row r="293" spans="1:14">
      <c r="A293" t="s">
        <v>165</v>
      </c>
      <c r="B293">
        <v>10</v>
      </c>
      <c r="C293" t="s">
        <v>67</v>
      </c>
      <c r="D293">
        <v>2</v>
      </c>
      <c r="H293" s="71" t="b">
        <f t="shared" si="9"/>
        <v>0</v>
      </c>
      <c r="J293">
        <v>4</v>
      </c>
      <c r="N293" s="71" t="b">
        <f>IF(AND(ISBLANK(K293),ISBLANK(L293),ISBLANK(M293)),FALSE,TRUE)</f>
        <v>0</v>
      </c>
    </row>
    <row r="294" spans="1:14">
      <c r="A294" t="s">
        <v>165</v>
      </c>
      <c r="B294">
        <v>10</v>
      </c>
      <c r="C294" t="s">
        <v>68</v>
      </c>
      <c r="D294">
        <v>4</v>
      </c>
      <c r="H294" s="71" t="b">
        <f t="shared" si="9"/>
        <v>0</v>
      </c>
      <c r="J294">
        <v>4</v>
      </c>
      <c r="N294" s="71" t="b">
        <f>IF(AND(ISBLANK(K294),ISBLANK(L294),ISBLANK(M294)),FALSE,TRUE)</f>
        <v>0</v>
      </c>
    </row>
    <row r="295" spans="1:14">
      <c r="A295" t="s">
        <v>165</v>
      </c>
      <c r="B295">
        <v>10</v>
      </c>
      <c r="C295" t="s">
        <v>69</v>
      </c>
      <c r="D295">
        <v>2</v>
      </c>
      <c r="H295" s="71" t="b">
        <f t="shared" si="9"/>
        <v>0</v>
      </c>
      <c r="J295">
        <v>2</v>
      </c>
      <c r="N295" s="71" t="b">
        <f>IF(AND(ISBLANK(K295),ISBLANK(L295),ISBLANK(M295)),FALSE,TRUE)</f>
        <v>0</v>
      </c>
    </row>
    <row r="296" spans="1:14">
      <c r="A296" t="s">
        <v>165</v>
      </c>
      <c r="B296">
        <v>10</v>
      </c>
      <c r="C296" t="s">
        <v>70</v>
      </c>
      <c r="D296">
        <v>2</v>
      </c>
      <c r="H296" s="71" t="b">
        <f t="shared" si="9"/>
        <v>0</v>
      </c>
      <c r="J296">
        <v>3</v>
      </c>
      <c r="N296" s="71" t="b">
        <f>IF(AND(ISBLANK(K296),ISBLANK(L296),ISBLANK(M296)),FALSE,TRUE)</f>
        <v>0</v>
      </c>
    </row>
    <row r="297" spans="1:14">
      <c r="A297" t="s">
        <v>165</v>
      </c>
      <c r="B297">
        <v>10</v>
      </c>
      <c r="C297" t="s">
        <v>71</v>
      </c>
      <c r="D297">
        <v>1</v>
      </c>
      <c r="H297" s="71" t="b">
        <f t="shared" si="9"/>
        <v>0</v>
      </c>
      <c r="J297">
        <v>0</v>
      </c>
    </row>
    <row r="298" spans="1:14">
      <c r="A298" t="s">
        <v>165</v>
      </c>
      <c r="B298">
        <v>10</v>
      </c>
      <c r="C298" t="s">
        <v>72</v>
      </c>
      <c r="D298">
        <v>1</v>
      </c>
      <c r="H298" s="71" t="b">
        <f t="shared" si="9"/>
        <v>0</v>
      </c>
      <c r="J298">
        <v>4</v>
      </c>
      <c r="N298" s="71" t="b">
        <f>IF(AND(ISBLANK(K298),ISBLANK(L298),ISBLANK(M298)),FALSE,TRUE)</f>
        <v>0</v>
      </c>
    </row>
    <row r="299" spans="1:14">
      <c r="A299" t="s">
        <v>165</v>
      </c>
      <c r="B299">
        <v>10</v>
      </c>
      <c r="C299" t="s">
        <v>73</v>
      </c>
      <c r="D299">
        <v>2</v>
      </c>
      <c r="H299" s="71" t="b">
        <f t="shared" si="9"/>
        <v>0</v>
      </c>
      <c r="J299">
        <v>3</v>
      </c>
      <c r="N299" s="71" t="b">
        <f>IF(AND(ISBLANK(K299),ISBLANK(L299),ISBLANK(M299)),FALSE,TRUE)</f>
        <v>0</v>
      </c>
    </row>
    <row r="300" spans="1:14">
      <c r="A300" t="s">
        <v>165</v>
      </c>
      <c r="B300">
        <v>10</v>
      </c>
      <c r="C300" t="s">
        <v>74</v>
      </c>
      <c r="D300">
        <v>2</v>
      </c>
      <c r="H300" s="71" t="b">
        <f t="shared" si="9"/>
        <v>0</v>
      </c>
      <c r="J300">
        <v>0</v>
      </c>
    </row>
    <row r="301" spans="1:14">
      <c r="A301" t="s">
        <v>165</v>
      </c>
      <c r="B301">
        <v>10</v>
      </c>
      <c r="C301" t="s">
        <v>75</v>
      </c>
      <c r="D301">
        <v>2</v>
      </c>
      <c r="H301" s="71" t="b">
        <f t="shared" si="9"/>
        <v>0</v>
      </c>
      <c r="J301">
        <v>0</v>
      </c>
    </row>
    <row r="302" spans="1:14">
      <c r="A302" t="s">
        <v>165</v>
      </c>
      <c r="B302">
        <v>10</v>
      </c>
      <c r="C302" t="s">
        <v>76</v>
      </c>
      <c r="D302">
        <v>2</v>
      </c>
      <c r="H302" s="71" t="b">
        <f t="shared" si="9"/>
        <v>0</v>
      </c>
      <c r="J302">
        <v>0</v>
      </c>
    </row>
    <row r="303" spans="1:14">
      <c r="A303" t="s">
        <v>165</v>
      </c>
      <c r="B303">
        <v>10</v>
      </c>
      <c r="C303" t="s">
        <v>77</v>
      </c>
      <c r="D303">
        <v>2</v>
      </c>
      <c r="H303" s="71" t="b">
        <f t="shared" si="9"/>
        <v>0</v>
      </c>
      <c r="J303">
        <v>0</v>
      </c>
    </row>
    <row r="304" spans="1:14">
      <c r="A304" t="s">
        <v>165</v>
      </c>
      <c r="B304">
        <v>10</v>
      </c>
      <c r="C304" t="s">
        <v>78</v>
      </c>
      <c r="D304">
        <v>2</v>
      </c>
      <c r="H304" s="71" t="b">
        <f t="shared" si="9"/>
        <v>0</v>
      </c>
      <c r="J304">
        <v>0</v>
      </c>
    </row>
    <row r="305" spans="1:14">
      <c r="A305" t="s">
        <v>165</v>
      </c>
      <c r="B305">
        <v>10</v>
      </c>
      <c r="C305" t="s">
        <v>79</v>
      </c>
      <c r="D305">
        <v>2</v>
      </c>
      <c r="H305" s="71" t="b">
        <f t="shared" si="9"/>
        <v>0</v>
      </c>
      <c r="J305">
        <v>0</v>
      </c>
    </row>
    <row r="306" spans="1:14">
      <c r="A306" t="s">
        <v>165</v>
      </c>
      <c r="B306">
        <v>11</v>
      </c>
      <c r="C306" t="s">
        <v>80</v>
      </c>
      <c r="D306">
        <v>1</v>
      </c>
      <c r="H306" s="71" t="b">
        <f t="shared" si="9"/>
        <v>0</v>
      </c>
      <c r="J306">
        <v>2</v>
      </c>
      <c r="N306" s="71" t="b">
        <f t="shared" ref="N306:N315" si="10">IF(AND(ISBLANK(K306),ISBLANK(L306),ISBLANK(M306)),FALSE,TRUE)</f>
        <v>0</v>
      </c>
    </row>
    <row r="307" spans="1:14">
      <c r="A307" t="s">
        <v>165</v>
      </c>
      <c r="B307">
        <v>11</v>
      </c>
      <c r="C307" t="s">
        <v>81</v>
      </c>
      <c r="D307">
        <v>2</v>
      </c>
      <c r="H307" s="71" t="b">
        <f t="shared" si="9"/>
        <v>0</v>
      </c>
      <c r="J307">
        <v>2</v>
      </c>
      <c r="N307" s="71" t="b">
        <f t="shared" si="10"/>
        <v>0</v>
      </c>
    </row>
    <row r="308" spans="1:14">
      <c r="A308" t="s">
        <v>165</v>
      </c>
      <c r="B308">
        <v>11</v>
      </c>
      <c r="C308" t="s">
        <v>82</v>
      </c>
      <c r="D308">
        <v>2</v>
      </c>
      <c r="H308" s="71" t="b">
        <f t="shared" si="9"/>
        <v>0</v>
      </c>
      <c r="J308">
        <v>2</v>
      </c>
      <c r="N308" s="71" t="b">
        <f t="shared" si="10"/>
        <v>0</v>
      </c>
    </row>
    <row r="309" spans="1:14">
      <c r="A309" t="s">
        <v>165</v>
      </c>
      <c r="B309">
        <v>11</v>
      </c>
      <c r="C309" t="s">
        <v>83</v>
      </c>
      <c r="D309">
        <v>2</v>
      </c>
      <c r="H309" s="71" t="b">
        <f t="shared" si="9"/>
        <v>0</v>
      </c>
      <c r="J309">
        <v>2</v>
      </c>
      <c r="N309" s="71" t="b">
        <f t="shared" si="10"/>
        <v>0</v>
      </c>
    </row>
    <row r="310" spans="1:14">
      <c r="A310" t="s">
        <v>165</v>
      </c>
      <c r="B310">
        <v>11</v>
      </c>
      <c r="C310" t="s">
        <v>84</v>
      </c>
      <c r="D310">
        <v>2</v>
      </c>
      <c r="H310" s="71" t="b">
        <f t="shared" si="9"/>
        <v>0</v>
      </c>
      <c r="J310">
        <v>2</v>
      </c>
      <c r="N310" s="71" t="b">
        <f t="shared" si="10"/>
        <v>0</v>
      </c>
    </row>
    <row r="311" spans="1:14">
      <c r="A311" t="s">
        <v>165</v>
      </c>
      <c r="B311">
        <v>11</v>
      </c>
      <c r="C311" t="s">
        <v>85</v>
      </c>
      <c r="D311">
        <v>1</v>
      </c>
      <c r="H311" s="71" t="b">
        <f t="shared" si="9"/>
        <v>0</v>
      </c>
      <c r="J311">
        <v>2</v>
      </c>
      <c r="N311" s="71" t="b">
        <f t="shared" si="10"/>
        <v>0</v>
      </c>
    </row>
    <row r="312" spans="1:14">
      <c r="A312" t="s">
        <v>165</v>
      </c>
      <c r="B312">
        <v>11</v>
      </c>
      <c r="C312" t="s">
        <v>86</v>
      </c>
      <c r="D312">
        <v>1</v>
      </c>
      <c r="H312" s="71" t="b">
        <f t="shared" si="9"/>
        <v>0</v>
      </c>
      <c r="J312">
        <v>2</v>
      </c>
      <c r="N312" s="71" t="b">
        <f t="shared" si="10"/>
        <v>0</v>
      </c>
    </row>
    <row r="313" spans="1:14">
      <c r="A313" t="s">
        <v>165</v>
      </c>
      <c r="B313">
        <v>11</v>
      </c>
      <c r="C313" t="s">
        <v>87</v>
      </c>
      <c r="D313">
        <v>1</v>
      </c>
      <c r="H313" s="71" t="b">
        <f t="shared" si="9"/>
        <v>0</v>
      </c>
      <c r="J313">
        <v>5</v>
      </c>
      <c r="N313" s="71" t="b">
        <f t="shared" si="10"/>
        <v>0</v>
      </c>
    </row>
    <row r="314" spans="1:14">
      <c r="A314" t="s">
        <v>165</v>
      </c>
      <c r="B314">
        <v>11</v>
      </c>
      <c r="C314" t="s">
        <v>88</v>
      </c>
      <c r="D314">
        <v>1</v>
      </c>
      <c r="H314" s="71" t="b">
        <f t="shared" si="9"/>
        <v>0</v>
      </c>
      <c r="J314">
        <v>2</v>
      </c>
      <c r="N314" s="71" t="b">
        <f t="shared" si="10"/>
        <v>0</v>
      </c>
    </row>
    <row r="315" spans="1:14">
      <c r="A315" t="s">
        <v>165</v>
      </c>
      <c r="B315">
        <v>11</v>
      </c>
      <c r="C315" t="s">
        <v>89</v>
      </c>
      <c r="D315">
        <v>2</v>
      </c>
      <c r="H315" s="71" t="b">
        <f t="shared" si="9"/>
        <v>0</v>
      </c>
      <c r="J315">
        <v>2</v>
      </c>
      <c r="N315" s="71" t="b">
        <f t="shared" si="10"/>
        <v>0</v>
      </c>
    </row>
    <row r="316" spans="1:14">
      <c r="A316" t="s">
        <v>165</v>
      </c>
      <c r="B316">
        <v>11</v>
      </c>
      <c r="C316" t="s">
        <v>90</v>
      </c>
      <c r="D316">
        <v>2</v>
      </c>
      <c r="H316" s="71" t="b">
        <f t="shared" si="9"/>
        <v>0</v>
      </c>
      <c r="J316">
        <v>0</v>
      </c>
    </row>
    <row r="317" spans="1:14">
      <c r="A317" t="s">
        <v>165</v>
      </c>
      <c r="B317">
        <v>11</v>
      </c>
      <c r="C317" t="s">
        <v>91</v>
      </c>
      <c r="D317">
        <v>2</v>
      </c>
      <c r="H317" s="71" t="b">
        <f t="shared" si="9"/>
        <v>0</v>
      </c>
      <c r="J317">
        <v>1</v>
      </c>
      <c r="N317" s="71" t="b">
        <f>IF(AND(ISBLANK(K317),ISBLANK(L317),ISBLANK(M317)),FALSE,TRUE)</f>
        <v>0</v>
      </c>
    </row>
    <row r="318" spans="1:14">
      <c r="A318" t="s">
        <v>165</v>
      </c>
      <c r="B318">
        <v>11</v>
      </c>
      <c r="C318" t="s">
        <v>92</v>
      </c>
      <c r="D318">
        <v>1</v>
      </c>
      <c r="H318" s="71" t="b">
        <f t="shared" si="9"/>
        <v>0</v>
      </c>
      <c r="J318">
        <v>0</v>
      </c>
    </row>
    <row r="319" spans="1:14">
      <c r="A319" t="s">
        <v>165</v>
      </c>
      <c r="B319">
        <v>11</v>
      </c>
      <c r="C319" t="s">
        <v>93</v>
      </c>
      <c r="D319">
        <v>1</v>
      </c>
      <c r="H319" s="71" t="b">
        <f t="shared" si="9"/>
        <v>0</v>
      </c>
      <c r="J319">
        <v>0</v>
      </c>
    </row>
    <row r="320" spans="1:14">
      <c r="A320" t="s">
        <v>165</v>
      </c>
      <c r="B320">
        <v>11</v>
      </c>
      <c r="C320" t="s">
        <v>94</v>
      </c>
      <c r="D320">
        <v>1</v>
      </c>
      <c r="H320" s="71" t="b">
        <f t="shared" si="9"/>
        <v>0</v>
      </c>
      <c r="J320">
        <v>3</v>
      </c>
      <c r="N320" s="71" t="b">
        <f t="shared" ref="N320:N339" si="11">IF(AND(ISBLANK(K320),ISBLANK(L320),ISBLANK(M320)),FALSE,TRUE)</f>
        <v>0</v>
      </c>
    </row>
    <row r="321" spans="1:14">
      <c r="A321" t="s">
        <v>165</v>
      </c>
      <c r="B321">
        <v>11</v>
      </c>
      <c r="C321" t="s">
        <v>95</v>
      </c>
      <c r="D321">
        <v>1</v>
      </c>
      <c r="H321" s="71" t="b">
        <f t="shared" si="9"/>
        <v>0</v>
      </c>
      <c r="J321">
        <v>2</v>
      </c>
      <c r="N321" s="71" t="b">
        <f t="shared" si="11"/>
        <v>0</v>
      </c>
    </row>
    <row r="322" spans="1:14">
      <c r="A322" t="s">
        <v>165</v>
      </c>
      <c r="B322">
        <v>11</v>
      </c>
      <c r="C322" t="s">
        <v>96</v>
      </c>
      <c r="D322">
        <v>1</v>
      </c>
      <c r="H322" s="71" t="b">
        <f t="shared" si="9"/>
        <v>0</v>
      </c>
      <c r="J322">
        <v>2</v>
      </c>
      <c r="N322" s="71" t="b">
        <f t="shared" si="11"/>
        <v>0</v>
      </c>
    </row>
    <row r="323" spans="1:14">
      <c r="A323" t="s">
        <v>165</v>
      </c>
      <c r="B323">
        <v>11</v>
      </c>
      <c r="C323" t="s">
        <v>97</v>
      </c>
      <c r="D323">
        <v>1</v>
      </c>
      <c r="H323" s="71" t="b">
        <f t="shared" si="9"/>
        <v>0</v>
      </c>
      <c r="J323">
        <v>2</v>
      </c>
      <c r="N323" s="71" t="b">
        <f t="shared" si="11"/>
        <v>0</v>
      </c>
    </row>
    <row r="324" spans="1:14">
      <c r="A324" t="s">
        <v>165</v>
      </c>
      <c r="B324">
        <v>11</v>
      </c>
      <c r="C324" t="s">
        <v>98</v>
      </c>
      <c r="D324">
        <v>1</v>
      </c>
      <c r="H324" s="71" t="b">
        <f t="shared" si="9"/>
        <v>0</v>
      </c>
      <c r="J324">
        <v>1</v>
      </c>
      <c r="N324" s="71" t="b">
        <f t="shared" si="11"/>
        <v>0</v>
      </c>
    </row>
    <row r="325" spans="1:14">
      <c r="A325" t="s">
        <v>165</v>
      </c>
      <c r="B325">
        <v>11</v>
      </c>
      <c r="C325" t="s">
        <v>99</v>
      </c>
      <c r="D325">
        <v>1</v>
      </c>
      <c r="H325" s="71" t="b">
        <f t="shared" si="9"/>
        <v>0</v>
      </c>
      <c r="J325">
        <v>1</v>
      </c>
      <c r="N325" s="71" t="b">
        <f t="shared" si="11"/>
        <v>0</v>
      </c>
    </row>
    <row r="326" spans="1:14">
      <c r="A326" t="s">
        <v>165</v>
      </c>
      <c r="B326">
        <v>11</v>
      </c>
      <c r="C326" t="s">
        <v>100</v>
      </c>
      <c r="D326">
        <v>1</v>
      </c>
      <c r="H326" s="71" t="b">
        <f t="shared" ref="H326:H389" si="12">IF(AND(ISBLANK(E326),ISBLANK(F326),ISBLANK(G326)),FALSE,TRUE)</f>
        <v>0</v>
      </c>
      <c r="J326">
        <v>1</v>
      </c>
      <c r="N326" s="71" t="b">
        <f t="shared" si="11"/>
        <v>0</v>
      </c>
    </row>
    <row r="327" spans="1:14">
      <c r="A327" t="s">
        <v>165</v>
      </c>
      <c r="B327">
        <v>11</v>
      </c>
      <c r="C327" t="s">
        <v>101</v>
      </c>
      <c r="D327">
        <v>1</v>
      </c>
      <c r="H327" s="71" t="b">
        <f t="shared" si="12"/>
        <v>0</v>
      </c>
      <c r="J327">
        <v>2</v>
      </c>
      <c r="N327" s="71" t="b">
        <f t="shared" si="11"/>
        <v>0</v>
      </c>
    </row>
    <row r="328" spans="1:14">
      <c r="A328" t="s">
        <v>165</v>
      </c>
      <c r="B328">
        <v>11</v>
      </c>
      <c r="C328" t="s">
        <v>102</v>
      </c>
      <c r="D328">
        <v>1</v>
      </c>
      <c r="H328" s="71" t="b">
        <f t="shared" si="12"/>
        <v>0</v>
      </c>
      <c r="J328">
        <v>2</v>
      </c>
      <c r="N328" s="71" t="b">
        <f t="shared" si="11"/>
        <v>0</v>
      </c>
    </row>
    <row r="329" spans="1:14">
      <c r="A329" t="s">
        <v>165</v>
      </c>
      <c r="B329">
        <v>11</v>
      </c>
      <c r="C329" t="s">
        <v>103</v>
      </c>
      <c r="D329">
        <v>1</v>
      </c>
      <c r="H329" s="71" t="b">
        <f t="shared" si="12"/>
        <v>0</v>
      </c>
      <c r="J329">
        <v>1</v>
      </c>
      <c r="N329" s="71" t="b">
        <f t="shared" si="11"/>
        <v>0</v>
      </c>
    </row>
    <row r="330" spans="1:14">
      <c r="A330" t="s">
        <v>165</v>
      </c>
      <c r="B330">
        <v>11</v>
      </c>
      <c r="C330" t="s">
        <v>104</v>
      </c>
      <c r="D330">
        <v>1</v>
      </c>
      <c r="H330" s="71" t="b">
        <f t="shared" si="12"/>
        <v>0</v>
      </c>
      <c r="J330">
        <v>2</v>
      </c>
      <c r="N330" s="71" t="b">
        <f t="shared" si="11"/>
        <v>0</v>
      </c>
    </row>
    <row r="331" spans="1:14">
      <c r="A331" t="s">
        <v>165</v>
      </c>
      <c r="B331">
        <v>11</v>
      </c>
      <c r="C331" t="s">
        <v>105</v>
      </c>
      <c r="D331">
        <v>1</v>
      </c>
      <c r="H331" s="71" t="b">
        <f t="shared" si="12"/>
        <v>0</v>
      </c>
      <c r="J331">
        <v>2</v>
      </c>
      <c r="N331" s="71" t="b">
        <f t="shared" si="11"/>
        <v>0</v>
      </c>
    </row>
    <row r="332" spans="1:14">
      <c r="A332" t="s">
        <v>165</v>
      </c>
      <c r="B332">
        <v>11</v>
      </c>
      <c r="C332" t="s">
        <v>106</v>
      </c>
      <c r="D332">
        <v>2</v>
      </c>
      <c r="H332" s="71" t="b">
        <f t="shared" si="12"/>
        <v>0</v>
      </c>
      <c r="J332">
        <v>3</v>
      </c>
      <c r="N332" s="71" t="b">
        <f t="shared" si="11"/>
        <v>0</v>
      </c>
    </row>
    <row r="333" spans="1:14">
      <c r="A333" t="s">
        <v>165</v>
      </c>
      <c r="B333">
        <v>11</v>
      </c>
      <c r="C333" t="s">
        <v>107</v>
      </c>
      <c r="D333">
        <v>2</v>
      </c>
      <c r="H333" s="71" t="b">
        <f t="shared" si="12"/>
        <v>0</v>
      </c>
      <c r="J333">
        <v>3</v>
      </c>
      <c r="N333" s="71" t="b">
        <f t="shared" si="11"/>
        <v>0</v>
      </c>
    </row>
    <row r="334" spans="1:14">
      <c r="A334" t="s">
        <v>165</v>
      </c>
      <c r="B334">
        <v>11</v>
      </c>
      <c r="C334" t="s">
        <v>108</v>
      </c>
      <c r="D334">
        <v>1</v>
      </c>
      <c r="H334" s="71" t="b">
        <f t="shared" si="12"/>
        <v>0</v>
      </c>
      <c r="J334">
        <v>3</v>
      </c>
      <c r="N334" s="71" t="b">
        <f t="shared" si="11"/>
        <v>0</v>
      </c>
    </row>
    <row r="335" spans="1:14">
      <c r="A335" t="s">
        <v>165</v>
      </c>
      <c r="B335">
        <v>11</v>
      </c>
      <c r="C335" t="s">
        <v>109</v>
      </c>
      <c r="D335">
        <v>2</v>
      </c>
      <c r="H335" s="71" t="b">
        <f t="shared" si="12"/>
        <v>0</v>
      </c>
      <c r="J335">
        <v>3</v>
      </c>
      <c r="N335" s="71" t="b">
        <f t="shared" si="11"/>
        <v>0</v>
      </c>
    </row>
    <row r="336" spans="1:14">
      <c r="A336" t="s">
        <v>165</v>
      </c>
      <c r="B336">
        <v>11</v>
      </c>
      <c r="C336" t="s">
        <v>110</v>
      </c>
      <c r="D336">
        <v>2</v>
      </c>
      <c r="H336" s="71" t="b">
        <f t="shared" si="12"/>
        <v>0</v>
      </c>
      <c r="J336">
        <v>3</v>
      </c>
      <c r="N336" s="71" t="b">
        <f t="shared" si="11"/>
        <v>0</v>
      </c>
    </row>
    <row r="337" spans="1:14">
      <c r="A337" t="s">
        <v>165</v>
      </c>
      <c r="B337">
        <v>11</v>
      </c>
      <c r="C337" t="s">
        <v>111</v>
      </c>
      <c r="D337">
        <v>2</v>
      </c>
      <c r="H337" s="71" t="b">
        <f t="shared" si="12"/>
        <v>0</v>
      </c>
      <c r="J337">
        <v>3</v>
      </c>
      <c r="N337" s="71" t="b">
        <f t="shared" si="11"/>
        <v>0</v>
      </c>
    </row>
    <row r="338" spans="1:14">
      <c r="A338" t="s">
        <v>165</v>
      </c>
      <c r="B338">
        <v>11</v>
      </c>
      <c r="C338" t="s">
        <v>112</v>
      </c>
      <c r="D338">
        <v>2</v>
      </c>
      <c r="H338" s="71" t="b">
        <f t="shared" si="12"/>
        <v>0</v>
      </c>
      <c r="J338">
        <v>3</v>
      </c>
      <c r="N338" s="71" t="b">
        <f t="shared" si="11"/>
        <v>0</v>
      </c>
    </row>
    <row r="339" spans="1:14">
      <c r="A339" t="s">
        <v>165</v>
      </c>
      <c r="B339">
        <v>11</v>
      </c>
      <c r="C339" t="s">
        <v>113</v>
      </c>
      <c r="D339">
        <v>2</v>
      </c>
      <c r="H339" s="71" t="b">
        <f t="shared" si="12"/>
        <v>0</v>
      </c>
      <c r="J339">
        <v>2</v>
      </c>
      <c r="N339" s="71" t="b">
        <f t="shared" si="11"/>
        <v>0</v>
      </c>
    </row>
    <row r="340" spans="1:14">
      <c r="A340" t="s">
        <v>165</v>
      </c>
      <c r="B340">
        <v>11</v>
      </c>
      <c r="C340" t="s">
        <v>114</v>
      </c>
      <c r="D340">
        <v>2</v>
      </c>
      <c r="H340" s="71" t="b">
        <f t="shared" si="12"/>
        <v>0</v>
      </c>
      <c r="J340">
        <v>0</v>
      </c>
    </row>
    <row r="341" spans="1:14">
      <c r="A341" t="s">
        <v>165</v>
      </c>
      <c r="B341">
        <v>11</v>
      </c>
      <c r="C341" t="s">
        <v>115</v>
      </c>
      <c r="D341">
        <v>2</v>
      </c>
      <c r="H341" s="71" t="b">
        <f t="shared" si="12"/>
        <v>0</v>
      </c>
      <c r="J341">
        <v>0</v>
      </c>
    </row>
    <row r="342" spans="1:14">
      <c r="A342" t="s">
        <v>165</v>
      </c>
      <c r="B342">
        <v>11</v>
      </c>
      <c r="C342" t="s">
        <v>116</v>
      </c>
      <c r="D342">
        <v>2</v>
      </c>
      <c r="H342" s="71" t="b">
        <f t="shared" si="12"/>
        <v>0</v>
      </c>
      <c r="J342">
        <v>0</v>
      </c>
    </row>
    <row r="343" spans="1:14">
      <c r="A343" t="s">
        <v>165</v>
      </c>
      <c r="B343">
        <v>11</v>
      </c>
      <c r="C343" t="s">
        <v>117</v>
      </c>
      <c r="D343">
        <v>6</v>
      </c>
      <c r="H343" s="71" t="b">
        <f t="shared" si="12"/>
        <v>0</v>
      </c>
      <c r="J343">
        <v>0</v>
      </c>
    </row>
    <row r="344" spans="1:14">
      <c r="A344" t="s">
        <v>165</v>
      </c>
      <c r="B344">
        <v>11</v>
      </c>
      <c r="C344" t="s">
        <v>118</v>
      </c>
      <c r="D344">
        <v>3</v>
      </c>
      <c r="H344" s="71" t="b">
        <f t="shared" si="12"/>
        <v>0</v>
      </c>
      <c r="J344">
        <v>0</v>
      </c>
    </row>
    <row r="345" spans="1:14">
      <c r="A345" t="s">
        <v>165</v>
      </c>
      <c r="B345">
        <v>11</v>
      </c>
      <c r="C345" t="s">
        <v>119</v>
      </c>
      <c r="D345">
        <v>3</v>
      </c>
      <c r="H345" s="71" t="b">
        <f t="shared" si="12"/>
        <v>0</v>
      </c>
      <c r="J345">
        <v>0</v>
      </c>
    </row>
    <row r="346" spans="1:14">
      <c r="A346" t="s">
        <v>165</v>
      </c>
      <c r="B346">
        <v>11</v>
      </c>
      <c r="C346" t="s">
        <v>120</v>
      </c>
      <c r="D346">
        <v>3</v>
      </c>
      <c r="H346" s="71" t="b">
        <f t="shared" si="12"/>
        <v>0</v>
      </c>
      <c r="J346">
        <v>0</v>
      </c>
    </row>
    <row r="347" spans="1:14">
      <c r="A347" t="s">
        <v>165</v>
      </c>
      <c r="B347">
        <v>11</v>
      </c>
      <c r="C347" t="s">
        <v>121</v>
      </c>
      <c r="D347">
        <v>3</v>
      </c>
      <c r="H347" s="71" t="b">
        <f t="shared" si="12"/>
        <v>0</v>
      </c>
      <c r="J347">
        <v>0</v>
      </c>
    </row>
    <row r="348" spans="1:14">
      <c r="A348" t="s">
        <v>165</v>
      </c>
      <c r="B348">
        <v>12</v>
      </c>
      <c r="C348" t="s">
        <v>122</v>
      </c>
      <c r="D348">
        <v>2</v>
      </c>
      <c r="H348" s="71" t="b">
        <f t="shared" si="12"/>
        <v>0</v>
      </c>
      <c r="J348">
        <v>2</v>
      </c>
      <c r="N348" s="71" t="b">
        <f>IF(AND(ISBLANK(K348),ISBLANK(L348),ISBLANK(M348)),FALSE,TRUE)</f>
        <v>0</v>
      </c>
    </row>
    <row r="349" spans="1:14">
      <c r="A349" t="s">
        <v>165</v>
      </c>
      <c r="B349">
        <v>12</v>
      </c>
      <c r="C349" t="s">
        <v>123</v>
      </c>
      <c r="D349">
        <v>2</v>
      </c>
      <c r="H349" s="71" t="b">
        <f t="shared" si="12"/>
        <v>0</v>
      </c>
      <c r="J349">
        <v>2</v>
      </c>
      <c r="N349" s="71" t="b">
        <f>IF(AND(ISBLANK(K349),ISBLANK(L349),ISBLANK(M349)),FALSE,TRUE)</f>
        <v>0</v>
      </c>
    </row>
    <row r="350" spans="1:14">
      <c r="A350" t="s">
        <v>165</v>
      </c>
      <c r="B350">
        <v>12</v>
      </c>
      <c r="C350" t="s">
        <v>124</v>
      </c>
      <c r="D350">
        <v>2</v>
      </c>
      <c r="H350" s="71" t="b">
        <f t="shared" si="12"/>
        <v>0</v>
      </c>
      <c r="J350">
        <v>0</v>
      </c>
    </row>
    <row r="351" spans="1:14">
      <c r="A351" t="s">
        <v>165</v>
      </c>
      <c r="B351">
        <v>12</v>
      </c>
      <c r="C351" t="s">
        <v>125</v>
      </c>
      <c r="D351">
        <v>4</v>
      </c>
      <c r="H351" s="71" t="b">
        <f t="shared" si="12"/>
        <v>0</v>
      </c>
      <c r="J351">
        <v>4</v>
      </c>
      <c r="N351" s="71" t="b">
        <f>IF(AND(ISBLANK(K351),ISBLANK(L351),ISBLANK(M351)),FALSE,TRUE)</f>
        <v>0</v>
      </c>
    </row>
    <row r="352" spans="1:14">
      <c r="A352" t="s">
        <v>165</v>
      </c>
      <c r="B352">
        <v>12</v>
      </c>
      <c r="C352" t="s">
        <v>126</v>
      </c>
      <c r="D352">
        <v>2</v>
      </c>
      <c r="H352" s="71" t="b">
        <f t="shared" si="12"/>
        <v>0</v>
      </c>
      <c r="J352">
        <v>2</v>
      </c>
      <c r="N352" s="71" t="b">
        <f>IF(AND(ISBLANK(K352),ISBLANK(L352),ISBLANK(M352)),FALSE,TRUE)</f>
        <v>0</v>
      </c>
    </row>
    <row r="353" spans="1:14">
      <c r="A353" t="s">
        <v>165</v>
      </c>
      <c r="B353">
        <v>12</v>
      </c>
      <c r="C353" t="s">
        <v>127</v>
      </c>
      <c r="D353">
        <v>2</v>
      </c>
      <c r="H353" s="71" t="b">
        <f t="shared" si="12"/>
        <v>0</v>
      </c>
      <c r="J353">
        <v>2</v>
      </c>
      <c r="N353" s="71" t="b">
        <f>IF(AND(ISBLANK(K353),ISBLANK(L353),ISBLANK(M353)),FALSE,TRUE)</f>
        <v>0</v>
      </c>
    </row>
    <row r="354" spans="1:14">
      <c r="A354" t="s">
        <v>165</v>
      </c>
      <c r="B354">
        <v>12</v>
      </c>
      <c r="C354" t="s">
        <v>128</v>
      </c>
      <c r="D354">
        <v>2</v>
      </c>
      <c r="H354" s="71" t="b">
        <f t="shared" si="12"/>
        <v>0</v>
      </c>
      <c r="J354">
        <v>2</v>
      </c>
      <c r="N354" s="71" t="b">
        <f>IF(AND(ISBLANK(K354),ISBLANK(L354),ISBLANK(M354)),FALSE,TRUE)</f>
        <v>0</v>
      </c>
    </row>
    <row r="355" spans="1:14">
      <c r="A355" t="s">
        <v>165</v>
      </c>
      <c r="B355">
        <v>12</v>
      </c>
      <c r="C355" t="s">
        <v>129</v>
      </c>
      <c r="D355">
        <v>2</v>
      </c>
      <c r="H355" s="71" t="b">
        <f t="shared" si="12"/>
        <v>0</v>
      </c>
      <c r="J355">
        <v>0</v>
      </c>
    </row>
    <row r="356" spans="1:14">
      <c r="A356" t="s">
        <v>165</v>
      </c>
      <c r="B356">
        <v>12</v>
      </c>
      <c r="C356" t="s">
        <v>130</v>
      </c>
      <c r="D356">
        <v>2</v>
      </c>
      <c r="H356" s="71" t="b">
        <f t="shared" si="12"/>
        <v>0</v>
      </c>
      <c r="J356">
        <v>1</v>
      </c>
      <c r="N356" s="71" t="b">
        <f>IF(AND(ISBLANK(K356),ISBLANK(L356),ISBLANK(M356)),FALSE,TRUE)</f>
        <v>0</v>
      </c>
    </row>
    <row r="357" spans="1:14">
      <c r="A357" t="s">
        <v>165</v>
      </c>
      <c r="B357">
        <v>12</v>
      </c>
      <c r="C357" t="s">
        <v>131</v>
      </c>
      <c r="D357">
        <v>3</v>
      </c>
      <c r="H357" s="71" t="b">
        <f t="shared" si="12"/>
        <v>0</v>
      </c>
      <c r="J357">
        <v>1</v>
      </c>
      <c r="N357" s="71" t="b">
        <f>IF(AND(ISBLANK(K357),ISBLANK(L357),ISBLANK(M357)),FALSE,TRUE)</f>
        <v>0</v>
      </c>
    </row>
    <row r="358" spans="1:14">
      <c r="A358" t="s">
        <v>165</v>
      </c>
      <c r="B358">
        <v>12</v>
      </c>
      <c r="C358" t="s">
        <v>132</v>
      </c>
      <c r="D358">
        <v>1</v>
      </c>
      <c r="H358" s="71" t="b">
        <f t="shared" si="12"/>
        <v>0</v>
      </c>
      <c r="J358">
        <v>1</v>
      </c>
      <c r="N358" s="71" t="b">
        <f>IF(AND(ISBLANK(K358),ISBLANK(L358),ISBLANK(M358)),FALSE,TRUE)</f>
        <v>0</v>
      </c>
    </row>
    <row r="359" spans="1:14">
      <c r="A359" t="s">
        <v>165</v>
      </c>
      <c r="B359">
        <v>12</v>
      </c>
      <c r="C359" t="s">
        <v>133</v>
      </c>
      <c r="D359">
        <v>1</v>
      </c>
      <c r="H359" s="71" t="b">
        <f t="shared" si="12"/>
        <v>0</v>
      </c>
      <c r="J359">
        <v>0</v>
      </c>
    </row>
    <row r="360" spans="1:14">
      <c r="A360" t="s">
        <v>165</v>
      </c>
      <c r="B360">
        <v>12</v>
      </c>
      <c r="C360" t="s">
        <v>134</v>
      </c>
      <c r="D360">
        <v>1</v>
      </c>
      <c r="H360" s="71" t="b">
        <f t="shared" si="12"/>
        <v>0</v>
      </c>
      <c r="J360">
        <v>1</v>
      </c>
      <c r="N360" s="71" t="b">
        <f t="shared" ref="N360:N370" si="13">IF(AND(ISBLANK(K360),ISBLANK(L360),ISBLANK(M360)),FALSE,TRUE)</f>
        <v>0</v>
      </c>
    </row>
    <row r="361" spans="1:14">
      <c r="A361" t="s">
        <v>165</v>
      </c>
      <c r="B361">
        <v>12</v>
      </c>
      <c r="C361" t="s">
        <v>135</v>
      </c>
      <c r="D361">
        <v>2</v>
      </c>
      <c r="H361" s="71" t="b">
        <f t="shared" si="12"/>
        <v>0</v>
      </c>
      <c r="J361">
        <v>1</v>
      </c>
      <c r="N361" s="71" t="b">
        <f t="shared" si="13"/>
        <v>0</v>
      </c>
    </row>
    <row r="362" spans="1:14">
      <c r="A362" t="s">
        <v>165</v>
      </c>
      <c r="B362">
        <v>12</v>
      </c>
      <c r="C362" t="s">
        <v>136</v>
      </c>
      <c r="D362">
        <v>2</v>
      </c>
      <c r="H362" s="71" t="b">
        <f t="shared" si="12"/>
        <v>0</v>
      </c>
      <c r="J362">
        <v>1</v>
      </c>
      <c r="N362" s="71" t="b">
        <f t="shared" si="13"/>
        <v>0</v>
      </c>
    </row>
    <row r="363" spans="1:14">
      <c r="A363" t="s">
        <v>165</v>
      </c>
      <c r="B363">
        <v>12</v>
      </c>
      <c r="C363" t="s">
        <v>137</v>
      </c>
      <c r="D363">
        <v>2</v>
      </c>
      <c r="H363" s="71" t="b">
        <f t="shared" si="12"/>
        <v>0</v>
      </c>
      <c r="J363">
        <v>1</v>
      </c>
      <c r="N363" s="71" t="b">
        <f t="shared" si="13"/>
        <v>0</v>
      </c>
    </row>
    <row r="364" spans="1:14">
      <c r="A364" t="s">
        <v>165</v>
      </c>
      <c r="B364">
        <v>12</v>
      </c>
      <c r="C364" t="s">
        <v>138</v>
      </c>
      <c r="D364">
        <v>1</v>
      </c>
      <c r="H364" s="71" t="b">
        <f t="shared" si="12"/>
        <v>0</v>
      </c>
      <c r="J364">
        <v>1</v>
      </c>
      <c r="N364" s="71" t="b">
        <f t="shared" si="13"/>
        <v>0</v>
      </c>
    </row>
    <row r="365" spans="1:14">
      <c r="A365" t="s">
        <v>165</v>
      </c>
      <c r="B365">
        <v>12</v>
      </c>
      <c r="C365" t="s">
        <v>139</v>
      </c>
      <c r="D365">
        <v>1</v>
      </c>
      <c r="H365" s="71" t="b">
        <f t="shared" si="12"/>
        <v>0</v>
      </c>
      <c r="J365">
        <v>1</v>
      </c>
      <c r="N365" s="71" t="b">
        <f t="shared" si="13"/>
        <v>0</v>
      </c>
    </row>
    <row r="366" spans="1:14">
      <c r="A366" t="s">
        <v>165</v>
      </c>
      <c r="B366">
        <v>12</v>
      </c>
      <c r="C366" t="s">
        <v>140</v>
      </c>
      <c r="D366">
        <v>1</v>
      </c>
      <c r="H366" s="71" t="b">
        <f t="shared" si="12"/>
        <v>0</v>
      </c>
      <c r="J366">
        <v>1</v>
      </c>
      <c r="N366" s="71" t="b">
        <f t="shared" si="13"/>
        <v>0</v>
      </c>
    </row>
    <row r="367" spans="1:14">
      <c r="A367" t="s">
        <v>165</v>
      </c>
      <c r="B367">
        <v>12</v>
      </c>
      <c r="C367" t="s">
        <v>141</v>
      </c>
      <c r="D367">
        <v>1</v>
      </c>
      <c r="H367" s="71" t="b">
        <f t="shared" si="12"/>
        <v>0</v>
      </c>
      <c r="J367">
        <v>1</v>
      </c>
      <c r="N367" s="71" t="b">
        <f t="shared" si="13"/>
        <v>0</v>
      </c>
    </row>
    <row r="368" spans="1:14">
      <c r="A368" t="s">
        <v>165</v>
      </c>
      <c r="B368">
        <v>12</v>
      </c>
      <c r="C368" t="s">
        <v>142</v>
      </c>
      <c r="D368">
        <v>2</v>
      </c>
      <c r="H368" s="71" t="b">
        <f t="shared" si="12"/>
        <v>0</v>
      </c>
      <c r="J368">
        <v>1</v>
      </c>
      <c r="N368" s="71" t="b">
        <f t="shared" si="13"/>
        <v>0</v>
      </c>
    </row>
    <row r="369" spans="1:14">
      <c r="A369" t="s">
        <v>165</v>
      </c>
      <c r="B369">
        <v>12</v>
      </c>
      <c r="C369" t="s">
        <v>143</v>
      </c>
      <c r="D369">
        <v>1</v>
      </c>
      <c r="H369" s="71" t="b">
        <f t="shared" si="12"/>
        <v>0</v>
      </c>
      <c r="J369">
        <v>2</v>
      </c>
      <c r="N369" s="71" t="b">
        <f t="shared" si="13"/>
        <v>0</v>
      </c>
    </row>
    <row r="370" spans="1:14">
      <c r="A370" t="s">
        <v>165</v>
      </c>
      <c r="B370">
        <v>12</v>
      </c>
      <c r="C370" t="s">
        <v>144</v>
      </c>
      <c r="D370">
        <v>1</v>
      </c>
      <c r="H370" s="71" t="b">
        <f t="shared" si="12"/>
        <v>0</v>
      </c>
      <c r="J370">
        <v>2</v>
      </c>
      <c r="N370" s="71" t="b">
        <f t="shared" si="13"/>
        <v>0</v>
      </c>
    </row>
    <row r="371" spans="1:14">
      <c r="A371" t="s">
        <v>165</v>
      </c>
      <c r="B371">
        <v>12</v>
      </c>
      <c r="C371" t="s">
        <v>145</v>
      </c>
      <c r="D371">
        <v>1</v>
      </c>
      <c r="H371" s="71" t="b">
        <f t="shared" si="12"/>
        <v>0</v>
      </c>
      <c r="J371">
        <v>0</v>
      </c>
    </row>
    <row r="372" spans="1:14">
      <c r="A372" t="s">
        <v>165</v>
      </c>
      <c r="B372">
        <v>12</v>
      </c>
      <c r="C372" t="s">
        <v>146</v>
      </c>
      <c r="D372">
        <v>1</v>
      </c>
      <c r="H372" s="71" t="b">
        <f t="shared" si="12"/>
        <v>0</v>
      </c>
      <c r="J372">
        <v>0</v>
      </c>
    </row>
    <row r="373" spans="1:14">
      <c r="A373" t="s">
        <v>165</v>
      </c>
      <c r="B373">
        <v>12</v>
      </c>
      <c r="C373" t="s">
        <v>147</v>
      </c>
      <c r="D373">
        <v>1</v>
      </c>
      <c r="H373" s="71" t="b">
        <f t="shared" si="12"/>
        <v>0</v>
      </c>
      <c r="J373">
        <v>2</v>
      </c>
      <c r="N373" s="71" t="b">
        <f>IF(AND(ISBLANK(K373),ISBLANK(L373),ISBLANK(M373)),FALSE,TRUE)</f>
        <v>0</v>
      </c>
    </row>
    <row r="374" spans="1:14">
      <c r="A374" t="s">
        <v>165</v>
      </c>
      <c r="B374">
        <v>12</v>
      </c>
      <c r="C374" t="s">
        <v>148</v>
      </c>
      <c r="D374">
        <v>2</v>
      </c>
      <c r="H374" s="71" t="b">
        <f t="shared" si="12"/>
        <v>0</v>
      </c>
      <c r="J374">
        <v>2</v>
      </c>
      <c r="N374" s="71" t="b">
        <f>IF(AND(ISBLANK(K374),ISBLANK(L374),ISBLANK(M374)),FALSE,TRUE)</f>
        <v>0</v>
      </c>
    </row>
    <row r="375" spans="1:14">
      <c r="A375" t="s">
        <v>165</v>
      </c>
      <c r="B375">
        <v>12</v>
      </c>
      <c r="C375" t="s">
        <v>149</v>
      </c>
      <c r="D375">
        <v>3</v>
      </c>
      <c r="H375" s="71" t="b">
        <f t="shared" si="12"/>
        <v>0</v>
      </c>
      <c r="J375">
        <v>0</v>
      </c>
    </row>
    <row r="376" spans="1:14">
      <c r="A376" t="s">
        <v>165</v>
      </c>
      <c r="B376">
        <v>12</v>
      </c>
      <c r="C376" t="s">
        <v>150</v>
      </c>
      <c r="D376">
        <v>3</v>
      </c>
      <c r="H376" s="71" t="b">
        <f t="shared" si="12"/>
        <v>0</v>
      </c>
      <c r="J376">
        <v>0</v>
      </c>
    </row>
    <row r="377" spans="1:14">
      <c r="A377" t="s">
        <v>165</v>
      </c>
      <c r="B377">
        <v>12</v>
      </c>
      <c r="C377" t="s">
        <v>151</v>
      </c>
      <c r="D377">
        <v>2</v>
      </c>
      <c r="H377" s="71" t="b">
        <f t="shared" si="12"/>
        <v>0</v>
      </c>
      <c r="J377">
        <v>0</v>
      </c>
    </row>
    <row r="378" spans="1:14">
      <c r="A378" t="s">
        <v>165</v>
      </c>
      <c r="B378">
        <v>12</v>
      </c>
      <c r="C378" t="s">
        <v>152</v>
      </c>
      <c r="D378">
        <v>2</v>
      </c>
      <c r="H378" s="71" t="b">
        <f t="shared" si="12"/>
        <v>0</v>
      </c>
      <c r="J378">
        <v>0</v>
      </c>
    </row>
    <row r="379" spans="1:14">
      <c r="A379" t="s">
        <v>165</v>
      </c>
      <c r="B379">
        <v>12</v>
      </c>
      <c r="C379" t="s">
        <v>153</v>
      </c>
      <c r="D379">
        <v>2</v>
      </c>
      <c r="H379" s="71" t="b">
        <f t="shared" si="12"/>
        <v>0</v>
      </c>
      <c r="J379">
        <v>0</v>
      </c>
    </row>
    <row r="380" spans="1:14">
      <c r="A380" t="s">
        <v>165</v>
      </c>
      <c r="B380">
        <v>12</v>
      </c>
      <c r="C380" t="s">
        <v>154</v>
      </c>
      <c r="D380">
        <v>2</v>
      </c>
      <c r="H380" s="71" t="b">
        <f t="shared" si="12"/>
        <v>0</v>
      </c>
      <c r="J380">
        <v>0</v>
      </c>
    </row>
    <row r="381" spans="1:14">
      <c r="A381" t="s">
        <v>165</v>
      </c>
      <c r="B381">
        <v>12</v>
      </c>
      <c r="C381" t="s">
        <v>155</v>
      </c>
      <c r="D381">
        <v>2</v>
      </c>
      <c r="H381" s="71" t="b">
        <f t="shared" si="12"/>
        <v>0</v>
      </c>
      <c r="J381">
        <v>0</v>
      </c>
    </row>
    <row r="382" spans="1:14">
      <c r="A382" t="s">
        <v>165</v>
      </c>
      <c r="B382">
        <v>12</v>
      </c>
      <c r="C382" t="s">
        <v>156</v>
      </c>
      <c r="D382">
        <v>2</v>
      </c>
      <c r="H382" s="71" t="b">
        <f t="shared" si="12"/>
        <v>0</v>
      </c>
      <c r="J382">
        <v>0</v>
      </c>
    </row>
    <row r="383" spans="1:14">
      <c r="A383" t="s">
        <v>165</v>
      </c>
      <c r="B383">
        <v>12</v>
      </c>
      <c r="C383" t="s">
        <v>157</v>
      </c>
      <c r="D383">
        <v>0</v>
      </c>
      <c r="H383" s="71" t="b">
        <f t="shared" si="12"/>
        <v>0</v>
      </c>
      <c r="J383">
        <v>8</v>
      </c>
      <c r="N383" s="71" t="b">
        <f>IF(AND(ISBLANK(K383),ISBLANK(L383),ISBLANK(M383)),FALSE,TRUE)</f>
        <v>0</v>
      </c>
    </row>
    <row r="384" spans="1:14">
      <c r="A384" t="s">
        <v>165</v>
      </c>
      <c r="B384">
        <v>12</v>
      </c>
      <c r="C384" t="s">
        <v>158</v>
      </c>
      <c r="D384">
        <v>0</v>
      </c>
      <c r="H384" s="71" t="b">
        <f t="shared" si="12"/>
        <v>0</v>
      </c>
      <c r="J384">
        <v>8</v>
      </c>
      <c r="N384" s="71" t="b">
        <f>IF(AND(ISBLANK(K384),ISBLANK(L384),ISBLANK(M384)),FALSE,TRUE)</f>
        <v>0</v>
      </c>
    </row>
    <row r="385" spans="1:14">
      <c r="A385" t="s">
        <v>165</v>
      </c>
      <c r="B385">
        <v>12</v>
      </c>
      <c r="C385" t="s">
        <v>159</v>
      </c>
      <c r="D385">
        <v>4</v>
      </c>
      <c r="H385" s="71" t="b">
        <f t="shared" si="12"/>
        <v>0</v>
      </c>
      <c r="J385">
        <v>4</v>
      </c>
      <c r="N385" s="71" t="b">
        <f>IF(AND(ISBLANK(K385),ISBLANK(L385),ISBLANK(M385)),FALSE,TRUE)</f>
        <v>0</v>
      </c>
    </row>
    <row r="386" spans="1:14">
      <c r="A386" t="s">
        <v>165</v>
      </c>
      <c r="B386">
        <v>12</v>
      </c>
      <c r="C386" t="s">
        <v>160</v>
      </c>
      <c r="D386">
        <v>4</v>
      </c>
      <c r="H386" s="71" t="b">
        <f t="shared" si="12"/>
        <v>0</v>
      </c>
      <c r="J386">
        <v>8</v>
      </c>
      <c r="N386" s="71" t="b">
        <f>IF(AND(ISBLANK(K386),ISBLANK(L386),ISBLANK(M386)),FALSE,TRUE)</f>
        <v>0</v>
      </c>
    </row>
    <row r="387" spans="1:14">
      <c r="A387" t="s">
        <v>165</v>
      </c>
      <c r="B387">
        <v>12</v>
      </c>
      <c r="C387" t="s">
        <v>161</v>
      </c>
      <c r="D387">
        <v>1</v>
      </c>
      <c r="H387" s="71" t="b">
        <f t="shared" si="12"/>
        <v>0</v>
      </c>
      <c r="J387">
        <v>0</v>
      </c>
    </row>
    <row r="388" spans="1:14">
      <c r="A388" t="s">
        <v>165</v>
      </c>
      <c r="B388">
        <v>12</v>
      </c>
      <c r="C388" t="s">
        <v>162</v>
      </c>
      <c r="D388">
        <v>0</v>
      </c>
      <c r="H388" s="71" t="b">
        <f t="shared" si="12"/>
        <v>0</v>
      </c>
      <c r="J388">
        <v>0</v>
      </c>
    </row>
    <row r="389" spans="1:14">
      <c r="A389" t="s">
        <v>165</v>
      </c>
      <c r="B389">
        <v>12</v>
      </c>
      <c r="C389" t="s">
        <v>163</v>
      </c>
      <c r="D389">
        <v>0</v>
      </c>
      <c r="H389" s="71" t="b">
        <f t="shared" si="12"/>
        <v>0</v>
      </c>
      <c r="J389">
        <v>6</v>
      </c>
      <c r="N389" s="71" t="b">
        <f>IF(AND(ISBLANK(K389),ISBLANK(L389),ISBLANK(M389)),FALSE,TRUE)</f>
        <v>0</v>
      </c>
    </row>
    <row r="390" spans="1:14">
      <c r="A390" t="s">
        <v>166</v>
      </c>
      <c r="B390">
        <v>10</v>
      </c>
      <c r="C390" t="s">
        <v>35</v>
      </c>
      <c r="D390">
        <v>3</v>
      </c>
      <c r="H390" s="71" t="b">
        <f>IF(AND(ISBLANK(E390),ISBLANK(F390),ISBLANK(G390)),FALSE,TRUE)</f>
        <v>0</v>
      </c>
      <c r="J390">
        <v>0</v>
      </c>
    </row>
    <row r="391" spans="1:14">
      <c r="A391" t="s">
        <v>166</v>
      </c>
      <c r="B391">
        <v>10</v>
      </c>
      <c r="C391" t="s">
        <v>36</v>
      </c>
      <c r="D391">
        <v>2</v>
      </c>
      <c r="H391" s="71" t="b">
        <f t="shared" ref="H391:H454" si="14">IF(AND(ISBLANK(E391),ISBLANK(F391),ISBLANK(G391)),FALSE,TRUE)</f>
        <v>0</v>
      </c>
      <c r="J391">
        <v>1</v>
      </c>
      <c r="N391" s="71" t="b">
        <f>IF(AND(ISBLANK(K391),ISBLANK(L391),ISBLANK(M391)),FALSE,TRUE)</f>
        <v>0</v>
      </c>
    </row>
    <row r="392" spans="1:14">
      <c r="A392" t="s">
        <v>166</v>
      </c>
      <c r="B392">
        <v>10</v>
      </c>
      <c r="C392" t="s">
        <v>37</v>
      </c>
      <c r="D392">
        <v>1</v>
      </c>
      <c r="H392" s="71" t="b">
        <f t="shared" si="14"/>
        <v>0</v>
      </c>
      <c r="J392">
        <v>3</v>
      </c>
      <c r="N392" s="71" t="b">
        <f>IF(AND(ISBLANK(K392),ISBLANK(L392),ISBLANK(M392)),FALSE,TRUE)</f>
        <v>0</v>
      </c>
    </row>
    <row r="393" spans="1:14">
      <c r="A393" t="s">
        <v>166</v>
      </c>
      <c r="B393">
        <v>10</v>
      </c>
      <c r="C393" t="s">
        <v>38</v>
      </c>
      <c r="D393">
        <v>1</v>
      </c>
      <c r="H393" s="71" t="b">
        <f t="shared" si="14"/>
        <v>0</v>
      </c>
      <c r="J393">
        <v>0</v>
      </c>
    </row>
    <row r="394" spans="1:14">
      <c r="A394" t="s">
        <v>166</v>
      </c>
      <c r="B394">
        <v>10</v>
      </c>
      <c r="C394" t="s">
        <v>39</v>
      </c>
      <c r="D394">
        <v>1</v>
      </c>
      <c r="H394" s="71" t="b">
        <f t="shared" si="14"/>
        <v>0</v>
      </c>
      <c r="J394">
        <v>1</v>
      </c>
      <c r="N394" s="71" t="b">
        <f>IF(AND(ISBLANK(K394),ISBLANK(L394),ISBLANK(M394)),FALSE,TRUE)</f>
        <v>0</v>
      </c>
    </row>
    <row r="395" spans="1:14">
      <c r="A395" t="s">
        <v>166</v>
      </c>
      <c r="B395">
        <v>10</v>
      </c>
      <c r="C395" t="s">
        <v>40</v>
      </c>
      <c r="D395">
        <v>1</v>
      </c>
      <c r="H395" s="71" t="b">
        <f t="shared" si="14"/>
        <v>0</v>
      </c>
      <c r="J395">
        <v>1</v>
      </c>
      <c r="N395" s="71" t="b">
        <f>IF(AND(ISBLANK(K395),ISBLANK(L395),ISBLANK(M395)),FALSE,TRUE)</f>
        <v>0</v>
      </c>
    </row>
    <row r="396" spans="1:14">
      <c r="A396" t="s">
        <v>166</v>
      </c>
      <c r="B396">
        <v>10</v>
      </c>
      <c r="C396" t="s">
        <v>41</v>
      </c>
      <c r="D396">
        <v>1</v>
      </c>
      <c r="H396" s="71" t="b">
        <f t="shared" si="14"/>
        <v>0</v>
      </c>
      <c r="J396">
        <v>1</v>
      </c>
      <c r="N396" s="71" t="b">
        <f>IF(AND(ISBLANK(K396),ISBLANK(L396),ISBLANK(M396)),FALSE,TRUE)</f>
        <v>0</v>
      </c>
    </row>
    <row r="397" spans="1:14">
      <c r="A397" t="s">
        <v>166</v>
      </c>
      <c r="B397">
        <v>10</v>
      </c>
      <c r="C397" t="s">
        <v>42</v>
      </c>
      <c r="D397">
        <v>1</v>
      </c>
      <c r="H397" s="71" t="b">
        <f t="shared" si="14"/>
        <v>0</v>
      </c>
      <c r="J397">
        <v>0</v>
      </c>
    </row>
    <row r="398" spans="1:14">
      <c r="A398" t="s">
        <v>166</v>
      </c>
      <c r="B398">
        <v>10</v>
      </c>
      <c r="C398" t="s">
        <v>43</v>
      </c>
      <c r="D398">
        <v>1</v>
      </c>
      <c r="H398" s="71" t="b">
        <f t="shared" si="14"/>
        <v>0</v>
      </c>
      <c r="J398">
        <v>0</v>
      </c>
    </row>
    <row r="399" spans="1:14">
      <c r="A399" t="s">
        <v>166</v>
      </c>
      <c r="B399">
        <v>10</v>
      </c>
      <c r="C399" t="s">
        <v>44</v>
      </c>
      <c r="D399">
        <v>1</v>
      </c>
      <c r="H399" s="71" t="b">
        <f t="shared" si="14"/>
        <v>0</v>
      </c>
      <c r="J399">
        <v>2</v>
      </c>
      <c r="N399" s="71" t="b">
        <f>IF(AND(ISBLANK(K399),ISBLANK(L399),ISBLANK(M399)),FALSE,TRUE)</f>
        <v>0</v>
      </c>
    </row>
    <row r="400" spans="1:14">
      <c r="A400" t="s">
        <v>166</v>
      </c>
      <c r="B400">
        <v>10</v>
      </c>
      <c r="C400" t="s">
        <v>45</v>
      </c>
      <c r="D400">
        <v>1</v>
      </c>
      <c r="H400" s="71" t="b">
        <f t="shared" si="14"/>
        <v>0</v>
      </c>
      <c r="J400">
        <v>1</v>
      </c>
      <c r="N400" s="71" t="b">
        <f>IF(AND(ISBLANK(K400),ISBLANK(L400),ISBLANK(M400)),FALSE,TRUE)</f>
        <v>0</v>
      </c>
    </row>
    <row r="401" spans="1:14">
      <c r="A401" t="s">
        <v>166</v>
      </c>
      <c r="B401">
        <v>10</v>
      </c>
      <c r="C401" t="s">
        <v>46</v>
      </c>
      <c r="D401">
        <v>1</v>
      </c>
      <c r="H401" s="71" t="b">
        <f t="shared" si="14"/>
        <v>0</v>
      </c>
      <c r="J401">
        <v>1</v>
      </c>
      <c r="N401" s="71" t="b">
        <f>IF(AND(ISBLANK(K401),ISBLANK(L401),ISBLANK(M401)),FALSE,TRUE)</f>
        <v>0</v>
      </c>
    </row>
    <row r="402" spans="1:14">
      <c r="A402" t="s">
        <v>166</v>
      </c>
      <c r="B402">
        <v>10</v>
      </c>
      <c r="C402" t="s">
        <v>47</v>
      </c>
      <c r="D402">
        <v>3</v>
      </c>
      <c r="H402" s="71" t="b">
        <f t="shared" si="14"/>
        <v>0</v>
      </c>
      <c r="J402">
        <v>0</v>
      </c>
    </row>
    <row r="403" spans="1:14">
      <c r="A403" t="s">
        <v>166</v>
      </c>
      <c r="B403">
        <v>10</v>
      </c>
      <c r="C403" t="s">
        <v>48</v>
      </c>
      <c r="D403">
        <v>2</v>
      </c>
      <c r="H403" s="71" t="b">
        <f t="shared" si="14"/>
        <v>0</v>
      </c>
      <c r="J403">
        <v>2</v>
      </c>
      <c r="N403" s="71" t="b">
        <f>IF(AND(ISBLANK(K403),ISBLANK(L403),ISBLANK(M403)),FALSE,TRUE)</f>
        <v>0</v>
      </c>
    </row>
    <row r="404" spans="1:14">
      <c r="A404" t="s">
        <v>166</v>
      </c>
      <c r="B404">
        <v>10</v>
      </c>
      <c r="C404" t="s">
        <v>49</v>
      </c>
      <c r="D404">
        <v>4</v>
      </c>
      <c r="H404" s="71" t="b">
        <f t="shared" si="14"/>
        <v>0</v>
      </c>
      <c r="J404">
        <v>0</v>
      </c>
    </row>
    <row r="405" spans="1:14">
      <c r="A405" t="s">
        <v>166</v>
      </c>
      <c r="B405">
        <v>10</v>
      </c>
      <c r="C405" t="s">
        <v>50</v>
      </c>
      <c r="D405">
        <v>2</v>
      </c>
      <c r="H405" s="71" t="b">
        <f t="shared" si="14"/>
        <v>0</v>
      </c>
      <c r="J405">
        <v>0</v>
      </c>
    </row>
    <row r="406" spans="1:14">
      <c r="A406" t="s">
        <v>166</v>
      </c>
      <c r="B406">
        <v>10</v>
      </c>
      <c r="C406" t="s">
        <v>51</v>
      </c>
      <c r="D406">
        <v>0</v>
      </c>
      <c r="H406" s="71" t="b">
        <f t="shared" si="14"/>
        <v>0</v>
      </c>
      <c r="J406">
        <v>8</v>
      </c>
      <c r="N406" s="71" t="b">
        <f>IF(AND(ISBLANK(K406),ISBLANK(L406),ISBLANK(M406)),FALSE,TRUE)</f>
        <v>0</v>
      </c>
    </row>
    <row r="407" spans="1:14">
      <c r="A407" t="s">
        <v>166</v>
      </c>
      <c r="B407">
        <v>10</v>
      </c>
      <c r="C407" t="s">
        <v>52</v>
      </c>
      <c r="D407">
        <v>0</v>
      </c>
      <c r="H407" s="71" t="b">
        <f t="shared" si="14"/>
        <v>0</v>
      </c>
      <c r="J407">
        <v>8</v>
      </c>
      <c r="N407" s="71" t="b">
        <f>IF(AND(ISBLANK(K407),ISBLANK(L407),ISBLANK(M407)),FALSE,TRUE)</f>
        <v>0</v>
      </c>
    </row>
    <row r="408" spans="1:14">
      <c r="A408" t="s">
        <v>166</v>
      </c>
      <c r="B408">
        <v>10</v>
      </c>
      <c r="C408" t="s">
        <v>53</v>
      </c>
      <c r="D408">
        <v>2</v>
      </c>
      <c r="H408" s="71" t="b">
        <f t="shared" si="14"/>
        <v>0</v>
      </c>
      <c r="J408">
        <v>0</v>
      </c>
    </row>
    <row r="409" spans="1:14">
      <c r="A409" t="s">
        <v>166</v>
      </c>
      <c r="B409">
        <v>10</v>
      </c>
      <c r="C409" t="s">
        <v>54</v>
      </c>
      <c r="D409">
        <v>1</v>
      </c>
      <c r="H409" s="71" t="b">
        <f t="shared" si="14"/>
        <v>0</v>
      </c>
      <c r="J409">
        <v>2</v>
      </c>
      <c r="N409" s="71" t="b">
        <f>IF(AND(ISBLANK(K409),ISBLANK(L409),ISBLANK(M409)),FALSE,TRUE)</f>
        <v>0</v>
      </c>
    </row>
    <row r="410" spans="1:14">
      <c r="A410" t="s">
        <v>166</v>
      </c>
      <c r="B410">
        <v>10</v>
      </c>
      <c r="C410" t="s">
        <v>55</v>
      </c>
      <c r="D410">
        <v>1</v>
      </c>
      <c r="H410" s="71" t="b">
        <f t="shared" si="14"/>
        <v>0</v>
      </c>
      <c r="J410">
        <v>2</v>
      </c>
      <c r="N410" s="71" t="b">
        <f>IF(AND(ISBLANK(K410),ISBLANK(L410),ISBLANK(M410)),FALSE,TRUE)</f>
        <v>0</v>
      </c>
    </row>
    <row r="411" spans="1:14">
      <c r="A411" t="s">
        <v>166</v>
      </c>
      <c r="B411">
        <v>10</v>
      </c>
      <c r="C411" t="s">
        <v>56</v>
      </c>
      <c r="D411">
        <v>1</v>
      </c>
      <c r="H411" s="71" t="b">
        <f t="shared" si="14"/>
        <v>0</v>
      </c>
      <c r="J411">
        <v>0</v>
      </c>
    </row>
    <row r="412" spans="1:14">
      <c r="A412" t="s">
        <v>166</v>
      </c>
      <c r="B412">
        <v>10</v>
      </c>
      <c r="C412" t="s">
        <v>57</v>
      </c>
      <c r="D412">
        <v>1</v>
      </c>
      <c r="H412" s="71" t="b">
        <f t="shared" si="14"/>
        <v>0</v>
      </c>
      <c r="J412">
        <v>0</v>
      </c>
    </row>
    <row r="413" spans="1:14">
      <c r="A413" t="s">
        <v>166</v>
      </c>
      <c r="B413">
        <v>10</v>
      </c>
      <c r="C413" t="s">
        <v>58</v>
      </c>
      <c r="D413">
        <v>1</v>
      </c>
      <c r="H413" s="71" t="b">
        <f t="shared" si="14"/>
        <v>0</v>
      </c>
      <c r="J413">
        <v>2</v>
      </c>
      <c r="N413" s="71" t="b">
        <f>IF(AND(ISBLANK(K413),ISBLANK(L413),ISBLANK(M413)),FALSE,TRUE)</f>
        <v>0</v>
      </c>
    </row>
    <row r="414" spans="1:14">
      <c r="A414" t="s">
        <v>166</v>
      </c>
      <c r="B414">
        <v>10</v>
      </c>
      <c r="C414" t="s">
        <v>59</v>
      </c>
      <c r="D414">
        <v>1</v>
      </c>
      <c r="H414" s="71" t="b">
        <f t="shared" si="14"/>
        <v>0</v>
      </c>
      <c r="J414">
        <v>0</v>
      </c>
    </row>
    <row r="415" spans="1:14">
      <c r="A415" t="s">
        <v>166</v>
      </c>
      <c r="B415">
        <v>10</v>
      </c>
      <c r="C415" t="s">
        <v>60</v>
      </c>
      <c r="D415">
        <v>1</v>
      </c>
      <c r="H415" s="71" t="b">
        <f t="shared" si="14"/>
        <v>0</v>
      </c>
      <c r="J415">
        <v>2</v>
      </c>
      <c r="N415" s="71" t="b">
        <f>IF(AND(ISBLANK(K415),ISBLANK(L415),ISBLANK(M415)),FALSE,TRUE)</f>
        <v>0</v>
      </c>
    </row>
    <row r="416" spans="1:14">
      <c r="A416" t="s">
        <v>166</v>
      </c>
      <c r="B416">
        <v>10</v>
      </c>
      <c r="C416" t="s">
        <v>61</v>
      </c>
      <c r="D416">
        <v>1</v>
      </c>
      <c r="H416" s="71" t="b">
        <f t="shared" si="14"/>
        <v>0</v>
      </c>
      <c r="J416">
        <v>2</v>
      </c>
      <c r="N416" s="71" t="b">
        <f>IF(AND(ISBLANK(K416),ISBLANK(L416),ISBLANK(M416)),FALSE,TRUE)</f>
        <v>0</v>
      </c>
    </row>
    <row r="417" spans="1:14">
      <c r="A417" t="s">
        <v>166</v>
      </c>
      <c r="B417">
        <v>10</v>
      </c>
      <c r="C417" t="s">
        <v>62</v>
      </c>
      <c r="D417">
        <v>1</v>
      </c>
      <c r="H417" s="71" t="b">
        <f t="shared" si="14"/>
        <v>0</v>
      </c>
      <c r="J417">
        <v>2</v>
      </c>
      <c r="N417" s="71" t="b">
        <f>IF(AND(ISBLANK(K417),ISBLANK(L417),ISBLANK(M417)),FALSE,TRUE)</f>
        <v>0</v>
      </c>
    </row>
    <row r="418" spans="1:14">
      <c r="A418" t="s">
        <v>166</v>
      </c>
      <c r="B418">
        <v>10</v>
      </c>
      <c r="C418" t="s">
        <v>63</v>
      </c>
      <c r="D418">
        <v>1</v>
      </c>
      <c r="H418" s="71" t="b">
        <f t="shared" si="14"/>
        <v>0</v>
      </c>
      <c r="J418">
        <v>0</v>
      </c>
    </row>
    <row r="419" spans="1:14">
      <c r="A419" t="s">
        <v>166</v>
      </c>
      <c r="B419">
        <v>10</v>
      </c>
      <c r="C419" t="s">
        <v>64</v>
      </c>
      <c r="D419">
        <v>1</v>
      </c>
      <c r="H419" s="71" t="b">
        <f t="shared" si="14"/>
        <v>0</v>
      </c>
      <c r="J419">
        <v>3</v>
      </c>
      <c r="N419" s="71" t="b">
        <f>IF(AND(ISBLANK(K419),ISBLANK(L419),ISBLANK(M419)),FALSE,TRUE)</f>
        <v>0</v>
      </c>
    </row>
    <row r="420" spans="1:14">
      <c r="A420" t="s">
        <v>166</v>
      </c>
      <c r="B420">
        <v>10</v>
      </c>
      <c r="C420" t="s">
        <v>65</v>
      </c>
      <c r="D420">
        <v>4</v>
      </c>
      <c r="H420" s="71" t="b">
        <f t="shared" si="14"/>
        <v>0</v>
      </c>
      <c r="J420">
        <v>4</v>
      </c>
      <c r="N420" s="71" t="b">
        <f>IF(AND(ISBLANK(K420),ISBLANK(L420),ISBLANK(M420)),FALSE,TRUE)</f>
        <v>0</v>
      </c>
    </row>
    <row r="421" spans="1:14">
      <c r="A421" t="s">
        <v>166</v>
      </c>
      <c r="B421">
        <v>10</v>
      </c>
      <c r="C421" t="s">
        <v>66</v>
      </c>
      <c r="D421">
        <v>3</v>
      </c>
      <c r="H421" s="71" t="b">
        <f t="shared" si="14"/>
        <v>0</v>
      </c>
      <c r="J421">
        <v>0</v>
      </c>
    </row>
    <row r="422" spans="1:14">
      <c r="A422" t="s">
        <v>166</v>
      </c>
      <c r="B422">
        <v>10</v>
      </c>
      <c r="C422" t="s">
        <v>67</v>
      </c>
      <c r="D422">
        <v>2</v>
      </c>
      <c r="H422" s="71" t="b">
        <f t="shared" si="14"/>
        <v>0</v>
      </c>
      <c r="J422">
        <v>4</v>
      </c>
      <c r="N422" s="71" t="b">
        <f>IF(AND(ISBLANK(K422),ISBLANK(L422),ISBLANK(M422)),FALSE,TRUE)</f>
        <v>0</v>
      </c>
    </row>
    <row r="423" spans="1:14">
      <c r="A423" t="s">
        <v>166</v>
      </c>
      <c r="B423">
        <v>10</v>
      </c>
      <c r="C423" t="s">
        <v>68</v>
      </c>
      <c r="D423">
        <v>4</v>
      </c>
      <c r="H423" s="71" t="b">
        <f t="shared" si="14"/>
        <v>0</v>
      </c>
      <c r="J423">
        <v>4</v>
      </c>
      <c r="N423" s="71" t="b">
        <f>IF(AND(ISBLANK(K423),ISBLANK(L423),ISBLANK(M423)),FALSE,TRUE)</f>
        <v>0</v>
      </c>
    </row>
    <row r="424" spans="1:14">
      <c r="A424" t="s">
        <v>166</v>
      </c>
      <c r="B424">
        <v>10</v>
      </c>
      <c r="C424" t="s">
        <v>69</v>
      </c>
      <c r="D424">
        <v>2</v>
      </c>
      <c r="H424" s="71" t="b">
        <f t="shared" si="14"/>
        <v>0</v>
      </c>
      <c r="J424">
        <v>2</v>
      </c>
      <c r="N424" s="71" t="b">
        <f>IF(AND(ISBLANK(K424),ISBLANK(L424),ISBLANK(M424)),FALSE,TRUE)</f>
        <v>0</v>
      </c>
    </row>
    <row r="425" spans="1:14">
      <c r="A425" t="s">
        <v>166</v>
      </c>
      <c r="B425">
        <v>10</v>
      </c>
      <c r="C425" t="s">
        <v>70</v>
      </c>
      <c r="D425">
        <v>2</v>
      </c>
      <c r="H425" s="71" t="b">
        <f t="shared" si="14"/>
        <v>0</v>
      </c>
      <c r="J425">
        <v>3</v>
      </c>
      <c r="N425" s="71" t="b">
        <f>IF(AND(ISBLANK(K425),ISBLANK(L425),ISBLANK(M425)),FALSE,TRUE)</f>
        <v>0</v>
      </c>
    </row>
    <row r="426" spans="1:14">
      <c r="A426" t="s">
        <v>166</v>
      </c>
      <c r="B426">
        <v>10</v>
      </c>
      <c r="C426" t="s">
        <v>71</v>
      </c>
      <c r="D426">
        <v>1</v>
      </c>
      <c r="H426" s="71" t="b">
        <f t="shared" si="14"/>
        <v>0</v>
      </c>
      <c r="J426">
        <v>0</v>
      </c>
    </row>
    <row r="427" spans="1:14">
      <c r="A427" t="s">
        <v>166</v>
      </c>
      <c r="B427">
        <v>10</v>
      </c>
      <c r="C427" t="s">
        <v>72</v>
      </c>
      <c r="D427">
        <v>1</v>
      </c>
      <c r="H427" s="71" t="b">
        <f t="shared" si="14"/>
        <v>0</v>
      </c>
      <c r="J427">
        <v>4</v>
      </c>
      <c r="N427" s="71" t="b">
        <f>IF(AND(ISBLANK(K427),ISBLANK(L427),ISBLANK(M427)),FALSE,TRUE)</f>
        <v>0</v>
      </c>
    </row>
    <row r="428" spans="1:14">
      <c r="A428" t="s">
        <v>166</v>
      </c>
      <c r="B428">
        <v>10</v>
      </c>
      <c r="C428" t="s">
        <v>73</v>
      </c>
      <c r="D428">
        <v>2</v>
      </c>
      <c r="H428" s="71" t="b">
        <f t="shared" si="14"/>
        <v>0</v>
      </c>
      <c r="J428">
        <v>3</v>
      </c>
      <c r="N428" s="71" t="b">
        <f>IF(AND(ISBLANK(K428),ISBLANK(L428),ISBLANK(M428)),FALSE,TRUE)</f>
        <v>0</v>
      </c>
    </row>
    <row r="429" spans="1:14">
      <c r="A429" t="s">
        <v>166</v>
      </c>
      <c r="B429">
        <v>10</v>
      </c>
      <c r="C429" t="s">
        <v>74</v>
      </c>
      <c r="D429">
        <v>2</v>
      </c>
      <c r="H429" s="71" t="b">
        <f t="shared" si="14"/>
        <v>0</v>
      </c>
      <c r="J429">
        <v>0</v>
      </c>
    </row>
    <row r="430" spans="1:14">
      <c r="A430" t="s">
        <v>166</v>
      </c>
      <c r="B430">
        <v>10</v>
      </c>
      <c r="C430" t="s">
        <v>75</v>
      </c>
      <c r="D430">
        <v>2</v>
      </c>
      <c r="H430" s="71" t="b">
        <f t="shared" si="14"/>
        <v>0</v>
      </c>
      <c r="J430">
        <v>0</v>
      </c>
    </row>
    <row r="431" spans="1:14">
      <c r="A431" t="s">
        <v>166</v>
      </c>
      <c r="B431">
        <v>10</v>
      </c>
      <c r="C431" t="s">
        <v>76</v>
      </c>
      <c r="D431">
        <v>2</v>
      </c>
      <c r="H431" s="71" t="b">
        <f t="shared" si="14"/>
        <v>0</v>
      </c>
      <c r="J431">
        <v>0</v>
      </c>
    </row>
    <row r="432" spans="1:14">
      <c r="A432" t="s">
        <v>166</v>
      </c>
      <c r="B432">
        <v>10</v>
      </c>
      <c r="C432" t="s">
        <v>77</v>
      </c>
      <c r="D432">
        <v>2</v>
      </c>
      <c r="H432" s="71" t="b">
        <f t="shared" si="14"/>
        <v>0</v>
      </c>
      <c r="J432">
        <v>0</v>
      </c>
    </row>
    <row r="433" spans="1:14">
      <c r="A433" t="s">
        <v>166</v>
      </c>
      <c r="B433">
        <v>10</v>
      </c>
      <c r="C433" t="s">
        <v>78</v>
      </c>
      <c r="D433">
        <v>2</v>
      </c>
      <c r="H433" s="71" t="b">
        <f t="shared" si="14"/>
        <v>0</v>
      </c>
      <c r="J433">
        <v>0</v>
      </c>
    </row>
    <row r="434" spans="1:14">
      <c r="A434" t="s">
        <v>166</v>
      </c>
      <c r="B434">
        <v>10</v>
      </c>
      <c r="C434" t="s">
        <v>79</v>
      </c>
      <c r="D434">
        <v>2</v>
      </c>
      <c r="H434" s="71" t="b">
        <f t="shared" si="14"/>
        <v>0</v>
      </c>
      <c r="J434">
        <v>0</v>
      </c>
    </row>
    <row r="435" spans="1:14">
      <c r="A435" t="s">
        <v>166</v>
      </c>
      <c r="B435">
        <v>11</v>
      </c>
      <c r="C435" t="s">
        <v>80</v>
      </c>
      <c r="D435">
        <v>1</v>
      </c>
      <c r="H435" s="71" t="b">
        <f t="shared" si="14"/>
        <v>0</v>
      </c>
      <c r="J435">
        <v>2</v>
      </c>
      <c r="N435" s="71" t="b">
        <f t="shared" ref="N435:N444" si="15">IF(AND(ISBLANK(K435),ISBLANK(L435),ISBLANK(M435)),FALSE,TRUE)</f>
        <v>0</v>
      </c>
    </row>
    <row r="436" spans="1:14">
      <c r="A436" t="s">
        <v>166</v>
      </c>
      <c r="B436">
        <v>11</v>
      </c>
      <c r="C436" t="s">
        <v>81</v>
      </c>
      <c r="D436">
        <v>2</v>
      </c>
      <c r="H436" s="71" t="b">
        <f t="shared" si="14"/>
        <v>0</v>
      </c>
      <c r="J436">
        <v>2</v>
      </c>
      <c r="N436" s="71" t="b">
        <f t="shared" si="15"/>
        <v>0</v>
      </c>
    </row>
    <row r="437" spans="1:14">
      <c r="A437" t="s">
        <v>166</v>
      </c>
      <c r="B437">
        <v>11</v>
      </c>
      <c r="C437" t="s">
        <v>82</v>
      </c>
      <c r="D437">
        <v>2</v>
      </c>
      <c r="H437" s="71" t="b">
        <f t="shared" si="14"/>
        <v>0</v>
      </c>
      <c r="J437">
        <v>2</v>
      </c>
      <c r="N437" s="71" t="b">
        <f t="shared" si="15"/>
        <v>0</v>
      </c>
    </row>
    <row r="438" spans="1:14">
      <c r="A438" t="s">
        <v>166</v>
      </c>
      <c r="B438">
        <v>11</v>
      </c>
      <c r="C438" t="s">
        <v>83</v>
      </c>
      <c r="D438">
        <v>2</v>
      </c>
      <c r="H438" s="71" t="b">
        <f t="shared" si="14"/>
        <v>0</v>
      </c>
      <c r="J438">
        <v>2</v>
      </c>
      <c r="N438" s="71" t="b">
        <f t="shared" si="15"/>
        <v>0</v>
      </c>
    </row>
    <row r="439" spans="1:14">
      <c r="A439" t="s">
        <v>166</v>
      </c>
      <c r="B439">
        <v>11</v>
      </c>
      <c r="C439" t="s">
        <v>84</v>
      </c>
      <c r="D439">
        <v>2</v>
      </c>
      <c r="H439" s="71" t="b">
        <f t="shared" si="14"/>
        <v>0</v>
      </c>
      <c r="J439">
        <v>2</v>
      </c>
      <c r="N439" s="71" t="b">
        <f t="shared" si="15"/>
        <v>0</v>
      </c>
    </row>
    <row r="440" spans="1:14">
      <c r="A440" t="s">
        <v>166</v>
      </c>
      <c r="B440">
        <v>11</v>
      </c>
      <c r="C440" t="s">
        <v>85</v>
      </c>
      <c r="D440">
        <v>1</v>
      </c>
      <c r="H440" s="71" t="b">
        <f t="shared" si="14"/>
        <v>0</v>
      </c>
      <c r="J440">
        <v>2</v>
      </c>
      <c r="N440" s="71" t="b">
        <f t="shared" si="15"/>
        <v>0</v>
      </c>
    </row>
    <row r="441" spans="1:14">
      <c r="A441" t="s">
        <v>166</v>
      </c>
      <c r="B441">
        <v>11</v>
      </c>
      <c r="C441" t="s">
        <v>86</v>
      </c>
      <c r="D441">
        <v>1</v>
      </c>
      <c r="H441" s="71" t="b">
        <f t="shared" si="14"/>
        <v>0</v>
      </c>
      <c r="J441">
        <v>2</v>
      </c>
      <c r="N441" s="71" t="b">
        <f t="shared" si="15"/>
        <v>0</v>
      </c>
    </row>
    <row r="442" spans="1:14">
      <c r="A442" t="s">
        <v>166</v>
      </c>
      <c r="B442">
        <v>11</v>
      </c>
      <c r="C442" t="s">
        <v>87</v>
      </c>
      <c r="D442">
        <v>1</v>
      </c>
      <c r="H442" s="71" t="b">
        <f t="shared" si="14"/>
        <v>0</v>
      </c>
      <c r="J442">
        <v>5</v>
      </c>
      <c r="N442" s="71" t="b">
        <f t="shared" si="15"/>
        <v>0</v>
      </c>
    </row>
    <row r="443" spans="1:14">
      <c r="A443" t="s">
        <v>166</v>
      </c>
      <c r="B443">
        <v>11</v>
      </c>
      <c r="C443" t="s">
        <v>88</v>
      </c>
      <c r="D443">
        <v>1</v>
      </c>
      <c r="H443" s="71" t="b">
        <f t="shared" si="14"/>
        <v>0</v>
      </c>
      <c r="J443">
        <v>2</v>
      </c>
      <c r="N443" s="71" t="b">
        <f t="shared" si="15"/>
        <v>0</v>
      </c>
    </row>
    <row r="444" spans="1:14">
      <c r="A444" t="s">
        <v>166</v>
      </c>
      <c r="B444">
        <v>11</v>
      </c>
      <c r="C444" t="s">
        <v>89</v>
      </c>
      <c r="D444">
        <v>2</v>
      </c>
      <c r="H444" s="71" t="b">
        <f t="shared" si="14"/>
        <v>0</v>
      </c>
      <c r="J444">
        <v>2</v>
      </c>
      <c r="N444" s="71" t="b">
        <f t="shared" si="15"/>
        <v>0</v>
      </c>
    </row>
    <row r="445" spans="1:14">
      <c r="A445" t="s">
        <v>166</v>
      </c>
      <c r="B445">
        <v>11</v>
      </c>
      <c r="C445" t="s">
        <v>90</v>
      </c>
      <c r="D445">
        <v>2</v>
      </c>
      <c r="H445" s="71" t="b">
        <f t="shared" si="14"/>
        <v>0</v>
      </c>
      <c r="J445">
        <v>0</v>
      </c>
    </row>
    <row r="446" spans="1:14">
      <c r="A446" t="s">
        <v>166</v>
      </c>
      <c r="B446">
        <v>11</v>
      </c>
      <c r="C446" t="s">
        <v>91</v>
      </c>
      <c r="D446">
        <v>2</v>
      </c>
      <c r="H446" s="71" t="b">
        <f t="shared" si="14"/>
        <v>0</v>
      </c>
      <c r="J446">
        <v>1</v>
      </c>
      <c r="N446" s="71" t="b">
        <f>IF(AND(ISBLANK(K446),ISBLANK(L446),ISBLANK(M446)),FALSE,TRUE)</f>
        <v>0</v>
      </c>
    </row>
    <row r="447" spans="1:14">
      <c r="A447" t="s">
        <v>166</v>
      </c>
      <c r="B447">
        <v>11</v>
      </c>
      <c r="C447" t="s">
        <v>92</v>
      </c>
      <c r="D447">
        <v>1</v>
      </c>
      <c r="H447" s="71" t="b">
        <f t="shared" si="14"/>
        <v>0</v>
      </c>
      <c r="J447">
        <v>0</v>
      </c>
    </row>
    <row r="448" spans="1:14">
      <c r="A448" t="s">
        <v>166</v>
      </c>
      <c r="B448">
        <v>11</v>
      </c>
      <c r="C448" t="s">
        <v>93</v>
      </c>
      <c r="D448">
        <v>1</v>
      </c>
      <c r="H448" s="71" t="b">
        <f t="shared" si="14"/>
        <v>0</v>
      </c>
      <c r="J448">
        <v>0</v>
      </c>
    </row>
    <row r="449" spans="1:14">
      <c r="A449" t="s">
        <v>166</v>
      </c>
      <c r="B449">
        <v>11</v>
      </c>
      <c r="C449" t="s">
        <v>94</v>
      </c>
      <c r="D449">
        <v>1</v>
      </c>
      <c r="H449" s="71" t="b">
        <f t="shared" si="14"/>
        <v>0</v>
      </c>
      <c r="J449">
        <v>3</v>
      </c>
      <c r="N449" s="71" t="b">
        <f t="shared" ref="N449:N468" si="16">IF(AND(ISBLANK(K449),ISBLANK(L449),ISBLANK(M449)),FALSE,TRUE)</f>
        <v>0</v>
      </c>
    </row>
    <row r="450" spans="1:14">
      <c r="A450" t="s">
        <v>166</v>
      </c>
      <c r="B450">
        <v>11</v>
      </c>
      <c r="C450" t="s">
        <v>95</v>
      </c>
      <c r="D450">
        <v>1</v>
      </c>
      <c r="H450" s="71" t="b">
        <f t="shared" si="14"/>
        <v>0</v>
      </c>
      <c r="J450">
        <v>2</v>
      </c>
      <c r="N450" s="71" t="b">
        <f t="shared" si="16"/>
        <v>0</v>
      </c>
    </row>
    <row r="451" spans="1:14">
      <c r="A451" t="s">
        <v>166</v>
      </c>
      <c r="B451">
        <v>11</v>
      </c>
      <c r="C451" t="s">
        <v>96</v>
      </c>
      <c r="D451">
        <v>1</v>
      </c>
      <c r="H451" s="71" t="b">
        <f t="shared" si="14"/>
        <v>0</v>
      </c>
      <c r="J451">
        <v>2</v>
      </c>
      <c r="N451" s="71" t="b">
        <f t="shared" si="16"/>
        <v>0</v>
      </c>
    </row>
    <row r="452" spans="1:14">
      <c r="A452" t="s">
        <v>166</v>
      </c>
      <c r="B452">
        <v>11</v>
      </c>
      <c r="C452" t="s">
        <v>97</v>
      </c>
      <c r="D452">
        <v>1</v>
      </c>
      <c r="H452" s="71" t="b">
        <f t="shared" si="14"/>
        <v>0</v>
      </c>
      <c r="J452">
        <v>2</v>
      </c>
      <c r="N452" s="71" t="b">
        <f t="shared" si="16"/>
        <v>0</v>
      </c>
    </row>
    <row r="453" spans="1:14">
      <c r="A453" t="s">
        <v>166</v>
      </c>
      <c r="B453">
        <v>11</v>
      </c>
      <c r="C453" t="s">
        <v>98</v>
      </c>
      <c r="D453">
        <v>1</v>
      </c>
      <c r="H453" s="71" t="b">
        <f t="shared" si="14"/>
        <v>0</v>
      </c>
      <c r="J453">
        <v>1</v>
      </c>
      <c r="N453" s="71" t="b">
        <f t="shared" si="16"/>
        <v>0</v>
      </c>
    </row>
    <row r="454" spans="1:14">
      <c r="A454" t="s">
        <v>166</v>
      </c>
      <c r="B454">
        <v>11</v>
      </c>
      <c r="C454" t="s">
        <v>99</v>
      </c>
      <c r="D454">
        <v>1</v>
      </c>
      <c r="H454" s="71" t="b">
        <f t="shared" si="14"/>
        <v>0</v>
      </c>
      <c r="J454">
        <v>1</v>
      </c>
      <c r="N454" s="71" t="b">
        <f t="shared" si="16"/>
        <v>0</v>
      </c>
    </row>
    <row r="455" spans="1:14">
      <c r="A455" t="s">
        <v>166</v>
      </c>
      <c r="B455">
        <v>11</v>
      </c>
      <c r="C455" t="s">
        <v>100</v>
      </c>
      <c r="D455">
        <v>1</v>
      </c>
      <c r="H455" s="71" t="b">
        <f t="shared" ref="H455:H518" si="17">IF(AND(ISBLANK(E455),ISBLANK(F455),ISBLANK(G455)),FALSE,TRUE)</f>
        <v>0</v>
      </c>
      <c r="J455">
        <v>1</v>
      </c>
      <c r="N455" s="71" t="b">
        <f t="shared" si="16"/>
        <v>0</v>
      </c>
    </row>
    <row r="456" spans="1:14">
      <c r="A456" t="s">
        <v>166</v>
      </c>
      <c r="B456">
        <v>11</v>
      </c>
      <c r="C456" t="s">
        <v>101</v>
      </c>
      <c r="D456">
        <v>1</v>
      </c>
      <c r="H456" s="71" t="b">
        <f t="shared" si="17"/>
        <v>0</v>
      </c>
      <c r="J456">
        <v>2</v>
      </c>
      <c r="N456" s="71" t="b">
        <f t="shared" si="16"/>
        <v>0</v>
      </c>
    </row>
    <row r="457" spans="1:14">
      <c r="A457" t="s">
        <v>166</v>
      </c>
      <c r="B457">
        <v>11</v>
      </c>
      <c r="C457" t="s">
        <v>102</v>
      </c>
      <c r="D457">
        <v>1</v>
      </c>
      <c r="H457" s="71" t="b">
        <f t="shared" si="17"/>
        <v>0</v>
      </c>
      <c r="J457">
        <v>2</v>
      </c>
      <c r="N457" s="71" t="b">
        <f t="shared" si="16"/>
        <v>0</v>
      </c>
    </row>
    <row r="458" spans="1:14">
      <c r="A458" t="s">
        <v>166</v>
      </c>
      <c r="B458">
        <v>11</v>
      </c>
      <c r="C458" t="s">
        <v>103</v>
      </c>
      <c r="D458">
        <v>1</v>
      </c>
      <c r="H458" s="71" t="b">
        <f t="shared" si="17"/>
        <v>0</v>
      </c>
      <c r="J458">
        <v>1</v>
      </c>
      <c r="N458" s="71" t="b">
        <f t="shared" si="16"/>
        <v>0</v>
      </c>
    </row>
    <row r="459" spans="1:14">
      <c r="A459" t="s">
        <v>166</v>
      </c>
      <c r="B459">
        <v>11</v>
      </c>
      <c r="C459" t="s">
        <v>104</v>
      </c>
      <c r="D459">
        <v>1</v>
      </c>
      <c r="H459" s="71" t="b">
        <f t="shared" si="17"/>
        <v>0</v>
      </c>
      <c r="J459">
        <v>2</v>
      </c>
      <c r="N459" s="71" t="b">
        <f t="shared" si="16"/>
        <v>0</v>
      </c>
    </row>
    <row r="460" spans="1:14">
      <c r="A460" t="s">
        <v>166</v>
      </c>
      <c r="B460">
        <v>11</v>
      </c>
      <c r="C460" t="s">
        <v>105</v>
      </c>
      <c r="D460">
        <v>1</v>
      </c>
      <c r="H460" s="71" t="b">
        <f t="shared" si="17"/>
        <v>0</v>
      </c>
      <c r="J460">
        <v>2</v>
      </c>
      <c r="N460" s="71" t="b">
        <f t="shared" si="16"/>
        <v>0</v>
      </c>
    </row>
    <row r="461" spans="1:14">
      <c r="A461" t="s">
        <v>166</v>
      </c>
      <c r="B461">
        <v>11</v>
      </c>
      <c r="C461" t="s">
        <v>106</v>
      </c>
      <c r="D461">
        <v>2</v>
      </c>
      <c r="H461" s="71" t="b">
        <f t="shared" si="17"/>
        <v>0</v>
      </c>
      <c r="J461">
        <v>3</v>
      </c>
      <c r="N461" s="71" t="b">
        <f t="shared" si="16"/>
        <v>0</v>
      </c>
    </row>
    <row r="462" spans="1:14">
      <c r="A462" t="s">
        <v>166</v>
      </c>
      <c r="B462">
        <v>11</v>
      </c>
      <c r="C462" t="s">
        <v>107</v>
      </c>
      <c r="D462">
        <v>2</v>
      </c>
      <c r="H462" s="71" t="b">
        <f t="shared" si="17"/>
        <v>0</v>
      </c>
      <c r="J462">
        <v>3</v>
      </c>
      <c r="N462" s="71" t="b">
        <f t="shared" si="16"/>
        <v>0</v>
      </c>
    </row>
    <row r="463" spans="1:14">
      <c r="A463" t="s">
        <v>166</v>
      </c>
      <c r="B463">
        <v>11</v>
      </c>
      <c r="C463" t="s">
        <v>108</v>
      </c>
      <c r="D463">
        <v>1</v>
      </c>
      <c r="H463" s="71" t="b">
        <f t="shared" si="17"/>
        <v>0</v>
      </c>
      <c r="J463">
        <v>3</v>
      </c>
      <c r="N463" s="71" t="b">
        <f t="shared" si="16"/>
        <v>0</v>
      </c>
    </row>
    <row r="464" spans="1:14">
      <c r="A464" t="s">
        <v>166</v>
      </c>
      <c r="B464">
        <v>11</v>
      </c>
      <c r="C464" t="s">
        <v>109</v>
      </c>
      <c r="D464">
        <v>2</v>
      </c>
      <c r="H464" s="71" t="b">
        <f t="shared" si="17"/>
        <v>0</v>
      </c>
      <c r="J464">
        <v>3</v>
      </c>
      <c r="N464" s="71" t="b">
        <f t="shared" si="16"/>
        <v>0</v>
      </c>
    </row>
    <row r="465" spans="1:14">
      <c r="A465" t="s">
        <v>166</v>
      </c>
      <c r="B465">
        <v>11</v>
      </c>
      <c r="C465" t="s">
        <v>110</v>
      </c>
      <c r="D465">
        <v>2</v>
      </c>
      <c r="H465" s="71" t="b">
        <f t="shared" si="17"/>
        <v>0</v>
      </c>
      <c r="J465">
        <v>3</v>
      </c>
      <c r="N465" s="71" t="b">
        <f t="shared" si="16"/>
        <v>0</v>
      </c>
    </row>
    <row r="466" spans="1:14">
      <c r="A466" t="s">
        <v>166</v>
      </c>
      <c r="B466">
        <v>11</v>
      </c>
      <c r="C466" t="s">
        <v>111</v>
      </c>
      <c r="D466">
        <v>2</v>
      </c>
      <c r="H466" s="71" t="b">
        <f t="shared" si="17"/>
        <v>0</v>
      </c>
      <c r="J466">
        <v>3</v>
      </c>
      <c r="N466" s="71" t="b">
        <f t="shared" si="16"/>
        <v>0</v>
      </c>
    </row>
    <row r="467" spans="1:14">
      <c r="A467" t="s">
        <v>166</v>
      </c>
      <c r="B467">
        <v>11</v>
      </c>
      <c r="C467" t="s">
        <v>112</v>
      </c>
      <c r="D467">
        <v>2</v>
      </c>
      <c r="H467" s="71" t="b">
        <f t="shared" si="17"/>
        <v>0</v>
      </c>
      <c r="J467">
        <v>3</v>
      </c>
      <c r="N467" s="71" t="b">
        <f t="shared" si="16"/>
        <v>0</v>
      </c>
    </row>
    <row r="468" spans="1:14">
      <c r="A468" t="s">
        <v>166</v>
      </c>
      <c r="B468">
        <v>11</v>
      </c>
      <c r="C468" t="s">
        <v>113</v>
      </c>
      <c r="D468">
        <v>2</v>
      </c>
      <c r="H468" s="71" t="b">
        <f t="shared" si="17"/>
        <v>0</v>
      </c>
      <c r="J468">
        <v>2</v>
      </c>
      <c r="N468" s="71" t="b">
        <f t="shared" si="16"/>
        <v>0</v>
      </c>
    </row>
    <row r="469" spans="1:14">
      <c r="A469" t="s">
        <v>166</v>
      </c>
      <c r="B469">
        <v>11</v>
      </c>
      <c r="C469" t="s">
        <v>114</v>
      </c>
      <c r="D469">
        <v>2</v>
      </c>
      <c r="H469" s="71" t="b">
        <f t="shared" si="17"/>
        <v>0</v>
      </c>
      <c r="J469">
        <v>0</v>
      </c>
    </row>
    <row r="470" spans="1:14">
      <c r="A470" t="s">
        <v>166</v>
      </c>
      <c r="B470">
        <v>11</v>
      </c>
      <c r="C470" t="s">
        <v>115</v>
      </c>
      <c r="D470">
        <v>2</v>
      </c>
      <c r="H470" s="71" t="b">
        <f t="shared" si="17"/>
        <v>0</v>
      </c>
      <c r="J470">
        <v>0</v>
      </c>
    </row>
    <row r="471" spans="1:14">
      <c r="A471" t="s">
        <v>166</v>
      </c>
      <c r="B471">
        <v>11</v>
      </c>
      <c r="C471" t="s">
        <v>116</v>
      </c>
      <c r="D471">
        <v>2</v>
      </c>
      <c r="H471" s="71" t="b">
        <f t="shared" si="17"/>
        <v>0</v>
      </c>
      <c r="J471">
        <v>0</v>
      </c>
    </row>
    <row r="472" spans="1:14">
      <c r="A472" t="s">
        <v>166</v>
      </c>
      <c r="B472">
        <v>11</v>
      </c>
      <c r="C472" t="s">
        <v>117</v>
      </c>
      <c r="D472">
        <v>6</v>
      </c>
      <c r="H472" s="71" t="b">
        <f t="shared" si="17"/>
        <v>0</v>
      </c>
      <c r="J472">
        <v>0</v>
      </c>
    </row>
    <row r="473" spans="1:14">
      <c r="A473" t="s">
        <v>166</v>
      </c>
      <c r="B473">
        <v>11</v>
      </c>
      <c r="C473" t="s">
        <v>118</v>
      </c>
      <c r="D473">
        <v>3</v>
      </c>
      <c r="H473" s="71" t="b">
        <f t="shared" si="17"/>
        <v>0</v>
      </c>
      <c r="J473">
        <v>0</v>
      </c>
    </row>
    <row r="474" spans="1:14">
      <c r="A474" t="s">
        <v>166</v>
      </c>
      <c r="B474">
        <v>11</v>
      </c>
      <c r="C474" t="s">
        <v>119</v>
      </c>
      <c r="D474">
        <v>3</v>
      </c>
      <c r="H474" s="71" t="b">
        <f t="shared" si="17"/>
        <v>0</v>
      </c>
      <c r="J474">
        <v>0</v>
      </c>
    </row>
    <row r="475" spans="1:14">
      <c r="A475" t="s">
        <v>166</v>
      </c>
      <c r="B475">
        <v>11</v>
      </c>
      <c r="C475" t="s">
        <v>120</v>
      </c>
      <c r="D475">
        <v>3</v>
      </c>
      <c r="H475" s="71" t="b">
        <f t="shared" si="17"/>
        <v>0</v>
      </c>
      <c r="J475">
        <v>0</v>
      </c>
    </row>
    <row r="476" spans="1:14">
      <c r="A476" t="s">
        <v>166</v>
      </c>
      <c r="B476">
        <v>11</v>
      </c>
      <c r="C476" t="s">
        <v>121</v>
      </c>
      <c r="D476">
        <v>3</v>
      </c>
      <c r="H476" s="71" t="b">
        <f t="shared" si="17"/>
        <v>0</v>
      </c>
      <c r="J476">
        <v>0</v>
      </c>
    </row>
    <row r="477" spans="1:14">
      <c r="A477" t="s">
        <v>166</v>
      </c>
      <c r="B477">
        <v>12</v>
      </c>
      <c r="C477" t="s">
        <v>122</v>
      </c>
      <c r="D477">
        <v>2</v>
      </c>
      <c r="H477" s="71" t="b">
        <f t="shared" si="17"/>
        <v>0</v>
      </c>
      <c r="J477">
        <v>2</v>
      </c>
      <c r="N477" s="71" t="b">
        <f>IF(AND(ISBLANK(K477),ISBLANK(L477),ISBLANK(M477)),FALSE,TRUE)</f>
        <v>0</v>
      </c>
    </row>
    <row r="478" spans="1:14">
      <c r="A478" t="s">
        <v>166</v>
      </c>
      <c r="B478">
        <v>12</v>
      </c>
      <c r="C478" t="s">
        <v>123</v>
      </c>
      <c r="D478">
        <v>2</v>
      </c>
      <c r="H478" s="71" t="b">
        <f t="shared" si="17"/>
        <v>0</v>
      </c>
      <c r="J478">
        <v>2</v>
      </c>
      <c r="N478" s="71" t="b">
        <f>IF(AND(ISBLANK(K478),ISBLANK(L478),ISBLANK(M478)),FALSE,TRUE)</f>
        <v>0</v>
      </c>
    </row>
    <row r="479" spans="1:14">
      <c r="A479" t="s">
        <v>166</v>
      </c>
      <c r="B479">
        <v>12</v>
      </c>
      <c r="C479" t="s">
        <v>124</v>
      </c>
      <c r="D479">
        <v>2</v>
      </c>
      <c r="H479" s="71" t="b">
        <f t="shared" si="17"/>
        <v>0</v>
      </c>
      <c r="J479">
        <v>0</v>
      </c>
    </row>
    <row r="480" spans="1:14">
      <c r="A480" t="s">
        <v>166</v>
      </c>
      <c r="B480">
        <v>12</v>
      </c>
      <c r="C480" t="s">
        <v>125</v>
      </c>
      <c r="D480">
        <v>4</v>
      </c>
      <c r="H480" s="71" t="b">
        <f t="shared" si="17"/>
        <v>0</v>
      </c>
      <c r="J480">
        <v>4</v>
      </c>
      <c r="N480" s="71" t="b">
        <f>IF(AND(ISBLANK(K480),ISBLANK(L480),ISBLANK(M480)),FALSE,TRUE)</f>
        <v>0</v>
      </c>
    </row>
    <row r="481" spans="1:14">
      <c r="A481" t="s">
        <v>166</v>
      </c>
      <c r="B481">
        <v>12</v>
      </c>
      <c r="C481" t="s">
        <v>126</v>
      </c>
      <c r="D481">
        <v>2</v>
      </c>
      <c r="H481" s="71" t="b">
        <f t="shared" si="17"/>
        <v>0</v>
      </c>
      <c r="J481">
        <v>2</v>
      </c>
      <c r="N481" s="71" t="b">
        <f>IF(AND(ISBLANK(K481),ISBLANK(L481),ISBLANK(M481)),FALSE,TRUE)</f>
        <v>0</v>
      </c>
    </row>
    <row r="482" spans="1:14">
      <c r="A482" t="s">
        <v>166</v>
      </c>
      <c r="B482">
        <v>12</v>
      </c>
      <c r="C482" t="s">
        <v>127</v>
      </c>
      <c r="D482">
        <v>2</v>
      </c>
      <c r="H482" s="71" t="b">
        <f t="shared" si="17"/>
        <v>0</v>
      </c>
      <c r="J482">
        <v>2</v>
      </c>
      <c r="N482" s="71" t="b">
        <f>IF(AND(ISBLANK(K482),ISBLANK(L482),ISBLANK(M482)),FALSE,TRUE)</f>
        <v>0</v>
      </c>
    </row>
    <row r="483" spans="1:14">
      <c r="A483" t="s">
        <v>166</v>
      </c>
      <c r="B483">
        <v>12</v>
      </c>
      <c r="C483" t="s">
        <v>128</v>
      </c>
      <c r="D483">
        <v>2</v>
      </c>
      <c r="H483" s="71" t="b">
        <f t="shared" si="17"/>
        <v>0</v>
      </c>
      <c r="J483">
        <v>2</v>
      </c>
      <c r="N483" s="71" t="b">
        <f>IF(AND(ISBLANK(K483),ISBLANK(L483),ISBLANK(M483)),FALSE,TRUE)</f>
        <v>0</v>
      </c>
    </row>
    <row r="484" spans="1:14">
      <c r="A484" t="s">
        <v>166</v>
      </c>
      <c r="B484">
        <v>12</v>
      </c>
      <c r="C484" t="s">
        <v>129</v>
      </c>
      <c r="D484">
        <v>2</v>
      </c>
      <c r="H484" s="71" t="b">
        <f t="shared" si="17"/>
        <v>0</v>
      </c>
      <c r="J484">
        <v>0</v>
      </c>
    </row>
    <row r="485" spans="1:14">
      <c r="A485" t="s">
        <v>166</v>
      </c>
      <c r="B485">
        <v>12</v>
      </c>
      <c r="C485" t="s">
        <v>130</v>
      </c>
      <c r="D485">
        <v>2</v>
      </c>
      <c r="H485" s="71" t="b">
        <f t="shared" si="17"/>
        <v>0</v>
      </c>
      <c r="J485">
        <v>1</v>
      </c>
      <c r="N485" s="71" t="b">
        <f>IF(AND(ISBLANK(K485),ISBLANK(L485),ISBLANK(M485)),FALSE,TRUE)</f>
        <v>0</v>
      </c>
    </row>
    <row r="486" spans="1:14">
      <c r="A486" t="s">
        <v>166</v>
      </c>
      <c r="B486">
        <v>12</v>
      </c>
      <c r="C486" t="s">
        <v>131</v>
      </c>
      <c r="D486">
        <v>3</v>
      </c>
      <c r="H486" s="71" t="b">
        <f t="shared" si="17"/>
        <v>0</v>
      </c>
      <c r="J486">
        <v>1</v>
      </c>
      <c r="N486" s="71" t="b">
        <f>IF(AND(ISBLANK(K486),ISBLANK(L486),ISBLANK(M486)),FALSE,TRUE)</f>
        <v>0</v>
      </c>
    </row>
    <row r="487" spans="1:14">
      <c r="A487" t="s">
        <v>166</v>
      </c>
      <c r="B487">
        <v>12</v>
      </c>
      <c r="C487" t="s">
        <v>132</v>
      </c>
      <c r="D487">
        <v>1</v>
      </c>
      <c r="H487" s="71" t="b">
        <f t="shared" si="17"/>
        <v>0</v>
      </c>
      <c r="J487">
        <v>1</v>
      </c>
      <c r="N487" s="71" t="b">
        <f>IF(AND(ISBLANK(K487),ISBLANK(L487),ISBLANK(M487)),FALSE,TRUE)</f>
        <v>0</v>
      </c>
    </row>
    <row r="488" spans="1:14">
      <c r="A488" t="s">
        <v>166</v>
      </c>
      <c r="B488">
        <v>12</v>
      </c>
      <c r="C488" t="s">
        <v>133</v>
      </c>
      <c r="D488">
        <v>1</v>
      </c>
      <c r="H488" s="71" t="b">
        <f t="shared" si="17"/>
        <v>0</v>
      </c>
      <c r="J488">
        <v>0</v>
      </c>
    </row>
    <row r="489" spans="1:14">
      <c r="A489" t="s">
        <v>166</v>
      </c>
      <c r="B489">
        <v>12</v>
      </c>
      <c r="C489" t="s">
        <v>134</v>
      </c>
      <c r="D489">
        <v>1</v>
      </c>
      <c r="H489" s="71" t="b">
        <f t="shared" si="17"/>
        <v>0</v>
      </c>
      <c r="J489">
        <v>1</v>
      </c>
      <c r="N489" s="71" t="b">
        <f t="shared" ref="N489:N499" si="18">IF(AND(ISBLANK(K489),ISBLANK(L489),ISBLANK(M489)),FALSE,TRUE)</f>
        <v>0</v>
      </c>
    </row>
    <row r="490" spans="1:14">
      <c r="A490" t="s">
        <v>166</v>
      </c>
      <c r="B490">
        <v>12</v>
      </c>
      <c r="C490" t="s">
        <v>135</v>
      </c>
      <c r="D490">
        <v>2</v>
      </c>
      <c r="H490" s="71" t="b">
        <f t="shared" si="17"/>
        <v>0</v>
      </c>
      <c r="J490">
        <v>1</v>
      </c>
      <c r="N490" s="71" t="b">
        <f t="shared" si="18"/>
        <v>0</v>
      </c>
    </row>
    <row r="491" spans="1:14">
      <c r="A491" t="s">
        <v>166</v>
      </c>
      <c r="B491">
        <v>12</v>
      </c>
      <c r="C491" t="s">
        <v>136</v>
      </c>
      <c r="D491">
        <v>2</v>
      </c>
      <c r="H491" s="71" t="b">
        <f t="shared" si="17"/>
        <v>0</v>
      </c>
      <c r="J491">
        <v>1</v>
      </c>
      <c r="N491" s="71" t="b">
        <f t="shared" si="18"/>
        <v>0</v>
      </c>
    </row>
    <row r="492" spans="1:14">
      <c r="A492" t="s">
        <v>166</v>
      </c>
      <c r="B492">
        <v>12</v>
      </c>
      <c r="C492" t="s">
        <v>137</v>
      </c>
      <c r="D492">
        <v>2</v>
      </c>
      <c r="H492" s="71" t="b">
        <f t="shared" si="17"/>
        <v>0</v>
      </c>
      <c r="J492">
        <v>1</v>
      </c>
      <c r="N492" s="71" t="b">
        <f t="shared" si="18"/>
        <v>0</v>
      </c>
    </row>
    <row r="493" spans="1:14">
      <c r="A493" t="s">
        <v>166</v>
      </c>
      <c r="B493">
        <v>12</v>
      </c>
      <c r="C493" t="s">
        <v>138</v>
      </c>
      <c r="D493">
        <v>1</v>
      </c>
      <c r="H493" s="71" t="b">
        <f t="shared" si="17"/>
        <v>0</v>
      </c>
      <c r="J493">
        <v>1</v>
      </c>
      <c r="N493" s="71" t="b">
        <f t="shared" si="18"/>
        <v>0</v>
      </c>
    </row>
    <row r="494" spans="1:14">
      <c r="A494" t="s">
        <v>166</v>
      </c>
      <c r="B494">
        <v>12</v>
      </c>
      <c r="C494" t="s">
        <v>139</v>
      </c>
      <c r="D494">
        <v>1</v>
      </c>
      <c r="H494" s="71" t="b">
        <f t="shared" si="17"/>
        <v>0</v>
      </c>
      <c r="J494">
        <v>1</v>
      </c>
      <c r="N494" s="71" t="b">
        <f t="shared" si="18"/>
        <v>0</v>
      </c>
    </row>
    <row r="495" spans="1:14">
      <c r="A495" t="s">
        <v>166</v>
      </c>
      <c r="B495">
        <v>12</v>
      </c>
      <c r="C495" t="s">
        <v>140</v>
      </c>
      <c r="D495">
        <v>1</v>
      </c>
      <c r="H495" s="71" t="b">
        <f t="shared" si="17"/>
        <v>0</v>
      </c>
      <c r="J495">
        <v>1</v>
      </c>
      <c r="N495" s="71" t="b">
        <f t="shared" si="18"/>
        <v>0</v>
      </c>
    </row>
    <row r="496" spans="1:14">
      <c r="A496" t="s">
        <v>166</v>
      </c>
      <c r="B496">
        <v>12</v>
      </c>
      <c r="C496" t="s">
        <v>141</v>
      </c>
      <c r="D496">
        <v>1</v>
      </c>
      <c r="H496" s="71" t="b">
        <f t="shared" si="17"/>
        <v>0</v>
      </c>
      <c r="J496">
        <v>1</v>
      </c>
      <c r="N496" s="71" t="b">
        <f t="shared" si="18"/>
        <v>0</v>
      </c>
    </row>
    <row r="497" spans="1:14">
      <c r="A497" t="s">
        <v>166</v>
      </c>
      <c r="B497">
        <v>12</v>
      </c>
      <c r="C497" t="s">
        <v>142</v>
      </c>
      <c r="D497">
        <v>2</v>
      </c>
      <c r="H497" s="71" t="b">
        <f t="shared" si="17"/>
        <v>0</v>
      </c>
      <c r="J497">
        <v>1</v>
      </c>
      <c r="N497" s="71" t="b">
        <f t="shared" si="18"/>
        <v>0</v>
      </c>
    </row>
    <row r="498" spans="1:14">
      <c r="A498" t="s">
        <v>166</v>
      </c>
      <c r="B498">
        <v>12</v>
      </c>
      <c r="C498" t="s">
        <v>143</v>
      </c>
      <c r="D498">
        <v>1</v>
      </c>
      <c r="H498" s="71" t="b">
        <f t="shared" si="17"/>
        <v>0</v>
      </c>
      <c r="J498">
        <v>2</v>
      </c>
      <c r="N498" s="71" t="b">
        <f t="shared" si="18"/>
        <v>0</v>
      </c>
    </row>
    <row r="499" spans="1:14">
      <c r="A499" t="s">
        <v>166</v>
      </c>
      <c r="B499">
        <v>12</v>
      </c>
      <c r="C499" t="s">
        <v>144</v>
      </c>
      <c r="D499">
        <v>1</v>
      </c>
      <c r="H499" s="71" t="b">
        <f t="shared" si="17"/>
        <v>0</v>
      </c>
      <c r="J499">
        <v>2</v>
      </c>
      <c r="N499" s="71" t="b">
        <f t="shared" si="18"/>
        <v>0</v>
      </c>
    </row>
    <row r="500" spans="1:14">
      <c r="A500" t="s">
        <v>166</v>
      </c>
      <c r="B500">
        <v>12</v>
      </c>
      <c r="C500" t="s">
        <v>145</v>
      </c>
      <c r="D500">
        <v>1</v>
      </c>
      <c r="H500" s="71" t="b">
        <f t="shared" si="17"/>
        <v>0</v>
      </c>
      <c r="J500">
        <v>0</v>
      </c>
    </row>
    <row r="501" spans="1:14">
      <c r="A501" t="s">
        <v>166</v>
      </c>
      <c r="B501">
        <v>12</v>
      </c>
      <c r="C501" t="s">
        <v>146</v>
      </c>
      <c r="D501">
        <v>1</v>
      </c>
      <c r="H501" s="71" t="b">
        <f t="shared" si="17"/>
        <v>0</v>
      </c>
      <c r="J501">
        <v>0</v>
      </c>
    </row>
    <row r="502" spans="1:14">
      <c r="A502" t="s">
        <v>166</v>
      </c>
      <c r="B502">
        <v>12</v>
      </c>
      <c r="C502" t="s">
        <v>147</v>
      </c>
      <c r="D502">
        <v>1</v>
      </c>
      <c r="H502" s="71" t="b">
        <f t="shared" si="17"/>
        <v>0</v>
      </c>
      <c r="J502">
        <v>2</v>
      </c>
      <c r="N502" s="71" t="b">
        <f>IF(AND(ISBLANK(K502),ISBLANK(L502),ISBLANK(M502)),FALSE,TRUE)</f>
        <v>0</v>
      </c>
    </row>
    <row r="503" spans="1:14">
      <c r="A503" t="s">
        <v>166</v>
      </c>
      <c r="B503">
        <v>12</v>
      </c>
      <c r="C503" t="s">
        <v>148</v>
      </c>
      <c r="D503">
        <v>2</v>
      </c>
      <c r="H503" s="71" t="b">
        <f t="shared" si="17"/>
        <v>0</v>
      </c>
      <c r="J503">
        <v>2</v>
      </c>
      <c r="N503" s="71" t="b">
        <f>IF(AND(ISBLANK(K503),ISBLANK(L503),ISBLANK(M503)),FALSE,TRUE)</f>
        <v>0</v>
      </c>
    </row>
    <row r="504" spans="1:14">
      <c r="A504" t="s">
        <v>166</v>
      </c>
      <c r="B504">
        <v>12</v>
      </c>
      <c r="C504" t="s">
        <v>149</v>
      </c>
      <c r="D504">
        <v>3</v>
      </c>
      <c r="H504" s="71" t="b">
        <f t="shared" si="17"/>
        <v>0</v>
      </c>
      <c r="J504">
        <v>0</v>
      </c>
    </row>
    <row r="505" spans="1:14">
      <c r="A505" t="s">
        <v>166</v>
      </c>
      <c r="B505">
        <v>12</v>
      </c>
      <c r="C505" t="s">
        <v>150</v>
      </c>
      <c r="D505">
        <v>3</v>
      </c>
      <c r="H505" s="71" t="b">
        <f t="shared" si="17"/>
        <v>0</v>
      </c>
      <c r="J505">
        <v>0</v>
      </c>
    </row>
    <row r="506" spans="1:14">
      <c r="A506" t="s">
        <v>166</v>
      </c>
      <c r="B506">
        <v>12</v>
      </c>
      <c r="C506" t="s">
        <v>151</v>
      </c>
      <c r="D506">
        <v>2</v>
      </c>
      <c r="H506" s="71" t="b">
        <f t="shared" si="17"/>
        <v>0</v>
      </c>
      <c r="J506">
        <v>0</v>
      </c>
    </row>
    <row r="507" spans="1:14">
      <c r="A507" t="s">
        <v>166</v>
      </c>
      <c r="B507">
        <v>12</v>
      </c>
      <c r="C507" t="s">
        <v>152</v>
      </c>
      <c r="D507">
        <v>2</v>
      </c>
      <c r="H507" s="71" t="b">
        <f t="shared" si="17"/>
        <v>0</v>
      </c>
      <c r="J507">
        <v>0</v>
      </c>
    </row>
    <row r="508" spans="1:14">
      <c r="A508" t="s">
        <v>166</v>
      </c>
      <c r="B508">
        <v>12</v>
      </c>
      <c r="C508" t="s">
        <v>153</v>
      </c>
      <c r="D508">
        <v>2</v>
      </c>
      <c r="H508" s="71" t="b">
        <f t="shared" si="17"/>
        <v>0</v>
      </c>
      <c r="J508">
        <v>0</v>
      </c>
    </row>
    <row r="509" spans="1:14">
      <c r="A509" t="s">
        <v>166</v>
      </c>
      <c r="B509">
        <v>12</v>
      </c>
      <c r="C509" t="s">
        <v>154</v>
      </c>
      <c r="D509">
        <v>2</v>
      </c>
      <c r="H509" s="71" t="b">
        <f t="shared" si="17"/>
        <v>0</v>
      </c>
      <c r="J509">
        <v>0</v>
      </c>
    </row>
    <row r="510" spans="1:14">
      <c r="A510" t="s">
        <v>166</v>
      </c>
      <c r="B510">
        <v>12</v>
      </c>
      <c r="C510" t="s">
        <v>155</v>
      </c>
      <c r="D510">
        <v>2</v>
      </c>
      <c r="H510" s="71" t="b">
        <f t="shared" si="17"/>
        <v>0</v>
      </c>
      <c r="J510">
        <v>0</v>
      </c>
    </row>
    <row r="511" spans="1:14">
      <c r="A511" t="s">
        <v>166</v>
      </c>
      <c r="B511">
        <v>12</v>
      </c>
      <c r="C511" t="s">
        <v>156</v>
      </c>
      <c r="D511">
        <v>2</v>
      </c>
      <c r="H511" s="71" t="b">
        <f t="shared" si="17"/>
        <v>0</v>
      </c>
      <c r="J511">
        <v>0</v>
      </c>
    </row>
    <row r="512" spans="1:14">
      <c r="A512" t="s">
        <v>166</v>
      </c>
      <c r="B512">
        <v>12</v>
      </c>
      <c r="C512" t="s">
        <v>157</v>
      </c>
      <c r="D512">
        <v>0</v>
      </c>
      <c r="H512" s="71" t="b">
        <f t="shared" si="17"/>
        <v>0</v>
      </c>
      <c r="J512">
        <v>8</v>
      </c>
      <c r="N512" s="71" t="b">
        <f>IF(AND(ISBLANK(K512),ISBLANK(L512),ISBLANK(M512)),FALSE,TRUE)</f>
        <v>0</v>
      </c>
    </row>
    <row r="513" spans="1:14">
      <c r="A513" t="s">
        <v>166</v>
      </c>
      <c r="B513">
        <v>12</v>
      </c>
      <c r="C513" t="s">
        <v>158</v>
      </c>
      <c r="D513">
        <v>0</v>
      </c>
      <c r="H513" s="71" t="b">
        <f t="shared" si="17"/>
        <v>0</v>
      </c>
      <c r="J513">
        <v>8</v>
      </c>
      <c r="N513" s="71" t="b">
        <f>IF(AND(ISBLANK(K513),ISBLANK(L513),ISBLANK(M513)),FALSE,TRUE)</f>
        <v>0</v>
      </c>
    </row>
    <row r="514" spans="1:14">
      <c r="A514" t="s">
        <v>166</v>
      </c>
      <c r="B514">
        <v>12</v>
      </c>
      <c r="C514" t="s">
        <v>159</v>
      </c>
      <c r="D514">
        <v>4</v>
      </c>
      <c r="H514" s="71" t="b">
        <f t="shared" si="17"/>
        <v>0</v>
      </c>
      <c r="J514">
        <v>4</v>
      </c>
      <c r="N514" s="71" t="b">
        <f>IF(AND(ISBLANK(K514),ISBLANK(L514),ISBLANK(M514)),FALSE,TRUE)</f>
        <v>0</v>
      </c>
    </row>
    <row r="515" spans="1:14">
      <c r="A515" t="s">
        <v>166</v>
      </c>
      <c r="B515">
        <v>12</v>
      </c>
      <c r="C515" t="s">
        <v>160</v>
      </c>
      <c r="D515">
        <v>4</v>
      </c>
      <c r="H515" s="71" t="b">
        <f t="shared" si="17"/>
        <v>0</v>
      </c>
      <c r="J515">
        <v>8</v>
      </c>
      <c r="N515" s="71" t="b">
        <f>IF(AND(ISBLANK(K515),ISBLANK(L515),ISBLANK(M515)),FALSE,TRUE)</f>
        <v>0</v>
      </c>
    </row>
    <row r="516" spans="1:14">
      <c r="A516" t="s">
        <v>166</v>
      </c>
      <c r="B516">
        <v>12</v>
      </c>
      <c r="C516" t="s">
        <v>161</v>
      </c>
      <c r="D516">
        <v>1</v>
      </c>
      <c r="H516" s="71" t="b">
        <f t="shared" si="17"/>
        <v>0</v>
      </c>
      <c r="J516">
        <v>0</v>
      </c>
    </row>
    <row r="517" spans="1:14">
      <c r="A517" t="s">
        <v>166</v>
      </c>
      <c r="B517">
        <v>12</v>
      </c>
      <c r="C517" t="s">
        <v>162</v>
      </c>
      <c r="D517">
        <v>0</v>
      </c>
      <c r="H517" s="71" t="b">
        <f t="shared" si="17"/>
        <v>0</v>
      </c>
      <c r="J517">
        <v>0</v>
      </c>
    </row>
    <row r="518" spans="1:14">
      <c r="A518" t="s">
        <v>166</v>
      </c>
      <c r="B518">
        <v>12</v>
      </c>
      <c r="C518" t="s">
        <v>163</v>
      </c>
      <c r="D518">
        <v>0</v>
      </c>
      <c r="H518" s="71" t="b">
        <f t="shared" si="17"/>
        <v>0</v>
      </c>
      <c r="J518">
        <v>6</v>
      </c>
      <c r="N518" s="71" t="b">
        <f>IF(AND(ISBLANK(K518),ISBLANK(L518),ISBLANK(M518)),FALSE,TRUE)</f>
        <v>0</v>
      </c>
    </row>
    <row r="519" spans="1:14">
      <c r="A519" t="s">
        <v>167</v>
      </c>
      <c r="B519">
        <v>10</v>
      </c>
      <c r="C519" t="s">
        <v>35</v>
      </c>
      <c r="D519">
        <v>3</v>
      </c>
      <c r="H519" s="71" t="b">
        <f>IF(AND(ISBLANK(E519),ISBLANK(F519),ISBLANK(G519)),FALSE,TRUE)</f>
        <v>0</v>
      </c>
      <c r="J519">
        <v>0</v>
      </c>
    </row>
    <row r="520" spans="1:14">
      <c r="A520" t="s">
        <v>167</v>
      </c>
      <c r="B520">
        <v>10</v>
      </c>
      <c r="C520" t="s">
        <v>36</v>
      </c>
      <c r="D520">
        <v>2</v>
      </c>
      <c r="H520" s="71" t="b">
        <f t="shared" ref="H520:H583" si="19">IF(AND(ISBLANK(E520),ISBLANK(F520),ISBLANK(G520)),FALSE,TRUE)</f>
        <v>0</v>
      </c>
      <c r="J520">
        <v>1</v>
      </c>
      <c r="N520" s="71" t="b">
        <f>IF(AND(ISBLANK(K520),ISBLANK(L520),ISBLANK(M520)),FALSE,TRUE)</f>
        <v>0</v>
      </c>
    </row>
    <row r="521" spans="1:14">
      <c r="A521" t="s">
        <v>167</v>
      </c>
      <c r="B521">
        <v>10</v>
      </c>
      <c r="C521" t="s">
        <v>37</v>
      </c>
      <c r="D521">
        <v>1</v>
      </c>
      <c r="H521" s="71" t="b">
        <f t="shared" si="19"/>
        <v>0</v>
      </c>
      <c r="J521">
        <v>3</v>
      </c>
      <c r="N521" s="71" t="b">
        <f>IF(AND(ISBLANK(K521),ISBLANK(L521),ISBLANK(M521)),FALSE,TRUE)</f>
        <v>0</v>
      </c>
    </row>
    <row r="522" spans="1:14">
      <c r="A522" t="s">
        <v>167</v>
      </c>
      <c r="B522">
        <v>10</v>
      </c>
      <c r="C522" t="s">
        <v>38</v>
      </c>
      <c r="D522">
        <v>1</v>
      </c>
      <c r="H522" s="71" t="b">
        <f t="shared" si="19"/>
        <v>0</v>
      </c>
      <c r="J522">
        <v>0</v>
      </c>
    </row>
    <row r="523" spans="1:14">
      <c r="A523" t="s">
        <v>167</v>
      </c>
      <c r="B523">
        <v>10</v>
      </c>
      <c r="C523" t="s">
        <v>39</v>
      </c>
      <c r="D523">
        <v>1</v>
      </c>
      <c r="H523" s="71" t="b">
        <f t="shared" si="19"/>
        <v>0</v>
      </c>
      <c r="J523">
        <v>1</v>
      </c>
      <c r="N523" s="71" t="b">
        <f>IF(AND(ISBLANK(K523),ISBLANK(L523),ISBLANK(M523)),FALSE,TRUE)</f>
        <v>0</v>
      </c>
    </row>
    <row r="524" spans="1:14">
      <c r="A524" t="s">
        <v>167</v>
      </c>
      <c r="B524">
        <v>10</v>
      </c>
      <c r="C524" t="s">
        <v>40</v>
      </c>
      <c r="D524">
        <v>1</v>
      </c>
      <c r="H524" s="71" t="b">
        <f t="shared" si="19"/>
        <v>0</v>
      </c>
      <c r="J524">
        <v>1</v>
      </c>
      <c r="N524" s="71" t="b">
        <f>IF(AND(ISBLANK(K524),ISBLANK(L524),ISBLANK(M524)),FALSE,TRUE)</f>
        <v>0</v>
      </c>
    </row>
    <row r="525" spans="1:14">
      <c r="A525" t="s">
        <v>167</v>
      </c>
      <c r="B525">
        <v>10</v>
      </c>
      <c r="C525" t="s">
        <v>41</v>
      </c>
      <c r="D525">
        <v>1</v>
      </c>
      <c r="H525" s="71" t="b">
        <f t="shared" si="19"/>
        <v>0</v>
      </c>
      <c r="J525">
        <v>1</v>
      </c>
      <c r="N525" s="71" t="b">
        <f>IF(AND(ISBLANK(K525),ISBLANK(L525),ISBLANK(M525)),FALSE,TRUE)</f>
        <v>0</v>
      </c>
    </row>
    <row r="526" spans="1:14">
      <c r="A526" t="s">
        <v>167</v>
      </c>
      <c r="B526">
        <v>10</v>
      </c>
      <c r="C526" t="s">
        <v>42</v>
      </c>
      <c r="D526">
        <v>1</v>
      </c>
      <c r="H526" s="71" t="b">
        <f t="shared" si="19"/>
        <v>0</v>
      </c>
      <c r="J526">
        <v>0</v>
      </c>
    </row>
    <row r="527" spans="1:14">
      <c r="A527" t="s">
        <v>167</v>
      </c>
      <c r="B527">
        <v>10</v>
      </c>
      <c r="C527" t="s">
        <v>43</v>
      </c>
      <c r="D527">
        <v>1</v>
      </c>
      <c r="H527" s="71" t="b">
        <f t="shared" si="19"/>
        <v>0</v>
      </c>
      <c r="J527">
        <v>0</v>
      </c>
    </row>
    <row r="528" spans="1:14">
      <c r="A528" t="s">
        <v>167</v>
      </c>
      <c r="B528">
        <v>10</v>
      </c>
      <c r="C528" t="s">
        <v>44</v>
      </c>
      <c r="D528">
        <v>1</v>
      </c>
      <c r="H528" s="71" t="b">
        <f t="shared" si="19"/>
        <v>0</v>
      </c>
      <c r="J528">
        <v>2</v>
      </c>
      <c r="N528" s="71" t="b">
        <f>IF(AND(ISBLANK(K528),ISBLANK(L528),ISBLANK(M528)),FALSE,TRUE)</f>
        <v>0</v>
      </c>
    </row>
    <row r="529" spans="1:14">
      <c r="A529" t="s">
        <v>167</v>
      </c>
      <c r="B529">
        <v>10</v>
      </c>
      <c r="C529" t="s">
        <v>45</v>
      </c>
      <c r="D529">
        <v>1</v>
      </c>
      <c r="H529" s="71" t="b">
        <f t="shared" si="19"/>
        <v>0</v>
      </c>
      <c r="J529">
        <v>1</v>
      </c>
      <c r="N529" s="71" t="b">
        <f>IF(AND(ISBLANK(K529),ISBLANK(L529),ISBLANK(M529)),FALSE,TRUE)</f>
        <v>0</v>
      </c>
    </row>
    <row r="530" spans="1:14">
      <c r="A530" t="s">
        <v>167</v>
      </c>
      <c r="B530">
        <v>10</v>
      </c>
      <c r="C530" t="s">
        <v>46</v>
      </c>
      <c r="D530">
        <v>1</v>
      </c>
      <c r="H530" s="71" t="b">
        <f t="shared" si="19"/>
        <v>0</v>
      </c>
      <c r="J530">
        <v>1</v>
      </c>
      <c r="N530" s="71" t="b">
        <f>IF(AND(ISBLANK(K530),ISBLANK(L530),ISBLANK(M530)),FALSE,TRUE)</f>
        <v>0</v>
      </c>
    </row>
    <row r="531" spans="1:14">
      <c r="A531" t="s">
        <v>167</v>
      </c>
      <c r="B531">
        <v>10</v>
      </c>
      <c r="C531" t="s">
        <v>47</v>
      </c>
      <c r="D531">
        <v>3</v>
      </c>
      <c r="H531" s="71" t="b">
        <f t="shared" si="19"/>
        <v>0</v>
      </c>
      <c r="J531">
        <v>0</v>
      </c>
    </row>
    <row r="532" spans="1:14">
      <c r="A532" t="s">
        <v>167</v>
      </c>
      <c r="B532">
        <v>10</v>
      </c>
      <c r="C532" t="s">
        <v>48</v>
      </c>
      <c r="D532">
        <v>2</v>
      </c>
      <c r="H532" s="71" t="b">
        <f t="shared" si="19"/>
        <v>0</v>
      </c>
      <c r="J532">
        <v>2</v>
      </c>
      <c r="N532" s="71" t="b">
        <f>IF(AND(ISBLANK(K532),ISBLANK(L532),ISBLANK(M532)),FALSE,TRUE)</f>
        <v>0</v>
      </c>
    </row>
    <row r="533" spans="1:14">
      <c r="A533" t="s">
        <v>167</v>
      </c>
      <c r="B533">
        <v>10</v>
      </c>
      <c r="C533" t="s">
        <v>49</v>
      </c>
      <c r="D533">
        <v>4</v>
      </c>
      <c r="H533" s="71" t="b">
        <f t="shared" si="19"/>
        <v>0</v>
      </c>
      <c r="J533">
        <v>0</v>
      </c>
    </row>
    <row r="534" spans="1:14">
      <c r="A534" t="s">
        <v>167</v>
      </c>
      <c r="B534">
        <v>10</v>
      </c>
      <c r="C534" t="s">
        <v>50</v>
      </c>
      <c r="D534">
        <v>2</v>
      </c>
      <c r="H534" s="71" t="b">
        <f t="shared" si="19"/>
        <v>0</v>
      </c>
      <c r="J534">
        <v>0</v>
      </c>
    </row>
    <row r="535" spans="1:14">
      <c r="A535" t="s">
        <v>167</v>
      </c>
      <c r="B535">
        <v>10</v>
      </c>
      <c r="C535" t="s">
        <v>51</v>
      </c>
      <c r="D535">
        <v>0</v>
      </c>
      <c r="H535" s="71" t="b">
        <f t="shared" si="19"/>
        <v>0</v>
      </c>
      <c r="J535">
        <v>8</v>
      </c>
      <c r="N535" s="71" t="b">
        <f>IF(AND(ISBLANK(K535),ISBLANK(L535),ISBLANK(M535)),FALSE,TRUE)</f>
        <v>0</v>
      </c>
    </row>
    <row r="536" spans="1:14">
      <c r="A536" t="s">
        <v>167</v>
      </c>
      <c r="B536">
        <v>10</v>
      </c>
      <c r="C536" t="s">
        <v>52</v>
      </c>
      <c r="D536">
        <v>0</v>
      </c>
      <c r="H536" s="71" t="b">
        <f t="shared" si="19"/>
        <v>0</v>
      </c>
      <c r="J536">
        <v>8</v>
      </c>
      <c r="N536" s="71" t="b">
        <f>IF(AND(ISBLANK(K536),ISBLANK(L536),ISBLANK(M536)),FALSE,TRUE)</f>
        <v>0</v>
      </c>
    </row>
    <row r="537" spans="1:14">
      <c r="A537" t="s">
        <v>167</v>
      </c>
      <c r="B537">
        <v>10</v>
      </c>
      <c r="C537" t="s">
        <v>53</v>
      </c>
      <c r="D537">
        <v>2</v>
      </c>
      <c r="H537" s="71" t="b">
        <f t="shared" si="19"/>
        <v>0</v>
      </c>
      <c r="J537">
        <v>0</v>
      </c>
    </row>
    <row r="538" spans="1:14">
      <c r="A538" t="s">
        <v>167</v>
      </c>
      <c r="B538">
        <v>10</v>
      </c>
      <c r="C538" t="s">
        <v>54</v>
      </c>
      <c r="D538">
        <v>1</v>
      </c>
      <c r="H538" s="71" t="b">
        <f t="shared" si="19"/>
        <v>0</v>
      </c>
      <c r="J538">
        <v>2</v>
      </c>
      <c r="N538" s="71" t="b">
        <f>IF(AND(ISBLANK(K538),ISBLANK(L538),ISBLANK(M538)),FALSE,TRUE)</f>
        <v>0</v>
      </c>
    </row>
    <row r="539" spans="1:14">
      <c r="A539" t="s">
        <v>167</v>
      </c>
      <c r="B539">
        <v>10</v>
      </c>
      <c r="C539" t="s">
        <v>55</v>
      </c>
      <c r="D539">
        <v>1</v>
      </c>
      <c r="H539" s="71" t="b">
        <f t="shared" si="19"/>
        <v>0</v>
      </c>
      <c r="J539">
        <v>2</v>
      </c>
      <c r="N539" s="71" t="b">
        <f>IF(AND(ISBLANK(K539),ISBLANK(L539),ISBLANK(M539)),FALSE,TRUE)</f>
        <v>0</v>
      </c>
    </row>
    <row r="540" spans="1:14">
      <c r="A540" t="s">
        <v>167</v>
      </c>
      <c r="B540">
        <v>10</v>
      </c>
      <c r="C540" t="s">
        <v>56</v>
      </c>
      <c r="D540">
        <v>1</v>
      </c>
      <c r="H540" s="71" t="b">
        <f t="shared" si="19"/>
        <v>0</v>
      </c>
      <c r="J540">
        <v>0</v>
      </c>
    </row>
    <row r="541" spans="1:14">
      <c r="A541" t="s">
        <v>167</v>
      </c>
      <c r="B541">
        <v>10</v>
      </c>
      <c r="C541" t="s">
        <v>57</v>
      </c>
      <c r="D541">
        <v>1</v>
      </c>
      <c r="H541" s="71" t="b">
        <f t="shared" si="19"/>
        <v>0</v>
      </c>
      <c r="J541">
        <v>0</v>
      </c>
    </row>
    <row r="542" spans="1:14">
      <c r="A542" t="s">
        <v>167</v>
      </c>
      <c r="B542">
        <v>10</v>
      </c>
      <c r="C542" t="s">
        <v>58</v>
      </c>
      <c r="D542">
        <v>1</v>
      </c>
      <c r="H542" s="71" t="b">
        <f t="shared" si="19"/>
        <v>0</v>
      </c>
      <c r="J542">
        <v>2</v>
      </c>
      <c r="N542" s="71" t="b">
        <f>IF(AND(ISBLANK(K542),ISBLANK(L542),ISBLANK(M542)),FALSE,TRUE)</f>
        <v>0</v>
      </c>
    </row>
    <row r="543" spans="1:14">
      <c r="A543" t="s">
        <v>167</v>
      </c>
      <c r="B543">
        <v>10</v>
      </c>
      <c r="C543" t="s">
        <v>59</v>
      </c>
      <c r="D543">
        <v>1</v>
      </c>
      <c r="H543" s="71" t="b">
        <f t="shared" si="19"/>
        <v>0</v>
      </c>
      <c r="J543">
        <v>0</v>
      </c>
    </row>
    <row r="544" spans="1:14">
      <c r="A544" t="s">
        <v>167</v>
      </c>
      <c r="B544">
        <v>10</v>
      </c>
      <c r="C544" t="s">
        <v>60</v>
      </c>
      <c r="D544">
        <v>1</v>
      </c>
      <c r="H544" s="71" t="b">
        <f t="shared" si="19"/>
        <v>0</v>
      </c>
      <c r="J544">
        <v>2</v>
      </c>
      <c r="N544" s="71" t="b">
        <f>IF(AND(ISBLANK(K544),ISBLANK(L544),ISBLANK(M544)),FALSE,TRUE)</f>
        <v>0</v>
      </c>
    </row>
    <row r="545" spans="1:14">
      <c r="A545" t="s">
        <v>167</v>
      </c>
      <c r="B545">
        <v>10</v>
      </c>
      <c r="C545" t="s">
        <v>61</v>
      </c>
      <c r="D545">
        <v>1</v>
      </c>
      <c r="H545" s="71" t="b">
        <f t="shared" si="19"/>
        <v>0</v>
      </c>
      <c r="J545">
        <v>2</v>
      </c>
      <c r="N545" s="71" t="b">
        <f>IF(AND(ISBLANK(K545),ISBLANK(L545),ISBLANK(M545)),FALSE,TRUE)</f>
        <v>0</v>
      </c>
    </row>
    <row r="546" spans="1:14">
      <c r="A546" t="s">
        <v>167</v>
      </c>
      <c r="B546">
        <v>10</v>
      </c>
      <c r="C546" t="s">
        <v>62</v>
      </c>
      <c r="D546">
        <v>1</v>
      </c>
      <c r="H546" s="71" t="b">
        <f t="shared" si="19"/>
        <v>0</v>
      </c>
      <c r="J546">
        <v>2</v>
      </c>
      <c r="N546" s="71" t="b">
        <f>IF(AND(ISBLANK(K546),ISBLANK(L546),ISBLANK(M546)),FALSE,TRUE)</f>
        <v>0</v>
      </c>
    </row>
    <row r="547" spans="1:14">
      <c r="A547" t="s">
        <v>167</v>
      </c>
      <c r="B547">
        <v>10</v>
      </c>
      <c r="C547" t="s">
        <v>63</v>
      </c>
      <c r="D547">
        <v>1</v>
      </c>
      <c r="H547" s="71" t="b">
        <f t="shared" si="19"/>
        <v>0</v>
      </c>
      <c r="J547">
        <v>0</v>
      </c>
    </row>
    <row r="548" spans="1:14">
      <c r="A548" t="s">
        <v>167</v>
      </c>
      <c r="B548">
        <v>10</v>
      </c>
      <c r="C548" t="s">
        <v>64</v>
      </c>
      <c r="D548">
        <v>1</v>
      </c>
      <c r="H548" s="71" t="b">
        <f t="shared" si="19"/>
        <v>0</v>
      </c>
      <c r="J548">
        <v>3</v>
      </c>
      <c r="N548" s="71" t="b">
        <f>IF(AND(ISBLANK(K548),ISBLANK(L548),ISBLANK(M548)),FALSE,TRUE)</f>
        <v>0</v>
      </c>
    </row>
    <row r="549" spans="1:14">
      <c r="A549" t="s">
        <v>167</v>
      </c>
      <c r="B549">
        <v>10</v>
      </c>
      <c r="C549" t="s">
        <v>65</v>
      </c>
      <c r="D549">
        <v>4</v>
      </c>
      <c r="H549" s="71" t="b">
        <f t="shared" si="19"/>
        <v>0</v>
      </c>
      <c r="J549">
        <v>4</v>
      </c>
      <c r="N549" s="71" t="b">
        <f>IF(AND(ISBLANK(K549),ISBLANK(L549),ISBLANK(M549)),FALSE,TRUE)</f>
        <v>0</v>
      </c>
    </row>
    <row r="550" spans="1:14">
      <c r="A550" t="s">
        <v>167</v>
      </c>
      <c r="B550">
        <v>10</v>
      </c>
      <c r="C550" t="s">
        <v>66</v>
      </c>
      <c r="D550">
        <v>3</v>
      </c>
      <c r="H550" s="71" t="b">
        <f t="shared" si="19"/>
        <v>0</v>
      </c>
      <c r="J550">
        <v>0</v>
      </c>
    </row>
    <row r="551" spans="1:14">
      <c r="A551" t="s">
        <v>167</v>
      </c>
      <c r="B551">
        <v>10</v>
      </c>
      <c r="C551" t="s">
        <v>67</v>
      </c>
      <c r="D551">
        <v>2</v>
      </c>
      <c r="H551" s="71" t="b">
        <f t="shared" si="19"/>
        <v>0</v>
      </c>
      <c r="J551">
        <v>4</v>
      </c>
      <c r="N551" s="71" t="b">
        <f>IF(AND(ISBLANK(K551),ISBLANK(L551),ISBLANK(M551)),FALSE,TRUE)</f>
        <v>0</v>
      </c>
    </row>
    <row r="552" spans="1:14">
      <c r="A552" t="s">
        <v>167</v>
      </c>
      <c r="B552">
        <v>10</v>
      </c>
      <c r="C552" t="s">
        <v>68</v>
      </c>
      <c r="D552">
        <v>4</v>
      </c>
      <c r="H552" s="71" t="b">
        <f t="shared" si="19"/>
        <v>0</v>
      </c>
      <c r="J552">
        <v>4</v>
      </c>
      <c r="N552" s="71" t="b">
        <f>IF(AND(ISBLANK(K552),ISBLANK(L552),ISBLANK(M552)),FALSE,TRUE)</f>
        <v>0</v>
      </c>
    </row>
    <row r="553" spans="1:14">
      <c r="A553" t="s">
        <v>167</v>
      </c>
      <c r="B553">
        <v>10</v>
      </c>
      <c r="C553" t="s">
        <v>69</v>
      </c>
      <c r="D553">
        <v>2</v>
      </c>
      <c r="H553" s="71" t="b">
        <f t="shared" si="19"/>
        <v>0</v>
      </c>
      <c r="J553">
        <v>2</v>
      </c>
      <c r="N553" s="71" t="b">
        <f>IF(AND(ISBLANK(K553),ISBLANK(L553),ISBLANK(M553)),FALSE,TRUE)</f>
        <v>0</v>
      </c>
    </row>
    <row r="554" spans="1:14">
      <c r="A554" t="s">
        <v>167</v>
      </c>
      <c r="B554">
        <v>10</v>
      </c>
      <c r="C554" t="s">
        <v>70</v>
      </c>
      <c r="D554">
        <v>2</v>
      </c>
      <c r="H554" s="71" t="b">
        <f t="shared" si="19"/>
        <v>0</v>
      </c>
      <c r="J554">
        <v>3</v>
      </c>
      <c r="N554" s="71" t="b">
        <f>IF(AND(ISBLANK(K554),ISBLANK(L554),ISBLANK(M554)),FALSE,TRUE)</f>
        <v>0</v>
      </c>
    </row>
    <row r="555" spans="1:14">
      <c r="A555" t="s">
        <v>167</v>
      </c>
      <c r="B555">
        <v>10</v>
      </c>
      <c r="C555" t="s">
        <v>71</v>
      </c>
      <c r="D555">
        <v>1</v>
      </c>
      <c r="H555" s="71" t="b">
        <f t="shared" si="19"/>
        <v>0</v>
      </c>
      <c r="J555">
        <v>0</v>
      </c>
    </row>
    <row r="556" spans="1:14">
      <c r="A556" t="s">
        <v>167</v>
      </c>
      <c r="B556">
        <v>10</v>
      </c>
      <c r="C556" t="s">
        <v>72</v>
      </c>
      <c r="D556">
        <v>1</v>
      </c>
      <c r="H556" s="71" t="b">
        <f t="shared" si="19"/>
        <v>0</v>
      </c>
      <c r="J556">
        <v>4</v>
      </c>
      <c r="N556" s="71" t="b">
        <f>IF(AND(ISBLANK(K556),ISBLANK(L556),ISBLANK(M556)),FALSE,TRUE)</f>
        <v>0</v>
      </c>
    </row>
    <row r="557" spans="1:14">
      <c r="A557" t="s">
        <v>167</v>
      </c>
      <c r="B557">
        <v>10</v>
      </c>
      <c r="C557" t="s">
        <v>73</v>
      </c>
      <c r="D557">
        <v>2</v>
      </c>
      <c r="H557" s="71" t="b">
        <f t="shared" si="19"/>
        <v>0</v>
      </c>
      <c r="J557">
        <v>3</v>
      </c>
      <c r="N557" s="71" t="b">
        <f>IF(AND(ISBLANK(K557),ISBLANK(L557),ISBLANK(M557)),FALSE,TRUE)</f>
        <v>0</v>
      </c>
    </row>
    <row r="558" spans="1:14">
      <c r="A558" t="s">
        <v>167</v>
      </c>
      <c r="B558">
        <v>10</v>
      </c>
      <c r="C558" t="s">
        <v>74</v>
      </c>
      <c r="D558">
        <v>2</v>
      </c>
      <c r="H558" s="71" t="b">
        <f t="shared" si="19"/>
        <v>0</v>
      </c>
      <c r="J558">
        <v>0</v>
      </c>
    </row>
    <row r="559" spans="1:14">
      <c r="A559" t="s">
        <v>167</v>
      </c>
      <c r="B559">
        <v>10</v>
      </c>
      <c r="C559" t="s">
        <v>75</v>
      </c>
      <c r="D559">
        <v>2</v>
      </c>
      <c r="H559" s="71" t="b">
        <f t="shared" si="19"/>
        <v>0</v>
      </c>
      <c r="J559">
        <v>0</v>
      </c>
    </row>
    <row r="560" spans="1:14">
      <c r="A560" t="s">
        <v>167</v>
      </c>
      <c r="B560">
        <v>10</v>
      </c>
      <c r="C560" t="s">
        <v>76</v>
      </c>
      <c r="D560">
        <v>2</v>
      </c>
      <c r="H560" s="71" t="b">
        <f t="shared" si="19"/>
        <v>0</v>
      </c>
      <c r="J560">
        <v>0</v>
      </c>
    </row>
    <row r="561" spans="1:14">
      <c r="A561" t="s">
        <v>167</v>
      </c>
      <c r="B561">
        <v>10</v>
      </c>
      <c r="C561" t="s">
        <v>77</v>
      </c>
      <c r="D561">
        <v>2</v>
      </c>
      <c r="H561" s="71" t="b">
        <f t="shared" si="19"/>
        <v>0</v>
      </c>
      <c r="J561">
        <v>0</v>
      </c>
    </row>
    <row r="562" spans="1:14">
      <c r="A562" t="s">
        <v>167</v>
      </c>
      <c r="B562">
        <v>10</v>
      </c>
      <c r="C562" t="s">
        <v>78</v>
      </c>
      <c r="D562">
        <v>2</v>
      </c>
      <c r="H562" s="71" t="b">
        <f t="shared" si="19"/>
        <v>0</v>
      </c>
      <c r="J562">
        <v>0</v>
      </c>
    </row>
    <row r="563" spans="1:14">
      <c r="A563" t="s">
        <v>167</v>
      </c>
      <c r="B563">
        <v>10</v>
      </c>
      <c r="C563" t="s">
        <v>79</v>
      </c>
      <c r="D563">
        <v>2</v>
      </c>
      <c r="H563" s="71" t="b">
        <f t="shared" si="19"/>
        <v>0</v>
      </c>
      <c r="J563">
        <v>0</v>
      </c>
    </row>
    <row r="564" spans="1:14">
      <c r="A564" t="s">
        <v>167</v>
      </c>
      <c r="B564">
        <v>11</v>
      </c>
      <c r="C564" t="s">
        <v>80</v>
      </c>
      <c r="D564">
        <v>1</v>
      </c>
      <c r="H564" s="71" t="b">
        <f t="shared" si="19"/>
        <v>0</v>
      </c>
      <c r="J564">
        <v>2</v>
      </c>
      <c r="N564" s="71" t="b">
        <f t="shared" ref="N564:N573" si="20">IF(AND(ISBLANK(K564),ISBLANK(L564),ISBLANK(M564)),FALSE,TRUE)</f>
        <v>0</v>
      </c>
    </row>
    <row r="565" spans="1:14">
      <c r="A565" t="s">
        <v>167</v>
      </c>
      <c r="B565">
        <v>11</v>
      </c>
      <c r="C565" t="s">
        <v>81</v>
      </c>
      <c r="D565">
        <v>2</v>
      </c>
      <c r="H565" s="71" t="b">
        <f t="shared" si="19"/>
        <v>0</v>
      </c>
      <c r="J565">
        <v>2</v>
      </c>
      <c r="N565" s="71" t="b">
        <f t="shared" si="20"/>
        <v>0</v>
      </c>
    </row>
    <row r="566" spans="1:14">
      <c r="A566" t="s">
        <v>167</v>
      </c>
      <c r="B566">
        <v>11</v>
      </c>
      <c r="C566" t="s">
        <v>82</v>
      </c>
      <c r="D566">
        <v>2</v>
      </c>
      <c r="H566" s="71" t="b">
        <f t="shared" si="19"/>
        <v>0</v>
      </c>
      <c r="J566">
        <v>2</v>
      </c>
      <c r="N566" s="71" t="b">
        <f t="shared" si="20"/>
        <v>0</v>
      </c>
    </row>
    <row r="567" spans="1:14">
      <c r="A567" t="s">
        <v>167</v>
      </c>
      <c r="B567">
        <v>11</v>
      </c>
      <c r="C567" t="s">
        <v>83</v>
      </c>
      <c r="D567">
        <v>2</v>
      </c>
      <c r="H567" s="71" t="b">
        <f t="shared" si="19"/>
        <v>0</v>
      </c>
      <c r="J567">
        <v>2</v>
      </c>
      <c r="N567" s="71" t="b">
        <f t="shared" si="20"/>
        <v>0</v>
      </c>
    </row>
    <row r="568" spans="1:14">
      <c r="A568" t="s">
        <v>167</v>
      </c>
      <c r="B568">
        <v>11</v>
      </c>
      <c r="C568" t="s">
        <v>84</v>
      </c>
      <c r="D568">
        <v>2</v>
      </c>
      <c r="H568" s="71" t="b">
        <f t="shared" si="19"/>
        <v>0</v>
      </c>
      <c r="J568">
        <v>2</v>
      </c>
      <c r="N568" s="71" t="b">
        <f t="shared" si="20"/>
        <v>0</v>
      </c>
    </row>
    <row r="569" spans="1:14">
      <c r="A569" t="s">
        <v>167</v>
      </c>
      <c r="B569">
        <v>11</v>
      </c>
      <c r="C569" t="s">
        <v>85</v>
      </c>
      <c r="D569">
        <v>1</v>
      </c>
      <c r="H569" s="71" t="b">
        <f t="shared" si="19"/>
        <v>0</v>
      </c>
      <c r="J569">
        <v>2</v>
      </c>
      <c r="N569" s="71" t="b">
        <f t="shared" si="20"/>
        <v>0</v>
      </c>
    </row>
    <row r="570" spans="1:14">
      <c r="A570" t="s">
        <v>167</v>
      </c>
      <c r="B570">
        <v>11</v>
      </c>
      <c r="C570" t="s">
        <v>86</v>
      </c>
      <c r="D570">
        <v>1</v>
      </c>
      <c r="H570" s="71" t="b">
        <f t="shared" si="19"/>
        <v>0</v>
      </c>
      <c r="J570">
        <v>2</v>
      </c>
      <c r="N570" s="71" t="b">
        <f t="shared" si="20"/>
        <v>0</v>
      </c>
    </row>
    <row r="571" spans="1:14">
      <c r="A571" t="s">
        <v>167</v>
      </c>
      <c r="B571">
        <v>11</v>
      </c>
      <c r="C571" t="s">
        <v>87</v>
      </c>
      <c r="D571">
        <v>1</v>
      </c>
      <c r="H571" s="71" t="b">
        <f t="shared" si="19"/>
        <v>0</v>
      </c>
      <c r="J571">
        <v>5</v>
      </c>
      <c r="N571" s="71" t="b">
        <f t="shared" si="20"/>
        <v>0</v>
      </c>
    </row>
    <row r="572" spans="1:14">
      <c r="A572" t="s">
        <v>167</v>
      </c>
      <c r="B572">
        <v>11</v>
      </c>
      <c r="C572" t="s">
        <v>88</v>
      </c>
      <c r="D572">
        <v>1</v>
      </c>
      <c r="H572" s="71" t="b">
        <f t="shared" si="19"/>
        <v>0</v>
      </c>
      <c r="J572">
        <v>2</v>
      </c>
      <c r="N572" s="71" t="b">
        <f t="shared" si="20"/>
        <v>0</v>
      </c>
    </row>
    <row r="573" spans="1:14">
      <c r="A573" t="s">
        <v>167</v>
      </c>
      <c r="B573">
        <v>11</v>
      </c>
      <c r="C573" t="s">
        <v>89</v>
      </c>
      <c r="D573">
        <v>2</v>
      </c>
      <c r="H573" s="71" t="b">
        <f t="shared" si="19"/>
        <v>0</v>
      </c>
      <c r="J573">
        <v>2</v>
      </c>
      <c r="N573" s="71" t="b">
        <f t="shared" si="20"/>
        <v>0</v>
      </c>
    </row>
    <row r="574" spans="1:14">
      <c r="A574" t="s">
        <v>167</v>
      </c>
      <c r="B574">
        <v>11</v>
      </c>
      <c r="C574" t="s">
        <v>90</v>
      </c>
      <c r="D574">
        <v>2</v>
      </c>
      <c r="H574" s="71" t="b">
        <f t="shared" si="19"/>
        <v>0</v>
      </c>
      <c r="J574">
        <v>0</v>
      </c>
    </row>
    <row r="575" spans="1:14">
      <c r="A575" t="s">
        <v>167</v>
      </c>
      <c r="B575">
        <v>11</v>
      </c>
      <c r="C575" t="s">
        <v>91</v>
      </c>
      <c r="D575">
        <v>2</v>
      </c>
      <c r="H575" s="71" t="b">
        <f t="shared" si="19"/>
        <v>0</v>
      </c>
      <c r="J575">
        <v>1</v>
      </c>
      <c r="N575" s="71" t="b">
        <f>IF(AND(ISBLANK(K575),ISBLANK(L575),ISBLANK(M575)),FALSE,TRUE)</f>
        <v>0</v>
      </c>
    </row>
    <row r="576" spans="1:14">
      <c r="A576" t="s">
        <v>167</v>
      </c>
      <c r="B576">
        <v>11</v>
      </c>
      <c r="C576" t="s">
        <v>92</v>
      </c>
      <c r="D576">
        <v>1</v>
      </c>
      <c r="H576" s="71" t="b">
        <f t="shared" si="19"/>
        <v>0</v>
      </c>
      <c r="J576">
        <v>0</v>
      </c>
    </row>
    <row r="577" spans="1:14">
      <c r="A577" t="s">
        <v>167</v>
      </c>
      <c r="B577">
        <v>11</v>
      </c>
      <c r="C577" t="s">
        <v>93</v>
      </c>
      <c r="D577">
        <v>1</v>
      </c>
      <c r="H577" s="71" t="b">
        <f t="shared" si="19"/>
        <v>0</v>
      </c>
      <c r="J577">
        <v>0</v>
      </c>
    </row>
    <row r="578" spans="1:14">
      <c r="A578" t="s">
        <v>167</v>
      </c>
      <c r="B578">
        <v>11</v>
      </c>
      <c r="C578" t="s">
        <v>94</v>
      </c>
      <c r="D578">
        <v>1</v>
      </c>
      <c r="H578" s="71" t="b">
        <f t="shared" si="19"/>
        <v>0</v>
      </c>
      <c r="J578">
        <v>3</v>
      </c>
      <c r="N578" s="71" t="b">
        <f t="shared" ref="N578:N597" si="21">IF(AND(ISBLANK(K578),ISBLANK(L578),ISBLANK(M578)),FALSE,TRUE)</f>
        <v>0</v>
      </c>
    </row>
    <row r="579" spans="1:14">
      <c r="A579" t="s">
        <v>167</v>
      </c>
      <c r="B579">
        <v>11</v>
      </c>
      <c r="C579" t="s">
        <v>95</v>
      </c>
      <c r="D579">
        <v>1</v>
      </c>
      <c r="H579" s="71" t="b">
        <f t="shared" si="19"/>
        <v>0</v>
      </c>
      <c r="J579">
        <v>2</v>
      </c>
      <c r="N579" s="71" t="b">
        <f t="shared" si="21"/>
        <v>0</v>
      </c>
    </row>
    <row r="580" spans="1:14">
      <c r="A580" t="s">
        <v>167</v>
      </c>
      <c r="B580">
        <v>11</v>
      </c>
      <c r="C580" t="s">
        <v>96</v>
      </c>
      <c r="D580">
        <v>1</v>
      </c>
      <c r="H580" s="71" t="b">
        <f t="shared" si="19"/>
        <v>0</v>
      </c>
      <c r="J580">
        <v>2</v>
      </c>
      <c r="N580" s="71" t="b">
        <f t="shared" si="21"/>
        <v>0</v>
      </c>
    </row>
    <row r="581" spans="1:14">
      <c r="A581" t="s">
        <v>167</v>
      </c>
      <c r="B581">
        <v>11</v>
      </c>
      <c r="C581" t="s">
        <v>97</v>
      </c>
      <c r="D581">
        <v>1</v>
      </c>
      <c r="H581" s="71" t="b">
        <f t="shared" si="19"/>
        <v>0</v>
      </c>
      <c r="J581">
        <v>2</v>
      </c>
      <c r="N581" s="71" t="b">
        <f t="shared" si="21"/>
        <v>0</v>
      </c>
    </row>
    <row r="582" spans="1:14">
      <c r="A582" t="s">
        <v>167</v>
      </c>
      <c r="B582">
        <v>11</v>
      </c>
      <c r="C582" t="s">
        <v>98</v>
      </c>
      <c r="D582">
        <v>1</v>
      </c>
      <c r="H582" s="71" t="b">
        <f t="shared" si="19"/>
        <v>0</v>
      </c>
      <c r="J582">
        <v>1</v>
      </c>
      <c r="N582" s="71" t="b">
        <f t="shared" si="21"/>
        <v>0</v>
      </c>
    </row>
    <row r="583" spans="1:14">
      <c r="A583" t="s">
        <v>167</v>
      </c>
      <c r="B583">
        <v>11</v>
      </c>
      <c r="C583" t="s">
        <v>99</v>
      </c>
      <c r="D583">
        <v>1</v>
      </c>
      <c r="H583" s="71" t="b">
        <f t="shared" si="19"/>
        <v>0</v>
      </c>
      <c r="J583">
        <v>1</v>
      </c>
      <c r="N583" s="71" t="b">
        <f t="shared" si="21"/>
        <v>0</v>
      </c>
    </row>
    <row r="584" spans="1:14">
      <c r="A584" t="s">
        <v>167</v>
      </c>
      <c r="B584">
        <v>11</v>
      </c>
      <c r="C584" t="s">
        <v>100</v>
      </c>
      <c r="D584">
        <v>1</v>
      </c>
      <c r="H584" s="71" t="b">
        <f t="shared" ref="H584:H647" si="22">IF(AND(ISBLANK(E584),ISBLANK(F584),ISBLANK(G584)),FALSE,TRUE)</f>
        <v>0</v>
      </c>
      <c r="J584">
        <v>1</v>
      </c>
      <c r="N584" s="71" t="b">
        <f t="shared" si="21"/>
        <v>0</v>
      </c>
    </row>
    <row r="585" spans="1:14">
      <c r="A585" t="s">
        <v>167</v>
      </c>
      <c r="B585">
        <v>11</v>
      </c>
      <c r="C585" t="s">
        <v>101</v>
      </c>
      <c r="D585">
        <v>1</v>
      </c>
      <c r="H585" s="71" t="b">
        <f t="shared" si="22"/>
        <v>0</v>
      </c>
      <c r="J585">
        <v>2</v>
      </c>
      <c r="N585" s="71" t="b">
        <f t="shared" si="21"/>
        <v>0</v>
      </c>
    </row>
    <row r="586" spans="1:14">
      <c r="A586" t="s">
        <v>167</v>
      </c>
      <c r="B586">
        <v>11</v>
      </c>
      <c r="C586" t="s">
        <v>102</v>
      </c>
      <c r="D586">
        <v>1</v>
      </c>
      <c r="H586" s="71" t="b">
        <f t="shared" si="22"/>
        <v>0</v>
      </c>
      <c r="J586">
        <v>2</v>
      </c>
      <c r="N586" s="71" t="b">
        <f t="shared" si="21"/>
        <v>0</v>
      </c>
    </row>
    <row r="587" spans="1:14">
      <c r="A587" t="s">
        <v>167</v>
      </c>
      <c r="B587">
        <v>11</v>
      </c>
      <c r="C587" t="s">
        <v>103</v>
      </c>
      <c r="D587">
        <v>1</v>
      </c>
      <c r="H587" s="71" t="b">
        <f t="shared" si="22"/>
        <v>0</v>
      </c>
      <c r="J587">
        <v>1</v>
      </c>
      <c r="N587" s="71" t="b">
        <f t="shared" si="21"/>
        <v>0</v>
      </c>
    </row>
    <row r="588" spans="1:14">
      <c r="A588" t="s">
        <v>167</v>
      </c>
      <c r="B588">
        <v>11</v>
      </c>
      <c r="C588" t="s">
        <v>104</v>
      </c>
      <c r="D588">
        <v>1</v>
      </c>
      <c r="H588" s="71" t="b">
        <f t="shared" si="22"/>
        <v>0</v>
      </c>
      <c r="J588">
        <v>2</v>
      </c>
      <c r="N588" s="71" t="b">
        <f t="shared" si="21"/>
        <v>0</v>
      </c>
    </row>
    <row r="589" spans="1:14">
      <c r="A589" t="s">
        <v>167</v>
      </c>
      <c r="B589">
        <v>11</v>
      </c>
      <c r="C589" t="s">
        <v>105</v>
      </c>
      <c r="D589">
        <v>1</v>
      </c>
      <c r="H589" s="71" t="b">
        <f t="shared" si="22"/>
        <v>0</v>
      </c>
      <c r="J589">
        <v>2</v>
      </c>
      <c r="N589" s="71" t="b">
        <f t="shared" si="21"/>
        <v>0</v>
      </c>
    </row>
    <row r="590" spans="1:14">
      <c r="A590" t="s">
        <v>167</v>
      </c>
      <c r="B590">
        <v>11</v>
      </c>
      <c r="C590" t="s">
        <v>106</v>
      </c>
      <c r="D590">
        <v>2</v>
      </c>
      <c r="H590" s="71" t="b">
        <f t="shared" si="22"/>
        <v>0</v>
      </c>
      <c r="J590">
        <v>3</v>
      </c>
      <c r="N590" s="71" t="b">
        <f t="shared" si="21"/>
        <v>0</v>
      </c>
    </row>
    <row r="591" spans="1:14">
      <c r="A591" t="s">
        <v>167</v>
      </c>
      <c r="B591">
        <v>11</v>
      </c>
      <c r="C591" t="s">
        <v>107</v>
      </c>
      <c r="D591">
        <v>2</v>
      </c>
      <c r="H591" s="71" t="b">
        <f t="shared" si="22"/>
        <v>0</v>
      </c>
      <c r="J591">
        <v>3</v>
      </c>
      <c r="N591" s="71" t="b">
        <f t="shared" si="21"/>
        <v>0</v>
      </c>
    </row>
    <row r="592" spans="1:14">
      <c r="A592" t="s">
        <v>167</v>
      </c>
      <c r="B592">
        <v>11</v>
      </c>
      <c r="C592" t="s">
        <v>108</v>
      </c>
      <c r="D592">
        <v>1</v>
      </c>
      <c r="H592" s="71" t="b">
        <f t="shared" si="22"/>
        <v>0</v>
      </c>
      <c r="J592">
        <v>3</v>
      </c>
      <c r="N592" s="71" t="b">
        <f t="shared" si="21"/>
        <v>0</v>
      </c>
    </row>
    <row r="593" spans="1:14">
      <c r="A593" t="s">
        <v>167</v>
      </c>
      <c r="B593">
        <v>11</v>
      </c>
      <c r="C593" t="s">
        <v>109</v>
      </c>
      <c r="D593">
        <v>2</v>
      </c>
      <c r="H593" s="71" t="b">
        <f t="shared" si="22"/>
        <v>0</v>
      </c>
      <c r="J593">
        <v>3</v>
      </c>
      <c r="N593" s="71" t="b">
        <f t="shared" si="21"/>
        <v>0</v>
      </c>
    </row>
    <row r="594" spans="1:14">
      <c r="A594" t="s">
        <v>167</v>
      </c>
      <c r="B594">
        <v>11</v>
      </c>
      <c r="C594" t="s">
        <v>110</v>
      </c>
      <c r="D594">
        <v>2</v>
      </c>
      <c r="H594" s="71" t="b">
        <f t="shared" si="22"/>
        <v>0</v>
      </c>
      <c r="J594">
        <v>3</v>
      </c>
      <c r="N594" s="71" t="b">
        <f t="shared" si="21"/>
        <v>0</v>
      </c>
    </row>
    <row r="595" spans="1:14">
      <c r="A595" t="s">
        <v>167</v>
      </c>
      <c r="B595">
        <v>11</v>
      </c>
      <c r="C595" t="s">
        <v>111</v>
      </c>
      <c r="D595">
        <v>2</v>
      </c>
      <c r="H595" s="71" t="b">
        <f t="shared" si="22"/>
        <v>0</v>
      </c>
      <c r="J595">
        <v>3</v>
      </c>
      <c r="N595" s="71" t="b">
        <f t="shared" si="21"/>
        <v>0</v>
      </c>
    </row>
    <row r="596" spans="1:14">
      <c r="A596" t="s">
        <v>167</v>
      </c>
      <c r="B596">
        <v>11</v>
      </c>
      <c r="C596" t="s">
        <v>112</v>
      </c>
      <c r="D596">
        <v>2</v>
      </c>
      <c r="H596" s="71" t="b">
        <f t="shared" si="22"/>
        <v>0</v>
      </c>
      <c r="J596">
        <v>3</v>
      </c>
      <c r="N596" s="71" t="b">
        <f t="shared" si="21"/>
        <v>0</v>
      </c>
    </row>
    <row r="597" spans="1:14">
      <c r="A597" t="s">
        <v>167</v>
      </c>
      <c r="B597">
        <v>11</v>
      </c>
      <c r="C597" t="s">
        <v>113</v>
      </c>
      <c r="D597">
        <v>2</v>
      </c>
      <c r="H597" s="71" t="b">
        <f t="shared" si="22"/>
        <v>0</v>
      </c>
      <c r="J597">
        <v>2</v>
      </c>
      <c r="N597" s="71" t="b">
        <f t="shared" si="21"/>
        <v>0</v>
      </c>
    </row>
    <row r="598" spans="1:14">
      <c r="A598" t="s">
        <v>167</v>
      </c>
      <c r="B598">
        <v>11</v>
      </c>
      <c r="C598" t="s">
        <v>114</v>
      </c>
      <c r="D598">
        <v>2</v>
      </c>
      <c r="H598" s="71" t="b">
        <f t="shared" si="22"/>
        <v>0</v>
      </c>
      <c r="J598">
        <v>0</v>
      </c>
    </row>
    <row r="599" spans="1:14">
      <c r="A599" t="s">
        <v>167</v>
      </c>
      <c r="B599">
        <v>11</v>
      </c>
      <c r="C599" t="s">
        <v>115</v>
      </c>
      <c r="D599">
        <v>2</v>
      </c>
      <c r="H599" s="71" t="b">
        <f t="shared" si="22"/>
        <v>0</v>
      </c>
      <c r="J599">
        <v>0</v>
      </c>
    </row>
    <row r="600" spans="1:14">
      <c r="A600" t="s">
        <v>167</v>
      </c>
      <c r="B600">
        <v>11</v>
      </c>
      <c r="C600" t="s">
        <v>116</v>
      </c>
      <c r="D600">
        <v>2</v>
      </c>
      <c r="H600" s="71" t="b">
        <f t="shared" si="22"/>
        <v>0</v>
      </c>
      <c r="J600">
        <v>0</v>
      </c>
    </row>
    <row r="601" spans="1:14">
      <c r="A601" t="s">
        <v>167</v>
      </c>
      <c r="B601">
        <v>11</v>
      </c>
      <c r="C601" t="s">
        <v>117</v>
      </c>
      <c r="D601">
        <v>6</v>
      </c>
      <c r="H601" s="71" t="b">
        <f t="shared" si="22"/>
        <v>0</v>
      </c>
      <c r="J601">
        <v>0</v>
      </c>
    </row>
    <row r="602" spans="1:14">
      <c r="A602" t="s">
        <v>167</v>
      </c>
      <c r="B602">
        <v>11</v>
      </c>
      <c r="C602" t="s">
        <v>118</v>
      </c>
      <c r="D602">
        <v>3</v>
      </c>
      <c r="H602" s="71" t="b">
        <f t="shared" si="22"/>
        <v>0</v>
      </c>
      <c r="J602">
        <v>0</v>
      </c>
    </row>
    <row r="603" spans="1:14">
      <c r="A603" t="s">
        <v>167</v>
      </c>
      <c r="B603">
        <v>11</v>
      </c>
      <c r="C603" t="s">
        <v>119</v>
      </c>
      <c r="D603">
        <v>3</v>
      </c>
      <c r="H603" s="71" t="b">
        <f t="shared" si="22"/>
        <v>0</v>
      </c>
      <c r="J603">
        <v>0</v>
      </c>
    </row>
    <row r="604" spans="1:14">
      <c r="A604" t="s">
        <v>167</v>
      </c>
      <c r="B604">
        <v>11</v>
      </c>
      <c r="C604" t="s">
        <v>120</v>
      </c>
      <c r="D604">
        <v>3</v>
      </c>
      <c r="H604" s="71" t="b">
        <f t="shared" si="22"/>
        <v>0</v>
      </c>
      <c r="J604">
        <v>0</v>
      </c>
    </row>
    <row r="605" spans="1:14">
      <c r="A605" t="s">
        <v>167</v>
      </c>
      <c r="B605">
        <v>11</v>
      </c>
      <c r="C605" t="s">
        <v>121</v>
      </c>
      <c r="D605">
        <v>3</v>
      </c>
      <c r="H605" s="71" t="b">
        <f t="shared" si="22"/>
        <v>0</v>
      </c>
      <c r="J605">
        <v>0</v>
      </c>
    </row>
    <row r="606" spans="1:14">
      <c r="A606" t="s">
        <v>167</v>
      </c>
      <c r="B606">
        <v>12</v>
      </c>
      <c r="C606" t="s">
        <v>122</v>
      </c>
      <c r="D606">
        <v>2</v>
      </c>
      <c r="H606" s="71" t="b">
        <f t="shared" si="22"/>
        <v>0</v>
      </c>
      <c r="J606">
        <v>2</v>
      </c>
      <c r="N606" s="71" t="b">
        <f>IF(AND(ISBLANK(K606),ISBLANK(L606),ISBLANK(M606)),FALSE,TRUE)</f>
        <v>0</v>
      </c>
    </row>
    <row r="607" spans="1:14">
      <c r="A607" t="s">
        <v>167</v>
      </c>
      <c r="B607">
        <v>12</v>
      </c>
      <c r="C607" t="s">
        <v>123</v>
      </c>
      <c r="D607">
        <v>2</v>
      </c>
      <c r="H607" s="71" t="b">
        <f t="shared" si="22"/>
        <v>0</v>
      </c>
      <c r="J607">
        <v>2</v>
      </c>
      <c r="N607" s="71" t="b">
        <f>IF(AND(ISBLANK(K607),ISBLANK(L607),ISBLANK(M607)),FALSE,TRUE)</f>
        <v>0</v>
      </c>
    </row>
    <row r="608" spans="1:14">
      <c r="A608" t="s">
        <v>167</v>
      </c>
      <c r="B608">
        <v>12</v>
      </c>
      <c r="C608" t="s">
        <v>124</v>
      </c>
      <c r="D608">
        <v>2</v>
      </c>
      <c r="H608" s="71" t="b">
        <f t="shared" si="22"/>
        <v>0</v>
      </c>
      <c r="J608">
        <v>0</v>
      </c>
    </row>
    <row r="609" spans="1:14">
      <c r="A609" t="s">
        <v>167</v>
      </c>
      <c r="B609">
        <v>12</v>
      </c>
      <c r="C609" t="s">
        <v>125</v>
      </c>
      <c r="D609">
        <v>4</v>
      </c>
      <c r="H609" s="71" t="b">
        <f t="shared" si="22"/>
        <v>0</v>
      </c>
      <c r="J609">
        <v>4</v>
      </c>
      <c r="N609" s="71" t="b">
        <f>IF(AND(ISBLANK(K609),ISBLANK(L609),ISBLANK(M609)),FALSE,TRUE)</f>
        <v>0</v>
      </c>
    </row>
    <row r="610" spans="1:14">
      <c r="A610" t="s">
        <v>167</v>
      </c>
      <c r="B610">
        <v>12</v>
      </c>
      <c r="C610" t="s">
        <v>126</v>
      </c>
      <c r="D610">
        <v>2</v>
      </c>
      <c r="H610" s="71" t="b">
        <f t="shared" si="22"/>
        <v>0</v>
      </c>
      <c r="J610">
        <v>2</v>
      </c>
      <c r="N610" s="71" t="b">
        <f>IF(AND(ISBLANK(K610),ISBLANK(L610),ISBLANK(M610)),FALSE,TRUE)</f>
        <v>0</v>
      </c>
    </row>
    <row r="611" spans="1:14">
      <c r="A611" t="s">
        <v>167</v>
      </c>
      <c r="B611">
        <v>12</v>
      </c>
      <c r="C611" t="s">
        <v>127</v>
      </c>
      <c r="D611">
        <v>2</v>
      </c>
      <c r="H611" s="71" t="b">
        <f t="shared" si="22"/>
        <v>0</v>
      </c>
      <c r="J611">
        <v>2</v>
      </c>
      <c r="N611" s="71" t="b">
        <f>IF(AND(ISBLANK(K611),ISBLANK(L611),ISBLANK(M611)),FALSE,TRUE)</f>
        <v>0</v>
      </c>
    </row>
    <row r="612" spans="1:14">
      <c r="A612" t="s">
        <v>167</v>
      </c>
      <c r="B612">
        <v>12</v>
      </c>
      <c r="C612" t="s">
        <v>128</v>
      </c>
      <c r="D612">
        <v>2</v>
      </c>
      <c r="H612" s="71" t="b">
        <f t="shared" si="22"/>
        <v>0</v>
      </c>
      <c r="J612">
        <v>2</v>
      </c>
      <c r="N612" s="71" t="b">
        <f>IF(AND(ISBLANK(K612),ISBLANK(L612),ISBLANK(M612)),FALSE,TRUE)</f>
        <v>0</v>
      </c>
    </row>
    <row r="613" spans="1:14">
      <c r="A613" t="s">
        <v>167</v>
      </c>
      <c r="B613">
        <v>12</v>
      </c>
      <c r="C613" t="s">
        <v>129</v>
      </c>
      <c r="D613">
        <v>2</v>
      </c>
      <c r="H613" s="71" t="b">
        <f t="shared" si="22"/>
        <v>0</v>
      </c>
      <c r="J613">
        <v>0</v>
      </c>
    </row>
    <row r="614" spans="1:14">
      <c r="A614" t="s">
        <v>167</v>
      </c>
      <c r="B614">
        <v>12</v>
      </c>
      <c r="C614" t="s">
        <v>130</v>
      </c>
      <c r="D614">
        <v>2</v>
      </c>
      <c r="H614" s="71" t="b">
        <f t="shared" si="22"/>
        <v>0</v>
      </c>
      <c r="J614">
        <v>1</v>
      </c>
      <c r="N614" s="71" t="b">
        <f>IF(AND(ISBLANK(K614),ISBLANK(L614),ISBLANK(M614)),FALSE,TRUE)</f>
        <v>0</v>
      </c>
    </row>
    <row r="615" spans="1:14">
      <c r="A615" t="s">
        <v>167</v>
      </c>
      <c r="B615">
        <v>12</v>
      </c>
      <c r="C615" t="s">
        <v>131</v>
      </c>
      <c r="D615">
        <v>3</v>
      </c>
      <c r="H615" s="71" t="b">
        <f t="shared" si="22"/>
        <v>0</v>
      </c>
      <c r="J615">
        <v>1</v>
      </c>
      <c r="N615" s="71" t="b">
        <f>IF(AND(ISBLANK(K615),ISBLANK(L615),ISBLANK(M615)),FALSE,TRUE)</f>
        <v>0</v>
      </c>
    </row>
    <row r="616" spans="1:14">
      <c r="A616" t="s">
        <v>167</v>
      </c>
      <c r="B616">
        <v>12</v>
      </c>
      <c r="C616" t="s">
        <v>132</v>
      </c>
      <c r="D616">
        <v>1</v>
      </c>
      <c r="H616" s="71" t="b">
        <f t="shared" si="22"/>
        <v>0</v>
      </c>
      <c r="J616">
        <v>1</v>
      </c>
      <c r="N616" s="71" t="b">
        <f>IF(AND(ISBLANK(K616),ISBLANK(L616),ISBLANK(M616)),FALSE,TRUE)</f>
        <v>0</v>
      </c>
    </row>
    <row r="617" spans="1:14">
      <c r="A617" t="s">
        <v>167</v>
      </c>
      <c r="B617">
        <v>12</v>
      </c>
      <c r="C617" t="s">
        <v>133</v>
      </c>
      <c r="D617">
        <v>1</v>
      </c>
      <c r="H617" s="71" t="b">
        <f t="shared" si="22"/>
        <v>0</v>
      </c>
      <c r="J617">
        <v>0</v>
      </c>
    </row>
    <row r="618" spans="1:14">
      <c r="A618" t="s">
        <v>167</v>
      </c>
      <c r="B618">
        <v>12</v>
      </c>
      <c r="C618" t="s">
        <v>134</v>
      </c>
      <c r="D618">
        <v>1</v>
      </c>
      <c r="H618" s="71" t="b">
        <f t="shared" si="22"/>
        <v>0</v>
      </c>
      <c r="J618">
        <v>1</v>
      </c>
      <c r="N618" s="71" t="b">
        <f t="shared" ref="N618:N628" si="23">IF(AND(ISBLANK(K618),ISBLANK(L618),ISBLANK(M618)),FALSE,TRUE)</f>
        <v>0</v>
      </c>
    </row>
    <row r="619" spans="1:14">
      <c r="A619" t="s">
        <v>167</v>
      </c>
      <c r="B619">
        <v>12</v>
      </c>
      <c r="C619" t="s">
        <v>135</v>
      </c>
      <c r="D619">
        <v>2</v>
      </c>
      <c r="H619" s="71" t="b">
        <f t="shared" si="22"/>
        <v>0</v>
      </c>
      <c r="J619">
        <v>1</v>
      </c>
      <c r="N619" s="71" t="b">
        <f t="shared" si="23"/>
        <v>0</v>
      </c>
    </row>
    <row r="620" spans="1:14">
      <c r="A620" t="s">
        <v>167</v>
      </c>
      <c r="B620">
        <v>12</v>
      </c>
      <c r="C620" t="s">
        <v>136</v>
      </c>
      <c r="D620">
        <v>2</v>
      </c>
      <c r="H620" s="71" t="b">
        <f t="shared" si="22"/>
        <v>0</v>
      </c>
      <c r="J620">
        <v>1</v>
      </c>
      <c r="N620" s="71" t="b">
        <f t="shared" si="23"/>
        <v>0</v>
      </c>
    </row>
    <row r="621" spans="1:14">
      <c r="A621" t="s">
        <v>167</v>
      </c>
      <c r="B621">
        <v>12</v>
      </c>
      <c r="C621" t="s">
        <v>137</v>
      </c>
      <c r="D621">
        <v>2</v>
      </c>
      <c r="H621" s="71" t="b">
        <f t="shared" si="22"/>
        <v>0</v>
      </c>
      <c r="J621">
        <v>1</v>
      </c>
      <c r="N621" s="71" t="b">
        <f t="shared" si="23"/>
        <v>0</v>
      </c>
    </row>
    <row r="622" spans="1:14">
      <c r="A622" t="s">
        <v>167</v>
      </c>
      <c r="B622">
        <v>12</v>
      </c>
      <c r="C622" t="s">
        <v>138</v>
      </c>
      <c r="D622">
        <v>1</v>
      </c>
      <c r="H622" s="71" t="b">
        <f t="shared" si="22"/>
        <v>0</v>
      </c>
      <c r="J622">
        <v>1</v>
      </c>
      <c r="N622" s="71" t="b">
        <f t="shared" si="23"/>
        <v>0</v>
      </c>
    </row>
    <row r="623" spans="1:14">
      <c r="A623" t="s">
        <v>167</v>
      </c>
      <c r="B623">
        <v>12</v>
      </c>
      <c r="C623" t="s">
        <v>139</v>
      </c>
      <c r="D623">
        <v>1</v>
      </c>
      <c r="H623" s="71" t="b">
        <f t="shared" si="22"/>
        <v>0</v>
      </c>
      <c r="J623">
        <v>1</v>
      </c>
      <c r="N623" s="71" t="b">
        <f t="shared" si="23"/>
        <v>0</v>
      </c>
    </row>
    <row r="624" spans="1:14">
      <c r="A624" t="s">
        <v>167</v>
      </c>
      <c r="B624">
        <v>12</v>
      </c>
      <c r="C624" t="s">
        <v>140</v>
      </c>
      <c r="D624">
        <v>1</v>
      </c>
      <c r="H624" s="71" t="b">
        <f t="shared" si="22"/>
        <v>0</v>
      </c>
      <c r="J624">
        <v>1</v>
      </c>
      <c r="N624" s="71" t="b">
        <f t="shared" si="23"/>
        <v>0</v>
      </c>
    </row>
    <row r="625" spans="1:14">
      <c r="A625" t="s">
        <v>167</v>
      </c>
      <c r="B625">
        <v>12</v>
      </c>
      <c r="C625" t="s">
        <v>141</v>
      </c>
      <c r="D625">
        <v>1</v>
      </c>
      <c r="H625" s="71" t="b">
        <f t="shared" si="22"/>
        <v>0</v>
      </c>
      <c r="J625">
        <v>1</v>
      </c>
      <c r="N625" s="71" t="b">
        <f t="shared" si="23"/>
        <v>0</v>
      </c>
    </row>
    <row r="626" spans="1:14">
      <c r="A626" t="s">
        <v>167</v>
      </c>
      <c r="B626">
        <v>12</v>
      </c>
      <c r="C626" t="s">
        <v>142</v>
      </c>
      <c r="D626">
        <v>2</v>
      </c>
      <c r="H626" s="71" t="b">
        <f t="shared" si="22"/>
        <v>0</v>
      </c>
      <c r="J626">
        <v>1</v>
      </c>
      <c r="N626" s="71" t="b">
        <f t="shared" si="23"/>
        <v>0</v>
      </c>
    </row>
    <row r="627" spans="1:14">
      <c r="A627" t="s">
        <v>167</v>
      </c>
      <c r="B627">
        <v>12</v>
      </c>
      <c r="C627" t="s">
        <v>143</v>
      </c>
      <c r="D627">
        <v>1</v>
      </c>
      <c r="H627" s="71" t="b">
        <f t="shared" si="22"/>
        <v>0</v>
      </c>
      <c r="J627">
        <v>2</v>
      </c>
      <c r="N627" s="71" t="b">
        <f t="shared" si="23"/>
        <v>0</v>
      </c>
    </row>
    <row r="628" spans="1:14">
      <c r="A628" t="s">
        <v>167</v>
      </c>
      <c r="B628">
        <v>12</v>
      </c>
      <c r="C628" t="s">
        <v>144</v>
      </c>
      <c r="D628">
        <v>1</v>
      </c>
      <c r="H628" s="71" t="b">
        <f t="shared" si="22"/>
        <v>0</v>
      </c>
      <c r="J628">
        <v>2</v>
      </c>
      <c r="N628" s="71" t="b">
        <f t="shared" si="23"/>
        <v>0</v>
      </c>
    </row>
    <row r="629" spans="1:14">
      <c r="A629" t="s">
        <v>167</v>
      </c>
      <c r="B629">
        <v>12</v>
      </c>
      <c r="C629" t="s">
        <v>145</v>
      </c>
      <c r="D629">
        <v>1</v>
      </c>
      <c r="H629" s="71" t="b">
        <f t="shared" si="22"/>
        <v>0</v>
      </c>
      <c r="J629">
        <v>0</v>
      </c>
    </row>
    <row r="630" spans="1:14">
      <c r="A630" t="s">
        <v>167</v>
      </c>
      <c r="B630">
        <v>12</v>
      </c>
      <c r="C630" t="s">
        <v>146</v>
      </c>
      <c r="D630">
        <v>1</v>
      </c>
      <c r="H630" s="71" t="b">
        <f t="shared" si="22"/>
        <v>0</v>
      </c>
      <c r="J630">
        <v>0</v>
      </c>
    </row>
    <row r="631" spans="1:14">
      <c r="A631" t="s">
        <v>167</v>
      </c>
      <c r="B631">
        <v>12</v>
      </c>
      <c r="C631" t="s">
        <v>147</v>
      </c>
      <c r="D631">
        <v>1</v>
      </c>
      <c r="H631" s="71" t="b">
        <f t="shared" si="22"/>
        <v>0</v>
      </c>
      <c r="J631">
        <v>2</v>
      </c>
      <c r="N631" s="71" t="b">
        <f>IF(AND(ISBLANK(K631),ISBLANK(L631),ISBLANK(M631)),FALSE,TRUE)</f>
        <v>0</v>
      </c>
    </row>
    <row r="632" spans="1:14">
      <c r="A632" t="s">
        <v>167</v>
      </c>
      <c r="B632">
        <v>12</v>
      </c>
      <c r="C632" t="s">
        <v>148</v>
      </c>
      <c r="D632">
        <v>2</v>
      </c>
      <c r="H632" s="71" t="b">
        <f t="shared" si="22"/>
        <v>0</v>
      </c>
      <c r="J632">
        <v>2</v>
      </c>
      <c r="N632" s="71" t="b">
        <f>IF(AND(ISBLANK(K632),ISBLANK(L632),ISBLANK(M632)),FALSE,TRUE)</f>
        <v>0</v>
      </c>
    </row>
    <row r="633" spans="1:14">
      <c r="A633" t="s">
        <v>167</v>
      </c>
      <c r="B633">
        <v>12</v>
      </c>
      <c r="C633" t="s">
        <v>149</v>
      </c>
      <c r="D633">
        <v>3</v>
      </c>
      <c r="H633" s="71" t="b">
        <f t="shared" si="22"/>
        <v>0</v>
      </c>
      <c r="J633">
        <v>0</v>
      </c>
    </row>
    <row r="634" spans="1:14">
      <c r="A634" t="s">
        <v>167</v>
      </c>
      <c r="B634">
        <v>12</v>
      </c>
      <c r="C634" t="s">
        <v>150</v>
      </c>
      <c r="D634">
        <v>3</v>
      </c>
      <c r="H634" s="71" t="b">
        <f t="shared" si="22"/>
        <v>0</v>
      </c>
      <c r="J634">
        <v>0</v>
      </c>
    </row>
    <row r="635" spans="1:14">
      <c r="A635" t="s">
        <v>167</v>
      </c>
      <c r="B635">
        <v>12</v>
      </c>
      <c r="C635" t="s">
        <v>151</v>
      </c>
      <c r="D635">
        <v>2</v>
      </c>
      <c r="H635" s="71" t="b">
        <f t="shared" si="22"/>
        <v>0</v>
      </c>
      <c r="J635">
        <v>0</v>
      </c>
    </row>
    <row r="636" spans="1:14">
      <c r="A636" t="s">
        <v>167</v>
      </c>
      <c r="B636">
        <v>12</v>
      </c>
      <c r="C636" t="s">
        <v>152</v>
      </c>
      <c r="D636">
        <v>2</v>
      </c>
      <c r="H636" s="71" t="b">
        <f t="shared" si="22"/>
        <v>0</v>
      </c>
      <c r="J636">
        <v>0</v>
      </c>
    </row>
    <row r="637" spans="1:14">
      <c r="A637" t="s">
        <v>167</v>
      </c>
      <c r="B637">
        <v>12</v>
      </c>
      <c r="C637" t="s">
        <v>153</v>
      </c>
      <c r="D637">
        <v>2</v>
      </c>
      <c r="H637" s="71" t="b">
        <f t="shared" si="22"/>
        <v>0</v>
      </c>
      <c r="J637">
        <v>0</v>
      </c>
    </row>
    <row r="638" spans="1:14">
      <c r="A638" t="s">
        <v>167</v>
      </c>
      <c r="B638">
        <v>12</v>
      </c>
      <c r="C638" t="s">
        <v>154</v>
      </c>
      <c r="D638">
        <v>2</v>
      </c>
      <c r="H638" s="71" t="b">
        <f t="shared" si="22"/>
        <v>0</v>
      </c>
      <c r="J638">
        <v>0</v>
      </c>
    </row>
    <row r="639" spans="1:14">
      <c r="A639" t="s">
        <v>167</v>
      </c>
      <c r="B639">
        <v>12</v>
      </c>
      <c r="C639" t="s">
        <v>155</v>
      </c>
      <c r="D639">
        <v>2</v>
      </c>
      <c r="H639" s="71" t="b">
        <f t="shared" si="22"/>
        <v>0</v>
      </c>
      <c r="J639">
        <v>0</v>
      </c>
    </row>
    <row r="640" spans="1:14">
      <c r="A640" t="s">
        <v>167</v>
      </c>
      <c r="B640">
        <v>12</v>
      </c>
      <c r="C640" t="s">
        <v>156</v>
      </c>
      <c r="D640">
        <v>2</v>
      </c>
      <c r="H640" s="71" t="b">
        <f t="shared" si="22"/>
        <v>0</v>
      </c>
      <c r="J640">
        <v>0</v>
      </c>
    </row>
    <row r="641" spans="1:14">
      <c r="A641" t="s">
        <v>167</v>
      </c>
      <c r="B641">
        <v>12</v>
      </c>
      <c r="C641" t="s">
        <v>157</v>
      </c>
      <c r="D641">
        <v>0</v>
      </c>
      <c r="H641" s="71" t="b">
        <f t="shared" si="22"/>
        <v>0</v>
      </c>
      <c r="J641">
        <v>8</v>
      </c>
      <c r="N641" s="71" t="b">
        <f>IF(AND(ISBLANK(K641),ISBLANK(L641),ISBLANK(M641)),FALSE,TRUE)</f>
        <v>0</v>
      </c>
    </row>
    <row r="642" spans="1:14">
      <c r="A642" t="s">
        <v>167</v>
      </c>
      <c r="B642">
        <v>12</v>
      </c>
      <c r="C642" t="s">
        <v>158</v>
      </c>
      <c r="D642">
        <v>0</v>
      </c>
      <c r="H642" s="71" t="b">
        <f t="shared" si="22"/>
        <v>0</v>
      </c>
      <c r="J642">
        <v>8</v>
      </c>
      <c r="N642" s="71" t="b">
        <f>IF(AND(ISBLANK(K642),ISBLANK(L642),ISBLANK(M642)),FALSE,TRUE)</f>
        <v>0</v>
      </c>
    </row>
    <row r="643" spans="1:14">
      <c r="A643" t="s">
        <v>167</v>
      </c>
      <c r="B643">
        <v>12</v>
      </c>
      <c r="C643" t="s">
        <v>159</v>
      </c>
      <c r="D643">
        <v>4</v>
      </c>
      <c r="H643" s="71" t="b">
        <f t="shared" si="22"/>
        <v>0</v>
      </c>
      <c r="J643">
        <v>4</v>
      </c>
      <c r="N643" s="71" t="b">
        <f>IF(AND(ISBLANK(K643),ISBLANK(L643),ISBLANK(M643)),FALSE,TRUE)</f>
        <v>0</v>
      </c>
    </row>
    <row r="644" spans="1:14">
      <c r="A644" t="s">
        <v>167</v>
      </c>
      <c r="B644">
        <v>12</v>
      </c>
      <c r="C644" t="s">
        <v>160</v>
      </c>
      <c r="D644">
        <v>4</v>
      </c>
      <c r="H644" s="71" t="b">
        <f t="shared" si="22"/>
        <v>0</v>
      </c>
      <c r="J644">
        <v>8</v>
      </c>
      <c r="N644" s="71" t="b">
        <f>IF(AND(ISBLANK(K644),ISBLANK(L644),ISBLANK(M644)),FALSE,TRUE)</f>
        <v>0</v>
      </c>
    </row>
    <row r="645" spans="1:14">
      <c r="A645" t="s">
        <v>167</v>
      </c>
      <c r="B645">
        <v>12</v>
      </c>
      <c r="C645" t="s">
        <v>161</v>
      </c>
      <c r="D645">
        <v>1</v>
      </c>
      <c r="H645" s="71" t="b">
        <f t="shared" si="22"/>
        <v>0</v>
      </c>
      <c r="J645">
        <v>0</v>
      </c>
    </row>
    <row r="646" spans="1:14">
      <c r="A646" t="s">
        <v>167</v>
      </c>
      <c r="B646">
        <v>12</v>
      </c>
      <c r="C646" t="s">
        <v>162</v>
      </c>
      <c r="D646">
        <v>0</v>
      </c>
      <c r="H646" s="71" t="b">
        <f t="shared" si="22"/>
        <v>0</v>
      </c>
      <c r="J646">
        <v>0</v>
      </c>
    </row>
    <row r="647" spans="1:14">
      <c r="A647" t="s">
        <v>167</v>
      </c>
      <c r="B647">
        <v>12</v>
      </c>
      <c r="C647" t="s">
        <v>163</v>
      </c>
      <c r="D647">
        <v>0</v>
      </c>
      <c r="H647" s="71" t="b">
        <f t="shared" si="22"/>
        <v>0</v>
      </c>
      <c r="J647">
        <v>6</v>
      </c>
      <c r="N647" s="71" t="b">
        <f>IF(AND(ISBLANK(K647),ISBLANK(L647),ISBLANK(M647)),FALSE,TRUE)</f>
        <v>0</v>
      </c>
    </row>
    <row r="648" spans="1:14">
      <c r="A648" t="s">
        <v>168</v>
      </c>
      <c r="B648">
        <v>10</v>
      </c>
      <c r="C648" t="s">
        <v>35</v>
      </c>
      <c r="D648">
        <v>3</v>
      </c>
      <c r="H648" s="71" t="b">
        <f>IF(AND(ISBLANK(E648),ISBLANK(F648),ISBLANK(G648)),FALSE,TRUE)</f>
        <v>0</v>
      </c>
      <c r="J648">
        <v>0</v>
      </c>
    </row>
    <row r="649" spans="1:14">
      <c r="A649" t="s">
        <v>168</v>
      </c>
      <c r="B649">
        <v>10</v>
      </c>
      <c r="C649" t="s">
        <v>36</v>
      </c>
      <c r="D649">
        <v>2</v>
      </c>
      <c r="H649" s="71" t="b">
        <f t="shared" ref="H649:H712" si="24">IF(AND(ISBLANK(E649),ISBLANK(F649),ISBLANK(G649)),FALSE,TRUE)</f>
        <v>0</v>
      </c>
      <c r="J649">
        <v>1</v>
      </c>
      <c r="N649" s="71" t="b">
        <f>IF(AND(ISBLANK(K649),ISBLANK(L649),ISBLANK(M649)),FALSE,TRUE)</f>
        <v>0</v>
      </c>
    </row>
    <row r="650" spans="1:14">
      <c r="A650" t="s">
        <v>168</v>
      </c>
      <c r="B650">
        <v>10</v>
      </c>
      <c r="C650" t="s">
        <v>37</v>
      </c>
      <c r="D650">
        <v>1</v>
      </c>
      <c r="H650" s="71" t="b">
        <f t="shared" si="24"/>
        <v>0</v>
      </c>
      <c r="J650">
        <v>3</v>
      </c>
      <c r="N650" s="71" t="b">
        <f>IF(AND(ISBLANK(K650),ISBLANK(L650),ISBLANK(M650)),FALSE,TRUE)</f>
        <v>0</v>
      </c>
    </row>
    <row r="651" spans="1:14">
      <c r="A651" t="s">
        <v>168</v>
      </c>
      <c r="B651">
        <v>10</v>
      </c>
      <c r="C651" t="s">
        <v>38</v>
      </c>
      <c r="D651">
        <v>1</v>
      </c>
      <c r="H651" s="71" t="b">
        <f t="shared" si="24"/>
        <v>0</v>
      </c>
      <c r="J651">
        <v>0</v>
      </c>
    </row>
    <row r="652" spans="1:14">
      <c r="A652" t="s">
        <v>168</v>
      </c>
      <c r="B652">
        <v>10</v>
      </c>
      <c r="C652" t="s">
        <v>39</v>
      </c>
      <c r="D652">
        <v>1</v>
      </c>
      <c r="H652" s="71" t="b">
        <f t="shared" si="24"/>
        <v>0</v>
      </c>
      <c r="J652">
        <v>1</v>
      </c>
      <c r="N652" s="71" t="b">
        <f>IF(AND(ISBLANK(K652),ISBLANK(L652),ISBLANK(M652)),FALSE,TRUE)</f>
        <v>0</v>
      </c>
    </row>
    <row r="653" spans="1:14">
      <c r="A653" t="s">
        <v>168</v>
      </c>
      <c r="B653">
        <v>10</v>
      </c>
      <c r="C653" t="s">
        <v>40</v>
      </c>
      <c r="D653">
        <v>1</v>
      </c>
      <c r="H653" s="71" t="b">
        <f t="shared" si="24"/>
        <v>0</v>
      </c>
      <c r="J653">
        <v>1</v>
      </c>
      <c r="N653" s="71" t="b">
        <f>IF(AND(ISBLANK(K653),ISBLANK(L653),ISBLANK(M653)),FALSE,TRUE)</f>
        <v>0</v>
      </c>
    </row>
    <row r="654" spans="1:14">
      <c r="A654" t="s">
        <v>168</v>
      </c>
      <c r="B654">
        <v>10</v>
      </c>
      <c r="C654" t="s">
        <v>41</v>
      </c>
      <c r="D654">
        <v>1</v>
      </c>
      <c r="H654" s="71" t="b">
        <f t="shared" si="24"/>
        <v>0</v>
      </c>
      <c r="J654">
        <v>1</v>
      </c>
      <c r="N654" s="71" t="b">
        <f>IF(AND(ISBLANK(K654),ISBLANK(L654),ISBLANK(M654)),FALSE,TRUE)</f>
        <v>0</v>
      </c>
    </row>
    <row r="655" spans="1:14">
      <c r="A655" t="s">
        <v>168</v>
      </c>
      <c r="B655">
        <v>10</v>
      </c>
      <c r="C655" t="s">
        <v>42</v>
      </c>
      <c r="D655">
        <v>1</v>
      </c>
      <c r="H655" s="71" t="b">
        <f t="shared" si="24"/>
        <v>0</v>
      </c>
      <c r="J655">
        <v>0</v>
      </c>
    </row>
    <row r="656" spans="1:14">
      <c r="A656" t="s">
        <v>168</v>
      </c>
      <c r="B656">
        <v>10</v>
      </c>
      <c r="C656" t="s">
        <v>43</v>
      </c>
      <c r="D656">
        <v>1</v>
      </c>
      <c r="H656" s="71" t="b">
        <f t="shared" si="24"/>
        <v>0</v>
      </c>
      <c r="J656">
        <v>0</v>
      </c>
    </row>
    <row r="657" spans="1:14">
      <c r="A657" t="s">
        <v>168</v>
      </c>
      <c r="B657">
        <v>10</v>
      </c>
      <c r="C657" t="s">
        <v>44</v>
      </c>
      <c r="D657">
        <v>1</v>
      </c>
      <c r="H657" s="71" t="b">
        <f t="shared" si="24"/>
        <v>0</v>
      </c>
      <c r="J657">
        <v>2</v>
      </c>
      <c r="N657" s="71" t="b">
        <f>IF(AND(ISBLANK(K657),ISBLANK(L657),ISBLANK(M657)),FALSE,TRUE)</f>
        <v>0</v>
      </c>
    </row>
    <row r="658" spans="1:14">
      <c r="A658" t="s">
        <v>168</v>
      </c>
      <c r="B658">
        <v>10</v>
      </c>
      <c r="C658" t="s">
        <v>45</v>
      </c>
      <c r="D658">
        <v>1</v>
      </c>
      <c r="H658" s="71" t="b">
        <f t="shared" si="24"/>
        <v>0</v>
      </c>
      <c r="J658">
        <v>1</v>
      </c>
      <c r="N658" s="71" t="b">
        <f>IF(AND(ISBLANK(K658),ISBLANK(L658),ISBLANK(M658)),FALSE,TRUE)</f>
        <v>0</v>
      </c>
    </row>
    <row r="659" spans="1:14">
      <c r="A659" t="s">
        <v>168</v>
      </c>
      <c r="B659">
        <v>10</v>
      </c>
      <c r="C659" t="s">
        <v>46</v>
      </c>
      <c r="D659">
        <v>1</v>
      </c>
      <c r="H659" s="71" t="b">
        <f t="shared" si="24"/>
        <v>0</v>
      </c>
      <c r="J659">
        <v>1</v>
      </c>
      <c r="N659" s="71" t="b">
        <f>IF(AND(ISBLANK(K659),ISBLANK(L659),ISBLANK(M659)),FALSE,TRUE)</f>
        <v>0</v>
      </c>
    </row>
    <row r="660" spans="1:14">
      <c r="A660" t="s">
        <v>168</v>
      </c>
      <c r="B660">
        <v>10</v>
      </c>
      <c r="C660" t="s">
        <v>47</v>
      </c>
      <c r="D660">
        <v>3</v>
      </c>
      <c r="H660" s="71" t="b">
        <f t="shared" si="24"/>
        <v>0</v>
      </c>
      <c r="J660">
        <v>0</v>
      </c>
    </row>
    <row r="661" spans="1:14">
      <c r="A661" t="s">
        <v>168</v>
      </c>
      <c r="B661">
        <v>10</v>
      </c>
      <c r="C661" t="s">
        <v>48</v>
      </c>
      <c r="D661">
        <v>2</v>
      </c>
      <c r="H661" s="71" t="b">
        <f t="shared" si="24"/>
        <v>0</v>
      </c>
      <c r="J661">
        <v>2</v>
      </c>
      <c r="N661" s="71" t="b">
        <f>IF(AND(ISBLANK(K661),ISBLANK(L661),ISBLANK(M661)),FALSE,TRUE)</f>
        <v>0</v>
      </c>
    </row>
    <row r="662" spans="1:14">
      <c r="A662" t="s">
        <v>168</v>
      </c>
      <c r="B662">
        <v>10</v>
      </c>
      <c r="C662" t="s">
        <v>49</v>
      </c>
      <c r="D662">
        <v>4</v>
      </c>
      <c r="H662" s="71" t="b">
        <f t="shared" si="24"/>
        <v>0</v>
      </c>
      <c r="J662">
        <v>0</v>
      </c>
    </row>
    <row r="663" spans="1:14">
      <c r="A663" t="s">
        <v>168</v>
      </c>
      <c r="B663">
        <v>10</v>
      </c>
      <c r="C663" t="s">
        <v>50</v>
      </c>
      <c r="D663">
        <v>2</v>
      </c>
      <c r="H663" s="71" t="b">
        <f t="shared" si="24"/>
        <v>0</v>
      </c>
      <c r="J663">
        <v>0</v>
      </c>
    </row>
    <row r="664" spans="1:14">
      <c r="A664" t="s">
        <v>168</v>
      </c>
      <c r="B664">
        <v>10</v>
      </c>
      <c r="C664" t="s">
        <v>51</v>
      </c>
      <c r="D664">
        <v>0</v>
      </c>
      <c r="H664" s="71" t="b">
        <f t="shared" si="24"/>
        <v>0</v>
      </c>
      <c r="J664">
        <v>8</v>
      </c>
      <c r="N664" s="71" t="b">
        <f>IF(AND(ISBLANK(K664),ISBLANK(L664),ISBLANK(M664)),FALSE,TRUE)</f>
        <v>0</v>
      </c>
    </row>
    <row r="665" spans="1:14">
      <c r="A665" t="s">
        <v>168</v>
      </c>
      <c r="B665">
        <v>10</v>
      </c>
      <c r="C665" t="s">
        <v>52</v>
      </c>
      <c r="D665">
        <v>0</v>
      </c>
      <c r="H665" s="71" t="b">
        <f t="shared" si="24"/>
        <v>0</v>
      </c>
      <c r="J665">
        <v>8</v>
      </c>
      <c r="N665" s="71" t="b">
        <f>IF(AND(ISBLANK(K665),ISBLANK(L665),ISBLANK(M665)),FALSE,TRUE)</f>
        <v>0</v>
      </c>
    </row>
    <row r="666" spans="1:14">
      <c r="A666" t="s">
        <v>168</v>
      </c>
      <c r="B666">
        <v>10</v>
      </c>
      <c r="C666" t="s">
        <v>53</v>
      </c>
      <c r="D666">
        <v>2</v>
      </c>
      <c r="H666" s="71" t="b">
        <f t="shared" si="24"/>
        <v>0</v>
      </c>
      <c r="J666">
        <v>0</v>
      </c>
    </row>
    <row r="667" spans="1:14">
      <c r="A667" t="s">
        <v>168</v>
      </c>
      <c r="B667">
        <v>10</v>
      </c>
      <c r="C667" t="s">
        <v>54</v>
      </c>
      <c r="D667">
        <v>1</v>
      </c>
      <c r="H667" s="71" t="b">
        <f t="shared" si="24"/>
        <v>0</v>
      </c>
      <c r="J667">
        <v>2</v>
      </c>
      <c r="N667" s="71" t="b">
        <f>IF(AND(ISBLANK(K667),ISBLANK(L667),ISBLANK(M667)),FALSE,TRUE)</f>
        <v>0</v>
      </c>
    </row>
    <row r="668" spans="1:14">
      <c r="A668" t="s">
        <v>168</v>
      </c>
      <c r="B668">
        <v>10</v>
      </c>
      <c r="C668" t="s">
        <v>55</v>
      </c>
      <c r="D668">
        <v>1</v>
      </c>
      <c r="H668" s="71" t="b">
        <f t="shared" si="24"/>
        <v>0</v>
      </c>
      <c r="J668">
        <v>2</v>
      </c>
      <c r="N668" s="71" t="b">
        <f>IF(AND(ISBLANK(K668),ISBLANK(L668),ISBLANK(M668)),FALSE,TRUE)</f>
        <v>0</v>
      </c>
    </row>
    <row r="669" spans="1:14">
      <c r="A669" t="s">
        <v>168</v>
      </c>
      <c r="B669">
        <v>10</v>
      </c>
      <c r="C669" t="s">
        <v>56</v>
      </c>
      <c r="D669">
        <v>1</v>
      </c>
      <c r="H669" s="71" t="b">
        <f t="shared" si="24"/>
        <v>0</v>
      </c>
      <c r="J669">
        <v>0</v>
      </c>
    </row>
    <row r="670" spans="1:14">
      <c r="A670" t="s">
        <v>168</v>
      </c>
      <c r="B670">
        <v>10</v>
      </c>
      <c r="C670" t="s">
        <v>57</v>
      </c>
      <c r="D670">
        <v>1</v>
      </c>
      <c r="H670" s="71" t="b">
        <f t="shared" si="24"/>
        <v>0</v>
      </c>
      <c r="J670">
        <v>0</v>
      </c>
    </row>
    <row r="671" spans="1:14">
      <c r="A671" t="s">
        <v>168</v>
      </c>
      <c r="B671">
        <v>10</v>
      </c>
      <c r="C671" t="s">
        <v>58</v>
      </c>
      <c r="D671">
        <v>1</v>
      </c>
      <c r="H671" s="71" t="b">
        <f t="shared" si="24"/>
        <v>0</v>
      </c>
      <c r="J671">
        <v>2</v>
      </c>
      <c r="N671" s="71" t="b">
        <f>IF(AND(ISBLANK(K671),ISBLANK(L671),ISBLANK(M671)),FALSE,TRUE)</f>
        <v>0</v>
      </c>
    </row>
    <row r="672" spans="1:14">
      <c r="A672" t="s">
        <v>168</v>
      </c>
      <c r="B672">
        <v>10</v>
      </c>
      <c r="C672" t="s">
        <v>59</v>
      </c>
      <c r="D672">
        <v>1</v>
      </c>
      <c r="H672" s="71" t="b">
        <f t="shared" si="24"/>
        <v>0</v>
      </c>
      <c r="J672">
        <v>0</v>
      </c>
    </row>
    <row r="673" spans="1:14">
      <c r="A673" t="s">
        <v>168</v>
      </c>
      <c r="B673">
        <v>10</v>
      </c>
      <c r="C673" t="s">
        <v>60</v>
      </c>
      <c r="D673">
        <v>1</v>
      </c>
      <c r="H673" s="71" t="b">
        <f t="shared" si="24"/>
        <v>0</v>
      </c>
      <c r="J673">
        <v>2</v>
      </c>
      <c r="N673" s="71" t="b">
        <f>IF(AND(ISBLANK(K673),ISBLANK(L673),ISBLANK(M673)),FALSE,TRUE)</f>
        <v>0</v>
      </c>
    </row>
    <row r="674" spans="1:14">
      <c r="A674" t="s">
        <v>168</v>
      </c>
      <c r="B674">
        <v>10</v>
      </c>
      <c r="C674" t="s">
        <v>61</v>
      </c>
      <c r="D674">
        <v>1</v>
      </c>
      <c r="H674" s="71" t="b">
        <f t="shared" si="24"/>
        <v>0</v>
      </c>
      <c r="J674">
        <v>2</v>
      </c>
      <c r="N674" s="71" t="b">
        <f>IF(AND(ISBLANK(K674),ISBLANK(L674),ISBLANK(M674)),FALSE,TRUE)</f>
        <v>0</v>
      </c>
    </row>
    <row r="675" spans="1:14">
      <c r="A675" t="s">
        <v>168</v>
      </c>
      <c r="B675">
        <v>10</v>
      </c>
      <c r="C675" t="s">
        <v>62</v>
      </c>
      <c r="D675">
        <v>1</v>
      </c>
      <c r="H675" s="71" t="b">
        <f t="shared" si="24"/>
        <v>0</v>
      </c>
      <c r="J675">
        <v>2</v>
      </c>
      <c r="N675" s="71" t="b">
        <f>IF(AND(ISBLANK(K675),ISBLANK(L675),ISBLANK(M675)),FALSE,TRUE)</f>
        <v>0</v>
      </c>
    </row>
    <row r="676" spans="1:14">
      <c r="A676" t="s">
        <v>168</v>
      </c>
      <c r="B676">
        <v>10</v>
      </c>
      <c r="C676" t="s">
        <v>63</v>
      </c>
      <c r="D676">
        <v>1</v>
      </c>
      <c r="H676" s="71" t="b">
        <f t="shared" si="24"/>
        <v>0</v>
      </c>
      <c r="J676">
        <v>0</v>
      </c>
    </row>
    <row r="677" spans="1:14">
      <c r="A677" t="s">
        <v>168</v>
      </c>
      <c r="B677">
        <v>10</v>
      </c>
      <c r="C677" t="s">
        <v>64</v>
      </c>
      <c r="D677">
        <v>1</v>
      </c>
      <c r="H677" s="71" t="b">
        <f t="shared" si="24"/>
        <v>0</v>
      </c>
      <c r="J677">
        <v>3</v>
      </c>
      <c r="N677" s="71" t="b">
        <f>IF(AND(ISBLANK(K677),ISBLANK(L677),ISBLANK(M677)),FALSE,TRUE)</f>
        <v>0</v>
      </c>
    </row>
    <row r="678" spans="1:14">
      <c r="A678" t="s">
        <v>168</v>
      </c>
      <c r="B678">
        <v>10</v>
      </c>
      <c r="C678" t="s">
        <v>65</v>
      </c>
      <c r="D678">
        <v>4</v>
      </c>
      <c r="H678" s="71" t="b">
        <f t="shared" si="24"/>
        <v>0</v>
      </c>
      <c r="J678">
        <v>4</v>
      </c>
      <c r="N678" s="71" t="b">
        <f>IF(AND(ISBLANK(K678),ISBLANK(L678),ISBLANK(M678)),FALSE,TRUE)</f>
        <v>0</v>
      </c>
    </row>
    <row r="679" spans="1:14">
      <c r="A679" t="s">
        <v>168</v>
      </c>
      <c r="B679">
        <v>10</v>
      </c>
      <c r="C679" t="s">
        <v>66</v>
      </c>
      <c r="D679">
        <v>3</v>
      </c>
      <c r="H679" s="71" t="b">
        <f t="shared" si="24"/>
        <v>0</v>
      </c>
      <c r="J679">
        <v>0</v>
      </c>
    </row>
    <row r="680" spans="1:14">
      <c r="A680" t="s">
        <v>168</v>
      </c>
      <c r="B680">
        <v>10</v>
      </c>
      <c r="C680" t="s">
        <v>67</v>
      </c>
      <c r="D680">
        <v>2</v>
      </c>
      <c r="H680" s="71" t="b">
        <f t="shared" si="24"/>
        <v>0</v>
      </c>
      <c r="J680">
        <v>4</v>
      </c>
      <c r="N680" s="71" t="b">
        <f>IF(AND(ISBLANK(K680),ISBLANK(L680),ISBLANK(M680)),FALSE,TRUE)</f>
        <v>0</v>
      </c>
    </row>
    <row r="681" spans="1:14">
      <c r="A681" t="s">
        <v>168</v>
      </c>
      <c r="B681">
        <v>10</v>
      </c>
      <c r="C681" t="s">
        <v>68</v>
      </c>
      <c r="D681">
        <v>4</v>
      </c>
      <c r="H681" s="71" t="b">
        <f t="shared" si="24"/>
        <v>0</v>
      </c>
      <c r="J681">
        <v>4</v>
      </c>
      <c r="N681" s="71" t="b">
        <f>IF(AND(ISBLANK(K681),ISBLANK(L681),ISBLANK(M681)),FALSE,TRUE)</f>
        <v>0</v>
      </c>
    </row>
    <row r="682" spans="1:14">
      <c r="A682" t="s">
        <v>168</v>
      </c>
      <c r="B682">
        <v>10</v>
      </c>
      <c r="C682" t="s">
        <v>69</v>
      </c>
      <c r="D682">
        <v>2</v>
      </c>
      <c r="H682" s="71" t="b">
        <f t="shared" si="24"/>
        <v>0</v>
      </c>
      <c r="J682">
        <v>2</v>
      </c>
      <c r="N682" s="71" t="b">
        <f>IF(AND(ISBLANK(K682),ISBLANK(L682),ISBLANK(M682)),FALSE,TRUE)</f>
        <v>0</v>
      </c>
    </row>
    <row r="683" spans="1:14">
      <c r="A683" t="s">
        <v>168</v>
      </c>
      <c r="B683">
        <v>10</v>
      </c>
      <c r="C683" t="s">
        <v>70</v>
      </c>
      <c r="D683">
        <v>2</v>
      </c>
      <c r="H683" s="71" t="b">
        <f t="shared" si="24"/>
        <v>0</v>
      </c>
      <c r="J683">
        <v>3</v>
      </c>
      <c r="N683" s="71" t="b">
        <f>IF(AND(ISBLANK(K683),ISBLANK(L683),ISBLANK(M683)),FALSE,TRUE)</f>
        <v>0</v>
      </c>
    </row>
    <row r="684" spans="1:14">
      <c r="A684" t="s">
        <v>168</v>
      </c>
      <c r="B684">
        <v>10</v>
      </c>
      <c r="C684" t="s">
        <v>71</v>
      </c>
      <c r="D684">
        <v>1</v>
      </c>
      <c r="H684" s="71" t="b">
        <f t="shared" si="24"/>
        <v>0</v>
      </c>
      <c r="J684">
        <v>0</v>
      </c>
    </row>
    <row r="685" spans="1:14">
      <c r="A685" t="s">
        <v>168</v>
      </c>
      <c r="B685">
        <v>10</v>
      </c>
      <c r="C685" t="s">
        <v>72</v>
      </c>
      <c r="D685">
        <v>1</v>
      </c>
      <c r="H685" s="71" t="b">
        <f t="shared" si="24"/>
        <v>0</v>
      </c>
      <c r="J685">
        <v>4</v>
      </c>
      <c r="N685" s="71" t="b">
        <f>IF(AND(ISBLANK(K685),ISBLANK(L685),ISBLANK(M685)),FALSE,TRUE)</f>
        <v>0</v>
      </c>
    </row>
    <row r="686" spans="1:14">
      <c r="A686" t="s">
        <v>168</v>
      </c>
      <c r="B686">
        <v>10</v>
      </c>
      <c r="C686" t="s">
        <v>73</v>
      </c>
      <c r="D686">
        <v>2</v>
      </c>
      <c r="H686" s="71" t="b">
        <f t="shared" si="24"/>
        <v>0</v>
      </c>
      <c r="J686">
        <v>3</v>
      </c>
      <c r="N686" s="71" t="b">
        <f>IF(AND(ISBLANK(K686),ISBLANK(L686),ISBLANK(M686)),FALSE,TRUE)</f>
        <v>0</v>
      </c>
    </row>
    <row r="687" spans="1:14">
      <c r="A687" t="s">
        <v>168</v>
      </c>
      <c r="B687">
        <v>10</v>
      </c>
      <c r="C687" t="s">
        <v>74</v>
      </c>
      <c r="D687">
        <v>2</v>
      </c>
      <c r="H687" s="71" t="b">
        <f t="shared" si="24"/>
        <v>0</v>
      </c>
      <c r="J687">
        <v>0</v>
      </c>
    </row>
    <row r="688" spans="1:14">
      <c r="A688" t="s">
        <v>168</v>
      </c>
      <c r="B688">
        <v>10</v>
      </c>
      <c r="C688" t="s">
        <v>75</v>
      </c>
      <c r="D688">
        <v>2</v>
      </c>
      <c r="H688" s="71" t="b">
        <f t="shared" si="24"/>
        <v>0</v>
      </c>
      <c r="J688">
        <v>0</v>
      </c>
    </row>
    <row r="689" spans="1:14">
      <c r="A689" t="s">
        <v>168</v>
      </c>
      <c r="B689">
        <v>10</v>
      </c>
      <c r="C689" t="s">
        <v>76</v>
      </c>
      <c r="D689">
        <v>2</v>
      </c>
      <c r="H689" s="71" t="b">
        <f t="shared" si="24"/>
        <v>0</v>
      </c>
      <c r="J689">
        <v>0</v>
      </c>
    </row>
    <row r="690" spans="1:14">
      <c r="A690" t="s">
        <v>168</v>
      </c>
      <c r="B690">
        <v>10</v>
      </c>
      <c r="C690" t="s">
        <v>77</v>
      </c>
      <c r="D690">
        <v>2</v>
      </c>
      <c r="H690" s="71" t="b">
        <f t="shared" si="24"/>
        <v>0</v>
      </c>
      <c r="J690">
        <v>0</v>
      </c>
    </row>
    <row r="691" spans="1:14">
      <c r="A691" t="s">
        <v>168</v>
      </c>
      <c r="B691">
        <v>10</v>
      </c>
      <c r="C691" t="s">
        <v>78</v>
      </c>
      <c r="D691">
        <v>2</v>
      </c>
      <c r="H691" s="71" t="b">
        <f t="shared" si="24"/>
        <v>0</v>
      </c>
      <c r="J691">
        <v>0</v>
      </c>
    </row>
    <row r="692" spans="1:14">
      <c r="A692" t="s">
        <v>168</v>
      </c>
      <c r="B692">
        <v>10</v>
      </c>
      <c r="C692" t="s">
        <v>79</v>
      </c>
      <c r="D692">
        <v>2</v>
      </c>
      <c r="H692" s="71" t="b">
        <f t="shared" si="24"/>
        <v>0</v>
      </c>
      <c r="J692">
        <v>0</v>
      </c>
    </row>
    <row r="693" spans="1:14">
      <c r="A693" t="s">
        <v>168</v>
      </c>
      <c r="B693">
        <v>11</v>
      </c>
      <c r="C693" t="s">
        <v>80</v>
      </c>
      <c r="D693">
        <v>1</v>
      </c>
      <c r="H693" s="71" t="b">
        <f t="shared" si="24"/>
        <v>0</v>
      </c>
      <c r="J693">
        <v>2</v>
      </c>
      <c r="N693" s="71" t="b">
        <f t="shared" ref="N693:N702" si="25">IF(AND(ISBLANK(K693),ISBLANK(L693),ISBLANK(M693)),FALSE,TRUE)</f>
        <v>0</v>
      </c>
    </row>
    <row r="694" spans="1:14">
      <c r="A694" t="s">
        <v>168</v>
      </c>
      <c r="B694">
        <v>11</v>
      </c>
      <c r="C694" t="s">
        <v>81</v>
      </c>
      <c r="D694">
        <v>2</v>
      </c>
      <c r="H694" s="71" t="b">
        <f t="shared" si="24"/>
        <v>0</v>
      </c>
      <c r="J694">
        <v>2</v>
      </c>
      <c r="N694" s="71" t="b">
        <f t="shared" si="25"/>
        <v>0</v>
      </c>
    </row>
    <row r="695" spans="1:14">
      <c r="A695" t="s">
        <v>168</v>
      </c>
      <c r="B695">
        <v>11</v>
      </c>
      <c r="C695" t="s">
        <v>82</v>
      </c>
      <c r="D695">
        <v>2</v>
      </c>
      <c r="H695" s="71" t="b">
        <f t="shared" si="24"/>
        <v>0</v>
      </c>
      <c r="J695">
        <v>2</v>
      </c>
      <c r="N695" s="71" t="b">
        <f t="shared" si="25"/>
        <v>0</v>
      </c>
    </row>
    <row r="696" spans="1:14">
      <c r="A696" t="s">
        <v>168</v>
      </c>
      <c r="B696">
        <v>11</v>
      </c>
      <c r="C696" t="s">
        <v>83</v>
      </c>
      <c r="D696">
        <v>2</v>
      </c>
      <c r="H696" s="71" t="b">
        <f t="shared" si="24"/>
        <v>0</v>
      </c>
      <c r="J696">
        <v>2</v>
      </c>
      <c r="N696" s="71" t="b">
        <f t="shared" si="25"/>
        <v>0</v>
      </c>
    </row>
    <row r="697" spans="1:14">
      <c r="A697" t="s">
        <v>168</v>
      </c>
      <c r="B697">
        <v>11</v>
      </c>
      <c r="C697" t="s">
        <v>84</v>
      </c>
      <c r="D697">
        <v>2</v>
      </c>
      <c r="H697" s="71" t="b">
        <f t="shared" si="24"/>
        <v>0</v>
      </c>
      <c r="J697">
        <v>2</v>
      </c>
      <c r="N697" s="71" t="b">
        <f t="shared" si="25"/>
        <v>0</v>
      </c>
    </row>
    <row r="698" spans="1:14">
      <c r="A698" t="s">
        <v>168</v>
      </c>
      <c r="B698">
        <v>11</v>
      </c>
      <c r="C698" t="s">
        <v>85</v>
      </c>
      <c r="D698">
        <v>1</v>
      </c>
      <c r="H698" s="71" t="b">
        <f t="shared" si="24"/>
        <v>0</v>
      </c>
      <c r="J698">
        <v>2</v>
      </c>
      <c r="N698" s="71" t="b">
        <f t="shared" si="25"/>
        <v>0</v>
      </c>
    </row>
    <row r="699" spans="1:14">
      <c r="A699" t="s">
        <v>168</v>
      </c>
      <c r="B699">
        <v>11</v>
      </c>
      <c r="C699" t="s">
        <v>86</v>
      </c>
      <c r="D699">
        <v>1</v>
      </c>
      <c r="H699" s="71" t="b">
        <f t="shared" si="24"/>
        <v>0</v>
      </c>
      <c r="J699">
        <v>2</v>
      </c>
      <c r="N699" s="71" t="b">
        <f t="shared" si="25"/>
        <v>0</v>
      </c>
    </row>
    <row r="700" spans="1:14">
      <c r="A700" t="s">
        <v>168</v>
      </c>
      <c r="B700">
        <v>11</v>
      </c>
      <c r="C700" t="s">
        <v>87</v>
      </c>
      <c r="D700">
        <v>1</v>
      </c>
      <c r="H700" s="71" t="b">
        <f t="shared" si="24"/>
        <v>0</v>
      </c>
      <c r="J700">
        <v>5</v>
      </c>
      <c r="N700" s="71" t="b">
        <f t="shared" si="25"/>
        <v>0</v>
      </c>
    </row>
    <row r="701" spans="1:14">
      <c r="A701" t="s">
        <v>168</v>
      </c>
      <c r="B701">
        <v>11</v>
      </c>
      <c r="C701" t="s">
        <v>88</v>
      </c>
      <c r="D701">
        <v>1</v>
      </c>
      <c r="H701" s="71" t="b">
        <f t="shared" si="24"/>
        <v>0</v>
      </c>
      <c r="J701">
        <v>2</v>
      </c>
      <c r="N701" s="71" t="b">
        <f t="shared" si="25"/>
        <v>0</v>
      </c>
    </row>
    <row r="702" spans="1:14">
      <c r="A702" t="s">
        <v>168</v>
      </c>
      <c r="B702">
        <v>11</v>
      </c>
      <c r="C702" t="s">
        <v>89</v>
      </c>
      <c r="D702">
        <v>2</v>
      </c>
      <c r="H702" s="71" t="b">
        <f t="shared" si="24"/>
        <v>0</v>
      </c>
      <c r="J702">
        <v>2</v>
      </c>
      <c r="N702" s="71" t="b">
        <f t="shared" si="25"/>
        <v>0</v>
      </c>
    </row>
    <row r="703" spans="1:14">
      <c r="A703" t="s">
        <v>168</v>
      </c>
      <c r="B703">
        <v>11</v>
      </c>
      <c r="C703" t="s">
        <v>90</v>
      </c>
      <c r="D703">
        <v>2</v>
      </c>
      <c r="H703" s="71" t="b">
        <f t="shared" si="24"/>
        <v>0</v>
      </c>
      <c r="J703">
        <v>0</v>
      </c>
    </row>
    <row r="704" spans="1:14">
      <c r="A704" t="s">
        <v>168</v>
      </c>
      <c r="B704">
        <v>11</v>
      </c>
      <c r="C704" t="s">
        <v>91</v>
      </c>
      <c r="D704">
        <v>2</v>
      </c>
      <c r="H704" s="71" t="b">
        <f t="shared" si="24"/>
        <v>0</v>
      </c>
      <c r="J704">
        <v>1</v>
      </c>
      <c r="N704" s="71" t="b">
        <f>IF(AND(ISBLANK(K704),ISBLANK(L704),ISBLANK(M704)),FALSE,TRUE)</f>
        <v>0</v>
      </c>
    </row>
    <row r="705" spans="1:14">
      <c r="A705" t="s">
        <v>168</v>
      </c>
      <c r="B705">
        <v>11</v>
      </c>
      <c r="C705" t="s">
        <v>92</v>
      </c>
      <c r="D705">
        <v>1</v>
      </c>
      <c r="H705" s="71" t="b">
        <f t="shared" si="24"/>
        <v>0</v>
      </c>
      <c r="J705">
        <v>0</v>
      </c>
    </row>
    <row r="706" spans="1:14">
      <c r="A706" t="s">
        <v>168</v>
      </c>
      <c r="B706">
        <v>11</v>
      </c>
      <c r="C706" t="s">
        <v>93</v>
      </c>
      <c r="D706">
        <v>1</v>
      </c>
      <c r="H706" s="71" t="b">
        <f t="shared" si="24"/>
        <v>0</v>
      </c>
      <c r="J706">
        <v>0</v>
      </c>
    </row>
    <row r="707" spans="1:14">
      <c r="A707" t="s">
        <v>168</v>
      </c>
      <c r="B707">
        <v>11</v>
      </c>
      <c r="C707" t="s">
        <v>94</v>
      </c>
      <c r="D707">
        <v>1</v>
      </c>
      <c r="H707" s="71" t="b">
        <f t="shared" si="24"/>
        <v>0</v>
      </c>
      <c r="J707">
        <v>3</v>
      </c>
      <c r="N707" s="71" t="b">
        <f t="shared" ref="N707:N726" si="26">IF(AND(ISBLANK(K707),ISBLANK(L707),ISBLANK(M707)),FALSE,TRUE)</f>
        <v>0</v>
      </c>
    </row>
    <row r="708" spans="1:14">
      <c r="A708" t="s">
        <v>168</v>
      </c>
      <c r="B708">
        <v>11</v>
      </c>
      <c r="C708" t="s">
        <v>95</v>
      </c>
      <c r="D708">
        <v>1</v>
      </c>
      <c r="H708" s="71" t="b">
        <f t="shared" si="24"/>
        <v>0</v>
      </c>
      <c r="J708">
        <v>2</v>
      </c>
      <c r="N708" s="71" t="b">
        <f t="shared" si="26"/>
        <v>0</v>
      </c>
    </row>
    <row r="709" spans="1:14">
      <c r="A709" t="s">
        <v>168</v>
      </c>
      <c r="B709">
        <v>11</v>
      </c>
      <c r="C709" t="s">
        <v>96</v>
      </c>
      <c r="D709">
        <v>1</v>
      </c>
      <c r="H709" s="71" t="b">
        <f t="shared" si="24"/>
        <v>0</v>
      </c>
      <c r="J709">
        <v>2</v>
      </c>
      <c r="N709" s="71" t="b">
        <f t="shared" si="26"/>
        <v>0</v>
      </c>
    </row>
    <row r="710" spans="1:14">
      <c r="A710" t="s">
        <v>168</v>
      </c>
      <c r="B710">
        <v>11</v>
      </c>
      <c r="C710" t="s">
        <v>97</v>
      </c>
      <c r="D710">
        <v>1</v>
      </c>
      <c r="H710" s="71" t="b">
        <f t="shared" si="24"/>
        <v>0</v>
      </c>
      <c r="J710">
        <v>2</v>
      </c>
      <c r="N710" s="71" t="b">
        <f t="shared" si="26"/>
        <v>0</v>
      </c>
    </row>
    <row r="711" spans="1:14">
      <c r="A711" t="s">
        <v>168</v>
      </c>
      <c r="B711">
        <v>11</v>
      </c>
      <c r="C711" t="s">
        <v>98</v>
      </c>
      <c r="D711">
        <v>1</v>
      </c>
      <c r="H711" s="71" t="b">
        <f t="shared" si="24"/>
        <v>0</v>
      </c>
      <c r="J711">
        <v>1</v>
      </c>
      <c r="N711" s="71" t="b">
        <f t="shared" si="26"/>
        <v>0</v>
      </c>
    </row>
    <row r="712" spans="1:14">
      <c r="A712" t="s">
        <v>168</v>
      </c>
      <c r="B712">
        <v>11</v>
      </c>
      <c r="C712" t="s">
        <v>99</v>
      </c>
      <c r="D712">
        <v>1</v>
      </c>
      <c r="H712" s="71" t="b">
        <f t="shared" si="24"/>
        <v>0</v>
      </c>
      <c r="J712">
        <v>1</v>
      </c>
      <c r="N712" s="71" t="b">
        <f t="shared" si="26"/>
        <v>0</v>
      </c>
    </row>
    <row r="713" spans="1:14">
      <c r="A713" t="s">
        <v>168</v>
      </c>
      <c r="B713">
        <v>11</v>
      </c>
      <c r="C713" t="s">
        <v>100</v>
      </c>
      <c r="D713">
        <v>1</v>
      </c>
      <c r="H713" s="71" t="b">
        <f t="shared" ref="H713:H776" si="27">IF(AND(ISBLANK(E713),ISBLANK(F713),ISBLANK(G713)),FALSE,TRUE)</f>
        <v>0</v>
      </c>
      <c r="J713">
        <v>1</v>
      </c>
      <c r="N713" s="71" t="b">
        <f t="shared" si="26"/>
        <v>0</v>
      </c>
    </row>
    <row r="714" spans="1:14">
      <c r="A714" t="s">
        <v>168</v>
      </c>
      <c r="B714">
        <v>11</v>
      </c>
      <c r="C714" t="s">
        <v>101</v>
      </c>
      <c r="D714">
        <v>1</v>
      </c>
      <c r="H714" s="71" t="b">
        <f t="shared" si="27"/>
        <v>0</v>
      </c>
      <c r="J714">
        <v>2</v>
      </c>
      <c r="N714" s="71" t="b">
        <f t="shared" si="26"/>
        <v>0</v>
      </c>
    </row>
    <row r="715" spans="1:14">
      <c r="A715" t="s">
        <v>168</v>
      </c>
      <c r="B715">
        <v>11</v>
      </c>
      <c r="C715" t="s">
        <v>102</v>
      </c>
      <c r="D715">
        <v>1</v>
      </c>
      <c r="H715" s="71" t="b">
        <f t="shared" si="27"/>
        <v>0</v>
      </c>
      <c r="J715">
        <v>2</v>
      </c>
      <c r="N715" s="71" t="b">
        <f t="shared" si="26"/>
        <v>0</v>
      </c>
    </row>
    <row r="716" spans="1:14">
      <c r="A716" t="s">
        <v>168</v>
      </c>
      <c r="B716">
        <v>11</v>
      </c>
      <c r="C716" t="s">
        <v>103</v>
      </c>
      <c r="D716">
        <v>1</v>
      </c>
      <c r="H716" s="71" t="b">
        <f t="shared" si="27"/>
        <v>0</v>
      </c>
      <c r="J716">
        <v>1</v>
      </c>
      <c r="N716" s="71" t="b">
        <f t="shared" si="26"/>
        <v>0</v>
      </c>
    </row>
    <row r="717" spans="1:14">
      <c r="A717" t="s">
        <v>168</v>
      </c>
      <c r="B717">
        <v>11</v>
      </c>
      <c r="C717" t="s">
        <v>104</v>
      </c>
      <c r="D717">
        <v>1</v>
      </c>
      <c r="H717" s="71" t="b">
        <f t="shared" si="27"/>
        <v>0</v>
      </c>
      <c r="J717">
        <v>2</v>
      </c>
      <c r="N717" s="71" t="b">
        <f t="shared" si="26"/>
        <v>0</v>
      </c>
    </row>
    <row r="718" spans="1:14">
      <c r="A718" t="s">
        <v>168</v>
      </c>
      <c r="B718">
        <v>11</v>
      </c>
      <c r="C718" t="s">
        <v>105</v>
      </c>
      <c r="D718">
        <v>1</v>
      </c>
      <c r="H718" s="71" t="b">
        <f t="shared" si="27"/>
        <v>0</v>
      </c>
      <c r="J718">
        <v>2</v>
      </c>
      <c r="N718" s="71" t="b">
        <f t="shared" si="26"/>
        <v>0</v>
      </c>
    </row>
    <row r="719" spans="1:14">
      <c r="A719" t="s">
        <v>168</v>
      </c>
      <c r="B719">
        <v>11</v>
      </c>
      <c r="C719" t="s">
        <v>106</v>
      </c>
      <c r="D719">
        <v>2</v>
      </c>
      <c r="H719" s="71" t="b">
        <f t="shared" si="27"/>
        <v>0</v>
      </c>
      <c r="J719">
        <v>3</v>
      </c>
      <c r="N719" s="71" t="b">
        <f t="shared" si="26"/>
        <v>0</v>
      </c>
    </row>
    <row r="720" spans="1:14">
      <c r="A720" t="s">
        <v>168</v>
      </c>
      <c r="B720">
        <v>11</v>
      </c>
      <c r="C720" t="s">
        <v>107</v>
      </c>
      <c r="D720">
        <v>2</v>
      </c>
      <c r="H720" s="71" t="b">
        <f t="shared" si="27"/>
        <v>0</v>
      </c>
      <c r="J720">
        <v>3</v>
      </c>
      <c r="N720" s="71" t="b">
        <f t="shared" si="26"/>
        <v>0</v>
      </c>
    </row>
    <row r="721" spans="1:14">
      <c r="A721" t="s">
        <v>168</v>
      </c>
      <c r="B721">
        <v>11</v>
      </c>
      <c r="C721" t="s">
        <v>108</v>
      </c>
      <c r="D721">
        <v>1</v>
      </c>
      <c r="H721" s="71" t="b">
        <f t="shared" si="27"/>
        <v>0</v>
      </c>
      <c r="J721">
        <v>3</v>
      </c>
      <c r="N721" s="71" t="b">
        <f t="shared" si="26"/>
        <v>0</v>
      </c>
    </row>
    <row r="722" spans="1:14">
      <c r="A722" t="s">
        <v>168</v>
      </c>
      <c r="B722">
        <v>11</v>
      </c>
      <c r="C722" t="s">
        <v>109</v>
      </c>
      <c r="D722">
        <v>2</v>
      </c>
      <c r="H722" s="71" t="b">
        <f t="shared" si="27"/>
        <v>0</v>
      </c>
      <c r="J722">
        <v>3</v>
      </c>
      <c r="N722" s="71" t="b">
        <f t="shared" si="26"/>
        <v>0</v>
      </c>
    </row>
    <row r="723" spans="1:14">
      <c r="A723" t="s">
        <v>168</v>
      </c>
      <c r="B723">
        <v>11</v>
      </c>
      <c r="C723" t="s">
        <v>110</v>
      </c>
      <c r="D723">
        <v>2</v>
      </c>
      <c r="H723" s="71" t="b">
        <f t="shared" si="27"/>
        <v>0</v>
      </c>
      <c r="J723">
        <v>3</v>
      </c>
      <c r="N723" s="71" t="b">
        <f t="shared" si="26"/>
        <v>0</v>
      </c>
    </row>
    <row r="724" spans="1:14">
      <c r="A724" t="s">
        <v>168</v>
      </c>
      <c r="B724">
        <v>11</v>
      </c>
      <c r="C724" t="s">
        <v>111</v>
      </c>
      <c r="D724">
        <v>2</v>
      </c>
      <c r="H724" s="71" t="b">
        <f t="shared" si="27"/>
        <v>0</v>
      </c>
      <c r="J724">
        <v>3</v>
      </c>
      <c r="N724" s="71" t="b">
        <f t="shared" si="26"/>
        <v>0</v>
      </c>
    </row>
    <row r="725" spans="1:14">
      <c r="A725" t="s">
        <v>168</v>
      </c>
      <c r="B725">
        <v>11</v>
      </c>
      <c r="C725" t="s">
        <v>112</v>
      </c>
      <c r="D725">
        <v>2</v>
      </c>
      <c r="H725" s="71" t="b">
        <f t="shared" si="27"/>
        <v>0</v>
      </c>
      <c r="J725">
        <v>3</v>
      </c>
      <c r="N725" s="71" t="b">
        <f t="shared" si="26"/>
        <v>0</v>
      </c>
    </row>
    <row r="726" spans="1:14">
      <c r="A726" t="s">
        <v>168</v>
      </c>
      <c r="B726">
        <v>11</v>
      </c>
      <c r="C726" t="s">
        <v>113</v>
      </c>
      <c r="D726">
        <v>2</v>
      </c>
      <c r="H726" s="71" t="b">
        <f t="shared" si="27"/>
        <v>0</v>
      </c>
      <c r="J726">
        <v>2</v>
      </c>
      <c r="N726" s="71" t="b">
        <f t="shared" si="26"/>
        <v>0</v>
      </c>
    </row>
    <row r="727" spans="1:14">
      <c r="A727" t="s">
        <v>168</v>
      </c>
      <c r="B727">
        <v>11</v>
      </c>
      <c r="C727" t="s">
        <v>114</v>
      </c>
      <c r="D727">
        <v>2</v>
      </c>
      <c r="H727" s="71" t="b">
        <f t="shared" si="27"/>
        <v>0</v>
      </c>
      <c r="J727">
        <v>0</v>
      </c>
    </row>
    <row r="728" spans="1:14">
      <c r="A728" t="s">
        <v>168</v>
      </c>
      <c r="B728">
        <v>11</v>
      </c>
      <c r="C728" t="s">
        <v>115</v>
      </c>
      <c r="D728">
        <v>2</v>
      </c>
      <c r="H728" s="71" t="b">
        <f t="shared" si="27"/>
        <v>0</v>
      </c>
      <c r="J728">
        <v>0</v>
      </c>
    </row>
    <row r="729" spans="1:14">
      <c r="A729" t="s">
        <v>168</v>
      </c>
      <c r="B729">
        <v>11</v>
      </c>
      <c r="C729" t="s">
        <v>116</v>
      </c>
      <c r="D729">
        <v>2</v>
      </c>
      <c r="H729" s="71" t="b">
        <f t="shared" si="27"/>
        <v>0</v>
      </c>
      <c r="J729">
        <v>0</v>
      </c>
    </row>
    <row r="730" spans="1:14">
      <c r="A730" t="s">
        <v>168</v>
      </c>
      <c r="B730">
        <v>11</v>
      </c>
      <c r="C730" t="s">
        <v>117</v>
      </c>
      <c r="D730">
        <v>6</v>
      </c>
      <c r="H730" s="71" t="b">
        <f t="shared" si="27"/>
        <v>0</v>
      </c>
      <c r="J730">
        <v>0</v>
      </c>
    </row>
    <row r="731" spans="1:14">
      <c r="A731" t="s">
        <v>168</v>
      </c>
      <c r="B731">
        <v>11</v>
      </c>
      <c r="C731" t="s">
        <v>118</v>
      </c>
      <c r="D731">
        <v>3</v>
      </c>
      <c r="H731" s="71" t="b">
        <f t="shared" si="27"/>
        <v>0</v>
      </c>
      <c r="J731">
        <v>0</v>
      </c>
    </row>
    <row r="732" spans="1:14">
      <c r="A732" t="s">
        <v>168</v>
      </c>
      <c r="B732">
        <v>11</v>
      </c>
      <c r="C732" t="s">
        <v>119</v>
      </c>
      <c r="D732">
        <v>3</v>
      </c>
      <c r="H732" s="71" t="b">
        <f t="shared" si="27"/>
        <v>0</v>
      </c>
      <c r="J732">
        <v>0</v>
      </c>
    </row>
    <row r="733" spans="1:14">
      <c r="A733" t="s">
        <v>168</v>
      </c>
      <c r="B733">
        <v>11</v>
      </c>
      <c r="C733" t="s">
        <v>120</v>
      </c>
      <c r="D733">
        <v>3</v>
      </c>
      <c r="H733" s="71" t="b">
        <f t="shared" si="27"/>
        <v>0</v>
      </c>
      <c r="J733">
        <v>0</v>
      </c>
    </row>
    <row r="734" spans="1:14">
      <c r="A734" t="s">
        <v>168</v>
      </c>
      <c r="B734">
        <v>11</v>
      </c>
      <c r="C734" t="s">
        <v>121</v>
      </c>
      <c r="D734">
        <v>3</v>
      </c>
      <c r="H734" s="71" t="b">
        <f t="shared" si="27"/>
        <v>0</v>
      </c>
      <c r="J734">
        <v>0</v>
      </c>
    </row>
    <row r="735" spans="1:14">
      <c r="A735" t="s">
        <v>168</v>
      </c>
      <c r="B735">
        <v>12</v>
      </c>
      <c r="C735" t="s">
        <v>122</v>
      </c>
      <c r="D735">
        <v>2</v>
      </c>
      <c r="H735" s="71" t="b">
        <f t="shared" si="27"/>
        <v>0</v>
      </c>
      <c r="J735">
        <v>2</v>
      </c>
      <c r="N735" s="71" t="b">
        <f>IF(AND(ISBLANK(K735),ISBLANK(L735),ISBLANK(M735)),FALSE,TRUE)</f>
        <v>0</v>
      </c>
    </row>
    <row r="736" spans="1:14">
      <c r="A736" t="s">
        <v>168</v>
      </c>
      <c r="B736">
        <v>12</v>
      </c>
      <c r="C736" t="s">
        <v>123</v>
      </c>
      <c r="D736">
        <v>2</v>
      </c>
      <c r="H736" s="71" t="b">
        <f t="shared" si="27"/>
        <v>0</v>
      </c>
      <c r="J736">
        <v>2</v>
      </c>
      <c r="N736" s="71" t="b">
        <f>IF(AND(ISBLANK(K736),ISBLANK(L736),ISBLANK(M736)),FALSE,TRUE)</f>
        <v>0</v>
      </c>
    </row>
    <row r="737" spans="1:14">
      <c r="A737" t="s">
        <v>168</v>
      </c>
      <c r="B737">
        <v>12</v>
      </c>
      <c r="C737" t="s">
        <v>124</v>
      </c>
      <c r="D737">
        <v>2</v>
      </c>
      <c r="H737" s="71" t="b">
        <f t="shared" si="27"/>
        <v>0</v>
      </c>
      <c r="J737">
        <v>0</v>
      </c>
    </row>
    <row r="738" spans="1:14">
      <c r="A738" t="s">
        <v>168</v>
      </c>
      <c r="B738">
        <v>12</v>
      </c>
      <c r="C738" t="s">
        <v>125</v>
      </c>
      <c r="D738">
        <v>4</v>
      </c>
      <c r="H738" s="71" t="b">
        <f t="shared" si="27"/>
        <v>0</v>
      </c>
      <c r="J738">
        <v>4</v>
      </c>
      <c r="N738" s="71" t="b">
        <f>IF(AND(ISBLANK(K738),ISBLANK(L738),ISBLANK(M738)),FALSE,TRUE)</f>
        <v>0</v>
      </c>
    </row>
    <row r="739" spans="1:14">
      <c r="A739" t="s">
        <v>168</v>
      </c>
      <c r="B739">
        <v>12</v>
      </c>
      <c r="C739" t="s">
        <v>126</v>
      </c>
      <c r="D739">
        <v>2</v>
      </c>
      <c r="H739" s="71" t="b">
        <f t="shared" si="27"/>
        <v>0</v>
      </c>
      <c r="J739">
        <v>2</v>
      </c>
      <c r="N739" s="71" t="b">
        <f>IF(AND(ISBLANK(K739),ISBLANK(L739),ISBLANK(M739)),FALSE,TRUE)</f>
        <v>0</v>
      </c>
    </row>
    <row r="740" spans="1:14">
      <c r="A740" t="s">
        <v>168</v>
      </c>
      <c r="B740">
        <v>12</v>
      </c>
      <c r="C740" t="s">
        <v>127</v>
      </c>
      <c r="D740">
        <v>2</v>
      </c>
      <c r="H740" s="71" t="b">
        <f t="shared" si="27"/>
        <v>0</v>
      </c>
      <c r="J740">
        <v>2</v>
      </c>
      <c r="N740" s="71" t="b">
        <f>IF(AND(ISBLANK(K740),ISBLANK(L740),ISBLANK(M740)),FALSE,TRUE)</f>
        <v>0</v>
      </c>
    </row>
    <row r="741" spans="1:14">
      <c r="A741" t="s">
        <v>168</v>
      </c>
      <c r="B741">
        <v>12</v>
      </c>
      <c r="C741" t="s">
        <v>128</v>
      </c>
      <c r="D741">
        <v>2</v>
      </c>
      <c r="H741" s="71" t="b">
        <f t="shared" si="27"/>
        <v>0</v>
      </c>
      <c r="J741">
        <v>2</v>
      </c>
      <c r="N741" s="71" t="b">
        <f>IF(AND(ISBLANK(K741),ISBLANK(L741),ISBLANK(M741)),FALSE,TRUE)</f>
        <v>0</v>
      </c>
    </row>
    <row r="742" spans="1:14">
      <c r="A742" t="s">
        <v>168</v>
      </c>
      <c r="B742">
        <v>12</v>
      </c>
      <c r="C742" t="s">
        <v>129</v>
      </c>
      <c r="D742">
        <v>2</v>
      </c>
      <c r="H742" s="71" t="b">
        <f t="shared" si="27"/>
        <v>0</v>
      </c>
      <c r="J742">
        <v>0</v>
      </c>
    </row>
    <row r="743" spans="1:14">
      <c r="A743" t="s">
        <v>168</v>
      </c>
      <c r="B743">
        <v>12</v>
      </c>
      <c r="C743" t="s">
        <v>130</v>
      </c>
      <c r="D743">
        <v>2</v>
      </c>
      <c r="H743" s="71" t="b">
        <f t="shared" si="27"/>
        <v>0</v>
      </c>
      <c r="J743">
        <v>1</v>
      </c>
      <c r="N743" s="71" t="b">
        <f>IF(AND(ISBLANK(K743),ISBLANK(L743),ISBLANK(M743)),FALSE,TRUE)</f>
        <v>0</v>
      </c>
    </row>
    <row r="744" spans="1:14">
      <c r="A744" t="s">
        <v>168</v>
      </c>
      <c r="B744">
        <v>12</v>
      </c>
      <c r="C744" t="s">
        <v>131</v>
      </c>
      <c r="D744">
        <v>3</v>
      </c>
      <c r="H744" s="71" t="b">
        <f t="shared" si="27"/>
        <v>0</v>
      </c>
      <c r="J744">
        <v>1</v>
      </c>
      <c r="N744" s="71" t="b">
        <f>IF(AND(ISBLANK(K744),ISBLANK(L744),ISBLANK(M744)),FALSE,TRUE)</f>
        <v>0</v>
      </c>
    </row>
    <row r="745" spans="1:14">
      <c r="A745" t="s">
        <v>168</v>
      </c>
      <c r="B745">
        <v>12</v>
      </c>
      <c r="C745" t="s">
        <v>132</v>
      </c>
      <c r="D745">
        <v>1</v>
      </c>
      <c r="H745" s="71" t="b">
        <f t="shared" si="27"/>
        <v>0</v>
      </c>
      <c r="J745">
        <v>1</v>
      </c>
      <c r="N745" s="71" t="b">
        <f>IF(AND(ISBLANK(K745),ISBLANK(L745),ISBLANK(M745)),FALSE,TRUE)</f>
        <v>0</v>
      </c>
    </row>
    <row r="746" spans="1:14">
      <c r="A746" t="s">
        <v>168</v>
      </c>
      <c r="B746">
        <v>12</v>
      </c>
      <c r="C746" t="s">
        <v>133</v>
      </c>
      <c r="D746">
        <v>1</v>
      </c>
      <c r="H746" s="71" t="b">
        <f t="shared" si="27"/>
        <v>0</v>
      </c>
      <c r="J746">
        <v>0</v>
      </c>
    </row>
    <row r="747" spans="1:14">
      <c r="A747" t="s">
        <v>168</v>
      </c>
      <c r="B747">
        <v>12</v>
      </c>
      <c r="C747" t="s">
        <v>134</v>
      </c>
      <c r="D747">
        <v>1</v>
      </c>
      <c r="H747" s="71" t="b">
        <f t="shared" si="27"/>
        <v>0</v>
      </c>
      <c r="J747">
        <v>1</v>
      </c>
      <c r="N747" s="71" t="b">
        <f t="shared" ref="N747:N757" si="28">IF(AND(ISBLANK(K747),ISBLANK(L747),ISBLANK(M747)),FALSE,TRUE)</f>
        <v>0</v>
      </c>
    </row>
    <row r="748" spans="1:14">
      <c r="A748" t="s">
        <v>168</v>
      </c>
      <c r="B748">
        <v>12</v>
      </c>
      <c r="C748" t="s">
        <v>135</v>
      </c>
      <c r="D748">
        <v>2</v>
      </c>
      <c r="H748" s="71" t="b">
        <f t="shared" si="27"/>
        <v>0</v>
      </c>
      <c r="J748">
        <v>1</v>
      </c>
      <c r="N748" s="71" t="b">
        <f t="shared" si="28"/>
        <v>0</v>
      </c>
    </row>
    <row r="749" spans="1:14">
      <c r="A749" t="s">
        <v>168</v>
      </c>
      <c r="B749">
        <v>12</v>
      </c>
      <c r="C749" t="s">
        <v>136</v>
      </c>
      <c r="D749">
        <v>2</v>
      </c>
      <c r="H749" s="71" t="b">
        <f t="shared" si="27"/>
        <v>0</v>
      </c>
      <c r="J749">
        <v>1</v>
      </c>
      <c r="N749" s="71" t="b">
        <f t="shared" si="28"/>
        <v>0</v>
      </c>
    </row>
    <row r="750" spans="1:14">
      <c r="A750" t="s">
        <v>168</v>
      </c>
      <c r="B750">
        <v>12</v>
      </c>
      <c r="C750" t="s">
        <v>137</v>
      </c>
      <c r="D750">
        <v>2</v>
      </c>
      <c r="H750" s="71" t="b">
        <f t="shared" si="27"/>
        <v>0</v>
      </c>
      <c r="J750">
        <v>1</v>
      </c>
      <c r="N750" s="71" t="b">
        <f t="shared" si="28"/>
        <v>0</v>
      </c>
    </row>
    <row r="751" spans="1:14">
      <c r="A751" t="s">
        <v>168</v>
      </c>
      <c r="B751">
        <v>12</v>
      </c>
      <c r="C751" t="s">
        <v>138</v>
      </c>
      <c r="D751">
        <v>1</v>
      </c>
      <c r="H751" s="71" t="b">
        <f t="shared" si="27"/>
        <v>0</v>
      </c>
      <c r="J751">
        <v>1</v>
      </c>
      <c r="N751" s="71" t="b">
        <f t="shared" si="28"/>
        <v>0</v>
      </c>
    </row>
    <row r="752" spans="1:14">
      <c r="A752" t="s">
        <v>168</v>
      </c>
      <c r="B752">
        <v>12</v>
      </c>
      <c r="C752" t="s">
        <v>139</v>
      </c>
      <c r="D752">
        <v>1</v>
      </c>
      <c r="H752" s="71" t="b">
        <f t="shared" si="27"/>
        <v>0</v>
      </c>
      <c r="J752">
        <v>1</v>
      </c>
      <c r="N752" s="71" t="b">
        <f t="shared" si="28"/>
        <v>0</v>
      </c>
    </row>
    <row r="753" spans="1:14">
      <c r="A753" t="s">
        <v>168</v>
      </c>
      <c r="B753">
        <v>12</v>
      </c>
      <c r="C753" t="s">
        <v>140</v>
      </c>
      <c r="D753">
        <v>1</v>
      </c>
      <c r="H753" s="71" t="b">
        <f t="shared" si="27"/>
        <v>0</v>
      </c>
      <c r="J753">
        <v>1</v>
      </c>
      <c r="N753" s="71" t="b">
        <f t="shared" si="28"/>
        <v>0</v>
      </c>
    </row>
    <row r="754" spans="1:14">
      <c r="A754" t="s">
        <v>168</v>
      </c>
      <c r="B754">
        <v>12</v>
      </c>
      <c r="C754" t="s">
        <v>141</v>
      </c>
      <c r="D754">
        <v>1</v>
      </c>
      <c r="H754" s="71" t="b">
        <f t="shared" si="27"/>
        <v>0</v>
      </c>
      <c r="J754">
        <v>1</v>
      </c>
      <c r="N754" s="71" t="b">
        <f t="shared" si="28"/>
        <v>0</v>
      </c>
    </row>
    <row r="755" spans="1:14">
      <c r="A755" t="s">
        <v>168</v>
      </c>
      <c r="B755">
        <v>12</v>
      </c>
      <c r="C755" t="s">
        <v>142</v>
      </c>
      <c r="D755">
        <v>2</v>
      </c>
      <c r="H755" s="71" t="b">
        <f t="shared" si="27"/>
        <v>0</v>
      </c>
      <c r="J755">
        <v>1</v>
      </c>
      <c r="N755" s="71" t="b">
        <f t="shared" si="28"/>
        <v>0</v>
      </c>
    </row>
    <row r="756" spans="1:14">
      <c r="A756" t="s">
        <v>168</v>
      </c>
      <c r="B756">
        <v>12</v>
      </c>
      <c r="C756" t="s">
        <v>143</v>
      </c>
      <c r="D756">
        <v>1</v>
      </c>
      <c r="H756" s="71" t="b">
        <f t="shared" si="27"/>
        <v>0</v>
      </c>
      <c r="J756">
        <v>2</v>
      </c>
      <c r="N756" s="71" t="b">
        <f t="shared" si="28"/>
        <v>0</v>
      </c>
    </row>
    <row r="757" spans="1:14">
      <c r="A757" t="s">
        <v>168</v>
      </c>
      <c r="B757">
        <v>12</v>
      </c>
      <c r="C757" t="s">
        <v>144</v>
      </c>
      <c r="D757">
        <v>1</v>
      </c>
      <c r="H757" s="71" t="b">
        <f t="shared" si="27"/>
        <v>0</v>
      </c>
      <c r="J757">
        <v>2</v>
      </c>
      <c r="N757" s="71" t="b">
        <f t="shared" si="28"/>
        <v>0</v>
      </c>
    </row>
    <row r="758" spans="1:14">
      <c r="A758" t="s">
        <v>168</v>
      </c>
      <c r="B758">
        <v>12</v>
      </c>
      <c r="C758" t="s">
        <v>145</v>
      </c>
      <c r="D758">
        <v>1</v>
      </c>
      <c r="H758" s="71" t="b">
        <f t="shared" si="27"/>
        <v>0</v>
      </c>
      <c r="J758">
        <v>0</v>
      </c>
    </row>
    <row r="759" spans="1:14">
      <c r="A759" t="s">
        <v>168</v>
      </c>
      <c r="B759">
        <v>12</v>
      </c>
      <c r="C759" t="s">
        <v>146</v>
      </c>
      <c r="D759">
        <v>1</v>
      </c>
      <c r="H759" s="71" t="b">
        <f t="shared" si="27"/>
        <v>0</v>
      </c>
      <c r="J759">
        <v>0</v>
      </c>
    </row>
    <row r="760" spans="1:14">
      <c r="A760" t="s">
        <v>168</v>
      </c>
      <c r="B760">
        <v>12</v>
      </c>
      <c r="C760" t="s">
        <v>147</v>
      </c>
      <c r="D760">
        <v>1</v>
      </c>
      <c r="H760" s="71" t="b">
        <f t="shared" si="27"/>
        <v>0</v>
      </c>
      <c r="J760">
        <v>2</v>
      </c>
      <c r="N760" s="71" t="b">
        <f>IF(AND(ISBLANK(K760),ISBLANK(L760),ISBLANK(M760)),FALSE,TRUE)</f>
        <v>0</v>
      </c>
    </row>
    <row r="761" spans="1:14">
      <c r="A761" t="s">
        <v>168</v>
      </c>
      <c r="B761">
        <v>12</v>
      </c>
      <c r="C761" t="s">
        <v>148</v>
      </c>
      <c r="D761">
        <v>2</v>
      </c>
      <c r="H761" s="71" t="b">
        <f t="shared" si="27"/>
        <v>0</v>
      </c>
      <c r="J761">
        <v>2</v>
      </c>
      <c r="N761" s="71" t="b">
        <f>IF(AND(ISBLANK(K761),ISBLANK(L761),ISBLANK(M761)),FALSE,TRUE)</f>
        <v>0</v>
      </c>
    </row>
    <row r="762" spans="1:14">
      <c r="A762" t="s">
        <v>168</v>
      </c>
      <c r="B762">
        <v>12</v>
      </c>
      <c r="C762" t="s">
        <v>149</v>
      </c>
      <c r="D762">
        <v>3</v>
      </c>
      <c r="H762" s="71" t="b">
        <f t="shared" si="27"/>
        <v>0</v>
      </c>
      <c r="J762">
        <v>0</v>
      </c>
    </row>
    <row r="763" spans="1:14">
      <c r="A763" t="s">
        <v>168</v>
      </c>
      <c r="B763">
        <v>12</v>
      </c>
      <c r="C763" t="s">
        <v>150</v>
      </c>
      <c r="D763">
        <v>3</v>
      </c>
      <c r="H763" s="71" t="b">
        <f t="shared" si="27"/>
        <v>0</v>
      </c>
      <c r="J763">
        <v>0</v>
      </c>
    </row>
    <row r="764" spans="1:14">
      <c r="A764" t="s">
        <v>168</v>
      </c>
      <c r="B764">
        <v>12</v>
      </c>
      <c r="C764" t="s">
        <v>151</v>
      </c>
      <c r="D764">
        <v>2</v>
      </c>
      <c r="H764" s="71" t="b">
        <f t="shared" si="27"/>
        <v>0</v>
      </c>
      <c r="J764">
        <v>0</v>
      </c>
    </row>
    <row r="765" spans="1:14">
      <c r="A765" t="s">
        <v>168</v>
      </c>
      <c r="B765">
        <v>12</v>
      </c>
      <c r="C765" t="s">
        <v>152</v>
      </c>
      <c r="D765">
        <v>2</v>
      </c>
      <c r="H765" s="71" t="b">
        <f t="shared" si="27"/>
        <v>0</v>
      </c>
      <c r="J765">
        <v>0</v>
      </c>
    </row>
    <row r="766" spans="1:14">
      <c r="A766" t="s">
        <v>168</v>
      </c>
      <c r="B766">
        <v>12</v>
      </c>
      <c r="C766" t="s">
        <v>153</v>
      </c>
      <c r="D766">
        <v>2</v>
      </c>
      <c r="H766" s="71" t="b">
        <f t="shared" si="27"/>
        <v>0</v>
      </c>
      <c r="J766">
        <v>0</v>
      </c>
    </row>
    <row r="767" spans="1:14">
      <c r="A767" t="s">
        <v>168</v>
      </c>
      <c r="B767">
        <v>12</v>
      </c>
      <c r="C767" t="s">
        <v>154</v>
      </c>
      <c r="D767">
        <v>2</v>
      </c>
      <c r="H767" s="71" t="b">
        <f t="shared" si="27"/>
        <v>0</v>
      </c>
      <c r="J767">
        <v>0</v>
      </c>
    </row>
    <row r="768" spans="1:14">
      <c r="A768" t="s">
        <v>168</v>
      </c>
      <c r="B768">
        <v>12</v>
      </c>
      <c r="C768" t="s">
        <v>155</v>
      </c>
      <c r="D768">
        <v>2</v>
      </c>
      <c r="H768" s="71" t="b">
        <f t="shared" si="27"/>
        <v>0</v>
      </c>
      <c r="J768">
        <v>0</v>
      </c>
    </row>
    <row r="769" spans="1:14">
      <c r="A769" t="s">
        <v>168</v>
      </c>
      <c r="B769">
        <v>12</v>
      </c>
      <c r="C769" t="s">
        <v>156</v>
      </c>
      <c r="D769">
        <v>2</v>
      </c>
      <c r="H769" s="71" t="b">
        <f t="shared" si="27"/>
        <v>0</v>
      </c>
      <c r="J769">
        <v>0</v>
      </c>
    </row>
    <row r="770" spans="1:14">
      <c r="A770" t="s">
        <v>168</v>
      </c>
      <c r="B770">
        <v>12</v>
      </c>
      <c r="C770" t="s">
        <v>157</v>
      </c>
      <c r="D770">
        <v>0</v>
      </c>
      <c r="H770" s="71" t="b">
        <f t="shared" si="27"/>
        <v>0</v>
      </c>
      <c r="J770">
        <v>8</v>
      </c>
      <c r="N770" s="71" t="b">
        <f>IF(AND(ISBLANK(K770),ISBLANK(L770),ISBLANK(M770)),FALSE,TRUE)</f>
        <v>0</v>
      </c>
    </row>
    <row r="771" spans="1:14">
      <c r="A771" t="s">
        <v>168</v>
      </c>
      <c r="B771">
        <v>12</v>
      </c>
      <c r="C771" t="s">
        <v>158</v>
      </c>
      <c r="D771">
        <v>0</v>
      </c>
      <c r="H771" s="71" t="b">
        <f t="shared" si="27"/>
        <v>0</v>
      </c>
      <c r="J771">
        <v>8</v>
      </c>
      <c r="N771" s="71" t="b">
        <f>IF(AND(ISBLANK(K771),ISBLANK(L771),ISBLANK(M771)),FALSE,TRUE)</f>
        <v>0</v>
      </c>
    </row>
    <row r="772" spans="1:14">
      <c r="A772" t="s">
        <v>168</v>
      </c>
      <c r="B772">
        <v>12</v>
      </c>
      <c r="C772" t="s">
        <v>159</v>
      </c>
      <c r="D772">
        <v>4</v>
      </c>
      <c r="H772" s="71" t="b">
        <f t="shared" si="27"/>
        <v>0</v>
      </c>
      <c r="J772">
        <v>4</v>
      </c>
      <c r="N772" s="71" t="b">
        <f>IF(AND(ISBLANK(K772),ISBLANK(L772),ISBLANK(M772)),FALSE,TRUE)</f>
        <v>0</v>
      </c>
    </row>
    <row r="773" spans="1:14">
      <c r="A773" t="s">
        <v>168</v>
      </c>
      <c r="B773">
        <v>12</v>
      </c>
      <c r="C773" t="s">
        <v>160</v>
      </c>
      <c r="D773">
        <v>4</v>
      </c>
      <c r="H773" s="71" t="b">
        <f t="shared" si="27"/>
        <v>0</v>
      </c>
      <c r="J773">
        <v>8</v>
      </c>
      <c r="N773" s="71" t="b">
        <f>IF(AND(ISBLANK(K773),ISBLANK(L773),ISBLANK(M773)),FALSE,TRUE)</f>
        <v>0</v>
      </c>
    </row>
    <row r="774" spans="1:14">
      <c r="A774" t="s">
        <v>168</v>
      </c>
      <c r="B774">
        <v>12</v>
      </c>
      <c r="C774" t="s">
        <v>161</v>
      </c>
      <c r="D774">
        <v>1</v>
      </c>
      <c r="H774" s="71" t="b">
        <f t="shared" si="27"/>
        <v>0</v>
      </c>
      <c r="J774">
        <v>0</v>
      </c>
    </row>
    <row r="775" spans="1:14">
      <c r="A775" t="s">
        <v>168</v>
      </c>
      <c r="B775">
        <v>12</v>
      </c>
      <c r="C775" t="s">
        <v>162</v>
      </c>
      <c r="D775">
        <v>0</v>
      </c>
      <c r="H775" s="71" t="b">
        <f t="shared" si="27"/>
        <v>0</v>
      </c>
      <c r="J775">
        <v>0</v>
      </c>
    </row>
    <row r="776" spans="1:14">
      <c r="A776" t="s">
        <v>168</v>
      </c>
      <c r="B776">
        <v>12</v>
      </c>
      <c r="C776" t="s">
        <v>163</v>
      </c>
      <c r="D776">
        <v>0</v>
      </c>
      <c r="H776" s="71" t="b">
        <f t="shared" si="27"/>
        <v>0</v>
      </c>
      <c r="J776">
        <v>6</v>
      </c>
      <c r="N776" s="71" t="b">
        <f>IF(AND(ISBLANK(K776),ISBLANK(L776),ISBLANK(M776)),FALSE,TRUE)</f>
        <v>0</v>
      </c>
    </row>
    <row r="777" spans="1:14">
      <c r="A777" t="s">
        <v>169</v>
      </c>
      <c r="B777">
        <v>10</v>
      </c>
      <c r="C777" t="s">
        <v>35</v>
      </c>
      <c r="D777">
        <v>3</v>
      </c>
      <c r="H777" s="71" t="b">
        <f>IF(AND(ISBLANK(E777),ISBLANK(F777),ISBLANK(G777)),FALSE,TRUE)</f>
        <v>0</v>
      </c>
      <c r="J777">
        <v>0</v>
      </c>
    </row>
    <row r="778" spans="1:14">
      <c r="A778" t="s">
        <v>169</v>
      </c>
      <c r="B778">
        <v>10</v>
      </c>
      <c r="C778" t="s">
        <v>36</v>
      </c>
      <c r="D778">
        <v>2</v>
      </c>
      <c r="H778" s="71" t="b">
        <f t="shared" ref="H778:H841" si="29">IF(AND(ISBLANK(E778),ISBLANK(F778),ISBLANK(G778)),FALSE,TRUE)</f>
        <v>0</v>
      </c>
      <c r="J778">
        <v>1</v>
      </c>
      <c r="N778" s="71" t="b">
        <f>IF(AND(ISBLANK(K778),ISBLANK(L778),ISBLANK(M778)),FALSE,TRUE)</f>
        <v>0</v>
      </c>
    </row>
    <row r="779" spans="1:14">
      <c r="A779" t="s">
        <v>169</v>
      </c>
      <c r="B779">
        <v>10</v>
      </c>
      <c r="C779" t="s">
        <v>37</v>
      </c>
      <c r="D779">
        <v>1</v>
      </c>
      <c r="H779" s="71" t="b">
        <f t="shared" si="29"/>
        <v>0</v>
      </c>
      <c r="J779">
        <v>3</v>
      </c>
      <c r="N779" s="71" t="b">
        <f>IF(AND(ISBLANK(K779),ISBLANK(L779),ISBLANK(M779)),FALSE,TRUE)</f>
        <v>0</v>
      </c>
    </row>
    <row r="780" spans="1:14">
      <c r="A780" t="s">
        <v>169</v>
      </c>
      <c r="B780">
        <v>10</v>
      </c>
      <c r="C780" t="s">
        <v>38</v>
      </c>
      <c r="D780">
        <v>1</v>
      </c>
      <c r="H780" s="71" t="b">
        <f t="shared" si="29"/>
        <v>0</v>
      </c>
      <c r="J780">
        <v>0</v>
      </c>
    </row>
    <row r="781" spans="1:14">
      <c r="A781" t="s">
        <v>169</v>
      </c>
      <c r="B781">
        <v>10</v>
      </c>
      <c r="C781" t="s">
        <v>39</v>
      </c>
      <c r="D781">
        <v>1</v>
      </c>
      <c r="H781" s="71" t="b">
        <f t="shared" si="29"/>
        <v>0</v>
      </c>
      <c r="J781">
        <v>1</v>
      </c>
      <c r="N781" s="71" t="b">
        <f>IF(AND(ISBLANK(K781),ISBLANK(L781),ISBLANK(M781)),FALSE,TRUE)</f>
        <v>0</v>
      </c>
    </row>
    <row r="782" spans="1:14">
      <c r="A782" t="s">
        <v>169</v>
      </c>
      <c r="B782">
        <v>10</v>
      </c>
      <c r="C782" t="s">
        <v>40</v>
      </c>
      <c r="D782">
        <v>1</v>
      </c>
      <c r="H782" s="71" t="b">
        <f t="shared" si="29"/>
        <v>0</v>
      </c>
      <c r="J782">
        <v>1</v>
      </c>
      <c r="N782" s="71" t="b">
        <f>IF(AND(ISBLANK(K782),ISBLANK(L782),ISBLANK(M782)),FALSE,TRUE)</f>
        <v>0</v>
      </c>
    </row>
    <row r="783" spans="1:14">
      <c r="A783" t="s">
        <v>169</v>
      </c>
      <c r="B783">
        <v>10</v>
      </c>
      <c r="C783" t="s">
        <v>41</v>
      </c>
      <c r="D783">
        <v>1</v>
      </c>
      <c r="H783" s="71" t="b">
        <f t="shared" si="29"/>
        <v>0</v>
      </c>
      <c r="J783">
        <v>1</v>
      </c>
      <c r="N783" s="71" t="b">
        <f>IF(AND(ISBLANK(K783),ISBLANK(L783),ISBLANK(M783)),FALSE,TRUE)</f>
        <v>0</v>
      </c>
    </row>
    <row r="784" spans="1:14">
      <c r="A784" t="s">
        <v>169</v>
      </c>
      <c r="B784">
        <v>10</v>
      </c>
      <c r="C784" t="s">
        <v>42</v>
      </c>
      <c r="D784">
        <v>1</v>
      </c>
      <c r="H784" s="71" t="b">
        <f t="shared" si="29"/>
        <v>0</v>
      </c>
      <c r="J784">
        <v>0</v>
      </c>
    </row>
    <row r="785" spans="1:14">
      <c r="A785" t="s">
        <v>169</v>
      </c>
      <c r="B785">
        <v>10</v>
      </c>
      <c r="C785" t="s">
        <v>43</v>
      </c>
      <c r="D785">
        <v>1</v>
      </c>
      <c r="H785" s="71" t="b">
        <f t="shared" si="29"/>
        <v>0</v>
      </c>
      <c r="J785">
        <v>0</v>
      </c>
    </row>
    <row r="786" spans="1:14">
      <c r="A786" t="s">
        <v>169</v>
      </c>
      <c r="B786">
        <v>10</v>
      </c>
      <c r="C786" t="s">
        <v>44</v>
      </c>
      <c r="D786">
        <v>1</v>
      </c>
      <c r="H786" s="71" t="b">
        <f t="shared" si="29"/>
        <v>0</v>
      </c>
      <c r="J786">
        <v>2</v>
      </c>
      <c r="N786" s="71" t="b">
        <f>IF(AND(ISBLANK(K786),ISBLANK(L786),ISBLANK(M786)),FALSE,TRUE)</f>
        <v>0</v>
      </c>
    </row>
    <row r="787" spans="1:14">
      <c r="A787" t="s">
        <v>169</v>
      </c>
      <c r="B787">
        <v>10</v>
      </c>
      <c r="C787" t="s">
        <v>45</v>
      </c>
      <c r="D787">
        <v>1</v>
      </c>
      <c r="H787" s="71" t="b">
        <f t="shared" si="29"/>
        <v>0</v>
      </c>
      <c r="J787">
        <v>1</v>
      </c>
      <c r="N787" s="71" t="b">
        <f>IF(AND(ISBLANK(K787),ISBLANK(L787),ISBLANK(M787)),FALSE,TRUE)</f>
        <v>0</v>
      </c>
    </row>
    <row r="788" spans="1:14">
      <c r="A788" t="s">
        <v>169</v>
      </c>
      <c r="B788">
        <v>10</v>
      </c>
      <c r="C788" t="s">
        <v>46</v>
      </c>
      <c r="D788">
        <v>1</v>
      </c>
      <c r="H788" s="71" t="b">
        <f t="shared" si="29"/>
        <v>0</v>
      </c>
      <c r="J788">
        <v>1</v>
      </c>
      <c r="N788" s="71" t="b">
        <f>IF(AND(ISBLANK(K788),ISBLANK(L788),ISBLANK(M788)),FALSE,TRUE)</f>
        <v>0</v>
      </c>
    </row>
    <row r="789" spans="1:14">
      <c r="A789" t="s">
        <v>169</v>
      </c>
      <c r="B789">
        <v>10</v>
      </c>
      <c r="C789" t="s">
        <v>47</v>
      </c>
      <c r="D789">
        <v>3</v>
      </c>
      <c r="H789" s="71" t="b">
        <f t="shared" si="29"/>
        <v>0</v>
      </c>
      <c r="J789">
        <v>0</v>
      </c>
    </row>
    <row r="790" spans="1:14">
      <c r="A790" t="s">
        <v>169</v>
      </c>
      <c r="B790">
        <v>10</v>
      </c>
      <c r="C790" t="s">
        <v>48</v>
      </c>
      <c r="D790">
        <v>2</v>
      </c>
      <c r="H790" s="71" t="b">
        <f t="shared" si="29"/>
        <v>0</v>
      </c>
      <c r="J790">
        <v>2</v>
      </c>
      <c r="N790" s="71" t="b">
        <f>IF(AND(ISBLANK(K790),ISBLANK(L790),ISBLANK(M790)),FALSE,TRUE)</f>
        <v>0</v>
      </c>
    </row>
    <row r="791" spans="1:14">
      <c r="A791" t="s">
        <v>169</v>
      </c>
      <c r="B791">
        <v>10</v>
      </c>
      <c r="C791" t="s">
        <v>49</v>
      </c>
      <c r="D791">
        <v>4</v>
      </c>
      <c r="H791" s="71" t="b">
        <f t="shared" si="29"/>
        <v>0</v>
      </c>
      <c r="J791">
        <v>0</v>
      </c>
    </row>
    <row r="792" spans="1:14">
      <c r="A792" t="s">
        <v>169</v>
      </c>
      <c r="B792">
        <v>10</v>
      </c>
      <c r="C792" t="s">
        <v>50</v>
      </c>
      <c r="D792">
        <v>2</v>
      </c>
      <c r="H792" s="71" t="b">
        <f t="shared" si="29"/>
        <v>0</v>
      </c>
      <c r="J792">
        <v>0</v>
      </c>
    </row>
    <row r="793" spans="1:14">
      <c r="A793" t="s">
        <v>169</v>
      </c>
      <c r="B793">
        <v>10</v>
      </c>
      <c r="C793" t="s">
        <v>51</v>
      </c>
      <c r="D793">
        <v>0</v>
      </c>
      <c r="H793" s="71" t="b">
        <f t="shared" si="29"/>
        <v>0</v>
      </c>
      <c r="J793">
        <v>8</v>
      </c>
      <c r="N793" s="71" t="b">
        <f>IF(AND(ISBLANK(K793),ISBLANK(L793),ISBLANK(M793)),FALSE,TRUE)</f>
        <v>0</v>
      </c>
    </row>
    <row r="794" spans="1:14">
      <c r="A794" t="s">
        <v>169</v>
      </c>
      <c r="B794">
        <v>10</v>
      </c>
      <c r="C794" t="s">
        <v>52</v>
      </c>
      <c r="D794">
        <v>0</v>
      </c>
      <c r="H794" s="71" t="b">
        <f t="shared" si="29"/>
        <v>0</v>
      </c>
      <c r="J794">
        <v>8</v>
      </c>
      <c r="N794" s="71" t="b">
        <f>IF(AND(ISBLANK(K794),ISBLANK(L794),ISBLANK(M794)),FALSE,TRUE)</f>
        <v>0</v>
      </c>
    </row>
    <row r="795" spans="1:14">
      <c r="A795" t="s">
        <v>169</v>
      </c>
      <c r="B795">
        <v>10</v>
      </c>
      <c r="C795" t="s">
        <v>53</v>
      </c>
      <c r="D795">
        <v>2</v>
      </c>
      <c r="H795" s="71" t="b">
        <f t="shared" si="29"/>
        <v>0</v>
      </c>
      <c r="J795">
        <v>0</v>
      </c>
    </row>
    <row r="796" spans="1:14">
      <c r="A796" t="s">
        <v>169</v>
      </c>
      <c r="B796">
        <v>10</v>
      </c>
      <c r="C796" t="s">
        <v>54</v>
      </c>
      <c r="D796">
        <v>1</v>
      </c>
      <c r="H796" s="71" t="b">
        <f t="shared" si="29"/>
        <v>0</v>
      </c>
      <c r="J796">
        <v>2</v>
      </c>
      <c r="N796" s="71" t="b">
        <f>IF(AND(ISBLANK(K796),ISBLANK(L796),ISBLANK(M796)),FALSE,TRUE)</f>
        <v>0</v>
      </c>
    </row>
    <row r="797" spans="1:14">
      <c r="A797" t="s">
        <v>169</v>
      </c>
      <c r="B797">
        <v>10</v>
      </c>
      <c r="C797" t="s">
        <v>55</v>
      </c>
      <c r="D797">
        <v>1</v>
      </c>
      <c r="H797" s="71" t="b">
        <f t="shared" si="29"/>
        <v>0</v>
      </c>
      <c r="J797">
        <v>2</v>
      </c>
      <c r="N797" s="71" t="b">
        <f>IF(AND(ISBLANK(K797),ISBLANK(L797),ISBLANK(M797)),FALSE,TRUE)</f>
        <v>0</v>
      </c>
    </row>
    <row r="798" spans="1:14">
      <c r="A798" t="s">
        <v>169</v>
      </c>
      <c r="B798">
        <v>10</v>
      </c>
      <c r="C798" t="s">
        <v>56</v>
      </c>
      <c r="D798">
        <v>1</v>
      </c>
      <c r="H798" s="71" t="b">
        <f t="shared" si="29"/>
        <v>0</v>
      </c>
      <c r="J798">
        <v>0</v>
      </c>
    </row>
    <row r="799" spans="1:14">
      <c r="A799" t="s">
        <v>169</v>
      </c>
      <c r="B799">
        <v>10</v>
      </c>
      <c r="C799" t="s">
        <v>57</v>
      </c>
      <c r="D799">
        <v>1</v>
      </c>
      <c r="H799" s="71" t="b">
        <f t="shared" si="29"/>
        <v>0</v>
      </c>
      <c r="J799">
        <v>0</v>
      </c>
    </row>
    <row r="800" spans="1:14">
      <c r="A800" t="s">
        <v>169</v>
      </c>
      <c r="B800">
        <v>10</v>
      </c>
      <c r="C800" t="s">
        <v>58</v>
      </c>
      <c r="D800">
        <v>1</v>
      </c>
      <c r="H800" s="71" t="b">
        <f t="shared" si="29"/>
        <v>0</v>
      </c>
      <c r="J800">
        <v>2</v>
      </c>
      <c r="N800" s="71" t="b">
        <f>IF(AND(ISBLANK(K800),ISBLANK(L800),ISBLANK(M800)),FALSE,TRUE)</f>
        <v>0</v>
      </c>
    </row>
    <row r="801" spans="1:14">
      <c r="A801" t="s">
        <v>169</v>
      </c>
      <c r="B801">
        <v>10</v>
      </c>
      <c r="C801" t="s">
        <v>59</v>
      </c>
      <c r="D801">
        <v>1</v>
      </c>
      <c r="H801" s="71" t="b">
        <f t="shared" si="29"/>
        <v>0</v>
      </c>
      <c r="J801">
        <v>0</v>
      </c>
    </row>
    <row r="802" spans="1:14">
      <c r="A802" t="s">
        <v>169</v>
      </c>
      <c r="B802">
        <v>10</v>
      </c>
      <c r="C802" t="s">
        <v>60</v>
      </c>
      <c r="D802">
        <v>1</v>
      </c>
      <c r="H802" s="71" t="b">
        <f t="shared" si="29"/>
        <v>0</v>
      </c>
      <c r="J802">
        <v>2</v>
      </c>
      <c r="N802" s="71" t="b">
        <f>IF(AND(ISBLANK(K802),ISBLANK(L802),ISBLANK(M802)),FALSE,TRUE)</f>
        <v>0</v>
      </c>
    </row>
    <row r="803" spans="1:14">
      <c r="A803" t="s">
        <v>169</v>
      </c>
      <c r="B803">
        <v>10</v>
      </c>
      <c r="C803" t="s">
        <v>61</v>
      </c>
      <c r="D803">
        <v>1</v>
      </c>
      <c r="H803" s="71" t="b">
        <f t="shared" si="29"/>
        <v>0</v>
      </c>
      <c r="J803">
        <v>2</v>
      </c>
      <c r="N803" s="71" t="b">
        <f>IF(AND(ISBLANK(K803),ISBLANK(L803),ISBLANK(M803)),FALSE,TRUE)</f>
        <v>0</v>
      </c>
    </row>
    <row r="804" spans="1:14">
      <c r="A804" t="s">
        <v>169</v>
      </c>
      <c r="B804">
        <v>10</v>
      </c>
      <c r="C804" t="s">
        <v>62</v>
      </c>
      <c r="D804">
        <v>1</v>
      </c>
      <c r="H804" s="71" t="b">
        <f t="shared" si="29"/>
        <v>0</v>
      </c>
      <c r="J804">
        <v>2</v>
      </c>
      <c r="N804" s="71" t="b">
        <f>IF(AND(ISBLANK(K804),ISBLANK(L804),ISBLANK(M804)),FALSE,TRUE)</f>
        <v>0</v>
      </c>
    </row>
    <row r="805" spans="1:14">
      <c r="A805" t="s">
        <v>169</v>
      </c>
      <c r="B805">
        <v>10</v>
      </c>
      <c r="C805" t="s">
        <v>63</v>
      </c>
      <c r="D805">
        <v>1</v>
      </c>
      <c r="H805" s="71" t="b">
        <f t="shared" si="29"/>
        <v>0</v>
      </c>
      <c r="J805">
        <v>0</v>
      </c>
    </row>
    <row r="806" spans="1:14">
      <c r="A806" t="s">
        <v>169</v>
      </c>
      <c r="B806">
        <v>10</v>
      </c>
      <c r="C806" t="s">
        <v>64</v>
      </c>
      <c r="D806">
        <v>1</v>
      </c>
      <c r="H806" s="71" t="b">
        <f t="shared" si="29"/>
        <v>0</v>
      </c>
      <c r="J806">
        <v>3</v>
      </c>
      <c r="N806" s="71" t="b">
        <f>IF(AND(ISBLANK(K806),ISBLANK(L806),ISBLANK(M806)),FALSE,TRUE)</f>
        <v>0</v>
      </c>
    </row>
    <row r="807" spans="1:14">
      <c r="A807" t="s">
        <v>169</v>
      </c>
      <c r="B807">
        <v>10</v>
      </c>
      <c r="C807" t="s">
        <v>65</v>
      </c>
      <c r="D807">
        <v>4</v>
      </c>
      <c r="H807" s="71" t="b">
        <f t="shared" si="29"/>
        <v>0</v>
      </c>
      <c r="J807">
        <v>4</v>
      </c>
      <c r="N807" s="71" t="b">
        <f>IF(AND(ISBLANK(K807),ISBLANK(L807),ISBLANK(M807)),FALSE,TRUE)</f>
        <v>0</v>
      </c>
    </row>
    <row r="808" spans="1:14">
      <c r="A808" t="s">
        <v>169</v>
      </c>
      <c r="B808">
        <v>10</v>
      </c>
      <c r="C808" t="s">
        <v>66</v>
      </c>
      <c r="D808">
        <v>3</v>
      </c>
      <c r="H808" s="71" t="b">
        <f t="shared" si="29"/>
        <v>0</v>
      </c>
      <c r="J808">
        <v>0</v>
      </c>
    </row>
    <row r="809" spans="1:14">
      <c r="A809" t="s">
        <v>169</v>
      </c>
      <c r="B809">
        <v>10</v>
      </c>
      <c r="C809" t="s">
        <v>67</v>
      </c>
      <c r="D809">
        <v>2</v>
      </c>
      <c r="H809" s="71" t="b">
        <f t="shared" si="29"/>
        <v>0</v>
      </c>
      <c r="J809">
        <v>4</v>
      </c>
      <c r="N809" s="71" t="b">
        <f>IF(AND(ISBLANK(K809),ISBLANK(L809),ISBLANK(M809)),FALSE,TRUE)</f>
        <v>0</v>
      </c>
    </row>
    <row r="810" spans="1:14">
      <c r="A810" t="s">
        <v>169</v>
      </c>
      <c r="B810">
        <v>10</v>
      </c>
      <c r="C810" t="s">
        <v>68</v>
      </c>
      <c r="D810">
        <v>4</v>
      </c>
      <c r="H810" s="71" t="b">
        <f t="shared" si="29"/>
        <v>0</v>
      </c>
      <c r="J810">
        <v>4</v>
      </c>
      <c r="N810" s="71" t="b">
        <f>IF(AND(ISBLANK(K810),ISBLANK(L810),ISBLANK(M810)),FALSE,TRUE)</f>
        <v>0</v>
      </c>
    </row>
    <row r="811" spans="1:14">
      <c r="A811" t="s">
        <v>169</v>
      </c>
      <c r="B811">
        <v>10</v>
      </c>
      <c r="C811" t="s">
        <v>69</v>
      </c>
      <c r="D811">
        <v>2</v>
      </c>
      <c r="H811" s="71" t="b">
        <f t="shared" si="29"/>
        <v>0</v>
      </c>
      <c r="J811">
        <v>2</v>
      </c>
      <c r="N811" s="71" t="b">
        <f>IF(AND(ISBLANK(K811),ISBLANK(L811),ISBLANK(M811)),FALSE,TRUE)</f>
        <v>0</v>
      </c>
    </row>
    <row r="812" spans="1:14">
      <c r="A812" t="s">
        <v>169</v>
      </c>
      <c r="B812">
        <v>10</v>
      </c>
      <c r="C812" t="s">
        <v>70</v>
      </c>
      <c r="D812">
        <v>2</v>
      </c>
      <c r="H812" s="71" t="b">
        <f t="shared" si="29"/>
        <v>0</v>
      </c>
      <c r="J812">
        <v>3</v>
      </c>
      <c r="N812" s="71" t="b">
        <f>IF(AND(ISBLANK(K812),ISBLANK(L812),ISBLANK(M812)),FALSE,TRUE)</f>
        <v>0</v>
      </c>
    </row>
    <row r="813" spans="1:14">
      <c r="A813" t="s">
        <v>169</v>
      </c>
      <c r="B813">
        <v>10</v>
      </c>
      <c r="C813" t="s">
        <v>71</v>
      </c>
      <c r="D813">
        <v>1</v>
      </c>
      <c r="H813" s="71" t="b">
        <f t="shared" si="29"/>
        <v>0</v>
      </c>
      <c r="J813">
        <v>0</v>
      </c>
    </row>
    <row r="814" spans="1:14">
      <c r="A814" t="s">
        <v>169</v>
      </c>
      <c r="B814">
        <v>10</v>
      </c>
      <c r="C814" t="s">
        <v>72</v>
      </c>
      <c r="D814">
        <v>1</v>
      </c>
      <c r="H814" s="71" t="b">
        <f t="shared" si="29"/>
        <v>0</v>
      </c>
      <c r="J814">
        <v>4</v>
      </c>
      <c r="N814" s="71" t="b">
        <f>IF(AND(ISBLANK(K814),ISBLANK(L814),ISBLANK(M814)),FALSE,TRUE)</f>
        <v>0</v>
      </c>
    </row>
    <row r="815" spans="1:14">
      <c r="A815" t="s">
        <v>169</v>
      </c>
      <c r="B815">
        <v>10</v>
      </c>
      <c r="C815" t="s">
        <v>73</v>
      </c>
      <c r="D815">
        <v>2</v>
      </c>
      <c r="H815" s="71" t="b">
        <f t="shared" si="29"/>
        <v>0</v>
      </c>
      <c r="J815">
        <v>3</v>
      </c>
      <c r="N815" s="71" t="b">
        <f>IF(AND(ISBLANK(K815),ISBLANK(L815),ISBLANK(M815)),FALSE,TRUE)</f>
        <v>0</v>
      </c>
    </row>
    <row r="816" spans="1:14">
      <c r="A816" t="s">
        <v>169</v>
      </c>
      <c r="B816">
        <v>10</v>
      </c>
      <c r="C816" t="s">
        <v>74</v>
      </c>
      <c r="D816">
        <v>2</v>
      </c>
      <c r="H816" s="71" t="b">
        <f t="shared" si="29"/>
        <v>0</v>
      </c>
      <c r="J816">
        <v>0</v>
      </c>
    </row>
    <row r="817" spans="1:14">
      <c r="A817" t="s">
        <v>169</v>
      </c>
      <c r="B817">
        <v>10</v>
      </c>
      <c r="C817" t="s">
        <v>75</v>
      </c>
      <c r="D817">
        <v>2</v>
      </c>
      <c r="H817" s="71" t="b">
        <f t="shared" si="29"/>
        <v>0</v>
      </c>
      <c r="J817">
        <v>0</v>
      </c>
    </row>
    <row r="818" spans="1:14">
      <c r="A818" t="s">
        <v>169</v>
      </c>
      <c r="B818">
        <v>10</v>
      </c>
      <c r="C818" t="s">
        <v>76</v>
      </c>
      <c r="D818">
        <v>2</v>
      </c>
      <c r="H818" s="71" t="b">
        <f t="shared" si="29"/>
        <v>0</v>
      </c>
      <c r="J818">
        <v>0</v>
      </c>
    </row>
    <row r="819" spans="1:14">
      <c r="A819" t="s">
        <v>169</v>
      </c>
      <c r="B819">
        <v>10</v>
      </c>
      <c r="C819" t="s">
        <v>77</v>
      </c>
      <c r="D819">
        <v>2</v>
      </c>
      <c r="H819" s="71" t="b">
        <f t="shared" si="29"/>
        <v>0</v>
      </c>
      <c r="J819">
        <v>0</v>
      </c>
    </row>
    <row r="820" spans="1:14">
      <c r="A820" t="s">
        <v>169</v>
      </c>
      <c r="B820">
        <v>10</v>
      </c>
      <c r="C820" t="s">
        <v>78</v>
      </c>
      <c r="D820">
        <v>2</v>
      </c>
      <c r="H820" s="71" t="b">
        <f t="shared" si="29"/>
        <v>0</v>
      </c>
      <c r="J820">
        <v>0</v>
      </c>
    </row>
    <row r="821" spans="1:14">
      <c r="A821" t="s">
        <v>169</v>
      </c>
      <c r="B821">
        <v>10</v>
      </c>
      <c r="C821" t="s">
        <v>79</v>
      </c>
      <c r="D821">
        <v>2</v>
      </c>
      <c r="H821" s="71" t="b">
        <f t="shared" si="29"/>
        <v>0</v>
      </c>
      <c r="J821">
        <v>0</v>
      </c>
    </row>
    <row r="822" spans="1:14">
      <c r="A822" t="s">
        <v>169</v>
      </c>
      <c r="B822">
        <v>11</v>
      </c>
      <c r="C822" t="s">
        <v>80</v>
      </c>
      <c r="D822">
        <v>1</v>
      </c>
      <c r="H822" s="71" t="b">
        <f t="shared" si="29"/>
        <v>0</v>
      </c>
      <c r="J822">
        <v>2</v>
      </c>
      <c r="N822" s="71" t="b">
        <f t="shared" ref="N822:N831" si="30">IF(AND(ISBLANK(K822),ISBLANK(L822),ISBLANK(M822)),FALSE,TRUE)</f>
        <v>0</v>
      </c>
    </row>
    <row r="823" spans="1:14">
      <c r="A823" t="s">
        <v>169</v>
      </c>
      <c r="B823">
        <v>11</v>
      </c>
      <c r="C823" t="s">
        <v>81</v>
      </c>
      <c r="D823">
        <v>2</v>
      </c>
      <c r="H823" s="71" t="b">
        <f t="shared" si="29"/>
        <v>0</v>
      </c>
      <c r="J823">
        <v>2</v>
      </c>
      <c r="N823" s="71" t="b">
        <f t="shared" si="30"/>
        <v>0</v>
      </c>
    </row>
    <row r="824" spans="1:14">
      <c r="A824" t="s">
        <v>169</v>
      </c>
      <c r="B824">
        <v>11</v>
      </c>
      <c r="C824" t="s">
        <v>82</v>
      </c>
      <c r="D824">
        <v>2</v>
      </c>
      <c r="H824" s="71" t="b">
        <f t="shared" si="29"/>
        <v>0</v>
      </c>
      <c r="J824">
        <v>2</v>
      </c>
      <c r="N824" s="71" t="b">
        <f t="shared" si="30"/>
        <v>0</v>
      </c>
    </row>
    <row r="825" spans="1:14">
      <c r="A825" t="s">
        <v>169</v>
      </c>
      <c r="B825">
        <v>11</v>
      </c>
      <c r="C825" t="s">
        <v>83</v>
      </c>
      <c r="D825">
        <v>2</v>
      </c>
      <c r="H825" s="71" t="b">
        <f t="shared" si="29"/>
        <v>0</v>
      </c>
      <c r="J825">
        <v>2</v>
      </c>
      <c r="N825" s="71" t="b">
        <f t="shared" si="30"/>
        <v>0</v>
      </c>
    </row>
    <row r="826" spans="1:14">
      <c r="A826" t="s">
        <v>169</v>
      </c>
      <c r="B826">
        <v>11</v>
      </c>
      <c r="C826" t="s">
        <v>84</v>
      </c>
      <c r="D826">
        <v>2</v>
      </c>
      <c r="H826" s="71" t="b">
        <f t="shared" si="29"/>
        <v>0</v>
      </c>
      <c r="J826">
        <v>2</v>
      </c>
      <c r="N826" s="71" t="b">
        <f t="shared" si="30"/>
        <v>0</v>
      </c>
    </row>
    <row r="827" spans="1:14">
      <c r="A827" t="s">
        <v>169</v>
      </c>
      <c r="B827">
        <v>11</v>
      </c>
      <c r="C827" t="s">
        <v>85</v>
      </c>
      <c r="D827">
        <v>1</v>
      </c>
      <c r="H827" s="71" t="b">
        <f t="shared" si="29"/>
        <v>0</v>
      </c>
      <c r="J827">
        <v>2</v>
      </c>
      <c r="N827" s="71" t="b">
        <f t="shared" si="30"/>
        <v>0</v>
      </c>
    </row>
    <row r="828" spans="1:14">
      <c r="A828" t="s">
        <v>169</v>
      </c>
      <c r="B828">
        <v>11</v>
      </c>
      <c r="C828" t="s">
        <v>86</v>
      </c>
      <c r="D828">
        <v>1</v>
      </c>
      <c r="H828" s="71" t="b">
        <f t="shared" si="29"/>
        <v>0</v>
      </c>
      <c r="J828">
        <v>2</v>
      </c>
      <c r="N828" s="71" t="b">
        <f t="shared" si="30"/>
        <v>0</v>
      </c>
    </row>
    <row r="829" spans="1:14">
      <c r="A829" t="s">
        <v>169</v>
      </c>
      <c r="B829">
        <v>11</v>
      </c>
      <c r="C829" t="s">
        <v>87</v>
      </c>
      <c r="D829">
        <v>1</v>
      </c>
      <c r="H829" s="71" t="b">
        <f t="shared" si="29"/>
        <v>0</v>
      </c>
      <c r="J829">
        <v>5</v>
      </c>
      <c r="N829" s="71" t="b">
        <f t="shared" si="30"/>
        <v>0</v>
      </c>
    </row>
    <row r="830" spans="1:14">
      <c r="A830" t="s">
        <v>169</v>
      </c>
      <c r="B830">
        <v>11</v>
      </c>
      <c r="C830" t="s">
        <v>88</v>
      </c>
      <c r="D830">
        <v>1</v>
      </c>
      <c r="H830" s="71" t="b">
        <f t="shared" si="29"/>
        <v>0</v>
      </c>
      <c r="J830">
        <v>2</v>
      </c>
      <c r="N830" s="71" t="b">
        <f t="shared" si="30"/>
        <v>0</v>
      </c>
    </row>
    <row r="831" spans="1:14">
      <c r="A831" t="s">
        <v>169</v>
      </c>
      <c r="B831">
        <v>11</v>
      </c>
      <c r="C831" t="s">
        <v>89</v>
      </c>
      <c r="D831">
        <v>2</v>
      </c>
      <c r="H831" s="71" t="b">
        <f t="shared" si="29"/>
        <v>0</v>
      </c>
      <c r="J831">
        <v>2</v>
      </c>
      <c r="N831" s="71" t="b">
        <f t="shared" si="30"/>
        <v>0</v>
      </c>
    </row>
    <row r="832" spans="1:14">
      <c r="A832" t="s">
        <v>169</v>
      </c>
      <c r="B832">
        <v>11</v>
      </c>
      <c r="C832" t="s">
        <v>90</v>
      </c>
      <c r="D832">
        <v>2</v>
      </c>
      <c r="H832" s="71" t="b">
        <f t="shared" si="29"/>
        <v>0</v>
      </c>
      <c r="J832">
        <v>0</v>
      </c>
    </row>
    <row r="833" spans="1:14">
      <c r="A833" t="s">
        <v>169</v>
      </c>
      <c r="B833">
        <v>11</v>
      </c>
      <c r="C833" t="s">
        <v>91</v>
      </c>
      <c r="D833">
        <v>2</v>
      </c>
      <c r="H833" s="71" t="b">
        <f t="shared" si="29"/>
        <v>0</v>
      </c>
      <c r="J833">
        <v>1</v>
      </c>
      <c r="N833" s="71" t="b">
        <f>IF(AND(ISBLANK(K833),ISBLANK(L833),ISBLANK(M833)),FALSE,TRUE)</f>
        <v>0</v>
      </c>
    </row>
    <row r="834" spans="1:14">
      <c r="A834" t="s">
        <v>169</v>
      </c>
      <c r="B834">
        <v>11</v>
      </c>
      <c r="C834" t="s">
        <v>92</v>
      </c>
      <c r="D834">
        <v>1</v>
      </c>
      <c r="H834" s="71" t="b">
        <f t="shared" si="29"/>
        <v>0</v>
      </c>
      <c r="J834">
        <v>0</v>
      </c>
    </row>
    <row r="835" spans="1:14">
      <c r="A835" t="s">
        <v>169</v>
      </c>
      <c r="B835">
        <v>11</v>
      </c>
      <c r="C835" t="s">
        <v>93</v>
      </c>
      <c r="D835">
        <v>1</v>
      </c>
      <c r="H835" s="71" t="b">
        <f t="shared" si="29"/>
        <v>0</v>
      </c>
      <c r="J835">
        <v>0</v>
      </c>
    </row>
    <row r="836" spans="1:14">
      <c r="A836" t="s">
        <v>169</v>
      </c>
      <c r="B836">
        <v>11</v>
      </c>
      <c r="C836" t="s">
        <v>94</v>
      </c>
      <c r="D836">
        <v>1</v>
      </c>
      <c r="H836" s="71" t="b">
        <f t="shared" si="29"/>
        <v>0</v>
      </c>
      <c r="J836">
        <v>3</v>
      </c>
      <c r="N836" s="71" t="b">
        <f t="shared" ref="N836:N855" si="31">IF(AND(ISBLANK(K836),ISBLANK(L836),ISBLANK(M836)),FALSE,TRUE)</f>
        <v>0</v>
      </c>
    </row>
    <row r="837" spans="1:14">
      <c r="A837" t="s">
        <v>169</v>
      </c>
      <c r="B837">
        <v>11</v>
      </c>
      <c r="C837" t="s">
        <v>95</v>
      </c>
      <c r="D837">
        <v>1</v>
      </c>
      <c r="H837" s="71" t="b">
        <f t="shared" si="29"/>
        <v>0</v>
      </c>
      <c r="J837">
        <v>2</v>
      </c>
      <c r="N837" s="71" t="b">
        <f t="shared" si="31"/>
        <v>0</v>
      </c>
    </row>
    <row r="838" spans="1:14">
      <c r="A838" t="s">
        <v>169</v>
      </c>
      <c r="B838">
        <v>11</v>
      </c>
      <c r="C838" t="s">
        <v>96</v>
      </c>
      <c r="D838">
        <v>1</v>
      </c>
      <c r="H838" s="71" t="b">
        <f t="shared" si="29"/>
        <v>0</v>
      </c>
      <c r="J838">
        <v>2</v>
      </c>
      <c r="N838" s="71" t="b">
        <f t="shared" si="31"/>
        <v>0</v>
      </c>
    </row>
    <row r="839" spans="1:14">
      <c r="A839" t="s">
        <v>169</v>
      </c>
      <c r="B839">
        <v>11</v>
      </c>
      <c r="C839" t="s">
        <v>97</v>
      </c>
      <c r="D839">
        <v>1</v>
      </c>
      <c r="H839" s="71" t="b">
        <f t="shared" si="29"/>
        <v>0</v>
      </c>
      <c r="J839">
        <v>2</v>
      </c>
      <c r="N839" s="71" t="b">
        <f t="shared" si="31"/>
        <v>0</v>
      </c>
    </row>
    <row r="840" spans="1:14">
      <c r="A840" t="s">
        <v>169</v>
      </c>
      <c r="B840">
        <v>11</v>
      </c>
      <c r="C840" t="s">
        <v>98</v>
      </c>
      <c r="D840">
        <v>1</v>
      </c>
      <c r="H840" s="71" t="b">
        <f t="shared" si="29"/>
        <v>0</v>
      </c>
      <c r="J840">
        <v>1</v>
      </c>
      <c r="N840" s="71" t="b">
        <f t="shared" si="31"/>
        <v>0</v>
      </c>
    </row>
    <row r="841" spans="1:14">
      <c r="A841" t="s">
        <v>169</v>
      </c>
      <c r="B841">
        <v>11</v>
      </c>
      <c r="C841" t="s">
        <v>99</v>
      </c>
      <c r="D841">
        <v>1</v>
      </c>
      <c r="H841" s="71" t="b">
        <f t="shared" si="29"/>
        <v>0</v>
      </c>
      <c r="J841">
        <v>1</v>
      </c>
      <c r="N841" s="71" t="b">
        <f t="shared" si="31"/>
        <v>0</v>
      </c>
    </row>
    <row r="842" spans="1:14">
      <c r="A842" t="s">
        <v>169</v>
      </c>
      <c r="B842">
        <v>11</v>
      </c>
      <c r="C842" t="s">
        <v>100</v>
      </c>
      <c r="D842">
        <v>1</v>
      </c>
      <c r="H842" s="71" t="b">
        <f t="shared" ref="H842:H905" si="32">IF(AND(ISBLANK(E842),ISBLANK(F842),ISBLANK(G842)),FALSE,TRUE)</f>
        <v>0</v>
      </c>
      <c r="J842">
        <v>1</v>
      </c>
      <c r="N842" s="71" t="b">
        <f t="shared" si="31"/>
        <v>0</v>
      </c>
    </row>
    <row r="843" spans="1:14">
      <c r="A843" t="s">
        <v>169</v>
      </c>
      <c r="B843">
        <v>11</v>
      </c>
      <c r="C843" t="s">
        <v>101</v>
      </c>
      <c r="D843">
        <v>1</v>
      </c>
      <c r="H843" s="71" t="b">
        <f t="shared" si="32"/>
        <v>0</v>
      </c>
      <c r="J843">
        <v>2</v>
      </c>
      <c r="N843" s="71" t="b">
        <f t="shared" si="31"/>
        <v>0</v>
      </c>
    </row>
    <row r="844" spans="1:14">
      <c r="A844" t="s">
        <v>169</v>
      </c>
      <c r="B844">
        <v>11</v>
      </c>
      <c r="C844" t="s">
        <v>102</v>
      </c>
      <c r="D844">
        <v>1</v>
      </c>
      <c r="H844" s="71" t="b">
        <f t="shared" si="32"/>
        <v>0</v>
      </c>
      <c r="J844">
        <v>2</v>
      </c>
      <c r="N844" s="71" t="b">
        <f t="shared" si="31"/>
        <v>0</v>
      </c>
    </row>
    <row r="845" spans="1:14">
      <c r="A845" t="s">
        <v>169</v>
      </c>
      <c r="B845">
        <v>11</v>
      </c>
      <c r="C845" t="s">
        <v>103</v>
      </c>
      <c r="D845">
        <v>1</v>
      </c>
      <c r="H845" s="71" t="b">
        <f t="shared" si="32"/>
        <v>0</v>
      </c>
      <c r="J845">
        <v>1</v>
      </c>
      <c r="N845" s="71" t="b">
        <f t="shared" si="31"/>
        <v>0</v>
      </c>
    </row>
    <row r="846" spans="1:14">
      <c r="A846" t="s">
        <v>169</v>
      </c>
      <c r="B846">
        <v>11</v>
      </c>
      <c r="C846" t="s">
        <v>104</v>
      </c>
      <c r="D846">
        <v>1</v>
      </c>
      <c r="H846" s="71" t="b">
        <f t="shared" si="32"/>
        <v>0</v>
      </c>
      <c r="J846">
        <v>2</v>
      </c>
      <c r="N846" s="71" t="b">
        <f t="shared" si="31"/>
        <v>0</v>
      </c>
    </row>
    <row r="847" spans="1:14">
      <c r="A847" t="s">
        <v>169</v>
      </c>
      <c r="B847">
        <v>11</v>
      </c>
      <c r="C847" t="s">
        <v>105</v>
      </c>
      <c r="D847">
        <v>1</v>
      </c>
      <c r="H847" s="71" t="b">
        <f t="shared" si="32"/>
        <v>0</v>
      </c>
      <c r="J847">
        <v>2</v>
      </c>
      <c r="N847" s="71" t="b">
        <f t="shared" si="31"/>
        <v>0</v>
      </c>
    </row>
    <row r="848" spans="1:14">
      <c r="A848" t="s">
        <v>169</v>
      </c>
      <c r="B848">
        <v>11</v>
      </c>
      <c r="C848" t="s">
        <v>106</v>
      </c>
      <c r="D848">
        <v>2</v>
      </c>
      <c r="H848" s="71" t="b">
        <f t="shared" si="32"/>
        <v>0</v>
      </c>
      <c r="J848">
        <v>3</v>
      </c>
      <c r="N848" s="71" t="b">
        <f t="shared" si="31"/>
        <v>0</v>
      </c>
    </row>
    <row r="849" spans="1:14">
      <c r="A849" t="s">
        <v>169</v>
      </c>
      <c r="B849">
        <v>11</v>
      </c>
      <c r="C849" t="s">
        <v>107</v>
      </c>
      <c r="D849">
        <v>2</v>
      </c>
      <c r="H849" s="71" t="b">
        <f t="shared" si="32"/>
        <v>0</v>
      </c>
      <c r="J849">
        <v>3</v>
      </c>
      <c r="N849" s="71" t="b">
        <f t="shared" si="31"/>
        <v>0</v>
      </c>
    </row>
    <row r="850" spans="1:14">
      <c r="A850" t="s">
        <v>169</v>
      </c>
      <c r="B850">
        <v>11</v>
      </c>
      <c r="C850" t="s">
        <v>108</v>
      </c>
      <c r="D850">
        <v>1</v>
      </c>
      <c r="H850" s="71" t="b">
        <f t="shared" si="32"/>
        <v>0</v>
      </c>
      <c r="J850">
        <v>3</v>
      </c>
      <c r="N850" s="71" t="b">
        <f t="shared" si="31"/>
        <v>0</v>
      </c>
    </row>
    <row r="851" spans="1:14">
      <c r="A851" t="s">
        <v>169</v>
      </c>
      <c r="B851">
        <v>11</v>
      </c>
      <c r="C851" t="s">
        <v>109</v>
      </c>
      <c r="D851">
        <v>2</v>
      </c>
      <c r="H851" s="71" t="b">
        <f t="shared" si="32"/>
        <v>0</v>
      </c>
      <c r="J851">
        <v>3</v>
      </c>
      <c r="N851" s="71" t="b">
        <f t="shared" si="31"/>
        <v>0</v>
      </c>
    </row>
    <row r="852" spans="1:14">
      <c r="A852" t="s">
        <v>169</v>
      </c>
      <c r="B852">
        <v>11</v>
      </c>
      <c r="C852" t="s">
        <v>110</v>
      </c>
      <c r="D852">
        <v>2</v>
      </c>
      <c r="H852" s="71" t="b">
        <f t="shared" si="32"/>
        <v>0</v>
      </c>
      <c r="J852">
        <v>3</v>
      </c>
      <c r="N852" s="71" t="b">
        <f t="shared" si="31"/>
        <v>0</v>
      </c>
    </row>
    <row r="853" spans="1:14">
      <c r="A853" t="s">
        <v>169</v>
      </c>
      <c r="B853">
        <v>11</v>
      </c>
      <c r="C853" t="s">
        <v>111</v>
      </c>
      <c r="D853">
        <v>2</v>
      </c>
      <c r="H853" s="71" t="b">
        <f t="shared" si="32"/>
        <v>0</v>
      </c>
      <c r="J853">
        <v>3</v>
      </c>
      <c r="N853" s="71" t="b">
        <f t="shared" si="31"/>
        <v>0</v>
      </c>
    </row>
    <row r="854" spans="1:14">
      <c r="A854" t="s">
        <v>169</v>
      </c>
      <c r="B854">
        <v>11</v>
      </c>
      <c r="C854" t="s">
        <v>112</v>
      </c>
      <c r="D854">
        <v>2</v>
      </c>
      <c r="H854" s="71" t="b">
        <f t="shared" si="32"/>
        <v>0</v>
      </c>
      <c r="J854">
        <v>3</v>
      </c>
      <c r="N854" s="71" t="b">
        <f t="shared" si="31"/>
        <v>0</v>
      </c>
    </row>
    <row r="855" spans="1:14">
      <c r="A855" t="s">
        <v>169</v>
      </c>
      <c r="B855">
        <v>11</v>
      </c>
      <c r="C855" t="s">
        <v>113</v>
      </c>
      <c r="D855">
        <v>2</v>
      </c>
      <c r="H855" s="71" t="b">
        <f t="shared" si="32"/>
        <v>0</v>
      </c>
      <c r="J855">
        <v>2</v>
      </c>
      <c r="N855" s="71" t="b">
        <f t="shared" si="31"/>
        <v>0</v>
      </c>
    </row>
    <row r="856" spans="1:14">
      <c r="A856" t="s">
        <v>169</v>
      </c>
      <c r="B856">
        <v>11</v>
      </c>
      <c r="C856" t="s">
        <v>114</v>
      </c>
      <c r="D856">
        <v>2</v>
      </c>
      <c r="H856" s="71" t="b">
        <f t="shared" si="32"/>
        <v>0</v>
      </c>
      <c r="J856">
        <v>0</v>
      </c>
    </row>
    <row r="857" spans="1:14">
      <c r="A857" t="s">
        <v>169</v>
      </c>
      <c r="B857">
        <v>11</v>
      </c>
      <c r="C857" t="s">
        <v>115</v>
      </c>
      <c r="D857">
        <v>2</v>
      </c>
      <c r="H857" s="71" t="b">
        <f t="shared" si="32"/>
        <v>0</v>
      </c>
      <c r="J857">
        <v>0</v>
      </c>
    </row>
    <row r="858" spans="1:14">
      <c r="A858" t="s">
        <v>169</v>
      </c>
      <c r="B858">
        <v>11</v>
      </c>
      <c r="C858" t="s">
        <v>116</v>
      </c>
      <c r="D858">
        <v>2</v>
      </c>
      <c r="H858" s="71" t="b">
        <f t="shared" si="32"/>
        <v>0</v>
      </c>
      <c r="J858">
        <v>0</v>
      </c>
    </row>
    <row r="859" spans="1:14">
      <c r="A859" t="s">
        <v>169</v>
      </c>
      <c r="B859">
        <v>11</v>
      </c>
      <c r="C859" t="s">
        <v>117</v>
      </c>
      <c r="D859">
        <v>6</v>
      </c>
      <c r="H859" s="71" t="b">
        <f t="shared" si="32"/>
        <v>0</v>
      </c>
      <c r="J859">
        <v>0</v>
      </c>
    </row>
    <row r="860" spans="1:14">
      <c r="A860" t="s">
        <v>169</v>
      </c>
      <c r="B860">
        <v>11</v>
      </c>
      <c r="C860" t="s">
        <v>118</v>
      </c>
      <c r="D860">
        <v>3</v>
      </c>
      <c r="H860" s="71" t="b">
        <f t="shared" si="32"/>
        <v>0</v>
      </c>
      <c r="J860">
        <v>0</v>
      </c>
    </row>
    <row r="861" spans="1:14">
      <c r="A861" t="s">
        <v>169</v>
      </c>
      <c r="B861">
        <v>11</v>
      </c>
      <c r="C861" t="s">
        <v>119</v>
      </c>
      <c r="D861">
        <v>3</v>
      </c>
      <c r="H861" s="71" t="b">
        <f t="shared" si="32"/>
        <v>0</v>
      </c>
      <c r="J861">
        <v>0</v>
      </c>
    </row>
    <row r="862" spans="1:14">
      <c r="A862" t="s">
        <v>169</v>
      </c>
      <c r="B862">
        <v>11</v>
      </c>
      <c r="C862" t="s">
        <v>120</v>
      </c>
      <c r="D862">
        <v>3</v>
      </c>
      <c r="H862" s="71" t="b">
        <f t="shared" si="32"/>
        <v>0</v>
      </c>
      <c r="J862">
        <v>0</v>
      </c>
    </row>
    <row r="863" spans="1:14">
      <c r="A863" t="s">
        <v>169</v>
      </c>
      <c r="B863">
        <v>11</v>
      </c>
      <c r="C863" t="s">
        <v>121</v>
      </c>
      <c r="D863">
        <v>3</v>
      </c>
      <c r="H863" s="71" t="b">
        <f t="shared" si="32"/>
        <v>0</v>
      </c>
      <c r="J863">
        <v>0</v>
      </c>
    </row>
    <row r="864" spans="1:14">
      <c r="A864" t="s">
        <v>169</v>
      </c>
      <c r="B864">
        <v>12</v>
      </c>
      <c r="C864" t="s">
        <v>122</v>
      </c>
      <c r="D864">
        <v>2</v>
      </c>
      <c r="H864" s="71" t="b">
        <f t="shared" si="32"/>
        <v>0</v>
      </c>
      <c r="J864">
        <v>2</v>
      </c>
      <c r="N864" s="71" t="b">
        <f>IF(AND(ISBLANK(K864),ISBLANK(L864),ISBLANK(M864)),FALSE,TRUE)</f>
        <v>0</v>
      </c>
    </row>
    <row r="865" spans="1:14">
      <c r="A865" t="s">
        <v>169</v>
      </c>
      <c r="B865">
        <v>12</v>
      </c>
      <c r="C865" t="s">
        <v>123</v>
      </c>
      <c r="D865">
        <v>2</v>
      </c>
      <c r="H865" s="71" t="b">
        <f t="shared" si="32"/>
        <v>0</v>
      </c>
      <c r="J865">
        <v>2</v>
      </c>
      <c r="N865" s="71" t="b">
        <f>IF(AND(ISBLANK(K865),ISBLANK(L865),ISBLANK(M865)),FALSE,TRUE)</f>
        <v>0</v>
      </c>
    </row>
    <row r="866" spans="1:14">
      <c r="A866" t="s">
        <v>169</v>
      </c>
      <c r="B866">
        <v>12</v>
      </c>
      <c r="C866" t="s">
        <v>124</v>
      </c>
      <c r="D866">
        <v>2</v>
      </c>
      <c r="H866" s="71" t="b">
        <f t="shared" si="32"/>
        <v>0</v>
      </c>
      <c r="J866">
        <v>0</v>
      </c>
    </row>
    <row r="867" spans="1:14">
      <c r="A867" t="s">
        <v>169</v>
      </c>
      <c r="B867">
        <v>12</v>
      </c>
      <c r="C867" t="s">
        <v>125</v>
      </c>
      <c r="D867">
        <v>4</v>
      </c>
      <c r="H867" s="71" t="b">
        <f t="shared" si="32"/>
        <v>0</v>
      </c>
      <c r="J867">
        <v>4</v>
      </c>
      <c r="N867" s="71" t="b">
        <f>IF(AND(ISBLANK(K867),ISBLANK(L867),ISBLANK(M867)),FALSE,TRUE)</f>
        <v>0</v>
      </c>
    </row>
    <row r="868" spans="1:14">
      <c r="A868" t="s">
        <v>169</v>
      </c>
      <c r="B868">
        <v>12</v>
      </c>
      <c r="C868" t="s">
        <v>126</v>
      </c>
      <c r="D868">
        <v>2</v>
      </c>
      <c r="H868" s="71" t="b">
        <f t="shared" si="32"/>
        <v>0</v>
      </c>
      <c r="J868">
        <v>2</v>
      </c>
      <c r="N868" s="71" t="b">
        <f>IF(AND(ISBLANK(K868),ISBLANK(L868),ISBLANK(M868)),FALSE,TRUE)</f>
        <v>0</v>
      </c>
    </row>
    <row r="869" spans="1:14">
      <c r="A869" t="s">
        <v>169</v>
      </c>
      <c r="B869">
        <v>12</v>
      </c>
      <c r="C869" t="s">
        <v>127</v>
      </c>
      <c r="D869">
        <v>2</v>
      </c>
      <c r="H869" s="71" t="b">
        <f t="shared" si="32"/>
        <v>0</v>
      </c>
      <c r="J869">
        <v>2</v>
      </c>
      <c r="N869" s="71" t="b">
        <f>IF(AND(ISBLANK(K869),ISBLANK(L869),ISBLANK(M869)),FALSE,TRUE)</f>
        <v>0</v>
      </c>
    </row>
    <row r="870" spans="1:14">
      <c r="A870" t="s">
        <v>169</v>
      </c>
      <c r="B870">
        <v>12</v>
      </c>
      <c r="C870" t="s">
        <v>128</v>
      </c>
      <c r="D870">
        <v>2</v>
      </c>
      <c r="H870" s="71" t="b">
        <f t="shared" si="32"/>
        <v>0</v>
      </c>
      <c r="J870">
        <v>2</v>
      </c>
      <c r="N870" s="71" t="b">
        <f>IF(AND(ISBLANK(K870),ISBLANK(L870),ISBLANK(M870)),FALSE,TRUE)</f>
        <v>0</v>
      </c>
    </row>
    <row r="871" spans="1:14">
      <c r="A871" t="s">
        <v>169</v>
      </c>
      <c r="B871">
        <v>12</v>
      </c>
      <c r="C871" t="s">
        <v>129</v>
      </c>
      <c r="D871">
        <v>2</v>
      </c>
      <c r="H871" s="71" t="b">
        <f t="shared" si="32"/>
        <v>0</v>
      </c>
      <c r="J871">
        <v>0</v>
      </c>
    </row>
    <row r="872" spans="1:14">
      <c r="A872" t="s">
        <v>169</v>
      </c>
      <c r="B872">
        <v>12</v>
      </c>
      <c r="C872" t="s">
        <v>130</v>
      </c>
      <c r="D872">
        <v>2</v>
      </c>
      <c r="H872" s="71" t="b">
        <f t="shared" si="32"/>
        <v>0</v>
      </c>
      <c r="J872">
        <v>1</v>
      </c>
      <c r="N872" s="71" t="b">
        <f>IF(AND(ISBLANK(K872),ISBLANK(L872),ISBLANK(M872)),FALSE,TRUE)</f>
        <v>0</v>
      </c>
    </row>
    <row r="873" spans="1:14">
      <c r="A873" t="s">
        <v>169</v>
      </c>
      <c r="B873">
        <v>12</v>
      </c>
      <c r="C873" t="s">
        <v>131</v>
      </c>
      <c r="D873">
        <v>3</v>
      </c>
      <c r="H873" s="71" t="b">
        <f t="shared" si="32"/>
        <v>0</v>
      </c>
      <c r="J873">
        <v>1</v>
      </c>
      <c r="N873" s="71" t="b">
        <f>IF(AND(ISBLANK(K873),ISBLANK(L873),ISBLANK(M873)),FALSE,TRUE)</f>
        <v>0</v>
      </c>
    </row>
    <row r="874" spans="1:14">
      <c r="A874" t="s">
        <v>169</v>
      </c>
      <c r="B874">
        <v>12</v>
      </c>
      <c r="C874" t="s">
        <v>132</v>
      </c>
      <c r="D874">
        <v>1</v>
      </c>
      <c r="H874" s="71" t="b">
        <f t="shared" si="32"/>
        <v>0</v>
      </c>
      <c r="J874">
        <v>1</v>
      </c>
      <c r="N874" s="71" t="b">
        <f>IF(AND(ISBLANK(K874),ISBLANK(L874),ISBLANK(M874)),FALSE,TRUE)</f>
        <v>0</v>
      </c>
    </row>
    <row r="875" spans="1:14">
      <c r="A875" t="s">
        <v>169</v>
      </c>
      <c r="B875">
        <v>12</v>
      </c>
      <c r="C875" t="s">
        <v>133</v>
      </c>
      <c r="D875">
        <v>1</v>
      </c>
      <c r="H875" s="71" t="b">
        <f t="shared" si="32"/>
        <v>0</v>
      </c>
      <c r="J875">
        <v>0</v>
      </c>
    </row>
    <row r="876" spans="1:14">
      <c r="A876" t="s">
        <v>169</v>
      </c>
      <c r="B876">
        <v>12</v>
      </c>
      <c r="C876" t="s">
        <v>134</v>
      </c>
      <c r="D876">
        <v>1</v>
      </c>
      <c r="H876" s="71" t="b">
        <f t="shared" si="32"/>
        <v>0</v>
      </c>
      <c r="J876">
        <v>1</v>
      </c>
      <c r="N876" s="71" t="b">
        <f t="shared" ref="N876:N886" si="33">IF(AND(ISBLANK(K876),ISBLANK(L876),ISBLANK(M876)),FALSE,TRUE)</f>
        <v>0</v>
      </c>
    </row>
    <row r="877" spans="1:14">
      <c r="A877" t="s">
        <v>169</v>
      </c>
      <c r="B877">
        <v>12</v>
      </c>
      <c r="C877" t="s">
        <v>135</v>
      </c>
      <c r="D877">
        <v>2</v>
      </c>
      <c r="H877" s="71" t="b">
        <f t="shared" si="32"/>
        <v>0</v>
      </c>
      <c r="J877">
        <v>1</v>
      </c>
      <c r="N877" s="71" t="b">
        <f t="shared" si="33"/>
        <v>0</v>
      </c>
    </row>
    <row r="878" spans="1:14">
      <c r="A878" t="s">
        <v>169</v>
      </c>
      <c r="B878">
        <v>12</v>
      </c>
      <c r="C878" t="s">
        <v>136</v>
      </c>
      <c r="D878">
        <v>2</v>
      </c>
      <c r="H878" s="71" t="b">
        <f t="shared" si="32"/>
        <v>0</v>
      </c>
      <c r="J878">
        <v>1</v>
      </c>
      <c r="N878" s="71" t="b">
        <f t="shared" si="33"/>
        <v>0</v>
      </c>
    </row>
    <row r="879" spans="1:14">
      <c r="A879" t="s">
        <v>169</v>
      </c>
      <c r="B879">
        <v>12</v>
      </c>
      <c r="C879" t="s">
        <v>137</v>
      </c>
      <c r="D879">
        <v>2</v>
      </c>
      <c r="H879" s="71" t="b">
        <f t="shared" si="32"/>
        <v>0</v>
      </c>
      <c r="J879">
        <v>1</v>
      </c>
      <c r="N879" s="71" t="b">
        <f t="shared" si="33"/>
        <v>0</v>
      </c>
    </row>
    <row r="880" spans="1:14">
      <c r="A880" t="s">
        <v>169</v>
      </c>
      <c r="B880">
        <v>12</v>
      </c>
      <c r="C880" t="s">
        <v>138</v>
      </c>
      <c r="D880">
        <v>1</v>
      </c>
      <c r="H880" s="71" t="b">
        <f t="shared" si="32"/>
        <v>0</v>
      </c>
      <c r="J880">
        <v>1</v>
      </c>
      <c r="N880" s="71" t="b">
        <f t="shared" si="33"/>
        <v>0</v>
      </c>
    </row>
    <row r="881" spans="1:14">
      <c r="A881" t="s">
        <v>169</v>
      </c>
      <c r="B881">
        <v>12</v>
      </c>
      <c r="C881" t="s">
        <v>139</v>
      </c>
      <c r="D881">
        <v>1</v>
      </c>
      <c r="H881" s="71" t="b">
        <f t="shared" si="32"/>
        <v>0</v>
      </c>
      <c r="J881">
        <v>1</v>
      </c>
      <c r="N881" s="71" t="b">
        <f t="shared" si="33"/>
        <v>0</v>
      </c>
    </row>
    <row r="882" spans="1:14">
      <c r="A882" t="s">
        <v>169</v>
      </c>
      <c r="B882">
        <v>12</v>
      </c>
      <c r="C882" t="s">
        <v>140</v>
      </c>
      <c r="D882">
        <v>1</v>
      </c>
      <c r="H882" s="71" t="b">
        <f t="shared" si="32"/>
        <v>0</v>
      </c>
      <c r="J882">
        <v>1</v>
      </c>
      <c r="N882" s="71" t="b">
        <f t="shared" si="33"/>
        <v>0</v>
      </c>
    </row>
    <row r="883" spans="1:14">
      <c r="A883" t="s">
        <v>169</v>
      </c>
      <c r="B883">
        <v>12</v>
      </c>
      <c r="C883" t="s">
        <v>141</v>
      </c>
      <c r="D883">
        <v>1</v>
      </c>
      <c r="H883" s="71" t="b">
        <f t="shared" si="32"/>
        <v>0</v>
      </c>
      <c r="J883">
        <v>1</v>
      </c>
      <c r="N883" s="71" t="b">
        <f t="shared" si="33"/>
        <v>0</v>
      </c>
    </row>
    <row r="884" spans="1:14">
      <c r="A884" t="s">
        <v>169</v>
      </c>
      <c r="B884">
        <v>12</v>
      </c>
      <c r="C884" t="s">
        <v>142</v>
      </c>
      <c r="D884">
        <v>2</v>
      </c>
      <c r="H884" s="71" t="b">
        <f t="shared" si="32"/>
        <v>0</v>
      </c>
      <c r="J884">
        <v>1</v>
      </c>
      <c r="N884" s="71" t="b">
        <f t="shared" si="33"/>
        <v>0</v>
      </c>
    </row>
    <row r="885" spans="1:14">
      <c r="A885" t="s">
        <v>169</v>
      </c>
      <c r="B885">
        <v>12</v>
      </c>
      <c r="C885" t="s">
        <v>143</v>
      </c>
      <c r="D885">
        <v>1</v>
      </c>
      <c r="H885" s="71" t="b">
        <f t="shared" si="32"/>
        <v>0</v>
      </c>
      <c r="J885">
        <v>2</v>
      </c>
      <c r="N885" s="71" t="b">
        <f t="shared" si="33"/>
        <v>0</v>
      </c>
    </row>
    <row r="886" spans="1:14">
      <c r="A886" t="s">
        <v>169</v>
      </c>
      <c r="B886">
        <v>12</v>
      </c>
      <c r="C886" t="s">
        <v>144</v>
      </c>
      <c r="D886">
        <v>1</v>
      </c>
      <c r="H886" s="71" t="b">
        <f t="shared" si="32"/>
        <v>0</v>
      </c>
      <c r="J886">
        <v>2</v>
      </c>
      <c r="N886" s="71" t="b">
        <f t="shared" si="33"/>
        <v>0</v>
      </c>
    </row>
    <row r="887" spans="1:14">
      <c r="A887" t="s">
        <v>169</v>
      </c>
      <c r="B887">
        <v>12</v>
      </c>
      <c r="C887" t="s">
        <v>145</v>
      </c>
      <c r="D887">
        <v>1</v>
      </c>
      <c r="H887" s="71" t="b">
        <f t="shared" si="32"/>
        <v>0</v>
      </c>
      <c r="J887">
        <v>0</v>
      </c>
    </row>
    <row r="888" spans="1:14">
      <c r="A888" t="s">
        <v>169</v>
      </c>
      <c r="B888">
        <v>12</v>
      </c>
      <c r="C888" t="s">
        <v>146</v>
      </c>
      <c r="D888">
        <v>1</v>
      </c>
      <c r="H888" s="71" t="b">
        <f t="shared" si="32"/>
        <v>0</v>
      </c>
      <c r="J888">
        <v>0</v>
      </c>
    </row>
    <row r="889" spans="1:14">
      <c r="A889" t="s">
        <v>169</v>
      </c>
      <c r="B889">
        <v>12</v>
      </c>
      <c r="C889" t="s">
        <v>147</v>
      </c>
      <c r="D889">
        <v>1</v>
      </c>
      <c r="H889" s="71" t="b">
        <f t="shared" si="32"/>
        <v>0</v>
      </c>
      <c r="J889">
        <v>2</v>
      </c>
      <c r="N889" s="71" t="b">
        <f>IF(AND(ISBLANK(K889),ISBLANK(L889),ISBLANK(M889)),FALSE,TRUE)</f>
        <v>0</v>
      </c>
    </row>
    <row r="890" spans="1:14">
      <c r="A890" t="s">
        <v>169</v>
      </c>
      <c r="B890">
        <v>12</v>
      </c>
      <c r="C890" t="s">
        <v>148</v>
      </c>
      <c r="D890">
        <v>2</v>
      </c>
      <c r="H890" s="71" t="b">
        <f t="shared" si="32"/>
        <v>0</v>
      </c>
      <c r="J890">
        <v>2</v>
      </c>
      <c r="N890" s="71" t="b">
        <f>IF(AND(ISBLANK(K890),ISBLANK(L890),ISBLANK(M890)),FALSE,TRUE)</f>
        <v>0</v>
      </c>
    </row>
    <row r="891" spans="1:14">
      <c r="A891" t="s">
        <v>169</v>
      </c>
      <c r="B891">
        <v>12</v>
      </c>
      <c r="C891" t="s">
        <v>149</v>
      </c>
      <c r="D891">
        <v>3</v>
      </c>
      <c r="H891" s="71" t="b">
        <f t="shared" si="32"/>
        <v>0</v>
      </c>
      <c r="J891">
        <v>0</v>
      </c>
    </row>
    <row r="892" spans="1:14">
      <c r="A892" t="s">
        <v>169</v>
      </c>
      <c r="B892">
        <v>12</v>
      </c>
      <c r="C892" t="s">
        <v>150</v>
      </c>
      <c r="D892">
        <v>3</v>
      </c>
      <c r="H892" s="71" t="b">
        <f t="shared" si="32"/>
        <v>0</v>
      </c>
      <c r="J892">
        <v>0</v>
      </c>
    </row>
    <row r="893" spans="1:14">
      <c r="A893" t="s">
        <v>169</v>
      </c>
      <c r="B893">
        <v>12</v>
      </c>
      <c r="C893" t="s">
        <v>151</v>
      </c>
      <c r="D893">
        <v>2</v>
      </c>
      <c r="H893" s="71" t="b">
        <f t="shared" si="32"/>
        <v>0</v>
      </c>
      <c r="J893">
        <v>0</v>
      </c>
    </row>
    <row r="894" spans="1:14">
      <c r="A894" t="s">
        <v>169</v>
      </c>
      <c r="B894">
        <v>12</v>
      </c>
      <c r="C894" t="s">
        <v>152</v>
      </c>
      <c r="D894">
        <v>2</v>
      </c>
      <c r="H894" s="71" t="b">
        <f t="shared" si="32"/>
        <v>0</v>
      </c>
      <c r="J894">
        <v>0</v>
      </c>
    </row>
    <row r="895" spans="1:14">
      <c r="A895" t="s">
        <v>169</v>
      </c>
      <c r="B895">
        <v>12</v>
      </c>
      <c r="C895" t="s">
        <v>153</v>
      </c>
      <c r="D895">
        <v>2</v>
      </c>
      <c r="H895" s="71" t="b">
        <f t="shared" si="32"/>
        <v>0</v>
      </c>
      <c r="J895">
        <v>0</v>
      </c>
    </row>
    <row r="896" spans="1:14">
      <c r="A896" t="s">
        <v>169</v>
      </c>
      <c r="B896">
        <v>12</v>
      </c>
      <c r="C896" t="s">
        <v>154</v>
      </c>
      <c r="D896">
        <v>2</v>
      </c>
      <c r="H896" s="71" t="b">
        <f t="shared" si="32"/>
        <v>0</v>
      </c>
      <c r="J896">
        <v>0</v>
      </c>
    </row>
    <row r="897" spans="1:14">
      <c r="A897" t="s">
        <v>169</v>
      </c>
      <c r="B897">
        <v>12</v>
      </c>
      <c r="C897" t="s">
        <v>155</v>
      </c>
      <c r="D897">
        <v>2</v>
      </c>
      <c r="H897" s="71" t="b">
        <f t="shared" si="32"/>
        <v>0</v>
      </c>
      <c r="J897">
        <v>0</v>
      </c>
    </row>
    <row r="898" spans="1:14">
      <c r="A898" t="s">
        <v>169</v>
      </c>
      <c r="B898">
        <v>12</v>
      </c>
      <c r="C898" t="s">
        <v>156</v>
      </c>
      <c r="D898">
        <v>2</v>
      </c>
      <c r="H898" s="71" t="b">
        <f t="shared" si="32"/>
        <v>0</v>
      </c>
      <c r="J898">
        <v>0</v>
      </c>
    </row>
    <row r="899" spans="1:14">
      <c r="A899" t="s">
        <v>169</v>
      </c>
      <c r="B899">
        <v>12</v>
      </c>
      <c r="C899" t="s">
        <v>157</v>
      </c>
      <c r="D899">
        <v>0</v>
      </c>
      <c r="H899" s="71" t="b">
        <f t="shared" si="32"/>
        <v>0</v>
      </c>
      <c r="J899">
        <v>8</v>
      </c>
      <c r="N899" s="71" t="b">
        <f>IF(AND(ISBLANK(K899),ISBLANK(L899),ISBLANK(M899)),FALSE,TRUE)</f>
        <v>0</v>
      </c>
    </row>
    <row r="900" spans="1:14">
      <c r="A900" t="s">
        <v>169</v>
      </c>
      <c r="B900">
        <v>12</v>
      </c>
      <c r="C900" t="s">
        <v>158</v>
      </c>
      <c r="D900">
        <v>0</v>
      </c>
      <c r="H900" s="71" t="b">
        <f t="shared" si="32"/>
        <v>0</v>
      </c>
      <c r="J900">
        <v>8</v>
      </c>
      <c r="N900" s="71" t="b">
        <f>IF(AND(ISBLANK(K900),ISBLANK(L900),ISBLANK(M900)),FALSE,TRUE)</f>
        <v>0</v>
      </c>
    </row>
    <row r="901" spans="1:14">
      <c r="A901" t="s">
        <v>169</v>
      </c>
      <c r="B901">
        <v>12</v>
      </c>
      <c r="C901" t="s">
        <v>159</v>
      </c>
      <c r="D901">
        <v>4</v>
      </c>
      <c r="H901" s="71" t="b">
        <f t="shared" si="32"/>
        <v>0</v>
      </c>
      <c r="J901">
        <v>4</v>
      </c>
      <c r="N901" s="71" t="b">
        <f>IF(AND(ISBLANK(K901),ISBLANK(L901),ISBLANK(M901)),FALSE,TRUE)</f>
        <v>0</v>
      </c>
    </row>
    <row r="902" spans="1:14">
      <c r="A902" t="s">
        <v>169</v>
      </c>
      <c r="B902">
        <v>12</v>
      </c>
      <c r="C902" t="s">
        <v>160</v>
      </c>
      <c r="D902">
        <v>4</v>
      </c>
      <c r="H902" s="71" t="b">
        <f t="shared" si="32"/>
        <v>0</v>
      </c>
      <c r="J902">
        <v>8</v>
      </c>
      <c r="N902" s="71" t="b">
        <f>IF(AND(ISBLANK(K902),ISBLANK(L902),ISBLANK(M902)),FALSE,TRUE)</f>
        <v>0</v>
      </c>
    </row>
    <row r="903" spans="1:14">
      <c r="A903" t="s">
        <v>169</v>
      </c>
      <c r="B903">
        <v>12</v>
      </c>
      <c r="C903" t="s">
        <v>161</v>
      </c>
      <c r="D903">
        <v>1</v>
      </c>
      <c r="H903" s="71" t="b">
        <f t="shared" si="32"/>
        <v>0</v>
      </c>
      <c r="J903">
        <v>0</v>
      </c>
    </row>
    <row r="904" spans="1:14">
      <c r="A904" t="s">
        <v>169</v>
      </c>
      <c r="B904">
        <v>12</v>
      </c>
      <c r="C904" t="s">
        <v>162</v>
      </c>
      <c r="D904">
        <v>0</v>
      </c>
      <c r="H904" s="71" t="b">
        <f t="shared" si="32"/>
        <v>0</v>
      </c>
      <c r="J904">
        <v>0</v>
      </c>
    </row>
    <row r="905" spans="1:14">
      <c r="A905" t="s">
        <v>169</v>
      </c>
      <c r="B905">
        <v>12</v>
      </c>
      <c r="C905" t="s">
        <v>163</v>
      </c>
      <c r="D905">
        <v>0</v>
      </c>
      <c r="H905" s="71" t="b">
        <f t="shared" si="32"/>
        <v>0</v>
      </c>
      <c r="J905">
        <v>6</v>
      </c>
      <c r="N905" s="71" t="b">
        <f>IF(AND(ISBLANK(K905),ISBLANK(L905),ISBLANK(M905)),FALSE,TRUE)</f>
        <v>0</v>
      </c>
    </row>
    <row r="906" spans="1:14">
      <c r="A906" t="s">
        <v>170</v>
      </c>
      <c r="B906">
        <v>10</v>
      </c>
      <c r="C906" t="s">
        <v>35</v>
      </c>
      <c r="D906">
        <v>3</v>
      </c>
      <c r="H906" s="71" t="b">
        <f>IF(AND(ISBLANK(E906),ISBLANK(F906),ISBLANK(G906)),FALSE,TRUE)</f>
        <v>0</v>
      </c>
      <c r="J906">
        <v>0</v>
      </c>
    </row>
    <row r="907" spans="1:14">
      <c r="A907" t="s">
        <v>170</v>
      </c>
      <c r="B907">
        <v>10</v>
      </c>
      <c r="C907" t="s">
        <v>36</v>
      </c>
      <c r="D907">
        <v>2</v>
      </c>
      <c r="H907" s="71" t="b">
        <f t="shared" ref="H907:H970" si="34">IF(AND(ISBLANK(E907),ISBLANK(F907),ISBLANK(G907)),FALSE,TRUE)</f>
        <v>0</v>
      </c>
      <c r="J907">
        <v>1</v>
      </c>
      <c r="N907" s="71" t="b">
        <f>IF(AND(ISBLANK(K907),ISBLANK(L907),ISBLANK(M907)),FALSE,TRUE)</f>
        <v>0</v>
      </c>
    </row>
    <row r="908" spans="1:14">
      <c r="A908" t="s">
        <v>170</v>
      </c>
      <c r="B908">
        <v>10</v>
      </c>
      <c r="C908" t="s">
        <v>37</v>
      </c>
      <c r="D908">
        <v>1</v>
      </c>
      <c r="H908" s="71" t="b">
        <f t="shared" si="34"/>
        <v>0</v>
      </c>
      <c r="J908">
        <v>3</v>
      </c>
      <c r="N908" s="71" t="b">
        <f>IF(AND(ISBLANK(K908),ISBLANK(L908),ISBLANK(M908)),FALSE,TRUE)</f>
        <v>0</v>
      </c>
    </row>
    <row r="909" spans="1:14">
      <c r="A909" t="s">
        <v>170</v>
      </c>
      <c r="B909">
        <v>10</v>
      </c>
      <c r="C909" t="s">
        <v>38</v>
      </c>
      <c r="D909">
        <v>1</v>
      </c>
      <c r="H909" s="71" t="b">
        <f t="shared" si="34"/>
        <v>0</v>
      </c>
      <c r="J909">
        <v>0</v>
      </c>
    </row>
    <row r="910" spans="1:14">
      <c r="A910" t="s">
        <v>170</v>
      </c>
      <c r="B910">
        <v>10</v>
      </c>
      <c r="C910" t="s">
        <v>39</v>
      </c>
      <c r="D910">
        <v>1</v>
      </c>
      <c r="H910" s="71" t="b">
        <f t="shared" si="34"/>
        <v>0</v>
      </c>
      <c r="J910">
        <v>1</v>
      </c>
      <c r="N910" s="71" t="b">
        <f>IF(AND(ISBLANK(K910),ISBLANK(L910),ISBLANK(M910)),FALSE,TRUE)</f>
        <v>0</v>
      </c>
    </row>
    <row r="911" spans="1:14">
      <c r="A911" t="s">
        <v>170</v>
      </c>
      <c r="B911">
        <v>10</v>
      </c>
      <c r="C911" t="s">
        <v>40</v>
      </c>
      <c r="D911">
        <v>1</v>
      </c>
      <c r="H911" s="71" t="b">
        <f t="shared" si="34"/>
        <v>0</v>
      </c>
      <c r="J911">
        <v>1</v>
      </c>
      <c r="N911" s="71" t="b">
        <f>IF(AND(ISBLANK(K911),ISBLANK(L911),ISBLANK(M911)),FALSE,TRUE)</f>
        <v>0</v>
      </c>
    </row>
    <row r="912" spans="1:14">
      <c r="A912" t="s">
        <v>170</v>
      </c>
      <c r="B912">
        <v>10</v>
      </c>
      <c r="C912" t="s">
        <v>41</v>
      </c>
      <c r="D912">
        <v>1</v>
      </c>
      <c r="H912" s="71" t="b">
        <f t="shared" si="34"/>
        <v>0</v>
      </c>
      <c r="J912">
        <v>1</v>
      </c>
      <c r="N912" s="71" t="b">
        <f>IF(AND(ISBLANK(K912),ISBLANK(L912),ISBLANK(M912)),FALSE,TRUE)</f>
        <v>0</v>
      </c>
    </row>
    <row r="913" spans="1:14">
      <c r="A913" t="s">
        <v>170</v>
      </c>
      <c r="B913">
        <v>10</v>
      </c>
      <c r="C913" t="s">
        <v>42</v>
      </c>
      <c r="D913">
        <v>1</v>
      </c>
      <c r="H913" s="71" t="b">
        <f t="shared" si="34"/>
        <v>0</v>
      </c>
      <c r="J913">
        <v>0</v>
      </c>
    </row>
    <row r="914" spans="1:14">
      <c r="A914" t="s">
        <v>170</v>
      </c>
      <c r="B914">
        <v>10</v>
      </c>
      <c r="C914" t="s">
        <v>43</v>
      </c>
      <c r="D914">
        <v>1</v>
      </c>
      <c r="H914" s="71" t="b">
        <f t="shared" si="34"/>
        <v>0</v>
      </c>
      <c r="J914">
        <v>0</v>
      </c>
    </row>
    <row r="915" spans="1:14">
      <c r="A915" t="s">
        <v>170</v>
      </c>
      <c r="B915">
        <v>10</v>
      </c>
      <c r="C915" t="s">
        <v>44</v>
      </c>
      <c r="D915">
        <v>1</v>
      </c>
      <c r="H915" s="71" t="b">
        <f t="shared" si="34"/>
        <v>0</v>
      </c>
      <c r="J915">
        <v>2</v>
      </c>
      <c r="N915" s="71" t="b">
        <f>IF(AND(ISBLANK(K915),ISBLANK(L915),ISBLANK(M915)),FALSE,TRUE)</f>
        <v>0</v>
      </c>
    </row>
    <row r="916" spans="1:14">
      <c r="A916" t="s">
        <v>170</v>
      </c>
      <c r="B916">
        <v>10</v>
      </c>
      <c r="C916" t="s">
        <v>45</v>
      </c>
      <c r="D916">
        <v>1</v>
      </c>
      <c r="H916" s="71" t="b">
        <f t="shared" si="34"/>
        <v>0</v>
      </c>
      <c r="J916">
        <v>1</v>
      </c>
      <c r="N916" s="71" t="b">
        <f>IF(AND(ISBLANK(K916),ISBLANK(L916),ISBLANK(M916)),FALSE,TRUE)</f>
        <v>0</v>
      </c>
    </row>
    <row r="917" spans="1:14">
      <c r="A917" t="s">
        <v>170</v>
      </c>
      <c r="B917">
        <v>10</v>
      </c>
      <c r="C917" t="s">
        <v>46</v>
      </c>
      <c r="D917">
        <v>1</v>
      </c>
      <c r="H917" s="71" t="b">
        <f t="shared" si="34"/>
        <v>0</v>
      </c>
      <c r="J917">
        <v>1</v>
      </c>
      <c r="N917" s="71" t="b">
        <f>IF(AND(ISBLANK(K917),ISBLANK(L917),ISBLANK(M917)),FALSE,TRUE)</f>
        <v>0</v>
      </c>
    </row>
    <row r="918" spans="1:14">
      <c r="A918" t="s">
        <v>170</v>
      </c>
      <c r="B918">
        <v>10</v>
      </c>
      <c r="C918" t="s">
        <v>47</v>
      </c>
      <c r="D918">
        <v>3</v>
      </c>
      <c r="H918" s="71" t="b">
        <f t="shared" si="34"/>
        <v>0</v>
      </c>
      <c r="J918">
        <v>0</v>
      </c>
    </row>
    <row r="919" spans="1:14">
      <c r="A919" t="s">
        <v>170</v>
      </c>
      <c r="B919">
        <v>10</v>
      </c>
      <c r="C919" t="s">
        <v>48</v>
      </c>
      <c r="D919">
        <v>2</v>
      </c>
      <c r="H919" s="71" t="b">
        <f t="shared" si="34"/>
        <v>0</v>
      </c>
      <c r="J919">
        <v>2</v>
      </c>
      <c r="N919" s="71" t="b">
        <f>IF(AND(ISBLANK(K919),ISBLANK(L919),ISBLANK(M919)),FALSE,TRUE)</f>
        <v>0</v>
      </c>
    </row>
    <row r="920" spans="1:14">
      <c r="A920" t="s">
        <v>170</v>
      </c>
      <c r="B920">
        <v>10</v>
      </c>
      <c r="C920" t="s">
        <v>49</v>
      </c>
      <c r="D920">
        <v>4</v>
      </c>
      <c r="H920" s="71" t="b">
        <f t="shared" si="34"/>
        <v>0</v>
      </c>
      <c r="J920">
        <v>0</v>
      </c>
    </row>
    <row r="921" spans="1:14">
      <c r="A921" t="s">
        <v>170</v>
      </c>
      <c r="B921">
        <v>10</v>
      </c>
      <c r="C921" t="s">
        <v>50</v>
      </c>
      <c r="D921">
        <v>2</v>
      </c>
      <c r="H921" s="71" t="b">
        <f t="shared" si="34"/>
        <v>0</v>
      </c>
      <c r="J921">
        <v>0</v>
      </c>
    </row>
    <row r="922" spans="1:14">
      <c r="A922" t="s">
        <v>170</v>
      </c>
      <c r="B922">
        <v>10</v>
      </c>
      <c r="C922" t="s">
        <v>51</v>
      </c>
      <c r="D922">
        <v>0</v>
      </c>
      <c r="H922" s="71" t="b">
        <f t="shared" si="34"/>
        <v>0</v>
      </c>
      <c r="J922">
        <v>8</v>
      </c>
      <c r="N922" s="71" t="b">
        <f>IF(AND(ISBLANK(K922),ISBLANK(L922),ISBLANK(M922)),FALSE,TRUE)</f>
        <v>0</v>
      </c>
    </row>
    <row r="923" spans="1:14">
      <c r="A923" t="s">
        <v>170</v>
      </c>
      <c r="B923">
        <v>10</v>
      </c>
      <c r="C923" t="s">
        <v>52</v>
      </c>
      <c r="D923">
        <v>0</v>
      </c>
      <c r="H923" s="71" t="b">
        <f t="shared" si="34"/>
        <v>0</v>
      </c>
      <c r="J923">
        <v>8</v>
      </c>
      <c r="N923" s="71" t="b">
        <f>IF(AND(ISBLANK(K923),ISBLANK(L923),ISBLANK(M923)),FALSE,TRUE)</f>
        <v>0</v>
      </c>
    </row>
    <row r="924" spans="1:14">
      <c r="A924" t="s">
        <v>170</v>
      </c>
      <c r="B924">
        <v>10</v>
      </c>
      <c r="C924" t="s">
        <v>53</v>
      </c>
      <c r="D924">
        <v>2</v>
      </c>
      <c r="H924" s="71" t="b">
        <f t="shared" si="34"/>
        <v>0</v>
      </c>
      <c r="J924">
        <v>0</v>
      </c>
    </row>
    <row r="925" spans="1:14">
      <c r="A925" t="s">
        <v>170</v>
      </c>
      <c r="B925">
        <v>10</v>
      </c>
      <c r="C925" t="s">
        <v>54</v>
      </c>
      <c r="D925">
        <v>1</v>
      </c>
      <c r="H925" s="71" t="b">
        <f t="shared" si="34"/>
        <v>0</v>
      </c>
      <c r="J925">
        <v>2</v>
      </c>
      <c r="N925" s="71" t="b">
        <f>IF(AND(ISBLANK(K925),ISBLANK(L925),ISBLANK(M925)),FALSE,TRUE)</f>
        <v>0</v>
      </c>
    </row>
    <row r="926" spans="1:14">
      <c r="A926" t="s">
        <v>170</v>
      </c>
      <c r="B926">
        <v>10</v>
      </c>
      <c r="C926" t="s">
        <v>55</v>
      </c>
      <c r="D926">
        <v>1</v>
      </c>
      <c r="H926" s="71" t="b">
        <f t="shared" si="34"/>
        <v>0</v>
      </c>
      <c r="J926">
        <v>2</v>
      </c>
      <c r="N926" s="71" t="b">
        <f>IF(AND(ISBLANK(K926),ISBLANK(L926),ISBLANK(M926)),FALSE,TRUE)</f>
        <v>0</v>
      </c>
    </row>
    <row r="927" spans="1:14">
      <c r="A927" t="s">
        <v>170</v>
      </c>
      <c r="B927">
        <v>10</v>
      </c>
      <c r="C927" t="s">
        <v>56</v>
      </c>
      <c r="D927">
        <v>1</v>
      </c>
      <c r="H927" s="71" t="b">
        <f t="shared" si="34"/>
        <v>0</v>
      </c>
      <c r="J927">
        <v>0</v>
      </c>
    </row>
    <row r="928" spans="1:14">
      <c r="A928" t="s">
        <v>170</v>
      </c>
      <c r="B928">
        <v>10</v>
      </c>
      <c r="C928" t="s">
        <v>57</v>
      </c>
      <c r="D928">
        <v>1</v>
      </c>
      <c r="H928" s="71" t="b">
        <f t="shared" si="34"/>
        <v>0</v>
      </c>
      <c r="J928">
        <v>0</v>
      </c>
    </row>
    <row r="929" spans="1:14">
      <c r="A929" t="s">
        <v>170</v>
      </c>
      <c r="B929">
        <v>10</v>
      </c>
      <c r="C929" t="s">
        <v>58</v>
      </c>
      <c r="D929">
        <v>1</v>
      </c>
      <c r="H929" s="71" t="b">
        <f t="shared" si="34"/>
        <v>0</v>
      </c>
      <c r="J929">
        <v>2</v>
      </c>
      <c r="N929" s="71" t="b">
        <f>IF(AND(ISBLANK(K929),ISBLANK(L929),ISBLANK(M929)),FALSE,TRUE)</f>
        <v>0</v>
      </c>
    </row>
    <row r="930" spans="1:14">
      <c r="A930" t="s">
        <v>170</v>
      </c>
      <c r="B930">
        <v>10</v>
      </c>
      <c r="C930" t="s">
        <v>59</v>
      </c>
      <c r="D930">
        <v>1</v>
      </c>
      <c r="H930" s="71" t="b">
        <f t="shared" si="34"/>
        <v>0</v>
      </c>
      <c r="J930">
        <v>0</v>
      </c>
    </row>
    <row r="931" spans="1:14">
      <c r="A931" t="s">
        <v>170</v>
      </c>
      <c r="B931">
        <v>10</v>
      </c>
      <c r="C931" t="s">
        <v>60</v>
      </c>
      <c r="D931">
        <v>1</v>
      </c>
      <c r="H931" s="71" t="b">
        <f t="shared" si="34"/>
        <v>0</v>
      </c>
      <c r="J931">
        <v>2</v>
      </c>
      <c r="N931" s="71" t="b">
        <f>IF(AND(ISBLANK(K931),ISBLANK(L931),ISBLANK(M931)),FALSE,TRUE)</f>
        <v>0</v>
      </c>
    </row>
    <row r="932" spans="1:14">
      <c r="A932" t="s">
        <v>170</v>
      </c>
      <c r="B932">
        <v>10</v>
      </c>
      <c r="C932" t="s">
        <v>61</v>
      </c>
      <c r="D932">
        <v>1</v>
      </c>
      <c r="H932" s="71" t="b">
        <f t="shared" si="34"/>
        <v>0</v>
      </c>
      <c r="J932">
        <v>2</v>
      </c>
      <c r="N932" s="71" t="b">
        <f>IF(AND(ISBLANK(K932),ISBLANK(L932),ISBLANK(M932)),FALSE,TRUE)</f>
        <v>0</v>
      </c>
    </row>
    <row r="933" spans="1:14">
      <c r="A933" t="s">
        <v>170</v>
      </c>
      <c r="B933">
        <v>10</v>
      </c>
      <c r="C933" t="s">
        <v>62</v>
      </c>
      <c r="D933">
        <v>1</v>
      </c>
      <c r="H933" s="71" t="b">
        <f t="shared" si="34"/>
        <v>0</v>
      </c>
      <c r="J933">
        <v>2</v>
      </c>
      <c r="N933" s="71" t="b">
        <f>IF(AND(ISBLANK(K933),ISBLANK(L933),ISBLANK(M933)),FALSE,TRUE)</f>
        <v>0</v>
      </c>
    </row>
    <row r="934" spans="1:14">
      <c r="A934" t="s">
        <v>170</v>
      </c>
      <c r="B934">
        <v>10</v>
      </c>
      <c r="C934" t="s">
        <v>63</v>
      </c>
      <c r="D934">
        <v>1</v>
      </c>
      <c r="H934" s="71" t="b">
        <f t="shared" si="34"/>
        <v>0</v>
      </c>
      <c r="J934">
        <v>0</v>
      </c>
    </row>
    <row r="935" spans="1:14">
      <c r="A935" t="s">
        <v>170</v>
      </c>
      <c r="B935">
        <v>10</v>
      </c>
      <c r="C935" t="s">
        <v>64</v>
      </c>
      <c r="D935">
        <v>1</v>
      </c>
      <c r="H935" s="71" t="b">
        <f t="shared" si="34"/>
        <v>0</v>
      </c>
      <c r="J935">
        <v>3</v>
      </c>
      <c r="N935" s="71" t="b">
        <f>IF(AND(ISBLANK(K935),ISBLANK(L935),ISBLANK(M935)),FALSE,TRUE)</f>
        <v>0</v>
      </c>
    </row>
    <row r="936" spans="1:14">
      <c r="A936" t="s">
        <v>170</v>
      </c>
      <c r="B936">
        <v>10</v>
      </c>
      <c r="C936" t="s">
        <v>65</v>
      </c>
      <c r="D936">
        <v>4</v>
      </c>
      <c r="H936" s="71" t="b">
        <f t="shared" si="34"/>
        <v>0</v>
      </c>
      <c r="J936">
        <v>4</v>
      </c>
      <c r="N936" s="71" t="b">
        <f>IF(AND(ISBLANK(K936),ISBLANK(L936),ISBLANK(M936)),FALSE,TRUE)</f>
        <v>0</v>
      </c>
    </row>
    <row r="937" spans="1:14">
      <c r="A937" t="s">
        <v>170</v>
      </c>
      <c r="B937">
        <v>10</v>
      </c>
      <c r="C937" t="s">
        <v>66</v>
      </c>
      <c r="D937">
        <v>3</v>
      </c>
      <c r="H937" s="71" t="b">
        <f t="shared" si="34"/>
        <v>0</v>
      </c>
      <c r="J937">
        <v>0</v>
      </c>
    </row>
    <row r="938" spans="1:14">
      <c r="A938" t="s">
        <v>170</v>
      </c>
      <c r="B938">
        <v>10</v>
      </c>
      <c r="C938" t="s">
        <v>67</v>
      </c>
      <c r="D938">
        <v>2</v>
      </c>
      <c r="H938" s="71" t="b">
        <f t="shared" si="34"/>
        <v>0</v>
      </c>
      <c r="J938">
        <v>4</v>
      </c>
      <c r="N938" s="71" t="b">
        <f>IF(AND(ISBLANK(K938),ISBLANK(L938),ISBLANK(M938)),FALSE,TRUE)</f>
        <v>0</v>
      </c>
    </row>
    <row r="939" spans="1:14">
      <c r="A939" t="s">
        <v>170</v>
      </c>
      <c r="B939">
        <v>10</v>
      </c>
      <c r="C939" t="s">
        <v>68</v>
      </c>
      <c r="D939">
        <v>4</v>
      </c>
      <c r="H939" s="71" t="b">
        <f t="shared" si="34"/>
        <v>0</v>
      </c>
      <c r="J939">
        <v>4</v>
      </c>
      <c r="N939" s="71" t="b">
        <f>IF(AND(ISBLANK(K939),ISBLANK(L939),ISBLANK(M939)),FALSE,TRUE)</f>
        <v>0</v>
      </c>
    </row>
    <row r="940" spans="1:14">
      <c r="A940" t="s">
        <v>170</v>
      </c>
      <c r="B940">
        <v>10</v>
      </c>
      <c r="C940" t="s">
        <v>69</v>
      </c>
      <c r="D940">
        <v>2</v>
      </c>
      <c r="H940" s="71" t="b">
        <f t="shared" si="34"/>
        <v>0</v>
      </c>
      <c r="J940">
        <v>2</v>
      </c>
      <c r="N940" s="71" t="b">
        <f>IF(AND(ISBLANK(K940),ISBLANK(L940),ISBLANK(M940)),FALSE,TRUE)</f>
        <v>0</v>
      </c>
    </row>
    <row r="941" spans="1:14">
      <c r="A941" t="s">
        <v>170</v>
      </c>
      <c r="B941">
        <v>10</v>
      </c>
      <c r="C941" t="s">
        <v>70</v>
      </c>
      <c r="D941">
        <v>2</v>
      </c>
      <c r="H941" s="71" t="b">
        <f t="shared" si="34"/>
        <v>0</v>
      </c>
      <c r="J941">
        <v>3</v>
      </c>
      <c r="N941" s="71" t="b">
        <f>IF(AND(ISBLANK(K941),ISBLANK(L941),ISBLANK(M941)),FALSE,TRUE)</f>
        <v>0</v>
      </c>
    </row>
    <row r="942" spans="1:14">
      <c r="A942" t="s">
        <v>170</v>
      </c>
      <c r="B942">
        <v>10</v>
      </c>
      <c r="C942" t="s">
        <v>71</v>
      </c>
      <c r="D942">
        <v>1</v>
      </c>
      <c r="H942" s="71" t="b">
        <f t="shared" si="34"/>
        <v>0</v>
      </c>
      <c r="J942">
        <v>0</v>
      </c>
    </row>
    <row r="943" spans="1:14">
      <c r="A943" t="s">
        <v>170</v>
      </c>
      <c r="B943">
        <v>10</v>
      </c>
      <c r="C943" t="s">
        <v>72</v>
      </c>
      <c r="D943">
        <v>1</v>
      </c>
      <c r="H943" s="71" t="b">
        <f t="shared" si="34"/>
        <v>0</v>
      </c>
      <c r="J943">
        <v>4</v>
      </c>
      <c r="N943" s="71" t="b">
        <f>IF(AND(ISBLANK(K943),ISBLANK(L943),ISBLANK(M943)),FALSE,TRUE)</f>
        <v>0</v>
      </c>
    </row>
    <row r="944" spans="1:14">
      <c r="A944" t="s">
        <v>170</v>
      </c>
      <c r="B944">
        <v>10</v>
      </c>
      <c r="C944" t="s">
        <v>73</v>
      </c>
      <c r="D944">
        <v>2</v>
      </c>
      <c r="H944" s="71" t="b">
        <f t="shared" si="34"/>
        <v>0</v>
      </c>
      <c r="J944">
        <v>3</v>
      </c>
      <c r="N944" s="71" t="b">
        <f>IF(AND(ISBLANK(K944),ISBLANK(L944),ISBLANK(M944)),FALSE,TRUE)</f>
        <v>0</v>
      </c>
    </row>
    <row r="945" spans="1:14">
      <c r="A945" t="s">
        <v>170</v>
      </c>
      <c r="B945">
        <v>10</v>
      </c>
      <c r="C945" t="s">
        <v>74</v>
      </c>
      <c r="D945">
        <v>2</v>
      </c>
      <c r="H945" s="71" t="b">
        <f t="shared" si="34"/>
        <v>0</v>
      </c>
      <c r="J945">
        <v>0</v>
      </c>
    </row>
    <row r="946" spans="1:14">
      <c r="A946" t="s">
        <v>170</v>
      </c>
      <c r="B946">
        <v>10</v>
      </c>
      <c r="C946" t="s">
        <v>75</v>
      </c>
      <c r="D946">
        <v>2</v>
      </c>
      <c r="H946" s="71" t="b">
        <f t="shared" si="34"/>
        <v>0</v>
      </c>
      <c r="J946">
        <v>0</v>
      </c>
    </row>
    <row r="947" spans="1:14">
      <c r="A947" t="s">
        <v>170</v>
      </c>
      <c r="B947">
        <v>10</v>
      </c>
      <c r="C947" t="s">
        <v>76</v>
      </c>
      <c r="D947">
        <v>2</v>
      </c>
      <c r="H947" s="71" t="b">
        <f t="shared" si="34"/>
        <v>0</v>
      </c>
      <c r="J947">
        <v>0</v>
      </c>
    </row>
    <row r="948" spans="1:14">
      <c r="A948" t="s">
        <v>170</v>
      </c>
      <c r="B948">
        <v>10</v>
      </c>
      <c r="C948" t="s">
        <v>77</v>
      </c>
      <c r="D948">
        <v>2</v>
      </c>
      <c r="H948" s="71" t="b">
        <f t="shared" si="34"/>
        <v>0</v>
      </c>
      <c r="J948">
        <v>0</v>
      </c>
    </row>
    <row r="949" spans="1:14">
      <c r="A949" t="s">
        <v>170</v>
      </c>
      <c r="B949">
        <v>10</v>
      </c>
      <c r="C949" t="s">
        <v>78</v>
      </c>
      <c r="D949">
        <v>2</v>
      </c>
      <c r="H949" s="71" t="b">
        <f t="shared" si="34"/>
        <v>0</v>
      </c>
      <c r="J949">
        <v>0</v>
      </c>
    </row>
    <row r="950" spans="1:14">
      <c r="A950" t="s">
        <v>170</v>
      </c>
      <c r="B950">
        <v>10</v>
      </c>
      <c r="C950" t="s">
        <v>79</v>
      </c>
      <c r="D950">
        <v>2</v>
      </c>
      <c r="H950" s="71" t="b">
        <f t="shared" si="34"/>
        <v>0</v>
      </c>
      <c r="J950">
        <v>0</v>
      </c>
    </row>
    <row r="951" spans="1:14">
      <c r="A951" t="s">
        <v>170</v>
      </c>
      <c r="B951">
        <v>11</v>
      </c>
      <c r="C951" t="s">
        <v>80</v>
      </c>
      <c r="D951">
        <v>1</v>
      </c>
      <c r="H951" s="71" t="b">
        <f t="shared" si="34"/>
        <v>0</v>
      </c>
      <c r="J951">
        <v>2</v>
      </c>
      <c r="N951" s="71" t="b">
        <f t="shared" ref="N951:N960" si="35">IF(AND(ISBLANK(K951),ISBLANK(L951),ISBLANK(M951)),FALSE,TRUE)</f>
        <v>0</v>
      </c>
    </row>
    <row r="952" spans="1:14">
      <c r="A952" t="s">
        <v>170</v>
      </c>
      <c r="B952">
        <v>11</v>
      </c>
      <c r="C952" t="s">
        <v>81</v>
      </c>
      <c r="D952">
        <v>2</v>
      </c>
      <c r="H952" s="71" t="b">
        <f t="shared" si="34"/>
        <v>0</v>
      </c>
      <c r="J952">
        <v>2</v>
      </c>
      <c r="N952" s="71" t="b">
        <f t="shared" si="35"/>
        <v>0</v>
      </c>
    </row>
    <row r="953" spans="1:14">
      <c r="A953" t="s">
        <v>170</v>
      </c>
      <c r="B953">
        <v>11</v>
      </c>
      <c r="C953" t="s">
        <v>82</v>
      </c>
      <c r="D953">
        <v>2</v>
      </c>
      <c r="H953" s="71" t="b">
        <f t="shared" si="34"/>
        <v>0</v>
      </c>
      <c r="J953">
        <v>2</v>
      </c>
      <c r="N953" s="71" t="b">
        <f t="shared" si="35"/>
        <v>0</v>
      </c>
    </row>
    <row r="954" spans="1:14">
      <c r="A954" t="s">
        <v>170</v>
      </c>
      <c r="B954">
        <v>11</v>
      </c>
      <c r="C954" t="s">
        <v>83</v>
      </c>
      <c r="D954">
        <v>2</v>
      </c>
      <c r="H954" s="71" t="b">
        <f t="shared" si="34"/>
        <v>0</v>
      </c>
      <c r="J954">
        <v>2</v>
      </c>
      <c r="N954" s="71" t="b">
        <f t="shared" si="35"/>
        <v>0</v>
      </c>
    </row>
    <row r="955" spans="1:14">
      <c r="A955" t="s">
        <v>170</v>
      </c>
      <c r="B955">
        <v>11</v>
      </c>
      <c r="C955" t="s">
        <v>84</v>
      </c>
      <c r="D955">
        <v>2</v>
      </c>
      <c r="H955" s="71" t="b">
        <f t="shared" si="34"/>
        <v>0</v>
      </c>
      <c r="J955">
        <v>2</v>
      </c>
      <c r="N955" s="71" t="b">
        <f t="shared" si="35"/>
        <v>0</v>
      </c>
    </row>
    <row r="956" spans="1:14">
      <c r="A956" t="s">
        <v>170</v>
      </c>
      <c r="B956">
        <v>11</v>
      </c>
      <c r="C956" t="s">
        <v>85</v>
      </c>
      <c r="D956">
        <v>1</v>
      </c>
      <c r="H956" s="71" t="b">
        <f t="shared" si="34"/>
        <v>0</v>
      </c>
      <c r="J956">
        <v>2</v>
      </c>
      <c r="N956" s="71" t="b">
        <f t="shared" si="35"/>
        <v>0</v>
      </c>
    </row>
    <row r="957" spans="1:14">
      <c r="A957" t="s">
        <v>170</v>
      </c>
      <c r="B957">
        <v>11</v>
      </c>
      <c r="C957" t="s">
        <v>86</v>
      </c>
      <c r="D957">
        <v>1</v>
      </c>
      <c r="H957" s="71" t="b">
        <f t="shared" si="34"/>
        <v>0</v>
      </c>
      <c r="J957">
        <v>2</v>
      </c>
      <c r="N957" s="71" t="b">
        <f t="shared" si="35"/>
        <v>0</v>
      </c>
    </row>
    <row r="958" spans="1:14">
      <c r="A958" t="s">
        <v>170</v>
      </c>
      <c r="B958">
        <v>11</v>
      </c>
      <c r="C958" t="s">
        <v>87</v>
      </c>
      <c r="D958">
        <v>1</v>
      </c>
      <c r="H958" s="71" t="b">
        <f t="shared" si="34"/>
        <v>0</v>
      </c>
      <c r="J958">
        <v>5</v>
      </c>
      <c r="N958" s="71" t="b">
        <f t="shared" si="35"/>
        <v>0</v>
      </c>
    </row>
    <row r="959" spans="1:14">
      <c r="A959" t="s">
        <v>170</v>
      </c>
      <c r="B959">
        <v>11</v>
      </c>
      <c r="C959" t="s">
        <v>88</v>
      </c>
      <c r="D959">
        <v>1</v>
      </c>
      <c r="H959" s="71" t="b">
        <f t="shared" si="34"/>
        <v>0</v>
      </c>
      <c r="J959">
        <v>2</v>
      </c>
      <c r="N959" s="71" t="b">
        <f t="shared" si="35"/>
        <v>0</v>
      </c>
    </row>
    <row r="960" spans="1:14">
      <c r="A960" t="s">
        <v>170</v>
      </c>
      <c r="B960">
        <v>11</v>
      </c>
      <c r="C960" t="s">
        <v>89</v>
      </c>
      <c r="D960">
        <v>2</v>
      </c>
      <c r="H960" s="71" t="b">
        <f t="shared" si="34"/>
        <v>0</v>
      </c>
      <c r="J960">
        <v>2</v>
      </c>
      <c r="N960" s="71" t="b">
        <f t="shared" si="35"/>
        <v>0</v>
      </c>
    </row>
    <row r="961" spans="1:14">
      <c r="A961" t="s">
        <v>170</v>
      </c>
      <c r="B961">
        <v>11</v>
      </c>
      <c r="C961" t="s">
        <v>90</v>
      </c>
      <c r="D961">
        <v>2</v>
      </c>
      <c r="H961" s="71" t="b">
        <f t="shared" si="34"/>
        <v>0</v>
      </c>
      <c r="J961">
        <v>0</v>
      </c>
    </row>
    <row r="962" spans="1:14">
      <c r="A962" t="s">
        <v>170</v>
      </c>
      <c r="B962">
        <v>11</v>
      </c>
      <c r="C962" t="s">
        <v>91</v>
      </c>
      <c r="D962">
        <v>2</v>
      </c>
      <c r="H962" s="71" t="b">
        <f t="shared" si="34"/>
        <v>0</v>
      </c>
      <c r="J962">
        <v>1</v>
      </c>
      <c r="N962" s="71" t="b">
        <f>IF(AND(ISBLANK(K962),ISBLANK(L962),ISBLANK(M962)),FALSE,TRUE)</f>
        <v>0</v>
      </c>
    </row>
    <row r="963" spans="1:14">
      <c r="A963" t="s">
        <v>170</v>
      </c>
      <c r="B963">
        <v>11</v>
      </c>
      <c r="C963" t="s">
        <v>92</v>
      </c>
      <c r="D963">
        <v>1</v>
      </c>
      <c r="H963" s="71" t="b">
        <f t="shared" si="34"/>
        <v>0</v>
      </c>
      <c r="J963">
        <v>0</v>
      </c>
    </row>
    <row r="964" spans="1:14">
      <c r="A964" t="s">
        <v>170</v>
      </c>
      <c r="B964">
        <v>11</v>
      </c>
      <c r="C964" t="s">
        <v>93</v>
      </c>
      <c r="D964">
        <v>1</v>
      </c>
      <c r="H964" s="71" t="b">
        <f t="shared" si="34"/>
        <v>0</v>
      </c>
      <c r="J964">
        <v>0</v>
      </c>
    </row>
    <row r="965" spans="1:14">
      <c r="A965" t="s">
        <v>170</v>
      </c>
      <c r="B965">
        <v>11</v>
      </c>
      <c r="C965" t="s">
        <v>94</v>
      </c>
      <c r="D965">
        <v>1</v>
      </c>
      <c r="H965" s="71" t="b">
        <f t="shared" si="34"/>
        <v>0</v>
      </c>
      <c r="J965">
        <v>3</v>
      </c>
      <c r="N965" s="71" t="b">
        <f t="shared" ref="N965:N984" si="36">IF(AND(ISBLANK(K965),ISBLANK(L965),ISBLANK(M965)),FALSE,TRUE)</f>
        <v>0</v>
      </c>
    </row>
    <row r="966" spans="1:14">
      <c r="A966" t="s">
        <v>170</v>
      </c>
      <c r="B966">
        <v>11</v>
      </c>
      <c r="C966" t="s">
        <v>95</v>
      </c>
      <c r="D966">
        <v>1</v>
      </c>
      <c r="H966" s="71" t="b">
        <f t="shared" si="34"/>
        <v>0</v>
      </c>
      <c r="J966">
        <v>2</v>
      </c>
      <c r="N966" s="71" t="b">
        <f t="shared" si="36"/>
        <v>0</v>
      </c>
    </row>
    <row r="967" spans="1:14">
      <c r="A967" t="s">
        <v>170</v>
      </c>
      <c r="B967">
        <v>11</v>
      </c>
      <c r="C967" t="s">
        <v>96</v>
      </c>
      <c r="D967">
        <v>1</v>
      </c>
      <c r="H967" s="71" t="b">
        <f t="shared" si="34"/>
        <v>0</v>
      </c>
      <c r="J967">
        <v>2</v>
      </c>
      <c r="N967" s="71" t="b">
        <f t="shared" si="36"/>
        <v>0</v>
      </c>
    </row>
    <row r="968" spans="1:14">
      <c r="A968" t="s">
        <v>170</v>
      </c>
      <c r="B968">
        <v>11</v>
      </c>
      <c r="C968" t="s">
        <v>97</v>
      </c>
      <c r="D968">
        <v>1</v>
      </c>
      <c r="H968" s="71" t="b">
        <f t="shared" si="34"/>
        <v>0</v>
      </c>
      <c r="J968">
        <v>2</v>
      </c>
      <c r="N968" s="71" t="b">
        <f t="shared" si="36"/>
        <v>0</v>
      </c>
    </row>
    <row r="969" spans="1:14">
      <c r="A969" t="s">
        <v>170</v>
      </c>
      <c r="B969">
        <v>11</v>
      </c>
      <c r="C969" t="s">
        <v>98</v>
      </c>
      <c r="D969">
        <v>1</v>
      </c>
      <c r="H969" s="71" t="b">
        <f t="shared" si="34"/>
        <v>0</v>
      </c>
      <c r="J969">
        <v>1</v>
      </c>
      <c r="N969" s="71" t="b">
        <f t="shared" si="36"/>
        <v>0</v>
      </c>
    </row>
    <row r="970" spans="1:14">
      <c r="A970" t="s">
        <v>170</v>
      </c>
      <c r="B970">
        <v>11</v>
      </c>
      <c r="C970" t="s">
        <v>99</v>
      </c>
      <c r="D970">
        <v>1</v>
      </c>
      <c r="H970" s="71" t="b">
        <f t="shared" si="34"/>
        <v>0</v>
      </c>
      <c r="J970">
        <v>1</v>
      </c>
      <c r="N970" s="71" t="b">
        <f t="shared" si="36"/>
        <v>0</v>
      </c>
    </row>
    <row r="971" spans="1:14">
      <c r="A971" t="s">
        <v>170</v>
      </c>
      <c r="B971">
        <v>11</v>
      </c>
      <c r="C971" t="s">
        <v>100</v>
      </c>
      <c r="D971">
        <v>1</v>
      </c>
      <c r="H971" s="71" t="b">
        <f t="shared" ref="H971:H1034" si="37">IF(AND(ISBLANK(E971),ISBLANK(F971),ISBLANK(G971)),FALSE,TRUE)</f>
        <v>0</v>
      </c>
      <c r="J971">
        <v>1</v>
      </c>
      <c r="N971" s="71" t="b">
        <f t="shared" si="36"/>
        <v>0</v>
      </c>
    </row>
    <row r="972" spans="1:14">
      <c r="A972" t="s">
        <v>170</v>
      </c>
      <c r="B972">
        <v>11</v>
      </c>
      <c r="C972" t="s">
        <v>101</v>
      </c>
      <c r="D972">
        <v>1</v>
      </c>
      <c r="H972" s="71" t="b">
        <f t="shared" si="37"/>
        <v>0</v>
      </c>
      <c r="J972">
        <v>2</v>
      </c>
      <c r="N972" s="71" t="b">
        <f t="shared" si="36"/>
        <v>0</v>
      </c>
    </row>
    <row r="973" spans="1:14">
      <c r="A973" t="s">
        <v>170</v>
      </c>
      <c r="B973">
        <v>11</v>
      </c>
      <c r="C973" t="s">
        <v>102</v>
      </c>
      <c r="D973">
        <v>1</v>
      </c>
      <c r="H973" s="71" t="b">
        <f t="shared" si="37"/>
        <v>0</v>
      </c>
      <c r="J973">
        <v>2</v>
      </c>
      <c r="N973" s="71" t="b">
        <f t="shared" si="36"/>
        <v>0</v>
      </c>
    </row>
    <row r="974" spans="1:14">
      <c r="A974" t="s">
        <v>170</v>
      </c>
      <c r="B974">
        <v>11</v>
      </c>
      <c r="C974" t="s">
        <v>103</v>
      </c>
      <c r="D974">
        <v>1</v>
      </c>
      <c r="H974" s="71" t="b">
        <f t="shared" si="37"/>
        <v>0</v>
      </c>
      <c r="J974">
        <v>1</v>
      </c>
      <c r="N974" s="71" t="b">
        <f t="shared" si="36"/>
        <v>0</v>
      </c>
    </row>
    <row r="975" spans="1:14">
      <c r="A975" t="s">
        <v>170</v>
      </c>
      <c r="B975">
        <v>11</v>
      </c>
      <c r="C975" t="s">
        <v>104</v>
      </c>
      <c r="D975">
        <v>1</v>
      </c>
      <c r="H975" s="71" t="b">
        <f t="shared" si="37"/>
        <v>0</v>
      </c>
      <c r="J975">
        <v>2</v>
      </c>
      <c r="N975" s="71" t="b">
        <f t="shared" si="36"/>
        <v>0</v>
      </c>
    </row>
    <row r="976" spans="1:14">
      <c r="A976" t="s">
        <v>170</v>
      </c>
      <c r="B976">
        <v>11</v>
      </c>
      <c r="C976" t="s">
        <v>105</v>
      </c>
      <c r="D976">
        <v>1</v>
      </c>
      <c r="H976" s="71" t="b">
        <f t="shared" si="37"/>
        <v>0</v>
      </c>
      <c r="J976">
        <v>2</v>
      </c>
      <c r="N976" s="71" t="b">
        <f t="shared" si="36"/>
        <v>0</v>
      </c>
    </row>
    <row r="977" spans="1:14">
      <c r="A977" t="s">
        <v>170</v>
      </c>
      <c r="B977">
        <v>11</v>
      </c>
      <c r="C977" t="s">
        <v>106</v>
      </c>
      <c r="D977">
        <v>2</v>
      </c>
      <c r="H977" s="71" t="b">
        <f t="shared" si="37"/>
        <v>0</v>
      </c>
      <c r="J977">
        <v>3</v>
      </c>
      <c r="N977" s="71" t="b">
        <f t="shared" si="36"/>
        <v>0</v>
      </c>
    </row>
    <row r="978" spans="1:14">
      <c r="A978" t="s">
        <v>170</v>
      </c>
      <c r="B978">
        <v>11</v>
      </c>
      <c r="C978" t="s">
        <v>107</v>
      </c>
      <c r="D978">
        <v>2</v>
      </c>
      <c r="H978" s="71" t="b">
        <f t="shared" si="37"/>
        <v>0</v>
      </c>
      <c r="J978">
        <v>3</v>
      </c>
      <c r="N978" s="71" t="b">
        <f t="shared" si="36"/>
        <v>0</v>
      </c>
    </row>
    <row r="979" spans="1:14">
      <c r="A979" t="s">
        <v>170</v>
      </c>
      <c r="B979">
        <v>11</v>
      </c>
      <c r="C979" t="s">
        <v>108</v>
      </c>
      <c r="D979">
        <v>1</v>
      </c>
      <c r="H979" s="71" t="b">
        <f t="shared" si="37"/>
        <v>0</v>
      </c>
      <c r="J979">
        <v>3</v>
      </c>
      <c r="N979" s="71" t="b">
        <f t="shared" si="36"/>
        <v>0</v>
      </c>
    </row>
    <row r="980" spans="1:14">
      <c r="A980" t="s">
        <v>170</v>
      </c>
      <c r="B980">
        <v>11</v>
      </c>
      <c r="C980" t="s">
        <v>109</v>
      </c>
      <c r="D980">
        <v>2</v>
      </c>
      <c r="H980" s="71" t="b">
        <f t="shared" si="37"/>
        <v>0</v>
      </c>
      <c r="J980">
        <v>3</v>
      </c>
      <c r="N980" s="71" t="b">
        <f t="shared" si="36"/>
        <v>0</v>
      </c>
    </row>
    <row r="981" spans="1:14">
      <c r="A981" t="s">
        <v>170</v>
      </c>
      <c r="B981">
        <v>11</v>
      </c>
      <c r="C981" t="s">
        <v>110</v>
      </c>
      <c r="D981">
        <v>2</v>
      </c>
      <c r="H981" s="71" t="b">
        <f t="shared" si="37"/>
        <v>0</v>
      </c>
      <c r="J981">
        <v>3</v>
      </c>
      <c r="N981" s="71" t="b">
        <f t="shared" si="36"/>
        <v>0</v>
      </c>
    </row>
    <row r="982" spans="1:14">
      <c r="A982" t="s">
        <v>170</v>
      </c>
      <c r="B982">
        <v>11</v>
      </c>
      <c r="C982" t="s">
        <v>111</v>
      </c>
      <c r="D982">
        <v>2</v>
      </c>
      <c r="H982" s="71" t="b">
        <f t="shared" si="37"/>
        <v>0</v>
      </c>
      <c r="J982">
        <v>3</v>
      </c>
      <c r="N982" s="71" t="b">
        <f t="shared" si="36"/>
        <v>0</v>
      </c>
    </row>
    <row r="983" spans="1:14">
      <c r="A983" t="s">
        <v>170</v>
      </c>
      <c r="B983">
        <v>11</v>
      </c>
      <c r="C983" t="s">
        <v>112</v>
      </c>
      <c r="D983">
        <v>2</v>
      </c>
      <c r="H983" s="71" t="b">
        <f t="shared" si="37"/>
        <v>0</v>
      </c>
      <c r="J983">
        <v>3</v>
      </c>
      <c r="N983" s="71" t="b">
        <f t="shared" si="36"/>
        <v>0</v>
      </c>
    </row>
    <row r="984" spans="1:14">
      <c r="A984" t="s">
        <v>170</v>
      </c>
      <c r="B984">
        <v>11</v>
      </c>
      <c r="C984" t="s">
        <v>113</v>
      </c>
      <c r="D984">
        <v>2</v>
      </c>
      <c r="H984" s="71" t="b">
        <f t="shared" si="37"/>
        <v>0</v>
      </c>
      <c r="J984">
        <v>2</v>
      </c>
      <c r="N984" s="71" t="b">
        <f t="shared" si="36"/>
        <v>0</v>
      </c>
    </row>
    <row r="985" spans="1:14">
      <c r="A985" t="s">
        <v>170</v>
      </c>
      <c r="B985">
        <v>11</v>
      </c>
      <c r="C985" t="s">
        <v>114</v>
      </c>
      <c r="D985">
        <v>2</v>
      </c>
      <c r="H985" s="71" t="b">
        <f t="shared" si="37"/>
        <v>0</v>
      </c>
      <c r="J985">
        <v>0</v>
      </c>
    </row>
    <row r="986" spans="1:14">
      <c r="A986" t="s">
        <v>170</v>
      </c>
      <c r="B986">
        <v>11</v>
      </c>
      <c r="C986" t="s">
        <v>115</v>
      </c>
      <c r="D986">
        <v>2</v>
      </c>
      <c r="H986" s="71" t="b">
        <f t="shared" si="37"/>
        <v>0</v>
      </c>
      <c r="J986">
        <v>0</v>
      </c>
    </row>
    <row r="987" spans="1:14">
      <c r="A987" t="s">
        <v>170</v>
      </c>
      <c r="B987">
        <v>11</v>
      </c>
      <c r="C987" t="s">
        <v>116</v>
      </c>
      <c r="D987">
        <v>2</v>
      </c>
      <c r="H987" s="71" t="b">
        <f t="shared" si="37"/>
        <v>0</v>
      </c>
      <c r="J987">
        <v>0</v>
      </c>
    </row>
    <row r="988" spans="1:14">
      <c r="A988" t="s">
        <v>170</v>
      </c>
      <c r="B988">
        <v>11</v>
      </c>
      <c r="C988" t="s">
        <v>117</v>
      </c>
      <c r="D988">
        <v>6</v>
      </c>
      <c r="H988" s="71" t="b">
        <f t="shared" si="37"/>
        <v>0</v>
      </c>
      <c r="J988">
        <v>0</v>
      </c>
    </row>
    <row r="989" spans="1:14">
      <c r="A989" t="s">
        <v>170</v>
      </c>
      <c r="B989">
        <v>11</v>
      </c>
      <c r="C989" t="s">
        <v>118</v>
      </c>
      <c r="D989">
        <v>3</v>
      </c>
      <c r="H989" s="71" t="b">
        <f t="shared" si="37"/>
        <v>0</v>
      </c>
      <c r="J989">
        <v>0</v>
      </c>
    </row>
    <row r="990" spans="1:14">
      <c r="A990" t="s">
        <v>170</v>
      </c>
      <c r="B990">
        <v>11</v>
      </c>
      <c r="C990" t="s">
        <v>119</v>
      </c>
      <c r="D990">
        <v>3</v>
      </c>
      <c r="H990" s="71" t="b">
        <f t="shared" si="37"/>
        <v>0</v>
      </c>
      <c r="J990">
        <v>0</v>
      </c>
    </row>
    <row r="991" spans="1:14">
      <c r="A991" t="s">
        <v>170</v>
      </c>
      <c r="B991">
        <v>11</v>
      </c>
      <c r="C991" t="s">
        <v>120</v>
      </c>
      <c r="D991">
        <v>3</v>
      </c>
      <c r="H991" s="71" t="b">
        <f t="shared" si="37"/>
        <v>0</v>
      </c>
      <c r="J991">
        <v>0</v>
      </c>
    </row>
    <row r="992" spans="1:14">
      <c r="A992" t="s">
        <v>170</v>
      </c>
      <c r="B992">
        <v>11</v>
      </c>
      <c r="C992" t="s">
        <v>121</v>
      </c>
      <c r="D992">
        <v>3</v>
      </c>
      <c r="H992" s="71" t="b">
        <f t="shared" si="37"/>
        <v>0</v>
      </c>
      <c r="J992">
        <v>0</v>
      </c>
    </row>
    <row r="993" spans="1:14">
      <c r="A993" t="s">
        <v>170</v>
      </c>
      <c r="B993">
        <v>12</v>
      </c>
      <c r="C993" t="s">
        <v>122</v>
      </c>
      <c r="D993">
        <v>2</v>
      </c>
      <c r="H993" s="71" t="b">
        <f t="shared" si="37"/>
        <v>0</v>
      </c>
      <c r="J993">
        <v>2</v>
      </c>
      <c r="N993" s="71" t="b">
        <f>IF(AND(ISBLANK(K993),ISBLANK(L993),ISBLANK(M993)),FALSE,TRUE)</f>
        <v>0</v>
      </c>
    </row>
    <row r="994" spans="1:14">
      <c r="A994" t="s">
        <v>170</v>
      </c>
      <c r="B994">
        <v>12</v>
      </c>
      <c r="C994" t="s">
        <v>123</v>
      </c>
      <c r="D994">
        <v>2</v>
      </c>
      <c r="H994" s="71" t="b">
        <f t="shared" si="37"/>
        <v>0</v>
      </c>
      <c r="J994">
        <v>2</v>
      </c>
      <c r="N994" s="71" t="b">
        <f>IF(AND(ISBLANK(K994),ISBLANK(L994),ISBLANK(M994)),FALSE,TRUE)</f>
        <v>0</v>
      </c>
    </row>
    <row r="995" spans="1:14">
      <c r="A995" t="s">
        <v>170</v>
      </c>
      <c r="B995">
        <v>12</v>
      </c>
      <c r="C995" t="s">
        <v>124</v>
      </c>
      <c r="D995">
        <v>2</v>
      </c>
      <c r="H995" s="71" t="b">
        <f t="shared" si="37"/>
        <v>0</v>
      </c>
      <c r="J995">
        <v>0</v>
      </c>
    </row>
    <row r="996" spans="1:14">
      <c r="A996" t="s">
        <v>170</v>
      </c>
      <c r="B996">
        <v>12</v>
      </c>
      <c r="C996" t="s">
        <v>125</v>
      </c>
      <c r="D996">
        <v>4</v>
      </c>
      <c r="H996" s="71" t="b">
        <f t="shared" si="37"/>
        <v>0</v>
      </c>
      <c r="J996">
        <v>4</v>
      </c>
      <c r="N996" s="71" t="b">
        <f>IF(AND(ISBLANK(K996),ISBLANK(L996),ISBLANK(M996)),FALSE,TRUE)</f>
        <v>0</v>
      </c>
    </row>
    <row r="997" spans="1:14">
      <c r="A997" t="s">
        <v>170</v>
      </c>
      <c r="B997">
        <v>12</v>
      </c>
      <c r="C997" t="s">
        <v>126</v>
      </c>
      <c r="D997">
        <v>2</v>
      </c>
      <c r="H997" s="71" t="b">
        <f t="shared" si="37"/>
        <v>0</v>
      </c>
      <c r="J997">
        <v>2</v>
      </c>
      <c r="N997" s="71" t="b">
        <f>IF(AND(ISBLANK(K997),ISBLANK(L997),ISBLANK(M997)),FALSE,TRUE)</f>
        <v>0</v>
      </c>
    </row>
    <row r="998" spans="1:14">
      <c r="A998" t="s">
        <v>170</v>
      </c>
      <c r="B998">
        <v>12</v>
      </c>
      <c r="C998" t="s">
        <v>127</v>
      </c>
      <c r="D998">
        <v>2</v>
      </c>
      <c r="H998" s="71" t="b">
        <f t="shared" si="37"/>
        <v>0</v>
      </c>
      <c r="J998">
        <v>2</v>
      </c>
      <c r="N998" s="71" t="b">
        <f>IF(AND(ISBLANK(K998),ISBLANK(L998),ISBLANK(M998)),FALSE,TRUE)</f>
        <v>0</v>
      </c>
    </row>
    <row r="999" spans="1:14">
      <c r="A999" t="s">
        <v>170</v>
      </c>
      <c r="B999">
        <v>12</v>
      </c>
      <c r="C999" t="s">
        <v>128</v>
      </c>
      <c r="D999">
        <v>2</v>
      </c>
      <c r="H999" s="71" t="b">
        <f t="shared" si="37"/>
        <v>0</v>
      </c>
      <c r="J999">
        <v>2</v>
      </c>
      <c r="N999" s="71" t="b">
        <f>IF(AND(ISBLANK(K999),ISBLANK(L999),ISBLANK(M999)),FALSE,TRUE)</f>
        <v>0</v>
      </c>
    </row>
    <row r="1000" spans="1:14">
      <c r="A1000" t="s">
        <v>170</v>
      </c>
      <c r="B1000">
        <v>12</v>
      </c>
      <c r="C1000" t="s">
        <v>129</v>
      </c>
      <c r="D1000">
        <v>2</v>
      </c>
      <c r="H1000" s="71" t="b">
        <f t="shared" si="37"/>
        <v>0</v>
      </c>
      <c r="J1000">
        <v>0</v>
      </c>
    </row>
    <row r="1001" spans="1:14">
      <c r="A1001" t="s">
        <v>170</v>
      </c>
      <c r="B1001">
        <v>12</v>
      </c>
      <c r="C1001" t="s">
        <v>130</v>
      </c>
      <c r="D1001">
        <v>2</v>
      </c>
      <c r="H1001" s="71" t="b">
        <f t="shared" si="37"/>
        <v>0</v>
      </c>
      <c r="J1001">
        <v>1</v>
      </c>
      <c r="N1001" s="71" t="b">
        <f>IF(AND(ISBLANK(K1001),ISBLANK(L1001),ISBLANK(M1001)),FALSE,TRUE)</f>
        <v>0</v>
      </c>
    </row>
    <row r="1002" spans="1:14">
      <c r="A1002" t="s">
        <v>170</v>
      </c>
      <c r="B1002">
        <v>12</v>
      </c>
      <c r="C1002" t="s">
        <v>131</v>
      </c>
      <c r="D1002">
        <v>3</v>
      </c>
      <c r="H1002" s="71" t="b">
        <f t="shared" si="37"/>
        <v>0</v>
      </c>
      <c r="J1002">
        <v>1</v>
      </c>
      <c r="N1002" s="71" t="b">
        <f>IF(AND(ISBLANK(K1002),ISBLANK(L1002),ISBLANK(M1002)),FALSE,TRUE)</f>
        <v>0</v>
      </c>
    </row>
    <row r="1003" spans="1:14">
      <c r="A1003" t="s">
        <v>170</v>
      </c>
      <c r="B1003">
        <v>12</v>
      </c>
      <c r="C1003" t="s">
        <v>132</v>
      </c>
      <c r="D1003">
        <v>1</v>
      </c>
      <c r="H1003" s="71" t="b">
        <f t="shared" si="37"/>
        <v>0</v>
      </c>
      <c r="J1003">
        <v>1</v>
      </c>
      <c r="N1003" s="71" t="b">
        <f>IF(AND(ISBLANK(K1003),ISBLANK(L1003),ISBLANK(M1003)),FALSE,TRUE)</f>
        <v>0</v>
      </c>
    </row>
    <row r="1004" spans="1:14">
      <c r="A1004" t="s">
        <v>170</v>
      </c>
      <c r="B1004">
        <v>12</v>
      </c>
      <c r="C1004" t="s">
        <v>133</v>
      </c>
      <c r="D1004">
        <v>1</v>
      </c>
      <c r="H1004" s="71" t="b">
        <f t="shared" si="37"/>
        <v>0</v>
      </c>
      <c r="J1004">
        <v>0</v>
      </c>
    </row>
    <row r="1005" spans="1:14">
      <c r="A1005" t="s">
        <v>170</v>
      </c>
      <c r="B1005">
        <v>12</v>
      </c>
      <c r="C1005" t="s">
        <v>134</v>
      </c>
      <c r="D1005">
        <v>1</v>
      </c>
      <c r="H1005" s="71" t="b">
        <f t="shared" si="37"/>
        <v>0</v>
      </c>
      <c r="J1005">
        <v>1</v>
      </c>
      <c r="N1005" s="71" t="b">
        <f t="shared" ref="N1005:N1015" si="38">IF(AND(ISBLANK(K1005),ISBLANK(L1005),ISBLANK(M1005)),FALSE,TRUE)</f>
        <v>0</v>
      </c>
    </row>
    <row r="1006" spans="1:14">
      <c r="A1006" t="s">
        <v>170</v>
      </c>
      <c r="B1006">
        <v>12</v>
      </c>
      <c r="C1006" t="s">
        <v>135</v>
      </c>
      <c r="D1006">
        <v>2</v>
      </c>
      <c r="H1006" s="71" t="b">
        <f t="shared" si="37"/>
        <v>0</v>
      </c>
      <c r="J1006">
        <v>1</v>
      </c>
      <c r="N1006" s="71" t="b">
        <f t="shared" si="38"/>
        <v>0</v>
      </c>
    </row>
    <row r="1007" spans="1:14">
      <c r="A1007" t="s">
        <v>170</v>
      </c>
      <c r="B1007">
        <v>12</v>
      </c>
      <c r="C1007" t="s">
        <v>136</v>
      </c>
      <c r="D1007">
        <v>2</v>
      </c>
      <c r="H1007" s="71" t="b">
        <f t="shared" si="37"/>
        <v>0</v>
      </c>
      <c r="J1007">
        <v>1</v>
      </c>
      <c r="N1007" s="71" t="b">
        <f t="shared" si="38"/>
        <v>0</v>
      </c>
    </row>
    <row r="1008" spans="1:14">
      <c r="A1008" t="s">
        <v>170</v>
      </c>
      <c r="B1008">
        <v>12</v>
      </c>
      <c r="C1008" t="s">
        <v>137</v>
      </c>
      <c r="D1008">
        <v>2</v>
      </c>
      <c r="H1008" s="71" t="b">
        <f t="shared" si="37"/>
        <v>0</v>
      </c>
      <c r="J1008">
        <v>1</v>
      </c>
      <c r="N1008" s="71" t="b">
        <f t="shared" si="38"/>
        <v>0</v>
      </c>
    </row>
    <row r="1009" spans="1:14">
      <c r="A1009" t="s">
        <v>170</v>
      </c>
      <c r="B1009">
        <v>12</v>
      </c>
      <c r="C1009" t="s">
        <v>138</v>
      </c>
      <c r="D1009">
        <v>1</v>
      </c>
      <c r="H1009" s="71" t="b">
        <f t="shared" si="37"/>
        <v>0</v>
      </c>
      <c r="J1009">
        <v>1</v>
      </c>
      <c r="N1009" s="71" t="b">
        <f t="shared" si="38"/>
        <v>0</v>
      </c>
    </row>
    <row r="1010" spans="1:14">
      <c r="A1010" t="s">
        <v>170</v>
      </c>
      <c r="B1010">
        <v>12</v>
      </c>
      <c r="C1010" t="s">
        <v>139</v>
      </c>
      <c r="D1010">
        <v>1</v>
      </c>
      <c r="H1010" s="71" t="b">
        <f t="shared" si="37"/>
        <v>0</v>
      </c>
      <c r="J1010">
        <v>1</v>
      </c>
      <c r="N1010" s="71" t="b">
        <f t="shared" si="38"/>
        <v>0</v>
      </c>
    </row>
    <row r="1011" spans="1:14">
      <c r="A1011" t="s">
        <v>170</v>
      </c>
      <c r="B1011">
        <v>12</v>
      </c>
      <c r="C1011" t="s">
        <v>140</v>
      </c>
      <c r="D1011">
        <v>1</v>
      </c>
      <c r="H1011" s="71" t="b">
        <f t="shared" si="37"/>
        <v>0</v>
      </c>
      <c r="J1011">
        <v>1</v>
      </c>
      <c r="N1011" s="71" t="b">
        <f t="shared" si="38"/>
        <v>0</v>
      </c>
    </row>
    <row r="1012" spans="1:14">
      <c r="A1012" t="s">
        <v>170</v>
      </c>
      <c r="B1012">
        <v>12</v>
      </c>
      <c r="C1012" t="s">
        <v>141</v>
      </c>
      <c r="D1012">
        <v>1</v>
      </c>
      <c r="H1012" s="71" t="b">
        <f t="shared" si="37"/>
        <v>0</v>
      </c>
      <c r="J1012">
        <v>1</v>
      </c>
      <c r="N1012" s="71" t="b">
        <f t="shared" si="38"/>
        <v>0</v>
      </c>
    </row>
    <row r="1013" spans="1:14">
      <c r="A1013" t="s">
        <v>170</v>
      </c>
      <c r="B1013">
        <v>12</v>
      </c>
      <c r="C1013" t="s">
        <v>142</v>
      </c>
      <c r="D1013">
        <v>2</v>
      </c>
      <c r="H1013" s="71" t="b">
        <f t="shared" si="37"/>
        <v>0</v>
      </c>
      <c r="J1013">
        <v>1</v>
      </c>
      <c r="N1013" s="71" t="b">
        <f t="shared" si="38"/>
        <v>0</v>
      </c>
    </row>
    <row r="1014" spans="1:14">
      <c r="A1014" t="s">
        <v>170</v>
      </c>
      <c r="B1014">
        <v>12</v>
      </c>
      <c r="C1014" t="s">
        <v>143</v>
      </c>
      <c r="D1014">
        <v>1</v>
      </c>
      <c r="H1014" s="71" t="b">
        <f t="shared" si="37"/>
        <v>0</v>
      </c>
      <c r="J1014">
        <v>2</v>
      </c>
      <c r="N1014" s="71" t="b">
        <f t="shared" si="38"/>
        <v>0</v>
      </c>
    </row>
    <row r="1015" spans="1:14">
      <c r="A1015" t="s">
        <v>170</v>
      </c>
      <c r="B1015">
        <v>12</v>
      </c>
      <c r="C1015" t="s">
        <v>144</v>
      </c>
      <c r="D1015">
        <v>1</v>
      </c>
      <c r="H1015" s="71" t="b">
        <f t="shared" si="37"/>
        <v>0</v>
      </c>
      <c r="J1015">
        <v>2</v>
      </c>
      <c r="N1015" s="71" t="b">
        <f t="shared" si="38"/>
        <v>0</v>
      </c>
    </row>
    <row r="1016" spans="1:14">
      <c r="A1016" t="s">
        <v>170</v>
      </c>
      <c r="B1016">
        <v>12</v>
      </c>
      <c r="C1016" t="s">
        <v>145</v>
      </c>
      <c r="D1016">
        <v>1</v>
      </c>
      <c r="H1016" s="71" t="b">
        <f t="shared" si="37"/>
        <v>0</v>
      </c>
      <c r="J1016">
        <v>0</v>
      </c>
    </row>
    <row r="1017" spans="1:14">
      <c r="A1017" t="s">
        <v>170</v>
      </c>
      <c r="B1017">
        <v>12</v>
      </c>
      <c r="C1017" t="s">
        <v>146</v>
      </c>
      <c r="D1017">
        <v>1</v>
      </c>
      <c r="H1017" s="71" t="b">
        <f t="shared" si="37"/>
        <v>0</v>
      </c>
      <c r="J1017">
        <v>0</v>
      </c>
    </row>
    <row r="1018" spans="1:14">
      <c r="A1018" t="s">
        <v>170</v>
      </c>
      <c r="B1018">
        <v>12</v>
      </c>
      <c r="C1018" t="s">
        <v>147</v>
      </c>
      <c r="D1018">
        <v>1</v>
      </c>
      <c r="H1018" s="71" t="b">
        <f t="shared" si="37"/>
        <v>0</v>
      </c>
      <c r="J1018">
        <v>2</v>
      </c>
      <c r="N1018" s="71" t="b">
        <f>IF(AND(ISBLANK(K1018),ISBLANK(L1018),ISBLANK(M1018)),FALSE,TRUE)</f>
        <v>0</v>
      </c>
    </row>
    <row r="1019" spans="1:14">
      <c r="A1019" t="s">
        <v>170</v>
      </c>
      <c r="B1019">
        <v>12</v>
      </c>
      <c r="C1019" t="s">
        <v>148</v>
      </c>
      <c r="D1019">
        <v>2</v>
      </c>
      <c r="H1019" s="71" t="b">
        <f t="shared" si="37"/>
        <v>0</v>
      </c>
      <c r="J1019">
        <v>2</v>
      </c>
      <c r="N1019" s="71" t="b">
        <f>IF(AND(ISBLANK(K1019),ISBLANK(L1019),ISBLANK(M1019)),FALSE,TRUE)</f>
        <v>0</v>
      </c>
    </row>
    <row r="1020" spans="1:14">
      <c r="A1020" t="s">
        <v>170</v>
      </c>
      <c r="B1020">
        <v>12</v>
      </c>
      <c r="C1020" t="s">
        <v>149</v>
      </c>
      <c r="D1020">
        <v>3</v>
      </c>
      <c r="H1020" s="71" t="b">
        <f t="shared" si="37"/>
        <v>0</v>
      </c>
      <c r="J1020">
        <v>0</v>
      </c>
    </row>
    <row r="1021" spans="1:14">
      <c r="A1021" t="s">
        <v>170</v>
      </c>
      <c r="B1021">
        <v>12</v>
      </c>
      <c r="C1021" t="s">
        <v>150</v>
      </c>
      <c r="D1021">
        <v>3</v>
      </c>
      <c r="H1021" s="71" t="b">
        <f t="shared" si="37"/>
        <v>0</v>
      </c>
      <c r="J1021">
        <v>0</v>
      </c>
    </row>
    <row r="1022" spans="1:14">
      <c r="A1022" t="s">
        <v>170</v>
      </c>
      <c r="B1022">
        <v>12</v>
      </c>
      <c r="C1022" t="s">
        <v>151</v>
      </c>
      <c r="D1022">
        <v>2</v>
      </c>
      <c r="H1022" s="71" t="b">
        <f t="shared" si="37"/>
        <v>0</v>
      </c>
      <c r="J1022">
        <v>0</v>
      </c>
    </row>
    <row r="1023" spans="1:14">
      <c r="A1023" t="s">
        <v>170</v>
      </c>
      <c r="B1023">
        <v>12</v>
      </c>
      <c r="C1023" t="s">
        <v>152</v>
      </c>
      <c r="D1023">
        <v>2</v>
      </c>
      <c r="H1023" s="71" t="b">
        <f t="shared" si="37"/>
        <v>0</v>
      </c>
      <c r="J1023">
        <v>0</v>
      </c>
    </row>
    <row r="1024" spans="1:14">
      <c r="A1024" t="s">
        <v>170</v>
      </c>
      <c r="B1024">
        <v>12</v>
      </c>
      <c r="C1024" t="s">
        <v>153</v>
      </c>
      <c r="D1024">
        <v>2</v>
      </c>
      <c r="H1024" s="71" t="b">
        <f t="shared" si="37"/>
        <v>0</v>
      </c>
      <c r="J1024">
        <v>0</v>
      </c>
    </row>
    <row r="1025" spans="1:14">
      <c r="A1025" t="s">
        <v>170</v>
      </c>
      <c r="B1025">
        <v>12</v>
      </c>
      <c r="C1025" t="s">
        <v>154</v>
      </c>
      <c r="D1025">
        <v>2</v>
      </c>
      <c r="H1025" s="71" t="b">
        <f t="shared" si="37"/>
        <v>0</v>
      </c>
      <c r="J1025">
        <v>0</v>
      </c>
    </row>
    <row r="1026" spans="1:14">
      <c r="A1026" t="s">
        <v>170</v>
      </c>
      <c r="B1026">
        <v>12</v>
      </c>
      <c r="C1026" t="s">
        <v>155</v>
      </c>
      <c r="D1026">
        <v>2</v>
      </c>
      <c r="H1026" s="71" t="b">
        <f t="shared" si="37"/>
        <v>0</v>
      </c>
      <c r="J1026">
        <v>0</v>
      </c>
    </row>
    <row r="1027" spans="1:14">
      <c r="A1027" t="s">
        <v>170</v>
      </c>
      <c r="B1027">
        <v>12</v>
      </c>
      <c r="C1027" t="s">
        <v>156</v>
      </c>
      <c r="D1027">
        <v>2</v>
      </c>
      <c r="H1027" s="71" t="b">
        <f t="shared" si="37"/>
        <v>0</v>
      </c>
      <c r="J1027">
        <v>0</v>
      </c>
    </row>
    <row r="1028" spans="1:14">
      <c r="A1028" t="s">
        <v>170</v>
      </c>
      <c r="B1028">
        <v>12</v>
      </c>
      <c r="C1028" t="s">
        <v>157</v>
      </c>
      <c r="D1028">
        <v>0</v>
      </c>
      <c r="H1028" s="71" t="b">
        <f t="shared" si="37"/>
        <v>0</v>
      </c>
      <c r="J1028">
        <v>8</v>
      </c>
      <c r="N1028" s="71" t="b">
        <f>IF(AND(ISBLANK(K1028),ISBLANK(L1028),ISBLANK(M1028)),FALSE,TRUE)</f>
        <v>0</v>
      </c>
    </row>
    <row r="1029" spans="1:14">
      <c r="A1029" t="s">
        <v>170</v>
      </c>
      <c r="B1029">
        <v>12</v>
      </c>
      <c r="C1029" t="s">
        <v>158</v>
      </c>
      <c r="D1029">
        <v>0</v>
      </c>
      <c r="H1029" s="71" t="b">
        <f t="shared" si="37"/>
        <v>0</v>
      </c>
      <c r="J1029">
        <v>8</v>
      </c>
      <c r="N1029" s="71" t="b">
        <f>IF(AND(ISBLANK(K1029),ISBLANK(L1029),ISBLANK(M1029)),FALSE,TRUE)</f>
        <v>0</v>
      </c>
    </row>
    <row r="1030" spans="1:14">
      <c r="A1030" t="s">
        <v>170</v>
      </c>
      <c r="B1030">
        <v>12</v>
      </c>
      <c r="C1030" t="s">
        <v>159</v>
      </c>
      <c r="D1030">
        <v>4</v>
      </c>
      <c r="H1030" s="71" t="b">
        <f t="shared" si="37"/>
        <v>0</v>
      </c>
      <c r="J1030">
        <v>4</v>
      </c>
      <c r="N1030" s="71" t="b">
        <f>IF(AND(ISBLANK(K1030),ISBLANK(L1030),ISBLANK(M1030)),FALSE,TRUE)</f>
        <v>0</v>
      </c>
    </row>
    <row r="1031" spans="1:14">
      <c r="A1031" t="s">
        <v>170</v>
      </c>
      <c r="B1031">
        <v>12</v>
      </c>
      <c r="C1031" t="s">
        <v>160</v>
      </c>
      <c r="D1031">
        <v>4</v>
      </c>
      <c r="H1031" s="71" t="b">
        <f t="shared" si="37"/>
        <v>0</v>
      </c>
      <c r="J1031">
        <v>8</v>
      </c>
      <c r="N1031" s="71" t="b">
        <f>IF(AND(ISBLANK(K1031),ISBLANK(L1031),ISBLANK(M1031)),FALSE,TRUE)</f>
        <v>0</v>
      </c>
    </row>
    <row r="1032" spans="1:14">
      <c r="A1032" t="s">
        <v>170</v>
      </c>
      <c r="B1032">
        <v>12</v>
      </c>
      <c r="C1032" t="s">
        <v>161</v>
      </c>
      <c r="D1032">
        <v>1</v>
      </c>
      <c r="H1032" s="71" t="b">
        <f t="shared" si="37"/>
        <v>0</v>
      </c>
      <c r="J1032">
        <v>0</v>
      </c>
    </row>
    <row r="1033" spans="1:14">
      <c r="A1033" t="s">
        <v>170</v>
      </c>
      <c r="B1033">
        <v>12</v>
      </c>
      <c r="C1033" t="s">
        <v>162</v>
      </c>
      <c r="D1033">
        <v>0</v>
      </c>
      <c r="H1033" s="71" t="b">
        <f t="shared" si="37"/>
        <v>0</v>
      </c>
      <c r="J1033">
        <v>0</v>
      </c>
    </row>
    <row r="1034" spans="1:14">
      <c r="A1034" t="s">
        <v>170</v>
      </c>
      <c r="B1034">
        <v>12</v>
      </c>
      <c r="C1034" t="s">
        <v>163</v>
      </c>
      <c r="D1034">
        <v>0</v>
      </c>
      <c r="H1034" s="71" t="b">
        <f t="shared" si="37"/>
        <v>0</v>
      </c>
      <c r="J1034">
        <v>6</v>
      </c>
      <c r="N1034" s="71" t="b">
        <f>IF(AND(ISBLANK(K1034),ISBLANK(L1034),ISBLANK(M1034)),FALSE,TRUE)</f>
        <v>0</v>
      </c>
    </row>
    <row r="1035" spans="1:14">
      <c r="A1035" t="s">
        <v>171</v>
      </c>
      <c r="B1035">
        <v>10</v>
      </c>
      <c r="C1035" t="s">
        <v>35</v>
      </c>
      <c r="D1035">
        <v>3</v>
      </c>
      <c r="H1035" s="71" t="b">
        <f>IF(AND(ISBLANK(E1035),ISBLANK(F1035),ISBLANK(G1035)),FALSE,TRUE)</f>
        <v>0</v>
      </c>
      <c r="J1035">
        <v>0</v>
      </c>
    </row>
    <row r="1036" spans="1:14">
      <c r="A1036" t="s">
        <v>171</v>
      </c>
      <c r="B1036">
        <v>10</v>
      </c>
      <c r="C1036" t="s">
        <v>36</v>
      </c>
      <c r="D1036">
        <v>2</v>
      </c>
      <c r="H1036" s="71" t="b">
        <f t="shared" ref="H1036:H1099" si="39">IF(AND(ISBLANK(E1036),ISBLANK(F1036),ISBLANK(G1036)),FALSE,TRUE)</f>
        <v>0</v>
      </c>
      <c r="J1036">
        <v>1</v>
      </c>
      <c r="N1036" s="71" t="b">
        <f>IF(AND(ISBLANK(K1036),ISBLANK(L1036),ISBLANK(M1036)),FALSE,TRUE)</f>
        <v>0</v>
      </c>
    </row>
    <row r="1037" spans="1:14">
      <c r="A1037" t="s">
        <v>171</v>
      </c>
      <c r="B1037">
        <v>10</v>
      </c>
      <c r="C1037" t="s">
        <v>37</v>
      </c>
      <c r="D1037">
        <v>1</v>
      </c>
      <c r="H1037" s="71" t="b">
        <f t="shared" si="39"/>
        <v>0</v>
      </c>
      <c r="J1037">
        <v>3</v>
      </c>
      <c r="N1037" s="71" t="b">
        <f>IF(AND(ISBLANK(K1037),ISBLANK(L1037),ISBLANK(M1037)),FALSE,TRUE)</f>
        <v>0</v>
      </c>
    </row>
    <row r="1038" spans="1:14">
      <c r="A1038" t="s">
        <v>171</v>
      </c>
      <c r="B1038">
        <v>10</v>
      </c>
      <c r="C1038" t="s">
        <v>38</v>
      </c>
      <c r="D1038">
        <v>1</v>
      </c>
      <c r="H1038" s="71" t="b">
        <f t="shared" si="39"/>
        <v>0</v>
      </c>
      <c r="J1038">
        <v>0</v>
      </c>
    </row>
    <row r="1039" spans="1:14">
      <c r="A1039" t="s">
        <v>171</v>
      </c>
      <c r="B1039">
        <v>10</v>
      </c>
      <c r="C1039" t="s">
        <v>39</v>
      </c>
      <c r="D1039">
        <v>1</v>
      </c>
      <c r="H1039" s="71" t="b">
        <f t="shared" si="39"/>
        <v>0</v>
      </c>
      <c r="J1039">
        <v>1</v>
      </c>
      <c r="N1039" s="71" t="b">
        <f>IF(AND(ISBLANK(K1039),ISBLANK(L1039),ISBLANK(M1039)),FALSE,TRUE)</f>
        <v>0</v>
      </c>
    </row>
    <row r="1040" spans="1:14">
      <c r="A1040" t="s">
        <v>171</v>
      </c>
      <c r="B1040">
        <v>10</v>
      </c>
      <c r="C1040" t="s">
        <v>40</v>
      </c>
      <c r="D1040">
        <v>1</v>
      </c>
      <c r="H1040" s="71" t="b">
        <f t="shared" si="39"/>
        <v>0</v>
      </c>
      <c r="J1040">
        <v>1</v>
      </c>
      <c r="N1040" s="71" t="b">
        <f>IF(AND(ISBLANK(K1040),ISBLANK(L1040),ISBLANK(M1040)),FALSE,TRUE)</f>
        <v>0</v>
      </c>
    </row>
    <row r="1041" spans="1:14">
      <c r="A1041" t="s">
        <v>171</v>
      </c>
      <c r="B1041">
        <v>10</v>
      </c>
      <c r="C1041" t="s">
        <v>41</v>
      </c>
      <c r="D1041">
        <v>1</v>
      </c>
      <c r="H1041" s="71" t="b">
        <f t="shared" si="39"/>
        <v>0</v>
      </c>
      <c r="J1041">
        <v>1</v>
      </c>
      <c r="N1041" s="71" t="b">
        <f>IF(AND(ISBLANK(K1041),ISBLANK(L1041),ISBLANK(M1041)),FALSE,TRUE)</f>
        <v>0</v>
      </c>
    </row>
    <row r="1042" spans="1:14">
      <c r="A1042" t="s">
        <v>171</v>
      </c>
      <c r="B1042">
        <v>10</v>
      </c>
      <c r="C1042" t="s">
        <v>42</v>
      </c>
      <c r="D1042">
        <v>1</v>
      </c>
      <c r="H1042" s="71" t="b">
        <f t="shared" si="39"/>
        <v>0</v>
      </c>
      <c r="J1042">
        <v>0</v>
      </c>
    </row>
    <row r="1043" spans="1:14">
      <c r="A1043" t="s">
        <v>171</v>
      </c>
      <c r="B1043">
        <v>10</v>
      </c>
      <c r="C1043" t="s">
        <v>43</v>
      </c>
      <c r="D1043">
        <v>1</v>
      </c>
      <c r="H1043" s="71" t="b">
        <f t="shared" si="39"/>
        <v>0</v>
      </c>
      <c r="J1043">
        <v>0</v>
      </c>
    </row>
    <row r="1044" spans="1:14">
      <c r="A1044" t="s">
        <v>171</v>
      </c>
      <c r="B1044">
        <v>10</v>
      </c>
      <c r="C1044" t="s">
        <v>44</v>
      </c>
      <c r="D1044">
        <v>1</v>
      </c>
      <c r="H1044" s="71" t="b">
        <f t="shared" si="39"/>
        <v>0</v>
      </c>
      <c r="J1044">
        <v>2</v>
      </c>
      <c r="N1044" s="71" t="b">
        <f>IF(AND(ISBLANK(K1044),ISBLANK(L1044),ISBLANK(M1044)),FALSE,TRUE)</f>
        <v>0</v>
      </c>
    </row>
    <row r="1045" spans="1:14">
      <c r="A1045" t="s">
        <v>171</v>
      </c>
      <c r="B1045">
        <v>10</v>
      </c>
      <c r="C1045" t="s">
        <v>45</v>
      </c>
      <c r="D1045">
        <v>1</v>
      </c>
      <c r="H1045" s="71" t="b">
        <f t="shared" si="39"/>
        <v>0</v>
      </c>
      <c r="J1045">
        <v>1</v>
      </c>
      <c r="N1045" s="71" t="b">
        <f>IF(AND(ISBLANK(K1045),ISBLANK(L1045),ISBLANK(M1045)),FALSE,TRUE)</f>
        <v>0</v>
      </c>
    </row>
    <row r="1046" spans="1:14">
      <c r="A1046" t="s">
        <v>171</v>
      </c>
      <c r="B1046">
        <v>10</v>
      </c>
      <c r="C1046" t="s">
        <v>46</v>
      </c>
      <c r="D1046">
        <v>1</v>
      </c>
      <c r="H1046" s="71" t="b">
        <f t="shared" si="39"/>
        <v>0</v>
      </c>
      <c r="J1046">
        <v>1</v>
      </c>
      <c r="N1046" s="71" t="b">
        <f>IF(AND(ISBLANK(K1046),ISBLANK(L1046),ISBLANK(M1046)),FALSE,TRUE)</f>
        <v>0</v>
      </c>
    </row>
    <row r="1047" spans="1:14">
      <c r="A1047" t="s">
        <v>171</v>
      </c>
      <c r="B1047">
        <v>10</v>
      </c>
      <c r="C1047" t="s">
        <v>47</v>
      </c>
      <c r="D1047">
        <v>3</v>
      </c>
      <c r="H1047" s="71" t="b">
        <f t="shared" si="39"/>
        <v>0</v>
      </c>
      <c r="J1047">
        <v>0</v>
      </c>
    </row>
    <row r="1048" spans="1:14">
      <c r="A1048" t="s">
        <v>171</v>
      </c>
      <c r="B1048">
        <v>10</v>
      </c>
      <c r="C1048" t="s">
        <v>48</v>
      </c>
      <c r="D1048">
        <v>2</v>
      </c>
      <c r="H1048" s="71" t="b">
        <f t="shared" si="39"/>
        <v>0</v>
      </c>
      <c r="J1048">
        <v>2</v>
      </c>
      <c r="N1048" s="71" t="b">
        <f>IF(AND(ISBLANK(K1048),ISBLANK(L1048),ISBLANK(M1048)),FALSE,TRUE)</f>
        <v>0</v>
      </c>
    </row>
    <row r="1049" spans="1:14">
      <c r="A1049" t="s">
        <v>171</v>
      </c>
      <c r="B1049">
        <v>10</v>
      </c>
      <c r="C1049" t="s">
        <v>49</v>
      </c>
      <c r="D1049">
        <v>4</v>
      </c>
      <c r="H1049" s="71" t="b">
        <f t="shared" si="39"/>
        <v>0</v>
      </c>
      <c r="J1049">
        <v>0</v>
      </c>
    </row>
    <row r="1050" spans="1:14">
      <c r="A1050" t="s">
        <v>171</v>
      </c>
      <c r="B1050">
        <v>10</v>
      </c>
      <c r="C1050" t="s">
        <v>50</v>
      </c>
      <c r="D1050">
        <v>2</v>
      </c>
      <c r="H1050" s="71" t="b">
        <f t="shared" si="39"/>
        <v>0</v>
      </c>
      <c r="J1050">
        <v>0</v>
      </c>
    </row>
    <row r="1051" spans="1:14">
      <c r="A1051" t="s">
        <v>171</v>
      </c>
      <c r="B1051">
        <v>10</v>
      </c>
      <c r="C1051" t="s">
        <v>51</v>
      </c>
      <c r="D1051">
        <v>0</v>
      </c>
      <c r="H1051" s="71" t="b">
        <f t="shared" si="39"/>
        <v>0</v>
      </c>
      <c r="J1051">
        <v>8</v>
      </c>
      <c r="N1051" s="71" t="b">
        <f>IF(AND(ISBLANK(K1051),ISBLANK(L1051),ISBLANK(M1051)),FALSE,TRUE)</f>
        <v>0</v>
      </c>
    </row>
    <row r="1052" spans="1:14">
      <c r="A1052" t="s">
        <v>171</v>
      </c>
      <c r="B1052">
        <v>10</v>
      </c>
      <c r="C1052" t="s">
        <v>52</v>
      </c>
      <c r="D1052">
        <v>0</v>
      </c>
      <c r="H1052" s="71" t="b">
        <f t="shared" si="39"/>
        <v>0</v>
      </c>
      <c r="J1052">
        <v>8</v>
      </c>
      <c r="N1052" s="71" t="b">
        <f>IF(AND(ISBLANK(K1052),ISBLANK(L1052),ISBLANK(M1052)),FALSE,TRUE)</f>
        <v>0</v>
      </c>
    </row>
    <row r="1053" spans="1:14">
      <c r="A1053" t="s">
        <v>171</v>
      </c>
      <c r="B1053">
        <v>10</v>
      </c>
      <c r="C1053" t="s">
        <v>53</v>
      </c>
      <c r="D1053">
        <v>2</v>
      </c>
      <c r="H1053" s="71" t="b">
        <f t="shared" si="39"/>
        <v>0</v>
      </c>
      <c r="J1053">
        <v>0</v>
      </c>
    </row>
    <row r="1054" spans="1:14">
      <c r="A1054" t="s">
        <v>171</v>
      </c>
      <c r="B1054">
        <v>10</v>
      </c>
      <c r="C1054" t="s">
        <v>54</v>
      </c>
      <c r="D1054">
        <v>1</v>
      </c>
      <c r="H1054" s="71" t="b">
        <f t="shared" si="39"/>
        <v>0</v>
      </c>
      <c r="J1054">
        <v>2</v>
      </c>
      <c r="N1054" s="71" t="b">
        <f>IF(AND(ISBLANK(K1054),ISBLANK(L1054),ISBLANK(M1054)),FALSE,TRUE)</f>
        <v>0</v>
      </c>
    </row>
    <row r="1055" spans="1:14">
      <c r="A1055" t="s">
        <v>171</v>
      </c>
      <c r="B1055">
        <v>10</v>
      </c>
      <c r="C1055" t="s">
        <v>55</v>
      </c>
      <c r="D1055">
        <v>1</v>
      </c>
      <c r="H1055" s="71" t="b">
        <f t="shared" si="39"/>
        <v>0</v>
      </c>
      <c r="J1055">
        <v>2</v>
      </c>
      <c r="N1055" s="71" t="b">
        <f>IF(AND(ISBLANK(K1055),ISBLANK(L1055),ISBLANK(M1055)),FALSE,TRUE)</f>
        <v>0</v>
      </c>
    </row>
    <row r="1056" spans="1:14">
      <c r="A1056" t="s">
        <v>171</v>
      </c>
      <c r="B1056">
        <v>10</v>
      </c>
      <c r="C1056" t="s">
        <v>56</v>
      </c>
      <c r="D1056">
        <v>1</v>
      </c>
      <c r="H1056" s="71" t="b">
        <f t="shared" si="39"/>
        <v>0</v>
      </c>
      <c r="J1056">
        <v>0</v>
      </c>
    </row>
    <row r="1057" spans="1:14">
      <c r="A1057" t="s">
        <v>171</v>
      </c>
      <c r="B1057">
        <v>10</v>
      </c>
      <c r="C1057" t="s">
        <v>57</v>
      </c>
      <c r="D1057">
        <v>1</v>
      </c>
      <c r="H1057" s="71" t="b">
        <f t="shared" si="39"/>
        <v>0</v>
      </c>
      <c r="J1057">
        <v>0</v>
      </c>
    </row>
    <row r="1058" spans="1:14">
      <c r="A1058" t="s">
        <v>171</v>
      </c>
      <c r="B1058">
        <v>10</v>
      </c>
      <c r="C1058" t="s">
        <v>58</v>
      </c>
      <c r="D1058">
        <v>1</v>
      </c>
      <c r="H1058" s="71" t="b">
        <f t="shared" si="39"/>
        <v>0</v>
      </c>
      <c r="J1058">
        <v>2</v>
      </c>
      <c r="N1058" s="71" t="b">
        <f>IF(AND(ISBLANK(K1058),ISBLANK(L1058),ISBLANK(M1058)),FALSE,TRUE)</f>
        <v>0</v>
      </c>
    </row>
    <row r="1059" spans="1:14">
      <c r="A1059" t="s">
        <v>171</v>
      </c>
      <c r="B1059">
        <v>10</v>
      </c>
      <c r="C1059" t="s">
        <v>59</v>
      </c>
      <c r="D1059">
        <v>1</v>
      </c>
      <c r="H1059" s="71" t="b">
        <f t="shared" si="39"/>
        <v>0</v>
      </c>
      <c r="J1059">
        <v>0</v>
      </c>
    </row>
    <row r="1060" spans="1:14">
      <c r="A1060" t="s">
        <v>171</v>
      </c>
      <c r="B1060">
        <v>10</v>
      </c>
      <c r="C1060" t="s">
        <v>60</v>
      </c>
      <c r="D1060">
        <v>1</v>
      </c>
      <c r="H1060" s="71" t="b">
        <f t="shared" si="39"/>
        <v>0</v>
      </c>
      <c r="J1060">
        <v>2</v>
      </c>
      <c r="N1060" s="71" t="b">
        <f>IF(AND(ISBLANK(K1060),ISBLANK(L1060),ISBLANK(M1060)),FALSE,TRUE)</f>
        <v>0</v>
      </c>
    </row>
    <row r="1061" spans="1:14">
      <c r="A1061" t="s">
        <v>171</v>
      </c>
      <c r="B1061">
        <v>10</v>
      </c>
      <c r="C1061" t="s">
        <v>61</v>
      </c>
      <c r="D1061">
        <v>1</v>
      </c>
      <c r="H1061" s="71" t="b">
        <f t="shared" si="39"/>
        <v>0</v>
      </c>
      <c r="J1061">
        <v>2</v>
      </c>
      <c r="N1061" s="71" t="b">
        <f>IF(AND(ISBLANK(K1061),ISBLANK(L1061),ISBLANK(M1061)),FALSE,TRUE)</f>
        <v>0</v>
      </c>
    </row>
    <row r="1062" spans="1:14">
      <c r="A1062" t="s">
        <v>171</v>
      </c>
      <c r="B1062">
        <v>10</v>
      </c>
      <c r="C1062" t="s">
        <v>62</v>
      </c>
      <c r="D1062">
        <v>1</v>
      </c>
      <c r="H1062" s="71" t="b">
        <f t="shared" si="39"/>
        <v>0</v>
      </c>
      <c r="J1062">
        <v>2</v>
      </c>
      <c r="N1062" s="71" t="b">
        <f>IF(AND(ISBLANK(K1062),ISBLANK(L1062),ISBLANK(M1062)),FALSE,TRUE)</f>
        <v>0</v>
      </c>
    </row>
    <row r="1063" spans="1:14">
      <c r="A1063" t="s">
        <v>171</v>
      </c>
      <c r="B1063">
        <v>10</v>
      </c>
      <c r="C1063" t="s">
        <v>63</v>
      </c>
      <c r="D1063">
        <v>1</v>
      </c>
      <c r="H1063" s="71" t="b">
        <f t="shared" si="39"/>
        <v>0</v>
      </c>
      <c r="J1063">
        <v>0</v>
      </c>
    </row>
    <row r="1064" spans="1:14">
      <c r="A1064" t="s">
        <v>171</v>
      </c>
      <c r="B1064">
        <v>10</v>
      </c>
      <c r="C1064" t="s">
        <v>64</v>
      </c>
      <c r="D1064">
        <v>1</v>
      </c>
      <c r="H1064" s="71" t="b">
        <f t="shared" si="39"/>
        <v>0</v>
      </c>
      <c r="J1064">
        <v>3</v>
      </c>
      <c r="N1064" s="71" t="b">
        <f>IF(AND(ISBLANK(K1064),ISBLANK(L1064),ISBLANK(M1064)),FALSE,TRUE)</f>
        <v>0</v>
      </c>
    </row>
    <row r="1065" spans="1:14">
      <c r="A1065" t="s">
        <v>171</v>
      </c>
      <c r="B1065">
        <v>10</v>
      </c>
      <c r="C1065" t="s">
        <v>65</v>
      </c>
      <c r="D1065">
        <v>4</v>
      </c>
      <c r="H1065" s="71" t="b">
        <f t="shared" si="39"/>
        <v>0</v>
      </c>
      <c r="J1065">
        <v>4</v>
      </c>
      <c r="N1065" s="71" t="b">
        <f>IF(AND(ISBLANK(K1065),ISBLANK(L1065),ISBLANK(M1065)),FALSE,TRUE)</f>
        <v>0</v>
      </c>
    </row>
    <row r="1066" spans="1:14">
      <c r="A1066" t="s">
        <v>171</v>
      </c>
      <c r="B1066">
        <v>10</v>
      </c>
      <c r="C1066" t="s">
        <v>66</v>
      </c>
      <c r="D1066">
        <v>3</v>
      </c>
      <c r="H1066" s="71" t="b">
        <f t="shared" si="39"/>
        <v>0</v>
      </c>
      <c r="J1066">
        <v>0</v>
      </c>
    </row>
    <row r="1067" spans="1:14">
      <c r="A1067" t="s">
        <v>171</v>
      </c>
      <c r="B1067">
        <v>10</v>
      </c>
      <c r="C1067" t="s">
        <v>67</v>
      </c>
      <c r="D1067">
        <v>2</v>
      </c>
      <c r="H1067" s="71" t="b">
        <f t="shared" si="39"/>
        <v>0</v>
      </c>
      <c r="J1067">
        <v>4</v>
      </c>
      <c r="N1067" s="71" t="b">
        <f>IF(AND(ISBLANK(K1067),ISBLANK(L1067),ISBLANK(M1067)),FALSE,TRUE)</f>
        <v>0</v>
      </c>
    </row>
    <row r="1068" spans="1:14">
      <c r="A1068" t="s">
        <v>171</v>
      </c>
      <c r="B1068">
        <v>10</v>
      </c>
      <c r="C1068" t="s">
        <v>68</v>
      </c>
      <c r="D1068">
        <v>4</v>
      </c>
      <c r="H1068" s="71" t="b">
        <f t="shared" si="39"/>
        <v>0</v>
      </c>
      <c r="J1068">
        <v>4</v>
      </c>
      <c r="N1068" s="71" t="b">
        <f>IF(AND(ISBLANK(K1068),ISBLANK(L1068),ISBLANK(M1068)),FALSE,TRUE)</f>
        <v>0</v>
      </c>
    </row>
    <row r="1069" spans="1:14">
      <c r="A1069" t="s">
        <v>171</v>
      </c>
      <c r="B1069">
        <v>10</v>
      </c>
      <c r="C1069" t="s">
        <v>69</v>
      </c>
      <c r="D1069">
        <v>2</v>
      </c>
      <c r="H1069" s="71" t="b">
        <f t="shared" si="39"/>
        <v>0</v>
      </c>
      <c r="J1069">
        <v>2</v>
      </c>
      <c r="N1069" s="71" t="b">
        <f>IF(AND(ISBLANK(K1069),ISBLANK(L1069),ISBLANK(M1069)),FALSE,TRUE)</f>
        <v>0</v>
      </c>
    </row>
    <row r="1070" spans="1:14">
      <c r="A1070" t="s">
        <v>171</v>
      </c>
      <c r="B1070">
        <v>10</v>
      </c>
      <c r="C1070" t="s">
        <v>70</v>
      </c>
      <c r="D1070">
        <v>2</v>
      </c>
      <c r="H1070" s="71" t="b">
        <f t="shared" si="39"/>
        <v>0</v>
      </c>
      <c r="J1070">
        <v>3</v>
      </c>
      <c r="N1070" s="71" t="b">
        <f>IF(AND(ISBLANK(K1070),ISBLANK(L1070),ISBLANK(M1070)),FALSE,TRUE)</f>
        <v>0</v>
      </c>
    </row>
    <row r="1071" spans="1:14">
      <c r="A1071" t="s">
        <v>171</v>
      </c>
      <c r="B1071">
        <v>10</v>
      </c>
      <c r="C1071" t="s">
        <v>71</v>
      </c>
      <c r="D1071">
        <v>1</v>
      </c>
      <c r="H1071" s="71" t="b">
        <f t="shared" si="39"/>
        <v>0</v>
      </c>
      <c r="J1071">
        <v>0</v>
      </c>
    </row>
    <row r="1072" spans="1:14">
      <c r="A1072" t="s">
        <v>171</v>
      </c>
      <c r="B1072">
        <v>10</v>
      </c>
      <c r="C1072" t="s">
        <v>72</v>
      </c>
      <c r="D1072">
        <v>1</v>
      </c>
      <c r="H1072" s="71" t="b">
        <f t="shared" si="39"/>
        <v>0</v>
      </c>
      <c r="J1072">
        <v>4</v>
      </c>
      <c r="N1072" s="71" t="b">
        <f>IF(AND(ISBLANK(K1072),ISBLANK(L1072),ISBLANK(M1072)),FALSE,TRUE)</f>
        <v>0</v>
      </c>
    </row>
    <row r="1073" spans="1:14">
      <c r="A1073" t="s">
        <v>171</v>
      </c>
      <c r="B1073">
        <v>10</v>
      </c>
      <c r="C1073" t="s">
        <v>73</v>
      </c>
      <c r="D1073">
        <v>2</v>
      </c>
      <c r="H1073" s="71" t="b">
        <f t="shared" si="39"/>
        <v>0</v>
      </c>
      <c r="J1073">
        <v>3</v>
      </c>
      <c r="N1073" s="71" t="b">
        <f>IF(AND(ISBLANK(K1073),ISBLANK(L1073),ISBLANK(M1073)),FALSE,TRUE)</f>
        <v>0</v>
      </c>
    </row>
    <row r="1074" spans="1:14">
      <c r="A1074" t="s">
        <v>171</v>
      </c>
      <c r="B1074">
        <v>10</v>
      </c>
      <c r="C1074" t="s">
        <v>74</v>
      </c>
      <c r="D1074">
        <v>2</v>
      </c>
      <c r="H1074" s="71" t="b">
        <f t="shared" si="39"/>
        <v>0</v>
      </c>
      <c r="J1074">
        <v>0</v>
      </c>
    </row>
    <row r="1075" spans="1:14">
      <c r="A1075" t="s">
        <v>171</v>
      </c>
      <c r="B1075">
        <v>10</v>
      </c>
      <c r="C1075" t="s">
        <v>75</v>
      </c>
      <c r="D1075">
        <v>2</v>
      </c>
      <c r="H1075" s="71" t="b">
        <f t="shared" si="39"/>
        <v>0</v>
      </c>
      <c r="J1075">
        <v>0</v>
      </c>
    </row>
    <row r="1076" spans="1:14">
      <c r="A1076" t="s">
        <v>171</v>
      </c>
      <c r="B1076">
        <v>10</v>
      </c>
      <c r="C1076" t="s">
        <v>76</v>
      </c>
      <c r="D1076">
        <v>2</v>
      </c>
      <c r="H1076" s="71" t="b">
        <f t="shared" si="39"/>
        <v>0</v>
      </c>
      <c r="J1076">
        <v>0</v>
      </c>
    </row>
    <row r="1077" spans="1:14">
      <c r="A1077" t="s">
        <v>171</v>
      </c>
      <c r="B1077">
        <v>10</v>
      </c>
      <c r="C1077" t="s">
        <v>77</v>
      </c>
      <c r="D1077">
        <v>2</v>
      </c>
      <c r="H1077" s="71" t="b">
        <f t="shared" si="39"/>
        <v>0</v>
      </c>
      <c r="J1077">
        <v>0</v>
      </c>
    </row>
    <row r="1078" spans="1:14">
      <c r="A1078" t="s">
        <v>171</v>
      </c>
      <c r="B1078">
        <v>10</v>
      </c>
      <c r="C1078" t="s">
        <v>78</v>
      </c>
      <c r="D1078">
        <v>2</v>
      </c>
      <c r="H1078" s="71" t="b">
        <f t="shared" si="39"/>
        <v>0</v>
      </c>
      <c r="J1078">
        <v>0</v>
      </c>
    </row>
    <row r="1079" spans="1:14">
      <c r="A1079" t="s">
        <v>171</v>
      </c>
      <c r="B1079">
        <v>10</v>
      </c>
      <c r="C1079" t="s">
        <v>79</v>
      </c>
      <c r="D1079">
        <v>2</v>
      </c>
      <c r="H1079" s="71" t="b">
        <f t="shared" si="39"/>
        <v>0</v>
      </c>
      <c r="J1079">
        <v>0</v>
      </c>
    </row>
    <row r="1080" spans="1:14">
      <c r="A1080" t="s">
        <v>171</v>
      </c>
      <c r="B1080">
        <v>11</v>
      </c>
      <c r="C1080" t="s">
        <v>80</v>
      </c>
      <c r="D1080">
        <v>1</v>
      </c>
      <c r="H1080" s="71" t="b">
        <f t="shared" si="39"/>
        <v>0</v>
      </c>
      <c r="J1080">
        <v>2</v>
      </c>
      <c r="N1080" s="71" t="b">
        <f t="shared" ref="N1080:N1089" si="40">IF(AND(ISBLANK(K1080),ISBLANK(L1080),ISBLANK(M1080)),FALSE,TRUE)</f>
        <v>0</v>
      </c>
    </row>
    <row r="1081" spans="1:14">
      <c r="A1081" t="s">
        <v>171</v>
      </c>
      <c r="B1081">
        <v>11</v>
      </c>
      <c r="C1081" t="s">
        <v>81</v>
      </c>
      <c r="D1081">
        <v>2</v>
      </c>
      <c r="H1081" s="71" t="b">
        <f t="shared" si="39"/>
        <v>0</v>
      </c>
      <c r="J1081">
        <v>2</v>
      </c>
      <c r="N1081" s="71" t="b">
        <f t="shared" si="40"/>
        <v>0</v>
      </c>
    </row>
    <row r="1082" spans="1:14">
      <c r="A1082" t="s">
        <v>171</v>
      </c>
      <c r="B1082">
        <v>11</v>
      </c>
      <c r="C1082" t="s">
        <v>82</v>
      </c>
      <c r="D1082">
        <v>2</v>
      </c>
      <c r="H1082" s="71" t="b">
        <f t="shared" si="39"/>
        <v>0</v>
      </c>
      <c r="J1082">
        <v>2</v>
      </c>
      <c r="N1082" s="71" t="b">
        <f t="shared" si="40"/>
        <v>0</v>
      </c>
    </row>
    <row r="1083" spans="1:14">
      <c r="A1083" t="s">
        <v>171</v>
      </c>
      <c r="B1083">
        <v>11</v>
      </c>
      <c r="C1083" t="s">
        <v>83</v>
      </c>
      <c r="D1083">
        <v>2</v>
      </c>
      <c r="H1083" s="71" t="b">
        <f t="shared" si="39"/>
        <v>0</v>
      </c>
      <c r="J1083">
        <v>2</v>
      </c>
      <c r="N1083" s="71" t="b">
        <f t="shared" si="40"/>
        <v>0</v>
      </c>
    </row>
    <row r="1084" spans="1:14">
      <c r="A1084" t="s">
        <v>171</v>
      </c>
      <c r="B1084">
        <v>11</v>
      </c>
      <c r="C1084" t="s">
        <v>84</v>
      </c>
      <c r="D1084">
        <v>2</v>
      </c>
      <c r="H1084" s="71" t="b">
        <f t="shared" si="39"/>
        <v>0</v>
      </c>
      <c r="J1084">
        <v>2</v>
      </c>
      <c r="N1084" s="71" t="b">
        <f t="shared" si="40"/>
        <v>0</v>
      </c>
    </row>
    <row r="1085" spans="1:14">
      <c r="A1085" t="s">
        <v>171</v>
      </c>
      <c r="B1085">
        <v>11</v>
      </c>
      <c r="C1085" t="s">
        <v>85</v>
      </c>
      <c r="D1085">
        <v>1</v>
      </c>
      <c r="H1085" s="71" t="b">
        <f t="shared" si="39"/>
        <v>0</v>
      </c>
      <c r="J1085">
        <v>2</v>
      </c>
      <c r="N1085" s="71" t="b">
        <f t="shared" si="40"/>
        <v>0</v>
      </c>
    </row>
    <row r="1086" spans="1:14">
      <c r="A1086" t="s">
        <v>171</v>
      </c>
      <c r="B1086">
        <v>11</v>
      </c>
      <c r="C1086" t="s">
        <v>86</v>
      </c>
      <c r="D1086">
        <v>1</v>
      </c>
      <c r="H1086" s="71" t="b">
        <f t="shared" si="39"/>
        <v>0</v>
      </c>
      <c r="J1086">
        <v>2</v>
      </c>
      <c r="N1086" s="71" t="b">
        <f t="shared" si="40"/>
        <v>0</v>
      </c>
    </row>
    <row r="1087" spans="1:14">
      <c r="A1087" t="s">
        <v>171</v>
      </c>
      <c r="B1087">
        <v>11</v>
      </c>
      <c r="C1087" t="s">
        <v>87</v>
      </c>
      <c r="D1087">
        <v>1</v>
      </c>
      <c r="H1087" s="71" t="b">
        <f t="shared" si="39"/>
        <v>0</v>
      </c>
      <c r="J1087">
        <v>5</v>
      </c>
      <c r="N1087" s="71" t="b">
        <f t="shared" si="40"/>
        <v>0</v>
      </c>
    </row>
    <row r="1088" spans="1:14">
      <c r="A1088" t="s">
        <v>171</v>
      </c>
      <c r="B1088">
        <v>11</v>
      </c>
      <c r="C1088" t="s">
        <v>88</v>
      </c>
      <c r="D1088">
        <v>1</v>
      </c>
      <c r="H1088" s="71" t="b">
        <f t="shared" si="39"/>
        <v>0</v>
      </c>
      <c r="J1088">
        <v>2</v>
      </c>
      <c r="N1088" s="71" t="b">
        <f t="shared" si="40"/>
        <v>0</v>
      </c>
    </row>
    <row r="1089" spans="1:14">
      <c r="A1089" t="s">
        <v>171</v>
      </c>
      <c r="B1089">
        <v>11</v>
      </c>
      <c r="C1089" t="s">
        <v>89</v>
      </c>
      <c r="D1089">
        <v>2</v>
      </c>
      <c r="H1089" s="71" t="b">
        <f t="shared" si="39"/>
        <v>0</v>
      </c>
      <c r="J1089">
        <v>2</v>
      </c>
      <c r="N1089" s="71" t="b">
        <f t="shared" si="40"/>
        <v>0</v>
      </c>
    </row>
    <row r="1090" spans="1:14">
      <c r="A1090" t="s">
        <v>171</v>
      </c>
      <c r="B1090">
        <v>11</v>
      </c>
      <c r="C1090" t="s">
        <v>90</v>
      </c>
      <c r="D1090">
        <v>2</v>
      </c>
      <c r="H1090" s="71" t="b">
        <f t="shared" si="39"/>
        <v>0</v>
      </c>
      <c r="J1090">
        <v>0</v>
      </c>
    </row>
    <row r="1091" spans="1:14">
      <c r="A1091" t="s">
        <v>171</v>
      </c>
      <c r="B1091">
        <v>11</v>
      </c>
      <c r="C1091" t="s">
        <v>91</v>
      </c>
      <c r="D1091">
        <v>2</v>
      </c>
      <c r="H1091" s="71" t="b">
        <f t="shared" si="39"/>
        <v>0</v>
      </c>
      <c r="J1091">
        <v>1</v>
      </c>
      <c r="N1091" s="71" t="b">
        <f>IF(AND(ISBLANK(K1091),ISBLANK(L1091),ISBLANK(M1091)),FALSE,TRUE)</f>
        <v>0</v>
      </c>
    </row>
    <row r="1092" spans="1:14">
      <c r="A1092" t="s">
        <v>171</v>
      </c>
      <c r="B1092">
        <v>11</v>
      </c>
      <c r="C1092" t="s">
        <v>92</v>
      </c>
      <c r="D1092">
        <v>1</v>
      </c>
      <c r="H1092" s="71" t="b">
        <f t="shared" si="39"/>
        <v>0</v>
      </c>
      <c r="J1092">
        <v>0</v>
      </c>
    </row>
    <row r="1093" spans="1:14">
      <c r="A1093" t="s">
        <v>171</v>
      </c>
      <c r="B1093">
        <v>11</v>
      </c>
      <c r="C1093" t="s">
        <v>93</v>
      </c>
      <c r="D1093">
        <v>1</v>
      </c>
      <c r="H1093" s="71" t="b">
        <f t="shared" si="39"/>
        <v>0</v>
      </c>
      <c r="J1093">
        <v>0</v>
      </c>
    </row>
    <row r="1094" spans="1:14">
      <c r="A1094" t="s">
        <v>171</v>
      </c>
      <c r="B1094">
        <v>11</v>
      </c>
      <c r="C1094" t="s">
        <v>94</v>
      </c>
      <c r="D1094">
        <v>1</v>
      </c>
      <c r="H1094" s="71" t="b">
        <f t="shared" si="39"/>
        <v>0</v>
      </c>
      <c r="J1094">
        <v>3</v>
      </c>
      <c r="N1094" s="71" t="b">
        <f t="shared" ref="N1094:N1113" si="41">IF(AND(ISBLANK(K1094),ISBLANK(L1094),ISBLANK(M1094)),FALSE,TRUE)</f>
        <v>0</v>
      </c>
    </row>
    <row r="1095" spans="1:14">
      <c r="A1095" t="s">
        <v>171</v>
      </c>
      <c r="B1095">
        <v>11</v>
      </c>
      <c r="C1095" t="s">
        <v>95</v>
      </c>
      <c r="D1095">
        <v>1</v>
      </c>
      <c r="H1095" s="71" t="b">
        <f t="shared" si="39"/>
        <v>0</v>
      </c>
      <c r="J1095">
        <v>2</v>
      </c>
      <c r="N1095" s="71" t="b">
        <f t="shared" si="41"/>
        <v>0</v>
      </c>
    </row>
    <row r="1096" spans="1:14">
      <c r="A1096" t="s">
        <v>171</v>
      </c>
      <c r="B1096">
        <v>11</v>
      </c>
      <c r="C1096" t="s">
        <v>96</v>
      </c>
      <c r="D1096">
        <v>1</v>
      </c>
      <c r="H1096" s="71" t="b">
        <f t="shared" si="39"/>
        <v>0</v>
      </c>
      <c r="J1096">
        <v>2</v>
      </c>
      <c r="N1096" s="71" t="b">
        <f t="shared" si="41"/>
        <v>0</v>
      </c>
    </row>
    <row r="1097" spans="1:14">
      <c r="A1097" t="s">
        <v>171</v>
      </c>
      <c r="B1097">
        <v>11</v>
      </c>
      <c r="C1097" t="s">
        <v>97</v>
      </c>
      <c r="D1097">
        <v>1</v>
      </c>
      <c r="H1097" s="71" t="b">
        <f t="shared" si="39"/>
        <v>0</v>
      </c>
      <c r="J1097">
        <v>2</v>
      </c>
      <c r="N1097" s="71" t="b">
        <f t="shared" si="41"/>
        <v>0</v>
      </c>
    </row>
    <row r="1098" spans="1:14">
      <c r="A1098" t="s">
        <v>171</v>
      </c>
      <c r="B1098">
        <v>11</v>
      </c>
      <c r="C1098" t="s">
        <v>98</v>
      </c>
      <c r="D1098">
        <v>1</v>
      </c>
      <c r="H1098" s="71" t="b">
        <f t="shared" si="39"/>
        <v>0</v>
      </c>
      <c r="J1098">
        <v>1</v>
      </c>
      <c r="N1098" s="71" t="b">
        <f t="shared" si="41"/>
        <v>0</v>
      </c>
    </row>
    <row r="1099" spans="1:14">
      <c r="A1099" t="s">
        <v>171</v>
      </c>
      <c r="B1099">
        <v>11</v>
      </c>
      <c r="C1099" t="s">
        <v>99</v>
      </c>
      <c r="D1099">
        <v>1</v>
      </c>
      <c r="H1099" s="71" t="b">
        <f t="shared" si="39"/>
        <v>0</v>
      </c>
      <c r="J1099">
        <v>1</v>
      </c>
      <c r="N1099" s="71" t="b">
        <f t="shared" si="41"/>
        <v>0</v>
      </c>
    </row>
    <row r="1100" spans="1:14">
      <c r="A1100" t="s">
        <v>171</v>
      </c>
      <c r="B1100">
        <v>11</v>
      </c>
      <c r="C1100" t="s">
        <v>100</v>
      </c>
      <c r="D1100">
        <v>1</v>
      </c>
      <c r="H1100" s="71" t="b">
        <f t="shared" ref="H1100:H1163" si="42">IF(AND(ISBLANK(E1100),ISBLANK(F1100),ISBLANK(G1100)),FALSE,TRUE)</f>
        <v>0</v>
      </c>
      <c r="J1100">
        <v>1</v>
      </c>
      <c r="N1100" s="71" t="b">
        <f t="shared" si="41"/>
        <v>0</v>
      </c>
    </row>
    <row r="1101" spans="1:14">
      <c r="A1101" t="s">
        <v>171</v>
      </c>
      <c r="B1101">
        <v>11</v>
      </c>
      <c r="C1101" t="s">
        <v>101</v>
      </c>
      <c r="D1101">
        <v>1</v>
      </c>
      <c r="H1101" s="71" t="b">
        <f t="shared" si="42"/>
        <v>0</v>
      </c>
      <c r="J1101">
        <v>2</v>
      </c>
      <c r="N1101" s="71" t="b">
        <f t="shared" si="41"/>
        <v>0</v>
      </c>
    </row>
    <row r="1102" spans="1:14">
      <c r="A1102" t="s">
        <v>171</v>
      </c>
      <c r="B1102">
        <v>11</v>
      </c>
      <c r="C1102" t="s">
        <v>102</v>
      </c>
      <c r="D1102">
        <v>1</v>
      </c>
      <c r="H1102" s="71" t="b">
        <f t="shared" si="42"/>
        <v>0</v>
      </c>
      <c r="J1102">
        <v>2</v>
      </c>
      <c r="N1102" s="71" t="b">
        <f t="shared" si="41"/>
        <v>0</v>
      </c>
    </row>
    <row r="1103" spans="1:14">
      <c r="A1103" t="s">
        <v>171</v>
      </c>
      <c r="B1103">
        <v>11</v>
      </c>
      <c r="C1103" t="s">
        <v>103</v>
      </c>
      <c r="D1103">
        <v>1</v>
      </c>
      <c r="H1103" s="71" t="b">
        <f t="shared" si="42"/>
        <v>0</v>
      </c>
      <c r="J1103">
        <v>1</v>
      </c>
      <c r="N1103" s="71" t="b">
        <f t="shared" si="41"/>
        <v>0</v>
      </c>
    </row>
    <row r="1104" spans="1:14">
      <c r="A1104" t="s">
        <v>171</v>
      </c>
      <c r="B1104">
        <v>11</v>
      </c>
      <c r="C1104" t="s">
        <v>104</v>
      </c>
      <c r="D1104">
        <v>1</v>
      </c>
      <c r="H1104" s="71" t="b">
        <f t="shared" si="42"/>
        <v>0</v>
      </c>
      <c r="J1104">
        <v>2</v>
      </c>
      <c r="N1104" s="71" t="b">
        <f t="shared" si="41"/>
        <v>0</v>
      </c>
    </row>
    <row r="1105" spans="1:14">
      <c r="A1105" t="s">
        <v>171</v>
      </c>
      <c r="B1105">
        <v>11</v>
      </c>
      <c r="C1105" t="s">
        <v>105</v>
      </c>
      <c r="D1105">
        <v>1</v>
      </c>
      <c r="H1105" s="71" t="b">
        <f t="shared" si="42"/>
        <v>0</v>
      </c>
      <c r="J1105">
        <v>2</v>
      </c>
      <c r="N1105" s="71" t="b">
        <f t="shared" si="41"/>
        <v>0</v>
      </c>
    </row>
    <row r="1106" spans="1:14">
      <c r="A1106" t="s">
        <v>171</v>
      </c>
      <c r="B1106">
        <v>11</v>
      </c>
      <c r="C1106" t="s">
        <v>106</v>
      </c>
      <c r="D1106">
        <v>2</v>
      </c>
      <c r="H1106" s="71" t="b">
        <f t="shared" si="42"/>
        <v>0</v>
      </c>
      <c r="J1106">
        <v>3</v>
      </c>
      <c r="N1106" s="71" t="b">
        <f t="shared" si="41"/>
        <v>0</v>
      </c>
    </row>
    <row r="1107" spans="1:14">
      <c r="A1107" t="s">
        <v>171</v>
      </c>
      <c r="B1107">
        <v>11</v>
      </c>
      <c r="C1107" t="s">
        <v>107</v>
      </c>
      <c r="D1107">
        <v>2</v>
      </c>
      <c r="H1107" s="71" t="b">
        <f t="shared" si="42"/>
        <v>0</v>
      </c>
      <c r="J1107">
        <v>3</v>
      </c>
      <c r="N1107" s="71" t="b">
        <f t="shared" si="41"/>
        <v>0</v>
      </c>
    </row>
    <row r="1108" spans="1:14">
      <c r="A1108" t="s">
        <v>171</v>
      </c>
      <c r="B1108">
        <v>11</v>
      </c>
      <c r="C1108" t="s">
        <v>108</v>
      </c>
      <c r="D1108">
        <v>1</v>
      </c>
      <c r="H1108" s="71" t="b">
        <f t="shared" si="42"/>
        <v>0</v>
      </c>
      <c r="J1108">
        <v>3</v>
      </c>
      <c r="N1108" s="71" t="b">
        <f t="shared" si="41"/>
        <v>0</v>
      </c>
    </row>
    <row r="1109" spans="1:14">
      <c r="A1109" t="s">
        <v>171</v>
      </c>
      <c r="B1109">
        <v>11</v>
      </c>
      <c r="C1109" t="s">
        <v>109</v>
      </c>
      <c r="D1109">
        <v>2</v>
      </c>
      <c r="H1109" s="71" t="b">
        <f t="shared" si="42"/>
        <v>0</v>
      </c>
      <c r="J1109">
        <v>3</v>
      </c>
      <c r="N1109" s="71" t="b">
        <f t="shared" si="41"/>
        <v>0</v>
      </c>
    </row>
    <row r="1110" spans="1:14">
      <c r="A1110" t="s">
        <v>171</v>
      </c>
      <c r="B1110">
        <v>11</v>
      </c>
      <c r="C1110" t="s">
        <v>110</v>
      </c>
      <c r="D1110">
        <v>2</v>
      </c>
      <c r="H1110" s="71" t="b">
        <f t="shared" si="42"/>
        <v>0</v>
      </c>
      <c r="J1110">
        <v>3</v>
      </c>
      <c r="N1110" s="71" t="b">
        <f t="shared" si="41"/>
        <v>0</v>
      </c>
    </row>
    <row r="1111" spans="1:14">
      <c r="A1111" t="s">
        <v>171</v>
      </c>
      <c r="B1111">
        <v>11</v>
      </c>
      <c r="C1111" t="s">
        <v>111</v>
      </c>
      <c r="D1111">
        <v>2</v>
      </c>
      <c r="H1111" s="71" t="b">
        <f t="shared" si="42"/>
        <v>0</v>
      </c>
      <c r="J1111">
        <v>3</v>
      </c>
      <c r="N1111" s="71" t="b">
        <f t="shared" si="41"/>
        <v>0</v>
      </c>
    </row>
    <row r="1112" spans="1:14">
      <c r="A1112" t="s">
        <v>171</v>
      </c>
      <c r="B1112">
        <v>11</v>
      </c>
      <c r="C1112" t="s">
        <v>112</v>
      </c>
      <c r="D1112">
        <v>2</v>
      </c>
      <c r="H1112" s="71" t="b">
        <f t="shared" si="42"/>
        <v>0</v>
      </c>
      <c r="J1112">
        <v>3</v>
      </c>
      <c r="N1112" s="71" t="b">
        <f t="shared" si="41"/>
        <v>0</v>
      </c>
    </row>
    <row r="1113" spans="1:14">
      <c r="A1113" t="s">
        <v>171</v>
      </c>
      <c r="B1113">
        <v>11</v>
      </c>
      <c r="C1113" t="s">
        <v>113</v>
      </c>
      <c r="D1113">
        <v>2</v>
      </c>
      <c r="H1113" s="71" t="b">
        <f t="shared" si="42"/>
        <v>0</v>
      </c>
      <c r="J1113">
        <v>2</v>
      </c>
      <c r="N1113" s="71" t="b">
        <f t="shared" si="41"/>
        <v>0</v>
      </c>
    </row>
    <row r="1114" spans="1:14">
      <c r="A1114" t="s">
        <v>171</v>
      </c>
      <c r="B1114">
        <v>11</v>
      </c>
      <c r="C1114" t="s">
        <v>114</v>
      </c>
      <c r="D1114">
        <v>2</v>
      </c>
      <c r="H1114" s="71" t="b">
        <f t="shared" si="42"/>
        <v>0</v>
      </c>
      <c r="J1114">
        <v>0</v>
      </c>
    </row>
    <row r="1115" spans="1:14">
      <c r="A1115" t="s">
        <v>171</v>
      </c>
      <c r="B1115">
        <v>11</v>
      </c>
      <c r="C1115" t="s">
        <v>115</v>
      </c>
      <c r="D1115">
        <v>2</v>
      </c>
      <c r="H1115" s="71" t="b">
        <f t="shared" si="42"/>
        <v>0</v>
      </c>
      <c r="J1115">
        <v>0</v>
      </c>
    </row>
    <row r="1116" spans="1:14">
      <c r="A1116" t="s">
        <v>171</v>
      </c>
      <c r="B1116">
        <v>11</v>
      </c>
      <c r="C1116" t="s">
        <v>116</v>
      </c>
      <c r="D1116">
        <v>2</v>
      </c>
      <c r="H1116" s="71" t="b">
        <f t="shared" si="42"/>
        <v>0</v>
      </c>
      <c r="J1116">
        <v>0</v>
      </c>
    </row>
    <row r="1117" spans="1:14">
      <c r="A1117" t="s">
        <v>171</v>
      </c>
      <c r="B1117">
        <v>11</v>
      </c>
      <c r="C1117" t="s">
        <v>117</v>
      </c>
      <c r="D1117">
        <v>6</v>
      </c>
      <c r="H1117" s="71" t="b">
        <f t="shared" si="42"/>
        <v>0</v>
      </c>
      <c r="J1117">
        <v>0</v>
      </c>
    </row>
    <row r="1118" spans="1:14">
      <c r="A1118" t="s">
        <v>171</v>
      </c>
      <c r="B1118">
        <v>11</v>
      </c>
      <c r="C1118" t="s">
        <v>118</v>
      </c>
      <c r="D1118">
        <v>3</v>
      </c>
      <c r="H1118" s="71" t="b">
        <f t="shared" si="42"/>
        <v>0</v>
      </c>
      <c r="J1118">
        <v>0</v>
      </c>
    </row>
    <row r="1119" spans="1:14">
      <c r="A1119" t="s">
        <v>171</v>
      </c>
      <c r="B1119">
        <v>11</v>
      </c>
      <c r="C1119" t="s">
        <v>119</v>
      </c>
      <c r="D1119">
        <v>3</v>
      </c>
      <c r="H1119" s="71" t="b">
        <f t="shared" si="42"/>
        <v>0</v>
      </c>
      <c r="J1119">
        <v>0</v>
      </c>
    </row>
    <row r="1120" spans="1:14">
      <c r="A1120" t="s">
        <v>171</v>
      </c>
      <c r="B1120">
        <v>11</v>
      </c>
      <c r="C1120" t="s">
        <v>120</v>
      </c>
      <c r="D1120">
        <v>3</v>
      </c>
      <c r="H1120" s="71" t="b">
        <f t="shared" si="42"/>
        <v>0</v>
      </c>
      <c r="J1120">
        <v>0</v>
      </c>
    </row>
    <row r="1121" spans="1:14">
      <c r="A1121" t="s">
        <v>171</v>
      </c>
      <c r="B1121">
        <v>11</v>
      </c>
      <c r="C1121" t="s">
        <v>121</v>
      </c>
      <c r="D1121">
        <v>3</v>
      </c>
      <c r="H1121" s="71" t="b">
        <f t="shared" si="42"/>
        <v>0</v>
      </c>
      <c r="J1121">
        <v>0</v>
      </c>
    </row>
    <row r="1122" spans="1:14">
      <c r="A1122" t="s">
        <v>171</v>
      </c>
      <c r="B1122">
        <v>12</v>
      </c>
      <c r="C1122" t="s">
        <v>122</v>
      </c>
      <c r="D1122">
        <v>2</v>
      </c>
      <c r="H1122" s="71" t="b">
        <f t="shared" si="42"/>
        <v>0</v>
      </c>
      <c r="J1122">
        <v>2</v>
      </c>
      <c r="N1122" s="71" t="b">
        <f>IF(AND(ISBLANK(K1122),ISBLANK(L1122),ISBLANK(M1122)),FALSE,TRUE)</f>
        <v>0</v>
      </c>
    </row>
    <row r="1123" spans="1:14">
      <c r="A1123" t="s">
        <v>171</v>
      </c>
      <c r="B1123">
        <v>12</v>
      </c>
      <c r="C1123" t="s">
        <v>123</v>
      </c>
      <c r="D1123">
        <v>2</v>
      </c>
      <c r="H1123" s="71" t="b">
        <f t="shared" si="42"/>
        <v>0</v>
      </c>
      <c r="J1123">
        <v>2</v>
      </c>
      <c r="N1123" s="71" t="b">
        <f>IF(AND(ISBLANK(K1123),ISBLANK(L1123),ISBLANK(M1123)),FALSE,TRUE)</f>
        <v>0</v>
      </c>
    </row>
    <row r="1124" spans="1:14">
      <c r="A1124" t="s">
        <v>171</v>
      </c>
      <c r="B1124">
        <v>12</v>
      </c>
      <c r="C1124" t="s">
        <v>124</v>
      </c>
      <c r="D1124">
        <v>2</v>
      </c>
      <c r="H1124" s="71" t="b">
        <f t="shared" si="42"/>
        <v>0</v>
      </c>
      <c r="J1124">
        <v>0</v>
      </c>
    </row>
    <row r="1125" spans="1:14">
      <c r="A1125" t="s">
        <v>171</v>
      </c>
      <c r="B1125">
        <v>12</v>
      </c>
      <c r="C1125" t="s">
        <v>125</v>
      </c>
      <c r="D1125">
        <v>4</v>
      </c>
      <c r="H1125" s="71" t="b">
        <f t="shared" si="42"/>
        <v>0</v>
      </c>
      <c r="J1125">
        <v>4</v>
      </c>
      <c r="N1125" s="71" t="b">
        <f>IF(AND(ISBLANK(K1125),ISBLANK(L1125),ISBLANK(M1125)),FALSE,TRUE)</f>
        <v>0</v>
      </c>
    </row>
    <row r="1126" spans="1:14">
      <c r="A1126" t="s">
        <v>171</v>
      </c>
      <c r="B1126">
        <v>12</v>
      </c>
      <c r="C1126" t="s">
        <v>126</v>
      </c>
      <c r="D1126">
        <v>2</v>
      </c>
      <c r="H1126" s="71" t="b">
        <f t="shared" si="42"/>
        <v>0</v>
      </c>
      <c r="J1126">
        <v>2</v>
      </c>
      <c r="N1126" s="71" t="b">
        <f>IF(AND(ISBLANK(K1126),ISBLANK(L1126),ISBLANK(M1126)),FALSE,TRUE)</f>
        <v>0</v>
      </c>
    </row>
    <row r="1127" spans="1:14">
      <c r="A1127" t="s">
        <v>171</v>
      </c>
      <c r="B1127">
        <v>12</v>
      </c>
      <c r="C1127" t="s">
        <v>127</v>
      </c>
      <c r="D1127">
        <v>2</v>
      </c>
      <c r="H1127" s="71" t="b">
        <f t="shared" si="42"/>
        <v>0</v>
      </c>
      <c r="J1127">
        <v>2</v>
      </c>
      <c r="N1127" s="71" t="b">
        <f>IF(AND(ISBLANK(K1127),ISBLANK(L1127),ISBLANK(M1127)),FALSE,TRUE)</f>
        <v>0</v>
      </c>
    </row>
    <row r="1128" spans="1:14">
      <c r="A1128" t="s">
        <v>171</v>
      </c>
      <c r="B1128">
        <v>12</v>
      </c>
      <c r="C1128" t="s">
        <v>128</v>
      </c>
      <c r="D1128">
        <v>2</v>
      </c>
      <c r="H1128" s="71" t="b">
        <f t="shared" si="42"/>
        <v>0</v>
      </c>
      <c r="J1128">
        <v>2</v>
      </c>
      <c r="N1128" s="71" t="b">
        <f>IF(AND(ISBLANK(K1128),ISBLANK(L1128),ISBLANK(M1128)),FALSE,TRUE)</f>
        <v>0</v>
      </c>
    </row>
    <row r="1129" spans="1:14">
      <c r="A1129" t="s">
        <v>171</v>
      </c>
      <c r="B1129">
        <v>12</v>
      </c>
      <c r="C1129" t="s">
        <v>129</v>
      </c>
      <c r="D1129">
        <v>2</v>
      </c>
      <c r="H1129" s="71" t="b">
        <f t="shared" si="42"/>
        <v>0</v>
      </c>
      <c r="J1129">
        <v>0</v>
      </c>
    </row>
    <row r="1130" spans="1:14">
      <c r="A1130" t="s">
        <v>171</v>
      </c>
      <c r="B1130">
        <v>12</v>
      </c>
      <c r="C1130" t="s">
        <v>130</v>
      </c>
      <c r="D1130">
        <v>2</v>
      </c>
      <c r="H1130" s="71" t="b">
        <f t="shared" si="42"/>
        <v>0</v>
      </c>
      <c r="J1130">
        <v>1</v>
      </c>
      <c r="N1130" s="71" t="b">
        <f>IF(AND(ISBLANK(K1130),ISBLANK(L1130),ISBLANK(M1130)),FALSE,TRUE)</f>
        <v>0</v>
      </c>
    </row>
    <row r="1131" spans="1:14">
      <c r="A1131" t="s">
        <v>171</v>
      </c>
      <c r="B1131">
        <v>12</v>
      </c>
      <c r="C1131" t="s">
        <v>131</v>
      </c>
      <c r="D1131">
        <v>3</v>
      </c>
      <c r="H1131" s="71" t="b">
        <f t="shared" si="42"/>
        <v>0</v>
      </c>
      <c r="J1131">
        <v>1</v>
      </c>
      <c r="N1131" s="71" t="b">
        <f>IF(AND(ISBLANK(K1131),ISBLANK(L1131),ISBLANK(M1131)),FALSE,TRUE)</f>
        <v>0</v>
      </c>
    </row>
    <row r="1132" spans="1:14">
      <c r="A1132" t="s">
        <v>171</v>
      </c>
      <c r="B1132">
        <v>12</v>
      </c>
      <c r="C1132" t="s">
        <v>132</v>
      </c>
      <c r="D1132">
        <v>1</v>
      </c>
      <c r="H1132" s="71" t="b">
        <f t="shared" si="42"/>
        <v>0</v>
      </c>
      <c r="J1132">
        <v>1</v>
      </c>
      <c r="N1132" s="71" t="b">
        <f>IF(AND(ISBLANK(K1132),ISBLANK(L1132),ISBLANK(M1132)),FALSE,TRUE)</f>
        <v>0</v>
      </c>
    </row>
    <row r="1133" spans="1:14">
      <c r="A1133" t="s">
        <v>171</v>
      </c>
      <c r="B1133">
        <v>12</v>
      </c>
      <c r="C1133" t="s">
        <v>133</v>
      </c>
      <c r="D1133">
        <v>1</v>
      </c>
      <c r="H1133" s="71" t="b">
        <f t="shared" si="42"/>
        <v>0</v>
      </c>
      <c r="J1133">
        <v>0</v>
      </c>
    </row>
    <row r="1134" spans="1:14">
      <c r="A1134" t="s">
        <v>171</v>
      </c>
      <c r="B1134">
        <v>12</v>
      </c>
      <c r="C1134" t="s">
        <v>134</v>
      </c>
      <c r="D1134">
        <v>1</v>
      </c>
      <c r="H1134" s="71" t="b">
        <f t="shared" si="42"/>
        <v>0</v>
      </c>
      <c r="J1134">
        <v>1</v>
      </c>
      <c r="N1134" s="71" t="b">
        <f t="shared" ref="N1134:N1144" si="43">IF(AND(ISBLANK(K1134),ISBLANK(L1134),ISBLANK(M1134)),FALSE,TRUE)</f>
        <v>0</v>
      </c>
    </row>
    <row r="1135" spans="1:14">
      <c r="A1135" t="s">
        <v>171</v>
      </c>
      <c r="B1135">
        <v>12</v>
      </c>
      <c r="C1135" t="s">
        <v>135</v>
      </c>
      <c r="D1135">
        <v>2</v>
      </c>
      <c r="H1135" s="71" t="b">
        <f t="shared" si="42"/>
        <v>0</v>
      </c>
      <c r="J1135">
        <v>1</v>
      </c>
      <c r="N1135" s="71" t="b">
        <f t="shared" si="43"/>
        <v>0</v>
      </c>
    </row>
    <row r="1136" spans="1:14">
      <c r="A1136" t="s">
        <v>171</v>
      </c>
      <c r="B1136">
        <v>12</v>
      </c>
      <c r="C1136" t="s">
        <v>136</v>
      </c>
      <c r="D1136">
        <v>2</v>
      </c>
      <c r="H1136" s="71" t="b">
        <f t="shared" si="42"/>
        <v>0</v>
      </c>
      <c r="J1136">
        <v>1</v>
      </c>
      <c r="N1136" s="71" t="b">
        <f t="shared" si="43"/>
        <v>0</v>
      </c>
    </row>
    <row r="1137" spans="1:14">
      <c r="A1137" t="s">
        <v>171</v>
      </c>
      <c r="B1137">
        <v>12</v>
      </c>
      <c r="C1137" t="s">
        <v>137</v>
      </c>
      <c r="D1137">
        <v>2</v>
      </c>
      <c r="H1137" s="71" t="b">
        <f t="shared" si="42"/>
        <v>0</v>
      </c>
      <c r="J1137">
        <v>1</v>
      </c>
      <c r="N1137" s="71" t="b">
        <f t="shared" si="43"/>
        <v>0</v>
      </c>
    </row>
    <row r="1138" spans="1:14">
      <c r="A1138" t="s">
        <v>171</v>
      </c>
      <c r="B1138">
        <v>12</v>
      </c>
      <c r="C1138" t="s">
        <v>138</v>
      </c>
      <c r="D1138">
        <v>1</v>
      </c>
      <c r="H1138" s="71" t="b">
        <f t="shared" si="42"/>
        <v>0</v>
      </c>
      <c r="J1138">
        <v>1</v>
      </c>
      <c r="N1138" s="71" t="b">
        <f t="shared" si="43"/>
        <v>0</v>
      </c>
    </row>
    <row r="1139" spans="1:14">
      <c r="A1139" t="s">
        <v>171</v>
      </c>
      <c r="B1139">
        <v>12</v>
      </c>
      <c r="C1139" t="s">
        <v>139</v>
      </c>
      <c r="D1139">
        <v>1</v>
      </c>
      <c r="H1139" s="71" t="b">
        <f t="shared" si="42"/>
        <v>0</v>
      </c>
      <c r="J1139">
        <v>1</v>
      </c>
      <c r="N1139" s="71" t="b">
        <f t="shared" si="43"/>
        <v>0</v>
      </c>
    </row>
    <row r="1140" spans="1:14">
      <c r="A1140" t="s">
        <v>171</v>
      </c>
      <c r="B1140">
        <v>12</v>
      </c>
      <c r="C1140" t="s">
        <v>140</v>
      </c>
      <c r="D1140">
        <v>1</v>
      </c>
      <c r="H1140" s="71" t="b">
        <f t="shared" si="42"/>
        <v>0</v>
      </c>
      <c r="J1140">
        <v>1</v>
      </c>
      <c r="N1140" s="71" t="b">
        <f t="shared" si="43"/>
        <v>0</v>
      </c>
    </row>
    <row r="1141" spans="1:14">
      <c r="A1141" t="s">
        <v>171</v>
      </c>
      <c r="B1141">
        <v>12</v>
      </c>
      <c r="C1141" t="s">
        <v>141</v>
      </c>
      <c r="D1141">
        <v>1</v>
      </c>
      <c r="H1141" s="71" t="b">
        <f t="shared" si="42"/>
        <v>0</v>
      </c>
      <c r="J1141">
        <v>1</v>
      </c>
      <c r="N1141" s="71" t="b">
        <f t="shared" si="43"/>
        <v>0</v>
      </c>
    </row>
    <row r="1142" spans="1:14">
      <c r="A1142" t="s">
        <v>171</v>
      </c>
      <c r="B1142">
        <v>12</v>
      </c>
      <c r="C1142" t="s">
        <v>142</v>
      </c>
      <c r="D1142">
        <v>2</v>
      </c>
      <c r="H1142" s="71" t="b">
        <f t="shared" si="42"/>
        <v>0</v>
      </c>
      <c r="J1142">
        <v>1</v>
      </c>
      <c r="N1142" s="71" t="b">
        <f t="shared" si="43"/>
        <v>0</v>
      </c>
    </row>
    <row r="1143" spans="1:14">
      <c r="A1143" t="s">
        <v>171</v>
      </c>
      <c r="B1143">
        <v>12</v>
      </c>
      <c r="C1143" t="s">
        <v>143</v>
      </c>
      <c r="D1143">
        <v>1</v>
      </c>
      <c r="H1143" s="71" t="b">
        <f t="shared" si="42"/>
        <v>0</v>
      </c>
      <c r="J1143">
        <v>2</v>
      </c>
      <c r="N1143" s="71" t="b">
        <f t="shared" si="43"/>
        <v>0</v>
      </c>
    </row>
    <row r="1144" spans="1:14">
      <c r="A1144" t="s">
        <v>171</v>
      </c>
      <c r="B1144">
        <v>12</v>
      </c>
      <c r="C1144" t="s">
        <v>144</v>
      </c>
      <c r="D1144">
        <v>1</v>
      </c>
      <c r="H1144" s="71" t="b">
        <f t="shared" si="42"/>
        <v>0</v>
      </c>
      <c r="J1144">
        <v>2</v>
      </c>
      <c r="N1144" s="71" t="b">
        <f t="shared" si="43"/>
        <v>0</v>
      </c>
    </row>
    <row r="1145" spans="1:14">
      <c r="A1145" t="s">
        <v>171</v>
      </c>
      <c r="B1145">
        <v>12</v>
      </c>
      <c r="C1145" t="s">
        <v>145</v>
      </c>
      <c r="D1145">
        <v>1</v>
      </c>
      <c r="H1145" s="71" t="b">
        <f t="shared" si="42"/>
        <v>0</v>
      </c>
      <c r="J1145">
        <v>0</v>
      </c>
    </row>
    <row r="1146" spans="1:14">
      <c r="A1146" t="s">
        <v>171</v>
      </c>
      <c r="B1146">
        <v>12</v>
      </c>
      <c r="C1146" t="s">
        <v>146</v>
      </c>
      <c r="D1146">
        <v>1</v>
      </c>
      <c r="H1146" s="71" t="b">
        <f t="shared" si="42"/>
        <v>0</v>
      </c>
      <c r="J1146">
        <v>0</v>
      </c>
    </row>
    <row r="1147" spans="1:14">
      <c r="A1147" t="s">
        <v>171</v>
      </c>
      <c r="B1147">
        <v>12</v>
      </c>
      <c r="C1147" t="s">
        <v>147</v>
      </c>
      <c r="D1147">
        <v>1</v>
      </c>
      <c r="H1147" s="71" t="b">
        <f t="shared" si="42"/>
        <v>0</v>
      </c>
      <c r="J1147">
        <v>2</v>
      </c>
      <c r="N1147" s="71" t="b">
        <f>IF(AND(ISBLANK(K1147),ISBLANK(L1147),ISBLANK(M1147)),FALSE,TRUE)</f>
        <v>0</v>
      </c>
    </row>
    <row r="1148" spans="1:14">
      <c r="A1148" t="s">
        <v>171</v>
      </c>
      <c r="B1148">
        <v>12</v>
      </c>
      <c r="C1148" t="s">
        <v>148</v>
      </c>
      <c r="D1148">
        <v>2</v>
      </c>
      <c r="H1148" s="71" t="b">
        <f t="shared" si="42"/>
        <v>0</v>
      </c>
      <c r="J1148">
        <v>2</v>
      </c>
      <c r="N1148" s="71" t="b">
        <f>IF(AND(ISBLANK(K1148),ISBLANK(L1148),ISBLANK(M1148)),FALSE,TRUE)</f>
        <v>0</v>
      </c>
    </row>
    <row r="1149" spans="1:14">
      <c r="A1149" t="s">
        <v>171</v>
      </c>
      <c r="B1149">
        <v>12</v>
      </c>
      <c r="C1149" t="s">
        <v>149</v>
      </c>
      <c r="D1149">
        <v>3</v>
      </c>
      <c r="H1149" s="71" t="b">
        <f t="shared" si="42"/>
        <v>0</v>
      </c>
      <c r="J1149">
        <v>0</v>
      </c>
    </row>
    <row r="1150" spans="1:14">
      <c r="A1150" t="s">
        <v>171</v>
      </c>
      <c r="B1150">
        <v>12</v>
      </c>
      <c r="C1150" t="s">
        <v>150</v>
      </c>
      <c r="D1150">
        <v>3</v>
      </c>
      <c r="H1150" s="71" t="b">
        <f t="shared" si="42"/>
        <v>0</v>
      </c>
      <c r="J1150">
        <v>0</v>
      </c>
    </row>
    <row r="1151" spans="1:14">
      <c r="A1151" t="s">
        <v>171</v>
      </c>
      <c r="B1151">
        <v>12</v>
      </c>
      <c r="C1151" t="s">
        <v>151</v>
      </c>
      <c r="D1151">
        <v>2</v>
      </c>
      <c r="H1151" s="71" t="b">
        <f t="shared" si="42"/>
        <v>0</v>
      </c>
      <c r="J1151">
        <v>0</v>
      </c>
    </row>
    <row r="1152" spans="1:14">
      <c r="A1152" t="s">
        <v>171</v>
      </c>
      <c r="B1152">
        <v>12</v>
      </c>
      <c r="C1152" t="s">
        <v>152</v>
      </c>
      <c r="D1152">
        <v>2</v>
      </c>
      <c r="H1152" s="71" t="b">
        <f t="shared" si="42"/>
        <v>0</v>
      </c>
      <c r="J1152">
        <v>0</v>
      </c>
    </row>
    <row r="1153" spans="1:14">
      <c r="A1153" t="s">
        <v>171</v>
      </c>
      <c r="B1153">
        <v>12</v>
      </c>
      <c r="C1153" t="s">
        <v>153</v>
      </c>
      <c r="D1153">
        <v>2</v>
      </c>
      <c r="H1153" s="71" t="b">
        <f t="shared" si="42"/>
        <v>0</v>
      </c>
      <c r="J1153">
        <v>0</v>
      </c>
    </row>
    <row r="1154" spans="1:14">
      <c r="A1154" t="s">
        <v>171</v>
      </c>
      <c r="B1154">
        <v>12</v>
      </c>
      <c r="C1154" t="s">
        <v>154</v>
      </c>
      <c r="D1154">
        <v>2</v>
      </c>
      <c r="H1154" s="71" t="b">
        <f t="shared" si="42"/>
        <v>0</v>
      </c>
      <c r="J1154">
        <v>0</v>
      </c>
    </row>
    <row r="1155" spans="1:14">
      <c r="A1155" t="s">
        <v>171</v>
      </c>
      <c r="B1155">
        <v>12</v>
      </c>
      <c r="C1155" t="s">
        <v>155</v>
      </c>
      <c r="D1155">
        <v>2</v>
      </c>
      <c r="H1155" s="71" t="b">
        <f t="shared" si="42"/>
        <v>0</v>
      </c>
      <c r="J1155">
        <v>0</v>
      </c>
    </row>
    <row r="1156" spans="1:14">
      <c r="A1156" t="s">
        <v>171</v>
      </c>
      <c r="B1156">
        <v>12</v>
      </c>
      <c r="C1156" t="s">
        <v>156</v>
      </c>
      <c r="D1156">
        <v>2</v>
      </c>
      <c r="H1156" s="71" t="b">
        <f t="shared" si="42"/>
        <v>0</v>
      </c>
      <c r="J1156">
        <v>0</v>
      </c>
    </row>
    <row r="1157" spans="1:14">
      <c r="A1157" t="s">
        <v>171</v>
      </c>
      <c r="B1157">
        <v>12</v>
      </c>
      <c r="C1157" t="s">
        <v>157</v>
      </c>
      <c r="D1157">
        <v>0</v>
      </c>
      <c r="H1157" s="71" t="b">
        <f t="shared" si="42"/>
        <v>0</v>
      </c>
      <c r="J1157">
        <v>8</v>
      </c>
      <c r="N1157" s="71" t="b">
        <f>IF(AND(ISBLANK(K1157),ISBLANK(L1157),ISBLANK(M1157)),FALSE,TRUE)</f>
        <v>0</v>
      </c>
    </row>
    <row r="1158" spans="1:14">
      <c r="A1158" t="s">
        <v>171</v>
      </c>
      <c r="B1158">
        <v>12</v>
      </c>
      <c r="C1158" t="s">
        <v>158</v>
      </c>
      <c r="D1158">
        <v>0</v>
      </c>
      <c r="H1158" s="71" t="b">
        <f t="shared" si="42"/>
        <v>0</v>
      </c>
      <c r="J1158">
        <v>8</v>
      </c>
      <c r="N1158" s="71" t="b">
        <f>IF(AND(ISBLANK(K1158),ISBLANK(L1158),ISBLANK(M1158)),FALSE,TRUE)</f>
        <v>0</v>
      </c>
    </row>
    <row r="1159" spans="1:14">
      <c r="A1159" t="s">
        <v>171</v>
      </c>
      <c r="B1159">
        <v>12</v>
      </c>
      <c r="C1159" t="s">
        <v>159</v>
      </c>
      <c r="D1159">
        <v>4</v>
      </c>
      <c r="H1159" s="71" t="b">
        <f t="shared" si="42"/>
        <v>0</v>
      </c>
      <c r="J1159">
        <v>4</v>
      </c>
      <c r="N1159" s="71" t="b">
        <f>IF(AND(ISBLANK(K1159),ISBLANK(L1159),ISBLANK(M1159)),FALSE,TRUE)</f>
        <v>0</v>
      </c>
    </row>
    <row r="1160" spans="1:14">
      <c r="A1160" t="s">
        <v>171</v>
      </c>
      <c r="B1160">
        <v>12</v>
      </c>
      <c r="C1160" t="s">
        <v>160</v>
      </c>
      <c r="D1160">
        <v>4</v>
      </c>
      <c r="H1160" s="71" t="b">
        <f t="shared" si="42"/>
        <v>0</v>
      </c>
      <c r="J1160">
        <v>8</v>
      </c>
      <c r="N1160" s="71" t="b">
        <f>IF(AND(ISBLANK(K1160),ISBLANK(L1160),ISBLANK(M1160)),FALSE,TRUE)</f>
        <v>0</v>
      </c>
    </row>
    <row r="1161" spans="1:14">
      <c r="A1161" t="s">
        <v>171</v>
      </c>
      <c r="B1161">
        <v>12</v>
      </c>
      <c r="C1161" t="s">
        <v>161</v>
      </c>
      <c r="D1161">
        <v>1</v>
      </c>
      <c r="H1161" s="71" t="b">
        <f t="shared" si="42"/>
        <v>0</v>
      </c>
      <c r="J1161">
        <v>0</v>
      </c>
    </row>
    <row r="1162" spans="1:14">
      <c r="A1162" t="s">
        <v>171</v>
      </c>
      <c r="B1162">
        <v>12</v>
      </c>
      <c r="C1162" t="s">
        <v>162</v>
      </c>
      <c r="D1162">
        <v>0</v>
      </c>
      <c r="H1162" s="71" t="b">
        <f t="shared" si="42"/>
        <v>0</v>
      </c>
      <c r="J1162">
        <v>0</v>
      </c>
    </row>
    <row r="1163" spans="1:14">
      <c r="A1163" t="s">
        <v>171</v>
      </c>
      <c r="B1163">
        <v>12</v>
      </c>
      <c r="C1163" t="s">
        <v>163</v>
      </c>
      <c r="D1163">
        <v>0</v>
      </c>
      <c r="H1163" s="71" t="b">
        <f t="shared" si="42"/>
        <v>0</v>
      </c>
      <c r="J1163">
        <v>6</v>
      </c>
      <c r="N1163" s="71" t="b">
        <f>IF(AND(ISBLANK(K1163),ISBLANK(L1163),ISBLANK(M1163)),FALSE,TRUE)</f>
        <v>0</v>
      </c>
    </row>
    <row r="1164" spans="1:14">
      <c r="A1164" t="s">
        <v>172</v>
      </c>
      <c r="B1164">
        <v>10</v>
      </c>
      <c r="C1164" t="s">
        <v>35</v>
      </c>
      <c r="D1164">
        <v>3</v>
      </c>
      <c r="H1164" s="71" t="b">
        <f>IF(AND(ISBLANK(E1164),ISBLANK(F1164),ISBLANK(G1164)),FALSE,TRUE)</f>
        <v>0</v>
      </c>
      <c r="J1164">
        <v>0</v>
      </c>
    </row>
    <row r="1165" spans="1:14">
      <c r="A1165" t="s">
        <v>172</v>
      </c>
      <c r="B1165">
        <v>10</v>
      </c>
      <c r="C1165" t="s">
        <v>36</v>
      </c>
      <c r="D1165">
        <v>2</v>
      </c>
      <c r="H1165" s="71" t="b">
        <f t="shared" ref="H1165:H1228" si="44">IF(AND(ISBLANK(E1165),ISBLANK(F1165),ISBLANK(G1165)),FALSE,TRUE)</f>
        <v>0</v>
      </c>
      <c r="J1165">
        <v>1</v>
      </c>
      <c r="N1165" s="71" t="b">
        <f>IF(AND(ISBLANK(K1165),ISBLANK(L1165),ISBLANK(M1165)),FALSE,TRUE)</f>
        <v>0</v>
      </c>
    </row>
    <row r="1166" spans="1:14">
      <c r="A1166" t="s">
        <v>172</v>
      </c>
      <c r="B1166">
        <v>10</v>
      </c>
      <c r="C1166" t="s">
        <v>37</v>
      </c>
      <c r="D1166">
        <v>1</v>
      </c>
      <c r="H1166" s="71" t="b">
        <f t="shared" si="44"/>
        <v>0</v>
      </c>
      <c r="J1166">
        <v>3</v>
      </c>
      <c r="N1166" s="71" t="b">
        <f>IF(AND(ISBLANK(K1166),ISBLANK(L1166),ISBLANK(M1166)),FALSE,TRUE)</f>
        <v>0</v>
      </c>
    </row>
    <row r="1167" spans="1:14">
      <c r="A1167" t="s">
        <v>172</v>
      </c>
      <c r="B1167">
        <v>10</v>
      </c>
      <c r="C1167" t="s">
        <v>38</v>
      </c>
      <c r="D1167">
        <v>1</v>
      </c>
      <c r="H1167" s="71" t="b">
        <f t="shared" si="44"/>
        <v>0</v>
      </c>
      <c r="J1167">
        <v>0</v>
      </c>
    </row>
    <row r="1168" spans="1:14">
      <c r="A1168" t="s">
        <v>172</v>
      </c>
      <c r="B1168">
        <v>10</v>
      </c>
      <c r="C1168" t="s">
        <v>39</v>
      </c>
      <c r="D1168">
        <v>1</v>
      </c>
      <c r="H1168" s="71" t="b">
        <f t="shared" si="44"/>
        <v>0</v>
      </c>
      <c r="J1168">
        <v>1</v>
      </c>
      <c r="N1168" s="71" t="b">
        <f>IF(AND(ISBLANK(K1168),ISBLANK(L1168),ISBLANK(M1168)),FALSE,TRUE)</f>
        <v>0</v>
      </c>
    </row>
    <row r="1169" spans="1:14">
      <c r="A1169" t="s">
        <v>172</v>
      </c>
      <c r="B1169">
        <v>10</v>
      </c>
      <c r="C1169" t="s">
        <v>40</v>
      </c>
      <c r="D1169">
        <v>1</v>
      </c>
      <c r="H1169" s="71" t="b">
        <f t="shared" si="44"/>
        <v>0</v>
      </c>
      <c r="J1169">
        <v>1</v>
      </c>
      <c r="N1169" s="71" t="b">
        <f>IF(AND(ISBLANK(K1169),ISBLANK(L1169),ISBLANK(M1169)),FALSE,TRUE)</f>
        <v>0</v>
      </c>
    </row>
    <row r="1170" spans="1:14">
      <c r="A1170" t="s">
        <v>172</v>
      </c>
      <c r="B1170">
        <v>10</v>
      </c>
      <c r="C1170" t="s">
        <v>41</v>
      </c>
      <c r="D1170">
        <v>1</v>
      </c>
      <c r="H1170" s="71" t="b">
        <f t="shared" si="44"/>
        <v>0</v>
      </c>
      <c r="J1170">
        <v>1</v>
      </c>
      <c r="N1170" s="71" t="b">
        <f>IF(AND(ISBLANK(K1170),ISBLANK(L1170),ISBLANK(M1170)),FALSE,TRUE)</f>
        <v>0</v>
      </c>
    </row>
    <row r="1171" spans="1:14">
      <c r="A1171" t="s">
        <v>172</v>
      </c>
      <c r="B1171">
        <v>10</v>
      </c>
      <c r="C1171" t="s">
        <v>42</v>
      </c>
      <c r="D1171">
        <v>1</v>
      </c>
      <c r="H1171" s="71" t="b">
        <f t="shared" si="44"/>
        <v>0</v>
      </c>
      <c r="J1171">
        <v>0</v>
      </c>
    </row>
    <row r="1172" spans="1:14">
      <c r="A1172" t="s">
        <v>172</v>
      </c>
      <c r="B1172">
        <v>10</v>
      </c>
      <c r="C1172" t="s">
        <v>43</v>
      </c>
      <c r="D1172">
        <v>1</v>
      </c>
      <c r="H1172" s="71" t="b">
        <f t="shared" si="44"/>
        <v>0</v>
      </c>
      <c r="J1172">
        <v>0</v>
      </c>
    </row>
    <row r="1173" spans="1:14">
      <c r="A1173" t="s">
        <v>172</v>
      </c>
      <c r="B1173">
        <v>10</v>
      </c>
      <c r="C1173" t="s">
        <v>44</v>
      </c>
      <c r="D1173">
        <v>1</v>
      </c>
      <c r="H1173" s="71" t="b">
        <f t="shared" si="44"/>
        <v>0</v>
      </c>
      <c r="J1173">
        <v>2</v>
      </c>
      <c r="N1173" s="71" t="b">
        <f>IF(AND(ISBLANK(K1173),ISBLANK(L1173),ISBLANK(M1173)),FALSE,TRUE)</f>
        <v>0</v>
      </c>
    </row>
    <row r="1174" spans="1:14">
      <c r="A1174" t="s">
        <v>172</v>
      </c>
      <c r="B1174">
        <v>10</v>
      </c>
      <c r="C1174" t="s">
        <v>45</v>
      </c>
      <c r="D1174">
        <v>1</v>
      </c>
      <c r="H1174" s="71" t="b">
        <f t="shared" si="44"/>
        <v>0</v>
      </c>
      <c r="J1174">
        <v>1</v>
      </c>
      <c r="N1174" s="71" t="b">
        <f>IF(AND(ISBLANK(K1174),ISBLANK(L1174),ISBLANK(M1174)),FALSE,TRUE)</f>
        <v>0</v>
      </c>
    </row>
    <row r="1175" spans="1:14">
      <c r="A1175" t="s">
        <v>172</v>
      </c>
      <c r="B1175">
        <v>10</v>
      </c>
      <c r="C1175" t="s">
        <v>46</v>
      </c>
      <c r="D1175">
        <v>1</v>
      </c>
      <c r="H1175" s="71" t="b">
        <f t="shared" si="44"/>
        <v>0</v>
      </c>
      <c r="J1175">
        <v>1</v>
      </c>
      <c r="N1175" s="71" t="b">
        <f>IF(AND(ISBLANK(K1175),ISBLANK(L1175),ISBLANK(M1175)),FALSE,TRUE)</f>
        <v>0</v>
      </c>
    </row>
    <row r="1176" spans="1:14">
      <c r="A1176" t="s">
        <v>172</v>
      </c>
      <c r="B1176">
        <v>10</v>
      </c>
      <c r="C1176" t="s">
        <v>47</v>
      </c>
      <c r="D1176">
        <v>3</v>
      </c>
      <c r="H1176" s="71" t="b">
        <f t="shared" si="44"/>
        <v>0</v>
      </c>
      <c r="J1176">
        <v>0</v>
      </c>
    </row>
    <row r="1177" spans="1:14">
      <c r="A1177" t="s">
        <v>172</v>
      </c>
      <c r="B1177">
        <v>10</v>
      </c>
      <c r="C1177" t="s">
        <v>48</v>
      </c>
      <c r="D1177">
        <v>2</v>
      </c>
      <c r="H1177" s="71" t="b">
        <f t="shared" si="44"/>
        <v>0</v>
      </c>
      <c r="J1177">
        <v>2</v>
      </c>
      <c r="N1177" s="71" t="b">
        <f>IF(AND(ISBLANK(K1177),ISBLANK(L1177),ISBLANK(M1177)),FALSE,TRUE)</f>
        <v>0</v>
      </c>
    </row>
    <row r="1178" spans="1:14">
      <c r="A1178" t="s">
        <v>172</v>
      </c>
      <c r="B1178">
        <v>10</v>
      </c>
      <c r="C1178" t="s">
        <v>49</v>
      </c>
      <c r="D1178">
        <v>4</v>
      </c>
      <c r="H1178" s="71" t="b">
        <f t="shared" si="44"/>
        <v>0</v>
      </c>
      <c r="J1178">
        <v>0</v>
      </c>
    </row>
    <row r="1179" spans="1:14">
      <c r="A1179" t="s">
        <v>172</v>
      </c>
      <c r="B1179">
        <v>10</v>
      </c>
      <c r="C1179" t="s">
        <v>50</v>
      </c>
      <c r="D1179">
        <v>2</v>
      </c>
      <c r="H1179" s="71" t="b">
        <f t="shared" si="44"/>
        <v>0</v>
      </c>
      <c r="J1179">
        <v>0</v>
      </c>
    </row>
    <row r="1180" spans="1:14">
      <c r="A1180" t="s">
        <v>172</v>
      </c>
      <c r="B1180">
        <v>10</v>
      </c>
      <c r="C1180" t="s">
        <v>51</v>
      </c>
      <c r="D1180">
        <v>0</v>
      </c>
      <c r="H1180" s="71" t="b">
        <f t="shared" si="44"/>
        <v>0</v>
      </c>
      <c r="J1180">
        <v>8</v>
      </c>
      <c r="N1180" s="71" t="b">
        <f>IF(AND(ISBLANK(K1180),ISBLANK(L1180),ISBLANK(M1180)),FALSE,TRUE)</f>
        <v>0</v>
      </c>
    </row>
    <row r="1181" spans="1:14">
      <c r="A1181" t="s">
        <v>172</v>
      </c>
      <c r="B1181">
        <v>10</v>
      </c>
      <c r="C1181" t="s">
        <v>52</v>
      </c>
      <c r="D1181">
        <v>0</v>
      </c>
      <c r="H1181" s="71" t="b">
        <f t="shared" si="44"/>
        <v>0</v>
      </c>
      <c r="J1181">
        <v>8</v>
      </c>
      <c r="N1181" s="71" t="b">
        <f>IF(AND(ISBLANK(K1181),ISBLANK(L1181),ISBLANK(M1181)),FALSE,TRUE)</f>
        <v>0</v>
      </c>
    </row>
    <row r="1182" spans="1:14">
      <c r="A1182" t="s">
        <v>172</v>
      </c>
      <c r="B1182">
        <v>10</v>
      </c>
      <c r="C1182" t="s">
        <v>53</v>
      </c>
      <c r="D1182">
        <v>2</v>
      </c>
      <c r="H1182" s="71" t="b">
        <f t="shared" si="44"/>
        <v>0</v>
      </c>
      <c r="J1182">
        <v>0</v>
      </c>
    </row>
    <row r="1183" spans="1:14">
      <c r="A1183" t="s">
        <v>172</v>
      </c>
      <c r="B1183">
        <v>10</v>
      </c>
      <c r="C1183" t="s">
        <v>54</v>
      </c>
      <c r="D1183">
        <v>1</v>
      </c>
      <c r="H1183" s="71" t="b">
        <f t="shared" si="44"/>
        <v>0</v>
      </c>
      <c r="J1183">
        <v>2</v>
      </c>
      <c r="N1183" s="71" t="b">
        <f>IF(AND(ISBLANK(K1183),ISBLANK(L1183),ISBLANK(M1183)),FALSE,TRUE)</f>
        <v>0</v>
      </c>
    </row>
    <row r="1184" spans="1:14">
      <c r="A1184" t="s">
        <v>172</v>
      </c>
      <c r="B1184">
        <v>10</v>
      </c>
      <c r="C1184" t="s">
        <v>55</v>
      </c>
      <c r="D1184">
        <v>1</v>
      </c>
      <c r="H1184" s="71" t="b">
        <f t="shared" si="44"/>
        <v>0</v>
      </c>
      <c r="J1184">
        <v>2</v>
      </c>
      <c r="N1184" s="71" t="b">
        <f>IF(AND(ISBLANK(K1184),ISBLANK(L1184),ISBLANK(M1184)),FALSE,TRUE)</f>
        <v>0</v>
      </c>
    </row>
    <row r="1185" spans="1:14">
      <c r="A1185" t="s">
        <v>172</v>
      </c>
      <c r="B1185">
        <v>10</v>
      </c>
      <c r="C1185" t="s">
        <v>56</v>
      </c>
      <c r="D1185">
        <v>1</v>
      </c>
      <c r="H1185" s="71" t="b">
        <f t="shared" si="44"/>
        <v>0</v>
      </c>
      <c r="J1185">
        <v>0</v>
      </c>
    </row>
    <row r="1186" spans="1:14">
      <c r="A1186" t="s">
        <v>172</v>
      </c>
      <c r="B1186">
        <v>10</v>
      </c>
      <c r="C1186" t="s">
        <v>57</v>
      </c>
      <c r="D1186">
        <v>1</v>
      </c>
      <c r="H1186" s="71" t="b">
        <f t="shared" si="44"/>
        <v>0</v>
      </c>
      <c r="J1186">
        <v>0</v>
      </c>
    </row>
    <row r="1187" spans="1:14">
      <c r="A1187" t="s">
        <v>172</v>
      </c>
      <c r="B1187">
        <v>10</v>
      </c>
      <c r="C1187" t="s">
        <v>58</v>
      </c>
      <c r="D1187">
        <v>1</v>
      </c>
      <c r="H1187" s="71" t="b">
        <f t="shared" si="44"/>
        <v>0</v>
      </c>
      <c r="J1187">
        <v>2</v>
      </c>
      <c r="N1187" s="71" t="b">
        <f>IF(AND(ISBLANK(K1187),ISBLANK(L1187),ISBLANK(M1187)),FALSE,TRUE)</f>
        <v>0</v>
      </c>
    </row>
    <row r="1188" spans="1:14">
      <c r="A1188" t="s">
        <v>172</v>
      </c>
      <c r="B1188">
        <v>10</v>
      </c>
      <c r="C1188" t="s">
        <v>59</v>
      </c>
      <c r="D1188">
        <v>1</v>
      </c>
      <c r="H1188" s="71" t="b">
        <f t="shared" si="44"/>
        <v>0</v>
      </c>
      <c r="J1188">
        <v>0</v>
      </c>
    </row>
    <row r="1189" spans="1:14">
      <c r="A1189" t="s">
        <v>172</v>
      </c>
      <c r="B1189">
        <v>10</v>
      </c>
      <c r="C1189" t="s">
        <v>60</v>
      </c>
      <c r="D1189">
        <v>1</v>
      </c>
      <c r="H1189" s="71" t="b">
        <f t="shared" si="44"/>
        <v>0</v>
      </c>
      <c r="J1189">
        <v>2</v>
      </c>
      <c r="N1189" s="71" t="b">
        <f>IF(AND(ISBLANK(K1189),ISBLANK(L1189),ISBLANK(M1189)),FALSE,TRUE)</f>
        <v>0</v>
      </c>
    </row>
    <row r="1190" spans="1:14">
      <c r="A1190" t="s">
        <v>172</v>
      </c>
      <c r="B1190">
        <v>10</v>
      </c>
      <c r="C1190" t="s">
        <v>61</v>
      </c>
      <c r="D1190">
        <v>1</v>
      </c>
      <c r="H1190" s="71" t="b">
        <f t="shared" si="44"/>
        <v>0</v>
      </c>
      <c r="J1190">
        <v>2</v>
      </c>
      <c r="N1190" s="71" t="b">
        <f>IF(AND(ISBLANK(K1190),ISBLANK(L1190),ISBLANK(M1190)),FALSE,TRUE)</f>
        <v>0</v>
      </c>
    </row>
    <row r="1191" spans="1:14">
      <c r="A1191" t="s">
        <v>172</v>
      </c>
      <c r="B1191">
        <v>10</v>
      </c>
      <c r="C1191" t="s">
        <v>62</v>
      </c>
      <c r="D1191">
        <v>1</v>
      </c>
      <c r="H1191" s="71" t="b">
        <f t="shared" si="44"/>
        <v>0</v>
      </c>
      <c r="J1191">
        <v>2</v>
      </c>
      <c r="N1191" s="71" t="b">
        <f>IF(AND(ISBLANK(K1191),ISBLANK(L1191),ISBLANK(M1191)),FALSE,TRUE)</f>
        <v>0</v>
      </c>
    </row>
    <row r="1192" spans="1:14">
      <c r="A1192" t="s">
        <v>172</v>
      </c>
      <c r="B1192">
        <v>10</v>
      </c>
      <c r="C1192" t="s">
        <v>63</v>
      </c>
      <c r="D1192">
        <v>1</v>
      </c>
      <c r="H1192" s="71" t="b">
        <f t="shared" si="44"/>
        <v>0</v>
      </c>
      <c r="J1192">
        <v>0</v>
      </c>
    </row>
    <row r="1193" spans="1:14">
      <c r="A1193" t="s">
        <v>172</v>
      </c>
      <c r="B1193">
        <v>10</v>
      </c>
      <c r="C1193" t="s">
        <v>64</v>
      </c>
      <c r="D1193">
        <v>1</v>
      </c>
      <c r="H1193" s="71" t="b">
        <f t="shared" si="44"/>
        <v>0</v>
      </c>
      <c r="J1193">
        <v>3</v>
      </c>
      <c r="N1193" s="71" t="b">
        <f>IF(AND(ISBLANK(K1193),ISBLANK(L1193),ISBLANK(M1193)),FALSE,TRUE)</f>
        <v>0</v>
      </c>
    </row>
    <row r="1194" spans="1:14">
      <c r="A1194" t="s">
        <v>172</v>
      </c>
      <c r="B1194">
        <v>10</v>
      </c>
      <c r="C1194" t="s">
        <v>65</v>
      </c>
      <c r="D1194">
        <v>4</v>
      </c>
      <c r="H1194" s="71" t="b">
        <f t="shared" si="44"/>
        <v>0</v>
      </c>
      <c r="J1194">
        <v>4</v>
      </c>
      <c r="N1194" s="71" t="b">
        <f>IF(AND(ISBLANK(K1194),ISBLANK(L1194),ISBLANK(M1194)),FALSE,TRUE)</f>
        <v>0</v>
      </c>
    </row>
    <row r="1195" spans="1:14">
      <c r="A1195" t="s">
        <v>172</v>
      </c>
      <c r="B1195">
        <v>10</v>
      </c>
      <c r="C1195" t="s">
        <v>66</v>
      </c>
      <c r="D1195">
        <v>3</v>
      </c>
      <c r="H1195" s="71" t="b">
        <f t="shared" si="44"/>
        <v>0</v>
      </c>
      <c r="J1195">
        <v>0</v>
      </c>
    </row>
    <row r="1196" spans="1:14">
      <c r="A1196" t="s">
        <v>172</v>
      </c>
      <c r="B1196">
        <v>10</v>
      </c>
      <c r="C1196" t="s">
        <v>67</v>
      </c>
      <c r="D1196">
        <v>2</v>
      </c>
      <c r="H1196" s="71" t="b">
        <f t="shared" si="44"/>
        <v>0</v>
      </c>
      <c r="J1196">
        <v>4</v>
      </c>
      <c r="N1196" s="71" t="b">
        <f>IF(AND(ISBLANK(K1196),ISBLANK(L1196),ISBLANK(M1196)),FALSE,TRUE)</f>
        <v>0</v>
      </c>
    </row>
    <row r="1197" spans="1:14">
      <c r="A1197" t="s">
        <v>172</v>
      </c>
      <c r="B1197">
        <v>10</v>
      </c>
      <c r="C1197" t="s">
        <v>68</v>
      </c>
      <c r="D1197">
        <v>4</v>
      </c>
      <c r="H1197" s="71" t="b">
        <f t="shared" si="44"/>
        <v>0</v>
      </c>
      <c r="J1197">
        <v>4</v>
      </c>
      <c r="N1197" s="71" t="b">
        <f>IF(AND(ISBLANK(K1197),ISBLANK(L1197),ISBLANK(M1197)),FALSE,TRUE)</f>
        <v>0</v>
      </c>
    </row>
    <row r="1198" spans="1:14">
      <c r="A1198" t="s">
        <v>172</v>
      </c>
      <c r="B1198">
        <v>10</v>
      </c>
      <c r="C1198" t="s">
        <v>69</v>
      </c>
      <c r="D1198">
        <v>2</v>
      </c>
      <c r="H1198" s="71" t="b">
        <f t="shared" si="44"/>
        <v>0</v>
      </c>
      <c r="J1198">
        <v>2</v>
      </c>
      <c r="N1198" s="71" t="b">
        <f>IF(AND(ISBLANK(K1198),ISBLANK(L1198),ISBLANK(M1198)),FALSE,TRUE)</f>
        <v>0</v>
      </c>
    </row>
    <row r="1199" spans="1:14">
      <c r="A1199" t="s">
        <v>172</v>
      </c>
      <c r="B1199">
        <v>10</v>
      </c>
      <c r="C1199" t="s">
        <v>70</v>
      </c>
      <c r="D1199">
        <v>2</v>
      </c>
      <c r="H1199" s="71" t="b">
        <f t="shared" si="44"/>
        <v>0</v>
      </c>
      <c r="J1199">
        <v>3</v>
      </c>
      <c r="N1199" s="71" t="b">
        <f>IF(AND(ISBLANK(K1199),ISBLANK(L1199),ISBLANK(M1199)),FALSE,TRUE)</f>
        <v>0</v>
      </c>
    </row>
    <row r="1200" spans="1:14">
      <c r="A1200" t="s">
        <v>172</v>
      </c>
      <c r="B1200">
        <v>10</v>
      </c>
      <c r="C1200" t="s">
        <v>71</v>
      </c>
      <c r="D1200">
        <v>1</v>
      </c>
      <c r="H1200" s="71" t="b">
        <f t="shared" si="44"/>
        <v>0</v>
      </c>
      <c r="J1200">
        <v>0</v>
      </c>
    </row>
    <row r="1201" spans="1:14">
      <c r="A1201" t="s">
        <v>172</v>
      </c>
      <c r="B1201">
        <v>10</v>
      </c>
      <c r="C1201" t="s">
        <v>72</v>
      </c>
      <c r="D1201">
        <v>1</v>
      </c>
      <c r="H1201" s="71" t="b">
        <f t="shared" si="44"/>
        <v>0</v>
      </c>
      <c r="J1201">
        <v>4</v>
      </c>
      <c r="N1201" s="71" t="b">
        <f>IF(AND(ISBLANK(K1201),ISBLANK(L1201),ISBLANK(M1201)),FALSE,TRUE)</f>
        <v>0</v>
      </c>
    </row>
    <row r="1202" spans="1:14">
      <c r="A1202" t="s">
        <v>172</v>
      </c>
      <c r="B1202">
        <v>10</v>
      </c>
      <c r="C1202" t="s">
        <v>73</v>
      </c>
      <c r="D1202">
        <v>2</v>
      </c>
      <c r="H1202" s="71" t="b">
        <f t="shared" si="44"/>
        <v>0</v>
      </c>
      <c r="J1202">
        <v>3</v>
      </c>
      <c r="N1202" s="71" t="b">
        <f>IF(AND(ISBLANK(K1202),ISBLANK(L1202),ISBLANK(M1202)),FALSE,TRUE)</f>
        <v>0</v>
      </c>
    </row>
    <row r="1203" spans="1:14">
      <c r="A1203" t="s">
        <v>172</v>
      </c>
      <c r="B1203">
        <v>10</v>
      </c>
      <c r="C1203" t="s">
        <v>74</v>
      </c>
      <c r="D1203">
        <v>2</v>
      </c>
      <c r="H1203" s="71" t="b">
        <f t="shared" si="44"/>
        <v>0</v>
      </c>
      <c r="J1203">
        <v>0</v>
      </c>
    </row>
    <row r="1204" spans="1:14">
      <c r="A1204" t="s">
        <v>172</v>
      </c>
      <c r="B1204">
        <v>10</v>
      </c>
      <c r="C1204" t="s">
        <v>75</v>
      </c>
      <c r="D1204">
        <v>2</v>
      </c>
      <c r="H1204" s="71" t="b">
        <f t="shared" si="44"/>
        <v>0</v>
      </c>
      <c r="J1204">
        <v>0</v>
      </c>
    </row>
    <row r="1205" spans="1:14">
      <c r="A1205" t="s">
        <v>172</v>
      </c>
      <c r="B1205">
        <v>10</v>
      </c>
      <c r="C1205" t="s">
        <v>76</v>
      </c>
      <c r="D1205">
        <v>2</v>
      </c>
      <c r="H1205" s="71" t="b">
        <f t="shared" si="44"/>
        <v>0</v>
      </c>
      <c r="J1205">
        <v>0</v>
      </c>
    </row>
    <row r="1206" spans="1:14">
      <c r="A1206" t="s">
        <v>172</v>
      </c>
      <c r="B1206">
        <v>10</v>
      </c>
      <c r="C1206" t="s">
        <v>77</v>
      </c>
      <c r="D1206">
        <v>2</v>
      </c>
      <c r="H1206" s="71" t="b">
        <f t="shared" si="44"/>
        <v>0</v>
      </c>
      <c r="J1206">
        <v>0</v>
      </c>
    </row>
    <row r="1207" spans="1:14">
      <c r="A1207" t="s">
        <v>172</v>
      </c>
      <c r="B1207">
        <v>10</v>
      </c>
      <c r="C1207" t="s">
        <v>78</v>
      </c>
      <c r="D1207">
        <v>2</v>
      </c>
      <c r="H1207" s="71" t="b">
        <f t="shared" si="44"/>
        <v>0</v>
      </c>
      <c r="J1207">
        <v>0</v>
      </c>
    </row>
    <row r="1208" spans="1:14">
      <c r="A1208" t="s">
        <v>172</v>
      </c>
      <c r="B1208">
        <v>10</v>
      </c>
      <c r="C1208" t="s">
        <v>79</v>
      </c>
      <c r="D1208">
        <v>2</v>
      </c>
      <c r="H1208" s="71" t="b">
        <f t="shared" si="44"/>
        <v>0</v>
      </c>
      <c r="J1208">
        <v>0</v>
      </c>
    </row>
    <row r="1209" spans="1:14">
      <c r="A1209" t="s">
        <v>172</v>
      </c>
      <c r="B1209">
        <v>11</v>
      </c>
      <c r="C1209" t="s">
        <v>80</v>
      </c>
      <c r="D1209">
        <v>1</v>
      </c>
      <c r="H1209" s="71" t="b">
        <f t="shared" si="44"/>
        <v>0</v>
      </c>
      <c r="J1209">
        <v>2</v>
      </c>
      <c r="N1209" s="71" t="b">
        <f t="shared" ref="N1209:N1218" si="45">IF(AND(ISBLANK(K1209),ISBLANK(L1209),ISBLANK(M1209)),FALSE,TRUE)</f>
        <v>0</v>
      </c>
    </row>
    <row r="1210" spans="1:14">
      <c r="A1210" t="s">
        <v>172</v>
      </c>
      <c r="B1210">
        <v>11</v>
      </c>
      <c r="C1210" t="s">
        <v>81</v>
      </c>
      <c r="D1210">
        <v>2</v>
      </c>
      <c r="H1210" s="71" t="b">
        <f t="shared" si="44"/>
        <v>0</v>
      </c>
      <c r="J1210">
        <v>2</v>
      </c>
      <c r="N1210" s="71" t="b">
        <f t="shared" si="45"/>
        <v>0</v>
      </c>
    </row>
    <row r="1211" spans="1:14">
      <c r="A1211" t="s">
        <v>172</v>
      </c>
      <c r="B1211">
        <v>11</v>
      </c>
      <c r="C1211" t="s">
        <v>82</v>
      </c>
      <c r="D1211">
        <v>2</v>
      </c>
      <c r="H1211" s="71" t="b">
        <f t="shared" si="44"/>
        <v>0</v>
      </c>
      <c r="J1211">
        <v>2</v>
      </c>
      <c r="N1211" s="71" t="b">
        <f t="shared" si="45"/>
        <v>0</v>
      </c>
    </row>
    <row r="1212" spans="1:14">
      <c r="A1212" t="s">
        <v>172</v>
      </c>
      <c r="B1212">
        <v>11</v>
      </c>
      <c r="C1212" t="s">
        <v>83</v>
      </c>
      <c r="D1212">
        <v>2</v>
      </c>
      <c r="H1212" s="71" t="b">
        <f t="shared" si="44"/>
        <v>0</v>
      </c>
      <c r="J1212">
        <v>2</v>
      </c>
      <c r="N1212" s="71" t="b">
        <f t="shared" si="45"/>
        <v>0</v>
      </c>
    </row>
    <row r="1213" spans="1:14">
      <c r="A1213" t="s">
        <v>172</v>
      </c>
      <c r="B1213">
        <v>11</v>
      </c>
      <c r="C1213" t="s">
        <v>84</v>
      </c>
      <c r="D1213">
        <v>2</v>
      </c>
      <c r="H1213" s="71" t="b">
        <f t="shared" si="44"/>
        <v>0</v>
      </c>
      <c r="J1213">
        <v>2</v>
      </c>
      <c r="N1213" s="71" t="b">
        <f t="shared" si="45"/>
        <v>0</v>
      </c>
    </row>
    <row r="1214" spans="1:14">
      <c r="A1214" t="s">
        <v>172</v>
      </c>
      <c r="B1214">
        <v>11</v>
      </c>
      <c r="C1214" t="s">
        <v>85</v>
      </c>
      <c r="D1214">
        <v>1</v>
      </c>
      <c r="H1214" s="71" t="b">
        <f t="shared" si="44"/>
        <v>0</v>
      </c>
      <c r="J1214">
        <v>2</v>
      </c>
      <c r="N1214" s="71" t="b">
        <f t="shared" si="45"/>
        <v>0</v>
      </c>
    </row>
    <row r="1215" spans="1:14">
      <c r="A1215" t="s">
        <v>172</v>
      </c>
      <c r="B1215">
        <v>11</v>
      </c>
      <c r="C1215" t="s">
        <v>86</v>
      </c>
      <c r="D1215">
        <v>1</v>
      </c>
      <c r="H1215" s="71" t="b">
        <f t="shared" si="44"/>
        <v>0</v>
      </c>
      <c r="J1215">
        <v>2</v>
      </c>
      <c r="N1215" s="71" t="b">
        <f t="shared" si="45"/>
        <v>0</v>
      </c>
    </row>
    <row r="1216" spans="1:14">
      <c r="A1216" t="s">
        <v>172</v>
      </c>
      <c r="B1216">
        <v>11</v>
      </c>
      <c r="C1216" t="s">
        <v>87</v>
      </c>
      <c r="D1216">
        <v>1</v>
      </c>
      <c r="H1216" s="71" t="b">
        <f t="shared" si="44"/>
        <v>0</v>
      </c>
      <c r="J1216">
        <v>5</v>
      </c>
      <c r="N1216" s="71" t="b">
        <f t="shared" si="45"/>
        <v>0</v>
      </c>
    </row>
    <row r="1217" spans="1:14">
      <c r="A1217" t="s">
        <v>172</v>
      </c>
      <c r="B1217">
        <v>11</v>
      </c>
      <c r="C1217" t="s">
        <v>88</v>
      </c>
      <c r="D1217">
        <v>1</v>
      </c>
      <c r="H1217" s="71" t="b">
        <f t="shared" si="44"/>
        <v>0</v>
      </c>
      <c r="J1217">
        <v>2</v>
      </c>
      <c r="N1217" s="71" t="b">
        <f t="shared" si="45"/>
        <v>0</v>
      </c>
    </row>
    <row r="1218" spans="1:14">
      <c r="A1218" t="s">
        <v>172</v>
      </c>
      <c r="B1218">
        <v>11</v>
      </c>
      <c r="C1218" t="s">
        <v>89</v>
      </c>
      <c r="D1218">
        <v>2</v>
      </c>
      <c r="H1218" s="71" t="b">
        <f t="shared" si="44"/>
        <v>0</v>
      </c>
      <c r="J1218">
        <v>2</v>
      </c>
      <c r="N1218" s="71" t="b">
        <f t="shared" si="45"/>
        <v>0</v>
      </c>
    </row>
    <row r="1219" spans="1:14">
      <c r="A1219" t="s">
        <v>172</v>
      </c>
      <c r="B1219">
        <v>11</v>
      </c>
      <c r="C1219" t="s">
        <v>90</v>
      </c>
      <c r="D1219">
        <v>2</v>
      </c>
      <c r="H1219" s="71" t="b">
        <f t="shared" si="44"/>
        <v>0</v>
      </c>
      <c r="J1219">
        <v>0</v>
      </c>
    </row>
    <row r="1220" spans="1:14">
      <c r="A1220" t="s">
        <v>172</v>
      </c>
      <c r="B1220">
        <v>11</v>
      </c>
      <c r="C1220" t="s">
        <v>91</v>
      </c>
      <c r="D1220">
        <v>2</v>
      </c>
      <c r="H1220" s="71" t="b">
        <f t="shared" si="44"/>
        <v>0</v>
      </c>
      <c r="J1220">
        <v>1</v>
      </c>
      <c r="N1220" s="71" t="b">
        <f>IF(AND(ISBLANK(K1220),ISBLANK(L1220),ISBLANK(M1220)),FALSE,TRUE)</f>
        <v>0</v>
      </c>
    </row>
    <row r="1221" spans="1:14">
      <c r="A1221" t="s">
        <v>172</v>
      </c>
      <c r="B1221">
        <v>11</v>
      </c>
      <c r="C1221" t="s">
        <v>92</v>
      </c>
      <c r="D1221">
        <v>1</v>
      </c>
      <c r="H1221" s="71" t="b">
        <f t="shared" si="44"/>
        <v>0</v>
      </c>
      <c r="J1221">
        <v>0</v>
      </c>
    </row>
    <row r="1222" spans="1:14">
      <c r="A1222" t="s">
        <v>172</v>
      </c>
      <c r="B1222">
        <v>11</v>
      </c>
      <c r="C1222" t="s">
        <v>93</v>
      </c>
      <c r="D1222">
        <v>1</v>
      </c>
      <c r="H1222" s="71" t="b">
        <f t="shared" si="44"/>
        <v>0</v>
      </c>
      <c r="J1222">
        <v>0</v>
      </c>
    </row>
    <row r="1223" spans="1:14">
      <c r="A1223" t="s">
        <v>172</v>
      </c>
      <c r="B1223">
        <v>11</v>
      </c>
      <c r="C1223" t="s">
        <v>94</v>
      </c>
      <c r="D1223">
        <v>1</v>
      </c>
      <c r="H1223" s="71" t="b">
        <f t="shared" si="44"/>
        <v>0</v>
      </c>
      <c r="J1223">
        <v>3</v>
      </c>
      <c r="N1223" s="71" t="b">
        <f t="shared" ref="N1223:N1242" si="46">IF(AND(ISBLANK(K1223),ISBLANK(L1223),ISBLANK(M1223)),FALSE,TRUE)</f>
        <v>0</v>
      </c>
    </row>
    <row r="1224" spans="1:14">
      <c r="A1224" t="s">
        <v>172</v>
      </c>
      <c r="B1224">
        <v>11</v>
      </c>
      <c r="C1224" t="s">
        <v>95</v>
      </c>
      <c r="D1224">
        <v>1</v>
      </c>
      <c r="H1224" s="71" t="b">
        <f t="shared" si="44"/>
        <v>0</v>
      </c>
      <c r="J1224">
        <v>2</v>
      </c>
      <c r="N1224" s="71" t="b">
        <f t="shared" si="46"/>
        <v>0</v>
      </c>
    </row>
    <row r="1225" spans="1:14">
      <c r="A1225" t="s">
        <v>172</v>
      </c>
      <c r="B1225">
        <v>11</v>
      </c>
      <c r="C1225" t="s">
        <v>96</v>
      </c>
      <c r="D1225">
        <v>1</v>
      </c>
      <c r="H1225" s="71" t="b">
        <f t="shared" si="44"/>
        <v>0</v>
      </c>
      <c r="J1225">
        <v>2</v>
      </c>
      <c r="N1225" s="71" t="b">
        <f t="shared" si="46"/>
        <v>0</v>
      </c>
    </row>
    <row r="1226" spans="1:14">
      <c r="A1226" t="s">
        <v>172</v>
      </c>
      <c r="B1226">
        <v>11</v>
      </c>
      <c r="C1226" t="s">
        <v>97</v>
      </c>
      <c r="D1226">
        <v>1</v>
      </c>
      <c r="H1226" s="71" t="b">
        <f t="shared" si="44"/>
        <v>0</v>
      </c>
      <c r="J1226">
        <v>2</v>
      </c>
      <c r="N1226" s="71" t="b">
        <f t="shared" si="46"/>
        <v>0</v>
      </c>
    </row>
    <row r="1227" spans="1:14">
      <c r="A1227" t="s">
        <v>172</v>
      </c>
      <c r="B1227">
        <v>11</v>
      </c>
      <c r="C1227" t="s">
        <v>98</v>
      </c>
      <c r="D1227">
        <v>1</v>
      </c>
      <c r="H1227" s="71" t="b">
        <f t="shared" si="44"/>
        <v>0</v>
      </c>
      <c r="J1227">
        <v>1</v>
      </c>
      <c r="N1227" s="71" t="b">
        <f t="shared" si="46"/>
        <v>0</v>
      </c>
    </row>
    <row r="1228" spans="1:14">
      <c r="A1228" t="s">
        <v>172</v>
      </c>
      <c r="B1228">
        <v>11</v>
      </c>
      <c r="C1228" t="s">
        <v>99</v>
      </c>
      <c r="D1228">
        <v>1</v>
      </c>
      <c r="H1228" s="71" t="b">
        <f t="shared" si="44"/>
        <v>0</v>
      </c>
      <c r="J1228">
        <v>1</v>
      </c>
      <c r="N1228" s="71" t="b">
        <f t="shared" si="46"/>
        <v>0</v>
      </c>
    </row>
    <row r="1229" spans="1:14">
      <c r="A1229" t="s">
        <v>172</v>
      </c>
      <c r="B1229">
        <v>11</v>
      </c>
      <c r="C1229" t="s">
        <v>100</v>
      </c>
      <c r="D1229">
        <v>1</v>
      </c>
      <c r="H1229" s="71" t="b">
        <f t="shared" ref="H1229:H1292" si="47">IF(AND(ISBLANK(E1229),ISBLANK(F1229),ISBLANK(G1229)),FALSE,TRUE)</f>
        <v>0</v>
      </c>
      <c r="J1229">
        <v>1</v>
      </c>
      <c r="N1229" s="71" t="b">
        <f t="shared" si="46"/>
        <v>0</v>
      </c>
    </row>
    <row r="1230" spans="1:14">
      <c r="A1230" t="s">
        <v>172</v>
      </c>
      <c r="B1230">
        <v>11</v>
      </c>
      <c r="C1230" t="s">
        <v>101</v>
      </c>
      <c r="D1230">
        <v>1</v>
      </c>
      <c r="H1230" s="71" t="b">
        <f t="shared" si="47"/>
        <v>0</v>
      </c>
      <c r="J1230">
        <v>2</v>
      </c>
      <c r="N1230" s="71" t="b">
        <f t="shared" si="46"/>
        <v>0</v>
      </c>
    </row>
    <row r="1231" spans="1:14">
      <c r="A1231" t="s">
        <v>172</v>
      </c>
      <c r="B1231">
        <v>11</v>
      </c>
      <c r="C1231" t="s">
        <v>102</v>
      </c>
      <c r="D1231">
        <v>1</v>
      </c>
      <c r="H1231" s="71" t="b">
        <f t="shared" si="47"/>
        <v>0</v>
      </c>
      <c r="J1231">
        <v>2</v>
      </c>
      <c r="N1231" s="71" t="b">
        <f t="shared" si="46"/>
        <v>0</v>
      </c>
    </row>
    <row r="1232" spans="1:14">
      <c r="A1232" t="s">
        <v>172</v>
      </c>
      <c r="B1232">
        <v>11</v>
      </c>
      <c r="C1232" t="s">
        <v>103</v>
      </c>
      <c r="D1232">
        <v>1</v>
      </c>
      <c r="H1232" s="71" t="b">
        <f t="shared" si="47"/>
        <v>0</v>
      </c>
      <c r="J1232">
        <v>1</v>
      </c>
      <c r="N1232" s="71" t="b">
        <f t="shared" si="46"/>
        <v>0</v>
      </c>
    </row>
    <row r="1233" spans="1:14">
      <c r="A1233" t="s">
        <v>172</v>
      </c>
      <c r="B1233">
        <v>11</v>
      </c>
      <c r="C1233" t="s">
        <v>104</v>
      </c>
      <c r="D1233">
        <v>1</v>
      </c>
      <c r="H1233" s="71" t="b">
        <f t="shared" si="47"/>
        <v>0</v>
      </c>
      <c r="J1233">
        <v>2</v>
      </c>
      <c r="N1233" s="71" t="b">
        <f t="shared" si="46"/>
        <v>0</v>
      </c>
    </row>
    <row r="1234" spans="1:14">
      <c r="A1234" t="s">
        <v>172</v>
      </c>
      <c r="B1234">
        <v>11</v>
      </c>
      <c r="C1234" t="s">
        <v>105</v>
      </c>
      <c r="D1234">
        <v>1</v>
      </c>
      <c r="H1234" s="71" t="b">
        <f t="shared" si="47"/>
        <v>0</v>
      </c>
      <c r="J1234">
        <v>2</v>
      </c>
      <c r="N1234" s="71" t="b">
        <f t="shared" si="46"/>
        <v>0</v>
      </c>
    </row>
    <row r="1235" spans="1:14">
      <c r="A1235" t="s">
        <v>172</v>
      </c>
      <c r="B1235">
        <v>11</v>
      </c>
      <c r="C1235" t="s">
        <v>106</v>
      </c>
      <c r="D1235">
        <v>2</v>
      </c>
      <c r="H1235" s="71" t="b">
        <f t="shared" si="47"/>
        <v>0</v>
      </c>
      <c r="J1235">
        <v>3</v>
      </c>
      <c r="N1235" s="71" t="b">
        <f t="shared" si="46"/>
        <v>0</v>
      </c>
    </row>
    <row r="1236" spans="1:14">
      <c r="A1236" t="s">
        <v>172</v>
      </c>
      <c r="B1236">
        <v>11</v>
      </c>
      <c r="C1236" t="s">
        <v>107</v>
      </c>
      <c r="D1236">
        <v>2</v>
      </c>
      <c r="H1236" s="71" t="b">
        <f t="shared" si="47"/>
        <v>0</v>
      </c>
      <c r="J1236">
        <v>3</v>
      </c>
      <c r="N1236" s="71" t="b">
        <f t="shared" si="46"/>
        <v>0</v>
      </c>
    </row>
    <row r="1237" spans="1:14">
      <c r="A1237" t="s">
        <v>172</v>
      </c>
      <c r="B1237">
        <v>11</v>
      </c>
      <c r="C1237" t="s">
        <v>108</v>
      </c>
      <c r="D1237">
        <v>1</v>
      </c>
      <c r="H1237" s="71" t="b">
        <f t="shared" si="47"/>
        <v>0</v>
      </c>
      <c r="J1237">
        <v>3</v>
      </c>
      <c r="N1237" s="71" t="b">
        <f t="shared" si="46"/>
        <v>0</v>
      </c>
    </row>
    <row r="1238" spans="1:14">
      <c r="A1238" t="s">
        <v>172</v>
      </c>
      <c r="B1238">
        <v>11</v>
      </c>
      <c r="C1238" t="s">
        <v>109</v>
      </c>
      <c r="D1238">
        <v>2</v>
      </c>
      <c r="H1238" s="71" t="b">
        <f t="shared" si="47"/>
        <v>0</v>
      </c>
      <c r="J1238">
        <v>3</v>
      </c>
      <c r="N1238" s="71" t="b">
        <f t="shared" si="46"/>
        <v>0</v>
      </c>
    </row>
    <row r="1239" spans="1:14">
      <c r="A1239" t="s">
        <v>172</v>
      </c>
      <c r="B1239">
        <v>11</v>
      </c>
      <c r="C1239" t="s">
        <v>110</v>
      </c>
      <c r="D1239">
        <v>2</v>
      </c>
      <c r="H1239" s="71" t="b">
        <f t="shared" si="47"/>
        <v>0</v>
      </c>
      <c r="J1239">
        <v>3</v>
      </c>
      <c r="N1239" s="71" t="b">
        <f t="shared" si="46"/>
        <v>0</v>
      </c>
    </row>
    <row r="1240" spans="1:14">
      <c r="A1240" t="s">
        <v>172</v>
      </c>
      <c r="B1240">
        <v>11</v>
      </c>
      <c r="C1240" t="s">
        <v>111</v>
      </c>
      <c r="D1240">
        <v>2</v>
      </c>
      <c r="H1240" s="71" t="b">
        <f t="shared" si="47"/>
        <v>0</v>
      </c>
      <c r="J1240">
        <v>3</v>
      </c>
      <c r="N1240" s="71" t="b">
        <f t="shared" si="46"/>
        <v>0</v>
      </c>
    </row>
    <row r="1241" spans="1:14">
      <c r="A1241" t="s">
        <v>172</v>
      </c>
      <c r="B1241">
        <v>11</v>
      </c>
      <c r="C1241" t="s">
        <v>112</v>
      </c>
      <c r="D1241">
        <v>2</v>
      </c>
      <c r="H1241" s="71" t="b">
        <f t="shared" si="47"/>
        <v>0</v>
      </c>
      <c r="J1241">
        <v>3</v>
      </c>
      <c r="N1241" s="71" t="b">
        <f t="shared" si="46"/>
        <v>0</v>
      </c>
    </row>
    <row r="1242" spans="1:14">
      <c r="A1242" t="s">
        <v>172</v>
      </c>
      <c r="B1242">
        <v>11</v>
      </c>
      <c r="C1242" t="s">
        <v>113</v>
      </c>
      <c r="D1242">
        <v>2</v>
      </c>
      <c r="H1242" s="71" t="b">
        <f t="shared" si="47"/>
        <v>0</v>
      </c>
      <c r="J1242">
        <v>2</v>
      </c>
      <c r="N1242" s="71" t="b">
        <f t="shared" si="46"/>
        <v>0</v>
      </c>
    </row>
    <row r="1243" spans="1:14">
      <c r="A1243" t="s">
        <v>172</v>
      </c>
      <c r="B1243">
        <v>11</v>
      </c>
      <c r="C1243" t="s">
        <v>114</v>
      </c>
      <c r="D1243">
        <v>2</v>
      </c>
      <c r="H1243" s="71" t="b">
        <f t="shared" si="47"/>
        <v>0</v>
      </c>
      <c r="J1243">
        <v>0</v>
      </c>
    </row>
    <row r="1244" spans="1:14">
      <c r="A1244" t="s">
        <v>172</v>
      </c>
      <c r="B1244">
        <v>11</v>
      </c>
      <c r="C1244" t="s">
        <v>115</v>
      </c>
      <c r="D1244">
        <v>2</v>
      </c>
      <c r="H1244" s="71" t="b">
        <f t="shared" si="47"/>
        <v>0</v>
      </c>
      <c r="J1244">
        <v>0</v>
      </c>
    </row>
    <row r="1245" spans="1:14">
      <c r="A1245" t="s">
        <v>172</v>
      </c>
      <c r="B1245">
        <v>11</v>
      </c>
      <c r="C1245" t="s">
        <v>116</v>
      </c>
      <c r="D1245">
        <v>2</v>
      </c>
      <c r="H1245" s="71" t="b">
        <f t="shared" si="47"/>
        <v>0</v>
      </c>
      <c r="J1245">
        <v>0</v>
      </c>
    </row>
    <row r="1246" spans="1:14">
      <c r="A1246" t="s">
        <v>172</v>
      </c>
      <c r="B1246">
        <v>11</v>
      </c>
      <c r="C1246" t="s">
        <v>117</v>
      </c>
      <c r="D1246">
        <v>6</v>
      </c>
      <c r="H1246" s="71" t="b">
        <f t="shared" si="47"/>
        <v>0</v>
      </c>
      <c r="J1246">
        <v>0</v>
      </c>
    </row>
    <row r="1247" spans="1:14">
      <c r="A1247" t="s">
        <v>172</v>
      </c>
      <c r="B1247">
        <v>11</v>
      </c>
      <c r="C1247" t="s">
        <v>118</v>
      </c>
      <c r="D1247">
        <v>3</v>
      </c>
      <c r="H1247" s="71" t="b">
        <f t="shared" si="47"/>
        <v>0</v>
      </c>
      <c r="J1247">
        <v>0</v>
      </c>
    </row>
    <row r="1248" spans="1:14">
      <c r="A1248" t="s">
        <v>172</v>
      </c>
      <c r="B1248">
        <v>11</v>
      </c>
      <c r="C1248" t="s">
        <v>119</v>
      </c>
      <c r="D1248">
        <v>3</v>
      </c>
      <c r="H1248" s="71" t="b">
        <f t="shared" si="47"/>
        <v>0</v>
      </c>
      <c r="J1248">
        <v>0</v>
      </c>
    </row>
    <row r="1249" spans="1:14">
      <c r="A1249" t="s">
        <v>172</v>
      </c>
      <c r="B1249">
        <v>11</v>
      </c>
      <c r="C1249" t="s">
        <v>120</v>
      </c>
      <c r="D1249">
        <v>3</v>
      </c>
      <c r="H1249" s="71" t="b">
        <f t="shared" si="47"/>
        <v>0</v>
      </c>
      <c r="J1249">
        <v>0</v>
      </c>
    </row>
    <row r="1250" spans="1:14">
      <c r="A1250" t="s">
        <v>172</v>
      </c>
      <c r="B1250">
        <v>11</v>
      </c>
      <c r="C1250" t="s">
        <v>121</v>
      </c>
      <c r="D1250">
        <v>3</v>
      </c>
      <c r="H1250" s="71" t="b">
        <f t="shared" si="47"/>
        <v>0</v>
      </c>
      <c r="J1250">
        <v>0</v>
      </c>
    </row>
    <row r="1251" spans="1:14">
      <c r="A1251" t="s">
        <v>172</v>
      </c>
      <c r="B1251">
        <v>12</v>
      </c>
      <c r="C1251" t="s">
        <v>122</v>
      </c>
      <c r="D1251">
        <v>2</v>
      </c>
      <c r="H1251" s="71" t="b">
        <f t="shared" si="47"/>
        <v>0</v>
      </c>
      <c r="J1251">
        <v>2</v>
      </c>
      <c r="N1251" s="71" t="b">
        <f>IF(AND(ISBLANK(K1251),ISBLANK(L1251),ISBLANK(M1251)),FALSE,TRUE)</f>
        <v>0</v>
      </c>
    </row>
    <row r="1252" spans="1:14">
      <c r="A1252" t="s">
        <v>172</v>
      </c>
      <c r="B1252">
        <v>12</v>
      </c>
      <c r="C1252" t="s">
        <v>123</v>
      </c>
      <c r="D1252">
        <v>2</v>
      </c>
      <c r="H1252" s="71" t="b">
        <f t="shared" si="47"/>
        <v>0</v>
      </c>
      <c r="J1252">
        <v>2</v>
      </c>
      <c r="N1252" s="71" t="b">
        <f>IF(AND(ISBLANK(K1252),ISBLANK(L1252),ISBLANK(M1252)),FALSE,TRUE)</f>
        <v>0</v>
      </c>
    </row>
    <row r="1253" spans="1:14">
      <c r="A1253" t="s">
        <v>172</v>
      </c>
      <c r="B1253">
        <v>12</v>
      </c>
      <c r="C1253" t="s">
        <v>124</v>
      </c>
      <c r="D1253">
        <v>2</v>
      </c>
      <c r="H1253" s="71" t="b">
        <f t="shared" si="47"/>
        <v>0</v>
      </c>
      <c r="J1253">
        <v>0</v>
      </c>
    </row>
    <row r="1254" spans="1:14">
      <c r="A1254" t="s">
        <v>172</v>
      </c>
      <c r="B1254">
        <v>12</v>
      </c>
      <c r="C1254" t="s">
        <v>125</v>
      </c>
      <c r="D1254">
        <v>4</v>
      </c>
      <c r="H1254" s="71" t="b">
        <f t="shared" si="47"/>
        <v>0</v>
      </c>
      <c r="J1254">
        <v>4</v>
      </c>
      <c r="N1254" s="71" t="b">
        <f>IF(AND(ISBLANK(K1254),ISBLANK(L1254),ISBLANK(M1254)),FALSE,TRUE)</f>
        <v>0</v>
      </c>
    </row>
    <row r="1255" spans="1:14">
      <c r="A1255" t="s">
        <v>172</v>
      </c>
      <c r="B1255">
        <v>12</v>
      </c>
      <c r="C1255" t="s">
        <v>126</v>
      </c>
      <c r="D1255">
        <v>2</v>
      </c>
      <c r="H1255" s="71" t="b">
        <f t="shared" si="47"/>
        <v>0</v>
      </c>
      <c r="J1255">
        <v>2</v>
      </c>
      <c r="N1255" s="71" t="b">
        <f>IF(AND(ISBLANK(K1255),ISBLANK(L1255),ISBLANK(M1255)),FALSE,TRUE)</f>
        <v>0</v>
      </c>
    </row>
    <row r="1256" spans="1:14">
      <c r="A1256" t="s">
        <v>172</v>
      </c>
      <c r="B1256">
        <v>12</v>
      </c>
      <c r="C1256" t="s">
        <v>127</v>
      </c>
      <c r="D1256">
        <v>2</v>
      </c>
      <c r="H1256" s="71" t="b">
        <f t="shared" si="47"/>
        <v>0</v>
      </c>
      <c r="J1256">
        <v>2</v>
      </c>
      <c r="N1256" s="71" t="b">
        <f>IF(AND(ISBLANK(K1256),ISBLANK(L1256),ISBLANK(M1256)),FALSE,TRUE)</f>
        <v>0</v>
      </c>
    </row>
    <row r="1257" spans="1:14">
      <c r="A1257" t="s">
        <v>172</v>
      </c>
      <c r="B1257">
        <v>12</v>
      </c>
      <c r="C1257" t="s">
        <v>128</v>
      </c>
      <c r="D1257">
        <v>2</v>
      </c>
      <c r="H1257" s="71" t="b">
        <f t="shared" si="47"/>
        <v>0</v>
      </c>
      <c r="J1257">
        <v>2</v>
      </c>
      <c r="N1257" s="71" t="b">
        <f>IF(AND(ISBLANK(K1257),ISBLANK(L1257),ISBLANK(M1257)),FALSE,TRUE)</f>
        <v>0</v>
      </c>
    </row>
    <row r="1258" spans="1:14">
      <c r="A1258" t="s">
        <v>172</v>
      </c>
      <c r="B1258">
        <v>12</v>
      </c>
      <c r="C1258" t="s">
        <v>129</v>
      </c>
      <c r="D1258">
        <v>2</v>
      </c>
      <c r="H1258" s="71" t="b">
        <f t="shared" si="47"/>
        <v>0</v>
      </c>
      <c r="J1258">
        <v>0</v>
      </c>
    </row>
    <row r="1259" spans="1:14">
      <c r="A1259" t="s">
        <v>172</v>
      </c>
      <c r="B1259">
        <v>12</v>
      </c>
      <c r="C1259" t="s">
        <v>130</v>
      </c>
      <c r="D1259">
        <v>2</v>
      </c>
      <c r="H1259" s="71" t="b">
        <f t="shared" si="47"/>
        <v>0</v>
      </c>
      <c r="J1259">
        <v>1</v>
      </c>
      <c r="N1259" s="71" t="b">
        <f>IF(AND(ISBLANK(K1259),ISBLANK(L1259),ISBLANK(M1259)),FALSE,TRUE)</f>
        <v>0</v>
      </c>
    </row>
    <row r="1260" spans="1:14">
      <c r="A1260" t="s">
        <v>172</v>
      </c>
      <c r="B1260">
        <v>12</v>
      </c>
      <c r="C1260" t="s">
        <v>131</v>
      </c>
      <c r="D1260">
        <v>3</v>
      </c>
      <c r="H1260" s="71" t="b">
        <f t="shared" si="47"/>
        <v>0</v>
      </c>
      <c r="J1260">
        <v>1</v>
      </c>
      <c r="N1260" s="71" t="b">
        <f>IF(AND(ISBLANK(K1260),ISBLANK(L1260),ISBLANK(M1260)),FALSE,TRUE)</f>
        <v>0</v>
      </c>
    </row>
    <row r="1261" spans="1:14">
      <c r="A1261" t="s">
        <v>172</v>
      </c>
      <c r="B1261">
        <v>12</v>
      </c>
      <c r="C1261" t="s">
        <v>132</v>
      </c>
      <c r="D1261">
        <v>1</v>
      </c>
      <c r="H1261" s="71" t="b">
        <f t="shared" si="47"/>
        <v>0</v>
      </c>
      <c r="J1261">
        <v>1</v>
      </c>
      <c r="N1261" s="71" t="b">
        <f>IF(AND(ISBLANK(K1261),ISBLANK(L1261),ISBLANK(M1261)),FALSE,TRUE)</f>
        <v>0</v>
      </c>
    </row>
    <row r="1262" spans="1:14">
      <c r="A1262" t="s">
        <v>172</v>
      </c>
      <c r="B1262">
        <v>12</v>
      </c>
      <c r="C1262" t="s">
        <v>133</v>
      </c>
      <c r="D1262">
        <v>1</v>
      </c>
      <c r="H1262" s="71" t="b">
        <f t="shared" si="47"/>
        <v>0</v>
      </c>
      <c r="J1262">
        <v>0</v>
      </c>
    </row>
    <row r="1263" spans="1:14">
      <c r="A1263" t="s">
        <v>172</v>
      </c>
      <c r="B1263">
        <v>12</v>
      </c>
      <c r="C1263" t="s">
        <v>134</v>
      </c>
      <c r="D1263">
        <v>1</v>
      </c>
      <c r="H1263" s="71" t="b">
        <f t="shared" si="47"/>
        <v>0</v>
      </c>
      <c r="J1263">
        <v>1</v>
      </c>
      <c r="N1263" s="71" t="b">
        <f t="shared" ref="N1263:N1273" si="48">IF(AND(ISBLANK(K1263),ISBLANK(L1263),ISBLANK(M1263)),FALSE,TRUE)</f>
        <v>0</v>
      </c>
    </row>
    <row r="1264" spans="1:14">
      <c r="A1264" t="s">
        <v>172</v>
      </c>
      <c r="B1264">
        <v>12</v>
      </c>
      <c r="C1264" t="s">
        <v>135</v>
      </c>
      <c r="D1264">
        <v>2</v>
      </c>
      <c r="H1264" s="71" t="b">
        <f t="shared" si="47"/>
        <v>0</v>
      </c>
      <c r="J1264">
        <v>1</v>
      </c>
      <c r="N1264" s="71" t="b">
        <f t="shared" si="48"/>
        <v>0</v>
      </c>
    </row>
    <row r="1265" spans="1:14">
      <c r="A1265" t="s">
        <v>172</v>
      </c>
      <c r="B1265">
        <v>12</v>
      </c>
      <c r="C1265" t="s">
        <v>136</v>
      </c>
      <c r="D1265">
        <v>2</v>
      </c>
      <c r="H1265" s="71" t="b">
        <f t="shared" si="47"/>
        <v>0</v>
      </c>
      <c r="J1265">
        <v>1</v>
      </c>
      <c r="N1265" s="71" t="b">
        <f t="shared" si="48"/>
        <v>0</v>
      </c>
    </row>
    <row r="1266" spans="1:14">
      <c r="A1266" t="s">
        <v>172</v>
      </c>
      <c r="B1266">
        <v>12</v>
      </c>
      <c r="C1266" t="s">
        <v>137</v>
      </c>
      <c r="D1266">
        <v>2</v>
      </c>
      <c r="H1266" s="71" t="b">
        <f t="shared" si="47"/>
        <v>0</v>
      </c>
      <c r="J1266">
        <v>1</v>
      </c>
      <c r="N1266" s="71" t="b">
        <f t="shared" si="48"/>
        <v>0</v>
      </c>
    </row>
    <row r="1267" spans="1:14">
      <c r="A1267" t="s">
        <v>172</v>
      </c>
      <c r="B1267">
        <v>12</v>
      </c>
      <c r="C1267" t="s">
        <v>138</v>
      </c>
      <c r="D1267">
        <v>1</v>
      </c>
      <c r="H1267" s="71" t="b">
        <f t="shared" si="47"/>
        <v>0</v>
      </c>
      <c r="J1267">
        <v>1</v>
      </c>
      <c r="N1267" s="71" t="b">
        <f t="shared" si="48"/>
        <v>0</v>
      </c>
    </row>
    <row r="1268" spans="1:14">
      <c r="A1268" t="s">
        <v>172</v>
      </c>
      <c r="B1268">
        <v>12</v>
      </c>
      <c r="C1268" t="s">
        <v>139</v>
      </c>
      <c r="D1268">
        <v>1</v>
      </c>
      <c r="H1268" s="71" t="b">
        <f t="shared" si="47"/>
        <v>0</v>
      </c>
      <c r="J1268">
        <v>1</v>
      </c>
      <c r="N1268" s="71" t="b">
        <f t="shared" si="48"/>
        <v>0</v>
      </c>
    </row>
    <row r="1269" spans="1:14">
      <c r="A1269" t="s">
        <v>172</v>
      </c>
      <c r="B1269">
        <v>12</v>
      </c>
      <c r="C1269" t="s">
        <v>140</v>
      </c>
      <c r="D1269">
        <v>1</v>
      </c>
      <c r="H1269" s="71" t="b">
        <f t="shared" si="47"/>
        <v>0</v>
      </c>
      <c r="J1269">
        <v>1</v>
      </c>
      <c r="N1269" s="71" t="b">
        <f t="shared" si="48"/>
        <v>0</v>
      </c>
    </row>
    <row r="1270" spans="1:14">
      <c r="A1270" t="s">
        <v>172</v>
      </c>
      <c r="B1270">
        <v>12</v>
      </c>
      <c r="C1270" t="s">
        <v>141</v>
      </c>
      <c r="D1270">
        <v>1</v>
      </c>
      <c r="H1270" s="71" t="b">
        <f t="shared" si="47"/>
        <v>0</v>
      </c>
      <c r="J1270">
        <v>1</v>
      </c>
      <c r="N1270" s="71" t="b">
        <f t="shared" si="48"/>
        <v>0</v>
      </c>
    </row>
    <row r="1271" spans="1:14">
      <c r="A1271" t="s">
        <v>172</v>
      </c>
      <c r="B1271">
        <v>12</v>
      </c>
      <c r="C1271" t="s">
        <v>142</v>
      </c>
      <c r="D1271">
        <v>2</v>
      </c>
      <c r="H1271" s="71" t="b">
        <f t="shared" si="47"/>
        <v>0</v>
      </c>
      <c r="J1271">
        <v>1</v>
      </c>
      <c r="N1271" s="71" t="b">
        <f t="shared" si="48"/>
        <v>0</v>
      </c>
    </row>
    <row r="1272" spans="1:14">
      <c r="A1272" t="s">
        <v>172</v>
      </c>
      <c r="B1272">
        <v>12</v>
      </c>
      <c r="C1272" t="s">
        <v>143</v>
      </c>
      <c r="D1272">
        <v>1</v>
      </c>
      <c r="H1272" s="71" t="b">
        <f t="shared" si="47"/>
        <v>0</v>
      </c>
      <c r="J1272">
        <v>2</v>
      </c>
      <c r="N1272" s="71" t="b">
        <f t="shared" si="48"/>
        <v>0</v>
      </c>
    </row>
    <row r="1273" spans="1:14">
      <c r="A1273" t="s">
        <v>172</v>
      </c>
      <c r="B1273">
        <v>12</v>
      </c>
      <c r="C1273" t="s">
        <v>144</v>
      </c>
      <c r="D1273">
        <v>1</v>
      </c>
      <c r="H1273" s="71" t="b">
        <f t="shared" si="47"/>
        <v>0</v>
      </c>
      <c r="J1273">
        <v>2</v>
      </c>
      <c r="N1273" s="71" t="b">
        <f t="shared" si="48"/>
        <v>0</v>
      </c>
    </row>
    <row r="1274" spans="1:14">
      <c r="A1274" t="s">
        <v>172</v>
      </c>
      <c r="B1274">
        <v>12</v>
      </c>
      <c r="C1274" t="s">
        <v>145</v>
      </c>
      <c r="D1274">
        <v>1</v>
      </c>
      <c r="H1274" s="71" t="b">
        <f t="shared" si="47"/>
        <v>0</v>
      </c>
      <c r="J1274">
        <v>0</v>
      </c>
    </row>
    <row r="1275" spans="1:14">
      <c r="A1275" t="s">
        <v>172</v>
      </c>
      <c r="B1275">
        <v>12</v>
      </c>
      <c r="C1275" t="s">
        <v>146</v>
      </c>
      <c r="D1275">
        <v>1</v>
      </c>
      <c r="H1275" s="71" t="b">
        <f t="shared" si="47"/>
        <v>0</v>
      </c>
      <c r="J1275">
        <v>0</v>
      </c>
    </row>
    <row r="1276" spans="1:14">
      <c r="A1276" t="s">
        <v>172</v>
      </c>
      <c r="B1276">
        <v>12</v>
      </c>
      <c r="C1276" t="s">
        <v>147</v>
      </c>
      <c r="D1276">
        <v>1</v>
      </c>
      <c r="H1276" s="71" t="b">
        <f t="shared" si="47"/>
        <v>0</v>
      </c>
      <c r="J1276">
        <v>2</v>
      </c>
      <c r="N1276" s="71" t="b">
        <f>IF(AND(ISBLANK(K1276),ISBLANK(L1276),ISBLANK(M1276)),FALSE,TRUE)</f>
        <v>0</v>
      </c>
    </row>
    <row r="1277" spans="1:14">
      <c r="A1277" t="s">
        <v>172</v>
      </c>
      <c r="B1277">
        <v>12</v>
      </c>
      <c r="C1277" t="s">
        <v>148</v>
      </c>
      <c r="D1277">
        <v>2</v>
      </c>
      <c r="H1277" s="71" t="b">
        <f t="shared" si="47"/>
        <v>0</v>
      </c>
      <c r="J1277">
        <v>2</v>
      </c>
      <c r="N1277" s="71" t="b">
        <f>IF(AND(ISBLANK(K1277),ISBLANK(L1277),ISBLANK(M1277)),FALSE,TRUE)</f>
        <v>0</v>
      </c>
    </row>
    <row r="1278" spans="1:14">
      <c r="A1278" t="s">
        <v>172</v>
      </c>
      <c r="B1278">
        <v>12</v>
      </c>
      <c r="C1278" t="s">
        <v>149</v>
      </c>
      <c r="D1278">
        <v>3</v>
      </c>
      <c r="H1278" s="71" t="b">
        <f t="shared" si="47"/>
        <v>0</v>
      </c>
      <c r="J1278">
        <v>0</v>
      </c>
    </row>
    <row r="1279" spans="1:14">
      <c r="A1279" t="s">
        <v>172</v>
      </c>
      <c r="B1279">
        <v>12</v>
      </c>
      <c r="C1279" t="s">
        <v>150</v>
      </c>
      <c r="D1279">
        <v>3</v>
      </c>
      <c r="H1279" s="71" t="b">
        <f t="shared" si="47"/>
        <v>0</v>
      </c>
      <c r="J1279">
        <v>0</v>
      </c>
    </row>
    <row r="1280" spans="1:14">
      <c r="A1280" t="s">
        <v>172</v>
      </c>
      <c r="B1280">
        <v>12</v>
      </c>
      <c r="C1280" t="s">
        <v>151</v>
      </c>
      <c r="D1280">
        <v>2</v>
      </c>
      <c r="H1280" s="71" t="b">
        <f t="shared" si="47"/>
        <v>0</v>
      </c>
      <c r="J1280">
        <v>0</v>
      </c>
    </row>
    <row r="1281" spans="1:14">
      <c r="A1281" t="s">
        <v>172</v>
      </c>
      <c r="B1281">
        <v>12</v>
      </c>
      <c r="C1281" t="s">
        <v>152</v>
      </c>
      <c r="D1281">
        <v>2</v>
      </c>
      <c r="H1281" s="71" t="b">
        <f t="shared" si="47"/>
        <v>0</v>
      </c>
      <c r="J1281">
        <v>0</v>
      </c>
    </row>
    <row r="1282" spans="1:14">
      <c r="A1282" t="s">
        <v>172</v>
      </c>
      <c r="B1282">
        <v>12</v>
      </c>
      <c r="C1282" t="s">
        <v>153</v>
      </c>
      <c r="D1282">
        <v>2</v>
      </c>
      <c r="H1282" s="71" t="b">
        <f t="shared" si="47"/>
        <v>0</v>
      </c>
      <c r="J1282">
        <v>0</v>
      </c>
    </row>
    <row r="1283" spans="1:14">
      <c r="A1283" t="s">
        <v>172</v>
      </c>
      <c r="B1283">
        <v>12</v>
      </c>
      <c r="C1283" t="s">
        <v>154</v>
      </c>
      <c r="D1283">
        <v>2</v>
      </c>
      <c r="H1283" s="71" t="b">
        <f t="shared" si="47"/>
        <v>0</v>
      </c>
      <c r="J1283">
        <v>0</v>
      </c>
    </row>
    <row r="1284" spans="1:14">
      <c r="A1284" t="s">
        <v>172</v>
      </c>
      <c r="B1284">
        <v>12</v>
      </c>
      <c r="C1284" t="s">
        <v>155</v>
      </c>
      <c r="D1284">
        <v>2</v>
      </c>
      <c r="H1284" s="71" t="b">
        <f t="shared" si="47"/>
        <v>0</v>
      </c>
      <c r="J1284">
        <v>0</v>
      </c>
    </row>
    <row r="1285" spans="1:14">
      <c r="A1285" t="s">
        <v>172</v>
      </c>
      <c r="B1285">
        <v>12</v>
      </c>
      <c r="C1285" t="s">
        <v>156</v>
      </c>
      <c r="D1285">
        <v>2</v>
      </c>
      <c r="H1285" s="71" t="b">
        <f t="shared" si="47"/>
        <v>0</v>
      </c>
      <c r="J1285">
        <v>0</v>
      </c>
    </row>
    <row r="1286" spans="1:14">
      <c r="A1286" t="s">
        <v>172</v>
      </c>
      <c r="B1286">
        <v>12</v>
      </c>
      <c r="C1286" t="s">
        <v>157</v>
      </c>
      <c r="D1286">
        <v>0</v>
      </c>
      <c r="H1286" s="71" t="b">
        <f t="shared" si="47"/>
        <v>0</v>
      </c>
      <c r="J1286">
        <v>8</v>
      </c>
      <c r="N1286" s="71" t="b">
        <f>IF(AND(ISBLANK(K1286),ISBLANK(L1286),ISBLANK(M1286)),FALSE,TRUE)</f>
        <v>0</v>
      </c>
    </row>
    <row r="1287" spans="1:14">
      <c r="A1287" t="s">
        <v>172</v>
      </c>
      <c r="B1287">
        <v>12</v>
      </c>
      <c r="C1287" t="s">
        <v>158</v>
      </c>
      <c r="D1287">
        <v>0</v>
      </c>
      <c r="H1287" s="71" t="b">
        <f t="shared" si="47"/>
        <v>0</v>
      </c>
      <c r="J1287">
        <v>8</v>
      </c>
      <c r="N1287" s="71" t="b">
        <f>IF(AND(ISBLANK(K1287),ISBLANK(L1287),ISBLANK(M1287)),FALSE,TRUE)</f>
        <v>0</v>
      </c>
    </row>
    <row r="1288" spans="1:14">
      <c r="A1288" t="s">
        <v>172</v>
      </c>
      <c r="B1288">
        <v>12</v>
      </c>
      <c r="C1288" t="s">
        <v>159</v>
      </c>
      <c r="D1288">
        <v>4</v>
      </c>
      <c r="H1288" s="71" t="b">
        <f t="shared" si="47"/>
        <v>0</v>
      </c>
      <c r="J1288">
        <v>4</v>
      </c>
      <c r="N1288" s="71" t="b">
        <f>IF(AND(ISBLANK(K1288),ISBLANK(L1288),ISBLANK(M1288)),FALSE,TRUE)</f>
        <v>0</v>
      </c>
    </row>
    <row r="1289" spans="1:14">
      <c r="A1289" t="s">
        <v>172</v>
      </c>
      <c r="B1289">
        <v>12</v>
      </c>
      <c r="C1289" t="s">
        <v>160</v>
      </c>
      <c r="D1289">
        <v>4</v>
      </c>
      <c r="H1289" s="71" t="b">
        <f t="shared" si="47"/>
        <v>0</v>
      </c>
      <c r="J1289">
        <v>8</v>
      </c>
      <c r="N1289" s="71" t="b">
        <f>IF(AND(ISBLANK(K1289),ISBLANK(L1289),ISBLANK(M1289)),FALSE,TRUE)</f>
        <v>0</v>
      </c>
    </row>
    <row r="1290" spans="1:14">
      <c r="A1290" t="s">
        <v>172</v>
      </c>
      <c r="B1290">
        <v>12</v>
      </c>
      <c r="C1290" t="s">
        <v>161</v>
      </c>
      <c r="D1290">
        <v>1</v>
      </c>
      <c r="H1290" s="71" t="b">
        <f t="shared" si="47"/>
        <v>0</v>
      </c>
      <c r="J1290">
        <v>0</v>
      </c>
    </row>
    <row r="1291" spans="1:14">
      <c r="A1291" t="s">
        <v>172</v>
      </c>
      <c r="B1291">
        <v>12</v>
      </c>
      <c r="C1291" t="s">
        <v>162</v>
      </c>
      <c r="D1291">
        <v>0</v>
      </c>
      <c r="H1291" s="71" t="b">
        <f t="shared" si="47"/>
        <v>0</v>
      </c>
      <c r="J1291">
        <v>0</v>
      </c>
    </row>
    <row r="1292" spans="1:14">
      <c r="A1292" t="s">
        <v>172</v>
      </c>
      <c r="B1292">
        <v>12</v>
      </c>
      <c r="C1292" t="s">
        <v>163</v>
      </c>
      <c r="D1292">
        <v>0</v>
      </c>
      <c r="H1292" s="71" t="b">
        <f t="shared" si="47"/>
        <v>0</v>
      </c>
      <c r="J1292">
        <v>6</v>
      </c>
      <c r="N1292" s="71" t="b">
        <f>IF(AND(ISBLANK(K1292),ISBLANK(L1292),ISBLANK(M1292)),FALSE,TRUE)</f>
        <v>0</v>
      </c>
    </row>
  </sheetData>
  <autoFilter ref="A2:O1292" xr:uid="{97945D6B-1153-4B04-9F27-198C5F3AF4C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3B30-9333-4101-9D32-2F1E33CC4BA9}">
  <sheetPr codeName="Feuil4">
    <tabColor rgb="FF0070C0"/>
  </sheetPr>
  <dimension ref="A1:BR109"/>
  <sheetViews>
    <sheetView showGridLines="0" zoomScale="40" zoomScaleNormal="40" workbookViewId="0">
      <pane xSplit="2" ySplit="6" topLeftCell="C12" activePane="bottomRight" state="frozen"/>
      <selection pane="bottomRight" activeCell="AX15" sqref="AX15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3" max="44" width="3.42578125" customWidth="1"/>
    <col min="45" max="45" width="9.140625" style="90" bestFit="1" customWidth="1"/>
    <col min="46" max="46" width="10" style="90" bestFit="1" customWidth="1"/>
    <col min="47" max="50" width="8.5703125" style="90" customWidth="1"/>
    <col min="51" max="51" width="9.140625" style="90" bestFit="1" customWidth="1"/>
    <col min="52" max="68" width="8.5703125" style="90" customWidth="1"/>
  </cols>
  <sheetData>
    <row r="1" spans="1:70" ht="14.45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R1" t="b">
        <f ca="1">IF(IF(_xlfn.XLOOKUP(LEFT(A46,LEN(A46)-2),'TH_CMI GRADE 10'!$B$7:$B$49,'TH_CMI GRADE 10'!$AS$7:$AS$49,"",0,1)=0,"",_xlfn.XLOOKUP(LEFT(A46,LEN(A46)-2),'TH_CMI GRADE 10'!$B$7:$B$49,'TH_CMI GRADE 10'!$AS$7:$AS$49,"",0,1))&lt;=TODAY(),TRUE,FALSE)</f>
        <v>0</v>
      </c>
    </row>
    <row r="2" spans="1:70" ht="14.45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70" ht="14.45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70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70" ht="37.5" customHeight="1" thickBot="1">
      <c r="B5" s="9"/>
      <c r="C5" s="369" t="s">
        <v>186</v>
      </c>
      <c r="D5" s="369"/>
      <c r="E5" s="369"/>
      <c r="F5" s="369"/>
      <c r="G5" s="369"/>
      <c r="H5" s="370"/>
      <c r="I5" s="369" t="s">
        <v>187</v>
      </c>
      <c r="J5" s="371"/>
      <c r="K5" s="371"/>
      <c r="L5" s="371"/>
      <c r="M5" s="371"/>
      <c r="N5" s="372"/>
      <c r="O5" s="373" t="s">
        <v>188</v>
      </c>
      <c r="P5" s="374"/>
      <c r="Q5" s="374"/>
      <c r="R5" s="374"/>
      <c r="S5" s="374"/>
      <c r="T5" s="375"/>
      <c r="U5" s="373" t="s">
        <v>189</v>
      </c>
      <c r="V5" s="374"/>
      <c r="W5" s="374"/>
      <c r="X5" s="374"/>
      <c r="Y5" s="374"/>
      <c r="Z5" s="375"/>
      <c r="AA5" s="373" t="s">
        <v>190</v>
      </c>
      <c r="AB5" s="374"/>
      <c r="AC5" s="374"/>
      <c r="AD5" s="374"/>
      <c r="AE5" s="374"/>
      <c r="AF5" s="375"/>
      <c r="AG5" s="366" t="s">
        <v>191</v>
      </c>
      <c r="AH5" s="367"/>
      <c r="AI5" s="367"/>
      <c r="AJ5" s="367"/>
      <c r="AK5" s="367"/>
      <c r="AL5" s="368"/>
      <c r="AM5" s="366" t="s">
        <v>192</v>
      </c>
      <c r="AN5" s="367"/>
      <c r="AO5" s="367"/>
      <c r="AP5" s="367"/>
      <c r="AQ5" s="367"/>
      <c r="AR5" s="367"/>
      <c r="AS5" s="379" t="s">
        <v>193</v>
      </c>
      <c r="AT5" s="380"/>
      <c r="AU5" s="381"/>
      <c r="AV5" s="384" t="s">
        <v>186</v>
      </c>
      <c r="AW5" s="384"/>
      <c r="AX5" s="385"/>
      <c r="AY5" s="384" t="s">
        <v>187</v>
      </c>
      <c r="AZ5" s="386"/>
      <c r="BA5" s="387"/>
      <c r="BB5" s="376" t="s">
        <v>188</v>
      </c>
      <c r="BC5" s="377"/>
      <c r="BD5" s="378"/>
      <c r="BE5" s="376" t="s">
        <v>189</v>
      </c>
      <c r="BF5" s="377"/>
      <c r="BG5" s="378"/>
      <c r="BH5" s="376" t="s">
        <v>190</v>
      </c>
      <c r="BI5" s="377"/>
      <c r="BJ5" s="378"/>
      <c r="BK5" s="379" t="s">
        <v>191</v>
      </c>
      <c r="BL5" s="380"/>
      <c r="BM5" s="381"/>
      <c r="BN5" s="379" t="s">
        <v>192</v>
      </c>
      <c r="BO5" s="380"/>
      <c r="BP5" s="381"/>
    </row>
    <row r="6" spans="1:70" ht="18" thickBot="1">
      <c r="A6" s="345" t="s">
        <v>194</v>
      </c>
      <c r="B6" s="10"/>
      <c r="C6" s="81" t="s">
        <v>29</v>
      </c>
      <c r="D6" s="82" t="s">
        <v>30</v>
      </c>
      <c r="E6" s="82" t="s">
        <v>195</v>
      </c>
      <c r="F6" s="82" t="s">
        <v>196</v>
      </c>
      <c r="G6" s="82" t="s">
        <v>197</v>
      </c>
      <c r="H6" s="83" t="s">
        <v>33</v>
      </c>
      <c r="I6" s="81" t="s">
        <v>29</v>
      </c>
      <c r="J6" s="82" t="s">
        <v>30</v>
      </c>
      <c r="K6" s="82" t="s">
        <v>195</v>
      </c>
      <c r="L6" s="82" t="s">
        <v>196</v>
      </c>
      <c r="M6" s="82" t="s">
        <v>197</v>
      </c>
      <c r="N6" s="83" t="s">
        <v>33</v>
      </c>
      <c r="O6" s="81" t="s">
        <v>29</v>
      </c>
      <c r="P6" s="82" t="s">
        <v>30</v>
      </c>
      <c r="Q6" s="82" t="s">
        <v>195</v>
      </c>
      <c r="R6" s="82" t="s">
        <v>196</v>
      </c>
      <c r="S6" s="82" t="s">
        <v>197</v>
      </c>
      <c r="T6" s="83" t="s">
        <v>33</v>
      </c>
      <c r="U6" s="81" t="s">
        <v>29</v>
      </c>
      <c r="V6" s="82" t="s">
        <v>30</v>
      </c>
      <c r="W6" s="82" t="s">
        <v>195</v>
      </c>
      <c r="X6" s="82" t="s">
        <v>196</v>
      </c>
      <c r="Y6" s="82" t="s">
        <v>197</v>
      </c>
      <c r="Z6" s="83" t="s">
        <v>33</v>
      </c>
      <c r="AA6" s="81" t="s">
        <v>29</v>
      </c>
      <c r="AB6" s="82" t="s">
        <v>30</v>
      </c>
      <c r="AC6" s="82" t="s">
        <v>195</v>
      </c>
      <c r="AD6" s="82" t="s">
        <v>196</v>
      </c>
      <c r="AE6" s="82" t="s">
        <v>197</v>
      </c>
      <c r="AF6" s="88" t="s">
        <v>33</v>
      </c>
      <c r="AG6" s="74" t="s">
        <v>29</v>
      </c>
      <c r="AH6" s="75" t="s">
        <v>30</v>
      </c>
      <c r="AI6" s="75" t="s">
        <v>195</v>
      </c>
      <c r="AJ6" s="75" t="s">
        <v>196</v>
      </c>
      <c r="AK6" s="75" t="s">
        <v>197</v>
      </c>
      <c r="AL6" s="76" t="s">
        <v>33</v>
      </c>
      <c r="AM6" s="74" t="s">
        <v>29</v>
      </c>
      <c r="AN6" s="75" t="s">
        <v>30</v>
      </c>
      <c r="AO6" s="75" t="s">
        <v>195</v>
      </c>
      <c r="AP6" s="75" t="s">
        <v>196</v>
      </c>
      <c r="AQ6" s="75" t="s">
        <v>197</v>
      </c>
      <c r="AR6" s="77" t="s">
        <v>33</v>
      </c>
      <c r="AS6" s="97" t="s">
        <v>29</v>
      </c>
      <c r="AT6" s="92" t="s">
        <v>30</v>
      </c>
      <c r="AU6" s="98" t="s">
        <v>33</v>
      </c>
      <c r="AV6" s="99" t="s">
        <v>195</v>
      </c>
      <c r="AW6" s="94" t="s">
        <v>196</v>
      </c>
      <c r="AX6" s="100" t="s">
        <v>197</v>
      </c>
      <c r="AY6" s="99" t="s">
        <v>195</v>
      </c>
      <c r="AZ6" s="94" t="s">
        <v>196</v>
      </c>
      <c r="BA6" s="100" t="s">
        <v>197</v>
      </c>
      <c r="BB6" s="99" t="s">
        <v>195</v>
      </c>
      <c r="BC6" s="94" t="s">
        <v>196</v>
      </c>
      <c r="BD6" s="100" t="s">
        <v>197</v>
      </c>
      <c r="BE6" s="99" t="s">
        <v>195</v>
      </c>
      <c r="BF6" s="94" t="s">
        <v>196</v>
      </c>
      <c r="BG6" s="100" t="s">
        <v>197</v>
      </c>
      <c r="BH6" s="99" t="s">
        <v>195</v>
      </c>
      <c r="BI6" s="94" t="s">
        <v>196</v>
      </c>
      <c r="BJ6" s="100" t="s">
        <v>197</v>
      </c>
      <c r="BK6" s="99" t="s">
        <v>195</v>
      </c>
      <c r="BL6" s="94" t="s">
        <v>196</v>
      </c>
      <c r="BM6" s="100" t="s">
        <v>197</v>
      </c>
      <c r="BN6" s="99" t="s">
        <v>195</v>
      </c>
      <c r="BO6" s="94" t="s">
        <v>196</v>
      </c>
      <c r="BP6" s="100" t="s">
        <v>197</v>
      </c>
      <c r="BR6" s="345" t="s">
        <v>198</v>
      </c>
    </row>
    <row r="7" spans="1:70" ht="20.100000000000001" customHeight="1">
      <c r="A7" s="71" t="b">
        <f>IF(OR(D7&lt;&gt;"",V7&lt;&gt;"",J7&lt;&gt;"",P7&lt;&gt;"",AB7&lt;&gt;"",AH7&lt;&gt;"",AN7&lt;&gt;"",AT7&lt;&gt;""),TRUE,FALSE)</f>
        <v>1</v>
      </c>
      <c r="B7" s="11" t="s">
        <v>35</v>
      </c>
      <c r="C7" s="84" t="s">
        <v>176</v>
      </c>
      <c r="D7" s="78" t="s">
        <v>176</v>
      </c>
      <c r="E7" s="78" t="s">
        <v>176</v>
      </c>
      <c r="F7" s="40"/>
      <c r="G7" s="40"/>
      <c r="H7" s="347" t="s">
        <v>29</v>
      </c>
      <c r="I7" s="86"/>
      <c r="J7" s="79"/>
      <c r="K7" s="79"/>
      <c r="L7" s="79"/>
      <c r="M7" s="79"/>
      <c r="N7" s="87"/>
      <c r="O7" s="86"/>
      <c r="P7" s="79"/>
      <c r="Q7" s="79"/>
      <c r="R7" s="79"/>
      <c r="S7" s="79"/>
      <c r="T7" s="87"/>
      <c r="U7" s="84" t="s">
        <v>176</v>
      </c>
      <c r="V7" s="78" t="s">
        <v>176</v>
      </c>
      <c r="W7" s="78" t="s">
        <v>176</v>
      </c>
      <c r="X7" s="40"/>
      <c r="Y7" s="40"/>
      <c r="Z7" s="85" t="s">
        <v>176</v>
      </c>
      <c r="AA7" s="86"/>
      <c r="AB7" s="79"/>
      <c r="AC7" s="79"/>
      <c r="AD7" s="79"/>
      <c r="AE7" s="79"/>
      <c r="AF7" s="80"/>
      <c r="AG7" s="47"/>
      <c r="AH7" s="41"/>
      <c r="AI7" s="41"/>
      <c r="AJ7" s="41"/>
      <c r="AK7" s="41"/>
      <c r="AL7" s="42"/>
      <c r="AM7" s="39"/>
      <c r="AN7" s="40"/>
      <c r="AO7" s="40"/>
      <c r="AP7" s="40"/>
      <c r="AQ7" s="40"/>
      <c r="AR7" s="48"/>
      <c r="AS7" s="110">
        <v>45894</v>
      </c>
      <c r="AT7" s="111">
        <v>45954</v>
      </c>
      <c r="AU7" s="112">
        <v>46231</v>
      </c>
      <c r="AV7" s="119">
        <v>45986</v>
      </c>
      <c r="AW7" s="189"/>
      <c r="AX7" s="190"/>
      <c r="AY7" s="150"/>
      <c r="AZ7" s="151"/>
      <c r="BA7" s="152"/>
      <c r="BB7" s="150"/>
      <c r="BC7" s="151"/>
      <c r="BD7" s="152"/>
      <c r="BE7" s="153">
        <v>45918</v>
      </c>
      <c r="BF7" s="189"/>
      <c r="BG7" s="190"/>
      <c r="BH7" s="150"/>
      <c r="BI7" s="151"/>
      <c r="BJ7" s="152"/>
      <c r="BK7" s="150"/>
      <c r="BL7" s="151"/>
      <c r="BM7" s="152"/>
      <c r="BN7" s="150"/>
      <c r="BO7" s="151"/>
      <c r="BP7" s="152"/>
      <c r="BQ7" s="90" t="str">
        <f t="shared" ref="BQ7:BQ49" si="0">_xlfn.TEXTBEFORE($B7,".",2)</f>
        <v>1.1</v>
      </c>
      <c r="BR7" s="71" t="b">
        <f>IF(OR(H7&lt;&gt;"",N7&lt;&gt;"",T7&lt;&gt;"",Z7&lt;&gt;"",AF7&lt;&gt;"",AL7&lt;&gt;"",AR7&lt;&gt;"",AU7&lt;&gt;""),TRUE,FALSE)</f>
        <v>1</v>
      </c>
    </row>
    <row r="8" spans="1:70" ht="20.100000000000001" customHeight="1">
      <c r="A8" s="71" t="b">
        <f t="shared" ref="A8:A49" si="1">IF(OR(D8&lt;&gt;"",V8&lt;&gt;"",J8&lt;&gt;"",P8&lt;&gt;"",AB8&lt;&gt;"",AH8&lt;&gt;"",AN8&lt;&gt;"",AT8&lt;&gt;""),TRUE,FALSE)</f>
        <v>1</v>
      </c>
      <c r="B8" s="9" t="s">
        <v>36</v>
      </c>
      <c r="C8" s="39"/>
      <c r="D8" s="40"/>
      <c r="E8" s="40"/>
      <c r="F8" s="40"/>
      <c r="G8" s="40"/>
      <c r="H8" s="43"/>
      <c r="I8" s="39"/>
      <c r="J8" s="40"/>
      <c r="K8" s="40"/>
      <c r="L8" s="40"/>
      <c r="M8" s="40"/>
      <c r="N8" s="43"/>
      <c r="O8" s="39"/>
      <c r="P8" s="40"/>
      <c r="Q8" s="40"/>
      <c r="R8" s="40"/>
      <c r="S8" s="40"/>
      <c r="T8" s="43"/>
      <c r="U8" s="39"/>
      <c r="V8" s="40"/>
      <c r="W8" s="40"/>
      <c r="X8" s="40"/>
      <c r="Y8" s="40"/>
      <c r="Z8" s="43"/>
      <c r="AA8" s="14" t="s">
        <v>176</v>
      </c>
      <c r="AB8" s="1" t="s">
        <v>176</v>
      </c>
      <c r="AC8" s="15" t="s">
        <v>176</v>
      </c>
      <c r="AD8" s="40"/>
      <c r="AE8" s="40"/>
      <c r="AF8" s="46"/>
      <c r="AG8" s="14" t="s">
        <v>176</v>
      </c>
      <c r="AH8" s="1" t="s">
        <v>176</v>
      </c>
      <c r="AI8" s="1" t="s">
        <v>176</v>
      </c>
      <c r="AJ8" s="40"/>
      <c r="AK8" s="40"/>
      <c r="AL8" s="15"/>
      <c r="AM8" s="39"/>
      <c r="AN8" s="40"/>
      <c r="AO8" s="40"/>
      <c r="AP8" s="40"/>
      <c r="AQ8" s="40"/>
      <c r="AR8" s="48"/>
      <c r="AS8" s="116">
        <v>45902</v>
      </c>
      <c r="AT8" s="117">
        <v>46064</v>
      </c>
      <c r="AU8" s="112"/>
      <c r="AV8" s="150"/>
      <c r="AW8" s="154"/>
      <c r="AX8" s="152"/>
      <c r="AY8" s="150"/>
      <c r="AZ8" s="151"/>
      <c r="BA8" s="152"/>
      <c r="BB8" s="150"/>
      <c r="BC8" s="151"/>
      <c r="BD8" s="152"/>
      <c r="BE8" s="150"/>
      <c r="BF8" s="151"/>
      <c r="BG8" s="152"/>
      <c r="BH8" s="119">
        <v>45952</v>
      </c>
      <c r="BI8" s="189"/>
      <c r="BJ8" s="190"/>
      <c r="BK8" s="117">
        <v>45936</v>
      </c>
      <c r="BL8" s="189"/>
      <c r="BM8" s="190"/>
      <c r="BN8" s="150"/>
      <c r="BO8" s="151"/>
      <c r="BP8" s="152"/>
      <c r="BQ8" s="90" t="str">
        <f t="shared" si="0"/>
        <v>2.1</v>
      </c>
      <c r="BR8" s="71" t="b">
        <f t="shared" ref="BR8:BR49" si="2">IF(OR(H8&lt;&gt;"",N8&lt;&gt;"",T8&lt;&gt;"",Z8&lt;&gt;"",AF8&lt;&gt;"",AL8&lt;&gt;"",AR8&lt;&gt;"",AU8&lt;&gt;""),TRUE,FALSE)</f>
        <v>0</v>
      </c>
    </row>
    <row r="9" spans="1:70" ht="20.100000000000001" customHeight="1">
      <c r="A9" s="71" t="b">
        <f t="shared" si="1"/>
        <v>1</v>
      </c>
      <c r="B9" s="9" t="s">
        <v>37</v>
      </c>
      <c r="C9" s="39"/>
      <c r="D9" s="40"/>
      <c r="E9" s="40"/>
      <c r="F9" s="40"/>
      <c r="G9" s="40"/>
      <c r="H9" s="43"/>
      <c r="I9" s="39"/>
      <c r="J9" s="40"/>
      <c r="K9" s="40"/>
      <c r="L9" s="40"/>
      <c r="M9" s="40"/>
      <c r="N9" s="43"/>
      <c r="O9" s="39"/>
      <c r="P9" s="40"/>
      <c r="Q9" s="40"/>
      <c r="R9" s="40"/>
      <c r="S9" s="40"/>
      <c r="T9" s="43"/>
      <c r="U9" s="39"/>
      <c r="V9" s="40"/>
      <c r="W9" s="40"/>
      <c r="X9" s="40"/>
      <c r="Y9" s="40"/>
      <c r="Z9" s="43"/>
      <c r="AA9" s="14" t="s">
        <v>176</v>
      </c>
      <c r="AB9" s="1" t="s">
        <v>176</v>
      </c>
      <c r="AC9" s="15" t="s">
        <v>176</v>
      </c>
      <c r="AD9" s="40"/>
      <c r="AE9" s="40"/>
      <c r="AF9" s="46"/>
      <c r="AG9" s="14" t="s">
        <v>176</v>
      </c>
      <c r="AH9" s="1" t="s">
        <v>176</v>
      </c>
      <c r="AI9" s="1" t="s">
        <v>176</v>
      </c>
      <c r="AJ9" s="40"/>
      <c r="AK9" s="40"/>
      <c r="AL9" s="15"/>
      <c r="AM9" s="39"/>
      <c r="AN9" s="40"/>
      <c r="AO9" s="40"/>
      <c r="AP9" s="40"/>
      <c r="AQ9" s="40"/>
      <c r="AR9" s="48"/>
      <c r="AS9" s="116">
        <v>45904</v>
      </c>
      <c r="AT9" s="117">
        <v>46065</v>
      </c>
      <c r="AU9" s="112"/>
      <c r="AV9" s="150"/>
      <c r="AW9" s="151"/>
      <c r="AX9" s="152"/>
      <c r="AY9" s="150"/>
      <c r="AZ9" s="151"/>
      <c r="BA9" s="152"/>
      <c r="BB9" s="150"/>
      <c r="BC9" s="151"/>
      <c r="BD9" s="152"/>
      <c r="BE9" s="150"/>
      <c r="BF9" s="151"/>
      <c r="BG9" s="152"/>
      <c r="BH9" s="119">
        <v>45964</v>
      </c>
      <c r="BI9" s="189"/>
      <c r="BJ9" s="190"/>
      <c r="BK9" s="117">
        <v>45922</v>
      </c>
      <c r="BL9" s="189"/>
      <c r="BM9" s="190"/>
      <c r="BN9" s="150"/>
      <c r="BO9" s="151"/>
      <c r="BP9" s="152"/>
      <c r="BQ9" s="90" t="str">
        <f t="shared" si="0"/>
        <v>2.1</v>
      </c>
      <c r="BR9" s="71" t="b">
        <f t="shared" si="2"/>
        <v>0</v>
      </c>
    </row>
    <row r="10" spans="1:70" ht="20.100000000000001" customHeight="1">
      <c r="A10" s="71" t="b">
        <f t="shared" si="1"/>
        <v>1</v>
      </c>
      <c r="B10" s="9" t="s">
        <v>38</v>
      </c>
      <c r="C10" s="39"/>
      <c r="D10" s="40"/>
      <c r="E10" s="40"/>
      <c r="F10" s="40"/>
      <c r="G10" s="40"/>
      <c r="H10" s="43"/>
      <c r="I10" s="39"/>
      <c r="J10" s="40"/>
      <c r="K10" s="40"/>
      <c r="L10" s="40"/>
      <c r="M10" s="40"/>
      <c r="N10" s="43"/>
      <c r="O10" s="39"/>
      <c r="P10" s="40"/>
      <c r="Q10" s="40"/>
      <c r="R10" s="40"/>
      <c r="S10" s="40"/>
      <c r="T10" s="43"/>
      <c r="U10" s="39"/>
      <c r="V10" s="40"/>
      <c r="W10" s="40"/>
      <c r="X10" s="40"/>
      <c r="Y10" s="40"/>
      <c r="Z10" s="43"/>
      <c r="AA10" s="14" t="s">
        <v>176</v>
      </c>
      <c r="AB10" s="1" t="s">
        <v>176</v>
      </c>
      <c r="AC10" s="15" t="s">
        <v>176</v>
      </c>
      <c r="AD10" s="40"/>
      <c r="AE10" s="40"/>
      <c r="AF10" s="46"/>
      <c r="AG10" s="14" t="s">
        <v>176</v>
      </c>
      <c r="AH10" s="1" t="s">
        <v>176</v>
      </c>
      <c r="AI10" s="1" t="s">
        <v>176</v>
      </c>
      <c r="AJ10" s="40"/>
      <c r="AK10" s="40"/>
      <c r="AL10" s="15"/>
      <c r="AM10" s="39"/>
      <c r="AN10" s="40"/>
      <c r="AO10" s="40"/>
      <c r="AP10" s="40"/>
      <c r="AQ10" s="40"/>
      <c r="AR10" s="48"/>
      <c r="AS10" s="116">
        <v>45904</v>
      </c>
      <c r="AT10" s="117">
        <v>46049</v>
      </c>
      <c r="AU10" s="112"/>
      <c r="AV10" s="150"/>
      <c r="AW10" s="151"/>
      <c r="AX10" s="152"/>
      <c r="AY10" s="150"/>
      <c r="AZ10" s="151"/>
      <c r="BA10" s="152"/>
      <c r="BB10" s="150"/>
      <c r="BC10" s="151"/>
      <c r="BD10" s="152"/>
      <c r="BE10" s="150"/>
      <c r="BF10" s="151"/>
      <c r="BG10" s="152"/>
      <c r="BH10" s="119">
        <v>45964</v>
      </c>
      <c r="BI10" s="189"/>
      <c r="BJ10" s="190"/>
      <c r="BK10" s="117">
        <v>45937</v>
      </c>
      <c r="BL10" s="189"/>
      <c r="BM10" s="190"/>
      <c r="BN10" s="150"/>
      <c r="BO10" s="151"/>
      <c r="BP10" s="152"/>
      <c r="BQ10" s="90" t="str">
        <f t="shared" si="0"/>
        <v>2.1</v>
      </c>
      <c r="BR10" s="71" t="b">
        <f t="shared" si="2"/>
        <v>0</v>
      </c>
    </row>
    <row r="11" spans="1:70" ht="20.100000000000001" customHeight="1">
      <c r="A11" s="71" t="b">
        <f t="shared" si="1"/>
        <v>1</v>
      </c>
      <c r="B11" s="9" t="s">
        <v>39</v>
      </c>
      <c r="C11" s="39"/>
      <c r="D11" s="40"/>
      <c r="E11" s="40"/>
      <c r="F11" s="40"/>
      <c r="G11" s="40"/>
      <c r="H11" s="43"/>
      <c r="I11" s="39"/>
      <c r="J11" s="40"/>
      <c r="K11" s="40"/>
      <c r="L11" s="40"/>
      <c r="M11" s="40"/>
      <c r="N11" s="43"/>
      <c r="O11" s="39"/>
      <c r="P11" s="40"/>
      <c r="Q11" s="40"/>
      <c r="R11" s="40"/>
      <c r="S11" s="40"/>
      <c r="T11" s="43"/>
      <c r="U11" s="39"/>
      <c r="V11" s="40"/>
      <c r="W11" s="40"/>
      <c r="X11" s="40"/>
      <c r="Y11" s="40"/>
      <c r="Z11" s="43"/>
      <c r="AA11" s="14" t="s">
        <v>176</v>
      </c>
      <c r="AB11" s="1" t="s">
        <v>176</v>
      </c>
      <c r="AC11" s="15" t="s">
        <v>176</v>
      </c>
      <c r="AD11" s="40"/>
      <c r="AE11" s="40"/>
      <c r="AF11" s="46"/>
      <c r="AG11" s="14" t="s">
        <v>176</v>
      </c>
      <c r="AH11" s="1" t="s">
        <v>176</v>
      </c>
      <c r="AI11" s="1" t="s">
        <v>176</v>
      </c>
      <c r="AJ11" s="40"/>
      <c r="AK11" s="40"/>
      <c r="AL11" s="15"/>
      <c r="AM11" s="39"/>
      <c r="AN11" s="40"/>
      <c r="AO11" s="40"/>
      <c r="AP11" s="40"/>
      <c r="AQ11" s="40"/>
      <c r="AR11" s="48"/>
      <c r="AS11" s="116">
        <v>45904</v>
      </c>
      <c r="AT11" s="117">
        <v>46034</v>
      </c>
      <c r="AU11" s="112"/>
      <c r="AV11" s="150"/>
      <c r="AW11" s="151"/>
      <c r="AX11" s="152"/>
      <c r="AY11" s="150"/>
      <c r="AZ11" s="151"/>
      <c r="BA11" s="152"/>
      <c r="BB11" s="150"/>
      <c r="BC11" s="151"/>
      <c r="BD11" s="152"/>
      <c r="BE11" s="150"/>
      <c r="BF11" s="151"/>
      <c r="BG11" s="152"/>
      <c r="BH11" s="119">
        <v>45965</v>
      </c>
      <c r="BI11" s="189"/>
      <c r="BJ11" s="190"/>
      <c r="BK11" s="117">
        <v>45939</v>
      </c>
      <c r="BL11" s="189"/>
      <c r="BM11" s="190"/>
      <c r="BN11" s="150"/>
      <c r="BO11" s="151"/>
      <c r="BP11" s="152"/>
      <c r="BQ11" s="90" t="str">
        <f t="shared" si="0"/>
        <v>2.1</v>
      </c>
      <c r="BR11" s="71" t="b">
        <f t="shared" si="2"/>
        <v>0</v>
      </c>
    </row>
    <row r="12" spans="1:70" ht="20.100000000000001" customHeight="1">
      <c r="A12" s="71" t="b">
        <f t="shared" si="1"/>
        <v>1</v>
      </c>
      <c r="B12" s="9" t="s">
        <v>40</v>
      </c>
      <c r="C12" s="39"/>
      <c r="D12" s="40"/>
      <c r="E12" s="40"/>
      <c r="F12" s="40"/>
      <c r="G12" s="40"/>
      <c r="H12" s="43"/>
      <c r="I12" s="39"/>
      <c r="J12" s="40"/>
      <c r="K12" s="40"/>
      <c r="L12" s="40"/>
      <c r="M12" s="40"/>
      <c r="N12" s="43"/>
      <c r="O12" s="39"/>
      <c r="P12" s="40"/>
      <c r="Q12" s="40"/>
      <c r="R12" s="40"/>
      <c r="S12" s="40"/>
      <c r="T12" s="43"/>
      <c r="U12" s="39"/>
      <c r="V12" s="40"/>
      <c r="W12" s="40"/>
      <c r="X12" s="40"/>
      <c r="Y12" s="40"/>
      <c r="Z12" s="43"/>
      <c r="AA12" s="14" t="s">
        <v>176</v>
      </c>
      <c r="AB12" s="1" t="s">
        <v>176</v>
      </c>
      <c r="AC12" s="15" t="s">
        <v>176</v>
      </c>
      <c r="AD12" s="40"/>
      <c r="AE12" s="40"/>
      <c r="AF12" s="46"/>
      <c r="AG12" s="14" t="s">
        <v>176</v>
      </c>
      <c r="AH12" s="1" t="s">
        <v>176</v>
      </c>
      <c r="AI12" s="1" t="s">
        <v>176</v>
      </c>
      <c r="AJ12" s="40"/>
      <c r="AK12" s="40"/>
      <c r="AL12" s="15"/>
      <c r="AM12" s="39"/>
      <c r="AN12" s="40"/>
      <c r="AO12" s="40"/>
      <c r="AP12" s="40"/>
      <c r="AQ12" s="40"/>
      <c r="AR12" s="48"/>
      <c r="AS12" s="116">
        <v>45908</v>
      </c>
      <c r="AT12" s="117">
        <v>46035</v>
      </c>
      <c r="AU12" s="112"/>
      <c r="AV12" s="150"/>
      <c r="AW12" s="151"/>
      <c r="AX12" s="152"/>
      <c r="AY12" s="150"/>
      <c r="AZ12" s="151"/>
      <c r="BA12" s="152"/>
      <c r="BB12" s="150"/>
      <c r="BC12" s="151"/>
      <c r="BD12" s="152"/>
      <c r="BE12" s="150"/>
      <c r="BF12" s="151"/>
      <c r="BG12" s="152"/>
      <c r="BH12" s="119">
        <v>45965</v>
      </c>
      <c r="BI12" s="189"/>
      <c r="BJ12" s="190"/>
      <c r="BK12" s="117">
        <v>45944</v>
      </c>
      <c r="BL12" s="189"/>
      <c r="BM12" s="190"/>
      <c r="BN12" s="150"/>
      <c r="BO12" s="151"/>
      <c r="BP12" s="152"/>
      <c r="BQ12" s="90" t="str">
        <f t="shared" si="0"/>
        <v>2.1</v>
      </c>
      <c r="BR12" s="71" t="b">
        <f t="shared" si="2"/>
        <v>0</v>
      </c>
    </row>
    <row r="13" spans="1:70" ht="20.100000000000001" customHeight="1">
      <c r="A13" s="71" t="b">
        <f t="shared" si="1"/>
        <v>1</v>
      </c>
      <c r="B13" s="9" t="s">
        <v>41</v>
      </c>
      <c r="C13" s="39"/>
      <c r="D13" s="40"/>
      <c r="E13" s="40"/>
      <c r="F13" s="40"/>
      <c r="G13" s="40"/>
      <c r="H13" s="43"/>
      <c r="I13" s="39"/>
      <c r="J13" s="40"/>
      <c r="K13" s="40"/>
      <c r="L13" s="40"/>
      <c r="M13" s="40"/>
      <c r="N13" s="43"/>
      <c r="O13" s="39"/>
      <c r="P13" s="40"/>
      <c r="Q13" s="40"/>
      <c r="R13" s="40"/>
      <c r="S13" s="40"/>
      <c r="T13" s="43"/>
      <c r="U13" s="39"/>
      <c r="V13" s="40"/>
      <c r="W13" s="40"/>
      <c r="X13" s="40"/>
      <c r="Y13" s="40"/>
      <c r="Z13" s="43"/>
      <c r="AA13" s="14" t="s">
        <v>176</v>
      </c>
      <c r="AB13" s="1" t="s">
        <v>176</v>
      </c>
      <c r="AC13" s="15" t="s">
        <v>176</v>
      </c>
      <c r="AD13" s="40"/>
      <c r="AE13" s="40"/>
      <c r="AF13" s="46"/>
      <c r="AG13" s="14" t="s">
        <v>176</v>
      </c>
      <c r="AH13" s="1" t="s">
        <v>176</v>
      </c>
      <c r="AI13" s="1" t="s">
        <v>176</v>
      </c>
      <c r="AJ13" s="40"/>
      <c r="AK13" s="40"/>
      <c r="AL13" s="15"/>
      <c r="AM13" s="39"/>
      <c r="AN13" s="40"/>
      <c r="AO13" s="40"/>
      <c r="AP13" s="40"/>
      <c r="AQ13" s="40"/>
      <c r="AR13" s="48"/>
      <c r="AS13" s="116">
        <v>45908</v>
      </c>
      <c r="AT13" s="117">
        <v>46049</v>
      </c>
      <c r="AU13" s="112"/>
      <c r="AV13" s="150"/>
      <c r="AW13" s="151"/>
      <c r="AX13" s="152"/>
      <c r="AY13" s="150"/>
      <c r="AZ13" s="151"/>
      <c r="BA13" s="152"/>
      <c r="BB13" s="150"/>
      <c r="BC13" s="151"/>
      <c r="BD13" s="152"/>
      <c r="BE13" s="150"/>
      <c r="BF13" s="151"/>
      <c r="BG13" s="152"/>
      <c r="BH13" s="119">
        <v>45966</v>
      </c>
      <c r="BI13" s="189"/>
      <c r="BJ13" s="190"/>
      <c r="BK13" s="117">
        <v>45957</v>
      </c>
      <c r="BL13" s="189"/>
      <c r="BM13" s="190"/>
      <c r="BN13" s="150"/>
      <c r="BO13" s="151"/>
      <c r="BP13" s="152"/>
      <c r="BQ13" s="90" t="str">
        <f t="shared" si="0"/>
        <v>2.1</v>
      </c>
      <c r="BR13" s="71" t="b">
        <f t="shared" si="2"/>
        <v>0</v>
      </c>
    </row>
    <row r="14" spans="1:70" ht="20.100000000000001" customHeight="1">
      <c r="A14" s="71" t="b">
        <f t="shared" si="1"/>
        <v>1</v>
      </c>
      <c r="B14" s="9" t="s">
        <v>42</v>
      </c>
      <c r="C14" s="39"/>
      <c r="D14" s="40"/>
      <c r="E14" s="40"/>
      <c r="F14" s="40"/>
      <c r="G14" s="40"/>
      <c r="H14" s="43"/>
      <c r="I14" s="39"/>
      <c r="J14" s="40"/>
      <c r="K14" s="40"/>
      <c r="L14" s="40"/>
      <c r="M14" s="40"/>
      <c r="N14" s="43"/>
      <c r="O14" s="39"/>
      <c r="P14" s="40"/>
      <c r="Q14" s="40"/>
      <c r="R14" s="40"/>
      <c r="S14" s="40"/>
      <c r="T14" s="43"/>
      <c r="U14" s="39"/>
      <c r="V14" s="40"/>
      <c r="W14" s="40"/>
      <c r="X14" s="40"/>
      <c r="Y14" s="40"/>
      <c r="Z14" s="43"/>
      <c r="AA14" s="14" t="s">
        <v>176</v>
      </c>
      <c r="AB14" s="1" t="s">
        <v>176</v>
      </c>
      <c r="AC14" s="15" t="s">
        <v>176</v>
      </c>
      <c r="AD14" s="40"/>
      <c r="AE14" s="40"/>
      <c r="AF14" s="46"/>
      <c r="AG14" s="14" t="s">
        <v>176</v>
      </c>
      <c r="AH14" s="1" t="s">
        <v>176</v>
      </c>
      <c r="AI14" s="1" t="s">
        <v>176</v>
      </c>
      <c r="AJ14" s="40"/>
      <c r="AK14" s="40"/>
      <c r="AL14" s="15"/>
      <c r="AM14" s="39"/>
      <c r="AN14" s="40"/>
      <c r="AO14" s="40"/>
      <c r="AP14" s="40"/>
      <c r="AQ14" s="40"/>
      <c r="AR14" s="48"/>
      <c r="AS14" s="116">
        <v>45909</v>
      </c>
      <c r="AT14" s="117">
        <v>46034</v>
      </c>
      <c r="AU14" s="112"/>
      <c r="AV14" s="150"/>
      <c r="AW14" s="151"/>
      <c r="AX14" s="152"/>
      <c r="AY14" s="150"/>
      <c r="AZ14" s="151"/>
      <c r="BA14" s="152"/>
      <c r="BB14" s="150"/>
      <c r="BC14" s="151"/>
      <c r="BD14" s="152"/>
      <c r="BE14" s="150"/>
      <c r="BF14" s="151"/>
      <c r="BG14" s="152"/>
      <c r="BH14" s="119">
        <v>45966</v>
      </c>
      <c r="BI14" s="189"/>
      <c r="BJ14" s="190"/>
      <c r="BK14" s="117">
        <v>45945</v>
      </c>
      <c r="BL14" s="189"/>
      <c r="BM14" s="190"/>
      <c r="BN14" s="150"/>
      <c r="BO14" s="151"/>
      <c r="BP14" s="152"/>
      <c r="BQ14" s="90" t="str">
        <f t="shared" si="0"/>
        <v>2.2</v>
      </c>
      <c r="BR14" s="71" t="b">
        <f t="shared" si="2"/>
        <v>0</v>
      </c>
    </row>
    <row r="15" spans="1:70" ht="20.100000000000001" customHeight="1">
      <c r="A15" s="71" t="b">
        <f t="shared" si="1"/>
        <v>1</v>
      </c>
      <c r="B15" s="9" t="s">
        <v>43</v>
      </c>
      <c r="C15" s="39"/>
      <c r="D15" s="40"/>
      <c r="E15" s="40"/>
      <c r="F15" s="40"/>
      <c r="G15" s="40"/>
      <c r="H15" s="43"/>
      <c r="I15" s="39"/>
      <c r="J15" s="40"/>
      <c r="K15" s="40"/>
      <c r="L15" s="40"/>
      <c r="M15" s="40"/>
      <c r="N15" s="43"/>
      <c r="O15" s="39"/>
      <c r="P15" s="40"/>
      <c r="Q15" s="40"/>
      <c r="R15" s="40"/>
      <c r="S15" s="40"/>
      <c r="T15" s="43"/>
      <c r="U15" s="39"/>
      <c r="V15" s="40"/>
      <c r="W15" s="40"/>
      <c r="X15" s="40"/>
      <c r="Y15" s="40"/>
      <c r="Z15" s="43"/>
      <c r="AA15" s="14" t="s">
        <v>176</v>
      </c>
      <c r="AB15" s="1" t="s">
        <v>176</v>
      </c>
      <c r="AC15" s="15" t="s">
        <v>176</v>
      </c>
      <c r="AD15" s="40"/>
      <c r="AE15" s="40"/>
      <c r="AF15" s="46"/>
      <c r="AG15" s="14" t="s">
        <v>176</v>
      </c>
      <c r="AH15" s="1" t="s">
        <v>176</v>
      </c>
      <c r="AI15" s="1" t="s">
        <v>176</v>
      </c>
      <c r="AJ15" s="40"/>
      <c r="AK15" s="40"/>
      <c r="AL15" s="15"/>
      <c r="AM15" s="39"/>
      <c r="AN15" s="40"/>
      <c r="AO15" s="40"/>
      <c r="AP15" s="40"/>
      <c r="AQ15" s="40"/>
      <c r="AR15" s="48"/>
      <c r="AS15" s="116">
        <v>45909</v>
      </c>
      <c r="AT15" s="117">
        <v>46035</v>
      </c>
      <c r="AU15" s="112"/>
      <c r="AV15" s="150"/>
      <c r="AW15" s="151"/>
      <c r="AX15" s="152"/>
      <c r="AY15" s="150"/>
      <c r="AZ15" s="151"/>
      <c r="BA15" s="152"/>
      <c r="BB15" s="150"/>
      <c r="BC15" s="151"/>
      <c r="BD15" s="152"/>
      <c r="BE15" s="150"/>
      <c r="BF15" s="151"/>
      <c r="BG15" s="152"/>
      <c r="BH15" s="119">
        <v>45967</v>
      </c>
      <c r="BI15" s="189"/>
      <c r="BJ15" s="190"/>
      <c r="BK15" s="117">
        <v>45946</v>
      </c>
      <c r="BL15" s="189"/>
      <c r="BM15" s="190"/>
      <c r="BN15" s="150"/>
      <c r="BO15" s="151"/>
      <c r="BP15" s="152"/>
      <c r="BQ15" s="90" t="str">
        <f t="shared" si="0"/>
        <v>2.3</v>
      </c>
      <c r="BR15" s="71" t="b">
        <f t="shared" si="2"/>
        <v>0</v>
      </c>
    </row>
    <row r="16" spans="1:70" ht="20.100000000000001" customHeight="1">
      <c r="A16" s="71" t="b">
        <f t="shared" si="1"/>
        <v>1</v>
      </c>
      <c r="B16" s="9" t="s">
        <v>44</v>
      </c>
      <c r="C16" s="39"/>
      <c r="D16" s="40"/>
      <c r="E16" s="40"/>
      <c r="F16" s="40"/>
      <c r="G16" s="40"/>
      <c r="H16" s="43"/>
      <c r="I16" s="39"/>
      <c r="J16" s="40"/>
      <c r="K16" s="40"/>
      <c r="L16" s="40"/>
      <c r="M16" s="40"/>
      <c r="N16" s="43"/>
      <c r="O16" s="39"/>
      <c r="P16" s="40"/>
      <c r="Q16" s="40"/>
      <c r="R16" s="40"/>
      <c r="S16" s="40"/>
      <c r="T16" s="43"/>
      <c r="U16" s="39"/>
      <c r="V16" s="40"/>
      <c r="W16" s="40"/>
      <c r="X16" s="40"/>
      <c r="Y16" s="40"/>
      <c r="Z16" s="43"/>
      <c r="AA16" s="14" t="s">
        <v>176</v>
      </c>
      <c r="AB16" s="1" t="s">
        <v>176</v>
      </c>
      <c r="AC16" s="15" t="s">
        <v>176</v>
      </c>
      <c r="AD16" s="40"/>
      <c r="AE16" s="40"/>
      <c r="AF16" s="46"/>
      <c r="AG16" s="14" t="s">
        <v>176</v>
      </c>
      <c r="AH16" s="1" t="s">
        <v>176</v>
      </c>
      <c r="AI16" s="1" t="s">
        <v>176</v>
      </c>
      <c r="AJ16" s="40"/>
      <c r="AK16" s="40"/>
      <c r="AL16" s="15"/>
      <c r="AM16" s="39"/>
      <c r="AN16" s="40"/>
      <c r="AO16" s="40"/>
      <c r="AP16" s="40"/>
      <c r="AQ16" s="40"/>
      <c r="AR16" s="48"/>
      <c r="AS16" s="116">
        <v>45910</v>
      </c>
      <c r="AT16" s="117">
        <v>46065</v>
      </c>
      <c r="AU16" s="136"/>
      <c r="AV16" s="150"/>
      <c r="AW16" s="151"/>
      <c r="AX16" s="152"/>
      <c r="AY16" s="150"/>
      <c r="AZ16" s="151"/>
      <c r="BA16" s="152"/>
      <c r="BB16" s="150"/>
      <c r="BC16" s="151"/>
      <c r="BD16" s="152"/>
      <c r="BE16" s="150"/>
      <c r="BF16" s="151"/>
      <c r="BG16" s="152"/>
      <c r="BH16" s="119">
        <v>45967</v>
      </c>
      <c r="BI16" s="189"/>
      <c r="BJ16" s="190"/>
      <c r="BK16" s="117">
        <v>45952</v>
      </c>
      <c r="BL16" s="189"/>
      <c r="BM16" s="190"/>
      <c r="BN16" s="150"/>
      <c r="BO16" s="151"/>
      <c r="BP16" s="152"/>
      <c r="BQ16" s="90" t="str">
        <f t="shared" si="0"/>
        <v>2.3</v>
      </c>
      <c r="BR16" s="71" t="b">
        <f t="shared" si="2"/>
        <v>0</v>
      </c>
    </row>
    <row r="17" spans="1:70" ht="20.100000000000001" customHeight="1">
      <c r="A17" s="71" t="b">
        <f t="shared" si="1"/>
        <v>1</v>
      </c>
      <c r="B17" s="9" t="s">
        <v>45</v>
      </c>
      <c r="C17" s="39"/>
      <c r="D17" s="40"/>
      <c r="E17" s="40"/>
      <c r="F17" s="40"/>
      <c r="G17" s="40"/>
      <c r="H17" s="43"/>
      <c r="I17" s="39"/>
      <c r="J17" s="40"/>
      <c r="K17" s="40"/>
      <c r="L17" s="40"/>
      <c r="M17" s="40"/>
      <c r="N17" s="43"/>
      <c r="O17" s="39"/>
      <c r="P17" s="40"/>
      <c r="Q17" s="40"/>
      <c r="R17" s="40"/>
      <c r="S17" s="40"/>
      <c r="T17" s="43"/>
      <c r="U17" s="39"/>
      <c r="V17" s="40"/>
      <c r="W17" s="40"/>
      <c r="X17" s="40"/>
      <c r="Y17" s="40"/>
      <c r="Z17" s="43"/>
      <c r="AA17" s="14" t="s">
        <v>176</v>
      </c>
      <c r="AB17" s="1" t="s">
        <v>176</v>
      </c>
      <c r="AC17" s="15" t="s">
        <v>176</v>
      </c>
      <c r="AD17" s="40"/>
      <c r="AE17" s="40"/>
      <c r="AF17" s="46"/>
      <c r="AG17" s="14" t="s">
        <v>176</v>
      </c>
      <c r="AH17" s="1" t="s">
        <v>176</v>
      </c>
      <c r="AI17" s="1" t="s">
        <v>176</v>
      </c>
      <c r="AJ17" s="40"/>
      <c r="AK17" s="40"/>
      <c r="AL17" s="15"/>
      <c r="AM17" s="39"/>
      <c r="AN17" s="40"/>
      <c r="AO17" s="40"/>
      <c r="AP17" s="40"/>
      <c r="AQ17" s="40"/>
      <c r="AR17" s="48"/>
      <c r="AS17" s="116">
        <v>45910</v>
      </c>
      <c r="AT17" s="117">
        <v>46071</v>
      </c>
      <c r="AU17" s="112"/>
      <c r="AV17" s="150"/>
      <c r="AW17" s="151"/>
      <c r="AX17" s="152"/>
      <c r="AY17" s="150"/>
      <c r="AZ17" s="151"/>
      <c r="BA17" s="152"/>
      <c r="BB17" s="150"/>
      <c r="BC17" s="151"/>
      <c r="BD17" s="152"/>
      <c r="BE17" s="150"/>
      <c r="BF17" s="151"/>
      <c r="BG17" s="152"/>
      <c r="BH17" s="119">
        <v>45971</v>
      </c>
      <c r="BI17" s="189"/>
      <c r="BJ17" s="190"/>
      <c r="BK17" s="117">
        <v>45952</v>
      </c>
      <c r="BL17" s="189"/>
      <c r="BM17" s="190"/>
      <c r="BN17" s="150"/>
      <c r="BO17" s="151"/>
      <c r="BP17" s="152"/>
      <c r="BQ17" s="90" t="str">
        <f t="shared" si="0"/>
        <v>2.3</v>
      </c>
      <c r="BR17" s="71" t="b">
        <f t="shared" si="2"/>
        <v>0</v>
      </c>
    </row>
    <row r="18" spans="1:70" ht="20.100000000000001" customHeight="1">
      <c r="A18" s="71" t="b">
        <f t="shared" si="1"/>
        <v>1</v>
      </c>
      <c r="B18" s="9" t="s">
        <v>46</v>
      </c>
      <c r="C18" s="39"/>
      <c r="D18" s="40"/>
      <c r="E18" s="40"/>
      <c r="F18" s="40"/>
      <c r="G18" s="40"/>
      <c r="H18" s="43"/>
      <c r="I18" s="39"/>
      <c r="J18" s="40"/>
      <c r="K18" s="40"/>
      <c r="L18" s="40"/>
      <c r="M18" s="40"/>
      <c r="N18" s="43"/>
      <c r="O18" s="39"/>
      <c r="P18" s="40"/>
      <c r="Q18" s="40"/>
      <c r="R18" s="40"/>
      <c r="S18" s="40"/>
      <c r="T18" s="43"/>
      <c r="U18" s="39"/>
      <c r="V18" s="40"/>
      <c r="W18" s="40"/>
      <c r="X18" s="40"/>
      <c r="Y18" s="40"/>
      <c r="Z18" s="43"/>
      <c r="AA18" s="14" t="s">
        <v>176</v>
      </c>
      <c r="AB18" s="197" t="s">
        <v>176</v>
      </c>
      <c r="AC18" s="15" t="s">
        <v>176</v>
      </c>
      <c r="AD18" s="40"/>
      <c r="AE18" s="40"/>
      <c r="AF18" s="46"/>
      <c r="AG18" s="14" t="s">
        <v>176</v>
      </c>
      <c r="AH18" s="197" t="s">
        <v>176</v>
      </c>
      <c r="AI18" s="1" t="s">
        <v>176</v>
      </c>
      <c r="AJ18" s="40"/>
      <c r="AK18" s="40"/>
      <c r="AL18" s="15"/>
      <c r="AM18" s="39"/>
      <c r="AN18" s="40"/>
      <c r="AO18" s="40"/>
      <c r="AP18" s="40"/>
      <c r="AQ18" s="40"/>
      <c r="AR18" s="48"/>
      <c r="AS18" s="116">
        <v>45911</v>
      </c>
      <c r="AT18" s="117">
        <v>46071</v>
      </c>
      <c r="AU18" s="112"/>
      <c r="AV18" s="150"/>
      <c r="AW18" s="151"/>
      <c r="AX18" s="152"/>
      <c r="AY18" s="150"/>
      <c r="AZ18" s="151"/>
      <c r="BA18" s="152"/>
      <c r="BB18" s="150"/>
      <c r="BC18" s="151"/>
      <c r="BD18" s="152"/>
      <c r="BE18" s="150"/>
      <c r="BF18" s="151"/>
      <c r="BG18" s="152"/>
      <c r="BH18" s="119">
        <v>45973</v>
      </c>
      <c r="BI18" s="189"/>
      <c r="BJ18" s="190"/>
      <c r="BK18" s="117">
        <v>45953</v>
      </c>
      <c r="BL18" s="189"/>
      <c r="BM18" s="190"/>
      <c r="BN18" s="150"/>
      <c r="BO18" s="151"/>
      <c r="BP18" s="152"/>
      <c r="BQ18" s="90" t="str">
        <f t="shared" si="0"/>
        <v>2.3</v>
      </c>
      <c r="BR18" s="71" t="b">
        <f t="shared" si="2"/>
        <v>0</v>
      </c>
    </row>
    <row r="19" spans="1:70" ht="20.100000000000001" customHeight="1">
      <c r="A19" s="71" t="b">
        <f t="shared" si="1"/>
        <v>1</v>
      </c>
      <c r="B19" s="9" t="s">
        <v>47</v>
      </c>
      <c r="C19" s="39"/>
      <c r="D19" s="40"/>
      <c r="E19" s="40"/>
      <c r="F19" s="40"/>
      <c r="G19" s="40"/>
      <c r="H19" s="43"/>
      <c r="I19" s="39"/>
      <c r="J19" s="40"/>
      <c r="K19" s="40"/>
      <c r="L19" s="40"/>
      <c r="M19" s="40"/>
      <c r="N19" s="43"/>
      <c r="O19" s="39"/>
      <c r="P19" s="40"/>
      <c r="Q19" s="40"/>
      <c r="R19" s="40"/>
      <c r="S19" s="40"/>
      <c r="T19" s="43"/>
      <c r="U19" s="39"/>
      <c r="V19" s="40"/>
      <c r="W19" s="40"/>
      <c r="X19" s="40"/>
      <c r="Y19" s="40"/>
      <c r="Z19" s="43"/>
      <c r="AA19" s="195" t="s">
        <v>176</v>
      </c>
      <c r="AB19" s="194" t="s">
        <v>176</v>
      </c>
      <c r="AC19" s="196" t="s">
        <v>176</v>
      </c>
      <c r="AD19" s="40"/>
      <c r="AE19" s="40"/>
      <c r="AF19" s="46" t="s">
        <v>176</v>
      </c>
      <c r="AG19" s="195" t="s">
        <v>176</v>
      </c>
      <c r="AH19" s="194" t="s">
        <v>176</v>
      </c>
      <c r="AI19" s="199" t="s">
        <v>176</v>
      </c>
      <c r="AJ19" s="40"/>
      <c r="AK19" s="40"/>
      <c r="AL19" s="15" t="s">
        <v>176</v>
      </c>
      <c r="AM19" s="39"/>
      <c r="AN19" s="40"/>
      <c r="AO19" s="40"/>
      <c r="AP19" s="40"/>
      <c r="AQ19" s="40"/>
      <c r="AR19" s="48"/>
      <c r="AS19" s="116">
        <v>45915</v>
      </c>
      <c r="AT19" s="117">
        <v>45975</v>
      </c>
      <c r="AU19" s="112">
        <v>46253</v>
      </c>
      <c r="AV19" s="150"/>
      <c r="AW19" s="151"/>
      <c r="AX19" s="152"/>
      <c r="AY19" s="150"/>
      <c r="AZ19" s="151"/>
      <c r="BA19" s="152"/>
      <c r="BB19" s="150"/>
      <c r="BC19" s="151"/>
      <c r="BD19" s="152"/>
      <c r="BE19" s="150"/>
      <c r="BF19" s="151"/>
      <c r="BG19" s="152"/>
      <c r="BH19" s="119">
        <v>45973</v>
      </c>
      <c r="BI19" s="189"/>
      <c r="BJ19" s="190"/>
      <c r="BK19" s="117">
        <v>45959</v>
      </c>
      <c r="BL19" s="189"/>
      <c r="BM19" s="190"/>
      <c r="BN19" s="150"/>
      <c r="BO19" s="151"/>
      <c r="BP19" s="152"/>
      <c r="BQ19" s="90" t="str">
        <f t="shared" si="0"/>
        <v>2.4</v>
      </c>
      <c r="BR19" s="71" t="b">
        <f t="shared" si="2"/>
        <v>1</v>
      </c>
    </row>
    <row r="20" spans="1:70" ht="20.100000000000001" customHeight="1">
      <c r="A20" s="71" t="b">
        <f t="shared" si="1"/>
        <v>1</v>
      </c>
      <c r="B20" s="9" t="s">
        <v>48</v>
      </c>
      <c r="C20" s="39"/>
      <c r="D20" s="40"/>
      <c r="E20" s="40"/>
      <c r="F20" s="40"/>
      <c r="G20" s="40"/>
      <c r="H20" s="43"/>
      <c r="I20" s="39"/>
      <c r="J20" s="200"/>
      <c r="K20" s="40"/>
      <c r="L20" s="40"/>
      <c r="M20" s="40"/>
      <c r="N20" s="43"/>
      <c r="O20" s="39"/>
      <c r="P20" s="40"/>
      <c r="Q20" s="40"/>
      <c r="R20" s="40"/>
      <c r="S20" s="40"/>
      <c r="T20" s="43"/>
      <c r="U20" s="39"/>
      <c r="V20" s="40"/>
      <c r="W20" s="40"/>
      <c r="X20" s="40"/>
      <c r="Y20" s="40"/>
      <c r="Z20" s="43"/>
      <c r="AA20" s="14" t="s">
        <v>176</v>
      </c>
      <c r="AB20" s="198" t="s">
        <v>176</v>
      </c>
      <c r="AC20" s="15" t="s">
        <v>176</v>
      </c>
      <c r="AD20" s="40"/>
      <c r="AE20" s="40"/>
      <c r="AF20" s="46"/>
      <c r="AG20" s="14" t="s">
        <v>176</v>
      </c>
      <c r="AH20" s="198" t="s">
        <v>176</v>
      </c>
      <c r="AI20" s="1" t="s">
        <v>176</v>
      </c>
      <c r="AJ20" s="40"/>
      <c r="AK20" s="40"/>
      <c r="AL20" s="15"/>
      <c r="AM20" s="39"/>
      <c r="AN20" s="40"/>
      <c r="AO20" s="40"/>
      <c r="AP20" s="40"/>
      <c r="AQ20" s="40"/>
      <c r="AR20" s="48"/>
      <c r="AS20" s="116">
        <v>45915</v>
      </c>
      <c r="AT20" s="117">
        <v>46037</v>
      </c>
      <c r="AU20" s="112"/>
      <c r="AV20" s="150"/>
      <c r="AW20" s="151"/>
      <c r="AX20" s="152"/>
      <c r="AY20" s="150"/>
      <c r="AZ20" s="151"/>
      <c r="BA20" s="152"/>
      <c r="BB20" s="150"/>
      <c r="BC20" s="151"/>
      <c r="BD20" s="152"/>
      <c r="BE20" s="150"/>
      <c r="BF20" s="151"/>
      <c r="BG20" s="152"/>
      <c r="BH20" s="119">
        <v>45974</v>
      </c>
      <c r="BI20" s="189"/>
      <c r="BJ20" s="190"/>
      <c r="BK20" s="117">
        <v>45964</v>
      </c>
      <c r="BL20" s="189"/>
      <c r="BM20" s="190"/>
      <c r="BN20" s="150"/>
      <c r="BO20" s="151"/>
      <c r="BP20" s="152"/>
      <c r="BQ20" s="90" t="str">
        <f t="shared" si="0"/>
        <v>2.5</v>
      </c>
      <c r="BR20" s="71" t="b">
        <f t="shared" si="2"/>
        <v>0</v>
      </c>
    </row>
    <row r="21" spans="1:70" ht="20.100000000000001" customHeight="1">
      <c r="A21" s="71" t="b">
        <f t="shared" si="1"/>
        <v>1</v>
      </c>
      <c r="B21" s="9" t="s">
        <v>49</v>
      </c>
      <c r="C21" s="39"/>
      <c r="D21" s="40"/>
      <c r="E21" s="40"/>
      <c r="F21" s="40"/>
      <c r="G21" s="40"/>
      <c r="H21" s="43"/>
      <c r="I21" s="195" t="s">
        <v>176</v>
      </c>
      <c r="J21" s="194" t="s">
        <v>176</v>
      </c>
      <c r="K21" s="199" t="s">
        <v>176</v>
      </c>
      <c r="L21" s="40"/>
      <c r="M21" s="40"/>
      <c r="N21" s="15"/>
      <c r="O21" s="14" t="s">
        <v>176</v>
      </c>
      <c r="P21" s="14" t="s">
        <v>176</v>
      </c>
      <c r="Q21" s="1" t="s">
        <v>176</v>
      </c>
      <c r="R21" s="40"/>
      <c r="S21" s="40"/>
      <c r="T21" s="15"/>
      <c r="U21" s="39"/>
      <c r="V21" s="40"/>
      <c r="W21" s="40"/>
      <c r="X21" s="40"/>
      <c r="Y21" s="40"/>
      <c r="Z21" s="43"/>
      <c r="AA21" s="39"/>
      <c r="AB21" s="40"/>
      <c r="AC21" s="40"/>
      <c r="AD21" s="40"/>
      <c r="AE21" s="40"/>
      <c r="AF21" s="48"/>
      <c r="AG21" s="39"/>
      <c r="AH21" s="40"/>
      <c r="AI21" s="40"/>
      <c r="AJ21" s="40"/>
      <c r="AK21" s="40"/>
      <c r="AL21" s="43"/>
      <c r="AM21" s="39"/>
      <c r="AN21" s="40"/>
      <c r="AO21" s="40"/>
      <c r="AP21" s="40"/>
      <c r="AQ21" s="40"/>
      <c r="AR21" s="48"/>
      <c r="AS21" s="116">
        <v>45910</v>
      </c>
      <c r="AT21" s="117">
        <v>45982</v>
      </c>
      <c r="AU21" s="112"/>
      <c r="AV21" s="150"/>
      <c r="AW21" s="151"/>
      <c r="AX21" s="152"/>
      <c r="AY21" s="119">
        <v>45944</v>
      </c>
      <c r="AZ21" s="189"/>
      <c r="BA21" s="190"/>
      <c r="BB21" s="117">
        <v>45923</v>
      </c>
      <c r="BC21" s="189"/>
      <c r="BD21" s="190"/>
      <c r="BE21" s="150"/>
      <c r="BF21" s="151"/>
      <c r="BG21" s="152"/>
      <c r="BH21" s="150"/>
      <c r="BI21" s="151"/>
      <c r="BJ21" s="152"/>
      <c r="BK21" s="150"/>
      <c r="BL21" s="151"/>
      <c r="BM21" s="152"/>
      <c r="BN21" s="150"/>
      <c r="BO21" s="151"/>
      <c r="BP21" s="152"/>
      <c r="BQ21" s="90" t="str">
        <f t="shared" si="0"/>
        <v>3A.1</v>
      </c>
      <c r="BR21" s="71" t="b">
        <f t="shared" si="2"/>
        <v>0</v>
      </c>
    </row>
    <row r="22" spans="1:70" ht="20.100000000000001" customHeight="1">
      <c r="A22" s="71" t="b">
        <f t="shared" si="1"/>
        <v>1</v>
      </c>
      <c r="B22" s="9" t="s">
        <v>50</v>
      </c>
      <c r="C22" s="39"/>
      <c r="D22" s="40"/>
      <c r="E22" s="40"/>
      <c r="F22" s="40"/>
      <c r="G22" s="40"/>
      <c r="H22" s="43"/>
      <c r="I22" s="14" t="s">
        <v>176</v>
      </c>
      <c r="J22" s="198" t="s">
        <v>176</v>
      </c>
      <c r="K22" s="1" t="s">
        <v>176</v>
      </c>
      <c r="L22" s="40"/>
      <c r="M22" s="40"/>
      <c r="N22" s="15"/>
      <c r="O22" s="14" t="s">
        <v>176</v>
      </c>
      <c r="P22" s="1" t="s">
        <v>176</v>
      </c>
      <c r="Q22" s="1" t="s">
        <v>176</v>
      </c>
      <c r="R22" s="40"/>
      <c r="S22" s="40"/>
      <c r="T22" s="15"/>
      <c r="U22" s="39"/>
      <c r="V22" s="40"/>
      <c r="W22" s="40"/>
      <c r="X22" s="40"/>
      <c r="Y22" s="40"/>
      <c r="Z22" s="43"/>
      <c r="AA22" s="39"/>
      <c r="AB22" s="200"/>
      <c r="AC22" s="40"/>
      <c r="AD22" s="40"/>
      <c r="AE22" s="40"/>
      <c r="AF22" s="48"/>
      <c r="AG22" s="39"/>
      <c r="AH22" s="200"/>
      <c r="AI22" s="40"/>
      <c r="AJ22" s="40"/>
      <c r="AK22" s="40"/>
      <c r="AL22" s="43"/>
      <c r="AM22" s="39"/>
      <c r="AN22" s="40"/>
      <c r="AO22" s="40"/>
      <c r="AP22" s="40"/>
      <c r="AQ22" s="40"/>
      <c r="AR22" s="48"/>
      <c r="AS22" s="116">
        <v>45911</v>
      </c>
      <c r="AT22" s="117">
        <v>46055</v>
      </c>
      <c r="AU22" s="112"/>
      <c r="AV22" s="150"/>
      <c r="AW22" s="151"/>
      <c r="AX22" s="152"/>
      <c r="AY22" s="119">
        <v>45986</v>
      </c>
      <c r="AZ22" s="189"/>
      <c r="BA22" s="190"/>
      <c r="BB22" s="117">
        <v>45944</v>
      </c>
      <c r="BC22" s="189"/>
      <c r="BD22" s="190"/>
      <c r="BE22" s="150"/>
      <c r="BF22" s="151"/>
      <c r="BG22" s="152"/>
      <c r="BH22" s="150"/>
      <c r="BI22" s="151"/>
      <c r="BJ22" s="152"/>
      <c r="BK22" s="150"/>
      <c r="BL22" s="151"/>
      <c r="BM22" s="152"/>
      <c r="BN22" s="150"/>
      <c r="BO22" s="151"/>
      <c r="BP22" s="152"/>
      <c r="BQ22" s="90" t="str">
        <f t="shared" si="0"/>
        <v>3A.2</v>
      </c>
      <c r="BR22" s="71" t="b">
        <f t="shared" si="2"/>
        <v>0</v>
      </c>
    </row>
    <row r="23" spans="1:70" ht="20.100000000000001" customHeight="1">
      <c r="A23" s="71" t="b">
        <f t="shared" si="1"/>
        <v>1</v>
      </c>
      <c r="B23" s="9" t="s">
        <v>53</v>
      </c>
      <c r="C23" s="39"/>
      <c r="D23" s="40"/>
      <c r="E23" s="40"/>
      <c r="F23" s="40"/>
      <c r="G23" s="40"/>
      <c r="H23" s="43"/>
      <c r="I23" s="39"/>
      <c r="J23" s="40"/>
      <c r="K23" s="40"/>
      <c r="L23" s="40"/>
      <c r="M23" s="40"/>
      <c r="N23" s="43"/>
      <c r="O23" s="39"/>
      <c r="P23" s="40"/>
      <c r="Q23" s="40"/>
      <c r="R23" s="40"/>
      <c r="S23" s="40"/>
      <c r="T23" s="43"/>
      <c r="U23" s="39"/>
      <c r="V23" s="40"/>
      <c r="W23" s="40"/>
      <c r="X23" s="40"/>
      <c r="Y23" s="40"/>
      <c r="Z23" s="43"/>
      <c r="AA23" s="195" t="s">
        <v>176</v>
      </c>
      <c r="AB23" s="194" t="s">
        <v>176</v>
      </c>
      <c r="AC23" s="199" t="s">
        <v>176</v>
      </c>
      <c r="AD23" s="40"/>
      <c r="AE23" s="40"/>
      <c r="AF23" s="46" t="s">
        <v>176</v>
      </c>
      <c r="AG23" s="195" t="s">
        <v>176</v>
      </c>
      <c r="AH23" s="194" t="s">
        <v>176</v>
      </c>
      <c r="AI23" s="199" t="s">
        <v>176</v>
      </c>
      <c r="AJ23" s="40"/>
      <c r="AK23" s="40"/>
      <c r="AL23" s="15" t="s">
        <v>176</v>
      </c>
      <c r="AM23" s="39"/>
      <c r="AN23" s="40"/>
      <c r="AO23" s="40"/>
      <c r="AP23" s="40"/>
      <c r="AQ23" s="40"/>
      <c r="AR23" s="48"/>
      <c r="AS23" s="116">
        <v>45888</v>
      </c>
      <c r="AT23" s="117">
        <v>45972</v>
      </c>
      <c r="AU23" s="112">
        <v>46252</v>
      </c>
      <c r="AV23" s="150"/>
      <c r="AW23" s="151"/>
      <c r="AX23" s="152"/>
      <c r="AY23" s="150"/>
      <c r="AZ23" s="151"/>
      <c r="BA23" s="152"/>
      <c r="BB23" s="150"/>
      <c r="BC23" s="151"/>
      <c r="BD23" s="152"/>
      <c r="BE23" s="150"/>
      <c r="BF23" s="151"/>
      <c r="BG23" s="152"/>
      <c r="BH23" s="117">
        <v>45924</v>
      </c>
      <c r="BI23" s="189"/>
      <c r="BJ23" s="190"/>
      <c r="BK23" s="117">
        <v>45960</v>
      </c>
      <c r="BL23" s="189"/>
      <c r="BM23" s="190"/>
      <c r="BN23" s="150"/>
      <c r="BO23" s="151"/>
      <c r="BP23" s="152"/>
      <c r="BQ23" s="90" t="str">
        <f t="shared" si="0"/>
        <v>4A.1</v>
      </c>
      <c r="BR23" s="71" t="b">
        <f t="shared" si="2"/>
        <v>1</v>
      </c>
    </row>
    <row r="24" spans="1:70" ht="20.100000000000001" customHeight="1">
      <c r="A24" s="71" t="b">
        <f t="shared" si="1"/>
        <v>1</v>
      </c>
      <c r="B24" s="9" t="s">
        <v>54</v>
      </c>
      <c r="C24" s="39"/>
      <c r="D24" s="40"/>
      <c r="E24" s="40"/>
      <c r="F24" s="40"/>
      <c r="G24" s="40"/>
      <c r="H24" s="43"/>
      <c r="I24" s="39"/>
      <c r="J24" s="40"/>
      <c r="K24" s="40"/>
      <c r="L24" s="40"/>
      <c r="M24" s="40"/>
      <c r="N24" s="43"/>
      <c r="O24" s="39"/>
      <c r="P24" s="40"/>
      <c r="Q24" s="40"/>
      <c r="R24" s="40"/>
      <c r="S24" s="40"/>
      <c r="T24" s="43"/>
      <c r="U24" s="39"/>
      <c r="V24" s="40"/>
      <c r="W24" s="40"/>
      <c r="X24" s="40"/>
      <c r="Y24" s="40"/>
      <c r="Z24" s="43"/>
      <c r="AA24" s="195" t="s">
        <v>176</v>
      </c>
      <c r="AB24" s="194" t="s">
        <v>176</v>
      </c>
      <c r="AC24" s="199" t="s">
        <v>176</v>
      </c>
      <c r="AD24" s="40"/>
      <c r="AE24" s="40"/>
      <c r="AF24" s="46"/>
      <c r="AG24" s="195" t="s">
        <v>176</v>
      </c>
      <c r="AH24" s="194" t="s">
        <v>176</v>
      </c>
      <c r="AI24" s="199" t="s">
        <v>176</v>
      </c>
      <c r="AJ24" s="40"/>
      <c r="AK24" s="40"/>
      <c r="AL24" s="15"/>
      <c r="AM24" s="39"/>
      <c r="AN24" s="40"/>
      <c r="AO24" s="40"/>
      <c r="AP24" s="40"/>
      <c r="AQ24" s="40"/>
      <c r="AR24" s="48"/>
      <c r="AS24" s="116">
        <v>45889</v>
      </c>
      <c r="AT24" s="117">
        <v>46072</v>
      </c>
      <c r="AU24" s="112"/>
      <c r="AV24" s="150"/>
      <c r="AW24" s="151"/>
      <c r="AX24" s="152"/>
      <c r="AY24" s="150"/>
      <c r="AZ24" s="151"/>
      <c r="BA24" s="152"/>
      <c r="BB24" s="150"/>
      <c r="BC24" s="151"/>
      <c r="BD24" s="152"/>
      <c r="BE24" s="150"/>
      <c r="BF24" s="151"/>
      <c r="BG24" s="152"/>
      <c r="BH24" s="117">
        <v>45951</v>
      </c>
      <c r="BI24" s="189"/>
      <c r="BJ24" s="190"/>
      <c r="BK24" s="119">
        <v>45965</v>
      </c>
      <c r="BL24" s="189"/>
      <c r="BM24" s="190"/>
      <c r="BN24" s="150"/>
      <c r="BO24" s="151"/>
      <c r="BP24" s="152"/>
      <c r="BQ24" s="90" t="str">
        <f t="shared" si="0"/>
        <v>4A.1</v>
      </c>
      <c r="BR24" s="71" t="b">
        <f t="shared" si="2"/>
        <v>0</v>
      </c>
    </row>
    <row r="25" spans="1:70" ht="20.100000000000001" customHeight="1">
      <c r="A25" s="71" t="b">
        <f t="shared" si="1"/>
        <v>1</v>
      </c>
      <c r="B25" s="9" t="s">
        <v>55</v>
      </c>
      <c r="C25" s="39"/>
      <c r="D25" s="40"/>
      <c r="E25" s="40"/>
      <c r="F25" s="40"/>
      <c r="G25" s="40"/>
      <c r="H25" s="43"/>
      <c r="I25" s="39"/>
      <c r="J25" s="40"/>
      <c r="K25" s="40"/>
      <c r="L25" s="40"/>
      <c r="M25" s="40"/>
      <c r="N25" s="43"/>
      <c r="O25" s="39"/>
      <c r="P25" s="40"/>
      <c r="Q25" s="40"/>
      <c r="R25" s="40"/>
      <c r="S25" s="40"/>
      <c r="T25" s="43"/>
      <c r="U25" s="39"/>
      <c r="V25" s="40"/>
      <c r="W25" s="40"/>
      <c r="X25" s="40"/>
      <c r="Y25" s="40"/>
      <c r="Z25" s="43"/>
      <c r="AA25" s="195" t="s">
        <v>176</v>
      </c>
      <c r="AB25" s="194" t="s">
        <v>176</v>
      </c>
      <c r="AC25" s="199" t="s">
        <v>176</v>
      </c>
      <c r="AD25" s="40"/>
      <c r="AE25" s="40"/>
      <c r="AF25" s="46"/>
      <c r="AG25" s="14" t="s">
        <v>176</v>
      </c>
      <c r="AH25" s="198" t="s">
        <v>176</v>
      </c>
      <c r="AI25" s="1" t="s">
        <v>176</v>
      </c>
      <c r="AJ25" s="40"/>
      <c r="AK25" s="40"/>
      <c r="AL25" s="15"/>
      <c r="AM25" s="39"/>
      <c r="AN25" s="40"/>
      <c r="AO25" s="40"/>
      <c r="AP25" s="40"/>
      <c r="AQ25" s="40"/>
      <c r="AR25" s="48"/>
      <c r="AS25" s="116">
        <v>45889</v>
      </c>
      <c r="AT25" s="117">
        <v>46062</v>
      </c>
      <c r="AU25" s="112"/>
      <c r="AV25" s="150"/>
      <c r="AW25" s="151"/>
      <c r="AX25" s="152"/>
      <c r="AY25" s="150"/>
      <c r="AZ25" s="151"/>
      <c r="BA25" s="152"/>
      <c r="BB25" s="150"/>
      <c r="BC25" s="151"/>
      <c r="BD25" s="152"/>
      <c r="BE25" s="150"/>
      <c r="BF25" s="151"/>
      <c r="BG25" s="152"/>
      <c r="BH25" s="117">
        <v>45951</v>
      </c>
      <c r="BI25" s="189"/>
      <c r="BJ25" s="190"/>
      <c r="BK25" s="119">
        <v>45965</v>
      </c>
      <c r="BL25" s="189"/>
      <c r="BM25" s="190"/>
      <c r="BN25" s="150"/>
      <c r="BO25" s="151"/>
      <c r="BP25" s="152"/>
      <c r="BQ25" s="90" t="str">
        <f t="shared" si="0"/>
        <v>4A.1</v>
      </c>
      <c r="BR25" s="71" t="b">
        <f t="shared" si="2"/>
        <v>0</v>
      </c>
    </row>
    <row r="26" spans="1:70" ht="20.100000000000001" customHeight="1">
      <c r="A26" s="71" t="b">
        <f t="shared" si="1"/>
        <v>1</v>
      </c>
      <c r="B26" s="9" t="s">
        <v>56</v>
      </c>
      <c r="C26" s="39"/>
      <c r="D26" s="40"/>
      <c r="E26" s="40"/>
      <c r="F26" s="40"/>
      <c r="G26" s="40"/>
      <c r="H26" s="43"/>
      <c r="I26" s="39"/>
      <c r="J26" s="40"/>
      <c r="K26" s="40"/>
      <c r="L26" s="40"/>
      <c r="M26" s="40"/>
      <c r="N26" s="43"/>
      <c r="O26" s="39"/>
      <c r="P26" s="40"/>
      <c r="Q26" s="40"/>
      <c r="R26" s="40"/>
      <c r="S26" s="40"/>
      <c r="T26" s="43"/>
      <c r="U26" s="39"/>
      <c r="V26" s="40"/>
      <c r="W26" s="40"/>
      <c r="X26" s="40"/>
      <c r="Y26" s="40"/>
      <c r="Z26" s="43"/>
      <c r="AA26" s="195" t="s">
        <v>176</v>
      </c>
      <c r="AB26" s="194" t="s">
        <v>176</v>
      </c>
      <c r="AC26" s="199" t="s">
        <v>174</v>
      </c>
      <c r="AD26" s="1" t="s">
        <v>176</v>
      </c>
      <c r="AE26" s="40"/>
      <c r="AF26" s="46"/>
      <c r="AG26" s="14" t="s">
        <v>176</v>
      </c>
      <c r="AH26" s="1" t="s">
        <v>176</v>
      </c>
      <c r="AI26" s="1" t="s">
        <v>174</v>
      </c>
      <c r="AJ26" s="1" t="s">
        <v>176</v>
      </c>
      <c r="AK26" s="40"/>
      <c r="AL26" s="15"/>
      <c r="AM26" s="39"/>
      <c r="AN26" s="40"/>
      <c r="AO26" s="40"/>
      <c r="AP26" s="40"/>
      <c r="AQ26" s="40"/>
      <c r="AR26" s="48"/>
      <c r="AS26" s="116">
        <v>45890</v>
      </c>
      <c r="AT26" s="117">
        <v>46058</v>
      </c>
      <c r="AU26" s="112"/>
      <c r="AV26" s="150"/>
      <c r="AW26" s="151"/>
      <c r="AX26" s="152"/>
      <c r="AY26" s="150"/>
      <c r="AZ26" s="151"/>
      <c r="BA26" s="152"/>
      <c r="BB26" s="150"/>
      <c r="BC26" s="151"/>
      <c r="BD26" s="152"/>
      <c r="BE26" s="150"/>
      <c r="BF26" s="151"/>
      <c r="BG26" s="152"/>
      <c r="BH26" s="117">
        <v>45953</v>
      </c>
      <c r="BI26" s="118">
        <v>46055</v>
      </c>
      <c r="BJ26" s="190"/>
      <c r="BK26" s="119">
        <v>45967</v>
      </c>
      <c r="BL26" s="118">
        <v>46044</v>
      </c>
      <c r="BM26" s="190"/>
      <c r="BN26" s="150"/>
      <c r="BO26" s="151"/>
      <c r="BP26" s="152"/>
      <c r="BQ26" s="90" t="str">
        <f t="shared" si="0"/>
        <v>4A.1</v>
      </c>
      <c r="BR26" s="71" t="b">
        <f t="shared" si="2"/>
        <v>0</v>
      </c>
    </row>
    <row r="27" spans="1:70" ht="20.100000000000001" customHeight="1">
      <c r="A27" s="71" t="b">
        <f t="shared" si="1"/>
        <v>1</v>
      </c>
      <c r="B27" s="9" t="s">
        <v>57</v>
      </c>
      <c r="C27" s="39"/>
      <c r="D27" s="40"/>
      <c r="E27" s="40"/>
      <c r="F27" s="40"/>
      <c r="G27" s="40"/>
      <c r="H27" s="43"/>
      <c r="I27" s="39"/>
      <c r="J27" s="40"/>
      <c r="K27" s="40"/>
      <c r="L27" s="40"/>
      <c r="M27" s="40"/>
      <c r="N27" s="43"/>
      <c r="O27" s="39"/>
      <c r="P27" s="40"/>
      <c r="Q27" s="40"/>
      <c r="R27" s="40"/>
      <c r="S27" s="40"/>
      <c r="T27" s="43"/>
      <c r="U27" s="39"/>
      <c r="V27" s="40"/>
      <c r="W27" s="40"/>
      <c r="X27" s="40"/>
      <c r="Y27" s="40"/>
      <c r="Z27" s="43"/>
      <c r="AA27" s="195" t="s">
        <v>176</v>
      </c>
      <c r="AB27" s="194" t="s">
        <v>176</v>
      </c>
      <c r="AC27" s="199" t="s">
        <v>176</v>
      </c>
      <c r="AD27" s="40"/>
      <c r="AE27" s="40"/>
      <c r="AF27" s="46"/>
      <c r="AG27" s="14" t="s">
        <v>176</v>
      </c>
      <c r="AH27" s="1" t="s">
        <v>176</v>
      </c>
      <c r="AI27" s="1" t="s">
        <v>176</v>
      </c>
      <c r="AJ27" s="40"/>
      <c r="AK27" s="40"/>
      <c r="AL27" s="15"/>
      <c r="AM27" s="39"/>
      <c r="AN27" s="40"/>
      <c r="AO27" s="40"/>
      <c r="AP27" s="40"/>
      <c r="AQ27" s="40"/>
      <c r="AR27" s="48"/>
      <c r="AS27" s="116">
        <v>45890</v>
      </c>
      <c r="AT27" s="117">
        <v>46058</v>
      </c>
      <c r="AU27" s="112"/>
      <c r="AV27" s="150"/>
      <c r="AW27" s="151"/>
      <c r="AX27" s="152"/>
      <c r="AY27" s="150"/>
      <c r="AZ27" s="151"/>
      <c r="BA27" s="152"/>
      <c r="BB27" s="150"/>
      <c r="BC27" s="151"/>
      <c r="BD27" s="152"/>
      <c r="BE27" s="150"/>
      <c r="BF27" s="151"/>
      <c r="BG27" s="152"/>
      <c r="BH27" s="117">
        <v>45957</v>
      </c>
      <c r="BI27" s="189"/>
      <c r="BJ27" s="190"/>
      <c r="BK27" s="119">
        <v>45967</v>
      </c>
      <c r="BL27" s="189"/>
      <c r="BM27" s="190"/>
      <c r="BN27" s="150"/>
      <c r="BO27" s="151"/>
      <c r="BP27" s="152"/>
      <c r="BQ27" s="90" t="str">
        <f t="shared" si="0"/>
        <v>4A.1</v>
      </c>
      <c r="BR27" s="71" t="b">
        <f t="shared" si="2"/>
        <v>0</v>
      </c>
    </row>
    <row r="28" spans="1:70" ht="20.100000000000001" customHeight="1">
      <c r="A28" s="71" t="b">
        <f t="shared" si="1"/>
        <v>1</v>
      </c>
      <c r="B28" s="9" t="s">
        <v>58</v>
      </c>
      <c r="C28" s="39"/>
      <c r="D28" s="40"/>
      <c r="E28" s="40"/>
      <c r="F28" s="40"/>
      <c r="G28" s="40"/>
      <c r="H28" s="43"/>
      <c r="I28" s="39"/>
      <c r="J28" s="40"/>
      <c r="K28" s="40"/>
      <c r="L28" s="40"/>
      <c r="M28" s="40"/>
      <c r="N28" s="43"/>
      <c r="O28" s="39"/>
      <c r="P28" s="40"/>
      <c r="Q28" s="40"/>
      <c r="R28" s="40"/>
      <c r="S28" s="40"/>
      <c r="T28" s="43"/>
      <c r="U28" s="39"/>
      <c r="V28" s="40"/>
      <c r="W28" s="40"/>
      <c r="X28" s="40"/>
      <c r="Y28" s="40"/>
      <c r="Z28" s="43"/>
      <c r="AA28" s="195" t="s">
        <v>176</v>
      </c>
      <c r="AB28" s="194" t="s">
        <v>176</v>
      </c>
      <c r="AC28" s="199" t="s">
        <v>176</v>
      </c>
      <c r="AD28" s="40"/>
      <c r="AE28" s="40"/>
      <c r="AF28" s="46"/>
      <c r="AG28" s="14" t="s">
        <v>176</v>
      </c>
      <c r="AH28" s="1" t="s">
        <v>176</v>
      </c>
      <c r="AI28" s="1" t="s">
        <v>176</v>
      </c>
      <c r="AJ28" s="40"/>
      <c r="AK28" s="40"/>
      <c r="AL28" s="15"/>
      <c r="AM28" s="39"/>
      <c r="AN28" s="40"/>
      <c r="AO28" s="40"/>
      <c r="AP28" s="40"/>
      <c r="AQ28" s="40"/>
      <c r="AR28" s="48"/>
      <c r="AS28" s="116">
        <v>45894</v>
      </c>
      <c r="AT28" s="117">
        <v>46062</v>
      </c>
      <c r="AU28" s="112"/>
      <c r="AV28" s="150"/>
      <c r="AW28" s="151"/>
      <c r="AX28" s="152"/>
      <c r="AY28" s="150"/>
      <c r="AZ28" s="151"/>
      <c r="BA28" s="152"/>
      <c r="BB28" s="150"/>
      <c r="BC28" s="151"/>
      <c r="BD28" s="152"/>
      <c r="BE28" s="150"/>
      <c r="BF28" s="151"/>
      <c r="BG28" s="152"/>
      <c r="BH28" s="117">
        <v>45957</v>
      </c>
      <c r="BI28" s="189"/>
      <c r="BJ28" s="190"/>
      <c r="BK28" s="119">
        <v>45971</v>
      </c>
      <c r="BL28" s="189"/>
      <c r="BM28" s="190"/>
      <c r="BN28" s="150"/>
      <c r="BO28" s="151"/>
      <c r="BP28" s="152"/>
      <c r="BQ28" s="90" t="str">
        <f t="shared" si="0"/>
        <v>4A.1</v>
      </c>
      <c r="BR28" s="71" t="b">
        <f t="shared" si="2"/>
        <v>0</v>
      </c>
    </row>
    <row r="29" spans="1:70" ht="20.100000000000001" customHeight="1">
      <c r="A29" s="71" t="b">
        <f t="shared" si="1"/>
        <v>1</v>
      </c>
      <c r="B29" s="9" t="s">
        <v>59</v>
      </c>
      <c r="C29" s="39"/>
      <c r="D29" s="40"/>
      <c r="E29" s="40"/>
      <c r="F29" s="40"/>
      <c r="G29" s="40"/>
      <c r="H29" s="43"/>
      <c r="I29" s="39"/>
      <c r="J29" s="40"/>
      <c r="K29" s="40"/>
      <c r="L29" s="40"/>
      <c r="M29" s="40"/>
      <c r="N29" s="43"/>
      <c r="O29" s="39"/>
      <c r="P29" s="40"/>
      <c r="Q29" s="40"/>
      <c r="R29" s="40"/>
      <c r="S29" s="40"/>
      <c r="T29" s="43"/>
      <c r="U29" s="39"/>
      <c r="V29" s="40"/>
      <c r="W29" s="40"/>
      <c r="X29" s="40"/>
      <c r="Y29" s="40"/>
      <c r="Z29" s="43"/>
      <c r="AA29" s="195" t="s">
        <v>176</v>
      </c>
      <c r="AB29" s="194" t="s">
        <v>178</v>
      </c>
      <c r="AC29" s="199" t="s">
        <v>176</v>
      </c>
      <c r="AD29" s="40"/>
      <c r="AE29" s="40"/>
      <c r="AF29" s="46"/>
      <c r="AG29" s="14" t="s">
        <v>176</v>
      </c>
      <c r="AH29" s="1" t="s">
        <v>178</v>
      </c>
      <c r="AI29" s="1" t="s">
        <v>176</v>
      </c>
      <c r="AJ29" s="40"/>
      <c r="AK29" s="40"/>
      <c r="AL29" s="15"/>
      <c r="AM29" s="39"/>
      <c r="AN29" s="40"/>
      <c r="AO29" s="40"/>
      <c r="AP29" s="40"/>
      <c r="AQ29" s="40"/>
      <c r="AR29" s="48"/>
      <c r="AS29" s="116">
        <v>45894</v>
      </c>
      <c r="AT29" s="117">
        <v>46048</v>
      </c>
      <c r="AU29" s="112"/>
      <c r="AV29" s="150"/>
      <c r="AW29" s="151"/>
      <c r="AX29" s="152"/>
      <c r="AY29" s="150"/>
      <c r="AZ29" s="151"/>
      <c r="BA29" s="152"/>
      <c r="BB29" s="150"/>
      <c r="BC29" s="151"/>
      <c r="BD29" s="152"/>
      <c r="BE29" s="150"/>
      <c r="BF29" s="151"/>
      <c r="BG29" s="152"/>
      <c r="BH29" s="117">
        <v>45958</v>
      </c>
      <c r="BI29" s="189"/>
      <c r="BJ29" s="190"/>
      <c r="BK29" s="119">
        <v>45971</v>
      </c>
      <c r="BL29" s="189"/>
      <c r="BM29" s="190"/>
      <c r="BN29" s="150"/>
      <c r="BO29" s="151"/>
      <c r="BP29" s="152"/>
      <c r="BQ29" s="90" t="str">
        <f t="shared" si="0"/>
        <v>4A.2</v>
      </c>
      <c r="BR29" s="71" t="b">
        <f t="shared" si="2"/>
        <v>0</v>
      </c>
    </row>
    <row r="30" spans="1:70" ht="20.100000000000001" customHeight="1">
      <c r="A30" s="71" t="b">
        <f t="shared" si="1"/>
        <v>1</v>
      </c>
      <c r="B30" s="9" t="s">
        <v>60</v>
      </c>
      <c r="C30" s="39"/>
      <c r="D30" s="40"/>
      <c r="E30" s="40"/>
      <c r="F30" s="40"/>
      <c r="G30" s="40"/>
      <c r="H30" s="43"/>
      <c r="I30" s="39"/>
      <c r="J30" s="40"/>
      <c r="K30" s="40"/>
      <c r="L30" s="40"/>
      <c r="M30" s="40"/>
      <c r="N30" s="43"/>
      <c r="O30" s="39"/>
      <c r="P30" s="40"/>
      <c r="Q30" s="40"/>
      <c r="R30" s="40"/>
      <c r="S30" s="40"/>
      <c r="T30" s="43"/>
      <c r="U30" s="39"/>
      <c r="V30" s="40"/>
      <c r="W30" s="40"/>
      <c r="X30" s="40"/>
      <c r="Y30" s="40"/>
      <c r="Z30" s="43"/>
      <c r="AA30" s="195" t="s">
        <v>176</v>
      </c>
      <c r="AB30" s="194" t="s">
        <v>176</v>
      </c>
      <c r="AC30" s="199" t="s">
        <v>176</v>
      </c>
      <c r="AD30" s="40"/>
      <c r="AE30" s="40"/>
      <c r="AF30" s="46"/>
      <c r="AG30" s="14" t="s">
        <v>176</v>
      </c>
      <c r="AH30" s="197" t="s">
        <v>176</v>
      </c>
      <c r="AI30" s="1" t="s">
        <v>176</v>
      </c>
      <c r="AJ30" s="40"/>
      <c r="AK30" s="40"/>
      <c r="AL30" s="15"/>
      <c r="AM30" s="39"/>
      <c r="AN30" s="40"/>
      <c r="AO30" s="40"/>
      <c r="AP30" s="40"/>
      <c r="AQ30" s="40"/>
      <c r="AR30" s="48"/>
      <c r="AS30" s="116">
        <v>45895</v>
      </c>
      <c r="AT30" s="117">
        <v>46048</v>
      </c>
      <c r="AU30" s="112"/>
      <c r="AV30" s="150"/>
      <c r="AW30" s="151"/>
      <c r="AX30" s="152"/>
      <c r="AY30" s="150"/>
      <c r="AZ30" s="151"/>
      <c r="BA30" s="152"/>
      <c r="BB30" s="150"/>
      <c r="BC30" s="151"/>
      <c r="BD30" s="152"/>
      <c r="BE30" s="150"/>
      <c r="BF30" s="151"/>
      <c r="BG30" s="152"/>
      <c r="BH30" s="117">
        <v>45958</v>
      </c>
      <c r="BI30" s="189"/>
      <c r="BJ30" s="190"/>
      <c r="BK30" s="119">
        <v>45971</v>
      </c>
      <c r="BL30" s="189"/>
      <c r="BM30" s="190"/>
      <c r="BN30" s="150"/>
      <c r="BO30" s="151"/>
      <c r="BP30" s="152"/>
      <c r="BQ30" s="90" t="str">
        <f t="shared" si="0"/>
        <v>4A.2</v>
      </c>
      <c r="BR30" s="71" t="b">
        <f t="shared" si="2"/>
        <v>0</v>
      </c>
    </row>
    <row r="31" spans="1:70" ht="20.100000000000001" customHeight="1">
      <c r="A31" s="71" t="b">
        <f t="shared" si="1"/>
        <v>1</v>
      </c>
      <c r="B31" s="9" t="s">
        <v>61</v>
      </c>
      <c r="C31" s="39"/>
      <c r="D31" s="40"/>
      <c r="E31" s="40"/>
      <c r="F31" s="40"/>
      <c r="G31" s="40"/>
      <c r="H31" s="43"/>
      <c r="I31" s="39"/>
      <c r="J31" s="40"/>
      <c r="K31" s="40"/>
      <c r="L31" s="40"/>
      <c r="M31" s="40"/>
      <c r="N31" s="43"/>
      <c r="O31" s="39"/>
      <c r="P31" s="40"/>
      <c r="Q31" s="40"/>
      <c r="R31" s="40"/>
      <c r="S31" s="40"/>
      <c r="T31" s="43"/>
      <c r="U31" s="39"/>
      <c r="V31" s="40"/>
      <c r="W31" s="40"/>
      <c r="X31" s="40"/>
      <c r="Y31" s="40"/>
      <c r="Z31" s="43"/>
      <c r="AA31" s="195" t="s">
        <v>176</v>
      </c>
      <c r="AB31" s="194" t="s">
        <v>176</v>
      </c>
      <c r="AC31" s="199" t="s">
        <v>176</v>
      </c>
      <c r="AD31" s="40"/>
      <c r="AE31" s="40"/>
      <c r="AF31" s="46"/>
      <c r="AG31" s="195" t="s">
        <v>176</v>
      </c>
      <c r="AH31" s="194" t="s">
        <v>176</v>
      </c>
      <c r="AI31" s="199" t="s">
        <v>176</v>
      </c>
      <c r="AJ31" s="40"/>
      <c r="AK31" s="40"/>
      <c r="AL31" s="15"/>
      <c r="AM31" s="39"/>
      <c r="AN31" s="40"/>
      <c r="AO31" s="40"/>
      <c r="AP31" s="40"/>
      <c r="AQ31" s="40"/>
      <c r="AR31" s="48"/>
      <c r="AS31" s="116">
        <v>45895</v>
      </c>
      <c r="AT31" s="117">
        <v>46072</v>
      </c>
      <c r="AU31" s="112"/>
      <c r="AV31" s="150"/>
      <c r="AW31" s="151"/>
      <c r="AX31" s="152"/>
      <c r="AY31" s="150"/>
      <c r="AZ31" s="151"/>
      <c r="BA31" s="152"/>
      <c r="BB31" s="150"/>
      <c r="BC31" s="151"/>
      <c r="BD31" s="152"/>
      <c r="BE31" s="150"/>
      <c r="BF31" s="151"/>
      <c r="BG31" s="152"/>
      <c r="BH31" s="117">
        <v>45959</v>
      </c>
      <c r="BI31" s="189"/>
      <c r="BJ31" s="190"/>
      <c r="BK31" s="119">
        <v>45972</v>
      </c>
      <c r="BL31" s="189"/>
      <c r="BM31" s="190"/>
      <c r="BN31" s="150"/>
      <c r="BO31" s="151"/>
      <c r="BP31" s="152"/>
      <c r="BQ31" s="90" t="str">
        <f t="shared" si="0"/>
        <v>4A.2</v>
      </c>
      <c r="BR31" s="71" t="b">
        <f t="shared" si="2"/>
        <v>0</v>
      </c>
    </row>
    <row r="32" spans="1:70" ht="20.100000000000001" customHeight="1">
      <c r="A32" s="71" t="b">
        <f t="shared" si="1"/>
        <v>1</v>
      </c>
      <c r="B32" s="9" t="s">
        <v>62</v>
      </c>
      <c r="C32" s="39"/>
      <c r="D32" s="40"/>
      <c r="E32" s="40"/>
      <c r="F32" s="40"/>
      <c r="G32" s="40"/>
      <c r="H32" s="43"/>
      <c r="I32" s="39"/>
      <c r="J32" s="40"/>
      <c r="K32" s="40"/>
      <c r="L32" s="40"/>
      <c r="M32" s="40"/>
      <c r="N32" s="43"/>
      <c r="O32" s="39"/>
      <c r="P32" s="40"/>
      <c r="Q32" s="40"/>
      <c r="R32" s="40"/>
      <c r="S32" s="40"/>
      <c r="T32" s="43"/>
      <c r="U32" s="39"/>
      <c r="V32" s="40"/>
      <c r="W32" s="40"/>
      <c r="X32" s="40"/>
      <c r="Y32" s="40"/>
      <c r="Z32" s="43"/>
      <c r="AA32" s="195" t="s">
        <v>176</v>
      </c>
      <c r="AB32" s="194" t="s">
        <v>176</v>
      </c>
      <c r="AC32" s="199" t="s">
        <v>176</v>
      </c>
      <c r="AD32" s="40"/>
      <c r="AE32" s="40"/>
      <c r="AF32" s="46"/>
      <c r="AG32" s="195" t="s">
        <v>176</v>
      </c>
      <c r="AH32" s="194" t="s">
        <v>176</v>
      </c>
      <c r="AI32" s="199" t="s">
        <v>176</v>
      </c>
      <c r="AJ32" s="40"/>
      <c r="AK32" s="40"/>
      <c r="AL32" s="15"/>
      <c r="AM32" s="39"/>
      <c r="AN32" s="40"/>
      <c r="AO32" s="40"/>
      <c r="AP32" s="40"/>
      <c r="AQ32" s="40"/>
      <c r="AR32" s="48"/>
      <c r="AS32" s="116">
        <v>45896</v>
      </c>
      <c r="AT32" s="117">
        <v>46041</v>
      </c>
      <c r="AU32" s="112"/>
      <c r="AV32" s="150"/>
      <c r="AW32" s="151"/>
      <c r="AX32" s="152"/>
      <c r="AY32" s="150"/>
      <c r="AZ32" s="151"/>
      <c r="BA32" s="152"/>
      <c r="BB32" s="150"/>
      <c r="BC32" s="151"/>
      <c r="BD32" s="152"/>
      <c r="BE32" s="150"/>
      <c r="BF32" s="151"/>
      <c r="BG32" s="152"/>
      <c r="BH32" s="117">
        <v>45959</v>
      </c>
      <c r="BI32" s="189"/>
      <c r="BJ32" s="190"/>
      <c r="BK32" s="119">
        <v>45973</v>
      </c>
      <c r="BL32" s="189"/>
      <c r="BM32" s="190"/>
      <c r="BN32" s="150"/>
      <c r="BO32" s="151"/>
      <c r="BP32" s="152"/>
      <c r="BQ32" s="90" t="str">
        <f t="shared" si="0"/>
        <v>4A.3</v>
      </c>
      <c r="BR32" s="71" t="b">
        <f t="shared" si="2"/>
        <v>0</v>
      </c>
    </row>
    <row r="33" spans="1:70" ht="20.100000000000001" customHeight="1">
      <c r="A33" s="71" t="b">
        <f t="shared" si="1"/>
        <v>1</v>
      </c>
      <c r="B33" s="9" t="s">
        <v>63</v>
      </c>
      <c r="C33" s="39"/>
      <c r="D33" s="40"/>
      <c r="E33" s="40"/>
      <c r="F33" s="40"/>
      <c r="G33" s="40"/>
      <c r="H33" s="43"/>
      <c r="I33" s="39"/>
      <c r="J33" s="40"/>
      <c r="K33" s="40"/>
      <c r="L33" s="40"/>
      <c r="M33" s="40"/>
      <c r="N33" s="43"/>
      <c r="O33" s="39"/>
      <c r="P33" s="40"/>
      <c r="Q33" s="40"/>
      <c r="R33" s="40"/>
      <c r="S33" s="40"/>
      <c r="T33" s="43"/>
      <c r="U33" s="39"/>
      <c r="V33" s="40"/>
      <c r="W33" s="40"/>
      <c r="X33" s="40"/>
      <c r="Y33" s="40"/>
      <c r="Z33" s="43"/>
      <c r="AA33" s="195" t="s">
        <v>176</v>
      </c>
      <c r="AB33" s="194" t="s">
        <v>176</v>
      </c>
      <c r="AC33" s="199" t="s">
        <v>176</v>
      </c>
      <c r="AD33" s="40"/>
      <c r="AE33" s="40"/>
      <c r="AF33" s="46"/>
      <c r="AG33" s="195" t="s">
        <v>176</v>
      </c>
      <c r="AH33" s="194" t="s">
        <v>176</v>
      </c>
      <c r="AI33" s="199" t="s">
        <v>176</v>
      </c>
      <c r="AJ33" s="40"/>
      <c r="AK33" s="40"/>
      <c r="AL33" s="15"/>
      <c r="AM33" s="39"/>
      <c r="AN33" s="40"/>
      <c r="AO33" s="40"/>
      <c r="AP33" s="40"/>
      <c r="AQ33" s="40"/>
      <c r="AR33" s="48"/>
      <c r="AS33" s="116">
        <v>45896</v>
      </c>
      <c r="AT33" s="117">
        <v>46041</v>
      </c>
      <c r="AU33" s="112"/>
      <c r="AV33" s="150"/>
      <c r="AW33" s="151"/>
      <c r="AX33" s="152"/>
      <c r="AY33" s="150"/>
      <c r="AZ33" s="151"/>
      <c r="BA33" s="152"/>
      <c r="BB33" s="150"/>
      <c r="BC33" s="151"/>
      <c r="BD33" s="152"/>
      <c r="BE33" s="150"/>
      <c r="BF33" s="151"/>
      <c r="BG33" s="152"/>
      <c r="BH33" s="117">
        <v>45960</v>
      </c>
      <c r="BI33" s="189"/>
      <c r="BJ33" s="190"/>
      <c r="BK33" s="119">
        <v>45973</v>
      </c>
      <c r="BL33" s="189"/>
      <c r="BM33" s="190"/>
      <c r="BN33" s="150"/>
      <c r="BO33" s="151"/>
      <c r="BP33" s="152"/>
      <c r="BQ33" s="90" t="str">
        <f t="shared" si="0"/>
        <v>4A.3</v>
      </c>
      <c r="BR33" s="71" t="b">
        <f t="shared" si="2"/>
        <v>0</v>
      </c>
    </row>
    <row r="34" spans="1:70" ht="20.100000000000001" customHeight="1">
      <c r="A34" s="71" t="b">
        <f t="shared" si="1"/>
        <v>1</v>
      </c>
      <c r="B34" s="9" t="s">
        <v>64</v>
      </c>
      <c r="C34" s="39"/>
      <c r="D34" s="40"/>
      <c r="E34" s="40"/>
      <c r="F34" s="40"/>
      <c r="G34" s="40"/>
      <c r="H34" s="43"/>
      <c r="I34" s="39"/>
      <c r="J34" s="40"/>
      <c r="K34" s="40"/>
      <c r="L34" s="40"/>
      <c r="M34" s="40"/>
      <c r="N34" s="43"/>
      <c r="O34" s="39"/>
      <c r="P34" s="40"/>
      <c r="Q34" s="40"/>
      <c r="R34" s="40"/>
      <c r="S34" s="40"/>
      <c r="T34" s="43"/>
      <c r="U34" s="39"/>
      <c r="V34" s="40"/>
      <c r="W34" s="40"/>
      <c r="X34" s="40"/>
      <c r="Y34" s="40"/>
      <c r="Z34" s="43"/>
      <c r="AA34" s="14" t="s">
        <v>176</v>
      </c>
      <c r="AB34" s="198" t="s">
        <v>176</v>
      </c>
      <c r="AC34" s="1" t="s">
        <v>176</v>
      </c>
      <c r="AD34" s="40"/>
      <c r="AE34" s="40"/>
      <c r="AF34" s="46"/>
      <c r="AG34" s="14" t="s">
        <v>176</v>
      </c>
      <c r="AH34" s="198" t="s">
        <v>176</v>
      </c>
      <c r="AI34" s="1" t="s">
        <v>176</v>
      </c>
      <c r="AJ34" s="40"/>
      <c r="AK34" s="40"/>
      <c r="AL34" s="15"/>
      <c r="AM34" s="39"/>
      <c r="AN34" s="40"/>
      <c r="AO34" s="40"/>
      <c r="AP34" s="40"/>
      <c r="AQ34" s="40"/>
      <c r="AR34" s="48"/>
      <c r="AS34" s="116">
        <v>45897</v>
      </c>
      <c r="AT34" s="117">
        <v>46069</v>
      </c>
      <c r="AU34" s="112"/>
      <c r="AV34" s="150"/>
      <c r="AW34" s="151"/>
      <c r="AX34" s="152"/>
      <c r="AY34" s="150"/>
      <c r="AZ34" s="151"/>
      <c r="BA34" s="152"/>
      <c r="BB34" s="150"/>
      <c r="BC34" s="151"/>
      <c r="BD34" s="152"/>
      <c r="BE34" s="150"/>
      <c r="BF34" s="151"/>
      <c r="BG34" s="152"/>
      <c r="BH34" s="117">
        <v>45960</v>
      </c>
      <c r="BI34" s="189"/>
      <c r="BJ34" s="190"/>
      <c r="BK34" s="119">
        <v>45974</v>
      </c>
      <c r="BL34" s="189"/>
      <c r="BM34" s="190"/>
      <c r="BN34" s="150"/>
      <c r="BO34" s="151"/>
      <c r="BP34" s="152"/>
      <c r="BQ34" s="90" t="str">
        <f t="shared" si="0"/>
        <v>4A.3</v>
      </c>
      <c r="BR34" s="71" t="b">
        <f t="shared" si="2"/>
        <v>0</v>
      </c>
    </row>
    <row r="35" spans="1:70" ht="20.100000000000001" customHeight="1">
      <c r="A35" s="71" t="b">
        <f t="shared" si="1"/>
        <v>1</v>
      </c>
      <c r="B35" s="9" t="s">
        <v>65</v>
      </c>
      <c r="C35" s="39"/>
      <c r="D35" s="40"/>
      <c r="E35" s="40"/>
      <c r="F35" s="40"/>
      <c r="G35" s="40"/>
      <c r="H35" s="43"/>
      <c r="I35" s="14" t="s">
        <v>176</v>
      </c>
      <c r="J35" s="1" t="s">
        <v>176</v>
      </c>
      <c r="K35" s="1" t="s">
        <v>174</v>
      </c>
      <c r="L35" s="1" t="s">
        <v>176</v>
      </c>
      <c r="M35" s="40"/>
      <c r="N35" s="15"/>
      <c r="O35" s="39"/>
      <c r="P35" s="40"/>
      <c r="Q35" s="40"/>
      <c r="R35" s="40"/>
      <c r="S35" s="40"/>
      <c r="T35" s="43"/>
      <c r="U35" s="14" t="s">
        <v>176</v>
      </c>
      <c r="V35" s="1" t="s">
        <v>176</v>
      </c>
      <c r="W35" s="1" t="s">
        <v>174</v>
      </c>
      <c r="X35" s="1" t="s">
        <v>176</v>
      </c>
      <c r="Y35" s="40"/>
      <c r="Z35" s="15"/>
      <c r="AA35" s="39"/>
      <c r="AB35" s="40"/>
      <c r="AC35" s="40"/>
      <c r="AD35" s="40"/>
      <c r="AE35" s="40"/>
      <c r="AF35" s="48"/>
      <c r="AG35" s="39"/>
      <c r="AH35" s="40"/>
      <c r="AI35" s="40"/>
      <c r="AJ35" s="40"/>
      <c r="AK35" s="40"/>
      <c r="AL35" s="43"/>
      <c r="AM35" s="39"/>
      <c r="AN35" s="40"/>
      <c r="AO35" s="40"/>
      <c r="AP35" s="40"/>
      <c r="AQ35" s="40"/>
      <c r="AR35" s="48"/>
      <c r="AS35" s="116">
        <v>45901</v>
      </c>
      <c r="AT35" s="117">
        <v>46043</v>
      </c>
      <c r="AU35" s="112"/>
      <c r="AV35" s="150"/>
      <c r="AW35" s="151"/>
      <c r="AX35" s="152"/>
      <c r="AY35" s="117">
        <v>45937</v>
      </c>
      <c r="AZ35" s="118">
        <v>46050</v>
      </c>
      <c r="BA35" s="190"/>
      <c r="BB35" s="150"/>
      <c r="BC35" s="151"/>
      <c r="BD35" s="152"/>
      <c r="BE35" s="119">
        <v>45959</v>
      </c>
      <c r="BF35" s="118">
        <v>46050</v>
      </c>
      <c r="BG35" s="190"/>
      <c r="BH35" s="150"/>
      <c r="BI35" s="151"/>
      <c r="BJ35" s="152"/>
      <c r="BK35" s="150"/>
      <c r="BL35" s="151"/>
      <c r="BM35" s="152"/>
      <c r="BN35" s="150"/>
      <c r="BO35" s="151"/>
      <c r="BP35" s="152"/>
      <c r="BQ35" s="90" t="str">
        <f t="shared" si="0"/>
        <v>5A.1</v>
      </c>
      <c r="BR35" s="71" t="b">
        <f t="shared" si="2"/>
        <v>0</v>
      </c>
    </row>
    <row r="36" spans="1:70" ht="20.100000000000001" customHeight="1">
      <c r="A36" s="71" t="b">
        <f t="shared" si="1"/>
        <v>1</v>
      </c>
      <c r="B36" s="9" t="s">
        <v>66</v>
      </c>
      <c r="C36" s="39"/>
      <c r="D36" s="40"/>
      <c r="E36" s="40"/>
      <c r="F36" s="40"/>
      <c r="G36" s="40"/>
      <c r="H36" s="43"/>
      <c r="I36" s="14" t="s">
        <v>176</v>
      </c>
      <c r="J36" s="1" t="s">
        <v>176</v>
      </c>
      <c r="K36" s="1" t="s">
        <v>176</v>
      </c>
      <c r="L36" s="40"/>
      <c r="M36" s="40"/>
      <c r="N36" s="15"/>
      <c r="O36" s="39"/>
      <c r="P36" s="40"/>
      <c r="Q36" s="40"/>
      <c r="R36" s="40"/>
      <c r="S36" s="40"/>
      <c r="T36" s="43"/>
      <c r="U36" s="14" t="s">
        <v>176</v>
      </c>
      <c r="V36" s="1" t="s">
        <v>176</v>
      </c>
      <c r="W36" s="1" t="s">
        <v>176</v>
      </c>
      <c r="X36" s="39"/>
      <c r="Y36" s="40"/>
      <c r="Z36" s="15"/>
      <c r="AA36" s="39"/>
      <c r="AB36" s="40"/>
      <c r="AC36" s="40"/>
      <c r="AD36" s="40"/>
      <c r="AE36" s="40"/>
      <c r="AF36" s="48"/>
      <c r="AG36" s="39"/>
      <c r="AH36" s="40"/>
      <c r="AI36" s="40"/>
      <c r="AJ36" s="40"/>
      <c r="AK36" s="40"/>
      <c r="AL36" s="43"/>
      <c r="AM36" s="39"/>
      <c r="AN36" s="40"/>
      <c r="AO36" s="40"/>
      <c r="AP36" s="40"/>
      <c r="AQ36" s="40"/>
      <c r="AR36" s="48"/>
      <c r="AS36" s="116">
        <v>45902</v>
      </c>
      <c r="AT36" s="117">
        <v>46044</v>
      </c>
      <c r="AU36" s="112"/>
      <c r="AV36" s="150"/>
      <c r="AW36" s="151"/>
      <c r="AX36" s="152"/>
      <c r="AY36" s="117">
        <v>45946</v>
      </c>
      <c r="AZ36" s="189"/>
      <c r="BA36" s="190"/>
      <c r="BB36" s="150"/>
      <c r="BC36" s="151"/>
      <c r="BD36" s="152"/>
      <c r="BE36" s="119">
        <v>45960</v>
      </c>
      <c r="BF36" s="189"/>
      <c r="BG36" s="190"/>
      <c r="BH36" s="150"/>
      <c r="BI36" s="151"/>
      <c r="BJ36" s="152"/>
      <c r="BK36" s="150"/>
      <c r="BL36" s="151"/>
      <c r="BM36" s="152"/>
      <c r="BN36" s="150"/>
      <c r="BO36" s="151"/>
      <c r="BP36" s="152"/>
      <c r="BQ36" s="90" t="str">
        <f t="shared" si="0"/>
        <v>5A.1</v>
      </c>
      <c r="BR36" s="71" t="b">
        <f t="shared" si="2"/>
        <v>0</v>
      </c>
    </row>
    <row r="37" spans="1:70" ht="20.100000000000001" customHeight="1">
      <c r="A37" s="71" t="b">
        <f t="shared" si="1"/>
        <v>1</v>
      </c>
      <c r="B37" s="9" t="s">
        <v>67</v>
      </c>
      <c r="C37" s="39"/>
      <c r="D37" s="40"/>
      <c r="E37" s="40"/>
      <c r="F37" s="40"/>
      <c r="G37" s="40"/>
      <c r="H37" s="43"/>
      <c r="I37" s="14" t="s">
        <v>176</v>
      </c>
      <c r="J37" s="1" t="s">
        <v>176</v>
      </c>
      <c r="K37" s="1" t="s">
        <v>176</v>
      </c>
      <c r="L37" s="40"/>
      <c r="M37" s="40"/>
      <c r="N37" s="15"/>
      <c r="O37" s="39"/>
      <c r="P37" s="40"/>
      <c r="Q37" s="40"/>
      <c r="R37" s="40"/>
      <c r="S37" s="40"/>
      <c r="T37" s="43"/>
      <c r="U37" s="14" t="s">
        <v>176</v>
      </c>
      <c r="V37" s="1" t="s">
        <v>176</v>
      </c>
      <c r="W37" s="1" t="s">
        <v>176</v>
      </c>
      <c r="X37" s="39"/>
      <c r="Y37" s="40"/>
      <c r="Z37" s="15"/>
      <c r="AA37" s="39"/>
      <c r="AB37" s="40"/>
      <c r="AC37" s="40"/>
      <c r="AD37" s="40"/>
      <c r="AE37" s="40"/>
      <c r="AF37" s="48"/>
      <c r="AG37" s="39"/>
      <c r="AH37" s="40"/>
      <c r="AI37" s="40"/>
      <c r="AJ37" s="40"/>
      <c r="AK37" s="40"/>
      <c r="AL37" s="43"/>
      <c r="AM37" s="39"/>
      <c r="AN37" s="40"/>
      <c r="AO37" s="40"/>
      <c r="AP37" s="40"/>
      <c r="AQ37" s="40"/>
      <c r="AR37" s="48"/>
      <c r="AS37" s="116">
        <v>45904</v>
      </c>
      <c r="AT37" s="117">
        <v>46050</v>
      </c>
      <c r="AU37" s="112"/>
      <c r="AV37" s="150"/>
      <c r="AW37" s="151"/>
      <c r="AX37" s="152"/>
      <c r="AY37" s="117">
        <v>45925</v>
      </c>
      <c r="AZ37" s="189"/>
      <c r="BA37" s="190"/>
      <c r="BB37" s="150"/>
      <c r="BC37" s="151"/>
      <c r="BD37" s="152"/>
      <c r="BE37" s="119">
        <v>45964</v>
      </c>
      <c r="BF37" s="189"/>
      <c r="BG37" s="190"/>
      <c r="BH37" s="150"/>
      <c r="BI37" s="151"/>
      <c r="BJ37" s="152"/>
      <c r="BK37" s="150"/>
      <c r="BL37" s="151"/>
      <c r="BM37" s="152"/>
      <c r="BN37" s="150"/>
      <c r="BO37" s="151"/>
      <c r="BP37" s="152"/>
      <c r="BQ37" s="90" t="str">
        <f t="shared" si="0"/>
        <v>5A.2</v>
      </c>
      <c r="BR37" s="71" t="b">
        <f t="shared" si="2"/>
        <v>0</v>
      </c>
    </row>
    <row r="38" spans="1:70" ht="20.100000000000001" customHeight="1">
      <c r="A38" s="71" t="b">
        <f t="shared" si="1"/>
        <v>1</v>
      </c>
      <c r="B38" s="9" t="s">
        <v>68</v>
      </c>
      <c r="C38" s="39"/>
      <c r="D38" s="40"/>
      <c r="E38" s="40"/>
      <c r="F38" s="40"/>
      <c r="G38" s="40"/>
      <c r="H38" s="43"/>
      <c r="I38" s="14" t="s">
        <v>176</v>
      </c>
      <c r="J38" s="1" t="s">
        <v>176</v>
      </c>
      <c r="K38" s="1" t="s">
        <v>176</v>
      </c>
      <c r="L38" s="40"/>
      <c r="M38" s="40"/>
      <c r="N38" s="15"/>
      <c r="O38" s="39"/>
      <c r="P38" s="40"/>
      <c r="Q38" s="40"/>
      <c r="R38" s="40"/>
      <c r="S38" s="40"/>
      <c r="T38" s="43"/>
      <c r="U38" s="14" t="s">
        <v>176</v>
      </c>
      <c r="V38" s="197" t="s">
        <v>176</v>
      </c>
      <c r="W38" s="1" t="s">
        <v>176</v>
      </c>
      <c r="X38" s="39"/>
      <c r="Y38" s="40"/>
      <c r="Z38" s="15"/>
      <c r="AA38" s="39"/>
      <c r="AB38" s="40"/>
      <c r="AC38" s="40"/>
      <c r="AD38" s="40"/>
      <c r="AE38" s="40"/>
      <c r="AF38" s="48"/>
      <c r="AG38" s="39"/>
      <c r="AH38" s="40"/>
      <c r="AI38" s="40"/>
      <c r="AJ38" s="40"/>
      <c r="AK38" s="40"/>
      <c r="AL38" s="43"/>
      <c r="AM38" s="39"/>
      <c r="AN38" s="200"/>
      <c r="AO38" s="40"/>
      <c r="AP38" s="40"/>
      <c r="AQ38" s="40"/>
      <c r="AR38" s="48"/>
      <c r="AS38" s="116">
        <v>45908</v>
      </c>
      <c r="AT38" s="117">
        <v>46051</v>
      </c>
      <c r="AU38" s="112"/>
      <c r="AV38" s="150"/>
      <c r="AW38" s="151"/>
      <c r="AX38" s="152"/>
      <c r="AY38" s="117">
        <v>45966</v>
      </c>
      <c r="AZ38" s="189"/>
      <c r="BA38" s="190"/>
      <c r="BB38" s="150"/>
      <c r="BC38" s="151"/>
      <c r="BD38" s="152"/>
      <c r="BE38" s="119">
        <v>45966</v>
      </c>
      <c r="BF38" s="189"/>
      <c r="BG38" s="190"/>
      <c r="BH38" s="150"/>
      <c r="BI38" s="151"/>
      <c r="BJ38" s="152"/>
      <c r="BK38" s="150"/>
      <c r="BL38" s="151"/>
      <c r="BM38" s="152"/>
      <c r="BN38" s="150"/>
      <c r="BO38" s="151"/>
      <c r="BP38" s="152"/>
      <c r="BQ38" s="90" t="str">
        <f t="shared" si="0"/>
        <v>5A.2</v>
      </c>
      <c r="BR38" s="71" t="b">
        <f t="shared" si="2"/>
        <v>0</v>
      </c>
    </row>
    <row r="39" spans="1:70" ht="20.100000000000001" customHeight="1">
      <c r="A39" s="71" t="b">
        <f t="shared" si="1"/>
        <v>1</v>
      </c>
      <c r="B39" s="9" t="s">
        <v>69</v>
      </c>
      <c r="C39" s="39"/>
      <c r="D39" s="40"/>
      <c r="E39" s="40"/>
      <c r="F39" s="40"/>
      <c r="G39" s="40"/>
      <c r="H39" s="43"/>
      <c r="I39" s="39"/>
      <c r="J39" s="40"/>
      <c r="K39" s="40"/>
      <c r="L39" s="40"/>
      <c r="M39" s="40"/>
      <c r="N39" s="43"/>
      <c r="O39" s="14" t="s">
        <v>176</v>
      </c>
      <c r="P39" s="1" t="s">
        <v>176</v>
      </c>
      <c r="Q39" s="1" t="s">
        <v>176</v>
      </c>
      <c r="R39" s="40"/>
      <c r="S39" s="40"/>
      <c r="T39" s="15"/>
      <c r="U39" s="195" t="s">
        <v>176</v>
      </c>
      <c r="V39" s="194" t="s">
        <v>176</v>
      </c>
      <c r="W39" s="199" t="s">
        <v>176</v>
      </c>
      <c r="X39" s="39"/>
      <c r="Y39" s="40"/>
      <c r="Z39" s="15" t="s">
        <v>180</v>
      </c>
      <c r="AA39" s="39"/>
      <c r="AB39" s="40"/>
      <c r="AC39" s="40"/>
      <c r="AD39" s="40"/>
      <c r="AE39" s="40"/>
      <c r="AF39" s="48"/>
      <c r="AG39" s="39"/>
      <c r="AH39" s="40"/>
      <c r="AI39" s="40"/>
      <c r="AJ39" s="40"/>
      <c r="AK39" s="40"/>
      <c r="AL39" s="43"/>
      <c r="AM39" s="201" t="s">
        <v>178</v>
      </c>
      <c r="AN39" s="194" t="s">
        <v>176</v>
      </c>
      <c r="AO39" s="202" t="s">
        <v>174</v>
      </c>
      <c r="AP39" s="73" t="s">
        <v>176</v>
      </c>
      <c r="AQ39" s="40"/>
      <c r="AR39" s="95"/>
      <c r="AS39" s="116">
        <v>45895</v>
      </c>
      <c r="AT39" s="117">
        <v>46036</v>
      </c>
      <c r="AU39" s="112"/>
      <c r="AV39" s="150"/>
      <c r="AW39" s="151"/>
      <c r="AX39" s="152"/>
      <c r="AY39" s="150"/>
      <c r="AZ39" s="151"/>
      <c r="BA39" s="152"/>
      <c r="BB39" s="117">
        <v>45937</v>
      </c>
      <c r="BC39" s="189"/>
      <c r="BD39" s="190"/>
      <c r="BE39" s="119">
        <v>45967</v>
      </c>
      <c r="BF39" s="189"/>
      <c r="BG39" s="190"/>
      <c r="BH39" s="150"/>
      <c r="BI39" s="151"/>
      <c r="BJ39" s="152"/>
      <c r="BK39" s="150"/>
      <c r="BL39" s="151"/>
      <c r="BM39" s="152"/>
      <c r="BN39" s="119">
        <v>46041</v>
      </c>
      <c r="BO39" s="118">
        <v>46083</v>
      </c>
      <c r="BP39" s="190"/>
      <c r="BQ39" s="90" t="str">
        <f t="shared" si="0"/>
        <v>6A.1</v>
      </c>
      <c r="BR39" s="71" t="b">
        <f t="shared" si="2"/>
        <v>1</v>
      </c>
    </row>
    <row r="40" spans="1:70" ht="20.100000000000001" customHeight="1">
      <c r="A40" s="71" t="b">
        <f t="shared" si="1"/>
        <v>1</v>
      </c>
      <c r="B40" s="9" t="s">
        <v>70</v>
      </c>
      <c r="C40" s="39"/>
      <c r="D40" s="40"/>
      <c r="E40" s="40"/>
      <c r="F40" s="40"/>
      <c r="G40" s="40"/>
      <c r="H40" s="43"/>
      <c r="I40" s="39"/>
      <c r="J40" s="40"/>
      <c r="K40" s="40"/>
      <c r="L40" s="40"/>
      <c r="M40" s="40"/>
      <c r="N40" s="43"/>
      <c r="O40" s="14" t="s">
        <v>176</v>
      </c>
      <c r="P40" s="1" t="s">
        <v>176</v>
      </c>
      <c r="Q40" s="1" t="s">
        <v>176</v>
      </c>
      <c r="R40" s="40"/>
      <c r="S40" s="40"/>
      <c r="T40" s="15"/>
      <c r="U40" s="14" t="s">
        <v>176</v>
      </c>
      <c r="V40" s="198" t="s">
        <v>176</v>
      </c>
      <c r="W40" s="1" t="s">
        <v>176</v>
      </c>
      <c r="X40" s="39"/>
      <c r="Y40" s="40"/>
      <c r="Z40" s="15" t="s">
        <v>180</v>
      </c>
      <c r="AA40" s="39"/>
      <c r="AB40" s="40"/>
      <c r="AC40" s="40"/>
      <c r="AD40" s="40"/>
      <c r="AE40" s="40"/>
      <c r="AF40" s="48"/>
      <c r="AG40" s="39"/>
      <c r="AH40" s="40"/>
      <c r="AI40" s="40"/>
      <c r="AJ40" s="40"/>
      <c r="AK40" s="40"/>
      <c r="AL40" s="43"/>
      <c r="AM40" s="201" t="s">
        <v>178</v>
      </c>
      <c r="AN40" s="1" t="s">
        <v>176</v>
      </c>
      <c r="AO40" s="73" t="s">
        <v>176</v>
      </c>
      <c r="AP40" s="40"/>
      <c r="AQ40" s="40"/>
      <c r="AR40" s="95"/>
      <c r="AS40" s="116">
        <v>45896</v>
      </c>
      <c r="AT40" s="117">
        <v>46056</v>
      </c>
      <c r="AU40" s="112"/>
      <c r="AV40" s="150"/>
      <c r="AW40" s="151"/>
      <c r="AX40" s="152"/>
      <c r="AY40" s="150"/>
      <c r="AZ40" s="151"/>
      <c r="BA40" s="152"/>
      <c r="BB40" s="117">
        <v>45971</v>
      </c>
      <c r="BC40" s="189"/>
      <c r="BD40" s="190"/>
      <c r="BE40" s="119">
        <v>45968</v>
      </c>
      <c r="BF40" s="189"/>
      <c r="BG40" s="190"/>
      <c r="BH40" s="150"/>
      <c r="BI40" s="151"/>
      <c r="BJ40" s="152"/>
      <c r="BK40" s="150"/>
      <c r="BL40" s="151"/>
      <c r="BM40" s="152"/>
      <c r="BN40" s="119">
        <v>46078</v>
      </c>
      <c r="BO40" s="189"/>
      <c r="BP40" s="190"/>
      <c r="BQ40" s="90" t="str">
        <f t="shared" si="0"/>
        <v>6A.1</v>
      </c>
      <c r="BR40" s="71" t="b">
        <f t="shared" si="2"/>
        <v>1</v>
      </c>
    </row>
    <row r="41" spans="1:70" ht="20.100000000000001" customHeight="1">
      <c r="A41" s="71" t="b">
        <f>IF(OR(D41&lt;&gt;"",V41&lt;&gt;"",J41&lt;&gt;"",P41&lt;&gt;"",AB41&lt;&gt;"",AH41&lt;&gt;"",AN41&lt;&gt;"",AT41&lt;&gt;""),TRUE,FALSE)</f>
        <v>1</v>
      </c>
      <c r="B41" s="9" t="s">
        <v>71</v>
      </c>
      <c r="C41" s="39"/>
      <c r="D41" s="40"/>
      <c r="E41" s="40"/>
      <c r="F41" s="40"/>
      <c r="G41" s="40"/>
      <c r="H41" s="43"/>
      <c r="I41" s="39"/>
      <c r="J41" s="40"/>
      <c r="K41" s="40"/>
      <c r="L41" s="40"/>
      <c r="M41" s="40"/>
      <c r="N41" s="43"/>
      <c r="O41" s="14" t="s">
        <v>176</v>
      </c>
      <c r="P41" s="1" t="s">
        <v>178</v>
      </c>
      <c r="Q41" s="1" t="s">
        <v>174</v>
      </c>
      <c r="R41" s="1" t="s">
        <v>176</v>
      </c>
      <c r="S41" s="40"/>
      <c r="T41" s="15" t="s">
        <v>180</v>
      </c>
      <c r="U41" s="14" t="s">
        <v>176</v>
      </c>
      <c r="V41" s="1" t="s">
        <v>178</v>
      </c>
      <c r="W41" s="1" t="s">
        <v>176</v>
      </c>
      <c r="X41" s="39"/>
      <c r="Y41" s="40"/>
      <c r="Z41" s="15"/>
      <c r="AA41" s="39"/>
      <c r="AB41" s="40"/>
      <c r="AC41" s="40"/>
      <c r="AD41" s="40"/>
      <c r="AE41" s="40"/>
      <c r="AF41" s="48"/>
      <c r="AG41" s="39"/>
      <c r="AH41" s="40"/>
      <c r="AI41" s="40"/>
      <c r="AJ41" s="40"/>
      <c r="AK41" s="40"/>
      <c r="AL41" s="43"/>
      <c r="AM41" s="201" t="s">
        <v>178</v>
      </c>
      <c r="AN41" s="1" t="s">
        <v>176</v>
      </c>
      <c r="AO41" s="73" t="s">
        <v>174</v>
      </c>
      <c r="AP41" s="73" t="s">
        <v>176</v>
      </c>
      <c r="AQ41" s="40"/>
      <c r="AR41" s="95"/>
      <c r="AS41" s="116">
        <v>45897</v>
      </c>
      <c r="AT41" s="117">
        <v>46063</v>
      </c>
      <c r="AU41" s="112"/>
      <c r="AV41" s="150"/>
      <c r="AW41" s="151"/>
      <c r="AX41" s="152"/>
      <c r="AY41" s="150"/>
      <c r="AZ41" s="151"/>
      <c r="BA41" s="152"/>
      <c r="BB41" s="117">
        <v>45946</v>
      </c>
      <c r="BC41" s="118">
        <v>46077</v>
      </c>
      <c r="BD41" s="190"/>
      <c r="BE41" s="119">
        <v>45972</v>
      </c>
      <c r="BF41" s="189"/>
      <c r="BG41" s="190"/>
      <c r="BH41" s="150"/>
      <c r="BI41" s="151"/>
      <c r="BJ41" s="152"/>
      <c r="BK41" s="150"/>
      <c r="BL41" s="151"/>
      <c r="BM41" s="152"/>
      <c r="BN41" s="119">
        <v>46043</v>
      </c>
      <c r="BO41" s="118">
        <v>46078</v>
      </c>
      <c r="BP41" s="190"/>
      <c r="BQ41" s="90" t="str">
        <f t="shared" si="0"/>
        <v>6A.2</v>
      </c>
      <c r="BR41" s="71" t="b">
        <f t="shared" si="2"/>
        <v>1</v>
      </c>
    </row>
    <row r="42" spans="1:70" ht="20.100000000000001" customHeight="1">
      <c r="A42" s="71" t="b">
        <f t="shared" si="1"/>
        <v>1</v>
      </c>
      <c r="B42" s="9" t="s">
        <v>72</v>
      </c>
      <c r="C42" s="39"/>
      <c r="D42" s="40"/>
      <c r="E42" s="40"/>
      <c r="F42" s="40"/>
      <c r="G42" s="40"/>
      <c r="H42" s="43"/>
      <c r="I42" s="39"/>
      <c r="J42" s="40"/>
      <c r="K42" s="40"/>
      <c r="L42" s="40"/>
      <c r="M42" s="40"/>
      <c r="N42" s="43"/>
      <c r="O42" s="14" t="s">
        <v>176</v>
      </c>
      <c r="P42" s="1" t="s">
        <v>176</v>
      </c>
      <c r="Q42" s="1" t="s">
        <v>174</v>
      </c>
      <c r="R42" s="1" t="s">
        <v>176</v>
      </c>
      <c r="S42" s="40"/>
      <c r="T42" s="15" t="s">
        <v>180</v>
      </c>
      <c r="U42" s="14" t="s">
        <v>176</v>
      </c>
      <c r="V42" s="1" t="s">
        <v>176</v>
      </c>
      <c r="W42" s="1" t="s">
        <v>176</v>
      </c>
      <c r="X42" s="39"/>
      <c r="Y42" s="40"/>
      <c r="Z42" s="15"/>
      <c r="AA42" s="39"/>
      <c r="AB42" s="40"/>
      <c r="AC42" s="40"/>
      <c r="AD42" s="40"/>
      <c r="AE42" s="40"/>
      <c r="AF42" s="48"/>
      <c r="AG42" s="39"/>
      <c r="AH42" s="40"/>
      <c r="AI42" s="40"/>
      <c r="AJ42" s="40"/>
      <c r="AK42" s="40"/>
      <c r="AL42" s="43"/>
      <c r="AM42" s="201" t="s">
        <v>178</v>
      </c>
      <c r="AN42" s="1" t="s">
        <v>176</v>
      </c>
      <c r="AO42" s="73" t="s">
        <v>174</v>
      </c>
      <c r="AP42" s="73" t="s">
        <v>176</v>
      </c>
      <c r="AQ42" s="40"/>
      <c r="AR42" s="95"/>
      <c r="AS42" s="116">
        <v>45897</v>
      </c>
      <c r="AT42" s="117">
        <v>46057</v>
      </c>
      <c r="AU42" s="112"/>
      <c r="AV42" s="150"/>
      <c r="AW42" s="151"/>
      <c r="AX42" s="152"/>
      <c r="AY42" s="150"/>
      <c r="AZ42" s="151"/>
      <c r="BA42" s="152"/>
      <c r="BB42" s="117">
        <v>45945</v>
      </c>
      <c r="BC42" s="118">
        <v>46051</v>
      </c>
      <c r="BD42" s="190"/>
      <c r="BE42" s="119">
        <v>45972</v>
      </c>
      <c r="BF42" s="189"/>
      <c r="BG42" s="190"/>
      <c r="BH42" s="150"/>
      <c r="BI42" s="151"/>
      <c r="BJ42" s="152"/>
      <c r="BK42" s="150"/>
      <c r="BL42" s="151"/>
      <c r="BM42" s="152"/>
      <c r="BN42" s="119">
        <v>46051</v>
      </c>
      <c r="BO42" s="118">
        <v>46051</v>
      </c>
      <c r="BP42" s="190"/>
      <c r="BQ42" s="90" t="str">
        <f t="shared" si="0"/>
        <v>6A.2</v>
      </c>
      <c r="BR42" s="71" t="b">
        <f t="shared" si="2"/>
        <v>1</v>
      </c>
    </row>
    <row r="43" spans="1:70" ht="20.100000000000001" customHeight="1">
      <c r="A43" s="71" t="b">
        <f t="shared" si="1"/>
        <v>1</v>
      </c>
      <c r="B43" s="9" t="s">
        <v>73</v>
      </c>
      <c r="C43" s="39"/>
      <c r="D43" s="40"/>
      <c r="E43" s="40"/>
      <c r="F43" s="40"/>
      <c r="G43" s="40"/>
      <c r="H43" s="43"/>
      <c r="I43" s="39"/>
      <c r="J43" s="40"/>
      <c r="K43" s="40"/>
      <c r="L43" s="40"/>
      <c r="M43" s="40"/>
      <c r="N43" s="43"/>
      <c r="O43" s="14" t="s">
        <v>176</v>
      </c>
      <c r="P43" s="1" t="s">
        <v>176</v>
      </c>
      <c r="Q43" s="1" t="s">
        <v>176</v>
      </c>
      <c r="R43" s="40"/>
      <c r="S43" s="40"/>
      <c r="T43" s="15" t="s">
        <v>180</v>
      </c>
      <c r="U43" s="14" t="s">
        <v>176</v>
      </c>
      <c r="V43" s="1" t="s">
        <v>176</v>
      </c>
      <c r="W43" s="1" t="s">
        <v>176</v>
      </c>
      <c r="X43" s="39"/>
      <c r="Y43" s="40"/>
      <c r="Z43" s="15"/>
      <c r="AA43" s="39"/>
      <c r="AB43" s="40"/>
      <c r="AC43" s="40"/>
      <c r="AD43" s="40"/>
      <c r="AE43" s="40"/>
      <c r="AF43" s="48"/>
      <c r="AG43" s="39"/>
      <c r="AH43" s="40"/>
      <c r="AI43" s="40"/>
      <c r="AJ43" s="40"/>
      <c r="AK43" s="40"/>
      <c r="AL43" s="43"/>
      <c r="AM43" s="201" t="s">
        <v>178</v>
      </c>
      <c r="AN43" s="1" t="s">
        <v>176</v>
      </c>
      <c r="AO43" s="73" t="s">
        <v>174</v>
      </c>
      <c r="AP43" s="188" t="s">
        <v>176</v>
      </c>
      <c r="AQ43" s="40"/>
      <c r="AR43" s="95"/>
      <c r="AS43" s="116">
        <v>45901</v>
      </c>
      <c r="AT43" s="117">
        <v>46057</v>
      </c>
      <c r="AU43" s="112"/>
      <c r="AV43" s="150"/>
      <c r="AW43" s="151"/>
      <c r="AX43" s="152"/>
      <c r="AY43" s="150"/>
      <c r="AZ43" s="151"/>
      <c r="BA43" s="152"/>
      <c r="BB43" s="117">
        <v>45964</v>
      </c>
      <c r="BC43" s="189"/>
      <c r="BD43" s="190"/>
      <c r="BE43" s="119">
        <v>45974</v>
      </c>
      <c r="BF43" s="189"/>
      <c r="BG43" s="190"/>
      <c r="BH43" s="150"/>
      <c r="BI43" s="151"/>
      <c r="BJ43" s="152"/>
      <c r="BK43" s="150"/>
      <c r="BL43" s="151"/>
      <c r="BM43" s="152"/>
      <c r="BN43" s="119">
        <v>46044</v>
      </c>
      <c r="BO43" s="118">
        <v>46084</v>
      </c>
      <c r="BP43" s="190"/>
      <c r="BQ43" s="90" t="str">
        <f t="shared" si="0"/>
        <v>6A.2</v>
      </c>
      <c r="BR43" s="71" t="b">
        <f t="shared" si="2"/>
        <v>1</v>
      </c>
    </row>
    <row r="44" spans="1:70" ht="20.100000000000001" customHeight="1">
      <c r="A44" s="71" t="b">
        <f t="shared" si="1"/>
        <v>1</v>
      </c>
      <c r="B44" s="9" t="s">
        <v>74</v>
      </c>
      <c r="C44" s="14" t="s">
        <v>176</v>
      </c>
      <c r="D44" s="1" t="s">
        <v>176</v>
      </c>
      <c r="E44" s="1" t="s">
        <v>176</v>
      </c>
      <c r="F44" s="40"/>
      <c r="G44" s="40"/>
      <c r="H44" s="350" t="s">
        <v>180</v>
      </c>
      <c r="I44" s="39"/>
      <c r="J44" s="40"/>
      <c r="K44" s="40"/>
      <c r="L44" s="40"/>
      <c r="M44" s="40"/>
      <c r="N44" s="43"/>
      <c r="O44" s="39"/>
      <c r="P44" s="40"/>
      <c r="Q44" s="40"/>
      <c r="R44" s="40"/>
      <c r="S44" s="40"/>
      <c r="T44" s="43"/>
      <c r="U44" s="14" t="s">
        <v>176</v>
      </c>
      <c r="V44" s="1" t="s">
        <v>176</v>
      </c>
      <c r="W44" s="1" t="s">
        <v>176</v>
      </c>
      <c r="X44" s="39"/>
      <c r="Y44" s="40"/>
      <c r="Z44" s="15" t="s">
        <v>176</v>
      </c>
      <c r="AA44" s="39"/>
      <c r="AB44" s="40"/>
      <c r="AC44" s="40"/>
      <c r="AD44" s="40"/>
      <c r="AE44" s="40"/>
      <c r="AF44" s="48"/>
      <c r="AG44" s="39"/>
      <c r="AH44" s="40"/>
      <c r="AI44" s="40"/>
      <c r="AJ44" s="40"/>
      <c r="AK44" s="40"/>
      <c r="AL44" s="43"/>
      <c r="AM44" s="201" t="s">
        <v>178</v>
      </c>
      <c r="AN44" s="1" t="s">
        <v>176</v>
      </c>
      <c r="AO44" s="73" t="s">
        <v>176</v>
      </c>
      <c r="AP44" s="40"/>
      <c r="AQ44" s="40"/>
      <c r="AR44" s="95" t="s">
        <v>176</v>
      </c>
      <c r="AS44" s="116">
        <v>45880</v>
      </c>
      <c r="AT44" s="117">
        <v>45950</v>
      </c>
      <c r="AU44" s="112">
        <v>46224</v>
      </c>
      <c r="AV44" s="117">
        <v>45917</v>
      </c>
      <c r="AW44" s="189"/>
      <c r="AX44" s="190"/>
      <c r="AY44" s="150"/>
      <c r="AZ44" s="151"/>
      <c r="BA44" s="152"/>
      <c r="BB44" s="150"/>
      <c r="BC44" s="151"/>
      <c r="BD44" s="152"/>
      <c r="BE44" s="119">
        <v>45981</v>
      </c>
      <c r="BF44" s="189"/>
      <c r="BG44" s="190"/>
      <c r="BH44" s="150"/>
      <c r="BI44" s="151"/>
      <c r="BJ44" s="152"/>
      <c r="BK44" s="150"/>
      <c r="BL44" s="151"/>
      <c r="BM44" s="152"/>
      <c r="BN44" s="119">
        <v>46056</v>
      </c>
      <c r="BO44" s="189"/>
      <c r="BP44" s="190"/>
      <c r="BQ44" s="90" t="str">
        <f t="shared" si="0"/>
        <v>7A.1</v>
      </c>
      <c r="BR44" s="71" t="b">
        <f t="shared" si="2"/>
        <v>1</v>
      </c>
    </row>
    <row r="45" spans="1:70" ht="20.100000000000001" customHeight="1">
      <c r="A45" s="71" t="b">
        <f t="shared" si="1"/>
        <v>1</v>
      </c>
      <c r="B45" s="9" t="s">
        <v>75</v>
      </c>
      <c r="C45" s="14" t="s">
        <v>176</v>
      </c>
      <c r="D45" s="1" t="s">
        <v>176</v>
      </c>
      <c r="E45" s="1" t="s">
        <v>176</v>
      </c>
      <c r="F45" s="40"/>
      <c r="G45" s="40"/>
      <c r="H45" s="350" t="s">
        <v>180</v>
      </c>
      <c r="I45" s="39"/>
      <c r="J45" s="40"/>
      <c r="K45" s="40"/>
      <c r="L45" s="40"/>
      <c r="M45" s="40"/>
      <c r="N45" s="43"/>
      <c r="O45" s="39"/>
      <c r="P45" s="40"/>
      <c r="Q45" s="40"/>
      <c r="R45" s="40"/>
      <c r="S45" s="40"/>
      <c r="T45" s="43"/>
      <c r="U45" s="14" t="s">
        <v>176</v>
      </c>
      <c r="V45" s="1" t="s">
        <v>176</v>
      </c>
      <c r="W45" s="1" t="s">
        <v>176</v>
      </c>
      <c r="X45" s="39"/>
      <c r="Y45" s="40"/>
      <c r="Z45" s="15" t="s">
        <v>176</v>
      </c>
      <c r="AA45" s="39"/>
      <c r="AB45" s="40"/>
      <c r="AC45" s="40"/>
      <c r="AD45" s="40"/>
      <c r="AE45" s="40"/>
      <c r="AF45" s="48"/>
      <c r="AG45" s="39"/>
      <c r="AH45" s="40"/>
      <c r="AI45" s="40"/>
      <c r="AJ45" s="40"/>
      <c r="AK45" s="40"/>
      <c r="AL45" s="43"/>
      <c r="AM45" s="201" t="s">
        <v>178</v>
      </c>
      <c r="AN45" s="73" t="s">
        <v>176</v>
      </c>
      <c r="AO45" s="73" t="s">
        <v>176</v>
      </c>
      <c r="AP45" s="40"/>
      <c r="AQ45" s="40"/>
      <c r="AR45" s="95" t="s">
        <v>176</v>
      </c>
      <c r="AS45" s="116">
        <v>45881</v>
      </c>
      <c r="AT45" s="117">
        <v>45952</v>
      </c>
      <c r="AU45" s="112">
        <v>46225</v>
      </c>
      <c r="AV45" s="117">
        <v>45937</v>
      </c>
      <c r="AW45" s="189"/>
      <c r="AX45" s="190"/>
      <c r="AY45" s="150"/>
      <c r="AZ45" s="151"/>
      <c r="BA45" s="152"/>
      <c r="BB45" s="150"/>
      <c r="BC45" s="151"/>
      <c r="BD45" s="152"/>
      <c r="BE45" s="119">
        <v>45974</v>
      </c>
      <c r="BF45" s="189"/>
      <c r="BG45" s="190"/>
      <c r="BH45" s="150"/>
      <c r="BI45" s="151"/>
      <c r="BJ45" s="152"/>
      <c r="BK45" s="150"/>
      <c r="BL45" s="151"/>
      <c r="BM45" s="152"/>
      <c r="BN45" s="119">
        <v>46048</v>
      </c>
      <c r="BO45" s="189"/>
      <c r="BP45" s="190"/>
      <c r="BQ45" s="90" t="str">
        <f t="shared" si="0"/>
        <v>7A.1</v>
      </c>
      <c r="BR45" s="71" t="b">
        <f t="shared" si="2"/>
        <v>1</v>
      </c>
    </row>
    <row r="46" spans="1:70" ht="20.100000000000001" customHeight="1">
      <c r="A46" s="71" t="b">
        <f t="shared" si="1"/>
        <v>1</v>
      </c>
      <c r="B46" s="9" t="s">
        <v>76</v>
      </c>
      <c r="C46" s="14" t="s">
        <v>176</v>
      </c>
      <c r="D46" s="1" t="s">
        <v>176</v>
      </c>
      <c r="E46" s="1" t="s">
        <v>176</v>
      </c>
      <c r="F46" s="40"/>
      <c r="G46" s="40"/>
      <c r="H46" s="350" t="s">
        <v>180</v>
      </c>
      <c r="I46" s="39"/>
      <c r="J46" s="40"/>
      <c r="K46" s="40"/>
      <c r="L46" s="40"/>
      <c r="M46" s="40"/>
      <c r="N46" s="43"/>
      <c r="O46" s="39"/>
      <c r="P46" s="40"/>
      <c r="Q46" s="40"/>
      <c r="R46" s="40"/>
      <c r="S46" s="40"/>
      <c r="T46" s="43"/>
      <c r="U46" s="14" t="s">
        <v>176</v>
      </c>
      <c r="V46" s="1" t="s">
        <v>176</v>
      </c>
      <c r="W46" s="1" t="s">
        <v>176</v>
      </c>
      <c r="X46" s="39"/>
      <c r="Y46" s="40"/>
      <c r="Z46" s="15" t="s">
        <v>176</v>
      </c>
      <c r="AA46" s="39"/>
      <c r="AB46" s="40"/>
      <c r="AC46" s="40"/>
      <c r="AD46" s="40"/>
      <c r="AE46" s="40"/>
      <c r="AF46" s="48"/>
      <c r="AG46" s="39"/>
      <c r="AH46" s="40"/>
      <c r="AI46" s="40"/>
      <c r="AJ46" s="40"/>
      <c r="AK46" s="40"/>
      <c r="AL46" s="43"/>
      <c r="AM46" s="89" t="s">
        <v>176</v>
      </c>
      <c r="AN46" s="73" t="s">
        <v>176</v>
      </c>
      <c r="AO46" s="188" t="s">
        <v>176</v>
      </c>
      <c r="AP46" s="40"/>
      <c r="AQ46" s="40"/>
      <c r="AR46" s="95" t="s">
        <v>176</v>
      </c>
      <c r="AS46" s="116">
        <v>45882</v>
      </c>
      <c r="AT46" s="117">
        <v>45958</v>
      </c>
      <c r="AU46" s="112">
        <v>46232</v>
      </c>
      <c r="AV46" s="117">
        <v>45944</v>
      </c>
      <c r="AW46" s="189"/>
      <c r="AX46" s="190"/>
      <c r="AY46" s="150"/>
      <c r="AZ46" s="151"/>
      <c r="BA46" s="152"/>
      <c r="BB46" s="150"/>
      <c r="BC46" s="151"/>
      <c r="BD46" s="152"/>
      <c r="BE46" s="119">
        <v>45981</v>
      </c>
      <c r="BF46" s="189"/>
      <c r="BG46" s="190"/>
      <c r="BH46" s="150"/>
      <c r="BI46" s="151"/>
      <c r="BJ46" s="152"/>
      <c r="BK46" s="150"/>
      <c r="BL46" s="151"/>
      <c r="BM46" s="152"/>
      <c r="BN46" s="119">
        <v>46091</v>
      </c>
      <c r="BO46" s="189"/>
      <c r="BP46" s="190"/>
      <c r="BQ46" s="90" t="str">
        <f t="shared" si="0"/>
        <v>7A.1</v>
      </c>
      <c r="BR46" s="71" t="b">
        <f t="shared" si="2"/>
        <v>1</v>
      </c>
    </row>
    <row r="47" spans="1:70" ht="20.100000000000001" customHeight="1">
      <c r="A47" s="71" t="b">
        <f t="shared" si="1"/>
        <v>1</v>
      </c>
      <c r="B47" s="9" t="s">
        <v>77</v>
      </c>
      <c r="C47" s="14" t="s">
        <v>176</v>
      </c>
      <c r="D47" s="1" t="s">
        <v>176</v>
      </c>
      <c r="E47" s="1" t="s">
        <v>176</v>
      </c>
      <c r="F47" s="40"/>
      <c r="G47" s="40"/>
      <c r="H47" s="350" t="s">
        <v>180</v>
      </c>
      <c r="I47" s="39"/>
      <c r="J47" s="40"/>
      <c r="K47" s="40"/>
      <c r="L47" s="40"/>
      <c r="M47" s="40"/>
      <c r="N47" s="43"/>
      <c r="O47" s="39"/>
      <c r="P47" s="40"/>
      <c r="Q47" s="40"/>
      <c r="R47" s="40"/>
      <c r="S47" s="40"/>
      <c r="T47" s="43"/>
      <c r="U47" s="14" t="s">
        <v>176</v>
      </c>
      <c r="V47" s="1" t="s">
        <v>176</v>
      </c>
      <c r="W47" s="1" t="s">
        <v>176</v>
      </c>
      <c r="X47" s="39"/>
      <c r="Y47" s="40"/>
      <c r="Z47" s="15" t="s">
        <v>176</v>
      </c>
      <c r="AA47" s="39"/>
      <c r="AB47" s="40"/>
      <c r="AC47" s="40"/>
      <c r="AD47" s="40"/>
      <c r="AE47" s="40"/>
      <c r="AF47" s="48"/>
      <c r="AG47" s="39"/>
      <c r="AH47" s="40"/>
      <c r="AI47" s="40"/>
      <c r="AJ47" s="40"/>
      <c r="AK47" s="40"/>
      <c r="AL47" s="43"/>
      <c r="AM47" s="89" t="s">
        <v>176</v>
      </c>
      <c r="AN47" s="73" t="s">
        <v>176</v>
      </c>
      <c r="AO47" s="188" t="s">
        <v>176</v>
      </c>
      <c r="AP47" s="40"/>
      <c r="AQ47" s="40"/>
      <c r="AR47" s="95" t="s">
        <v>176</v>
      </c>
      <c r="AS47" s="116">
        <v>45883</v>
      </c>
      <c r="AT47" s="117">
        <v>45961</v>
      </c>
      <c r="AU47" s="112">
        <v>46238</v>
      </c>
      <c r="AV47" s="117">
        <v>45957</v>
      </c>
      <c r="AW47" s="189"/>
      <c r="AX47" s="190"/>
      <c r="AY47" s="150"/>
      <c r="AZ47" s="151"/>
      <c r="BA47" s="152"/>
      <c r="BB47" s="150"/>
      <c r="BC47" s="151"/>
      <c r="BD47" s="152"/>
      <c r="BE47" s="119">
        <v>45982</v>
      </c>
      <c r="BF47" s="189"/>
      <c r="BG47" s="190"/>
      <c r="BH47" s="150"/>
      <c r="BI47" s="151"/>
      <c r="BJ47" s="152"/>
      <c r="BK47" s="150"/>
      <c r="BL47" s="151"/>
      <c r="BM47" s="152"/>
      <c r="BN47" s="119">
        <v>46092</v>
      </c>
      <c r="BO47" s="189"/>
      <c r="BP47" s="190"/>
      <c r="BQ47" s="90" t="str">
        <f t="shared" si="0"/>
        <v>7A.1</v>
      </c>
      <c r="BR47" s="71" t="b">
        <f t="shared" si="2"/>
        <v>1</v>
      </c>
    </row>
    <row r="48" spans="1:70" ht="20.100000000000001" customHeight="1">
      <c r="A48" s="71" t="b">
        <f t="shared" si="1"/>
        <v>1</v>
      </c>
      <c r="B48" s="9" t="s">
        <v>78</v>
      </c>
      <c r="C48" s="14" t="s">
        <v>176</v>
      </c>
      <c r="D48" s="1" t="s">
        <v>176</v>
      </c>
      <c r="E48" s="1" t="s">
        <v>176</v>
      </c>
      <c r="F48" s="40"/>
      <c r="G48" s="40"/>
      <c r="H48" s="350" t="s">
        <v>180</v>
      </c>
      <c r="I48" s="39"/>
      <c r="J48" s="40"/>
      <c r="K48" s="40"/>
      <c r="L48" s="40"/>
      <c r="M48" s="40"/>
      <c r="N48" s="43"/>
      <c r="O48" s="39"/>
      <c r="P48" s="40"/>
      <c r="Q48" s="40"/>
      <c r="R48" s="40"/>
      <c r="S48" s="40"/>
      <c r="T48" s="43"/>
      <c r="U48" s="14" t="s">
        <v>176</v>
      </c>
      <c r="V48" s="1" t="s">
        <v>176</v>
      </c>
      <c r="W48" s="1" t="s">
        <v>176</v>
      </c>
      <c r="X48" s="39"/>
      <c r="Y48" s="40"/>
      <c r="Z48" s="15" t="s">
        <v>176</v>
      </c>
      <c r="AA48" s="39"/>
      <c r="AB48" s="40"/>
      <c r="AC48" s="40"/>
      <c r="AD48" s="40"/>
      <c r="AE48" s="40"/>
      <c r="AF48" s="48"/>
      <c r="AG48" s="39"/>
      <c r="AH48" s="40"/>
      <c r="AI48" s="40"/>
      <c r="AJ48" s="40"/>
      <c r="AK48" s="40"/>
      <c r="AL48" s="43"/>
      <c r="AM48" s="89" t="s">
        <v>176</v>
      </c>
      <c r="AN48" s="73" t="s">
        <v>176</v>
      </c>
      <c r="AO48" s="188" t="s">
        <v>176</v>
      </c>
      <c r="AP48" s="40"/>
      <c r="AQ48" s="40"/>
      <c r="AR48" s="95" t="s">
        <v>176</v>
      </c>
      <c r="AS48" s="116">
        <v>45890</v>
      </c>
      <c r="AT48" s="117">
        <v>45965</v>
      </c>
      <c r="AU48" s="112">
        <v>46239</v>
      </c>
      <c r="AV48" s="117">
        <v>45958</v>
      </c>
      <c r="AW48" s="189"/>
      <c r="AX48" s="190"/>
      <c r="AY48" s="150"/>
      <c r="AZ48" s="151"/>
      <c r="BA48" s="152"/>
      <c r="BB48" s="159"/>
      <c r="BC48" s="151"/>
      <c r="BD48" s="152"/>
      <c r="BE48" s="119">
        <v>45985</v>
      </c>
      <c r="BF48" s="189"/>
      <c r="BG48" s="190"/>
      <c r="BH48" s="150"/>
      <c r="BI48" s="151"/>
      <c r="BJ48" s="152"/>
      <c r="BK48" s="150"/>
      <c r="BL48" s="151"/>
      <c r="BM48" s="152"/>
      <c r="BN48" s="119">
        <v>46092</v>
      </c>
      <c r="BO48" s="189"/>
      <c r="BP48" s="190"/>
      <c r="BQ48" s="90" t="str">
        <f t="shared" si="0"/>
        <v>7A.1</v>
      </c>
      <c r="BR48" s="71" t="b">
        <f t="shared" si="2"/>
        <v>1</v>
      </c>
    </row>
    <row r="49" spans="1:70" ht="20.100000000000001" customHeight="1">
      <c r="A49" s="71" t="b">
        <f t="shared" si="1"/>
        <v>1</v>
      </c>
      <c r="B49" s="9" t="s">
        <v>79</v>
      </c>
      <c r="C49" s="19" t="s">
        <v>176</v>
      </c>
      <c r="D49" s="160" t="s">
        <v>176</v>
      </c>
      <c r="E49" s="20" t="s">
        <v>176</v>
      </c>
      <c r="F49" s="40"/>
      <c r="G49" s="40"/>
      <c r="H49" s="350" t="s">
        <v>180</v>
      </c>
      <c r="I49" s="49"/>
      <c r="J49" s="44"/>
      <c r="K49" s="44"/>
      <c r="L49" s="44"/>
      <c r="M49" s="44"/>
      <c r="N49" s="45"/>
      <c r="O49" s="49"/>
      <c r="P49" s="44"/>
      <c r="Q49" s="44"/>
      <c r="R49" s="44"/>
      <c r="S49" s="44"/>
      <c r="T49" s="45"/>
      <c r="U49" s="19" t="s">
        <v>176</v>
      </c>
      <c r="V49" s="160" t="s">
        <v>176</v>
      </c>
      <c r="W49" s="20" t="s">
        <v>176</v>
      </c>
      <c r="X49" s="49"/>
      <c r="Y49" s="44"/>
      <c r="Z49" s="21" t="s">
        <v>176</v>
      </c>
      <c r="AA49" s="49"/>
      <c r="AB49" s="44"/>
      <c r="AC49" s="44"/>
      <c r="AD49" s="44"/>
      <c r="AE49" s="44"/>
      <c r="AF49" s="50"/>
      <c r="AG49" s="49"/>
      <c r="AH49" s="44"/>
      <c r="AI49" s="44"/>
      <c r="AJ49" s="44"/>
      <c r="AK49" s="44"/>
      <c r="AL49" s="45"/>
      <c r="AM49" s="161" t="s">
        <v>176</v>
      </c>
      <c r="AN49" s="162" t="s">
        <v>176</v>
      </c>
      <c r="AO49" s="20" t="s">
        <v>176</v>
      </c>
      <c r="AP49" s="44"/>
      <c r="AQ49" s="44"/>
      <c r="AR49" s="96" t="s">
        <v>176</v>
      </c>
      <c r="AS49" s="120">
        <v>45890</v>
      </c>
      <c r="AT49" s="121">
        <v>45968</v>
      </c>
      <c r="AU49" s="122">
        <v>46245</v>
      </c>
      <c r="AV49" s="155">
        <v>45971</v>
      </c>
      <c r="AW49" s="191"/>
      <c r="AX49" s="192"/>
      <c r="AY49" s="156"/>
      <c r="AZ49" s="157"/>
      <c r="BA49" s="158"/>
      <c r="BB49" s="156"/>
      <c r="BC49" s="157"/>
      <c r="BD49" s="158"/>
      <c r="BE49" s="126">
        <v>45987</v>
      </c>
      <c r="BF49" s="191"/>
      <c r="BG49" s="192"/>
      <c r="BH49" s="156"/>
      <c r="BI49" s="157"/>
      <c r="BJ49" s="158"/>
      <c r="BK49" s="156"/>
      <c r="BL49" s="157"/>
      <c r="BM49" s="158"/>
      <c r="BN49" s="126">
        <v>46093</v>
      </c>
      <c r="BO49" s="191"/>
      <c r="BP49" s="192"/>
      <c r="BQ49" s="90" t="str">
        <f t="shared" si="0"/>
        <v>7A.1</v>
      </c>
      <c r="BR49" s="71" t="b">
        <f t="shared" si="2"/>
        <v>1</v>
      </c>
    </row>
    <row r="50" spans="1:70" ht="19.5" customHeight="1">
      <c r="A50" s="25">
        <f>COUNTIF(A7:A49,TRUE)/COUNTA(B7:B49)</f>
        <v>1</v>
      </c>
      <c r="BR50" s="25">
        <f>COUNTIF(BR5:BR49,TRUE)/COUNTA(B7:B49)</f>
        <v>0.32558139534883723</v>
      </c>
    </row>
    <row r="51" spans="1:70" ht="19.5" customHeight="1"/>
    <row r="52" spans="1:70" ht="19.5" customHeight="1"/>
    <row r="53" spans="1:70" ht="19.5" customHeight="1"/>
    <row r="54" spans="1:70" ht="19.5" customHeight="1"/>
    <row r="55" spans="1:70" ht="19.5" customHeight="1"/>
    <row r="56" spans="1:70" ht="19.5" customHeight="1"/>
    <row r="57" spans="1:70" ht="19.5" customHeight="1"/>
    <row r="58" spans="1:70" ht="19.5" customHeight="1"/>
    <row r="59" spans="1:70" ht="19.5" customHeight="1"/>
    <row r="60" spans="1:70" ht="19.5" customHeight="1"/>
    <row r="61" spans="1:70" ht="19.5" customHeight="1"/>
    <row r="62" spans="1:70" ht="19.5" customHeight="1"/>
    <row r="63" spans="1:70" ht="19.5" customHeight="1"/>
    <row r="64" spans="1:70" ht="19.5" customHeight="1"/>
    <row r="65" spans="4:4" ht="19.5" customHeight="1"/>
    <row r="66" spans="4:4" ht="19.5" customHeight="1"/>
    <row r="67" spans="4:4" ht="19.5" customHeight="1"/>
    <row r="68" spans="4:4" ht="19.5" customHeight="1">
      <c r="D68" t="e">
        <f ca="1">IF(IF(_xlfn.XLOOKUP(LEFT(A68,LEN(A68)-2),'TH_CMI GRADE 10'!$B$7:$B$49,'TH_CMI GRADE 10'!$AT$7:$AT$49,"",0,1)='TH_CMI GRADE 10'!A60,"",_xlfn.XLOOKUP(LEFT(A68,LEN(A68)-2),'TH_CMI GRADE 10'!$B$7:$B$49,'TH_CMI GRADE 10'!$AT$7:$AT$49,"",0,1))&lt;=TODAY(),TRUE,FALSE)</f>
        <v>#VALUE!</v>
      </c>
    </row>
    <row r="69" spans="4:4" ht="19.5" customHeight="1"/>
    <row r="70" spans="4:4" ht="19.5" customHeight="1"/>
    <row r="71" spans="4:4" ht="19.5" customHeight="1"/>
    <row r="72" spans="4:4" ht="19.5" customHeight="1"/>
    <row r="73" spans="4:4" ht="19.5" customHeight="1"/>
    <row r="74" spans="4:4" ht="19.5" customHeight="1"/>
    <row r="75" spans="4:4" ht="19.5" customHeight="1"/>
    <row r="76" spans="4:4" ht="19.5" customHeight="1"/>
    <row r="77" spans="4:4" ht="19.5" customHeight="1"/>
    <row r="78" spans="4:4" ht="19.5" customHeight="1"/>
    <row r="79" spans="4:4" ht="19.5" customHeight="1"/>
    <row r="80" spans="4:4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</sheetData>
  <sheetProtection selectLockedCells="1"/>
  <autoFilter ref="AT6:AT68" xr:uid="{91543B30-9333-4101-9D32-2F1E33CC4BA9}"/>
  <mergeCells count="15">
    <mergeCell ref="AM5:AR5"/>
    <mergeCell ref="AG5:AL5"/>
    <mergeCell ref="C5:H5"/>
    <mergeCell ref="I5:N5"/>
    <mergeCell ref="O5:T5"/>
    <mergeCell ref="AA5:AF5"/>
    <mergeCell ref="U5:Z5"/>
    <mergeCell ref="BK5:BM5"/>
    <mergeCell ref="BN5:BP5"/>
    <mergeCell ref="AS5:AU5"/>
    <mergeCell ref="AV5:AX5"/>
    <mergeCell ref="AY5:BA5"/>
    <mergeCell ref="BB5:BD5"/>
    <mergeCell ref="BE5:BG5"/>
    <mergeCell ref="BH5:BJ5"/>
  </mergeCells>
  <conditionalFormatting sqref="C7:AR49">
    <cfRule type="expression" dxfId="106" priority="1">
      <formula>C7=$C$1</formula>
    </cfRule>
    <cfRule type="expression" dxfId="105" priority="2">
      <formula>C7=$C$2</formula>
    </cfRule>
    <cfRule type="expression" dxfId="104" priority="3">
      <formula>C7=$C$3</formula>
    </cfRule>
    <cfRule type="expression" dxfId="103" priority="4">
      <formula>C7=$C$4</formula>
    </cfRule>
    <cfRule type="expression" dxfId="102" priority="5">
      <formula>C7=$P$1</formula>
    </cfRule>
    <cfRule type="expression" dxfId="101" priority="6">
      <formula>C7=$P$2</formula>
    </cfRule>
  </conditionalFormatting>
  <dataValidations count="3">
    <dataValidation type="date" allowBlank="1" showInputMessage="1" showErrorMessage="1" sqref="AS7:AU49 BK8:BK20 BH23:BH34 BK23 BE7 BB21:BB22 AY35:AY38 AV44:AV49 BB39:BB43" xr:uid="{BD935220-BCD3-4321-A40F-0BA9B9B12B0B}">
      <formula1>45880</formula1>
      <formula2>73050</formula2>
    </dataValidation>
    <dataValidation type="list" allowBlank="1" showInputMessage="1" showErrorMessage="1" sqref="Y7:Y36 AI7:AL49 K7:N49 Q7:T49 AO7:AR49 AC7:AF49 W7:W49 Z7:Z49 X7:X35 E7:H49" xr:uid="{9EC49724-20BA-4763-AADC-7006F6C22E61}">
      <formula1>"A,P,O,X,F"</formula1>
    </dataValidation>
    <dataValidation type="list" allowBlank="1" showInputMessage="1" showErrorMessage="1" sqref="O7:P1048576 C7:D1048576 I7:J1048576 U7:V1048576 AA7:AB1048576 AG7:AH1048576 Y37:Y49 X36:X49 AM7:AN1048576" xr:uid="{3A3F45BE-472B-4385-86AA-B852166A69E0}">
      <formula1>"A,P,O,X,R"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34AD-CD0B-4700-91F7-E0F5A1E00741}">
  <sheetPr codeName="Feuil3">
    <tabColor rgb="FF0070C0"/>
  </sheetPr>
  <dimension ref="A1:BR107"/>
  <sheetViews>
    <sheetView showGridLines="0" zoomScale="55" zoomScaleNormal="55" workbookViewId="0">
      <pane ySplit="6" topLeftCell="B7" activePane="bottomLeft" state="frozen"/>
      <selection pane="bottomLeft" activeCell="B26" sqref="B26"/>
      <selection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4.45"/>
  <cols>
    <col min="3" max="38" width="3.42578125" customWidth="1"/>
    <col min="39" max="39" width="3.28515625" customWidth="1"/>
    <col min="40" max="43" width="3.42578125" customWidth="1"/>
    <col min="44" max="44" width="3.140625" customWidth="1"/>
    <col min="45" max="68" width="8.5703125" style="90" customWidth="1"/>
  </cols>
  <sheetData>
    <row r="1" spans="1:70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W1" s="128"/>
    </row>
    <row r="2" spans="1:70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70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70" ht="15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70" ht="37.5" customHeight="1" thickBot="1">
      <c r="B5" s="2"/>
      <c r="C5" s="369" t="s">
        <v>186</v>
      </c>
      <c r="D5" s="369"/>
      <c r="E5" s="369"/>
      <c r="F5" s="369"/>
      <c r="G5" s="369"/>
      <c r="H5" s="370"/>
      <c r="I5" s="369" t="s">
        <v>187</v>
      </c>
      <c r="J5" s="371"/>
      <c r="K5" s="371"/>
      <c r="L5" s="371"/>
      <c r="M5" s="371"/>
      <c r="N5" s="372"/>
      <c r="O5" s="373" t="s">
        <v>188</v>
      </c>
      <c r="P5" s="374"/>
      <c r="Q5" s="374"/>
      <c r="R5" s="374"/>
      <c r="S5" s="374"/>
      <c r="T5" s="375"/>
      <c r="U5" s="373" t="s">
        <v>189</v>
      </c>
      <c r="V5" s="374"/>
      <c r="W5" s="374"/>
      <c r="X5" s="374"/>
      <c r="Y5" s="374"/>
      <c r="Z5" s="375"/>
      <c r="AA5" s="373" t="s">
        <v>190</v>
      </c>
      <c r="AB5" s="374"/>
      <c r="AC5" s="374"/>
      <c r="AD5" s="374"/>
      <c r="AE5" s="374"/>
      <c r="AF5" s="375"/>
      <c r="AG5" s="366" t="s">
        <v>191</v>
      </c>
      <c r="AH5" s="367"/>
      <c r="AI5" s="367"/>
      <c r="AJ5" s="367"/>
      <c r="AK5" s="367"/>
      <c r="AL5" s="368"/>
      <c r="AM5" s="366" t="s">
        <v>192</v>
      </c>
      <c r="AN5" s="367"/>
      <c r="AO5" s="367"/>
      <c r="AP5" s="367"/>
      <c r="AQ5" s="367"/>
      <c r="AR5" s="368"/>
      <c r="AS5" s="379" t="s">
        <v>193</v>
      </c>
      <c r="AT5" s="380"/>
      <c r="AU5" s="381"/>
      <c r="AV5" s="384" t="s">
        <v>186</v>
      </c>
      <c r="AW5" s="384"/>
      <c r="AX5" s="384"/>
      <c r="AY5" s="384" t="s">
        <v>187</v>
      </c>
      <c r="AZ5" s="386"/>
      <c r="BA5" s="386"/>
      <c r="BB5" s="376" t="s">
        <v>188</v>
      </c>
      <c r="BC5" s="377"/>
      <c r="BD5" s="377"/>
      <c r="BE5" s="376" t="s">
        <v>189</v>
      </c>
      <c r="BF5" s="377"/>
      <c r="BG5" s="377"/>
      <c r="BH5" s="376" t="s">
        <v>190</v>
      </c>
      <c r="BI5" s="377"/>
      <c r="BJ5" s="377"/>
      <c r="BK5" s="379" t="s">
        <v>191</v>
      </c>
      <c r="BL5" s="380"/>
      <c r="BM5" s="380"/>
      <c r="BN5" s="379" t="s">
        <v>192</v>
      </c>
      <c r="BO5" s="380"/>
      <c r="BP5" s="381"/>
    </row>
    <row r="6" spans="1:70" ht="18" thickBot="1">
      <c r="A6" s="346" t="s">
        <v>194</v>
      </c>
      <c r="B6" s="3"/>
      <c r="C6" s="81" t="s">
        <v>29</v>
      </c>
      <c r="D6" s="82" t="s">
        <v>30</v>
      </c>
      <c r="E6" s="82" t="s">
        <v>195</v>
      </c>
      <c r="F6" s="82" t="s">
        <v>196</v>
      </c>
      <c r="G6" s="82" t="s">
        <v>197</v>
      </c>
      <c r="H6" s="83" t="s">
        <v>33</v>
      </c>
      <c r="I6" s="81" t="s">
        <v>29</v>
      </c>
      <c r="J6" s="82" t="s">
        <v>30</v>
      </c>
      <c r="K6" s="82" t="s">
        <v>195</v>
      </c>
      <c r="L6" s="82" t="s">
        <v>196</v>
      </c>
      <c r="M6" s="82" t="s">
        <v>197</v>
      </c>
      <c r="N6" s="83" t="s">
        <v>33</v>
      </c>
      <c r="O6" s="81" t="s">
        <v>29</v>
      </c>
      <c r="P6" s="82" t="s">
        <v>30</v>
      </c>
      <c r="Q6" s="82" t="s">
        <v>195</v>
      </c>
      <c r="R6" s="82" t="s">
        <v>196</v>
      </c>
      <c r="S6" s="82" t="s">
        <v>197</v>
      </c>
      <c r="T6" s="83" t="s">
        <v>33</v>
      </c>
      <c r="U6" s="81" t="s">
        <v>29</v>
      </c>
      <c r="V6" s="82" t="s">
        <v>30</v>
      </c>
      <c r="W6" s="82" t="s">
        <v>195</v>
      </c>
      <c r="X6" s="82" t="s">
        <v>196</v>
      </c>
      <c r="Y6" s="82" t="s">
        <v>197</v>
      </c>
      <c r="Z6" s="83" t="s">
        <v>33</v>
      </c>
      <c r="AA6" s="81" t="s">
        <v>29</v>
      </c>
      <c r="AB6" s="82" t="s">
        <v>30</v>
      </c>
      <c r="AC6" s="82" t="s">
        <v>195</v>
      </c>
      <c r="AD6" s="82" t="s">
        <v>196</v>
      </c>
      <c r="AE6" s="82" t="s">
        <v>197</v>
      </c>
      <c r="AF6" s="88" t="s">
        <v>33</v>
      </c>
      <c r="AG6" s="130" t="s">
        <v>29</v>
      </c>
      <c r="AH6" s="131" t="s">
        <v>30</v>
      </c>
      <c r="AI6" s="131" t="s">
        <v>195</v>
      </c>
      <c r="AJ6" s="131" t="s">
        <v>196</v>
      </c>
      <c r="AK6" s="131" t="s">
        <v>197</v>
      </c>
      <c r="AL6" s="132" t="s">
        <v>33</v>
      </c>
      <c r="AM6" s="130" t="s">
        <v>29</v>
      </c>
      <c r="AN6" s="131" t="s">
        <v>30</v>
      </c>
      <c r="AO6" s="131" t="s">
        <v>195</v>
      </c>
      <c r="AP6" s="131" t="s">
        <v>196</v>
      </c>
      <c r="AQ6" s="131" t="s">
        <v>197</v>
      </c>
      <c r="AR6" s="132" t="s">
        <v>33</v>
      </c>
      <c r="AS6" s="91" t="s">
        <v>29</v>
      </c>
      <c r="AT6" s="92" t="s">
        <v>30</v>
      </c>
      <c r="AU6" s="134" t="s">
        <v>33</v>
      </c>
      <c r="AV6" s="133" t="s">
        <v>195</v>
      </c>
      <c r="AW6" s="93" t="s">
        <v>196</v>
      </c>
      <c r="AX6" s="134" t="s">
        <v>197</v>
      </c>
      <c r="AY6" s="133" t="s">
        <v>195</v>
      </c>
      <c r="AZ6" s="93" t="s">
        <v>196</v>
      </c>
      <c r="BA6" s="134" t="s">
        <v>197</v>
      </c>
      <c r="BB6" s="133" t="s">
        <v>195</v>
      </c>
      <c r="BC6" s="93" t="s">
        <v>196</v>
      </c>
      <c r="BD6" s="134" t="s">
        <v>197</v>
      </c>
      <c r="BE6" s="133" t="s">
        <v>195</v>
      </c>
      <c r="BF6" s="93" t="s">
        <v>196</v>
      </c>
      <c r="BG6" s="134" t="s">
        <v>197</v>
      </c>
      <c r="BH6" s="133" t="s">
        <v>195</v>
      </c>
      <c r="BI6" s="93" t="s">
        <v>196</v>
      </c>
      <c r="BJ6" s="134" t="s">
        <v>197</v>
      </c>
      <c r="BK6" s="133" t="s">
        <v>195</v>
      </c>
      <c r="BL6" s="93" t="s">
        <v>196</v>
      </c>
      <c r="BM6" s="134" t="s">
        <v>197</v>
      </c>
      <c r="BN6" s="133" t="s">
        <v>195</v>
      </c>
      <c r="BO6" s="93" t="s">
        <v>196</v>
      </c>
      <c r="BP6" s="134" t="s">
        <v>197</v>
      </c>
      <c r="BR6" s="346" t="s">
        <v>198</v>
      </c>
    </row>
    <row r="7" spans="1:70">
      <c r="A7" s="71" t="b">
        <f>IF(OR(D7&lt;&gt;"",V7&lt;&gt;"",J7&lt;&gt;"",P7&lt;&gt;"",AB7&lt;&gt;"",AH7&lt;&gt;"",AN7&lt;&gt;"",AT7&lt;&gt;""),TRUE,FALSE)</f>
        <v>0</v>
      </c>
      <c r="B7" s="2" t="s">
        <v>36</v>
      </c>
      <c r="C7" s="39"/>
      <c r="D7" s="40"/>
      <c r="E7" s="40"/>
      <c r="F7" s="40"/>
      <c r="G7" s="40"/>
      <c r="H7" s="43"/>
      <c r="I7" s="39"/>
      <c r="J7" s="40"/>
      <c r="K7" s="40"/>
      <c r="L7" s="40"/>
      <c r="M7" s="40"/>
      <c r="N7" s="43"/>
      <c r="O7" s="39"/>
      <c r="P7" s="40"/>
      <c r="Q7" s="40"/>
      <c r="R7" s="40"/>
      <c r="S7" s="40"/>
      <c r="T7" s="43"/>
      <c r="U7" s="39"/>
      <c r="V7" s="40"/>
      <c r="W7" s="40"/>
      <c r="X7" s="40"/>
      <c r="Y7" s="40"/>
      <c r="Z7" s="43"/>
      <c r="AA7" s="14"/>
      <c r="AB7" s="1"/>
      <c r="AC7" s="1"/>
      <c r="AD7" s="1"/>
      <c r="AE7" s="1"/>
      <c r="AF7" s="15"/>
      <c r="AG7" s="14"/>
      <c r="AH7" s="1"/>
      <c r="AI7" s="1"/>
      <c r="AJ7" s="1"/>
      <c r="AK7" s="1"/>
      <c r="AL7" s="15"/>
      <c r="AM7" s="39"/>
      <c r="AN7" s="40"/>
      <c r="AO7" s="40"/>
      <c r="AP7" s="40"/>
      <c r="AQ7" s="40"/>
      <c r="AR7" s="43"/>
      <c r="AS7" s="127"/>
      <c r="AT7" s="128"/>
      <c r="AU7" s="129"/>
      <c r="AV7" s="127"/>
      <c r="AW7" s="128"/>
      <c r="AX7" s="129"/>
      <c r="AY7" s="127"/>
      <c r="AZ7" s="128"/>
      <c r="BA7" s="129"/>
      <c r="BB7" s="127"/>
      <c r="BC7" s="128"/>
      <c r="BD7" s="129"/>
      <c r="BE7" s="127"/>
      <c r="BF7" s="128"/>
      <c r="BG7" s="129"/>
      <c r="BH7" s="127"/>
      <c r="BI7" s="128"/>
      <c r="BJ7" s="129"/>
      <c r="BK7" s="127"/>
      <c r="BL7" s="128"/>
      <c r="BM7" s="129"/>
      <c r="BN7" s="127"/>
      <c r="BO7" s="128"/>
      <c r="BP7" s="129"/>
      <c r="BQ7" s="90" t="str">
        <f t="shared" ref="BQ7:BQ31" si="0">_xlfn.TEXTBEFORE($B7,".",2)</f>
        <v>2.1</v>
      </c>
      <c r="BR7" s="71" t="b">
        <f>IF(OR(H7&lt;&gt;"",N7&lt;&gt;"",T7&lt;&gt;"",Z7&lt;&gt;"",AF7&lt;&gt;"",AL7&lt;&gt;"",AR7&lt;&gt;"",AU7&lt;&gt;""),TRUE,FALSE)</f>
        <v>0</v>
      </c>
    </row>
    <row r="8" spans="1:70">
      <c r="A8" s="71" t="b">
        <f t="shared" ref="A8:A31" si="1">IF(OR(D8&lt;&gt;"",V8&lt;&gt;"",J8&lt;&gt;"",P8&lt;&gt;"",AB8&lt;&gt;"",AH8&lt;&gt;"",AN8&lt;&gt;"",AT8&lt;&gt;""),TRUE,FALSE)</f>
        <v>0</v>
      </c>
      <c r="B8" s="2" t="s">
        <v>37</v>
      </c>
      <c r="C8" s="39"/>
      <c r="D8" s="40"/>
      <c r="E8" s="40"/>
      <c r="F8" s="40"/>
      <c r="G8" s="40"/>
      <c r="H8" s="43"/>
      <c r="I8" s="39"/>
      <c r="J8" s="40"/>
      <c r="K8" s="40"/>
      <c r="L8" s="40"/>
      <c r="M8" s="40"/>
      <c r="N8" s="43"/>
      <c r="O8" s="39"/>
      <c r="P8" s="40"/>
      <c r="Q8" s="40"/>
      <c r="R8" s="40"/>
      <c r="S8" s="40"/>
      <c r="T8" s="43"/>
      <c r="U8" s="39"/>
      <c r="V8" s="40"/>
      <c r="W8" s="40"/>
      <c r="X8" s="40"/>
      <c r="Y8" s="40"/>
      <c r="Z8" s="43"/>
      <c r="AA8" s="14"/>
      <c r="AB8" s="1"/>
      <c r="AC8" s="1"/>
      <c r="AD8" s="1"/>
      <c r="AE8" s="1"/>
      <c r="AF8" s="15"/>
      <c r="AG8" s="14"/>
      <c r="AH8" s="1"/>
      <c r="AI8" s="1"/>
      <c r="AJ8" s="1"/>
      <c r="AK8" s="1"/>
      <c r="AL8" s="15"/>
      <c r="AM8" s="39"/>
      <c r="AN8" s="40"/>
      <c r="AO8" s="40"/>
      <c r="AP8" s="40"/>
      <c r="AQ8" s="40"/>
      <c r="AR8" s="43"/>
      <c r="AS8" s="127"/>
      <c r="AT8" s="128"/>
      <c r="AU8" s="129"/>
      <c r="AV8" s="127"/>
      <c r="AW8" s="128"/>
      <c r="AX8" s="129"/>
      <c r="AY8" s="127"/>
      <c r="AZ8" s="128"/>
      <c r="BA8" s="129"/>
      <c r="BB8" s="127"/>
      <c r="BC8" s="128"/>
      <c r="BD8" s="129"/>
      <c r="BE8" s="127"/>
      <c r="BF8" s="128"/>
      <c r="BG8" s="129"/>
      <c r="BH8" s="127"/>
      <c r="BI8" s="128"/>
      <c r="BJ8" s="129"/>
      <c r="BK8" s="127"/>
      <c r="BL8" s="128"/>
      <c r="BM8" s="129"/>
      <c r="BN8" s="127"/>
      <c r="BO8" s="128"/>
      <c r="BP8" s="129"/>
      <c r="BQ8" s="90" t="str">
        <f t="shared" si="0"/>
        <v>2.1</v>
      </c>
      <c r="BR8" s="71" t="b">
        <f t="shared" ref="BR8:BR31" si="2">IF(OR(H8&lt;&gt;"",N8&lt;&gt;"",T8&lt;&gt;"",Z8&lt;&gt;"",AF8&lt;&gt;"",AL8&lt;&gt;"",AR8&lt;&gt;"",AU8&lt;&gt;""),TRUE,FALSE)</f>
        <v>0</v>
      </c>
    </row>
    <row r="9" spans="1:70">
      <c r="A9" s="71" t="b">
        <f t="shared" si="1"/>
        <v>1</v>
      </c>
      <c r="B9" s="2" t="s">
        <v>39</v>
      </c>
      <c r="C9" s="39"/>
      <c r="D9" s="40"/>
      <c r="E9" s="40"/>
      <c r="F9" s="40"/>
      <c r="G9" s="40"/>
      <c r="H9" s="43"/>
      <c r="I9" s="39"/>
      <c r="J9" s="40"/>
      <c r="K9" s="40"/>
      <c r="L9" s="40"/>
      <c r="M9" s="40"/>
      <c r="N9" s="43"/>
      <c r="O9" s="39"/>
      <c r="P9" s="40"/>
      <c r="Q9" s="40"/>
      <c r="R9" s="40"/>
      <c r="S9" s="40"/>
      <c r="T9" s="43"/>
      <c r="U9" s="39"/>
      <c r="V9" s="40"/>
      <c r="W9" s="40"/>
      <c r="X9" s="40"/>
      <c r="Y9" s="40"/>
      <c r="Z9" s="43"/>
      <c r="AA9" s="14" t="s">
        <v>176</v>
      </c>
      <c r="AB9" s="1" t="s">
        <v>176</v>
      </c>
      <c r="AC9" s="1" t="s">
        <v>176</v>
      </c>
      <c r="AD9" s="1"/>
      <c r="AE9" s="1"/>
      <c r="AF9" s="15"/>
      <c r="AG9" s="14" t="s">
        <v>176</v>
      </c>
      <c r="AH9" s="1" t="s">
        <v>176</v>
      </c>
      <c r="AI9" s="1" t="s">
        <v>176</v>
      </c>
      <c r="AJ9" s="1"/>
      <c r="AK9" s="1"/>
      <c r="AL9" s="15"/>
      <c r="AM9" s="39"/>
      <c r="AN9" s="40"/>
      <c r="AO9" s="40"/>
      <c r="AP9" s="40"/>
      <c r="AQ9" s="40"/>
      <c r="AR9" s="43"/>
      <c r="AS9" s="135">
        <v>46119</v>
      </c>
      <c r="AT9" s="137">
        <v>46128</v>
      </c>
      <c r="AU9" s="129"/>
      <c r="AV9" s="127"/>
      <c r="AW9" s="128"/>
      <c r="AX9" s="129"/>
      <c r="AY9" s="127"/>
      <c r="AZ9" s="128"/>
      <c r="BA9" s="129"/>
      <c r="BB9" s="127"/>
      <c r="BC9" s="128"/>
      <c r="BD9" s="129"/>
      <c r="BE9" s="127"/>
      <c r="BF9" s="128"/>
      <c r="BG9" s="129"/>
      <c r="BH9" s="135">
        <v>46132</v>
      </c>
      <c r="BI9" s="128"/>
      <c r="BJ9" s="129"/>
      <c r="BK9" s="135">
        <v>46132</v>
      </c>
      <c r="BL9" s="128"/>
      <c r="BM9" s="129"/>
      <c r="BN9" s="127"/>
      <c r="BO9" s="128"/>
      <c r="BP9" s="129"/>
      <c r="BQ9" s="90" t="str">
        <f t="shared" si="0"/>
        <v>2.1</v>
      </c>
      <c r="BR9" s="71" t="b">
        <f t="shared" si="2"/>
        <v>0</v>
      </c>
    </row>
    <row r="10" spans="1:70">
      <c r="A10" s="71" t="b">
        <f t="shared" si="1"/>
        <v>1</v>
      </c>
      <c r="B10" s="2" t="s">
        <v>40</v>
      </c>
      <c r="C10" s="39"/>
      <c r="D10" s="40"/>
      <c r="E10" s="40"/>
      <c r="F10" s="40"/>
      <c r="G10" s="40"/>
      <c r="H10" s="43"/>
      <c r="I10" s="39"/>
      <c r="J10" s="40"/>
      <c r="K10" s="40"/>
      <c r="L10" s="40"/>
      <c r="M10" s="40"/>
      <c r="N10" s="43"/>
      <c r="O10" s="39"/>
      <c r="P10" s="40"/>
      <c r="Q10" s="40"/>
      <c r="R10" s="40"/>
      <c r="S10" s="40"/>
      <c r="T10" s="43"/>
      <c r="U10" s="39"/>
      <c r="V10" s="40"/>
      <c r="W10" s="40"/>
      <c r="X10" s="40"/>
      <c r="Y10" s="40"/>
      <c r="Z10" s="43"/>
      <c r="AA10" s="14" t="s">
        <v>176</v>
      </c>
      <c r="AB10" s="1" t="s">
        <v>176</v>
      </c>
      <c r="AC10" s="1" t="s">
        <v>176</v>
      </c>
      <c r="AD10" s="1"/>
      <c r="AE10" s="1"/>
      <c r="AF10" s="15"/>
      <c r="AG10" s="14" t="s">
        <v>176</v>
      </c>
      <c r="AH10" s="1" t="s">
        <v>176</v>
      </c>
      <c r="AI10" s="1" t="s">
        <v>176</v>
      </c>
      <c r="AJ10" s="1"/>
      <c r="AK10" s="1"/>
      <c r="AL10" s="15"/>
      <c r="AM10" s="39"/>
      <c r="AN10" s="40"/>
      <c r="AO10" s="40"/>
      <c r="AP10" s="40"/>
      <c r="AQ10" s="40"/>
      <c r="AR10" s="43"/>
      <c r="AS10" s="135">
        <v>46119</v>
      </c>
      <c r="AT10" s="137">
        <v>46128</v>
      </c>
      <c r="AU10" s="129"/>
      <c r="AV10" s="127"/>
      <c r="AW10" s="128"/>
      <c r="AX10" s="129"/>
      <c r="AY10" s="127"/>
      <c r="AZ10" s="128"/>
      <c r="BA10" s="129"/>
      <c r="BB10" s="127"/>
      <c r="BC10" s="128"/>
      <c r="BD10" s="129"/>
      <c r="BE10" s="127"/>
      <c r="BF10" s="128"/>
      <c r="BG10" s="129"/>
      <c r="BH10" s="135">
        <v>46132</v>
      </c>
      <c r="BI10" s="128"/>
      <c r="BJ10" s="129"/>
      <c r="BK10" s="135">
        <v>46132</v>
      </c>
      <c r="BL10" s="128"/>
      <c r="BM10" s="129"/>
      <c r="BN10" s="127"/>
      <c r="BO10" s="128"/>
      <c r="BP10" s="129"/>
      <c r="BQ10" s="90" t="str">
        <f t="shared" si="0"/>
        <v>2.1</v>
      </c>
      <c r="BR10" s="71" t="b">
        <f t="shared" si="2"/>
        <v>0</v>
      </c>
    </row>
    <row r="11" spans="1:70">
      <c r="A11" s="71" t="b">
        <f t="shared" si="1"/>
        <v>0</v>
      </c>
      <c r="B11" s="2" t="s">
        <v>41</v>
      </c>
      <c r="C11" s="39"/>
      <c r="D11" s="40"/>
      <c r="E11" s="40"/>
      <c r="F11" s="40"/>
      <c r="G11" s="40"/>
      <c r="H11" s="43"/>
      <c r="I11" s="39"/>
      <c r="J11" s="40"/>
      <c r="K11" s="40"/>
      <c r="L11" s="40"/>
      <c r="M11" s="40"/>
      <c r="N11" s="43"/>
      <c r="O11" s="39"/>
      <c r="P11" s="40"/>
      <c r="Q11" s="40"/>
      <c r="R11" s="40"/>
      <c r="S11" s="40"/>
      <c r="T11" s="43"/>
      <c r="U11" s="39"/>
      <c r="V11" s="40"/>
      <c r="W11" s="40"/>
      <c r="X11" s="40"/>
      <c r="Y11" s="40"/>
      <c r="Z11" s="43"/>
      <c r="AA11" s="14"/>
      <c r="AB11" s="1"/>
      <c r="AC11" s="1"/>
      <c r="AD11" s="1"/>
      <c r="AE11" s="1"/>
      <c r="AF11" s="15"/>
      <c r="AG11" s="14"/>
      <c r="AH11" s="1"/>
      <c r="AI11" s="1"/>
      <c r="AJ11" s="1"/>
      <c r="AK11" s="1"/>
      <c r="AL11" s="15"/>
      <c r="AM11" s="39"/>
      <c r="AN11" s="40"/>
      <c r="AO11" s="40"/>
      <c r="AP11" s="40"/>
      <c r="AQ11" s="40"/>
      <c r="AR11" s="43"/>
      <c r="AS11" s="127"/>
      <c r="AT11" s="128"/>
      <c r="AU11" s="129"/>
      <c r="AV11" s="127"/>
      <c r="AW11" s="128"/>
      <c r="AX11" s="129"/>
      <c r="AY11" s="127"/>
      <c r="AZ11" s="128"/>
      <c r="BA11" s="129"/>
      <c r="BB11" s="127"/>
      <c r="BC11" s="128"/>
      <c r="BD11" s="129"/>
      <c r="BE11" s="127"/>
      <c r="BF11" s="128"/>
      <c r="BG11" s="129"/>
      <c r="BH11" s="127"/>
      <c r="BI11" s="128"/>
      <c r="BJ11" s="129"/>
      <c r="BK11" s="127"/>
      <c r="BL11" s="128"/>
      <c r="BM11" s="129"/>
      <c r="BN11" s="127"/>
      <c r="BO11" s="128"/>
      <c r="BP11" s="129"/>
      <c r="BQ11" s="90" t="str">
        <f t="shared" si="0"/>
        <v>2.1</v>
      </c>
      <c r="BR11" s="71" t="b">
        <f t="shared" si="2"/>
        <v>0</v>
      </c>
    </row>
    <row r="12" spans="1:70">
      <c r="A12" s="71" t="b">
        <f t="shared" si="1"/>
        <v>0</v>
      </c>
      <c r="B12" s="2" t="s">
        <v>44</v>
      </c>
      <c r="C12" s="39"/>
      <c r="D12" s="40"/>
      <c r="E12" s="40"/>
      <c r="F12" s="40"/>
      <c r="G12" s="40"/>
      <c r="H12" s="43"/>
      <c r="I12" s="39"/>
      <c r="J12" s="40"/>
      <c r="K12" s="40"/>
      <c r="L12" s="40"/>
      <c r="M12" s="40"/>
      <c r="N12" s="43"/>
      <c r="O12" s="39"/>
      <c r="P12" s="40"/>
      <c r="Q12" s="40"/>
      <c r="R12" s="40"/>
      <c r="S12" s="40"/>
      <c r="T12" s="43"/>
      <c r="U12" s="39"/>
      <c r="V12" s="40"/>
      <c r="W12" s="40"/>
      <c r="X12" s="40"/>
      <c r="Y12" s="40"/>
      <c r="Z12" s="43"/>
      <c r="AA12" s="14"/>
      <c r="AB12" s="1"/>
      <c r="AC12" s="1"/>
      <c r="AD12" s="1"/>
      <c r="AE12" s="1"/>
      <c r="AF12" s="15"/>
      <c r="AG12" s="14"/>
      <c r="AH12" s="1"/>
      <c r="AI12" s="1"/>
      <c r="AJ12" s="1"/>
      <c r="AK12" s="1"/>
      <c r="AL12" s="15"/>
      <c r="AM12" s="39"/>
      <c r="AN12" s="40"/>
      <c r="AO12" s="40"/>
      <c r="AP12" s="40"/>
      <c r="AQ12" s="40"/>
      <c r="AR12" s="43"/>
      <c r="AS12" s="127"/>
      <c r="AT12" s="128"/>
      <c r="AU12" s="129"/>
      <c r="AV12" s="127"/>
      <c r="AW12" s="128"/>
      <c r="AX12" s="129"/>
      <c r="AY12" s="127"/>
      <c r="AZ12" s="128"/>
      <c r="BA12" s="129"/>
      <c r="BB12" s="127"/>
      <c r="BC12" s="128"/>
      <c r="BD12" s="129"/>
      <c r="BE12" s="127"/>
      <c r="BF12" s="128"/>
      <c r="BG12" s="129"/>
      <c r="BH12" s="127"/>
      <c r="BI12" s="128"/>
      <c r="BJ12" s="129"/>
      <c r="BK12" s="127"/>
      <c r="BL12" s="128"/>
      <c r="BM12" s="129"/>
      <c r="BN12" s="127"/>
      <c r="BO12" s="128"/>
      <c r="BP12" s="129"/>
      <c r="BQ12" s="90" t="str">
        <f t="shared" si="0"/>
        <v>2.3</v>
      </c>
      <c r="BR12" s="71" t="b">
        <f t="shared" si="2"/>
        <v>0</v>
      </c>
    </row>
    <row r="13" spans="1:70">
      <c r="A13" s="71" t="b">
        <f t="shared" si="1"/>
        <v>0</v>
      </c>
      <c r="B13" s="2" t="s">
        <v>45</v>
      </c>
      <c r="C13" s="39"/>
      <c r="D13" s="40"/>
      <c r="E13" s="40"/>
      <c r="F13" s="40"/>
      <c r="G13" s="40"/>
      <c r="H13" s="43"/>
      <c r="I13" s="39"/>
      <c r="J13" s="40"/>
      <c r="K13" s="40"/>
      <c r="L13" s="40"/>
      <c r="M13" s="40"/>
      <c r="N13" s="43"/>
      <c r="O13" s="39"/>
      <c r="P13" s="40"/>
      <c r="Q13" s="40"/>
      <c r="R13" s="40"/>
      <c r="S13" s="40"/>
      <c r="T13" s="43"/>
      <c r="U13" s="39"/>
      <c r="V13" s="40"/>
      <c r="W13" s="40"/>
      <c r="X13" s="40"/>
      <c r="Y13" s="40"/>
      <c r="Z13" s="43"/>
      <c r="AA13" s="14"/>
      <c r="AB13" s="1"/>
      <c r="AC13" s="1"/>
      <c r="AD13" s="1"/>
      <c r="AE13" s="1"/>
      <c r="AF13" s="15"/>
      <c r="AG13" s="14"/>
      <c r="AH13" s="1"/>
      <c r="AI13" s="1"/>
      <c r="AJ13" s="1"/>
      <c r="AK13" s="1"/>
      <c r="AL13" s="15"/>
      <c r="AM13" s="39"/>
      <c r="AN13" s="40"/>
      <c r="AO13" s="40"/>
      <c r="AP13" s="40"/>
      <c r="AQ13" s="40"/>
      <c r="AR13" s="43"/>
      <c r="AS13" s="127"/>
      <c r="AT13" s="128"/>
      <c r="AU13" s="129"/>
      <c r="AV13" s="127"/>
      <c r="AW13" s="128"/>
      <c r="AX13" s="129"/>
      <c r="AY13" s="127"/>
      <c r="AZ13" s="128"/>
      <c r="BA13" s="129"/>
      <c r="BB13" s="127"/>
      <c r="BC13" s="128"/>
      <c r="BD13" s="129"/>
      <c r="BE13" s="127"/>
      <c r="BF13" s="128"/>
      <c r="BG13" s="129"/>
      <c r="BH13" s="127"/>
      <c r="BI13" s="128"/>
      <c r="BJ13" s="129"/>
      <c r="BK13" s="127"/>
      <c r="BL13" s="128"/>
      <c r="BM13" s="129"/>
      <c r="BN13" s="127"/>
      <c r="BO13" s="128"/>
      <c r="BP13" s="129"/>
      <c r="BQ13" s="90" t="str">
        <f t="shared" si="0"/>
        <v>2.3</v>
      </c>
      <c r="BR13" s="71" t="b">
        <f t="shared" si="2"/>
        <v>0</v>
      </c>
    </row>
    <row r="14" spans="1:70">
      <c r="A14" s="71" t="b">
        <f t="shared" si="1"/>
        <v>0</v>
      </c>
      <c r="B14" s="2" t="s">
        <v>46</v>
      </c>
      <c r="C14" s="39"/>
      <c r="D14" s="40"/>
      <c r="E14" s="40"/>
      <c r="F14" s="40"/>
      <c r="G14" s="40"/>
      <c r="H14" s="43"/>
      <c r="I14" s="39"/>
      <c r="J14" s="40"/>
      <c r="K14" s="40"/>
      <c r="L14" s="40"/>
      <c r="M14" s="40"/>
      <c r="N14" s="43"/>
      <c r="O14" s="39"/>
      <c r="P14" s="40"/>
      <c r="Q14" s="40"/>
      <c r="R14" s="40"/>
      <c r="S14" s="40"/>
      <c r="T14" s="43"/>
      <c r="U14" s="39"/>
      <c r="V14" s="40"/>
      <c r="W14" s="40"/>
      <c r="X14" s="40"/>
      <c r="Y14" s="40"/>
      <c r="Z14" s="43"/>
      <c r="AA14" s="14"/>
      <c r="AB14" s="1"/>
      <c r="AC14" s="1"/>
      <c r="AD14" s="1"/>
      <c r="AE14" s="1"/>
      <c r="AF14" s="15"/>
      <c r="AG14" s="14"/>
      <c r="AH14" s="1"/>
      <c r="AI14" s="1"/>
      <c r="AJ14" s="1"/>
      <c r="AK14" s="1"/>
      <c r="AL14" s="15"/>
      <c r="AM14" s="39"/>
      <c r="AN14" s="40"/>
      <c r="AO14" s="40"/>
      <c r="AP14" s="40"/>
      <c r="AQ14" s="40"/>
      <c r="AR14" s="43"/>
      <c r="AS14" s="127"/>
      <c r="AT14" s="128"/>
      <c r="AU14" s="129"/>
      <c r="AV14" s="127"/>
      <c r="AW14" s="128"/>
      <c r="AX14" s="129"/>
      <c r="AY14" s="127"/>
      <c r="AZ14" s="128"/>
      <c r="BA14" s="129"/>
      <c r="BB14" s="127"/>
      <c r="BC14" s="128"/>
      <c r="BD14" s="129"/>
      <c r="BE14" s="127"/>
      <c r="BF14" s="128"/>
      <c r="BG14" s="129"/>
      <c r="BH14" s="127"/>
      <c r="BI14" s="128"/>
      <c r="BJ14" s="129"/>
      <c r="BK14" s="127"/>
      <c r="BL14" s="128"/>
      <c r="BM14" s="129"/>
      <c r="BN14" s="127"/>
      <c r="BO14" s="128"/>
      <c r="BP14" s="129"/>
      <c r="BQ14" s="90" t="str">
        <f t="shared" si="0"/>
        <v>2.3</v>
      </c>
      <c r="BR14" s="71" t="b">
        <f t="shared" si="2"/>
        <v>0</v>
      </c>
    </row>
    <row r="15" spans="1:70">
      <c r="A15" s="71" t="b">
        <f t="shared" si="1"/>
        <v>0</v>
      </c>
      <c r="B15" s="2" t="s">
        <v>48</v>
      </c>
      <c r="C15" s="39"/>
      <c r="D15" s="40"/>
      <c r="E15" s="40"/>
      <c r="F15" s="40"/>
      <c r="G15" s="40"/>
      <c r="H15" s="43"/>
      <c r="I15" s="39"/>
      <c r="J15" s="40"/>
      <c r="K15" s="40"/>
      <c r="L15" s="40"/>
      <c r="M15" s="40"/>
      <c r="N15" s="43"/>
      <c r="O15" s="39"/>
      <c r="P15" s="40"/>
      <c r="Q15" s="40"/>
      <c r="R15" s="40"/>
      <c r="S15" s="40"/>
      <c r="T15" s="43"/>
      <c r="U15" s="39"/>
      <c r="V15" s="40"/>
      <c r="W15" s="40"/>
      <c r="X15" s="40"/>
      <c r="Y15" s="40"/>
      <c r="Z15" s="43"/>
      <c r="AA15" s="14"/>
      <c r="AB15" s="1"/>
      <c r="AC15" s="1"/>
      <c r="AD15" s="1"/>
      <c r="AE15" s="1"/>
      <c r="AF15" s="15"/>
      <c r="AG15" s="14"/>
      <c r="AH15" s="1"/>
      <c r="AI15" s="1"/>
      <c r="AJ15" s="1"/>
      <c r="AK15" s="1"/>
      <c r="AL15" s="15"/>
      <c r="AM15" s="39"/>
      <c r="AN15" s="40"/>
      <c r="AO15" s="40"/>
      <c r="AP15" s="40"/>
      <c r="AQ15" s="40"/>
      <c r="AR15" s="43"/>
      <c r="AS15" s="127"/>
      <c r="AT15" s="128"/>
      <c r="AU15" s="129"/>
      <c r="AV15" s="127"/>
      <c r="AW15" s="128"/>
      <c r="AX15" s="129"/>
      <c r="AY15" s="127"/>
      <c r="AZ15" s="128"/>
      <c r="BA15" s="129"/>
      <c r="BB15" s="127"/>
      <c r="BC15" s="128"/>
      <c r="BD15" s="129"/>
      <c r="BE15" s="127"/>
      <c r="BF15" s="128"/>
      <c r="BG15" s="129"/>
      <c r="BH15" s="127"/>
      <c r="BI15" s="128"/>
      <c r="BJ15" s="129"/>
      <c r="BK15" s="127"/>
      <c r="BL15" s="128"/>
      <c r="BM15" s="129"/>
      <c r="BN15" s="127"/>
      <c r="BO15" s="128"/>
      <c r="BP15" s="129"/>
      <c r="BQ15" s="90" t="str">
        <f t="shared" si="0"/>
        <v>2.5</v>
      </c>
      <c r="BR15" s="71" t="b">
        <f t="shared" si="2"/>
        <v>0</v>
      </c>
    </row>
    <row r="16" spans="1:70">
      <c r="A16" s="71" t="b">
        <f t="shared" si="1"/>
        <v>1</v>
      </c>
      <c r="B16" s="2" t="s">
        <v>51</v>
      </c>
      <c r="C16" s="39"/>
      <c r="D16" s="40"/>
      <c r="E16" s="40"/>
      <c r="F16" s="40"/>
      <c r="G16" s="40"/>
      <c r="H16" s="43"/>
      <c r="I16" s="1" t="s">
        <v>176</v>
      </c>
      <c r="J16" s="1" t="s">
        <v>176</v>
      </c>
      <c r="K16" s="1" t="s">
        <v>176</v>
      </c>
      <c r="L16" s="1"/>
      <c r="M16" s="1"/>
      <c r="N16" s="15"/>
      <c r="O16" s="1" t="s">
        <v>176</v>
      </c>
      <c r="P16" s="1" t="s">
        <v>176</v>
      </c>
      <c r="Q16" s="1" t="s">
        <v>176</v>
      </c>
      <c r="R16" s="1"/>
      <c r="S16" s="1"/>
      <c r="T16" s="15"/>
      <c r="U16" s="39"/>
      <c r="V16" s="40"/>
      <c r="W16" s="40"/>
      <c r="X16" s="40"/>
      <c r="Y16" s="40"/>
      <c r="Z16" s="43"/>
      <c r="AA16" s="39"/>
      <c r="AB16" s="40"/>
      <c r="AC16" s="40"/>
      <c r="AD16" s="40"/>
      <c r="AE16" s="40"/>
      <c r="AF16" s="43"/>
      <c r="AG16" s="39"/>
      <c r="AH16" s="40"/>
      <c r="AI16" s="40"/>
      <c r="AJ16" s="40"/>
      <c r="AK16" s="40"/>
      <c r="AL16" s="43"/>
      <c r="AM16" s="39"/>
      <c r="AN16" s="40"/>
      <c r="AO16" s="40"/>
      <c r="AP16" s="40"/>
      <c r="AQ16" s="40"/>
      <c r="AR16" s="43"/>
      <c r="AS16" s="135">
        <v>46035</v>
      </c>
      <c r="AT16" s="137">
        <v>46085</v>
      </c>
      <c r="AU16" s="129"/>
      <c r="AV16" s="135"/>
      <c r="AW16" s="128"/>
      <c r="AX16" s="129"/>
      <c r="AY16" s="135">
        <v>46140</v>
      </c>
      <c r="AZ16" s="128"/>
      <c r="BA16" s="129"/>
      <c r="BB16" s="135">
        <v>46146</v>
      </c>
      <c r="BC16" s="128"/>
      <c r="BD16" s="129"/>
      <c r="BE16" s="127"/>
      <c r="BF16" s="128"/>
      <c r="BG16" s="129"/>
      <c r="BH16" s="127"/>
      <c r="BI16" s="128"/>
      <c r="BJ16" s="129"/>
      <c r="BK16" s="127"/>
      <c r="BL16" s="128"/>
      <c r="BM16" s="129"/>
      <c r="BN16" s="127"/>
      <c r="BO16" s="128"/>
      <c r="BP16" s="129"/>
      <c r="BQ16" s="90" t="str">
        <f t="shared" si="0"/>
        <v>3A.3</v>
      </c>
      <c r="BR16" s="71" t="b">
        <f t="shared" si="2"/>
        <v>0</v>
      </c>
    </row>
    <row r="17" spans="1:70">
      <c r="A17" s="71" t="b">
        <f t="shared" si="1"/>
        <v>1</v>
      </c>
      <c r="B17" s="2" t="s">
        <v>52</v>
      </c>
      <c r="C17" s="39"/>
      <c r="D17" s="40"/>
      <c r="E17" s="40"/>
      <c r="F17" s="40"/>
      <c r="G17" s="40"/>
      <c r="H17" s="43"/>
      <c r="I17" s="1" t="s">
        <v>176</v>
      </c>
      <c r="J17" s="1" t="s">
        <v>176</v>
      </c>
      <c r="K17" s="1" t="s">
        <v>176</v>
      </c>
      <c r="L17" s="1"/>
      <c r="M17" s="1"/>
      <c r="N17" s="15"/>
      <c r="O17" s="1" t="s">
        <v>176</v>
      </c>
      <c r="P17" s="1" t="s">
        <v>176</v>
      </c>
      <c r="Q17" s="1" t="s">
        <v>176</v>
      </c>
      <c r="R17" s="1"/>
      <c r="S17" s="1"/>
      <c r="T17" s="15"/>
      <c r="U17" s="39"/>
      <c r="V17" s="40"/>
      <c r="W17" s="40"/>
      <c r="X17" s="40"/>
      <c r="Y17" s="40"/>
      <c r="Z17" s="43"/>
      <c r="AA17" s="39"/>
      <c r="AB17" s="40"/>
      <c r="AC17" s="40"/>
      <c r="AD17" s="40"/>
      <c r="AE17" s="40"/>
      <c r="AF17" s="43"/>
      <c r="AG17" s="39"/>
      <c r="AH17" s="40"/>
      <c r="AI17" s="40"/>
      <c r="AJ17" s="40"/>
      <c r="AK17" s="40"/>
      <c r="AL17" s="43"/>
      <c r="AM17" s="39"/>
      <c r="AN17" s="40"/>
      <c r="AO17" s="40"/>
      <c r="AP17" s="40"/>
      <c r="AQ17" s="40"/>
      <c r="AR17" s="43"/>
      <c r="AS17" s="135">
        <v>46041</v>
      </c>
      <c r="AT17" s="137">
        <v>46119</v>
      </c>
      <c r="AU17" s="129"/>
      <c r="AV17" s="135"/>
      <c r="AW17" s="128"/>
      <c r="AX17" s="129"/>
      <c r="AY17" s="135">
        <v>46140</v>
      </c>
      <c r="AZ17" s="128"/>
      <c r="BA17" s="129"/>
      <c r="BB17" s="135">
        <v>46146</v>
      </c>
      <c r="BC17" s="128"/>
      <c r="BD17" s="129"/>
      <c r="BE17" s="127"/>
      <c r="BF17" s="128"/>
      <c r="BG17" s="129"/>
      <c r="BH17" s="127"/>
      <c r="BI17" s="128"/>
      <c r="BJ17" s="129"/>
      <c r="BK17" s="127"/>
      <c r="BL17" s="128"/>
      <c r="BM17" s="129"/>
      <c r="BN17" s="127"/>
      <c r="BO17" s="128"/>
      <c r="BP17" s="129"/>
      <c r="BQ17" s="90" t="str">
        <f t="shared" si="0"/>
        <v>3A.3</v>
      </c>
      <c r="BR17" s="71" t="b">
        <f t="shared" si="2"/>
        <v>0</v>
      </c>
    </row>
    <row r="18" spans="1:70">
      <c r="A18" s="71" t="b">
        <f t="shared" si="1"/>
        <v>0</v>
      </c>
      <c r="B18" s="2" t="s">
        <v>54</v>
      </c>
      <c r="C18" s="39"/>
      <c r="D18" s="40"/>
      <c r="E18" s="40"/>
      <c r="F18" s="40"/>
      <c r="G18" s="40"/>
      <c r="H18" s="43"/>
      <c r="I18" s="39"/>
      <c r="J18" s="40"/>
      <c r="K18" s="40"/>
      <c r="L18" s="40"/>
      <c r="M18" s="40"/>
      <c r="N18" s="43"/>
      <c r="O18" s="39"/>
      <c r="P18" s="40"/>
      <c r="Q18" s="40"/>
      <c r="R18" s="40"/>
      <c r="S18" s="40"/>
      <c r="T18" s="43"/>
      <c r="U18" s="39"/>
      <c r="V18" s="40"/>
      <c r="W18" s="40"/>
      <c r="X18" s="40"/>
      <c r="Y18" s="40"/>
      <c r="Z18" s="43"/>
      <c r="AA18" s="14"/>
      <c r="AB18" s="1"/>
      <c r="AC18" s="1"/>
      <c r="AD18" s="1"/>
      <c r="AE18" s="1"/>
      <c r="AF18" s="15"/>
      <c r="AG18" s="14"/>
      <c r="AH18" s="1"/>
      <c r="AI18" s="1"/>
      <c r="AJ18" s="1"/>
      <c r="AK18" s="1"/>
      <c r="AL18" s="15"/>
      <c r="AM18" s="39"/>
      <c r="AN18" s="40"/>
      <c r="AO18" s="40"/>
      <c r="AP18" s="40"/>
      <c r="AQ18" s="40"/>
      <c r="AR18" s="43"/>
      <c r="AS18" s="127"/>
      <c r="AT18" s="128"/>
      <c r="AU18" s="129"/>
      <c r="AV18" s="127"/>
      <c r="AW18" s="128"/>
      <c r="AX18" s="129"/>
      <c r="AY18" s="127"/>
      <c r="AZ18" s="128"/>
      <c r="BA18" s="129"/>
      <c r="BB18" s="127"/>
      <c r="BC18" s="128"/>
      <c r="BD18" s="129"/>
      <c r="BE18" s="127"/>
      <c r="BF18" s="128"/>
      <c r="BG18" s="129"/>
      <c r="BH18" s="127"/>
      <c r="BI18" s="128"/>
      <c r="BJ18" s="129"/>
      <c r="BK18" s="127"/>
      <c r="BL18" s="128"/>
      <c r="BM18" s="129"/>
      <c r="BN18" s="127"/>
      <c r="BO18" s="128"/>
      <c r="BP18" s="129"/>
      <c r="BQ18" s="90" t="str">
        <f t="shared" si="0"/>
        <v>4A.1</v>
      </c>
      <c r="BR18" s="71" t="b">
        <f t="shared" si="2"/>
        <v>0</v>
      </c>
    </row>
    <row r="19" spans="1:70">
      <c r="A19" s="71" t="b">
        <f t="shared" si="1"/>
        <v>0</v>
      </c>
      <c r="B19" s="2" t="s">
        <v>55</v>
      </c>
      <c r="C19" s="39"/>
      <c r="D19" s="40"/>
      <c r="E19" s="40"/>
      <c r="F19" s="40"/>
      <c r="G19" s="40"/>
      <c r="H19" s="43"/>
      <c r="I19" s="39"/>
      <c r="J19" s="40"/>
      <c r="K19" s="40"/>
      <c r="L19" s="40"/>
      <c r="M19" s="40"/>
      <c r="N19" s="43"/>
      <c r="O19" s="39"/>
      <c r="P19" s="40"/>
      <c r="Q19" s="40"/>
      <c r="R19" s="40"/>
      <c r="S19" s="40"/>
      <c r="T19" s="43"/>
      <c r="U19" s="39"/>
      <c r="V19" s="40"/>
      <c r="W19" s="40"/>
      <c r="X19" s="40"/>
      <c r="Y19" s="40"/>
      <c r="Z19" s="43"/>
      <c r="AA19" s="14"/>
      <c r="AB19" s="1"/>
      <c r="AC19" s="1"/>
      <c r="AD19" s="1"/>
      <c r="AE19" s="1"/>
      <c r="AF19" s="15"/>
      <c r="AG19" s="14"/>
      <c r="AH19" s="1"/>
      <c r="AI19" s="1"/>
      <c r="AJ19" s="1"/>
      <c r="AK19" s="1"/>
      <c r="AL19" s="15"/>
      <c r="AM19" s="39"/>
      <c r="AN19" s="40"/>
      <c r="AO19" s="40"/>
      <c r="AP19" s="40"/>
      <c r="AQ19" s="40"/>
      <c r="AR19" s="43"/>
      <c r="AS19" s="127"/>
      <c r="AT19" s="128"/>
      <c r="AU19" s="129"/>
      <c r="AV19" s="127"/>
      <c r="AW19" s="128"/>
      <c r="AX19" s="129"/>
      <c r="AY19" s="127"/>
      <c r="AZ19" s="128"/>
      <c r="BA19" s="129"/>
      <c r="BB19" s="127"/>
      <c r="BC19" s="128"/>
      <c r="BD19" s="129"/>
      <c r="BE19" s="127"/>
      <c r="BF19" s="128"/>
      <c r="BG19" s="129"/>
      <c r="BH19" s="127"/>
      <c r="BI19" s="128"/>
      <c r="BJ19" s="129"/>
      <c r="BK19" s="127"/>
      <c r="BL19" s="128"/>
      <c r="BM19" s="129"/>
      <c r="BN19" s="127"/>
      <c r="BO19" s="128"/>
      <c r="BP19" s="129"/>
      <c r="BQ19" s="90" t="str">
        <f t="shared" si="0"/>
        <v>4A.1</v>
      </c>
      <c r="BR19" s="71" t="b">
        <f t="shared" si="2"/>
        <v>0</v>
      </c>
    </row>
    <row r="20" spans="1:70">
      <c r="A20" s="71" t="b">
        <f t="shared" si="1"/>
        <v>0</v>
      </c>
      <c r="B20" s="2" t="s">
        <v>58</v>
      </c>
      <c r="C20" s="39"/>
      <c r="D20" s="40"/>
      <c r="E20" s="40"/>
      <c r="F20" s="40"/>
      <c r="G20" s="40"/>
      <c r="H20" s="43"/>
      <c r="I20" s="39"/>
      <c r="J20" s="40"/>
      <c r="K20" s="40"/>
      <c r="L20" s="40"/>
      <c r="M20" s="40"/>
      <c r="N20" s="43"/>
      <c r="O20" s="39"/>
      <c r="P20" s="40"/>
      <c r="Q20" s="40"/>
      <c r="R20" s="40"/>
      <c r="S20" s="40"/>
      <c r="T20" s="43"/>
      <c r="U20" s="1" t="s">
        <v>176</v>
      </c>
      <c r="V20" s="1"/>
      <c r="W20" s="1" t="s">
        <v>174</v>
      </c>
      <c r="X20" s="1" t="s">
        <v>176</v>
      </c>
      <c r="Y20" s="1"/>
      <c r="Z20" s="15"/>
      <c r="AA20" s="1" t="s">
        <v>176</v>
      </c>
      <c r="AB20" s="1"/>
      <c r="AC20" s="1" t="s">
        <v>176</v>
      </c>
      <c r="AD20" s="1"/>
      <c r="AE20" s="1"/>
      <c r="AF20" s="15"/>
      <c r="AG20" s="39" t="s">
        <v>176</v>
      </c>
      <c r="AH20" s="1"/>
      <c r="AI20" s="40" t="s">
        <v>176</v>
      </c>
      <c r="AJ20" s="40"/>
      <c r="AK20" s="40"/>
      <c r="AL20" s="43"/>
      <c r="AM20" s="39"/>
      <c r="AN20" s="40"/>
      <c r="AO20" s="40"/>
      <c r="AP20" s="40"/>
      <c r="AQ20" s="40"/>
      <c r="AR20" s="43"/>
      <c r="AS20" s="135">
        <v>46034</v>
      </c>
      <c r="AT20" s="145"/>
      <c r="AU20" s="129"/>
      <c r="AV20" s="127"/>
      <c r="AW20" s="128"/>
      <c r="AX20" s="129"/>
      <c r="AY20" s="127"/>
      <c r="AZ20" s="128"/>
      <c r="BA20" s="129"/>
      <c r="BC20" s="128"/>
      <c r="BD20" s="129"/>
      <c r="BE20" s="135">
        <v>46134</v>
      </c>
      <c r="BF20" s="137">
        <v>46177</v>
      </c>
      <c r="BG20" s="129"/>
      <c r="BH20" s="135">
        <v>46175</v>
      </c>
      <c r="BI20" s="128"/>
      <c r="BJ20" s="129"/>
      <c r="BK20" s="135">
        <v>46175</v>
      </c>
      <c r="BL20" s="128"/>
      <c r="BM20" s="129"/>
      <c r="BN20" s="127"/>
      <c r="BO20" s="128"/>
      <c r="BP20" s="129"/>
      <c r="BQ20" s="90" t="str">
        <f t="shared" si="0"/>
        <v>4A.1</v>
      </c>
      <c r="BR20" s="71" t="b">
        <f t="shared" si="2"/>
        <v>0</v>
      </c>
    </row>
    <row r="21" spans="1:70">
      <c r="A21" s="71" t="b">
        <f t="shared" si="1"/>
        <v>0</v>
      </c>
      <c r="B21" s="2" t="s">
        <v>60</v>
      </c>
      <c r="C21" s="39"/>
      <c r="D21" s="40"/>
      <c r="E21" s="40"/>
      <c r="F21" s="40"/>
      <c r="G21" s="40"/>
      <c r="H21" s="43"/>
      <c r="I21" s="39"/>
      <c r="J21" s="40"/>
      <c r="K21" s="40"/>
      <c r="L21" s="40"/>
      <c r="M21" s="40"/>
      <c r="N21" s="43"/>
      <c r="O21" s="39"/>
      <c r="P21" s="40"/>
      <c r="Q21" s="40"/>
      <c r="R21" s="40"/>
      <c r="S21" s="40"/>
      <c r="T21" s="43"/>
      <c r="U21" s="39"/>
      <c r="V21" s="40"/>
      <c r="W21" s="40"/>
      <c r="X21" s="40"/>
      <c r="Y21" s="40"/>
      <c r="Z21" s="43"/>
      <c r="AA21" s="1" t="s">
        <v>176</v>
      </c>
      <c r="AB21" s="1"/>
      <c r="AC21" s="1" t="s">
        <v>176</v>
      </c>
      <c r="AD21" s="1"/>
      <c r="AE21" s="1"/>
      <c r="AF21" s="15"/>
      <c r="AG21" s="1" t="s">
        <v>176</v>
      </c>
      <c r="AH21" s="1"/>
      <c r="AI21" s="1" t="s">
        <v>176</v>
      </c>
      <c r="AJ21" s="1"/>
      <c r="AK21" s="1"/>
      <c r="AL21" s="15"/>
      <c r="AM21" s="39"/>
      <c r="AN21" s="40"/>
      <c r="AO21" s="40"/>
      <c r="AP21" s="40"/>
      <c r="AQ21" s="40"/>
      <c r="AR21" s="43"/>
      <c r="AS21" s="135">
        <v>46120</v>
      </c>
      <c r="AT21" s="128"/>
      <c r="AU21" s="238"/>
      <c r="AV21" s="127"/>
      <c r="AW21" s="128"/>
      <c r="AX21" s="129"/>
      <c r="AY21" s="127"/>
      <c r="AZ21" s="128"/>
      <c r="BA21" s="129"/>
      <c r="BB21" s="127"/>
      <c r="BC21" s="128"/>
      <c r="BD21" s="129"/>
      <c r="BE21" s="127"/>
      <c r="BF21" s="128"/>
      <c r="BG21" s="129"/>
      <c r="BH21" s="135">
        <v>46149</v>
      </c>
      <c r="BI21" s="128"/>
      <c r="BJ21" s="129"/>
      <c r="BK21" s="135">
        <v>46141</v>
      </c>
      <c r="BL21" s="128"/>
      <c r="BM21" s="129"/>
      <c r="BN21" s="127"/>
      <c r="BO21" s="128"/>
      <c r="BP21" s="129"/>
      <c r="BQ21" s="90" t="str">
        <f t="shared" si="0"/>
        <v>4A.2</v>
      </c>
      <c r="BR21" s="71" t="b">
        <f t="shared" si="2"/>
        <v>0</v>
      </c>
    </row>
    <row r="22" spans="1:70">
      <c r="A22" s="71" t="b">
        <f t="shared" si="1"/>
        <v>0</v>
      </c>
      <c r="B22" s="2" t="s">
        <v>61</v>
      </c>
      <c r="C22" s="39"/>
      <c r="D22" s="40"/>
      <c r="E22" s="40"/>
      <c r="F22" s="40"/>
      <c r="G22" s="40"/>
      <c r="H22" s="43"/>
      <c r="I22" s="39"/>
      <c r="J22" s="40"/>
      <c r="K22" s="40"/>
      <c r="L22" s="40"/>
      <c r="M22" s="40"/>
      <c r="N22" s="43"/>
      <c r="O22" s="39"/>
      <c r="P22" s="40"/>
      <c r="Q22" s="40"/>
      <c r="R22" s="40"/>
      <c r="S22" s="40"/>
      <c r="T22" s="43"/>
      <c r="U22" s="39"/>
      <c r="V22" s="40"/>
      <c r="W22" s="40"/>
      <c r="X22" s="40"/>
      <c r="Y22" s="40"/>
      <c r="Z22" s="43"/>
      <c r="AA22" s="14"/>
      <c r="AB22" s="1"/>
      <c r="AC22" s="1"/>
      <c r="AD22" s="1"/>
      <c r="AE22" s="1"/>
      <c r="AF22" s="15"/>
      <c r="AG22" s="14"/>
      <c r="AH22" s="1"/>
      <c r="AI22" s="1"/>
      <c r="AJ22" s="1"/>
      <c r="AK22" s="1"/>
      <c r="AL22" s="15"/>
      <c r="AM22" s="39"/>
      <c r="AN22" s="40"/>
      <c r="AO22" s="40"/>
      <c r="AP22" s="40"/>
      <c r="AQ22" s="40"/>
      <c r="AR22" s="43"/>
      <c r="AS22" s="127"/>
      <c r="AT22" s="128"/>
      <c r="AU22" s="129"/>
      <c r="AV22" s="127"/>
      <c r="AW22" s="128"/>
      <c r="AX22" s="129"/>
      <c r="AY22" s="127"/>
      <c r="AZ22" s="128"/>
      <c r="BA22" s="129"/>
      <c r="BB22" s="127"/>
      <c r="BC22" s="128"/>
      <c r="BD22" s="129"/>
      <c r="BE22" s="127"/>
      <c r="BF22" s="128"/>
      <c r="BG22" s="129"/>
      <c r="BH22" s="127"/>
      <c r="BI22" s="128"/>
      <c r="BJ22" s="129"/>
      <c r="BK22" s="127"/>
      <c r="BL22" s="128"/>
      <c r="BM22" s="129"/>
      <c r="BN22" s="127"/>
      <c r="BO22" s="128"/>
      <c r="BP22" s="129"/>
      <c r="BQ22" s="90" t="str">
        <f t="shared" si="0"/>
        <v>4A.2</v>
      </c>
      <c r="BR22" s="71" t="b">
        <f t="shared" si="2"/>
        <v>0</v>
      </c>
    </row>
    <row r="23" spans="1:70">
      <c r="A23" s="71" t="b">
        <f t="shared" si="1"/>
        <v>0</v>
      </c>
      <c r="B23" s="2" t="s">
        <v>62</v>
      </c>
      <c r="C23" s="39"/>
      <c r="D23" s="40"/>
      <c r="E23" s="40"/>
      <c r="F23" s="40"/>
      <c r="G23" s="40"/>
      <c r="H23" s="43"/>
      <c r="I23" s="39"/>
      <c r="J23" s="40"/>
      <c r="K23" s="40"/>
      <c r="L23" s="40"/>
      <c r="M23" s="40"/>
      <c r="N23" s="43"/>
      <c r="O23" s="39"/>
      <c r="P23" s="40"/>
      <c r="Q23" s="40"/>
      <c r="R23" s="40"/>
      <c r="S23" s="40"/>
      <c r="T23" s="43"/>
      <c r="U23" s="39"/>
      <c r="V23" s="40"/>
      <c r="W23" s="40"/>
      <c r="X23" s="40"/>
      <c r="Y23" s="40"/>
      <c r="Z23" s="43"/>
      <c r="AA23" s="14"/>
      <c r="AB23" s="1"/>
      <c r="AC23" s="1"/>
      <c r="AD23" s="1"/>
      <c r="AE23" s="1"/>
      <c r="AF23" s="15"/>
      <c r="AG23" s="14"/>
      <c r="AH23" s="1"/>
      <c r="AI23" s="1"/>
      <c r="AJ23" s="1"/>
      <c r="AK23" s="1"/>
      <c r="AL23" s="15"/>
      <c r="AM23" s="39"/>
      <c r="AN23" s="40"/>
      <c r="AO23" s="40"/>
      <c r="AP23" s="40"/>
      <c r="AQ23" s="40"/>
      <c r="AR23" s="43"/>
      <c r="AS23" s="127"/>
      <c r="AT23" s="128"/>
      <c r="AU23" s="129"/>
      <c r="AV23" s="127"/>
      <c r="AW23" s="128"/>
      <c r="AX23" s="129"/>
      <c r="AY23" s="127"/>
      <c r="AZ23" s="128"/>
      <c r="BA23" s="129"/>
      <c r="BB23" s="127"/>
      <c r="BC23" s="128"/>
      <c r="BD23" s="129"/>
      <c r="BE23" s="127"/>
      <c r="BF23" s="128"/>
      <c r="BG23" s="129"/>
      <c r="BH23" s="127"/>
      <c r="BI23" s="128"/>
      <c r="BJ23" s="129"/>
      <c r="BK23" s="127"/>
      <c r="BL23" s="128"/>
      <c r="BM23" s="129"/>
      <c r="BN23" s="127"/>
      <c r="BO23" s="128"/>
      <c r="BP23" s="129"/>
      <c r="BQ23" s="90" t="str">
        <f t="shared" si="0"/>
        <v>4A.3</v>
      </c>
      <c r="BR23" s="71" t="b">
        <f t="shared" si="2"/>
        <v>0</v>
      </c>
    </row>
    <row r="24" spans="1:70">
      <c r="A24" s="71" t="b">
        <f t="shared" si="1"/>
        <v>0</v>
      </c>
      <c r="B24" s="2" t="s">
        <v>64</v>
      </c>
      <c r="C24" s="39"/>
      <c r="D24" s="40"/>
      <c r="E24" s="40"/>
      <c r="F24" s="40"/>
      <c r="G24" s="40"/>
      <c r="H24" s="43"/>
      <c r="I24" s="39"/>
      <c r="J24" s="40"/>
      <c r="K24" s="40"/>
      <c r="L24" s="40"/>
      <c r="M24" s="40"/>
      <c r="N24" s="43"/>
      <c r="O24" s="39"/>
      <c r="P24" s="40"/>
      <c r="Q24" s="40"/>
      <c r="R24" s="40"/>
      <c r="S24" s="40"/>
      <c r="T24" s="43"/>
      <c r="U24" s="39"/>
      <c r="V24" s="40"/>
      <c r="W24" s="40"/>
      <c r="X24" s="40"/>
      <c r="Y24" s="40"/>
      <c r="Z24" s="43"/>
      <c r="AA24" s="14"/>
      <c r="AB24" s="1"/>
      <c r="AC24" s="1"/>
      <c r="AD24" s="1"/>
      <c r="AE24" s="1"/>
      <c r="AF24" s="15"/>
      <c r="AG24" s="14"/>
      <c r="AH24" s="1"/>
      <c r="AI24" s="1"/>
      <c r="AJ24" s="1"/>
      <c r="AK24" s="1"/>
      <c r="AL24" s="15"/>
      <c r="AM24" s="39"/>
      <c r="AN24" s="40"/>
      <c r="AO24" s="40"/>
      <c r="AP24" s="40"/>
      <c r="AQ24" s="40"/>
      <c r="AR24" s="43"/>
      <c r="AS24" s="127"/>
      <c r="AT24" s="128"/>
      <c r="AU24" s="129"/>
      <c r="AV24" s="127"/>
      <c r="AW24" s="128"/>
      <c r="AX24" s="129"/>
      <c r="AY24" s="127"/>
      <c r="AZ24" s="128"/>
      <c r="BA24" s="129"/>
      <c r="BB24" s="127"/>
      <c r="BC24" s="128"/>
      <c r="BD24" s="129"/>
      <c r="BE24" s="127"/>
      <c r="BF24" s="128"/>
      <c r="BG24" s="129"/>
      <c r="BH24" s="127"/>
      <c r="BI24" s="128"/>
      <c r="BJ24" s="129"/>
      <c r="BK24" s="127"/>
      <c r="BL24" s="128"/>
      <c r="BM24" s="129"/>
      <c r="BN24" s="127"/>
      <c r="BO24" s="128"/>
      <c r="BP24" s="129"/>
      <c r="BQ24" s="90" t="str">
        <f t="shared" si="0"/>
        <v>4A.3</v>
      </c>
      <c r="BR24" s="71" t="b">
        <f t="shared" si="2"/>
        <v>0</v>
      </c>
    </row>
    <row r="25" spans="1:70">
      <c r="A25" s="71" t="b">
        <f t="shared" si="1"/>
        <v>0</v>
      </c>
      <c r="B25" s="2" t="s">
        <v>65</v>
      </c>
      <c r="C25" s="39"/>
      <c r="D25" s="40"/>
      <c r="E25" s="40"/>
      <c r="F25" s="40"/>
      <c r="G25" s="40"/>
      <c r="H25" s="43"/>
      <c r="I25" s="1" t="s">
        <v>176</v>
      </c>
      <c r="J25" s="1"/>
      <c r="K25" s="1" t="s">
        <v>176</v>
      </c>
      <c r="L25" s="1"/>
      <c r="M25" s="1"/>
      <c r="N25" s="15"/>
      <c r="O25" s="39"/>
      <c r="P25" s="40"/>
      <c r="Q25" s="40"/>
      <c r="R25" s="40"/>
      <c r="S25" s="40"/>
      <c r="T25" s="43"/>
      <c r="U25" s="1" t="s">
        <v>176</v>
      </c>
      <c r="V25" s="1"/>
      <c r="W25" s="1" t="s">
        <v>176</v>
      </c>
      <c r="X25" s="1"/>
      <c r="Y25" s="1"/>
      <c r="Z25" s="15"/>
      <c r="AA25" s="39"/>
      <c r="AB25" s="40"/>
      <c r="AC25" s="40"/>
      <c r="AD25" s="40"/>
      <c r="AE25" s="40"/>
      <c r="AF25" s="43"/>
      <c r="AG25" s="39"/>
      <c r="AH25" s="40"/>
      <c r="AI25" s="40"/>
      <c r="AJ25" s="40"/>
      <c r="AK25" s="40"/>
      <c r="AL25" s="43"/>
      <c r="AM25" s="39"/>
      <c r="AN25" s="40"/>
      <c r="AO25" s="40"/>
      <c r="AP25" s="40"/>
      <c r="AQ25" s="40"/>
      <c r="AR25" s="43"/>
      <c r="AS25" s="135">
        <v>46041</v>
      </c>
      <c r="AT25" s="137"/>
      <c r="AU25" s="129"/>
      <c r="AV25" s="127"/>
      <c r="AW25" s="128"/>
      <c r="AX25" s="129"/>
      <c r="AY25" s="135">
        <v>46176</v>
      </c>
      <c r="AZ25" s="128"/>
      <c r="BA25" s="129"/>
      <c r="BB25" s="127"/>
      <c r="BC25" s="128"/>
      <c r="BD25" s="129"/>
      <c r="BE25" s="135">
        <v>46182</v>
      </c>
      <c r="BF25" s="128"/>
      <c r="BG25" s="129"/>
      <c r="BH25" s="127"/>
      <c r="BI25" s="128"/>
      <c r="BJ25" s="129"/>
      <c r="BK25" s="127"/>
      <c r="BL25" s="128"/>
      <c r="BM25" s="129"/>
      <c r="BN25" s="127"/>
      <c r="BO25" s="128"/>
      <c r="BP25" s="129"/>
      <c r="BQ25" s="90" t="str">
        <f t="shared" si="0"/>
        <v>5A.1</v>
      </c>
      <c r="BR25" s="71" t="b">
        <f t="shared" si="2"/>
        <v>0</v>
      </c>
    </row>
    <row r="26" spans="1:70">
      <c r="A26" s="71" t="b">
        <f t="shared" si="1"/>
        <v>0</v>
      </c>
      <c r="B26" s="2" t="s">
        <v>67</v>
      </c>
      <c r="C26" s="39"/>
      <c r="D26" s="40"/>
      <c r="E26" s="40"/>
      <c r="F26" s="40"/>
      <c r="G26" s="40"/>
      <c r="H26" s="43"/>
      <c r="I26" s="14" t="s">
        <v>176</v>
      </c>
      <c r="J26" s="1"/>
      <c r="K26" s="1"/>
      <c r="L26" s="1"/>
      <c r="M26" s="1"/>
      <c r="N26" s="15"/>
      <c r="O26" s="39"/>
      <c r="P26" s="40"/>
      <c r="Q26" s="40"/>
      <c r="R26" s="40"/>
      <c r="S26" s="40"/>
      <c r="T26" s="43"/>
      <c r="U26" s="14" t="s">
        <v>176</v>
      </c>
      <c r="V26" s="1"/>
      <c r="W26" s="1" t="s">
        <v>176</v>
      </c>
      <c r="X26" s="1"/>
      <c r="Y26" s="1"/>
      <c r="Z26" s="15"/>
      <c r="AA26" s="39"/>
      <c r="AB26" s="40"/>
      <c r="AC26" s="40"/>
      <c r="AD26" s="40"/>
      <c r="AE26" s="40"/>
      <c r="AF26" s="43"/>
      <c r="AG26" s="39"/>
      <c r="AH26" s="40"/>
      <c r="AI26" s="40"/>
      <c r="AJ26" s="40"/>
      <c r="AK26" s="40"/>
      <c r="AL26" s="43"/>
      <c r="AM26" s="39"/>
      <c r="AN26" s="40"/>
      <c r="AO26" s="40"/>
      <c r="AP26" s="40"/>
      <c r="AQ26" s="40"/>
      <c r="AR26" s="43"/>
      <c r="AS26" s="135">
        <v>46043</v>
      </c>
      <c r="AT26" s="128"/>
      <c r="AU26" s="129"/>
      <c r="AV26" s="127"/>
      <c r="AW26" s="128"/>
      <c r="AX26" s="129"/>
      <c r="AY26" s="127"/>
      <c r="AZ26" s="128"/>
      <c r="BA26" s="129"/>
      <c r="BB26" s="127"/>
      <c r="BC26" s="128"/>
      <c r="BD26" s="129"/>
      <c r="BE26" s="135">
        <v>46183</v>
      </c>
      <c r="BF26" s="137"/>
      <c r="BG26" s="129"/>
      <c r="BH26" s="127"/>
      <c r="BI26" s="128"/>
      <c r="BJ26" s="129"/>
      <c r="BK26" s="127"/>
      <c r="BL26" s="128"/>
      <c r="BM26" s="129"/>
      <c r="BN26" s="127"/>
      <c r="BO26" s="128"/>
      <c r="BP26" s="129"/>
      <c r="BQ26" s="90" t="str">
        <f t="shared" si="0"/>
        <v>5A.2</v>
      </c>
      <c r="BR26" s="71" t="b">
        <f t="shared" si="2"/>
        <v>0</v>
      </c>
    </row>
    <row r="27" spans="1:70">
      <c r="A27" s="71" t="b">
        <f t="shared" si="1"/>
        <v>0</v>
      </c>
      <c r="B27" s="2" t="s">
        <v>68</v>
      </c>
      <c r="C27" s="39"/>
      <c r="D27" s="40"/>
      <c r="E27" s="40"/>
      <c r="F27" s="40"/>
      <c r="G27" s="40"/>
      <c r="H27" s="43"/>
      <c r="I27" s="14"/>
      <c r="J27" s="1"/>
      <c r="K27" s="1"/>
      <c r="L27" s="1"/>
      <c r="M27" s="1"/>
      <c r="N27" s="15"/>
      <c r="O27" s="39"/>
      <c r="P27" s="40"/>
      <c r="Q27" s="40"/>
      <c r="R27" s="40"/>
      <c r="S27" s="40"/>
      <c r="T27" s="43"/>
      <c r="U27" s="14"/>
      <c r="V27" s="1"/>
      <c r="W27" s="1"/>
      <c r="X27" s="1"/>
      <c r="Y27" s="1"/>
      <c r="Z27" s="15"/>
      <c r="AA27" s="39"/>
      <c r="AB27" s="40"/>
      <c r="AC27" s="40"/>
      <c r="AD27" s="40"/>
      <c r="AE27" s="40"/>
      <c r="AF27" s="43"/>
      <c r="AG27" s="39"/>
      <c r="AH27" s="40"/>
      <c r="AI27" s="40"/>
      <c r="AJ27" s="40"/>
      <c r="AK27" s="40"/>
      <c r="AL27" s="43"/>
      <c r="AM27" s="39"/>
      <c r="AN27" s="40"/>
      <c r="AO27" s="40"/>
      <c r="AP27" s="40"/>
      <c r="AQ27" s="40"/>
      <c r="AR27" s="43"/>
      <c r="AS27" s="127"/>
      <c r="AT27" s="128"/>
      <c r="AU27" s="129"/>
      <c r="AV27" s="127"/>
      <c r="AW27" s="128"/>
      <c r="AX27" s="129"/>
      <c r="AY27" s="127"/>
      <c r="AZ27" s="128"/>
      <c r="BA27" s="129"/>
      <c r="BB27" s="127"/>
      <c r="BC27" s="128"/>
      <c r="BD27" s="129"/>
      <c r="BE27" s="127"/>
      <c r="BF27" s="128"/>
      <c r="BG27" s="129"/>
      <c r="BH27" s="127"/>
      <c r="BI27" s="128"/>
      <c r="BJ27" s="129"/>
      <c r="BK27" s="127"/>
      <c r="BL27" s="128"/>
      <c r="BM27" s="129"/>
      <c r="BN27" s="127"/>
      <c r="BO27" s="128"/>
      <c r="BP27" s="129"/>
      <c r="BQ27" s="90" t="str">
        <f t="shared" si="0"/>
        <v>5A.2</v>
      </c>
      <c r="BR27" s="71" t="b">
        <f t="shared" si="2"/>
        <v>0</v>
      </c>
    </row>
    <row r="28" spans="1:70">
      <c r="A28" s="71" t="b">
        <f t="shared" si="1"/>
        <v>1</v>
      </c>
      <c r="B28" s="2" t="s">
        <v>69</v>
      </c>
      <c r="C28" s="39"/>
      <c r="D28" s="40"/>
      <c r="E28" s="40"/>
      <c r="F28" s="40"/>
      <c r="G28" s="40"/>
      <c r="H28" s="43"/>
      <c r="I28" s="39"/>
      <c r="J28" s="40"/>
      <c r="K28" s="40"/>
      <c r="L28" s="40"/>
      <c r="M28" s="40"/>
      <c r="N28" s="43"/>
      <c r="O28" s="14" t="s">
        <v>176</v>
      </c>
      <c r="P28" s="1" t="s">
        <v>176</v>
      </c>
      <c r="Q28" s="1" t="s">
        <v>176</v>
      </c>
      <c r="R28" s="1"/>
      <c r="S28" s="1"/>
      <c r="T28" s="15"/>
      <c r="U28" s="39"/>
      <c r="V28" s="40"/>
      <c r="W28" s="40"/>
      <c r="X28" s="40"/>
      <c r="Y28" s="40"/>
      <c r="Z28" s="43"/>
      <c r="AA28" s="39"/>
      <c r="AB28" s="40"/>
      <c r="AC28" s="40"/>
      <c r="AD28" s="40"/>
      <c r="AE28" s="40"/>
      <c r="AF28" s="43"/>
      <c r="AG28" s="39"/>
      <c r="AH28" s="40"/>
      <c r="AI28" s="40"/>
      <c r="AJ28" s="40"/>
      <c r="AK28" s="40"/>
      <c r="AL28" s="43"/>
      <c r="AM28" s="14" t="s">
        <v>176</v>
      </c>
      <c r="AN28" s="1" t="s">
        <v>176</v>
      </c>
      <c r="AO28" s="1" t="s">
        <v>176</v>
      </c>
      <c r="AP28" s="1"/>
      <c r="AQ28" s="1"/>
      <c r="AR28" s="15"/>
      <c r="AS28" s="135">
        <v>46135</v>
      </c>
      <c r="AT28" s="137">
        <v>46132</v>
      </c>
      <c r="AU28" s="129"/>
      <c r="AV28" s="127"/>
      <c r="AW28" s="128"/>
      <c r="AX28" s="129"/>
      <c r="AY28" s="127"/>
      <c r="AZ28" s="128"/>
      <c r="BA28" s="129"/>
      <c r="BB28" s="135">
        <v>46142</v>
      </c>
      <c r="BC28" s="128"/>
      <c r="BD28" s="129"/>
      <c r="BE28" s="127"/>
      <c r="BF28" s="128"/>
      <c r="BG28" s="129"/>
      <c r="BH28" s="127"/>
      <c r="BI28" s="128"/>
      <c r="BJ28" s="129"/>
      <c r="BK28" s="127"/>
      <c r="BL28" s="128"/>
      <c r="BM28" s="129"/>
      <c r="BN28" s="135">
        <v>46167</v>
      </c>
      <c r="BO28" s="128"/>
      <c r="BP28" s="129"/>
      <c r="BQ28" s="90" t="str">
        <f t="shared" si="0"/>
        <v>6A.1</v>
      </c>
      <c r="BR28" s="71" t="b">
        <f t="shared" si="2"/>
        <v>0</v>
      </c>
    </row>
    <row r="29" spans="1:70">
      <c r="A29" s="71" t="b">
        <f t="shared" si="1"/>
        <v>0</v>
      </c>
      <c r="B29" s="2" t="s">
        <v>70</v>
      </c>
      <c r="C29" s="39"/>
      <c r="D29" s="40"/>
      <c r="E29" s="40"/>
      <c r="F29" s="40"/>
      <c r="G29" s="40"/>
      <c r="H29" s="43"/>
      <c r="I29" s="39"/>
      <c r="J29" s="40"/>
      <c r="K29" s="40"/>
      <c r="L29" s="40"/>
      <c r="M29" s="40"/>
      <c r="N29" s="43"/>
      <c r="O29" s="14"/>
      <c r="P29" s="1"/>
      <c r="Q29" s="1"/>
      <c r="R29" s="1"/>
      <c r="S29" s="1"/>
      <c r="T29" s="15"/>
      <c r="U29" s="39"/>
      <c r="V29" s="40"/>
      <c r="W29" s="40"/>
      <c r="X29" s="40"/>
      <c r="Y29" s="40"/>
      <c r="Z29" s="43"/>
      <c r="AA29" s="39"/>
      <c r="AB29" s="40"/>
      <c r="AC29" s="40"/>
      <c r="AD29" s="40"/>
      <c r="AE29" s="40"/>
      <c r="AF29" s="43"/>
      <c r="AG29" s="39"/>
      <c r="AH29" s="40"/>
      <c r="AI29" s="40"/>
      <c r="AJ29" s="40"/>
      <c r="AK29" s="40"/>
      <c r="AL29" s="43"/>
      <c r="AM29" s="14"/>
      <c r="AN29" s="1"/>
      <c r="AO29" s="1"/>
      <c r="AP29" s="1"/>
      <c r="AQ29" s="1"/>
      <c r="AR29" s="15"/>
      <c r="AS29" s="127"/>
      <c r="AT29" s="128"/>
      <c r="AU29" s="129"/>
      <c r="AV29" s="127"/>
      <c r="AW29" s="128"/>
      <c r="AX29" s="129"/>
      <c r="AY29" s="127"/>
      <c r="AZ29" s="128"/>
      <c r="BA29" s="129"/>
      <c r="BB29" s="127"/>
      <c r="BC29" s="128"/>
      <c r="BD29" s="129"/>
      <c r="BE29" s="127"/>
      <c r="BF29" s="128"/>
      <c r="BG29" s="129"/>
      <c r="BH29" s="127"/>
      <c r="BI29" s="128"/>
      <c r="BJ29" s="129"/>
      <c r="BK29" s="127"/>
      <c r="BL29" s="128"/>
      <c r="BM29" s="129"/>
      <c r="BN29" s="127"/>
      <c r="BO29" s="128"/>
      <c r="BP29" s="129"/>
      <c r="BQ29" s="90" t="str">
        <f t="shared" si="0"/>
        <v>6A.1</v>
      </c>
      <c r="BR29" s="71" t="b">
        <f t="shared" si="2"/>
        <v>0</v>
      </c>
    </row>
    <row r="30" spans="1:70">
      <c r="A30" s="71" t="b">
        <f t="shared" si="1"/>
        <v>0</v>
      </c>
      <c r="B30" s="2" t="s">
        <v>72</v>
      </c>
      <c r="C30" s="39"/>
      <c r="D30" s="40"/>
      <c r="E30" s="40"/>
      <c r="F30" s="40"/>
      <c r="G30" s="40"/>
      <c r="H30" s="43"/>
      <c r="I30" s="39"/>
      <c r="J30" s="40"/>
      <c r="K30" s="40"/>
      <c r="L30" s="40"/>
      <c r="M30" s="40"/>
      <c r="N30" s="43"/>
      <c r="O30" s="1" t="s">
        <v>180</v>
      </c>
      <c r="P30" s="1"/>
      <c r="Q30" s="1"/>
      <c r="R30" s="1"/>
      <c r="S30" s="1"/>
      <c r="T30" s="15"/>
      <c r="U30" s="1" t="s">
        <v>176</v>
      </c>
      <c r="V30" s="1"/>
      <c r="W30" s="1"/>
      <c r="X30" s="1"/>
      <c r="Y30" s="1"/>
      <c r="Z30" s="15"/>
      <c r="AA30" s="39"/>
      <c r="AB30" s="40"/>
      <c r="AC30" s="40"/>
      <c r="AD30" s="40"/>
      <c r="AE30" s="40"/>
      <c r="AF30" s="43"/>
      <c r="AG30" s="39"/>
      <c r="AH30" s="40"/>
      <c r="AI30" s="40"/>
      <c r="AJ30" s="40"/>
      <c r="AK30" s="40"/>
      <c r="AL30" s="43"/>
      <c r="AM30" s="14" t="s">
        <v>176</v>
      </c>
      <c r="AN30" s="1"/>
      <c r="AO30" s="1"/>
      <c r="AP30" s="1"/>
      <c r="AQ30" s="1"/>
      <c r="AR30" s="15"/>
      <c r="AS30" s="135">
        <v>46050</v>
      </c>
      <c r="AT30" s="128"/>
      <c r="AU30" s="129"/>
      <c r="AV30" s="127"/>
      <c r="AW30" s="128"/>
      <c r="AX30" s="129"/>
      <c r="AY30" s="127"/>
      <c r="AZ30" s="128"/>
      <c r="BA30" s="129"/>
      <c r="BB30" s="127"/>
      <c r="BC30" s="128"/>
      <c r="BD30" s="129"/>
      <c r="BE30" s="127"/>
      <c r="BF30" s="128"/>
      <c r="BG30" s="129"/>
      <c r="BH30" s="127"/>
      <c r="BI30" s="128"/>
      <c r="BJ30" s="129"/>
      <c r="BK30" s="127"/>
      <c r="BL30" s="128"/>
      <c r="BM30" s="129"/>
      <c r="BN30" s="127"/>
      <c r="BO30" s="128"/>
      <c r="BP30" s="129"/>
      <c r="BQ30" s="90" t="str">
        <f t="shared" si="0"/>
        <v>6A.2</v>
      </c>
      <c r="BR30" s="71" t="b">
        <f t="shared" si="2"/>
        <v>0</v>
      </c>
    </row>
    <row r="31" spans="1:70">
      <c r="A31" s="71" t="b">
        <f t="shared" si="1"/>
        <v>0</v>
      </c>
      <c r="B31" s="2" t="s">
        <v>73</v>
      </c>
      <c r="C31" s="39"/>
      <c r="D31" s="40"/>
      <c r="E31" s="40"/>
      <c r="F31" s="40"/>
      <c r="G31" s="40"/>
      <c r="H31" s="43"/>
      <c r="I31" s="39"/>
      <c r="J31" s="40"/>
      <c r="K31" s="40"/>
      <c r="L31" s="40"/>
      <c r="M31" s="40"/>
      <c r="N31" s="43"/>
      <c r="O31" s="14"/>
      <c r="P31" s="1"/>
      <c r="Q31" s="1"/>
      <c r="R31" s="1"/>
      <c r="S31" s="1"/>
      <c r="T31" s="15"/>
      <c r="U31" s="14"/>
      <c r="V31" s="1"/>
      <c r="W31" s="1"/>
      <c r="X31" s="1"/>
      <c r="Y31" s="1"/>
      <c r="Z31" s="15"/>
      <c r="AA31" s="39"/>
      <c r="AB31" s="40"/>
      <c r="AC31" s="40"/>
      <c r="AD31" s="40"/>
      <c r="AE31" s="40"/>
      <c r="AF31" s="43"/>
      <c r="AG31" s="39"/>
      <c r="AH31" s="40"/>
      <c r="AI31" s="40"/>
      <c r="AJ31" s="40"/>
      <c r="AK31" s="40"/>
      <c r="AL31" s="43"/>
      <c r="AM31" s="14"/>
      <c r="AN31" s="1"/>
      <c r="AO31" s="1"/>
      <c r="AP31" s="1"/>
      <c r="AQ31" s="1"/>
      <c r="AR31" s="15"/>
      <c r="AS31" s="127"/>
      <c r="AT31" s="128"/>
      <c r="AU31" s="129"/>
      <c r="AV31" s="127"/>
      <c r="AW31" s="128"/>
      <c r="AX31" s="129"/>
      <c r="AY31" s="127"/>
      <c r="AZ31" s="128"/>
      <c r="BA31" s="129"/>
      <c r="BB31" s="127"/>
      <c r="BC31" s="128"/>
      <c r="BD31" s="129"/>
      <c r="BE31" s="127"/>
      <c r="BF31" s="128"/>
      <c r="BG31" s="129"/>
      <c r="BH31" s="127"/>
      <c r="BI31" s="128"/>
      <c r="BJ31" s="129"/>
      <c r="BK31" s="127"/>
      <c r="BL31" s="128"/>
      <c r="BM31" s="129"/>
      <c r="BN31" s="127"/>
      <c r="BO31" s="128"/>
      <c r="BP31" s="129"/>
      <c r="BQ31" s="90" t="str">
        <f t="shared" si="0"/>
        <v>6A.2</v>
      </c>
      <c r="BR31" s="71" t="b">
        <f t="shared" si="2"/>
        <v>0</v>
      </c>
    </row>
    <row r="32" spans="1:70">
      <c r="A32" s="25">
        <f>COUNTIF(A7:A31,TRUE)/COUNTA(B7:B31)</f>
        <v>0.2</v>
      </c>
      <c r="BR32" s="25">
        <f>COUNTIF(BR7:BR31,TRUE)/COUNTA(B7:B31)</f>
        <v>0</v>
      </c>
    </row>
    <row r="99" spans="40:40">
      <c r="AN99" t="s">
        <v>22</v>
      </c>
    </row>
    <row r="100" spans="40:40">
      <c r="AN100" t="s">
        <v>22</v>
      </c>
    </row>
    <row r="101" spans="40:40">
      <c r="AN101" t="s">
        <v>22</v>
      </c>
    </row>
    <row r="102" spans="40:40">
      <c r="AN102" t="s">
        <v>22</v>
      </c>
    </row>
    <row r="103" spans="40:40">
      <c r="AN103" t="s">
        <v>22</v>
      </c>
    </row>
    <row r="104" spans="40:40">
      <c r="AN104" t="s">
        <v>22</v>
      </c>
    </row>
    <row r="105" spans="40:40">
      <c r="AN105" t="s">
        <v>22</v>
      </c>
    </row>
    <row r="106" spans="40:40">
      <c r="AN106" t="s">
        <v>22</v>
      </c>
    </row>
    <row r="107" spans="40:40">
      <c r="AN107" t="s">
        <v>22</v>
      </c>
    </row>
  </sheetData>
  <sheetProtection selectLockedCells="1"/>
  <mergeCells count="15">
    <mergeCell ref="C5:H5"/>
    <mergeCell ref="I5:N5"/>
    <mergeCell ref="O5:T5"/>
    <mergeCell ref="U5:Z5"/>
    <mergeCell ref="AA5:AF5"/>
    <mergeCell ref="AG5:AL5"/>
    <mergeCell ref="AM5:AR5"/>
    <mergeCell ref="AS5:AU5"/>
    <mergeCell ref="AV5:AX5"/>
    <mergeCell ref="BN5:BP5"/>
    <mergeCell ref="AY5:BA5"/>
    <mergeCell ref="BB5:BD5"/>
    <mergeCell ref="BE5:BG5"/>
    <mergeCell ref="BH5:BJ5"/>
    <mergeCell ref="BK5:BM5"/>
  </mergeCells>
  <conditionalFormatting sqref="C7:AR31">
    <cfRule type="expression" dxfId="100" priority="1">
      <formula>C7=$C$1</formula>
    </cfRule>
    <cfRule type="expression" dxfId="99" priority="2">
      <formula>C7=$C$2</formula>
    </cfRule>
    <cfRule type="expression" dxfId="98" priority="3">
      <formula>C7=$C$3</formula>
    </cfRule>
    <cfRule type="expression" dxfId="97" priority="4">
      <formula>C7=$C$4</formula>
    </cfRule>
    <cfRule type="expression" dxfId="96" priority="5">
      <formula>C7=$P$1</formula>
    </cfRule>
    <cfRule type="expression" dxfId="95" priority="6">
      <formula>C7=$P$2</formula>
    </cfRule>
  </conditionalFormatting>
  <dataValidations count="2">
    <dataValidation type="list" allowBlank="1" showInputMessage="1" showErrorMessage="1" sqref="E7:H31 AC22:AC31 W7:Z31 AO6:AR31 AI22:AI31 K18:K31 L7:N31 K7:K15 AJ6:AL31 AI6:AI20 AD7:AF31 AC7:AC20 Q7:T31" xr:uid="{A50D1EFF-D106-4C90-BCD6-3AC5ADFFCA0E}">
      <formula1>"A,P,O,X,F"</formula1>
    </dataValidation>
    <dataValidation type="list" allowBlank="1" showInputMessage="1" showErrorMessage="1" sqref="C7:D1048576 I7:J1048576 U7:V1048576 AM7:AN1048576 K16:K17 AA7:AB1048576 AC21 AG7:AH1048576 AI21 O7:P1048576" xr:uid="{24D02D36-B211-47F9-9ECC-8B9734133677}">
      <formula1>"A,P,O,X,R"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A0A5-FD97-4617-8FA0-56CBC78CF9C3}">
  <sheetPr codeName="Feuil21">
    <tabColor theme="3" tint="0.499984740745262"/>
  </sheetPr>
  <dimension ref="A1:BR108"/>
  <sheetViews>
    <sheetView showGridLines="0" zoomScale="55" zoomScaleNormal="55" workbookViewId="0">
      <pane xSplit="2" ySplit="6" topLeftCell="J26" activePane="bottomRight" state="frozen"/>
      <selection pane="bottomRight" activeCell="AQ38" sqref="AQ38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3" max="44" width="3.42578125" customWidth="1"/>
    <col min="45" max="45" width="11.140625" style="90" customWidth="1"/>
    <col min="46" max="46" width="12.28515625" style="90" customWidth="1"/>
    <col min="47" max="56" width="8.5703125" style="90" customWidth="1"/>
    <col min="57" max="57" width="11" style="90" customWidth="1"/>
    <col min="58" max="59" width="8.5703125" style="90" customWidth="1"/>
    <col min="60" max="60" width="11.5703125" style="90" bestFit="1" customWidth="1"/>
    <col min="61" max="62" width="8.5703125" style="90" customWidth="1"/>
    <col min="63" max="63" width="11.7109375" style="90" customWidth="1"/>
    <col min="64" max="64" width="11.5703125" style="90" customWidth="1"/>
    <col min="65" max="65" width="11.42578125" style="90" customWidth="1"/>
    <col min="66" max="66" width="11.5703125" style="90" bestFit="1" customWidth="1"/>
    <col min="67" max="68" width="8.5703125" style="90" customWidth="1"/>
  </cols>
  <sheetData>
    <row r="1" spans="1:70" ht="14.45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R1" t="b">
        <v>0</v>
      </c>
    </row>
    <row r="2" spans="1:70" ht="14.45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70" ht="14.45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70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70" ht="37.5" customHeight="1" thickBot="1">
      <c r="B5" s="9"/>
      <c r="C5" s="369" t="s">
        <v>186</v>
      </c>
      <c r="D5" s="369"/>
      <c r="E5" s="369"/>
      <c r="F5" s="369"/>
      <c r="G5" s="369"/>
      <c r="H5" s="370"/>
      <c r="I5" s="369" t="s">
        <v>187</v>
      </c>
      <c r="J5" s="371"/>
      <c r="K5" s="371"/>
      <c r="L5" s="371"/>
      <c r="M5" s="371"/>
      <c r="N5" s="372"/>
      <c r="O5" s="373" t="s">
        <v>188</v>
      </c>
      <c r="P5" s="374"/>
      <c r="Q5" s="374"/>
      <c r="R5" s="374"/>
      <c r="S5" s="374"/>
      <c r="T5" s="375"/>
      <c r="U5" s="373" t="s">
        <v>189</v>
      </c>
      <c r="V5" s="374"/>
      <c r="W5" s="374"/>
      <c r="X5" s="374"/>
      <c r="Y5" s="374"/>
      <c r="Z5" s="375"/>
      <c r="AA5" s="373" t="s">
        <v>190</v>
      </c>
      <c r="AB5" s="374"/>
      <c r="AC5" s="374"/>
      <c r="AD5" s="374"/>
      <c r="AE5" s="374"/>
      <c r="AF5" s="375"/>
      <c r="AG5" s="366" t="s">
        <v>191</v>
      </c>
      <c r="AH5" s="367"/>
      <c r="AI5" s="367"/>
      <c r="AJ5" s="367"/>
      <c r="AK5" s="367"/>
      <c r="AL5" s="368"/>
      <c r="AM5" s="366" t="s">
        <v>192</v>
      </c>
      <c r="AN5" s="367"/>
      <c r="AO5" s="367"/>
      <c r="AP5" s="367"/>
      <c r="AQ5" s="367"/>
      <c r="AR5" s="367"/>
      <c r="AS5" s="382" t="s">
        <v>193</v>
      </c>
      <c r="AT5" s="380"/>
      <c r="AU5" s="383"/>
      <c r="AV5" s="384" t="s">
        <v>186</v>
      </c>
      <c r="AW5" s="384"/>
      <c r="AX5" s="385"/>
      <c r="AY5" s="384" t="s">
        <v>199</v>
      </c>
      <c r="AZ5" s="386"/>
      <c r="BA5" s="387"/>
      <c r="BB5" s="376" t="s">
        <v>188</v>
      </c>
      <c r="BC5" s="377"/>
      <c r="BD5" s="378"/>
      <c r="BE5" s="376" t="s">
        <v>189</v>
      </c>
      <c r="BF5" s="377"/>
      <c r="BG5" s="378"/>
      <c r="BH5" s="376" t="s">
        <v>190</v>
      </c>
      <c r="BI5" s="377"/>
      <c r="BJ5" s="378"/>
      <c r="BK5" s="379" t="s">
        <v>191</v>
      </c>
      <c r="BL5" s="380"/>
      <c r="BM5" s="381"/>
      <c r="BN5" s="379" t="s">
        <v>192</v>
      </c>
      <c r="BO5" s="380"/>
      <c r="BP5" s="381"/>
    </row>
    <row r="6" spans="1:70" ht="18" thickBot="1">
      <c r="A6" s="346" t="s">
        <v>194</v>
      </c>
      <c r="B6" s="10"/>
      <c r="C6" s="81" t="s">
        <v>29</v>
      </c>
      <c r="D6" s="82" t="s">
        <v>30</v>
      </c>
      <c r="E6" s="82" t="s">
        <v>195</v>
      </c>
      <c r="F6" s="82" t="s">
        <v>196</v>
      </c>
      <c r="G6" s="82" t="s">
        <v>197</v>
      </c>
      <c r="H6" s="83" t="s">
        <v>33</v>
      </c>
      <c r="I6" s="81" t="s">
        <v>29</v>
      </c>
      <c r="J6" s="82" t="s">
        <v>30</v>
      </c>
      <c r="K6" s="82" t="s">
        <v>195</v>
      </c>
      <c r="L6" s="82" t="s">
        <v>196</v>
      </c>
      <c r="M6" s="82" t="s">
        <v>197</v>
      </c>
      <c r="N6" s="83" t="s">
        <v>33</v>
      </c>
      <c r="O6" s="81" t="s">
        <v>29</v>
      </c>
      <c r="P6" s="82" t="s">
        <v>30</v>
      </c>
      <c r="Q6" s="82" t="s">
        <v>195</v>
      </c>
      <c r="R6" s="82" t="s">
        <v>196</v>
      </c>
      <c r="S6" s="82" t="s">
        <v>197</v>
      </c>
      <c r="T6" s="83" t="s">
        <v>33</v>
      </c>
      <c r="U6" s="81" t="s">
        <v>29</v>
      </c>
      <c r="V6" s="82" t="s">
        <v>30</v>
      </c>
      <c r="W6" s="82" t="s">
        <v>195</v>
      </c>
      <c r="X6" s="82" t="s">
        <v>196</v>
      </c>
      <c r="Y6" s="82" t="s">
        <v>197</v>
      </c>
      <c r="Z6" s="83" t="s">
        <v>33</v>
      </c>
      <c r="AA6" s="81" t="s">
        <v>29</v>
      </c>
      <c r="AB6" s="82" t="s">
        <v>30</v>
      </c>
      <c r="AC6" s="82" t="s">
        <v>195</v>
      </c>
      <c r="AD6" s="82" t="s">
        <v>196</v>
      </c>
      <c r="AE6" s="82" t="s">
        <v>197</v>
      </c>
      <c r="AF6" s="88" t="s">
        <v>33</v>
      </c>
      <c r="AG6" s="74" t="s">
        <v>29</v>
      </c>
      <c r="AH6" s="75" t="s">
        <v>30</v>
      </c>
      <c r="AI6" s="75" t="s">
        <v>195</v>
      </c>
      <c r="AJ6" s="75" t="s">
        <v>196</v>
      </c>
      <c r="AK6" s="75" t="s">
        <v>197</v>
      </c>
      <c r="AL6" s="76" t="s">
        <v>33</v>
      </c>
      <c r="AM6" s="74" t="s">
        <v>29</v>
      </c>
      <c r="AN6" s="75" t="s">
        <v>30</v>
      </c>
      <c r="AO6" s="75" t="s">
        <v>195</v>
      </c>
      <c r="AP6" s="75" t="s">
        <v>196</v>
      </c>
      <c r="AQ6" s="75" t="s">
        <v>197</v>
      </c>
      <c r="AR6" s="77" t="s">
        <v>33</v>
      </c>
      <c r="AS6" s="231" t="s">
        <v>29</v>
      </c>
      <c r="AT6" s="92" t="s">
        <v>30</v>
      </c>
      <c r="AU6" s="234" t="s">
        <v>33</v>
      </c>
      <c r="AV6" s="99" t="s">
        <v>195</v>
      </c>
      <c r="AW6" s="94" t="s">
        <v>196</v>
      </c>
      <c r="AX6" s="100" t="s">
        <v>197</v>
      </c>
      <c r="AY6" s="99" t="s">
        <v>195</v>
      </c>
      <c r="AZ6" s="94" t="s">
        <v>196</v>
      </c>
      <c r="BA6" s="100" t="s">
        <v>197</v>
      </c>
      <c r="BB6" s="99" t="s">
        <v>195</v>
      </c>
      <c r="BC6" s="94" t="s">
        <v>196</v>
      </c>
      <c r="BD6" s="100" t="s">
        <v>197</v>
      </c>
      <c r="BE6" s="99" t="s">
        <v>195</v>
      </c>
      <c r="BF6" s="94" t="s">
        <v>196</v>
      </c>
      <c r="BG6" s="100" t="s">
        <v>197</v>
      </c>
      <c r="BH6" s="99" t="s">
        <v>195</v>
      </c>
      <c r="BI6" s="94" t="s">
        <v>196</v>
      </c>
      <c r="BJ6" s="100" t="s">
        <v>197</v>
      </c>
      <c r="BK6" s="99" t="s">
        <v>195</v>
      </c>
      <c r="BL6" s="94" t="s">
        <v>196</v>
      </c>
      <c r="BM6" s="100" t="s">
        <v>197</v>
      </c>
      <c r="BN6" s="99" t="s">
        <v>195</v>
      </c>
      <c r="BO6" s="94" t="s">
        <v>196</v>
      </c>
      <c r="BP6" s="100" t="s">
        <v>197</v>
      </c>
      <c r="BR6" s="346" t="s">
        <v>198</v>
      </c>
    </row>
    <row r="7" spans="1:70" ht="20.100000000000001" customHeight="1">
      <c r="A7" s="71" t="b">
        <f>IF(OR(D7&lt;&gt;"",V7&lt;&gt;"",J7&lt;&gt;"",P7&lt;&gt;"",AB7&lt;&gt;"",AH7&lt;&gt;"",AN7&lt;&gt;"",AT7&lt;&gt;""),TRUE,FALSE)</f>
        <v>1</v>
      </c>
      <c r="B7" s="11" t="s">
        <v>80</v>
      </c>
      <c r="C7" s="86"/>
      <c r="D7" s="79"/>
      <c r="E7" s="79"/>
      <c r="F7" s="79"/>
      <c r="G7" s="79"/>
      <c r="H7" s="87"/>
      <c r="I7" s="86"/>
      <c r="J7" s="79"/>
      <c r="K7" s="79"/>
      <c r="L7" s="79"/>
      <c r="M7" s="79"/>
      <c r="N7" s="87"/>
      <c r="O7" s="86"/>
      <c r="P7" s="79"/>
      <c r="Q7" s="79"/>
      <c r="R7" s="79"/>
      <c r="S7" s="79"/>
      <c r="T7" s="87"/>
      <c r="U7" s="86"/>
      <c r="V7" s="79"/>
      <c r="W7" s="79"/>
      <c r="X7" s="79"/>
      <c r="Y7" s="79"/>
      <c r="Z7" s="87"/>
      <c r="AA7" s="84" t="s">
        <v>176</v>
      </c>
      <c r="AB7" s="78" t="s">
        <v>176</v>
      </c>
      <c r="AC7" s="78" t="s">
        <v>176</v>
      </c>
      <c r="AD7" s="78"/>
      <c r="AE7" s="78"/>
      <c r="AF7" s="165"/>
      <c r="AG7" s="166" t="s">
        <v>176</v>
      </c>
      <c r="AH7" s="167" t="s">
        <v>176</v>
      </c>
      <c r="AI7" s="167" t="s">
        <v>176</v>
      </c>
      <c r="AJ7" s="167"/>
      <c r="AK7" s="167"/>
      <c r="AL7" s="168"/>
      <c r="AM7" s="47"/>
      <c r="AN7" s="41"/>
      <c r="AO7" s="41"/>
      <c r="AP7" s="41"/>
      <c r="AQ7" s="41"/>
      <c r="AR7" s="187"/>
      <c r="AS7" s="232">
        <v>46078</v>
      </c>
      <c r="AT7" s="111">
        <v>46219</v>
      </c>
      <c r="AU7" s="235"/>
      <c r="AV7" s="159"/>
      <c r="AW7" s="151"/>
      <c r="AX7" s="152"/>
      <c r="AY7" s="150"/>
      <c r="AZ7" s="151"/>
      <c r="BA7" s="152"/>
      <c r="BB7" s="150"/>
      <c r="BC7" s="151"/>
      <c r="BD7" s="152"/>
      <c r="BE7" s="242"/>
      <c r="BF7" s="151"/>
      <c r="BG7" s="152"/>
      <c r="BH7" s="119">
        <v>46161</v>
      </c>
      <c r="BI7" s="114"/>
      <c r="BJ7" s="115"/>
      <c r="BK7" s="119">
        <v>46162</v>
      </c>
      <c r="BL7" s="114"/>
      <c r="BM7" s="115"/>
      <c r="BN7" s="150"/>
      <c r="BO7" s="151"/>
      <c r="BP7" s="152"/>
      <c r="BQ7" s="90" t="str">
        <f t="shared" ref="BQ7:BQ48" si="0">_xlfn.TEXTBEFORE($B7,".",2)</f>
        <v>9.1</v>
      </c>
      <c r="BR7" s="71" t="b">
        <f>IF(OR(H7&lt;&gt;"",N7&lt;&gt;"",T7&lt;&gt;"",Z7&lt;&gt;"",AF7&lt;&gt;"",AL7&lt;&gt;"",AR7&lt;&gt;"",AU7&lt;&gt;""),TRUE,FALSE)</f>
        <v>0</v>
      </c>
    </row>
    <row r="8" spans="1:70" ht="20.100000000000001" customHeight="1">
      <c r="A8" s="71" t="b">
        <f t="shared" ref="A8:A48" si="1">IF(OR(D8&lt;&gt;"",V8&lt;&gt;"",J8&lt;&gt;"",P8&lt;&gt;"",AB8&lt;&gt;"",AH8&lt;&gt;"",AN8&lt;&gt;"",AT8&lt;&gt;""),TRUE,FALSE)</f>
        <v>1</v>
      </c>
      <c r="B8" s="9" t="s">
        <v>81</v>
      </c>
      <c r="C8" s="39"/>
      <c r="D8" s="40"/>
      <c r="E8" s="40"/>
      <c r="F8" s="40"/>
      <c r="G8" s="40"/>
      <c r="H8" s="43"/>
      <c r="I8" s="39"/>
      <c r="J8" s="40"/>
      <c r="K8" s="40"/>
      <c r="L8" s="40"/>
      <c r="M8" s="40"/>
      <c r="N8" s="43"/>
      <c r="O8" s="39"/>
      <c r="P8" s="40"/>
      <c r="Q8" s="40"/>
      <c r="R8" s="40"/>
      <c r="S8" s="40"/>
      <c r="T8" s="43"/>
      <c r="U8" s="39"/>
      <c r="V8" s="40"/>
      <c r="W8" s="40"/>
      <c r="X8" s="40"/>
      <c r="Y8" s="40"/>
      <c r="Z8" s="43"/>
      <c r="AA8" s="14" t="s">
        <v>176</v>
      </c>
      <c r="AB8" s="78" t="s">
        <v>176</v>
      </c>
      <c r="AC8" s="1" t="s">
        <v>176</v>
      </c>
      <c r="AD8" s="1"/>
      <c r="AE8" s="1"/>
      <c r="AF8" s="46"/>
      <c r="AG8" s="14" t="s">
        <v>176</v>
      </c>
      <c r="AH8" s="167" t="s">
        <v>176</v>
      </c>
      <c r="AI8" s="1" t="s">
        <v>176</v>
      </c>
      <c r="AJ8" s="1"/>
      <c r="AK8" s="1"/>
      <c r="AL8" s="15"/>
      <c r="AM8" s="39"/>
      <c r="AN8" s="40"/>
      <c r="AO8" s="40"/>
      <c r="AP8" s="40"/>
      <c r="AQ8" s="40"/>
      <c r="AR8" s="48"/>
      <c r="AS8" s="233">
        <v>46078</v>
      </c>
      <c r="AT8" s="117">
        <v>46223</v>
      </c>
      <c r="AU8" s="235"/>
      <c r="AV8" s="150"/>
      <c r="AW8" s="154"/>
      <c r="AX8" s="152"/>
      <c r="AY8" s="150"/>
      <c r="AZ8" s="151"/>
      <c r="BA8" s="152"/>
      <c r="BB8" s="150"/>
      <c r="BC8" s="151"/>
      <c r="BD8" s="152"/>
      <c r="BE8" s="150"/>
      <c r="BF8" s="151"/>
      <c r="BG8" s="152"/>
      <c r="BH8" s="119">
        <v>46163</v>
      </c>
      <c r="BI8" s="114"/>
      <c r="BJ8" s="115"/>
      <c r="BK8" s="117">
        <v>46163</v>
      </c>
      <c r="BL8" s="114"/>
      <c r="BM8" s="115"/>
      <c r="BN8" s="150"/>
      <c r="BO8" s="151"/>
      <c r="BP8" s="152"/>
      <c r="BQ8" s="90" t="str">
        <f t="shared" si="0"/>
        <v>9.1</v>
      </c>
      <c r="BR8" s="71" t="b">
        <f t="shared" ref="BR8:BR48" si="2">IF(OR(H8&lt;&gt;"",N8&lt;&gt;"",T8&lt;&gt;"",Z8&lt;&gt;"",AF8&lt;&gt;"",AL8&lt;&gt;"",AR8&lt;&gt;"",AU8&lt;&gt;""),TRUE,FALSE)</f>
        <v>0</v>
      </c>
    </row>
    <row r="9" spans="1:70" ht="20.100000000000001" customHeight="1">
      <c r="A9" s="71" t="b">
        <f t="shared" si="1"/>
        <v>1</v>
      </c>
      <c r="B9" s="9" t="s">
        <v>82</v>
      </c>
      <c r="C9" s="39"/>
      <c r="D9" s="40"/>
      <c r="E9" s="40"/>
      <c r="F9" s="40"/>
      <c r="G9" s="40"/>
      <c r="H9" s="43"/>
      <c r="I9" s="39"/>
      <c r="J9" s="40"/>
      <c r="K9" s="40"/>
      <c r="L9" s="40"/>
      <c r="M9" s="40"/>
      <c r="N9" s="43"/>
      <c r="O9" s="39"/>
      <c r="P9" s="40"/>
      <c r="Q9" s="40"/>
      <c r="R9" s="40"/>
      <c r="S9" s="40"/>
      <c r="T9" s="43"/>
      <c r="U9" s="39"/>
      <c r="V9" s="40"/>
      <c r="W9" s="40"/>
      <c r="X9" s="40"/>
      <c r="Y9" s="40"/>
      <c r="Z9" s="43"/>
      <c r="AA9" s="14" t="s">
        <v>176</v>
      </c>
      <c r="AB9" s="1" t="s">
        <v>176</v>
      </c>
      <c r="AC9" s="188" t="s">
        <v>176</v>
      </c>
      <c r="AD9" s="1"/>
      <c r="AE9" s="1"/>
      <c r="AF9" s="46"/>
      <c r="AG9" s="14" t="s">
        <v>176</v>
      </c>
      <c r="AH9" s="1" t="s">
        <v>176</v>
      </c>
      <c r="AI9" s="1" t="s">
        <v>176</v>
      </c>
      <c r="AJ9" s="1"/>
      <c r="AK9" s="1"/>
      <c r="AL9" s="15"/>
      <c r="AM9" s="39"/>
      <c r="AN9" s="40"/>
      <c r="AO9" s="40"/>
      <c r="AP9" s="40"/>
      <c r="AQ9" s="40"/>
      <c r="AR9" s="48"/>
      <c r="AS9" s="233">
        <v>46078</v>
      </c>
      <c r="AT9" s="117">
        <v>46224</v>
      </c>
      <c r="AU9" s="235"/>
      <c r="AV9" s="150"/>
      <c r="AW9" s="151"/>
      <c r="AX9" s="152"/>
      <c r="AY9" s="150"/>
      <c r="AZ9" s="151"/>
      <c r="BA9" s="152"/>
      <c r="BB9" s="150"/>
      <c r="BC9" s="151"/>
      <c r="BD9" s="152"/>
      <c r="BE9" s="150"/>
      <c r="BF9" s="151"/>
      <c r="BG9" s="152"/>
      <c r="BH9" s="119">
        <v>46182</v>
      </c>
      <c r="BI9" s="114"/>
      <c r="BJ9" s="115"/>
      <c r="BK9" s="117">
        <v>46182</v>
      </c>
      <c r="BL9" s="114"/>
      <c r="BM9" s="115"/>
      <c r="BN9" s="150"/>
      <c r="BO9" s="151"/>
      <c r="BP9" s="152"/>
      <c r="BQ9" s="90" t="str">
        <f t="shared" si="0"/>
        <v>9.1</v>
      </c>
      <c r="BR9" s="71" t="b">
        <f t="shared" si="2"/>
        <v>0</v>
      </c>
    </row>
    <row r="10" spans="1:70" ht="20.100000000000001" customHeight="1">
      <c r="A10" s="71" t="b">
        <f t="shared" si="1"/>
        <v>1</v>
      </c>
      <c r="B10" s="9" t="s">
        <v>83</v>
      </c>
      <c r="C10" s="39"/>
      <c r="D10" s="40"/>
      <c r="E10" s="40"/>
      <c r="F10" s="40"/>
      <c r="G10" s="40"/>
      <c r="H10" s="43"/>
      <c r="I10" s="39"/>
      <c r="J10" s="40"/>
      <c r="K10" s="40"/>
      <c r="L10" s="40"/>
      <c r="M10" s="40"/>
      <c r="N10" s="43"/>
      <c r="O10" s="39"/>
      <c r="P10" s="40"/>
      <c r="Q10" s="40"/>
      <c r="R10" s="40"/>
      <c r="S10" s="40"/>
      <c r="T10" s="43"/>
      <c r="U10" s="39"/>
      <c r="V10" s="40"/>
      <c r="W10" s="40"/>
      <c r="X10" s="40"/>
      <c r="Y10" s="40"/>
      <c r="Z10" s="43"/>
      <c r="AA10" s="14" t="s">
        <v>176</v>
      </c>
      <c r="AB10" s="1" t="s">
        <v>176</v>
      </c>
      <c r="AC10" s="188" t="s">
        <v>176</v>
      </c>
      <c r="AD10" s="1"/>
      <c r="AE10" s="1"/>
      <c r="AF10" s="46"/>
      <c r="AG10" s="14" t="s">
        <v>176</v>
      </c>
      <c r="AH10" s="1" t="s">
        <v>176</v>
      </c>
      <c r="AI10" s="1" t="s">
        <v>176</v>
      </c>
      <c r="AJ10" s="1"/>
      <c r="AK10" s="1"/>
      <c r="AL10" s="15"/>
      <c r="AM10" s="39"/>
      <c r="AN10" s="40"/>
      <c r="AO10" s="40"/>
      <c r="AP10" s="40"/>
      <c r="AQ10" s="40"/>
      <c r="AR10" s="48"/>
      <c r="AS10" s="233">
        <v>46079</v>
      </c>
      <c r="AT10" s="117">
        <v>46225</v>
      </c>
      <c r="AU10" s="235"/>
      <c r="AV10" s="150"/>
      <c r="AW10" s="151"/>
      <c r="AX10" s="152"/>
      <c r="AY10" s="150"/>
      <c r="AZ10" s="151"/>
      <c r="BA10" s="152"/>
      <c r="BB10" s="150"/>
      <c r="BC10" s="151"/>
      <c r="BD10" s="152"/>
      <c r="BE10" s="150"/>
      <c r="BF10" s="151"/>
      <c r="BG10" s="152"/>
      <c r="BH10" s="119">
        <v>46183</v>
      </c>
      <c r="BI10" s="114"/>
      <c r="BJ10" s="115"/>
      <c r="BK10" s="117">
        <v>46183</v>
      </c>
      <c r="BL10" s="114"/>
      <c r="BM10" s="115"/>
      <c r="BN10" s="150"/>
      <c r="BO10" s="151"/>
      <c r="BP10" s="152"/>
      <c r="BQ10" s="90" t="str">
        <f t="shared" si="0"/>
        <v>9.2</v>
      </c>
      <c r="BR10" s="71" t="b">
        <f t="shared" si="2"/>
        <v>0</v>
      </c>
    </row>
    <row r="11" spans="1:70" ht="20.100000000000001" customHeight="1">
      <c r="A11" s="71" t="b">
        <f t="shared" si="1"/>
        <v>1</v>
      </c>
      <c r="B11" s="9" t="s">
        <v>84</v>
      </c>
      <c r="C11" s="39"/>
      <c r="D11" s="40"/>
      <c r="E11" s="40"/>
      <c r="F11" s="40"/>
      <c r="G11" s="40"/>
      <c r="H11" s="43"/>
      <c r="I11" s="39"/>
      <c r="J11" s="40"/>
      <c r="K11" s="40"/>
      <c r="L11" s="40"/>
      <c r="M11" s="40"/>
      <c r="N11" s="43"/>
      <c r="O11" s="39"/>
      <c r="P11" s="40"/>
      <c r="Q11" s="40"/>
      <c r="R11" s="40"/>
      <c r="S11" s="40"/>
      <c r="T11" s="43"/>
      <c r="U11" s="39"/>
      <c r="V11" s="40"/>
      <c r="W11" s="40"/>
      <c r="X11" s="40"/>
      <c r="Y11" s="40"/>
      <c r="Z11" s="43"/>
      <c r="AA11" s="14" t="s">
        <v>176</v>
      </c>
      <c r="AB11" s="1" t="s">
        <v>176</v>
      </c>
      <c r="AC11" s="188" t="s">
        <v>176</v>
      </c>
      <c r="AD11" s="1"/>
      <c r="AE11" s="1"/>
      <c r="AF11" s="46"/>
      <c r="AG11" s="14" t="s">
        <v>176</v>
      </c>
      <c r="AH11" s="1" t="s">
        <v>176</v>
      </c>
      <c r="AI11" s="1" t="s">
        <v>176</v>
      </c>
      <c r="AJ11" s="1"/>
      <c r="AK11" s="1"/>
      <c r="AL11" s="15"/>
      <c r="AM11" s="39"/>
      <c r="AN11" s="40"/>
      <c r="AO11" s="40"/>
      <c r="AP11" s="40"/>
      <c r="AQ11" s="40"/>
      <c r="AR11" s="48"/>
      <c r="AS11" s="233">
        <v>46086</v>
      </c>
      <c r="AT11" s="117">
        <v>46226</v>
      </c>
      <c r="AU11" s="235"/>
      <c r="AV11" s="150"/>
      <c r="AW11" s="151"/>
      <c r="AX11" s="152"/>
      <c r="AY11" s="150"/>
      <c r="AZ11" s="151"/>
      <c r="BA11" s="152"/>
      <c r="BB11" s="150"/>
      <c r="BC11" s="151"/>
      <c r="BD11" s="152"/>
      <c r="BE11" s="150"/>
      <c r="BF11" s="151"/>
      <c r="BG11" s="152"/>
      <c r="BH11" s="119">
        <v>46184</v>
      </c>
      <c r="BI11" s="114"/>
      <c r="BJ11" s="115"/>
      <c r="BK11" s="117">
        <v>46184</v>
      </c>
      <c r="BL11" s="114"/>
      <c r="BM11" s="115"/>
      <c r="BN11" s="150"/>
      <c r="BO11" s="151"/>
      <c r="BP11" s="152"/>
      <c r="BQ11" s="90" t="str">
        <f t="shared" si="0"/>
        <v>9.3</v>
      </c>
      <c r="BR11" s="71" t="b">
        <f t="shared" si="2"/>
        <v>0</v>
      </c>
    </row>
    <row r="12" spans="1:70" ht="20.100000000000001" customHeight="1">
      <c r="A12" s="71" t="b">
        <f t="shared" si="1"/>
        <v>1</v>
      </c>
      <c r="B12" s="9" t="s">
        <v>85</v>
      </c>
      <c r="C12" s="39"/>
      <c r="D12" s="40"/>
      <c r="E12" s="40"/>
      <c r="F12" s="40"/>
      <c r="G12" s="40"/>
      <c r="H12" s="43"/>
      <c r="I12" s="39"/>
      <c r="J12" s="40"/>
      <c r="K12" s="40"/>
      <c r="L12" s="40"/>
      <c r="M12" s="40"/>
      <c r="N12" s="43"/>
      <c r="O12" s="39"/>
      <c r="P12" s="40"/>
      <c r="Q12" s="40"/>
      <c r="R12" s="40"/>
      <c r="S12" s="40"/>
      <c r="T12" s="43"/>
      <c r="U12" s="39"/>
      <c r="V12" s="40"/>
      <c r="W12" s="40"/>
      <c r="X12" s="40"/>
      <c r="Y12" s="40"/>
      <c r="Z12" s="43"/>
      <c r="AA12" s="14" t="s">
        <v>176</v>
      </c>
      <c r="AB12" s="1" t="s">
        <v>176</v>
      </c>
      <c r="AC12" s="1" t="s">
        <v>176</v>
      </c>
      <c r="AD12" s="1"/>
      <c r="AE12" s="1"/>
      <c r="AF12" s="46"/>
      <c r="AG12" s="14" t="s">
        <v>176</v>
      </c>
      <c r="AH12" s="1" t="s">
        <v>176</v>
      </c>
      <c r="AI12" s="1" t="s">
        <v>176</v>
      </c>
      <c r="AJ12" s="1"/>
      <c r="AK12" s="1"/>
      <c r="AL12" s="15"/>
      <c r="AM12" s="39"/>
      <c r="AN12" s="40"/>
      <c r="AO12" s="40"/>
      <c r="AP12" s="40"/>
      <c r="AQ12" s="40"/>
      <c r="AR12" s="48"/>
      <c r="AS12" s="233">
        <v>46162</v>
      </c>
      <c r="AT12" s="117">
        <v>46219</v>
      </c>
      <c r="AU12" s="235"/>
      <c r="AV12" s="150"/>
      <c r="AW12" s="151"/>
      <c r="AX12" s="152"/>
      <c r="AY12" s="150"/>
      <c r="AZ12" s="151"/>
      <c r="BA12" s="152"/>
      <c r="BB12" s="150"/>
      <c r="BC12" s="151"/>
      <c r="BD12" s="152"/>
      <c r="BE12" s="150"/>
      <c r="BF12" s="151"/>
      <c r="BG12" s="152"/>
      <c r="BH12" s="119">
        <v>46162</v>
      </c>
      <c r="BI12" s="114"/>
      <c r="BJ12" s="115"/>
      <c r="BK12" s="117">
        <v>46162</v>
      </c>
      <c r="BL12" s="114"/>
      <c r="BM12" s="115"/>
      <c r="BN12" s="150"/>
      <c r="BO12" s="151"/>
      <c r="BP12" s="152"/>
      <c r="BQ12" s="90" t="str">
        <f t="shared" si="0"/>
        <v>9.4</v>
      </c>
      <c r="BR12" s="71" t="b">
        <f t="shared" si="2"/>
        <v>0</v>
      </c>
    </row>
    <row r="13" spans="1:70" ht="20.100000000000001" customHeight="1">
      <c r="A13" s="71" t="b">
        <f t="shared" si="1"/>
        <v>1</v>
      </c>
      <c r="B13" s="9" t="s">
        <v>86</v>
      </c>
      <c r="C13" s="39"/>
      <c r="D13" s="40"/>
      <c r="E13" s="40"/>
      <c r="F13" s="40"/>
      <c r="G13" s="40"/>
      <c r="H13" s="43"/>
      <c r="I13" s="14" t="s">
        <v>176</v>
      </c>
      <c r="J13" s="14" t="s">
        <v>176</v>
      </c>
      <c r="K13" s="188" t="s">
        <v>176</v>
      </c>
      <c r="L13" s="1"/>
      <c r="M13" s="1"/>
      <c r="N13" s="15"/>
      <c r="O13" s="14" t="s">
        <v>176</v>
      </c>
      <c r="P13" s="14" t="s">
        <v>176</v>
      </c>
      <c r="Q13" s="188" t="s">
        <v>176</v>
      </c>
      <c r="R13" s="1"/>
      <c r="S13" s="1"/>
      <c r="T13" s="15"/>
      <c r="U13" s="39"/>
      <c r="V13" s="40"/>
      <c r="W13" s="40"/>
      <c r="X13" s="40"/>
      <c r="Y13" s="40"/>
      <c r="Z13" s="43"/>
      <c r="AA13" s="39"/>
      <c r="AB13" s="40"/>
      <c r="AC13" s="40"/>
      <c r="AD13" s="40"/>
      <c r="AE13" s="40"/>
      <c r="AF13" s="43"/>
      <c r="AG13" s="39"/>
      <c r="AH13" s="40"/>
      <c r="AI13" s="40"/>
      <c r="AJ13" s="40"/>
      <c r="AK13" s="40"/>
      <c r="AL13" s="43"/>
      <c r="AM13" s="39"/>
      <c r="AN13" s="40"/>
      <c r="AO13" s="40"/>
      <c r="AP13" s="40"/>
      <c r="AQ13" s="40"/>
      <c r="AR13" s="48"/>
      <c r="AS13" s="233">
        <v>46077</v>
      </c>
      <c r="AT13" s="117">
        <v>46153</v>
      </c>
      <c r="AU13" s="235"/>
      <c r="AV13" s="150"/>
      <c r="AW13" s="151"/>
      <c r="AX13" s="152"/>
      <c r="AY13" s="119">
        <v>46226</v>
      </c>
      <c r="AZ13" s="114"/>
      <c r="BA13" s="115"/>
      <c r="BB13" s="119">
        <v>46231</v>
      </c>
      <c r="BC13" s="114"/>
      <c r="BD13" s="115"/>
      <c r="BE13" s="150"/>
      <c r="BF13" s="151"/>
      <c r="BG13" s="152"/>
      <c r="BH13" s="159"/>
      <c r="BI13" s="151"/>
      <c r="BJ13" s="152"/>
      <c r="BK13" s="241"/>
      <c r="BL13" s="151"/>
      <c r="BM13" s="152"/>
      <c r="BN13" s="150"/>
      <c r="BO13" s="151"/>
      <c r="BP13" s="152"/>
      <c r="BQ13" s="90" t="str">
        <f t="shared" si="0"/>
        <v>3B.1</v>
      </c>
      <c r="BR13" s="71" t="b">
        <f t="shared" si="2"/>
        <v>0</v>
      </c>
    </row>
    <row r="14" spans="1:70" ht="20.100000000000001" customHeight="1">
      <c r="A14" s="71" t="b">
        <f t="shared" si="1"/>
        <v>1</v>
      </c>
      <c r="B14" s="9" t="s">
        <v>87</v>
      </c>
      <c r="C14" s="39"/>
      <c r="D14" s="40"/>
      <c r="E14" s="40"/>
      <c r="F14" s="40"/>
      <c r="G14" s="40"/>
      <c r="H14" s="43"/>
      <c r="I14" s="14" t="s">
        <v>176</v>
      </c>
      <c r="J14" s="14" t="s">
        <v>176</v>
      </c>
      <c r="K14" s="188" t="s">
        <v>176</v>
      </c>
      <c r="L14" s="1"/>
      <c r="M14" s="1"/>
      <c r="N14" s="15"/>
      <c r="O14" s="14" t="s">
        <v>176</v>
      </c>
      <c r="P14" s="14" t="s">
        <v>176</v>
      </c>
      <c r="Q14" s="188" t="s">
        <v>176</v>
      </c>
      <c r="R14" s="1"/>
      <c r="S14" s="1"/>
      <c r="T14" s="15"/>
      <c r="U14" s="39"/>
      <c r="V14" s="40"/>
      <c r="W14" s="40"/>
      <c r="X14" s="40"/>
      <c r="Y14" s="40"/>
      <c r="Z14" s="43"/>
      <c r="AA14" s="39"/>
      <c r="AB14" s="40"/>
      <c r="AC14" s="40"/>
      <c r="AD14" s="40"/>
      <c r="AE14" s="40"/>
      <c r="AF14" s="43"/>
      <c r="AG14" s="39"/>
      <c r="AH14" s="40"/>
      <c r="AI14" s="40"/>
      <c r="AJ14" s="40"/>
      <c r="AK14" s="40"/>
      <c r="AL14" s="43"/>
      <c r="AM14" s="39"/>
      <c r="AN14" s="40"/>
      <c r="AO14" s="40"/>
      <c r="AP14" s="40"/>
      <c r="AQ14" s="40"/>
      <c r="AR14" s="48"/>
      <c r="AS14" s="233">
        <v>46077</v>
      </c>
      <c r="AT14" s="117">
        <v>46153</v>
      </c>
      <c r="AU14" s="235"/>
      <c r="AV14" s="150"/>
      <c r="AW14" s="151"/>
      <c r="AX14" s="152"/>
      <c r="AY14" s="119">
        <v>46226</v>
      </c>
      <c r="AZ14" s="114"/>
      <c r="BA14" s="115"/>
      <c r="BB14" s="119">
        <v>46231</v>
      </c>
      <c r="BC14" s="114"/>
      <c r="BD14" s="115"/>
      <c r="BE14" s="150"/>
      <c r="BF14" s="151"/>
      <c r="BG14" s="152"/>
      <c r="BH14" s="159"/>
      <c r="BI14" s="151"/>
      <c r="BJ14" s="152"/>
      <c r="BK14" s="241"/>
      <c r="BL14" s="151"/>
      <c r="BM14" s="152"/>
      <c r="BN14" s="150"/>
      <c r="BO14" s="151"/>
      <c r="BP14" s="152"/>
      <c r="BQ14" s="90" t="str">
        <f t="shared" si="0"/>
        <v>3B.1</v>
      </c>
      <c r="BR14" s="71" t="b">
        <f t="shared" si="2"/>
        <v>0</v>
      </c>
    </row>
    <row r="15" spans="1:70" ht="20.100000000000001" customHeight="1">
      <c r="A15" s="71" t="b">
        <f t="shared" si="1"/>
        <v>0</v>
      </c>
      <c r="B15" s="9" t="s">
        <v>88</v>
      </c>
      <c r="C15" s="39"/>
      <c r="D15" s="40"/>
      <c r="E15" s="40"/>
      <c r="F15" s="40"/>
      <c r="G15" s="40"/>
      <c r="H15" s="43"/>
      <c r="I15" s="14" t="s">
        <v>176</v>
      </c>
      <c r="J15" s="1"/>
      <c r="K15" s="188" t="s">
        <v>176</v>
      </c>
      <c r="L15" s="1"/>
      <c r="M15" s="1"/>
      <c r="N15" s="15"/>
      <c r="O15" s="14" t="s">
        <v>176</v>
      </c>
      <c r="P15" s="1"/>
      <c r="Q15" s="188" t="s">
        <v>176</v>
      </c>
      <c r="R15" s="1"/>
      <c r="S15" s="1"/>
      <c r="T15" s="15"/>
      <c r="U15" s="39"/>
      <c r="V15" s="40"/>
      <c r="W15" s="40"/>
      <c r="X15" s="40"/>
      <c r="Y15" s="40"/>
      <c r="Z15" s="43"/>
      <c r="AA15" s="39"/>
      <c r="AB15" s="40"/>
      <c r="AC15" s="40"/>
      <c r="AD15" s="40"/>
      <c r="AE15" s="40"/>
      <c r="AF15" s="43"/>
      <c r="AG15" s="39"/>
      <c r="AH15" s="40"/>
      <c r="AI15" s="40"/>
      <c r="AJ15" s="40"/>
      <c r="AK15" s="40"/>
      <c r="AL15" s="43"/>
      <c r="AM15" s="39"/>
      <c r="AN15" s="40"/>
      <c r="AO15" s="40"/>
      <c r="AP15" s="40"/>
      <c r="AQ15" s="40"/>
      <c r="AR15" s="48"/>
      <c r="AS15" s="233">
        <v>46093</v>
      </c>
      <c r="AT15" s="117"/>
      <c r="AU15" s="235"/>
      <c r="AV15" s="150"/>
      <c r="AW15" s="151"/>
      <c r="AX15" s="152"/>
      <c r="AY15" s="119">
        <v>46240</v>
      </c>
      <c r="AZ15" s="114"/>
      <c r="BA15" s="115"/>
      <c r="BB15" s="119">
        <v>46232</v>
      </c>
      <c r="BC15" s="114"/>
      <c r="BD15" s="115"/>
      <c r="BE15" s="150"/>
      <c r="BF15" s="151"/>
      <c r="BG15" s="152"/>
      <c r="BH15" s="159"/>
      <c r="BI15" s="151"/>
      <c r="BJ15" s="152"/>
      <c r="BK15" s="241"/>
      <c r="BL15" s="151"/>
      <c r="BM15" s="152"/>
      <c r="BN15" s="150"/>
      <c r="BO15" s="151"/>
      <c r="BP15" s="152"/>
      <c r="BQ15" s="90" t="str">
        <f t="shared" si="0"/>
        <v>3B.2</v>
      </c>
      <c r="BR15" s="71" t="b">
        <f t="shared" si="2"/>
        <v>0</v>
      </c>
    </row>
    <row r="16" spans="1:70" ht="20.100000000000001" customHeight="1">
      <c r="A16" s="71" t="b">
        <f t="shared" si="1"/>
        <v>0</v>
      </c>
      <c r="B16" s="9" t="s">
        <v>89</v>
      </c>
      <c r="C16" s="39"/>
      <c r="D16" s="40"/>
      <c r="E16" s="40"/>
      <c r="F16" s="40"/>
      <c r="G16" s="40"/>
      <c r="H16" s="43"/>
      <c r="I16" s="14" t="s">
        <v>176</v>
      </c>
      <c r="J16" s="1"/>
      <c r="K16" s="188" t="s">
        <v>176</v>
      </c>
      <c r="L16" s="1"/>
      <c r="M16" s="1"/>
      <c r="N16" s="15"/>
      <c r="O16" s="14" t="s">
        <v>176</v>
      </c>
      <c r="P16" s="1"/>
      <c r="Q16" s="188" t="s">
        <v>176</v>
      </c>
      <c r="R16" s="1"/>
      <c r="S16" s="1"/>
      <c r="T16" s="15"/>
      <c r="U16" s="39"/>
      <c r="V16" s="40"/>
      <c r="W16" s="40"/>
      <c r="X16" s="40"/>
      <c r="Y16" s="40"/>
      <c r="Z16" s="43"/>
      <c r="AA16" s="39"/>
      <c r="AB16" s="40"/>
      <c r="AC16" s="40"/>
      <c r="AD16" s="40"/>
      <c r="AE16" s="40"/>
      <c r="AF16" s="43"/>
      <c r="AG16" s="39"/>
      <c r="AH16" s="40"/>
      <c r="AI16" s="40"/>
      <c r="AJ16" s="40"/>
      <c r="AK16" s="40"/>
      <c r="AL16" s="43"/>
      <c r="AM16" s="39"/>
      <c r="AN16" s="40"/>
      <c r="AO16" s="40"/>
      <c r="AP16" s="40"/>
      <c r="AQ16" s="40"/>
      <c r="AR16" s="48"/>
      <c r="AS16" s="233">
        <v>46120</v>
      </c>
      <c r="AT16" s="117"/>
      <c r="AU16" s="236"/>
      <c r="AV16" s="150"/>
      <c r="AW16" s="151"/>
      <c r="AX16" s="152"/>
      <c r="AY16" s="119">
        <v>46232</v>
      </c>
      <c r="AZ16" s="114"/>
      <c r="BA16" s="115"/>
      <c r="BB16" s="119">
        <v>46232</v>
      </c>
      <c r="BC16" s="114"/>
      <c r="BD16" s="115"/>
      <c r="BE16" s="150"/>
      <c r="BF16" s="151"/>
      <c r="BG16" s="152"/>
      <c r="BH16" s="159"/>
      <c r="BI16" s="151"/>
      <c r="BJ16" s="152"/>
      <c r="BK16" s="241"/>
      <c r="BL16" s="151"/>
      <c r="BM16" s="152"/>
      <c r="BN16" s="150"/>
      <c r="BO16" s="151"/>
      <c r="BP16" s="152"/>
      <c r="BQ16" s="90" t="str">
        <f t="shared" si="0"/>
        <v>3B.2</v>
      </c>
      <c r="BR16" s="71" t="b">
        <f t="shared" si="2"/>
        <v>0</v>
      </c>
    </row>
    <row r="17" spans="1:70" ht="20.100000000000001" customHeight="1">
      <c r="A17" s="71" t="b">
        <f t="shared" si="1"/>
        <v>0</v>
      </c>
      <c r="B17" s="9" t="s">
        <v>90</v>
      </c>
      <c r="C17" s="39"/>
      <c r="D17" s="40"/>
      <c r="E17" s="40"/>
      <c r="F17" s="40"/>
      <c r="G17" s="40"/>
      <c r="H17" s="43"/>
      <c r="I17" s="14" t="s">
        <v>176</v>
      </c>
      <c r="J17" s="1"/>
      <c r="K17" s="188" t="s">
        <v>176</v>
      </c>
      <c r="L17" s="1"/>
      <c r="M17" s="1"/>
      <c r="N17" s="15"/>
      <c r="O17" s="14" t="s">
        <v>176</v>
      </c>
      <c r="P17" s="1"/>
      <c r="Q17" s="188" t="s">
        <v>176</v>
      </c>
      <c r="R17" s="1"/>
      <c r="S17" s="1"/>
      <c r="T17" s="15"/>
      <c r="U17" s="39"/>
      <c r="V17" s="40"/>
      <c r="W17" s="40"/>
      <c r="X17" s="40"/>
      <c r="Y17" s="40"/>
      <c r="Z17" s="43"/>
      <c r="AA17" s="39"/>
      <c r="AB17" s="40"/>
      <c r="AC17" s="40"/>
      <c r="AD17" s="40"/>
      <c r="AE17" s="40"/>
      <c r="AF17" s="43"/>
      <c r="AG17" s="39"/>
      <c r="AH17" s="40"/>
      <c r="AI17" s="40"/>
      <c r="AJ17" s="40"/>
      <c r="AK17" s="40"/>
      <c r="AL17" s="43"/>
      <c r="AM17" s="39"/>
      <c r="AN17" s="40"/>
      <c r="AO17" s="40"/>
      <c r="AP17" s="40"/>
      <c r="AQ17" s="40"/>
      <c r="AR17" s="48"/>
      <c r="AS17" s="233">
        <v>46223</v>
      </c>
      <c r="AT17" s="117"/>
      <c r="AU17" s="235"/>
      <c r="AV17" s="150"/>
      <c r="AW17" s="151"/>
      <c r="AX17" s="152"/>
      <c r="AY17" s="119">
        <v>46233</v>
      </c>
      <c r="AZ17" s="114"/>
      <c r="BA17" s="115"/>
      <c r="BB17" s="119">
        <v>46233</v>
      </c>
      <c r="BC17" s="114"/>
      <c r="BD17" s="115"/>
      <c r="BE17" s="150"/>
      <c r="BF17" s="151"/>
      <c r="BG17" s="152"/>
      <c r="BH17" s="159"/>
      <c r="BI17" s="151"/>
      <c r="BJ17" s="152"/>
      <c r="BK17" s="241"/>
      <c r="BL17" s="151"/>
      <c r="BM17" s="152"/>
      <c r="BN17" s="150"/>
      <c r="BO17" s="151"/>
      <c r="BP17" s="152"/>
      <c r="BQ17" s="90" t="str">
        <f t="shared" si="0"/>
        <v>3B.2</v>
      </c>
      <c r="BR17" s="71" t="b">
        <f t="shared" si="2"/>
        <v>0</v>
      </c>
    </row>
    <row r="18" spans="1:70" ht="20.100000000000001" customHeight="1">
      <c r="A18" s="71" t="b">
        <f t="shared" si="1"/>
        <v>1</v>
      </c>
      <c r="B18" s="9" t="s">
        <v>91</v>
      </c>
      <c r="C18" s="39"/>
      <c r="D18" s="40"/>
      <c r="E18" s="40"/>
      <c r="F18" s="40"/>
      <c r="G18" s="40"/>
      <c r="H18" s="43"/>
      <c r="I18" s="14" t="s">
        <v>176</v>
      </c>
      <c r="J18" s="1" t="s">
        <v>176</v>
      </c>
      <c r="K18" s="188" t="s">
        <v>176</v>
      </c>
      <c r="L18" s="1"/>
      <c r="M18" s="1"/>
      <c r="N18" s="15"/>
      <c r="O18" s="14" t="s">
        <v>176</v>
      </c>
      <c r="P18" s="1" t="s">
        <v>176</v>
      </c>
      <c r="Q18" s="188" t="s">
        <v>176</v>
      </c>
      <c r="R18" s="1"/>
      <c r="S18" s="1"/>
      <c r="T18" s="15"/>
      <c r="U18" s="39"/>
      <c r="V18" s="40"/>
      <c r="W18" s="40"/>
      <c r="X18" s="40"/>
      <c r="Y18" s="40"/>
      <c r="Z18" s="43"/>
      <c r="AA18" s="39"/>
      <c r="AB18" s="40"/>
      <c r="AC18" s="40"/>
      <c r="AD18" s="40"/>
      <c r="AE18" s="40"/>
      <c r="AF18" s="43"/>
      <c r="AG18" s="39"/>
      <c r="AH18" s="40"/>
      <c r="AI18" s="40"/>
      <c r="AJ18" s="40"/>
      <c r="AK18" s="40"/>
      <c r="AL18" s="43"/>
      <c r="AM18" s="39"/>
      <c r="AN18" s="40"/>
      <c r="AO18" s="40"/>
      <c r="AP18" s="40"/>
      <c r="AQ18" s="40"/>
      <c r="AR18" s="48"/>
      <c r="AS18" s="233">
        <v>46163</v>
      </c>
      <c r="AT18" s="117">
        <v>46163</v>
      </c>
      <c r="AU18" s="235"/>
      <c r="AV18" s="150"/>
      <c r="AW18" s="151"/>
      <c r="AX18" s="152"/>
      <c r="AY18" s="119">
        <v>46237</v>
      </c>
      <c r="AZ18" s="114"/>
      <c r="BA18" s="115"/>
      <c r="BB18" s="119">
        <v>46237</v>
      </c>
      <c r="BC18" s="114"/>
      <c r="BD18" s="115"/>
      <c r="BE18" s="150"/>
      <c r="BF18" s="151"/>
      <c r="BG18" s="152"/>
      <c r="BH18" s="159"/>
      <c r="BI18" s="151"/>
      <c r="BJ18" s="152"/>
      <c r="BK18" s="241"/>
      <c r="BL18" s="151"/>
      <c r="BM18" s="152"/>
      <c r="BN18" s="150"/>
      <c r="BO18" s="151"/>
      <c r="BP18" s="152"/>
      <c r="BQ18" s="90" t="str">
        <f t="shared" si="0"/>
        <v>3B.3</v>
      </c>
      <c r="BR18" s="71" t="b">
        <f t="shared" si="2"/>
        <v>0</v>
      </c>
    </row>
    <row r="19" spans="1:70" ht="20.100000000000001" customHeight="1">
      <c r="A19" s="71" t="b">
        <f t="shared" si="1"/>
        <v>0</v>
      </c>
      <c r="B19" s="9" t="s">
        <v>92</v>
      </c>
      <c r="C19" s="39"/>
      <c r="D19" s="40"/>
      <c r="E19" s="40"/>
      <c r="F19" s="40"/>
      <c r="G19" s="40"/>
      <c r="H19" s="43"/>
      <c r="I19" s="14" t="s">
        <v>176</v>
      </c>
      <c r="J19" s="1"/>
      <c r="K19" s="188" t="s">
        <v>176</v>
      </c>
      <c r="L19" s="1"/>
      <c r="M19" s="1"/>
      <c r="N19" s="15"/>
      <c r="O19" s="14" t="s">
        <v>176</v>
      </c>
      <c r="P19" s="1"/>
      <c r="Q19" s="188" t="s">
        <v>176</v>
      </c>
      <c r="R19" s="1"/>
      <c r="S19" s="1"/>
      <c r="T19" s="15"/>
      <c r="U19" s="39"/>
      <c r="V19" s="40"/>
      <c r="W19" s="40"/>
      <c r="X19" s="40"/>
      <c r="Y19" s="40"/>
      <c r="Z19" s="43"/>
      <c r="AA19" s="39"/>
      <c r="AB19" s="40"/>
      <c r="AC19" s="40"/>
      <c r="AD19" s="40"/>
      <c r="AE19" s="40"/>
      <c r="AF19" s="43"/>
      <c r="AG19" s="39"/>
      <c r="AH19" s="40"/>
      <c r="AI19" s="40"/>
      <c r="AJ19" s="40"/>
      <c r="AK19" s="40"/>
      <c r="AL19" s="43"/>
      <c r="AM19" s="39"/>
      <c r="AN19" s="40"/>
      <c r="AO19" s="40"/>
      <c r="AP19" s="40"/>
      <c r="AQ19" s="40"/>
      <c r="AR19" s="48"/>
      <c r="AS19" s="233">
        <v>46223</v>
      </c>
      <c r="AT19" s="117"/>
      <c r="AU19" s="235"/>
      <c r="AV19" s="150"/>
      <c r="AW19" s="151"/>
      <c r="AX19" s="152"/>
      <c r="AY19" s="119">
        <v>46238</v>
      </c>
      <c r="AZ19" s="114"/>
      <c r="BA19" s="115"/>
      <c r="BB19" s="119">
        <v>46238</v>
      </c>
      <c r="BC19" s="114"/>
      <c r="BD19" s="115"/>
      <c r="BE19" s="150"/>
      <c r="BF19" s="151"/>
      <c r="BG19" s="152"/>
      <c r="BH19" s="159"/>
      <c r="BI19" s="151"/>
      <c r="BJ19" s="152"/>
      <c r="BK19" s="241"/>
      <c r="BL19" s="151"/>
      <c r="BM19" s="152"/>
      <c r="BN19" s="150"/>
      <c r="BO19" s="151"/>
      <c r="BP19" s="152"/>
      <c r="BQ19" s="90" t="str">
        <f t="shared" si="0"/>
        <v>3B.3</v>
      </c>
      <c r="BR19" s="71" t="b">
        <f t="shared" si="2"/>
        <v>0</v>
      </c>
    </row>
    <row r="20" spans="1:70" ht="20.100000000000001" customHeight="1">
      <c r="A20" s="71" t="b">
        <f t="shared" si="1"/>
        <v>1</v>
      </c>
      <c r="B20" s="9" t="s">
        <v>93</v>
      </c>
      <c r="C20" s="39"/>
      <c r="D20" s="40"/>
      <c r="E20" s="40"/>
      <c r="F20" s="40"/>
      <c r="G20" s="40"/>
      <c r="H20" s="43"/>
      <c r="I20" s="39"/>
      <c r="J20" s="40"/>
      <c r="K20" s="40"/>
      <c r="L20" s="40"/>
      <c r="M20" s="40"/>
      <c r="N20" s="43"/>
      <c r="O20" s="39"/>
      <c r="P20" s="40"/>
      <c r="Q20" s="40"/>
      <c r="R20" s="40"/>
      <c r="S20" s="40"/>
      <c r="T20" s="43"/>
      <c r="U20" s="39"/>
      <c r="V20" s="40"/>
      <c r="W20" s="40"/>
      <c r="X20" s="40"/>
      <c r="Y20" s="40"/>
      <c r="Z20" s="43"/>
      <c r="AA20" s="14" t="s">
        <v>176</v>
      </c>
      <c r="AB20" s="1" t="s">
        <v>176</v>
      </c>
      <c r="AC20" s="1" t="s">
        <v>176</v>
      </c>
      <c r="AD20" s="1"/>
      <c r="AE20" s="1"/>
      <c r="AF20" s="46"/>
      <c r="AG20" s="14" t="s">
        <v>176</v>
      </c>
      <c r="AH20" s="1" t="s">
        <v>176</v>
      </c>
      <c r="AI20" s="1" t="s">
        <v>176</v>
      </c>
      <c r="AJ20" s="1"/>
      <c r="AK20" s="1"/>
      <c r="AL20" s="15"/>
      <c r="AM20" s="39"/>
      <c r="AN20" s="40"/>
      <c r="AO20" s="40"/>
      <c r="AP20" s="40"/>
      <c r="AQ20" s="40"/>
      <c r="AR20" s="48"/>
      <c r="AS20" s="233">
        <v>46084</v>
      </c>
      <c r="AT20" s="117">
        <v>46134</v>
      </c>
      <c r="AU20" s="235"/>
      <c r="AV20" s="150"/>
      <c r="AW20" s="151"/>
      <c r="AX20" s="152"/>
      <c r="AY20" s="150"/>
      <c r="AZ20" s="151"/>
      <c r="BA20" s="152"/>
      <c r="BB20" s="150"/>
      <c r="BC20" s="151"/>
      <c r="BD20" s="152"/>
      <c r="BE20" s="150"/>
      <c r="BF20" s="151"/>
      <c r="BG20" s="152"/>
      <c r="BH20" s="119">
        <v>46153</v>
      </c>
      <c r="BI20" s="114"/>
      <c r="BJ20" s="115"/>
      <c r="BK20" s="117">
        <v>46149</v>
      </c>
      <c r="BL20" s="114"/>
      <c r="BM20" s="115"/>
      <c r="BN20" s="150"/>
      <c r="BO20" s="151"/>
      <c r="BP20" s="152"/>
      <c r="BQ20" s="90" t="str">
        <f t="shared" si="0"/>
        <v>4B.1</v>
      </c>
      <c r="BR20" s="71" t="b">
        <f t="shared" si="2"/>
        <v>0</v>
      </c>
    </row>
    <row r="21" spans="1:70" ht="20.100000000000001" customHeight="1">
      <c r="A21" s="71" t="b">
        <f t="shared" si="1"/>
        <v>1</v>
      </c>
      <c r="B21" s="9" t="s">
        <v>94</v>
      </c>
      <c r="C21" s="39"/>
      <c r="D21" s="40"/>
      <c r="E21" s="40"/>
      <c r="F21" s="40"/>
      <c r="G21" s="40"/>
      <c r="H21" s="43"/>
      <c r="I21" s="39"/>
      <c r="J21" s="40"/>
      <c r="K21" s="40"/>
      <c r="L21" s="40"/>
      <c r="M21" s="40"/>
      <c r="N21" s="43"/>
      <c r="O21" s="39"/>
      <c r="P21" s="40"/>
      <c r="Q21" s="40"/>
      <c r="R21" s="40"/>
      <c r="S21" s="40"/>
      <c r="T21" s="43"/>
      <c r="U21" s="39"/>
      <c r="V21" s="40"/>
      <c r="W21" s="40"/>
      <c r="X21" s="40"/>
      <c r="Y21" s="40"/>
      <c r="Z21" s="43"/>
      <c r="AA21" s="14" t="s">
        <v>176</v>
      </c>
      <c r="AB21" s="1" t="s">
        <v>176</v>
      </c>
      <c r="AC21" s="188" t="s">
        <v>176</v>
      </c>
      <c r="AD21" s="1"/>
      <c r="AE21" s="1"/>
      <c r="AF21" s="46"/>
      <c r="AG21" s="14" t="s">
        <v>176</v>
      </c>
      <c r="AH21" s="1" t="s">
        <v>176</v>
      </c>
      <c r="AI21" s="188" t="s">
        <v>176</v>
      </c>
      <c r="AJ21" s="1"/>
      <c r="AK21" s="1"/>
      <c r="AL21" s="15"/>
      <c r="AM21" s="39"/>
      <c r="AN21" s="40"/>
      <c r="AO21" s="40"/>
      <c r="AP21" s="40"/>
      <c r="AQ21" s="40"/>
      <c r="AR21" s="48"/>
      <c r="AS21" s="233">
        <v>46083</v>
      </c>
      <c r="AT21" s="117">
        <v>46230</v>
      </c>
      <c r="AU21" s="235"/>
      <c r="AV21" s="150"/>
      <c r="AW21" s="151"/>
      <c r="AX21" s="152"/>
      <c r="AY21" s="159"/>
      <c r="AZ21" s="151"/>
      <c r="BA21" s="152"/>
      <c r="BB21" s="241"/>
      <c r="BC21" s="151"/>
      <c r="BD21" s="152"/>
      <c r="BE21" s="150"/>
      <c r="BF21" s="151"/>
      <c r="BG21" s="152"/>
      <c r="BH21" s="119">
        <v>46231</v>
      </c>
      <c r="BI21" s="114"/>
      <c r="BJ21" s="115"/>
      <c r="BK21" s="119">
        <v>46225</v>
      </c>
      <c r="BL21" s="114"/>
      <c r="BM21" s="115"/>
      <c r="BN21" s="150"/>
      <c r="BO21" s="151"/>
      <c r="BP21" s="152"/>
      <c r="BQ21" s="90" t="str">
        <f t="shared" si="0"/>
        <v>4B.1</v>
      </c>
      <c r="BR21" s="71" t="b">
        <f t="shared" si="2"/>
        <v>0</v>
      </c>
    </row>
    <row r="22" spans="1:70" ht="20.100000000000001" customHeight="1">
      <c r="A22" s="71" t="b">
        <f t="shared" si="1"/>
        <v>1</v>
      </c>
      <c r="B22" s="9" t="s">
        <v>200</v>
      </c>
      <c r="C22" s="39"/>
      <c r="D22" s="40"/>
      <c r="E22" s="40"/>
      <c r="F22" s="40"/>
      <c r="G22" s="40"/>
      <c r="H22" s="43"/>
      <c r="I22" s="39"/>
      <c r="J22" s="40"/>
      <c r="K22" s="40"/>
      <c r="L22" s="40"/>
      <c r="M22" s="40"/>
      <c r="N22" s="43"/>
      <c r="O22" s="39"/>
      <c r="P22" s="40"/>
      <c r="Q22" s="40"/>
      <c r="R22" s="40"/>
      <c r="S22" s="40"/>
      <c r="T22" s="43"/>
      <c r="U22" s="39"/>
      <c r="V22" s="40"/>
      <c r="W22" s="40"/>
      <c r="X22" s="40"/>
      <c r="Y22" s="40"/>
      <c r="Z22" s="43"/>
      <c r="AA22" s="14" t="s">
        <v>176</v>
      </c>
      <c r="AB22" s="1" t="s">
        <v>176</v>
      </c>
      <c r="AC22" s="188" t="s">
        <v>176</v>
      </c>
      <c r="AD22" s="1"/>
      <c r="AE22" s="1"/>
      <c r="AF22" s="46"/>
      <c r="AG22" s="14" t="s">
        <v>176</v>
      </c>
      <c r="AH22" s="1" t="s">
        <v>176</v>
      </c>
      <c r="AI22" s="188" t="s">
        <v>176</v>
      </c>
      <c r="AJ22" s="1"/>
      <c r="AK22" s="1"/>
      <c r="AL22" s="15"/>
      <c r="AM22" s="39"/>
      <c r="AN22" s="40"/>
      <c r="AO22" s="40"/>
      <c r="AP22" s="40"/>
      <c r="AQ22" s="40"/>
      <c r="AR22" s="48"/>
      <c r="AS22" s="233">
        <v>46083</v>
      </c>
      <c r="AT22" s="117">
        <v>46230</v>
      </c>
      <c r="AU22" s="235"/>
      <c r="AV22" s="150"/>
      <c r="AW22" s="151"/>
      <c r="AX22" s="152"/>
      <c r="AY22" s="159"/>
      <c r="AZ22" s="151"/>
      <c r="BA22" s="152"/>
      <c r="BB22" s="241"/>
      <c r="BC22" s="151"/>
      <c r="BD22" s="152"/>
      <c r="BE22" s="150"/>
      <c r="BF22" s="151"/>
      <c r="BG22" s="152"/>
      <c r="BH22" s="119">
        <v>46238</v>
      </c>
      <c r="BI22" s="114"/>
      <c r="BJ22" s="115"/>
      <c r="BK22" s="248">
        <v>46225</v>
      </c>
      <c r="BL22" s="114"/>
      <c r="BM22" s="115"/>
      <c r="BN22" s="150"/>
      <c r="BO22" s="151"/>
      <c r="BP22" s="152"/>
      <c r="BQ22" s="90" t="str">
        <f t="shared" si="0"/>
        <v>4B.1</v>
      </c>
      <c r="BR22" s="71" t="b">
        <f t="shared" si="2"/>
        <v>0</v>
      </c>
    </row>
    <row r="23" spans="1:70" ht="20.100000000000001" customHeight="1">
      <c r="A23" s="71" t="b">
        <f t="shared" si="1"/>
        <v>1</v>
      </c>
      <c r="B23" s="9" t="s">
        <v>96</v>
      </c>
      <c r="C23" s="39"/>
      <c r="D23" s="40"/>
      <c r="E23" s="40"/>
      <c r="F23" s="40"/>
      <c r="G23" s="40"/>
      <c r="H23" s="43"/>
      <c r="I23" s="39"/>
      <c r="J23" s="40"/>
      <c r="K23" s="40"/>
      <c r="L23" s="40"/>
      <c r="M23" s="40"/>
      <c r="N23" s="43"/>
      <c r="O23" s="39"/>
      <c r="P23" s="40"/>
      <c r="Q23" s="40"/>
      <c r="R23" s="40"/>
      <c r="S23" s="40"/>
      <c r="T23" s="43"/>
      <c r="U23" s="14" t="s">
        <v>176</v>
      </c>
      <c r="V23" s="188" t="s">
        <v>176</v>
      </c>
      <c r="W23" s="188" t="s">
        <v>176</v>
      </c>
      <c r="X23" s="1"/>
      <c r="Y23" s="1"/>
      <c r="Z23" s="15"/>
      <c r="AA23" s="39"/>
      <c r="AB23" s="40"/>
      <c r="AC23" s="40"/>
      <c r="AD23" s="40"/>
      <c r="AE23" s="40"/>
      <c r="AF23" s="48"/>
      <c r="AG23" s="39"/>
      <c r="AH23" s="40"/>
      <c r="AI23" s="40"/>
      <c r="AJ23" s="40"/>
      <c r="AK23" s="40"/>
      <c r="AL23" s="43"/>
      <c r="AM23" s="14" t="s">
        <v>176</v>
      </c>
      <c r="AN23" s="188" t="s">
        <v>176</v>
      </c>
      <c r="AO23" s="188" t="s">
        <v>176</v>
      </c>
      <c r="AP23" s="1"/>
      <c r="AQ23" s="1"/>
      <c r="AR23" s="46"/>
      <c r="AS23" s="233">
        <v>46090</v>
      </c>
      <c r="AT23" s="117">
        <v>46231</v>
      </c>
      <c r="AU23" s="235"/>
      <c r="AV23" s="150"/>
      <c r="AW23" s="151"/>
      <c r="AX23" s="152"/>
      <c r="AY23" s="150"/>
      <c r="AZ23" s="151"/>
      <c r="BA23" s="152"/>
      <c r="BB23" s="150"/>
      <c r="BC23" s="151"/>
      <c r="BD23" s="152"/>
      <c r="BE23" s="119">
        <v>46237</v>
      </c>
      <c r="BF23" s="114"/>
      <c r="BG23" s="115"/>
      <c r="BH23" s="241"/>
      <c r="BI23" s="151"/>
      <c r="BJ23" s="152"/>
      <c r="BK23" s="241"/>
      <c r="BL23" s="151"/>
      <c r="BM23" s="152"/>
      <c r="BN23" s="119">
        <v>46237</v>
      </c>
      <c r="BO23" s="114"/>
      <c r="BP23" s="115"/>
      <c r="BQ23" s="90" t="str">
        <f t="shared" si="0"/>
        <v>4B.2</v>
      </c>
      <c r="BR23" s="71" t="b">
        <f t="shared" si="2"/>
        <v>0</v>
      </c>
    </row>
    <row r="24" spans="1:70" ht="20.100000000000001" customHeight="1">
      <c r="A24" s="71" t="b">
        <f t="shared" si="1"/>
        <v>1</v>
      </c>
      <c r="B24" s="9" t="s">
        <v>201</v>
      </c>
      <c r="C24" s="39"/>
      <c r="D24" s="40"/>
      <c r="E24" s="40"/>
      <c r="F24" s="40"/>
      <c r="G24" s="40"/>
      <c r="H24" s="43"/>
      <c r="I24" s="39"/>
      <c r="J24" s="40"/>
      <c r="K24" s="40"/>
      <c r="L24" s="40"/>
      <c r="M24" s="40"/>
      <c r="N24" s="43"/>
      <c r="O24" s="39"/>
      <c r="P24" s="40"/>
      <c r="Q24" s="40"/>
      <c r="R24" s="40"/>
      <c r="S24" s="40"/>
      <c r="T24" s="43"/>
      <c r="U24" s="14" t="s">
        <v>176</v>
      </c>
      <c r="V24" s="188" t="s">
        <v>176</v>
      </c>
      <c r="W24" s="188" t="s">
        <v>176</v>
      </c>
      <c r="X24" s="1"/>
      <c r="Y24" s="1"/>
      <c r="Z24" s="15"/>
      <c r="AA24" s="39"/>
      <c r="AB24" s="40"/>
      <c r="AC24" s="40"/>
      <c r="AD24" s="40"/>
      <c r="AE24" s="40"/>
      <c r="AF24" s="48"/>
      <c r="AG24" s="39"/>
      <c r="AH24" s="40"/>
      <c r="AI24" s="40"/>
      <c r="AJ24" s="40"/>
      <c r="AK24" s="40"/>
      <c r="AL24" s="43"/>
      <c r="AM24" s="14" t="s">
        <v>176</v>
      </c>
      <c r="AN24" s="188" t="s">
        <v>176</v>
      </c>
      <c r="AO24" s="188" t="s">
        <v>176</v>
      </c>
      <c r="AP24" s="1"/>
      <c r="AQ24" s="1"/>
      <c r="AR24" s="46"/>
      <c r="AS24" s="233">
        <v>46090</v>
      </c>
      <c r="AT24" s="117">
        <v>46231</v>
      </c>
      <c r="AU24" s="235"/>
      <c r="AV24" s="150"/>
      <c r="AW24" s="151"/>
      <c r="AX24" s="152"/>
      <c r="AY24" s="150"/>
      <c r="AZ24" s="151"/>
      <c r="BA24" s="152"/>
      <c r="BB24" s="150"/>
      <c r="BC24" s="151"/>
      <c r="BD24" s="152"/>
      <c r="BE24" s="119">
        <v>46237</v>
      </c>
      <c r="BF24" s="114"/>
      <c r="BG24" s="115"/>
      <c r="BH24" s="241"/>
      <c r="BI24" s="151"/>
      <c r="BJ24" s="152"/>
      <c r="BK24" s="159"/>
      <c r="BL24" s="151"/>
      <c r="BM24" s="152"/>
      <c r="BN24" s="119">
        <v>46237</v>
      </c>
      <c r="BO24" s="114"/>
      <c r="BP24" s="115"/>
      <c r="BQ24" s="90" t="str">
        <f t="shared" si="0"/>
        <v>4B.2</v>
      </c>
      <c r="BR24" s="71" t="b">
        <f t="shared" si="2"/>
        <v>0</v>
      </c>
    </row>
    <row r="25" spans="1:70" ht="20.100000000000001" customHeight="1">
      <c r="A25" s="71" t="b">
        <f t="shared" si="1"/>
        <v>1</v>
      </c>
      <c r="B25" s="9" t="s">
        <v>98</v>
      </c>
      <c r="C25" s="39"/>
      <c r="D25" s="40"/>
      <c r="E25" s="40"/>
      <c r="F25" s="40"/>
      <c r="G25" s="40"/>
      <c r="H25" s="43"/>
      <c r="I25" s="14" t="s">
        <v>176</v>
      </c>
      <c r="J25" s="188" t="s">
        <v>176</v>
      </c>
      <c r="K25" s="188" t="s">
        <v>176</v>
      </c>
      <c r="L25" s="1"/>
      <c r="M25" s="1"/>
      <c r="N25" s="15"/>
      <c r="O25" s="14" t="s">
        <v>176</v>
      </c>
      <c r="P25" s="188" t="s">
        <v>176</v>
      </c>
      <c r="Q25" s="188" t="s">
        <v>176</v>
      </c>
      <c r="R25" s="1"/>
      <c r="S25" s="1"/>
      <c r="T25" s="15"/>
      <c r="U25" s="39"/>
      <c r="V25" s="40"/>
      <c r="W25" s="40"/>
      <c r="X25" s="40"/>
      <c r="Y25" s="40"/>
      <c r="Z25" s="43"/>
      <c r="AA25" s="39"/>
      <c r="AB25" s="40"/>
      <c r="AC25" s="40"/>
      <c r="AD25" s="40"/>
      <c r="AE25" s="40"/>
      <c r="AF25" s="48"/>
      <c r="AG25" s="39"/>
      <c r="AH25" s="40"/>
      <c r="AI25" s="40"/>
      <c r="AJ25" s="40"/>
      <c r="AK25" s="40"/>
      <c r="AL25" s="43"/>
      <c r="AM25" s="39"/>
      <c r="AN25" s="40"/>
      <c r="AO25" s="40"/>
      <c r="AP25" s="40"/>
      <c r="AQ25" s="40"/>
      <c r="AR25" s="48"/>
      <c r="AS25" s="233">
        <v>46154</v>
      </c>
      <c r="AT25" s="117">
        <v>46232</v>
      </c>
      <c r="AU25" s="235"/>
      <c r="AV25" s="150"/>
      <c r="AW25" s="151"/>
      <c r="AX25" s="152"/>
      <c r="AY25" s="119">
        <v>46230</v>
      </c>
      <c r="AZ25" s="114"/>
      <c r="BA25" s="115"/>
      <c r="BB25" s="119">
        <v>46225</v>
      </c>
      <c r="BC25" s="114"/>
      <c r="BD25" s="115"/>
      <c r="BE25" s="150"/>
      <c r="BF25" s="151"/>
      <c r="BG25" s="152"/>
      <c r="BH25" s="241"/>
      <c r="BI25" s="151"/>
      <c r="BJ25" s="152"/>
      <c r="BK25" s="159"/>
      <c r="BL25" s="151"/>
      <c r="BM25" s="152"/>
      <c r="BN25" s="150"/>
      <c r="BO25" s="151"/>
      <c r="BP25" s="152"/>
      <c r="BQ25" s="90" t="str">
        <f t="shared" si="0"/>
        <v>4B.3</v>
      </c>
      <c r="BR25" s="71" t="b">
        <f t="shared" si="2"/>
        <v>0</v>
      </c>
    </row>
    <row r="26" spans="1:70" ht="20.100000000000001" customHeight="1">
      <c r="A26" s="71" t="b">
        <f t="shared" si="1"/>
        <v>1</v>
      </c>
      <c r="B26" s="9" t="s">
        <v>99</v>
      </c>
      <c r="C26" s="39"/>
      <c r="D26" s="40"/>
      <c r="E26" s="40"/>
      <c r="F26" s="40"/>
      <c r="G26" s="40"/>
      <c r="H26" s="43"/>
      <c r="I26" s="14" t="s">
        <v>176</v>
      </c>
      <c r="J26" s="1" t="s">
        <v>176</v>
      </c>
      <c r="K26" s="1" t="s">
        <v>176</v>
      </c>
      <c r="L26" s="1"/>
      <c r="M26" s="1"/>
      <c r="N26" s="15"/>
      <c r="O26" s="14" t="s">
        <v>176</v>
      </c>
      <c r="P26" s="1" t="s">
        <v>176</v>
      </c>
      <c r="Q26" s="1" t="s">
        <v>176</v>
      </c>
      <c r="R26" s="1"/>
      <c r="S26" s="1"/>
      <c r="T26" s="15"/>
      <c r="U26" s="39"/>
      <c r="V26" s="40"/>
      <c r="W26" s="40"/>
      <c r="X26" s="40"/>
      <c r="Y26" s="40"/>
      <c r="Z26" s="43"/>
      <c r="AA26" s="39"/>
      <c r="AB26" s="40"/>
      <c r="AC26" s="40"/>
      <c r="AD26" s="40"/>
      <c r="AE26" s="40"/>
      <c r="AF26" s="48"/>
      <c r="AG26" s="39"/>
      <c r="AH26" s="40"/>
      <c r="AI26" s="40"/>
      <c r="AJ26" s="40"/>
      <c r="AK26" s="40"/>
      <c r="AL26" s="43"/>
      <c r="AM26" s="39"/>
      <c r="AN26" s="40"/>
      <c r="AO26" s="40"/>
      <c r="AP26" s="40"/>
      <c r="AQ26" s="40"/>
      <c r="AR26" s="48"/>
      <c r="AS26" s="233">
        <v>46141</v>
      </c>
      <c r="AT26" s="117">
        <v>46232</v>
      </c>
      <c r="AU26" s="235"/>
      <c r="AV26" s="150"/>
      <c r="AW26" s="151"/>
      <c r="AX26" s="152"/>
      <c r="AY26" s="119">
        <v>46141</v>
      </c>
      <c r="AZ26" s="114"/>
      <c r="BA26" s="115"/>
      <c r="BB26" s="119">
        <v>46142</v>
      </c>
      <c r="BC26" s="114"/>
      <c r="BD26" s="115"/>
      <c r="BE26" s="150"/>
      <c r="BF26" s="151"/>
      <c r="BG26" s="152"/>
      <c r="BH26" s="241"/>
      <c r="BI26" s="154"/>
      <c r="BJ26" s="152"/>
      <c r="BK26" s="159"/>
      <c r="BL26" s="154"/>
      <c r="BM26" s="152"/>
      <c r="BN26" s="150"/>
      <c r="BO26" s="151"/>
      <c r="BP26" s="152"/>
      <c r="BQ26" s="90" t="str">
        <f t="shared" si="0"/>
        <v>4B.3</v>
      </c>
      <c r="BR26" s="71" t="b">
        <f t="shared" si="2"/>
        <v>0</v>
      </c>
    </row>
    <row r="27" spans="1:70" ht="20.100000000000001" customHeight="1">
      <c r="A27" s="71" t="b">
        <f t="shared" si="1"/>
        <v>1</v>
      </c>
      <c r="B27" s="9" t="s">
        <v>100</v>
      </c>
      <c r="C27" s="39"/>
      <c r="D27" s="40"/>
      <c r="E27" s="40"/>
      <c r="F27" s="40"/>
      <c r="G27" s="40"/>
      <c r="H27" s="43"/>
      <c r="I27" s="14" t="s">
        <v>176</v>
      </c>
      <c r="J27" s="188" t="s">
        <v>176</v>
      </c>
      <c r="K27" s="188" t="s">
        <v>176</v>
      </c>
      <c r="L27" s="1"/>
      <c r="M27" s="1"/>
      <c r="N27" s="15"/>
      <c r="O27" s="14" t="s">
        <v>176</v>
      </c>
      <c r="P27" s="188" t="s">
        <v>176</v>
      </c>
      <c r="Q27" s="188" t="s">
        <v>176</v>
      </c>
      <c r="R27" s="1"/>
      <c r="S27" s="1"/>
      <c r="T27" s="15"/>
      <c r="U27" s="39"/>
      <c r="V27" s="40"/>
      <c r="W27" s="40"/>
      <c r="X27" s="40"/>
      <c r="Y27" s="40"/>
      <c r="Z27" s="43"/>
      <c r="AA27" s="39"/>
      <c r="AB27" s="40"/>
      <c r="AC27" s="40"/>
      <c r="AD27" s="40"/>
      <c r="AE27" s="40"/>
      <c r="AF27" s="48"/>
      <c r="AG27" s="39"/>
      <c r="AH27" s="40"/>
      <c r="AI27" s="40"/>
      <c r="AJ27" s="40"/>
      <c r="AK27" s="40"/>
      <c r="AL27" s="43"/>
      <c r="AM27" s="39"/>
      <c r="AN27" s="40"/>
      <c r="AO27" s="40"/>
      <c r="AP27" s="40"/>
      <c r="AQ27" s="40"/>
      <c r="AR27" s="48"/>
      <c r="AS27" s="233">
        <v>46162</v>
      </c>
      <c r="AT27" s="117">
        <v>46233</v>
      </c>
      <c r="AU27" s="235"/>
      <c r="AV27" s="150"/>
      <c r="AW27" s="151"/>
      <c r="AX27" s="152"/>
      <c r="AY27" s="119">
        <v>46230</v>
      </c>
      <c r="AZ27" s="114"/>
      <c r="BA27" s="115"/>
      <c r="BB27" s="119">
        <v>46227</v>
      </c>
      <c r="BC27" s="114"/>
      <c r="BD27" s="115"/>
      <c r="BE27" s="150"/>
      <c r="BF27" s="151"/>
      <c r="BG27" s="152"/>
      <c r="BH27" s="241"/>
      <c r="BI27" s="151"/>
      <c r="BJ27" s="152"/>
      <c r="BK27" s="159"/>
      <c r="BL27" s="151"/>
      <c r="BM27" s="152"/>
      <c r="BN27" s="150"/>
      <c r="BO27" s="151"/>
      <c r="BP27" s="152"/>
      <c r="BQ27" s="90" t="str">
        <f t="shared" si="0"/>
        <v>4B.3</v>
      </c>
      <c r="BR27" s="71" t="b">
        <f t="shared" si="2"/>
        <v>0</v>
      </c>
    </row>
    <row r="28" spans="1:70" ht="20.100000000000001" customHeight="1">
      <c r="A28" s="71" t="b">
        <f t="shared" si="1"/>
        <v>1</v>
      </c>
      <c r="B28" s="9" t="s">
        <v>101</v>
      </c>
      <c r="C28" s="39"/>
      <c r="D28" s="40"/>
      <c r="E28" s="40"/>
      <c r="F28" s="40"/>
      <c r="G28" s="40"/>
      <c r="H28" s="43"/>
      <c r="I28" s="14" t="s">
        <v>176</v>
      </c>
      <c r="J28" s="188" t="s">
        <v>176</v>
      </c>
      <c r="K28" s="188" t="s">
        <v>176</v>
      </c>
      <c r="L28" s="1"/>
      <c r="M28" s="1"/>
      <c r="N28" s="15"/>
      <c r="O28" s="14" t="s">
        <v>176</v>
      </c>
      <c r="P28" s="188" t="s">
        <v>176</v>
      </c>
      <c r="Q28" s="188"/>
      <c r="R28" s="1"/>
      <c r="S28" s="1"/>
      <c r="T28" s="15"/>
      <c r="U28" s="39"/>
      <c r="V28" s="40"/>
      <c r="W28" s="40"/>
      <c r="X28" s="40"/>
      <c r="Y28" s="40"/>
      <c r="Z28" s="43"/>
      <c r="AA28" s="39"/>
      <c r="AB28" s="40"/>
      <c r="AC28" s="40"/>
      <c r="AD28" s="40"/>
      <c r="AE28" s="40"/>
      <c r="AF28" s="48"/>
      <c r="AG28" s="39"/>
      <c r="AH28" s="40"/>
      <c r="AI28" s="40"/>
      <c r="AJ28" s="40"/>
      <c r="AK28" s="40"/>
      <c r="AL28" s="43"/>
      <c r="AM28" s="39"/>
      <c r="AN28" s="40"/>
      <c r="AO28" s="40"/>
      <c r="AP28" s="40"/>
      <c r="AQ28" s="40"/>
      <c r="AR28" s="48"/>
      <c r="AS28" s="233">
        <v>46163</v>
      </c>
      <c r="AT28" s="117">
        <v>46233</v>
      </c>
      <c r="AU28" s="235"/>
      <c r="AV28" s="150"/>
      <c r="AW28" s="151"/>
      <c r="AX28" s="152"/>
      <c r="AY28" s="119">
        <v>46245</v>
      </c>
      <c r="AZ28" s="114"/>
      <c r="BA28" s="115"/>
      <c r="BB28" s="113"/>
      <c r="BC28" s="114"/>
      <c r="BD28" s="115"/>
      <c r="BE28" s="150"/>
      <c r="BF28" s="151"/>
      <c r="BG28" s="152"/>
      <c r="BH28" s="241"/>
      <c r="BI28" s="151"/>
      <c r="BJ28" s="152"/>
      <c r="BK28" s="159"/>
      <c r="BL28" s="151"/>
      <c r="BM28" s="152"/>
      <c r="BN28" s="150"/>
      <c r="BO28" s="151"/>
      <c r="BP28" s="152"/>
      <c r="BQ28" s="90" t="str">
        <f t="shared" si="0"/>
        <v>4B.3</v>
      </c>
      <c r="BR28" s="71" t="b">
        <f t="shared" si="2"/>
        <v>0</v>
      </c>
    </row>
    <row r="29" spans="1:70" ht="20.100000000000001" customHeight="1">
      <c r="A29" s="71" t="b">
        <f t="shared" si="1"/>
        <v>1</v>
      </c>
      <c r="B29" s="9" t="s">
        <v>102</v>
      </c>
      <c r="C29" s="39"/>
      <c r="D29" s="40"/>
      <c r="E29" s="40"/>
      <c r="F29" s="40"/>
      <c r="G29" s="40"/>
      <c r="H29" s="43"/>
      <c r="I29" s="245" t="s">
        <v>176</v>
      </c>
      <c r="J29" s="188" t="s">
        <v>176</v>
      </c>
      <c r="K29" s="188" t="s">
        <v>176</v>
      </c>
      <c r="L29" s="1"/>
      <c r="M29" s="1"/>
      <c r="N29" s="15"/>
      <c r="O29" s="245" t="s">
        <v>176</v>
      </c>
      <c r="P29" s="188" t="s">
        <v>176</v>
      </c>
      <c r="Q29" s="188"/>
      <c r="R29" s="1"/>
      <c r="S29" s="1"/>
      <c r="T29" s="15"/>
      <c r="U29" s="39"/>
      <c r="V29" s="40"/>
      <c r="W29" s="40"/>
      <c r="X29" s="40"/>
      <c r="Y29" s="40"/>
      <c r="Z29" s="43"/>
      <c r="AA29" s="39"/>
      <c r="AB29" s="40"/>
      <c r="AC29" s="40"/>
      <c r="AD29" s="40"/>
      <c r="AE29" s="40"/>
      <c r="AF29" s="48"/>
      <c r="AG29" s="39"/>
      <c r="AH29" s="40"/>
      <c r="AI29" s="40"/>
      <c r="AJ29" s="40"/>
      <c r="AK29" s="40"/>
      <c r="AL29" s="43"/>
      <c r="AM29" s="39"/>
      <c r="AN29" s="40"/>
      <c r="AO29" s="40"/>
      <c r="AP29" s="40"/>
      <c r="AQ29" s="40"/>
      <c r="AR29" s="48"/>
      <c r="AS29" s="233">
        <v>46226</v>
      </c>
      <c r="AT29" s="117">
        <v>46237</v>
      </c>
      <c r="AU29" s="235"/>
      <c r="AV29" s="150"/>
      <c r="AW29" s="151"/>
      <c r="AX29" s="152"/>
      <c r="AY29" s="119">
        <v>46245</v>
      </c>
      <c r="AZ29" s="114"/>
      <c r="BA29" s="115"/>
      <c r="BB29" s="113"/>
      <c r="BC29" s="114"/>
      <c r="BD29" s="115"/>
      <c r="BE29" s="150"/>
      <c r="BF29" s="151"/>
      <c r="BG29" s="152"/>
      <c r="BH29" s="241"/>
      <c r="BI29" s="151"/>
      <c r="BJ29" s="152"/>
      <c r="BK29" s="159"/>
      <c r="BL29" s="151"/>
      <c r="BM29" s="152"/>
      <c r="BN29" s="150"/>
      <c r="BO29" s="151"/>
      <c r="BP29" s="152"/>
      <c r="BQ29" s="90" t="str">
        <f t="shared" si="0"/>
        <v>4B.3</v>
      </c>
      <c r="BR29" s="71" t="b">
        <f t="shared" si="2"/>
        <v>0</v>
      </c>
    </row>
    <row r="30" spans="1:70" ht="20.100000000000001" customHeight="1">
      <c r="A30" s="71" t="b">
        <f t="shared" si="1"/>
        <v>1</v>
      </c>
      <c r="B30" s="9" t="s">
        <v>103</v>
      </c>
      <c r="C30" s="39"/>
      <c r="D30" s="40"/>
      <c r="E30" s="40"/>
      <c r="F30" s="40"/>
      <c r="G30" s="40"/>
      <c r="H30" s="43"/>
      <c r="I30" s="245" t="s">
        <v>176</v>
      </c>
      <c r="J30" s="188" t="s">
        <v>176</v>
      </c>
      <c r="K30" s="1"/>
      <c r="L30" s="1"/>
      <c r="M30" s="1"/>
      <c r="N30" s="15"/>
      <c r="O30" s="245" t="s">
        <v>176</v>
      </c>
      <c r="P30" s="188" t="s">
        <v>176</v>
      </c>
      <c r="Q30" s="357" t="s">
        <v>174</v>
      </c>
      <c r="R30" s="1"/>
      <c r="S30" s="1"/>
      <c r="T30" s="15"/>
      <c r="U30" s="39"/>
      <c r="V30" s="40"/>
      <c r="W30" s="40"/>
      <c r="X30" s="40"/>
      <c r="Y30" s="40"/>
      <c r="Z30" s="43"/>
      <c r="AA30" s="39"/>
      <c r="AB30" s="40"/>
      <c r="AC30" s="40"/>
      <c r="AD30" s="40"/>
      <c r="AE30" s="40"/>
      <c r="AF30" s="48"/>
      <c r="AG30" s="39"/>
      <c r="AH30" s="40"/>
      <c r="AI30" s="40"/>
      <c r="AJ30" s="40"/>
      <c r="AK30" s="40"/>
      <c r="AL30" s="43"/>
      <c r="AM30" s="39"/>
      <c r="AN30" s="40"/>
      <c r="AO30" s="40"/>
      <c r="AP30" s="40"/>
      <c r="AQ30" s="40"/>
      <c r="AR30" s="48"/>
      <c r="AS30" s="233">
        <v>46226</v>
      </c>
      <c r="AT30" s="117">
        <v>46237</v>
      </c>
      <c r="AU30" s="235"/>
      <c r="AV30" s="150"/>
      <c r="AW30" s="151"/>
      <c r="AX30" s="152"/>
      <c r="AY30" s="113"/>
      <c r="AZ30" s="114"/>
      <c r="BA30" s="115"/>
      <c r="BB30" s="119">
        <v>46245</v>
      </c>
      <c r="BC30" s="114"/>
      <c r="BD30" s="115"/>
      <c r="BE30" s="150"/>
      <c r="BF30" s="151"/>
      <c r="BG30" s="152"/>
      <c r="BH30" s="241"/>
      <c r="BI30" s="151"/>
      <c r="BJ30" s="152"/>
      <c r="BK30" s="159"/>
      <c r="BL30" s="151"/>
      <c r="BM30" s="152"/>
      <c r="BN30" s="150"/>
      <c r="BO30" s="151"/>
      <c r="BP30" s="152"/>
      <c r="BQ30" s="90" t="str">
        <f t="shared" si="0"/>
        <v>4B.3</v>
      </c>
      <c r="BR30" s="71" t="b">
        <f t="shared" si="2"/>
        <v>0</v>
      </c>
    </row>
    <row r="31" spans="1:70" ht="20.100000000000001" customHeight="1">
      <c r="A31" s="71" t="b">
        <f t="shared" si="1"/>
        <v>1</v>
      </c>
      <c r="B31" s="9" t="s">
        <v>104</v>
      </c>
      <c r="C31" s="39"/>
      <c r="D31" s="40"/>
      <c r="E31" s="40"/>
      <c r="F31" s="40"/>
      <c r="G31" s="40"/>
      <c r="H31" s="43"/>
      <c r="I31" s="245" t="s">
        <v>176</v>
      </c>
      <c r="J31" s="188" t="s">
        <v>176</v>
      </c>
      <c r="K31" s="1"/>
      <c r="L31" s="1"/>
      <c r="M31" s="1"/>
      <c r="N31" s="15"/>
      <c r="O31" s="245" t="s">
        <v>176</v>
      </c>
      <c r="P31" s="188" t="s">
        <v>176</v>
      </c>
      <c r="Q31" s="357" t="s">
        <v>174</v>
      </c>
      <c r="R31" s="1"/>
      <c r="S31" s="1"/>
      <c r="T31" s="15"/>
      <c r="U31" s="39"/>
      <c r="V31" s="40"/>
      <c r="W31" s="40"/>
      <c r="X31" s="40"/>
      <c r="Y31" s="40"/>
      <c r="Z31" s="43"/>
      <c r="AA31" s="40"/>
      <c r="AB31" s="40"/>
      <c r="AC31" s="40"/>
      <c r="AD31" s="40"/>
      <c r="AE31" s="40"/>
      <c r="AF31" s="48"/>
      <c r="AG31" s="39"/>
      <c r="AH31" s="40"/>
      <c r="AI31" s="40"/>
      <c r="AJ31" s="40"/>
      <c r="AK31" s="40"/>
      <c r="AL31" s="43"/>
      <c r="AM31" s="39"/>
      <c r="AN31" s="40"/>
      <c r="AO31" s="40"/>
      <c r="AP31" s="40"/>
      <c r="AQ31" s="40"/>
      <c r="AR31" s="48"/>
      <c r="AS31" s="233">
        <v>46231</v>
      </c>
      <c r="AT31" s="117">
        <v>46244</v>
      </c>
      <c r="AU31" s="235"/>
      <c r="AV31" s="150"/>
      <c r="AW31" s="151"/>
      <c r="AX31" s="152"/>
      <c r="AY31" s="113"/>
      <c r="AZ31" s="114"/>
      <c r="BA31" s="115"/>
      <c r="BB31" s="119">
        <v>46245</v>
      </c>
      <c r="BC31" s="114"/>
      <c r="BD31" s="115"/>
      <c r="BE31" s="150"/>
      <c r="BF31" s="151"/>
      <c r="BG31" s="152"/>
      <c r="BH31" s="241"/>
      <c r="BI31" s="151"/>
      <c r="BJ31" s="152"/>
      <c r="BK31" s="159"/>
      <c r="BL31" s="151"/>
      <c r="BM31" s="152"/>
      <c r="BN31" s="150"/>
      <c r="BO31" s="151"/>
      <c r="BP31" s="152"/>
      <c r="BQ31" s="90" t="str">
        <f t="shared" si="0"/>
        <v>4B.3</v>
      </c>
      <c r="BR31" s="71" t="b">
        <f t="shared" si="2"/>
        <v>0</v>
      </c>
    </row>
    <row r="32" spans="1:70" ht="20.100000000000001" customHeight="1">
      <c r="A32" s="71" t="b">
        <f t="shared" si="1"/>
        <v>1</v>
      </c>
      <c r="B32" s="9" t="s">
        <v>105</v>
      </c>
      <c r="C32" s="39"/>
      <c r="D32" s="40"/>
      <c r="E32" s="40"/>
      <c r="F32" s="40"/>
      <c r="G32" s="40"/>
      <c r="H32" s="43"/>
      <c r="I32" s="245" t="s">
        <v>176</v>
      </c>
      <c r="J32" s="188" t="s">
        <v>176</v>
      </c>
      <c r="K32" s="1"/>
      <c r="L32" s="1"/>
      <c r="M32" s="1"/>
      <c r="N32" s="15"/>
      <c r="O32" s="245" t="s">
        <v>176</v>
      </c>
      <c r="P32" s="188" t="s">
        <v>176</v>
      </c>
      <c r="Q32" s="188" t="s">
        <v>176</v>
      </c>
      <c r="R32" s="1"/>
      <c r="S32" s="1"/>
      <c r="T32" s="15"/>
      <c r="U32" s="39"/>
      <c r="V32" s="40"/>
      <c r="W32" s="40"/>
      <c r="X32" s="40"/>
      <c r="Y32" s="40"/>
      <c r="Z32" s="43"/>
      <c r="AA32" s="40"/>
      <c r="AB32" s="40"/>
      <c r="AC32" s="40"/>
      <c r="AD32" s="40"/>
      <c r="AE32" s="40"/>
      <c r="AF32" s="48"/>
      <c r="AG32" s="39"/>
      <c r="AH32" s="40"/>
      <c r="AI32" s="40"/>
      <c r="AJ32" s="40"/>
      <c r="AK32" s="40"/>
      <c r="AL32" s="43"/>
      <c r="AM32" s="39"/>
      <c r="AN32" s="40"/>
      <c r="AO32" s="40"/>
      <c r="AP32" s="40"/>
      <c r="AQ32" s="40"/>
      <c r="AR32" s="48"/>
      <c r="AS32" s="233">
        <v>46231</v>
      </c>
      <c r="AT32" s="117">
        <v>46244</v>
      </c>
      <c r="AU32" s="235"/>
      <c r="AV32" s="150"/>
      <c r="AW32" s="151"/>
      <c r="AX32" s="152"/>
      <c r="AY32" s="113"/>
      <c r="AZ32" s="114"/>
      <c r="BA32" s="115"/>
      <c r="BB32" s="119">
        <v>46252</v>
      </c>
      <c r="BC32" s="114"/>
      <c r="BD32" s="115"/>
      <c r="BE32" s="150"/>
      <c r="BF32" s="151"/>
      <c r="BG32" s="152"/>
      <c r="BH32" s="241"/>
      <c r="BI32" s="151"/>
      <c r="BJ32" s="152"/>
      <c r="BK32" s="159"/>
      <c r="BL32" s="151"/>
      <c r="BM32" s="152"/>
      <c r="BN32" s="150"/>
      <c r="BO32" s="151"/>
      <c r="BP32" s="152"/>
      <c r="BQ32" s="90" t="str">
        <f t="shared" si="0"/>
        <v>4B.3</v>
      </c>
      <c r="BR32" s="71" t="b">
        <f t="shared" si="2"/>
        <v>0</v>
      </c>
    </row>
    <row r="33" spans="1:70" ht="20.100000000000001" customHeight="1">
      <c r="A33" s="71" t="b">
        <f t="shared" si="1"/>
        <v>1</v>
      </c>
      <c r="B33" s="9" t="s">
        <v>106</v>
      </c>
      <c r="C33" s="39"/>
      <c r="D33" s="40"/>
      <c r="E33" s="40"/>
      <c r="F33" s="40"/>
      <c r="G33" s="40"/>
      <c r="H33" s="43"/>
      <c r="I33" s="39"/>
      <c r="J33" s="40"/>
      <c r="K33" s="40"/>
      <c r="L33" s="40"/>
      <c r="M33" s="40"/>
      <c r="N33" s="43"/>
      <c r="O33" s="39"/>
      <c r="P33" s="40"/>
      <c r="Q33" s="40"/>
      <c r="R33" s="40"/>
      <c r="S33" s="40"/>
      <c r="T33" s="43"/>
      <c r="U33" s="39"/>
      <c r="V33" s="40"/>
      <c r="W33" s="40"/>
      <c r="X33" s="40"/>
      <c r="Y33" s="40"/>
      <c r="Z33" s="43"/>
      <c r="AA33" s="1" t="s">
        <v>176</v>
      </c>
      <c r="AB33" s="188" t="s">
        <v>176</v>
      </c>
      <c r="AC33" s="188" t="s">
        <v>176</v>
      </c>
      <c r="AD33" s="1"/>
      <c r="AE33" s="1"/>
      <c r="AF33" s="46"/>
      <c r="AG33" s="14" t="s">
        <v>176</v>
      </c>
      <c r="AH33" s="188" t="s">
        <v>176</v>
      </c>
      <c r="AI33" s="1" t="s">
        <v>176</v>
      </c>
      <c r="AJ33" s="1"/>
      <c r="AK33" s="1"/>
      <c r="AL33" s="15"/>
      <c r="AM33" s="39"/>
      <c r="AN33" s="40"/>
      <c r="AO33" s="40"/>
      <c r="AP33" s="40"/>
      <c r="AQ33" s="40"/>
      <c r="AR33" s="48"/>
      <c r="AS33" s="233">
        <v>46077</v>
      </c>
      <c r="AT33" s="117">
        <v>46254</v>
      </c>
      <c r="AU33" s="235"/>
      <c r="AV33" s="150"/>
      <c r="AW33" s="151"/>
      <c r="AX33" s="152"/>
      <c r="AY33" s="150"/>
      <c r="AZ33" s="151"/>
      <c r="BA33" s="152"/>
      <c r="BB33" s="150"/>
      <c r="BC33" s="151"/>
      <c r="BD33" s="152"/>
      <c r="BE33" s="150"/>
      <c r="BF33" s="151"/>
      <c r="BG33" s="152"/>
      <c r="BH33" s="117">
        <v>46230</v>
      </c>
      <c r="BI33" s="114"/>
      <c r="BJ33" s="115"/>
      <c r="BK33" s="119">
        <v>46149</v>
      </c>
      <c r="BL33" s="114"/>
      <c r="BM33" s="115"/>
      <c r="BN33" s="150"/>
      <c r="BO33" s="151"/>
      <c r="BP33" s="152"/>
      <c r="BQ33" s="90" t="str">
        <f t="shared" si="0"/>
        <v>5B.1</v>
      </c>
      <c r="BR33" s="71" t="b">
        <f t="shared" si="2"/>
        <v>0</v>
      </c>
    </row>
    <row r="34" spans="1:70" ht="20.100000000000001" customHeight="1">
      <c r="A34" s="71" t="b">
        <f t="shared" si="1"/>
        <v>0</v>
      </c>
      <c r="B34" s="193" t="s">
        <v>107</v>
      </c>
      <c r="C34" s="39"/>
      <c r="D34" s="40"/>
      <c r="E34" s="40"/>
      <c r="F34" s="40"/>
      <c r="G34" s="40"/>
      <c r="H34" s="43"/>
      <c r="I34" s="39"/>
      <c r="J34" s="40"/>
      <c r="K34" s="40"/>
      <c r="L34" s="40"/>
      <c r="M34" s="40"/>
      <c r="N34" s="43"/>
      <c r="O34" s="39"/>
      <c r="P34" s="40"/>
      <c r="Q34" s="40"/>
      <c r="R34" s="40"/>
      <c r="S34" s="40"/>
      <c r="T34" s="43"/>
      <c r="U34" s="39"/>
      <c r="V34" s="40"/>
      <c r="W34" s="40"/>
      <c r="X34" s="40"/>
      <c r="Y34" s="40"/>
      <c r="Z34" s="43"/>
      <c r="AA34" s="14" t="s">
        <v>176</v>
      </c>
      <c r="AB34" s="188"/>
      <c r="AC34" s="188" t="s">
        <v>176</v>
      </c>
      <c r="AD34" s="1"/>
      <c r="AE34" s="1"/>
      <c r="AF34" s="46"/>
      <c r="AG34" s="14" t="s">
        <v>176</v>
      </c>
      <c r="AH34" s="188"/>
      <c r="AI34" s="188" t="s">
        <v>176</v>
      </c>
      <c r="AJ34" s="1"/>
      <c r="AK34" s="1"/>
      <c r="AL34" s="15"/>
      <c r="AM34" s="39"/>
      <c r="AN34" s="40"/>
      <c r="AO34" s="40"/>
      <c r="AP34" s="40"/>
      <c r="AQ34" s="40"/>
      <c r="AR34" s="48"/>
      <c r="AS34" s="233">
        <v>46085</v>
      </c>
      <c r="AT34" s="117"/>
      <c r="AU34" s="235"/>
      <c r="AV34" s="150"/>
      <c r="AW34" s="151"/>
      <c r="AX34" s="152"/>
      <c r="AY34" s="150"/>
      <c r="AZ34" s="151"/>
      <c r="BA34" s="152"/>
      <c r="BB34" s="150"/>
      <c r="BC34" s="151"/>
      <c r="BD34" s="152"/>
      <c r="BE34" s="150"/>
      <c r="BF34" s="151"/>
      <c r="BG34" s="152"/>
      <c r="BH34" s="117">
        <v>46232</v>
      </c>
      <c r="BI34" s="114"/>
      <c r="BJ34" s="115"/>
      <c r="BK34" s="119">
        <v>46232</v>
      </c>
      <c r="BL34" s="114"/>
      <c r="BM34" s="115"/>
      <c r="BN34" s="150"/>
      <c r="BO34" s="151"/>
      <c r="BP34" s="152"/>
      <c r="BQ34" s="90" t="str">
        <f t="shared" si="0"/>
        <v>5B.1</v>
      </c>
      <c r="BR34" s="71" t="b">
        <f t="shared" si="2"/>
        <v>0</v>
      </c>
    </row>
    <row r="35" spans="1:70" ht="20.100000000000001" customHeight="1">
      <c r="A35" s="71" t="b">
        <f t="shared" si="1"/>
        <v>0</v>
      </c>
      <c r="B35" s="9" t="s">
        <v>108</v>
      </c>
      <c r="C35" s="39"/>
      <c r="D35" s="40"/>
      <c r="E35" s="40"/>
      <c r="F35" s="40"/>
      <c r="G35" s="40"/>
      <c r="H35" s="43"/>
      <c r="I35" s="39"/>
      <c r="J35" s="40"/>
      <c r="K35" s="40"/>
      <c r="L35" s="40"/>
      <c r="M35" s="40"/>
      <c r="N35" s="43"/>
      <c r="O35" s="39"/>
      <c r="P35" s="40"/>
      <c r="Q35" s="40"/>
      <c r="R35" s="40"/>
      <c r="S35" s="40"/>
      <c r="T35" s="43"/>
      <c r="U35" s="39"/>
      <c r="V35" s="40"/>
      <c r="W35" s="40"/>
      <c r="X35" s="40"/>
      <c r="Y35" s="40"/>
      <c r="Z35" s="43"/>
      <c r="AA35" s="14" t="s">
        <v>176</v>
      </c>
      <c r="AB35" s="1"/>
      <c r="AC35" s="188" t="s">
        <v>176</v>
      </c>
      <c r="AD35" s="1"/>
      <c r="AE35" s="1"/>
      <c r="AF35" s="46"/>
      <c r="AG35" s="14" t="s">
        <v>176</v>
      </c>
      <c r="AH35" s="1"/>
      <c r="AI35" s="188" t="s">
        <v>176</v>
      </c>
      <c r="AJ35" s="1"/>
      <c r="AK35" s="1"/>
      <c r="AL35" s="15"/>
      <c r="AM35" s="39"/>
      <c r="AN35" s="40"/>
      <c r="AO35" s="40"/>
      <c r="AP35" s="40"/>
      <c r="AQ35" s="40"/>
      <c r="AR35" s="48"/>
      <c r="AS35" s="233">
        <v>46077</v>
      </c>
      <c r="AT35" s="117"/>
      <c r="AU35" s="235"/>
      <c r="AV35" s="150"/>
      <c r="AW35" s="151"/>
      <c r="AX35" s="152"/>
      <c r="AY35" s="241"/>
      <c r="AZ35" s="154"/>
      <c r="BA35" s="152"/>
      <c r="BB35" s="150"/>
      <c r="BC35" s="151"/>
      <c r="BD35" s="152"/>
      <c r="BE35" s="159"/>
      <c r="BF35" s="154"/>
      <c r="BG35" s="152"/>
      <c r="BH35" s="119">
        <v>46233</v>
      </c>
      <c r="BI35" s="114"/>
      <c r="BJ35" s="115"/>
      <c r="BK35" s="119">
        <v>46233</v>
      </c>
      <c r="BL35" s="114"/>
      <c r="BM35" s="115"/>
      <c r="BN35" s="150"/>
      <c r="BO35" s="151"/>
      <c r="BP35" s="152"/>
      <c r="BQ35" s="90" t="str">
        <f t="shared" si="0"/>
        <v>5B.1</v>
      </c>
      <c r="BR35" s="71" t="b">
        <f t="shared" si="2"/>
        <v>0</v>
      </c>
    </row>
    <row r="36" spans="1:70" ht="20.100000000000001" customHeight="1">
      <c r="A36" s="71" t="b">
        <f t="shared" si="1"/>
        <v>0</v>
      </c>
      <c r="B36" s="193" t="s">
        <v>109</v>
      </c>
      <c r="C36" s="39"/>
      <c r="D36" s="40"/>
      <c r="E36" s="40"/>
      <c r="F36" s="40"/>
      <c r="G36" s="40"/>
      <c r="H36" s="43"/>
      <c r="I36" s="14" t="s">
        <v>176</v>
      </c>
      <c r="J36" s="1"/>
      <c r="K36" s="188" t="s">
        <v>176</v>
      </c>
      <c r="L36" s="1"/>
      <c r="M36" s="1"/>
      <c r="N36" s="15"/>
      <c r="O36" s="14" t="s">
        <v>176</v>
      </c>
      <c r="P36" s="1"/>
      <c r="Q36" s="188" t="s">
        <v>176</v>
      </c>
      <c r="R36" s="1"/>
      <c r="S36" s="1"/>
      <c r="T36" s="15"/>
      <c r="U36" s="39"/>
      <c r="V36" s="40"/>
      <c r="W36" s="40"/>
      <c r="X36" s="40"/>
      <c r="Y36" s="40"/>
      <c r="Z36" s="43"/>
      <c r="AA36" s="39"/>
      <c r="AB36" s="40"/>
      <c r="AC36" s="40"/>
      <c r="AD36" s="40"/>
      <c r="AE36" s="40"/>
      <c r="AF36" s="48"/>
      <c r="AG36" s="39"/>
      <c r="AH36" s="40"/>
      <c r="AI36" s="40"/>
      <c r="AJ36" s="40"/>
      <c r="AK36" s="40"/>
      <c r="AL36" s="43"/>
      <c r="AM36" s="39"/>
      <c r="AN36" s="40"/>
      <c r="AO36" s="40"/>
      <c r="AP36" s="40"/>
      <c r="AQ36" s="40"/>
      <c r="AR36" s="48"/>
      <c r="AS36" s="233">
        <v>46223</v>
      </c>
      <c r="AT36" s="117"/>
      <c r="AU36" s="235"/>
      <c r="AV36" s="150"/>
      <c r="AW36" s="151"/>
      <c r="AX36" s="152"/>
      <c r="AY36" s="117">
        <v>46239</v>
      </c>
      <c r="AZ36" s="114"/>
      <c r="BA36" s="115"/>
      <c r="BB36" s="119">
        <v>46239</v>
      </c>
      <c r="BC36" s="114"/>
      <c r="BD36" s="115"/>
      <c r="BE36" s="159"/>
      <c r="BF36" s="151"/>
      <c r="BG36" s="152"/>
      <c r="BH36" s="150"/>
      <c r="BI36" s="151"/>
      <c r="BJ36" s="152"/>
      <c r="BK36" s="150"/>
      <c r="BL36" s="151"/>
      <c r="BM36" s="152"/>
      <c r="BN36" s="150"/>
      <c r="BO36" s="151"/>
      <c r="BP36" s="152"/>
      <c r="BQ36" s="90" t="str">
        <f t="shared" si="0"/>
        <v>5B.2</v>
      </c>
      <c r="BR36" s="71" t="b">
        <f t="shared" si="2"/>
        <v>0</v>
      </c>
    </row>
    <row r="37" spans="1:70" ht="20.100000000000001" customHeight="1">
      <c r="A37" s="71" t="b">
        <f t="shared" si="1"/>
        <v>0</v>
      </c>
      <c r="B37" s="9" t="s">
        <v>110</v>
      </c>
      <c r="C37" s="39"/>
      <c r="D37" s="40"/>
      <c r="E37" s="40"/>
      <c r="F37" s="40"/>
      <c r="G37" s="40"/>
      <c r="H37" s="43"/>
      <c r="I37" s="39"/>
      <c r="J37" s="40"/>
      <c r="K37" s="40"/>
      <c r="L37" s="40"/>
      <c r="M37" s="40"/>
      <c r="N37" s="43"/>
      <c r="O37" s="39"/>
      <c r="P37" s="40"/>
      <c r="Q37" s="40"/>
      <c r="R37" s="40"/>
      <c r="S37" s="40"/>
      <c r="T37" s="43"/>
      <c r="U37" s="14" t="s">
        <v>176</v>
      </c>
      <c r="V37" s="1"/>
      <c r="W37" s="1" t="s">
        <v>176</v>
      </c>
      <c r="X37" s="1"/>
      <c r="Y37" s="1"/>
      <c r="Z37" s="15"/>
      <c r="AA37" s="39"/>
      <c r="AB37" s="40"/>
      <c r="AC37" s="40"/>
      <c r="AD37" s="40"/>
      <c r="AE37" s="40"/>
      <c r="AF37" s="48"/>
      <c r="AG37" s="39"/>
      <c r="AH37" s="40"/>
      <c r="AI37" s="40"/>
      <c r="AJ37" s="40"/>
      <c r="AK37" s="40"/>
      <c r="AL37" s="43"/>
      <c r="AM37" s="14" t="s">
        <v>176</v>
      </c>
      <c r="AN37" s="1"/>
      <c r="AO37" s="188" t="s">
        <v>176</v>
      </c>
      <c r="AP37" s="1" t="s">
        <v>176</v>
      </c>
      <c r="AQ37" s="1"/>
      <c r="AR37" s="46"/>
      <c r="AS37" s="233">
        <v>46194</v>
      </c>
      <c r="AT37" s="117"/>
      <c r="AU37" s="235"/>
      <c r="AV37" s="150"/>
      <c r="AW37" s="151"/>
      <c r="AX37" s="152"/>
      <c r="AY37" s="241"/>
      <c r="AZ37" s="151"/>
      <c r="BA37" s="152"/>
      <c r="BB37" s="150"/>
      <c r="BC37" s="151"/>
      <c r="BD37" s="152"/>
      <c r="BE37" s="119">
        <v>46241</v>
      </c>
      <c r="BF37" s="114"/>
      <c r="BG37" s="115"/>
      <c r="BH37" s="150"/>
      <c r="BI37" s="151"/>
      <c r="BJ37" s="152"/>
      <c r="BK37" s="150"/>
      <c r="BL37" s="151"/>
      <c r="BM37" s="152"/>
      <c r="BN37" s="119">
        <v>46230</v>
      </c>
      <c r="BO37" s="118">
        <v>46237</v>
      </c>
      <c r="BP37" s="115"/>
      <c r="BQ37" s="90" t="str">
        <f t="shared" si="0"/>
        <v>5B.3</v>
      </c>
      <c r="BR37" s="71" t="b">
        <f t="shared" si="2"/>
        <v>0</v>
      </c>
    </row>
    <row r="38" spans="1:70" ht="20.100000000000001" customHeight="1">
      <c r="A38" s="71" t="b">
        <f t="shared" si="1"/>
        <v>0</v>
      </c>
      <c r="B38" s="9" t="s">
        <v>111</v>
      </c>
      <c r="C38" s="39"/>
      <c r="D38" s="40"/>
      <c r="E38" s="40"/>
      <c r="F38" s="40"/>
      <c r="G38" s="40"/>
      <c r="H38" s="43"/>
      <c r="I38" s="39"/>
      <c r="J38" s="40"/>
      <c r="K38" s="40"/>
      <c r="L38" s="40"/>
      <c r="M38" s="40"/>
      <c r="N38" s="43"/>
      <c r="O38" s="39"/>
      <c r="P38" s="40"/>
      <c r="Q38" s="40"/>
      <c r="R38" s="40"/>
      <c r="S38" s="40"/>
      <c r="T38" s="43"/>
      <c r="U38" s="14" t="s">
        <v>176</v>
      </c>
      <c r="V38" s="1"/>
      <c r="W38" s="1" t="s">
        <v>176</v>
      </c>
      <c r="X38" s="1"/>
      <c r="Y38" s="1"/>
      <c r="Z38" s="15"/>
      <c r="AA38" s="39"/>
      <c r="AB38" s="40"/>
      <c r="AC38" s="40"/>
      <c r="AD38" s="40"/>
      <c r="AE38" s="40"/>
      <c r="AF38" s="48"/>
      <c r="AG38" s="39"/>
      <c r="AH38" s="40"/>
      <c r="AI38" s="40"/>
      <c r="AJ38" s="40"/>
      <c r="AK38" s="40"/>
      <c r="AL38" s="43"/>
      <c r="AM38" s="14" t="s">
        <v>176</v>
      </c>
      <c r="AN38" s="1"/>
      <c r="AO38" s="188" t="s">
        <v>174</v>
      </c>
      <c r="AP38" s="188" t="s">
        <v>176</v>
      </c>
      <c r="AQ38" s="1"/>
      <c r="AR38" s="46"/>
      <c r="AS38" s="233">
        <v>46093</v>
      </c>
      <c r="AT38" s="117"/>
      <c r="AU38" s="235"/>
      <c r="AV38" s="150"/>
      <c r="AW38" s="151"/>
      <c r="AX38" s="152"/>
      <c r="AY38" s="241"/>
      <c r="AZ38" s="151"/>
      <c r="BA38" s="152"/>
      <c r="BB38" s="150"/>
      <c r="BC38" s="151"/>
      <c r="BD38" s="152"/>
      <c r="BE38" s="119">
        <v>46246</v>
      </c>
      <c r="BF38" s="114"/>
      <c r="BG38" s="115"/>
      <c r="BH38" s="150"/>
      <c r="BI38" s="151"/>
      <c r="BJ38" s="152"/>
      <c r="BK38" s="150"/>
      <c r="BL38" s="151"/>
      <c r="BM38" s="152"/>
      <c r="BN38" s="119">
        <v>46240</v>
      </c>
      <c r="BO38" s="118">
        <v>46254</v>
      </c>
      <c r="BP38" s="115"/>
      <c r="BQ38" s="90" t="str">
        <f t="shared" si="0"/>
        <v>5B.3</v>
      </c>
      <c r="BR38" s="71" t="b">
        <f t="shared" si="2"/>
        <v>0</v>
      </c>
    </row>
    <row r="39" spans="1:70" ht="20.100000000000001" customHeight="1">
      <c r="A39" s="71" t="b">
        <f t="shared" si="1"/>
        <v>0</v>
      </c>
      <c r="B39" s="193" t="s">
        <v>112</v>
      </c>
      <c r="C39" s="39"/>
      <c r="D39" s="40"/>
      <c r="E39" s="40"/>
      <c r="F39" s="40"/>
      <c r="G39" s="40"/>
      <c r="H39" s="43"/>
      <c r="I39" s="39"/>
      <c r="J39" s="40"/>
      <c r="K39" s="40"/>
      <c r="L39" s="40"/>
      <c r="M39" s="40"/>
      <c r="N39" s="43"/>
      <c r="O39" s="39"/>
      <c r="P39" s="40"/>
      <c r="Q39" s="40"/>
      <c r="R39" s="40"/>
      <c r="S39" s="40"/>
      <c r="T39" s="43"/>
      <c r="U39" s="14" t="s">
        <v>176</v>
      </c>
      <c r="V39" s="1"/>
      <c r="W39" s="188"/>
      <c r="X39" s="1"/>
      <c r="Y39" s="1"/>
      <c r="Z39" s="15"/>
      <c r="AA39" s="39"/>
      <c r="AB39" s="40"/>
      <c r="AC39" s="40"/>
      <c r="AD39" s="40"/>
      <c r="AE39" s="40"/>
      <c r="AF39" s="48"/>
      <c r="AG39" s="39"/>
      <c r="AH39" s="40"/>
      <c r="AI39" s="40"/>
      <c r="AJ39" s="40"/>
      <c r="AK39" s="40"/>
      <c r="AL39" s="43"/>
      <c r="AM39" s="14" t="s">
        <v>176</v>
      </c>
      <c r="AN39" s="1"/>
      <c r="AO39" s="188"/>
      <c r="AP39" s="1"/>
      <c r="AQ39" s="1"/>
      <c r="AR39" s="46"/>
      <c r="AS39" s="233">
        <v>46223</v>
      </c>
      <c r="AT39" s="117"/>
      <c r="AU39" s="235"/>
      <c r="AV39" s="150"/>
      <c r="AW39" s="151"/>
      <c r="AX39" s="152"/>
      <c r="AY39" s="150"/>
      <c r="AZ39" s="151"/>
      <c r="BA39" s="152"/>
      <c r="BB39" s="241"/>
      <c r="BC39" s="151"/>
      <c r="BD39" s="152"/>
      <c r="BE39" s="119"/>
      <c r="BF39" s="114"/>
      <c r="BG39" s="115"/>
      <c r="BH39" s="150"/>
      <c r="BI39" s="151"/>
      <c r="BJ39" s="152"/>
      <c r="BK39" s="150"/>
      <c r="BL39" s="151"/>
      <c r="BM39" s="152"/>
      <c r="BN39" s="119"/>
      <c r="BO39" s="114"/>
      <c r="BP39" s="115"/>
      <c r="BQ39" s="90" t="str">
        <f t="shared" si="0"/>
        <v>5B.3</v>
      </c>
      <c r="BR39" s="71" t="b">
        <f t="shared" si="2"/>
        <v>0</v>
      </c>
    </row>
    <row r="40" spans="1:70" ht="20.100000000000001" customHeight="1">
      <c r="A40" s="71" t="b">
        <f t="shared" si="1"/>
        <v>1</v>
      </c>
      <c r="B40" s="9" t="s">
        <v>113</v>
      </c>
      <c r="C40" s="39"/>
      <c r="D40" s="40"/>
      <c r="E40" s="40"/>
      <c r="F40" s="40"/>
      <c r="G40" s="40"/>
      <c r="H40" s="43"/>
      <c r="I40" s="39"/>
      <c r="J40" s="40"/>
      <c r="K40" s="40"/>
      <c r="L40" s="40"/>
      <c r="M40" s="40"/>
      <c r="N40" s="43"/>
      <c r="O40" s="39"/>
      <c r="P40" s="40"/>
      <c r="Q40" s="40"/>
      <c r="R40" s="40"/>
      <c r="S40" s="40"/>
      <c r="T40" s="43"/>
      <c r="U40" s="14" t="s">
        <v>176</v>
      </c>
      <c r="V40" s="1" t="s">
        <v>176</v>
      </c>
      <c r="W40" s="1" t="s">
        <v>176</v>
      </c>
      <c r="X40" s="1"/>
      <c r="Y40" s="1"/>
      <c r="Z40" s="15"/>
      <c r="AA40" s="39"/>
      <c r="AB40" s="40"/>
      <c r="AC40" s="40"/>
      <c r="AD40" s="40"/>
      <c r="AE40" s="40"/>
      <c r="AF40" s="48"/>
      <c r="AG40" s="39"/>
      <c r="AH40" s="40"/>
      <c r="AI40" s="40"/>
      <c r="AJ40" s="40"/>
      <c r="AK40" s="40"/>
      <c r="AL40" s="43"/>
      <c r="AM40" s="14" t="s">
        <v>176</v>
      </c>
      <c r="AN40" s="1" t="s">
        <v>176</v>
      </c>
      <c r="AO40" s="1" t="s">
        <v>176</v>
      </c>
      <c r="AP40" s="1"/>
      <c r="AQ40" s="1"/>
      <c r="AR40" s="46"/>
      <c r="AS40" s="233">
        <v>46119</v>
      </c>
      <c r="AT40" s="117">
        <v>46135</v>
      </c>
      <c r="AU40" s="235"/>
      <c r="AV40" s="150"/>
      <c r="AW40" s="151"/>
      <c r="AX40" s="152"/>
      <c r="AY40" s="150"/>
      <c r="AZ40" s="151"/>
      <c r="BA40" s="152"/>
      <c r="BB40" s="241"/>
      <c r="BC40" s="151"/>
      <c r="BD40" s="152"/>
      <c r="BE40" s="119">
        <v>46132</v>
      </c>
      <c r="BF40" s="114"/>
      <c r="BG40" s="115"/>
      <c r="BH40" s="150"/>
      <c r="BI40" s="151"/>
      <c r="BJ40" s="152"/>
      <c r="BK40" s="150"/>
      <c r="BL40" s="151"/>
      <c r="BM40" s="152"/>
      <c r="BN40" s="119">
        <v>46154</v>
      </c>
      <c r="BO40" s="114"/>
      <c r="BP40" s="115"/>
      <c r="BQ40" s="90" t="str">
        <f t="shared" si="0"/>
        <v>10A.1</v>
      </c>
      <c r="BR40" s="71" t="b">
        <f t="shared" si="2"/>
        <v>0</v>
      </c>
    </row>
    <row r="41" spans="1:70" ht="20.100000000000001" customHeight="1">
      <c r="A41" s="71" t="b">
        <f t="shared" si="1"/>
        <v>1</v>
      </c>
      <c r="B41" s="9" t="s">
        <v>114</v>
      </c>
      <c r="C41" s="39"/>
      <c r="D41" s="40"/>
      <c r="E41" s="40"/>
      <c r="F41" s="40"/>
      <c r="G41" s="40"/>
      <c r="H41" s="43"/>
      <c r="I41" s="39"/>
      <c r="J41" s="40"/>
      <c r="K41" s="40"/>
      <c r="L41" s="40"/>
      <c r="M41" s="40"/>
      <c r="N41" s="43"/>
      <c r="O41" s="39"/>
      <c r="P41" s="40"/>
      <c r="Q41" s="40"/>
      <c r="R41" s="40"/>
      <c r="S41" s="40"/>
      <c r="T41" s="43"/>
      <c r="U41" s="14" t="s">
        <v>176</v>
      </c>
      <c r="V41" s="1" t="s">
        <v>176</v>
      </c>
      <c r="W41" s="1" t="s">
        <v>176</v>
      </c>
      <c r="X41" s="1"/>
      <c r="Y41" s="1"/>
      <c r="Z41" s="15"/>
      <c r="AA41" s="39"/>
      <c r="AB41" s="40"/>
      <c r="AC41" s="40"/>
      <c r="AD41" s="40"/>
      <c r="AE41" s="40"/>
      <c r="AF41" s="48"/>
      <c r="AG41" s="39"/>
      <c r="AH41" s="40"/>
      <c r="AI41" s="40"/>
      <c r="AJ41" s="40"/>
      <c r="AK41" s="40"/>
      <c r="AL41" s="43"/>
      <c r="AM41" s="14" t="s">
        <v>176</v>
      </c>
      <c r="AN41" s="1" t="s">
        <v>176</v>
      </c>
      <c r="AO41" s="1" t="s">
        <v>176</v>
      </c>
      <c r="AP41" s="1"/>
      <c r="AQ41" s="1"/>
      <c r="AR41" s="46"/>
      <c r="AS41" s="233">
        <v>46119</v>
      </c>
      <c r="AT41" s="117">
        <v>46140</v>
      </c>
      <c r="AU41" s="235"/>
      <c r="AV41" s="150"/>
      <c r="AW41" s="151"/>
      <c r="AX41" s="152"/>
      <c r="AY41" s="150"/>
      <c r="AZ41" s="151"/>
      <c r="BA41" s="152"/>
      <c r="BB41" s="241"/>
      <c r="BC41" s="151"/>
      <c r="BD41" s="152"/>
      <c r="BE41" s="119">
        <v>46134</v>
      </c>
      <c r="BF41" s="114"/>
      <c r="BG41" s="115"/>
      <c r="BH41" s="150"/>
      <c r="BI41" s="151"/>
      <c r="BJ41" s="152"/>
      <c r="BK41" s="150"/>
      <c r="BL41" s="151"/>
      <c r="BM41" s="152"/>
      <c r="BN41" s="239">
        <v>46155</v>
      </c>
      <c r="BO41" s="114"/>
      <c r="BP41" s="115"/>
      <c r="BQ41" s="90" t="str">
        <f t="shared" si="0"/>
        <v>10A.1</v>
      </c>
      <c r="BR41" s="71" t="b">
        <f t="shared" si="2"/>
        <v>0</v>
      </c>
    </row>
    <row r="42" spans="1:70" ht="20.100000000000001" customHeight="1">
      <c r="A42" s="71" t="b">
        <f t="shared" si="1"/>
        <v>1</v>
      </c>
      <c r="B42" s="9" t="s">
        <v>115</v>
      </c>
      <c r="C42" s="39"/>
      <c r="D42" s="40"/>
      <c r="E42" s="40"/>
      <c r="F42" s="40"/>
      <c r="G42" s="40"/>
      <c r="H42" s="43"/>
      <c r="I42" s="39"/>
      <c r="J42" s="40"/>
      <c r="K42" s="40"/>
      <c r="L42" s="40"/>
      <c r="M42" s="40"/>
      <c r="N42" s="43"/>
      <c r="O42" s="39"/>
      <c r="P42" s="40"/>
      <c r="Q42" s="40"/>
      <c r="R42" s="40"/>
      <c r="S42" s="40"/>
      <c r="T42" s="43"/>
      <c r="U42" s="14" t="s">
        <v>176</v>
      </c>
      <c r="V42" s="1" t="s">
        <v>176</v>
      </c>
      <c r="W42" s="1" t="s">
        <v>176</v>
      </c>
      <c r="X42" s="1"/>
      <c r="Y42" s="1"/>
      <c r="Z42" s="15"/>
      <c r="AA42" s="39"/>
      <c r="AB42" s="40"/>
      <c r="AC42" s="40"/>
      <c r="AD42" s="40"/>
      <c r="AE42" s="40"/>
      <c r="AF42" s="48"/>
      <c r="AG42" s="39"/>
      <c r="AH42" s="40"/>
      <c r="AI42" s="40"/>
      <c r="AJ42" s="40"/>
      <c r="AK42" s="40"/>
      <c r="AL42" s="43"/>
      <c r="AM42" s="14" t="s">
        <v>176</v>
      </c>
      <c r="AN42" s="1" t="s">
        <v>176</v>
      </c>
      <c r="AO42" s="1" t="s">
        <v>176</v>
      </c>
      <c r="AP42" s="1"/>
      <c r="AQ42" s="1"/>
      <c r="AR42" s="46"/>
      <c r="AS42" s="233">
        <v>46119</v>
      </c>
      <c r="AT42" s="117">
        <v>46140</v>
      </c>
      <c r="AU42" s="235"/>
      <c r="AV42" s="150"/>
      <c r="AW42" s="151"/>
      <c r="AX42" s="152"/>
      <c r="AY42" s="150"/>
      <c r="AZ42" s="151"/>
      <c r="BA42" s="152"/>
      <c r="BB42" s="241"/>
      <c r="BC42" s="154"/>
      <c r="BD42" s="152"/>
      <c r="BE42" s="119">
        <v>46134</v>
      </c>
      <c r="BF42" s="114"/>
      <c r="BG42" s="115"/>
      <c r="BH42" s="150"/>
      <c r="BI42" s="151"/>
      <c r="BJ42" s="152"/>
      <c r="BK42" s="150"/>
      <c r="BL42" s="151"/>
      <c r="BM42" s="152"/>
      <c r="BN42" s="119">
        <v>46155</v>
      </c>
      <c r="BO42" s="118"/>
      <c r="BP42" s="115"/>
      <c r="BQ42" s="90" t="str">
        <f t="shared" si="0"/>
        <v>10A.1</v>
      </c>
      <c r="BR42" s="71" t="b">
        <f t="shared" si="2"/>
        <v>0</v>
      </c>
    </row>
    <row r="43" spans="1:70" ht="20.100000000000001" customHeight="1">
      <c r="A43" s="71" t="b">
        <f t="shared" si="1"/>
        <v>1</v>
      </c>
      <c r="B43" s="9" t="s">
        <v>116</v>
      </c>
      <c r="C43" s="39"/>
      <c r="D43" s="40"/>
      <c r="E43" s="40"/>
      <c r="F43" s="40"/>
      <c r="G43" s="40"/>
      <c r="H43" s="43"/>
      <c r="I43" s="39"/>
      <c r="J43" s="40"/>
      <c r="K43" s="40"/>
      <c r="L43" s="40"/>
      <c r="M43" s="40"/>
      <c r="N43" s="43"/>
      <c r="O43" s="39"/>
      <c r="P43" s="40"/>
      <c r="Q43" s="40"/>
      <c r="R43" s="40"/>
      <c r="S43" s="40"/>
      <c r="T43" s="43"/>
      <c r="U43" s="14" t="s">
        <v>176</v>
      </c>
      <c r="V43" s="1" t="s">
        <v>176</v>
      </c>
      <c r="W43" s="1" t="s">
        <v>176</v>
      </c>
      <c r="X43" s="1"/>
      <c r="Y43" s="1"/>
      <c r="Z43" s="15"/>
      <c r="AA43" s="39"/>
      <c r="AB43" s="40"/>
      <c r="AC43" s="40"/>
      <c r="AD43" s="40"/>
      <c r="AE43" s="40"/>
      <c r="AF43" s="48"/>
      <c r="AG43" s="39"/>
      <c r="AH43" s="40"/>
      <c r="AI43" s="40"/>
      <c r="AJ43" s="40"/>
      <c r="AK43" s="40"/>
      <c r="AL43" s="43"/>
      <c r="AM43" s="14" t="s">
        <v>176</v>
      </c>
      <c r="AN43" s="1" t="s">
        <v>176</v>
      </c>
      <c r="AO43" s="1" t="s">
        <v>176</v>
      </c>
      <c r="AP43" s="1"/>
      <c r="AQ43" s="1"/>
      <c r="AR43" s="46"/>
      <c r="AS43" s="233">
        <v>46120</v>
      </c>
      <c r="AT43" s="117">
        <v>46146</v>
      </c>
      <c r="AU43" s="235"/>
      <c r="AV43" s="150"/>
      <c r="AW43" s="151"/>
      <c r="AX43" s="152"/>
      <c r="AY43" s="150"/>
      <c r="AZ43" s="151"/>
      <c r="BA43" s="152"/>
      <c r="BB43" s="241"/>
      <c r="BC43" s="151"/>
      <c r="BD43" s="152"/>
      <c r="BE43" s="119">
        <v>46154</v>
      </c>
      <c r="BF43" s="114"/>
      <c r="BG43" s="115"/>
      <c r="BH43" s="150"/>
      <c r="BI43" s="151"/>
      <c r="BJ43" s="152"/>
      <c r="BK43" s="150"/>
      <c r="BL43" s="151"/>
      <c r="BM43" s="152"/>
      <c r="BN43" s="119">
        <v>46175</v>
      </c>
      <c r="BO43" s="114"/>
      <c r="BP43" s="115"/>
      <c r="BQ43" s="90" t="str">
        <f t="shared" si="0"/>
        <v>11A.1</v>
      </c>
      <c r="BR43" s="71" t="b">
        <f t="shared" si="2"/>
        <v>0</v>
      </c>
    </row>
    <row r="44" spans="1:70" ht="20.100000000000001" customHeight="1">
      <c r="A44" s="71" t="b">
        <f t="shared" si="1"/>
        <v>1</v>
      </c>
      <c r="B44" s="9" t="s">
        <v>117</v>
      </c>
      <c r="C44" s="39"/>
      <c r="D44" s="40"/>
      <c r="E44" s="40"/>
      <c r="F44" s="40"/>
      <c r="G44" s="40"/>
      <c r="H44" s="43"/>
      <c r="I44" s="39"/>
      <c r="J44" s="40"/>
      <c r="K44" s="40"/>
      <c r="L44" s="40"/>
      <c r="M44" s="40"/>
      <c r="N44" s="43"/>
      <c r="O44" s="39"/>
      <c r="P44" s="40"/>
      <c r="Q44" s="40"/>
      <c r="R44" s="40"/>
      <c r="S44" s="40"/>
      <c r="T44" s="43"/>
      <c r="U44" s="14" t="s">
        <v>176</v>
      </c>
      <c r="V44" s="1" t="s">
        <v>176</v>
      </c>
      <c r="W44" s="1" t="s">
        <v>176</v>
      </c>
      <c r="X44" s="1"/>
      <c r="Y44" s="1"/>
      <c r="Z44" s="15"/>
      <c r="AA44" s="39"/>
      <c r="AB44" s="40"/>
      <c r="AC44" s="40"/>
      <c r="AD44" s="40"/>
      <c r="AE44" s="40"/>
      <c r="AF44" s="48"/>
      <c r="AG44" s="39"/>
      <c r="AH44" s="40"/>
      <c r="AI44" s="40"/>
      <c r="AJ44" s="40"/>
      <c r="AK44" s="40"/>
      <c r="AL44" s="43"/>
      <c r="AM44" s="14" t="s">
        <v>176</v>
      </c>
      <c r="AN44" s="1" t="s">
        <v>176</v>
      </c>
      <c r="AO44" s="1" t="s">
        <v>176</v>
      </c>
      <c r="AP44" s="1"/>
      <c r="AQ44" s="1"/>
      <c r="AR44" s="46"/>
      <c r="AS44" s="233">
        <v>46121</v>
      </c>
      <c r="AT44" s="117">
        <v>46141</v>
      </c>
      <c r="AU44" s="235"/>
      <c r="AV44" s="241"/>
      <c r="AW44" s="151"/>
      <c r="AX44" s="152"/>
      <c r="AY44" s="150"/>
      <c r="AZ44" s="151"/>
      <c r="BA44" s="152"/>
      <c r="BB44" s="150"/>
      <c r="BC44" s="151"/>
      <c r="BD44" s="152"/>
      <c r="BE44" s="119">
        <v>46184</v>
      </c>
      <c r="BF44" s="114"/>
      <c r="BG44" s="115"/>
      <c r="BH44" s="150"/>
      <c r="BI44" s="151"/>
      <c r="BJ44" s="152"/>
      <c r="BK44" s="150"/>
      <c r="BL44" s="151"/>
      <c r="BM44" s="152"/>
      <c r="BN44" s="119">
        <v>46183</v>
      </c>
      <c r="BO44" s="114"/>
      <c r="BP44" s="115"/>
      <c r="BQ44" s="90" t="str">
        <f t="shared" si="0"/>
        <v>11A.2</v>
      </c>
      <c r="BR44" s="71" t="b">
        <f t="shared" si="2"/>
        <v>0</v>
      </c>
    </row>
    <row r="45" spans="1:70" ht="20.100000000000001" customHeight="1">
      <c r="A45" s="71" t="b">
        <f t="shared" si="1"/>
        <v>0</v>
      </c>
      <c r="B45" s="9" t="s">
        <v>118</v>
      </c>
      <c r="C45" s="39"/>
      <c r="D45" s="40"/>
      <c r="E45" s="40"/>
      <c r="F45" s="40"/>
      <c r="G45" s="40"/>
      <c r="H45" s="43"/>
      <c r="I45" s="39"/>
      <c r="J45" s="40"/>
      <c r="K45" s="40"/>
      <c r="L45" s="40"/>
      <c r="M45" s="40"/>
      <c r="N45" s="43"/>
      <c r="O45" s="39"/>
      <c r="P45" s="40"/>
      <c r="Q45" s="40"/>
      <c r="R45" s="40"/>
      <c r="S45" s="40"/>
      <c r="T45" s="43"/>
      <c r="U45" s="14" t="s">
        <v>176</v>
      </c>
      <c r="V45" s="1"/>
      <c r="W45" s="1" t="s">
        <v>176</v>
      </c>
      <c r="X45" s="1"/>
      <c r="Y45" s="1"/>
      <c r="Z45" s="15"/>
      <c r="AA45" s="39"/>
      <c r="AB45" s="40"/>
      <c r="AC45" s="40"/>
      <c r="AD45" s="40"/>
      <c r="AE45" s="40"/>
      <c r="AF45" s="48"/>
      <c r="AG45" s="39"/>
      <c r="AH45" s="40"/>
      <c r="AI45" s="40"/>
      <c r="AJ45" s="40"/>
      <c r="AK45" s="40"/>
      <c r="AL45" s="43"/>
      <c r="AM45" s="14" t="s">
        <v>176</v>
      </c>
      <c r="AN45" s="1"/>
      <c r="AO45" s="1" t="s">
        <v>176</v>
      </c>
      <c r="AP45" s="1"/>
      <c r="AQ45" s="1"/>
      <c r="AR45" s="46"/>
      <c r="AS45" s="233">
        <v>46128</v>
      </c>
      <c r="AT45" s="117"/>
      <c r="AU45" s="235"/>
      <c r="AV45" s="241"/>
      <c r="AW45" s="151"/>
      <c r="AX45" s="152"/>
      <c r="AY45" s="150"/>
      <c r="AZ45" s="151"/>
      <c r="BA45" s="152"/>
      <c r="BB45" s="150"/>
      <c r="BC45" s="151"/>
      <c r="BD45" s="152"/>
      <c r="BE45" s="119">
        <v>46141</v>
      </c>
      <c r="BF45" s="151"/>
      <c r="BG45" s="152"/>
      <c r="BH45" s="150"/>
      <c r="BI45" s="151"/>
      <c r="BJ45" s="152"/>
      <c r="BK45" s="150"/>
      <c r="BL45" s="151"/>
      <c r="BM45" s="152"/>
      <c r="BN45" s="119">
        <v>46160</v>
      </c>
      <c r="BO45" s="151"/>
      <c r="BP45" s="152"/>
      <c r="BQ45" s="90" t="str">
        <f t="shared" si="0"/>
        <v>7B.1</v>
      </c>
      <c r="BR45" s="71" t="b">
        <f t="shared" si="2"/>
        <v>0</v>
      </c>
    </row>
    <row r="46" spans="1:70" ht="20.100000000000001" customHeight="1">
      <c r="A46" s="71" t="b">
        <f t="shared" si="1"/>
        <v>0</v>
      </c>
      <c r="B46" s="9" t="s">
        <v>119</v>
      </c>
      <c r="C46" s="39"/>
      <c r="D46" s="40"/>
      <c r="E46" s="40"/>
      <c r="F46" s="40"/>
      <c r="G46" s="40"/>
      <c r="H46" s="43"/>
      <c r="I46" s="39"/>
      <c r="J46" s="40"/>
      <c r="K46" s="40"/>
      <c r="L46" s="40"/>
      <c r="M46" s="40"/>
      <c r="N46" s="43"/>
      <c r="O46" s="39"/>
      <c r="P46" s="40"/>
      <c r="Q46" s="40"/>
      <c r="R46" s="40"/>
      <c r="S46" s="40"/>
      <c r="T46" s="43"/>
      <c r="U46" s="14" t="s">
        <v>176</v>
      </c>
      <c r="V46" s="1"/>
      <c r="W46" s="1" t="s">
        <v>176</v>
      </c>
      <c r="X46" s="1"/>
      <c r="Y46" s="1"/>
      <c r="Z46" s="15"/>
      <c r="AA46" s="39"/>
      <c r="AB46" s="40"/>
      <c r="AC46" s="40"/>
      <c r="AD46" s="40"/>
      <c r="AE46" s="40"/>
      <c r="AF46" s="48"/>
      <c r="AG46" s="39"/>
      <c r="AH46" s="40"/>
      <c r="AI46" s="40"/>
      <c r="AJ46" s="40"/>
      <c r="AK46" s="40"/>
      <c r="AL46" s="43"/>
      <c r="AM46" s="14" t="s">
        <v>176</v>
      </c>
      <c r="AN46" s="1"/>
      <c r="AO46" s="1" t="s">
        <v>176</v>
      </c>
      <c r="AP46" s="1"/>
      <c r="AQ46" s="1"/>
      <c r="AR46" s="46"/>
      <c r="AS46" s="233">
        <v>46128</v>
      </c>
      <c r="AT46" s="117"/>
      <c r="AU46" s="235"/>
      <c r="AV46" s="241"/>
      <c r="AW46" s="151"/>
      <c r="AX46" s="152"/>
      <c r="AY46" s="150"/>
      <c r="AZ46" s="151"/>
      <c r="BA46" s="152"/>
      <c r="BB46" s="150"/>
      <c r="BC46" s="151"/>
      <c r="BD46" s="152"/>
      <c r="BE46" s="119">
        <v>46168</v>
      </c>
      <c r="BF46" s="114"/>
      <c r="BG46" s="115"/>
      <c r="BH46" s="150"/>
      <c r="BI46" s="151"/>
      <c r="BJ46" s="152"/>
      <c r="BK46" s="150"/>
      <c r="BL46" s="151"/>
      <c r="BM46" s="152"/>
      <c r="BN46" s="119">
        <v>46160</v>
      </c>
      <c r="BO46" s="151"/>
      <c r="BP46" s="152"/>
      <c r="BQ46" s="90" t="str">
        <f t="shared" si="0"/>
        <v>7B.1</v>
      </c>
      <c r="BR46" s="71" t="b">
        <f t="shared" si="2"/>
        <v>0</v>
      </c>
    </row>
    <row r="47" spans="1:70" ht="20.100000000000001" customHeight="1">
      <c r="A47" s="71" t="b">
        <f t="shared" si="1"/>
        <v>0</v>
      </c>
      <c r="B47" s="9" t="s">
        <v>120</v>
      </c>
      <c r="C47" s="39"/>
      <c r="D47" s="40"/>
      <c r="E47" s="40"/>
      <c r="F47" s="40"/>
      <c r="G47" s="40"/>
      <c r="H47" s="43"/>
      <c r="I47" s="39"/>
      <c r="J47" s="40"/>
      <c r="K47" s="40"/>
      <c r="L47" s="40"/>
      <c r="M47" s="40"/>
      <c r="N47" s="43"/>
      <c r="O47" s="39"/>
      <c r="P47" s="40"/>
      <c r="Q47" s="40"/>
      <c r="R47" s="40"/>
      <c r="S47" s="40"/>
      <c r="T47" s="43"/>
      <c r="U47" s="240" t="s">
        <v>176</v>
      </c>
      <c r="V47" s="1"/>
      <c r="W47" s="1" t="s">
        <v>176</v>
      </c>
      <c r="X47" s="1"/>
      <c r="Y47" s="1"/>
      <c r="Z47" s="15"/>
      <c r="AA47" s="39"/>
      <c r="AB47" s="40"/>
      <c r="AC47" s="40"/>
      <c r="AD47" s="40"/>
      <c r="AE47" s="40"/>
      <c r="AF47" s="48"/>
      <c r="AG47" s="39"/>
      <c r="AH47" s="40"/>
      <c r="AI47" s="40"/>
      <c r="AJ47" s="40"/>
      <c r="AK47" s="40"/>
      <c r="AL47" s="43"/>
      <c r="AM47" s="240" t="s">
        <v>176</v>
      </c>
      <c r="AN47" s="1"/>
      <c r="AO47" s="1" t="s">
        <v>176</v>
      </c>
      <c r="AP47" s="1"/>
      <c r="AQ47" s="1"/>
      <c r="AR47" s="46"/>
      <c r="AS47" s="233">
        <v>46155</v>
      </c>
      <c r="AT47" s="117"/>
      <c r="AU47" s="235"/>
      <c r="AV47" s="241"/>
      <c r="AW47" s="151"/>
      <c r="AX47" s="152"/>
      <c r="AY47" s="150"/>
      <c r="AZ47" s="151"/>
      <c r="BA47" s="152"/>
      <c r="BB47" s="150"/>
      <c r="BC47" s="151"/>
      <c r="BD47" s="152"/>
      <c r="BE47" s="119">
        <v>46168</v>
      </c>
      <c r="BF47" s="114"/>
      <c r="BG47" s="115"/>
      <c r="BH47" s="150"/>
      <c r="BI47" s="151"/>
      <c r="BJ47" s="152"/>
      <c r="BK47" s="150"/>
      <c r="BL47" s="151"/>
      <c r="BM47" s="152"/>
      <c r="BN47" s="119">
        <v>46161</v>
      </c>
      <c r="BO47" s="151"/>
      <c r="BP47" s="152"/>
      <c r="BQ47" s="90" t="str">
        <f t="shared" si="0"/>
        <v>7B.1</v>
      </c>
      <c r="BR47" s="71" t="b">
        <f t="shared" si="2"/>
        <v>0</v>
      </c>
    </row>
    <row r="48" spans="1:70" ht="20.100000000000001" customHeight="1">
      <c r="A48" s="71" t="b">
        <f t="shared" si="1"/>
        <v>0</v>
      </c>
      <c r="B48" s="9" t="s">
        <v>121</v>
      </c>
      <c r="C48" s="39"/>
      <c r="D48" s="40"/>
      <c r="E48" s="40"/>
      <c r="F48" s="40"/>
      <c r="G48" s="40"/>
      <c r="H48" s="43"/>
      <c r="I48" s="39"/>
      <c r="J48" s="40"/>
      <c r="K48" s="40"/>
      <c r="L48" s="40"/>
      <c r="M48" s="40"/>
      <c r="N48" s="43"/>
      <c r="O48" s="39"/>
      <c r="P48" s="40"/>
      <c r="Q48" s="40"/>
      <c r="R48" s="40"/>
      <c r="S48" s="40"/>
      <c r="T48" s="43"/>
      <c r="U48" s="240" t="s">
        <v>176</v>
      </c>
      <c r="V48" s="1"/>
      <c r="W48" s="1" t="s">
        <v>176</v>
      </c>
      <c r="X48" s="1"/>
      <c r="Y48" s="1"/>
      <c r="Z48" s="15"/>
      <c r="AA48" s="39"/>
      <c r="AB48" s="40"/>
      <c r="AC48" s="40"/>
      <c r="AD48" s="40"/>
      <c r="AE48" s="40"/>
      <c r="AF48" s="48"/>
      <c r="AG48" s="39"/>
      <c r="AH48" s="40"/>
      <c r="AI48" s="40"/>
      <c r="AJ48" s="40"/>
      <c r="AK48" s="40"/>
      <c r="AL48" s="43"/>
      <c r="AM48" s="240" t="s">
        <v>176</v>
      </c>
      <c r="AN48" s="1"/>
      <c r="AO48" s="1" t="s">
        <v>176</v>
      </c>
      <c r="AP48" s="1"/>
      <c r="AQ48" s="1"/>
      <c r="AR48" s="46"/>
      <c r="AS48" s="233">
        <v>46155</v>
      </c>
      <c r="AT48" s="117"/>
      <c r="AU48" s="235"/>
      <c r="AV48" s="241"/>
      <c r="AW48" s="151"/>
      <c r="AX48" s="152"/>
      <c r="AY48" s="150"/>
      <c r="AZ48" s="151"/>
      <c r="BA48" s="152"/>
      <c r="BB48" s="159"/>
      <c r="BC48" s="151"/>
      <c r="BD48" s="152"/>
      <c r="BE48" s="119">
        <v>46176</v>
      </c>
      <c r="BF48" s="114"/>
      <c r="BG48" s="115"/>
      <c r="BH48" s="150"/>
      <c r="BI48" s="151"/>
      <c r="BJ48" s="152"/>
      <c r="BK48" s="150"/>
      <c r="BL48" s="151"/>
      <c r="BM48" s="152"/>
      <c r="BN48" s="119">
        <v>46161</v>
      </c>
      <c r="BO48" s="151"/>
      <c r="BP48" s="152"/>
      <c r="BQ48" s="90" t="str">
        <f t="shared" si="0"/>
        <v>7B.1</v>
      </c>
      <c r="BR48" s="71" t="b">
        <f t="shared" si="2"/>
        <v>0</v>
      </c>
    </row>
    <row r="49" spans="1:70" ht="19.5" customHeight="1">
      <c r="A49" s="25">
        <f>COUNTIF(A7:A48,TRUE)/COUNTA($B$7:$B$48)</f>
        <v>0.66666666666666663</v>
      </c>
      <c r="BR49" s="25">
        <f>COUNTIF(BR7:BR48,TRUE)/COUNTA($B$7:$B$48)</f>
        <v>0</v>
      </c>
    </row>
    <row r="50" spans="1:70" ht="19.5" customHeight="1"/>
    <row r="51" spans="1:70" ht="19.5" customHeight="1"/>
    <row r="52" spans="1:70" ht="19.5" customHeight="1">
      <c r="BL52" s="237"/>
    </row>
    <row r="53" spans="1:70" ht="19.5" customHeight="1"/>
    <row r="54" spans="1:70" ht="19.5" customHeight="1"/>
    <row r="55" spans="1:70" ht="19.5" customHeight="1"/>
    <row r="56" spans="1:70" ht="19.5" customHeight="1"/>
    <row r="57" spans="1:70" ht="19.5" customHeight="1"/>
    <row r="58" spans="1:70" ht="19.5" customHeight="1"/>
    <row r="59" spans="1:70" ht="19.5" customHeight="1"/>
    <row r="60" spans="1:70" ht="19.5" customHeight="1"/>
    <row r="61" spans="1:70" ht="19.5" customHeight="1"/>
    <row r="62" spans="1:70" ht="19.5" customHeight="1"/>
    <row r="63" spans="1:70" ht="19.5" customHeight="1"/>
    <row r="64" spans="1:70" ht="19.5" customHeight="1"/>
    <row r="65" spans="4:4" ht="19.5" customHeight="1"/>
    <row r="66" spans="4:4" ht="19.5" customHeight="1"/>
    <row r="67" spans="4:4" ht="19.5" customHeight="1">
      <c r="D67" t="e">
        <v>#VALUE!</v>
      </c>
    </row>
    <row r="68" spans="4:4" ht="19.5" customHeight="1"/>
    <row r="69" spans="4:4" ht="19.5" customHeight="1"/>
    <row r="70" spans="4:4" ht="19.5" customHeight="1"/>
    <row r="71" spans="4:4" ht="19.5" customHeight="1"/>
    <row r="72" spans="4:4" ht="19.5" customHeight="1"/>
    <row r="73" spans="4:4" ht="19.5" customHeight="1"/>
    <row r="74" spans="4:4" ht="19.5" customHeight="1"/>
    <row r="75" spans="4:4" ht="19.5" customHeight="1"/>
    <row r="76" spans="4:4" ht="19.5" customHeight="1"/>
    <row r="77" spans="4:4" ht="19.5" customHeight="1"/>
    <row r="78" spans="4:4" ht="19.5" customHeight="1"/>
    <row r="79" spans="4:4" ht="19.5" customHeight="1"/>
    <row r="80" spans="4:4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</sheetData>
  <sheetProtection selectLockedCells="1"/>
  <mergeCells count="15">
    <mergeCell ref="BH5:BJ5"/>
    <mergeCell ref="BK5:BM5"/>
    <mergeCell ref="BN5:BP5"/>
    <mergeCell ref="AM5:AR5"/>
    <mergeCell ref="AS5:AU5"/>
    <mergeCell ref="AV5:AX5"/>
    <mergeCell ref="AY5:BA5"/>
    <mergeCell ref="BB5:BD5"/>
    <mergeCell ref="BE5:BG5"/>
    <mergeCell ref="AG5:AL5"/>
    <mergeCell ref="C5:H5"/>
    <mergeCell ref="I5:N5"/>
    <mergeCell ref="O5:T5"/>
    <mergeCell ref="U5:Z5"/>
    <mergeCell ref="AA5:AF5"/>
  </mergeCells>
  <conditionalFormatting sqref="C7:AR48">
    <cfRule type="expression" dxfId="94" priority="1">
      <formula>C7=$C$1</formula>
    </cfRule>
    <cfRule type="expression" dxfId="93" priority="2">
      <formula>C7=$C$2</formula>
    </cfRule>
    <cfRule type="expression" dxfId="92" priority="3">
      <formula>C7=$C$3</formula>
    </cfRule>
    <cfRule type="expression" dxfId="91" priority="4">
      <formula>C7=$C$4</formula>
    </cfRule>
    <cfRule type="expression" dxfId="90" priority="5">
      <formula>C7=$P$1</formula>
    </cfRule>
    <cfRule type="expression" dxfId="89" priority="6">
      <formula>C7=$P$2</formula>
    </cfRule>
  </conditionalFormatting>
  <dataValidations count="3">
    <dataValidation type="date" allowBlank="1" showInputMessage="1" showErrorMessage="1" sqref="BB39:BB43 BK8:BK20 BH23:BH34 BK23 BE7 BB21:BB22 AY35:AY38 AV44:AV48 AS7:AU48" xr:uid="{871CFB9A-1873-45AF-B5D9-D26215363F0A}">
      <formula1>45880</formula1>
      <formula2>73050</formula2>
    </dataValidation>
    <dataValidation type="list" allowBlank="1" showInputMessage="1" showErrorMessage="1" sqref="E7:H48 AC7:AF48 AO7:AR48 Q7:Q29 AI7:AL48 W7:Z48 R7:T48 Q32:Q48 K7:N48" xr:uid="{6B989DA0-6E93-48A7-9F59-107AB41AAD17}">
      <formula1>"A,P,O,X,F"</formula1>
    </dataValidation>
    <dataValidation type="list" allowBlank="1" showInputMessage="1" showErrorMessage="1" sqref="C7:D1048576 AG7:AH1048576 AM7:AN1048576 U7:V1048576 I7:J1048576 AA7:AB1048576 O7:P1048576 Q30:Q31" xr:uid="{E4BA2200-F311-4EC2-BAB4-C0D6272F9D8B}">
      <formula1>"A,P,O,X,R,F"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EE8A4-3D23-41DD-9215-A01E9A1DB1DA}">
  <sheetPr codeName="Feuil23">
    <tabColor rgb="FF4D93D9"/>
  </sheetPr>
  <dimension ref="A1:BR94"/>
  <sheetViews>
    <sheetView showGridLines="0" zoomScale="55" zoomScaleNormal="55" workbookViewId="0">
      <pane xSplit="2" ySplit="6" topLeftCell="C7" activePane="bottomRight" state="frozen"/>
      <selection pane="bottomRight" activeCell="A22" sqref="A22:XFD22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3" max="44" width="3.42578125" customWidth="1"/>
    <col min="45" max="45" width="11.85546875" style="90" customWidth="1"/>
    <col min="46" max="46" width="11" style="90" bestFit="1" customWidth="1"/>
    <col min="47" max="53" width="8.5703125" style="90" customWidth="1"/>
    <col min="54" max="54" width="11" style="90" bestFit="1" customWidth="1"/>
    <col min="55" max="59" width="8.5703125" style="90" customWidth="1"/>
    <col min="60" max="60" width="10.7109375" style="90" bestFit="1" customWidth="1"/>
    <col min="61" max="62" width="8.5703125" style="90" customWidth="1"/>
    <col min="63" max="63" width="11.140625" style="90" customWidth="1"/>
    <col min="64" max="68" width="8.5703125" style="90" customWidth="1"/>
  </cols>
  <sheetData>
    <row r="1" spans="1:70" ht="14.45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R1" t="b">
        <v>0</v>
      </c>
    </row>
    <row r="2" spans="1:70" ht="14.45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70" ht="14.45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70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70" ht="37.5" customHeight="1" thickBot="1">
      <c r="B5" s="9"/>
      <c r="C5" s="369" t="s">
        <v>186</v>
      </c>
      <c r="D5" s="369"/>
      <c r="E5" s="369"/>
      <c r="F5" s="369"/>
      <c r="G5" s="369"/>
      <c r="H5" s="370"/>
      <c r="I5" s="369" t="s">
        <v>187</v>
      </c>
      <c r="J5" s="371"/>
      <c r="K5" s="371"/>
      <c r="L5" s="371"/>
      <c r="M5" s="371"/>
      <c r="N5" s="372"/>
      <c r="O5" s="373" t="s">
        <v>188</v>
      </c>
      <c r="P5" s="374"/>
      <c r="Q5" s="374"/>
      <c r="R5" s="374"/>
      <c r="S5" s="374"/>
      <c r="T5" s="375"/>
      <c r="U5" s="373" t="s">
        <v>189</v>
      </c>
      <c r="V5" s="374"/>
      <c r="W5" s="374"/>
      <c r="X5" s="374"/>
      <c r="Y5" s="374"/>
      <c r="Z5" s="375"/>
      <c r="AA5" s="373" t="s">
        <v>190</v>
      </c>
      <c r="AB5" s="374"/>
      <c r="AC5" s="374"/>
      <c r="AD5" s="374"/>
      <c r="AE5" s="374"/>
      <c r="AF5" s="375"/>
      <c r="AG5" s="366" t="s">
        <v>191</v>
      </c>
      <c r="AH5" s="367"/>
      <c r="AI5" s="367"/>
      <c r="AJ5" s="367"/>
      <c r="AK5" s="367"/>
      <c r="AL5" s="368"/>
      <c r="AM5" s="366" t="s">
        <v>192</v>
      </c>
      <c r="AN5" s="367"/>
      <c r="AO5" s="367"/>
      <c r="AP5" s="367"/>
      <c r="AQ5" s="367"/>
      <c r="AR5" s="367"/>
      <c r="AS5" s="379" t="s">
        <v>193</v>
      </c>
      <c r="AT5" s="380"/>
      <c r="AU5" s="381"/>
      <c r="AV5" s="384" t="s">
        <v>186</v>
      </c>
      <c r="AW5" s="384"/>
      <c r="AX5" s="385"/>
      <c r="AY5" s="384" t="s">
        <v>187</v>
      </c>
      <c r="AZ5" s="386"/>
      <c r="BA5" s="387"/>
      <c r="BB5" s="376" t="s">
        <v>188</v>
      </c>
      <c r="BC5" s="377"/>
      <c r="BD5" s="378"/>
      <c r="BE5" s="376" t="s">
        <v>189</v>
      </c>
      <c r="BF5" s="377"/>
      <c r="BG5" s="378"/>
      <c r="BH5" s="376" t="s">
        <v>190</v>
      </c>
      <c r="BI5" s="377"/>
      <c r="BJ5" s="378"/>
      <c r="BK5" s="379" t="s">
        <v>191</v>
      </c>
      <c r="BL5" s="380"/>
      <c r="BM5" s="381"/>
      <c r="BN5" s="379" t="s">
        <v>192</v>
      </c>
      <c r="BO5" s="380"/>
      <c r="BP5" s="381"/>
    </row>
    <row r="6" spans="1:70" ht="18" thickBot="1">
      <c r="A6" s="346" t="s">
        <v>194</v>
      </c>
      <c r="B6" s="10"/>
      <c r="C6" s="81" t="s">
        <v>29</v>
      </c>
      <c r="D6" s="82" t="s">
        <v>30</v>
      </c>
      <c r="E6" s="82" t="s">
        <v>195</v>
      </c>
      <c r="F6" s="82" t="s">
        <v>196</v>
      </c>
      <c r="G6" s="82" t="s">
        <v>197</v>
      </c>
      <c r="H6" s="83" t="s">
        <v>33</v>
      </c>
      <c r="I6" s="81" t="s">
        <v>29</v>
      </c>
      <c r="J6" s="82" t="s">
        <v>30</v>
      </c>
      <c r="K6" s="82" t="s">
        <v>195</v>
      </c>
      <c r="L6" s="82" t="s">
        <v>196</v>
      </c>
      <c r="M6" s="82" t="s">
        <v>197</v>
      </c>
      <c r="N6" s="83" t="s">
        <v>33</v>
      </c>
      <c r="O6" s="81" t="s">
        <v>29</v>
      </c>
      <c r="P6" s="82" t="s">
        <v>30</v>
      </c>
      <c r="Q6" s="82" t="s">
        <v>195</v>
      </c>
      <c r="R6" s="82" t="s">
        <v>196</v>
      </c>
      <c r="S6" s="82" t="s">
        <v>197</v>
      </c>
      <c r="T6" s="83" t="s">
        <v>33</v>
      </c>
      <c r="U6" s="81" t="s">
        <v>29</v>
      </c>
      <c r="V6" s="82" t="s">
        <v>30</v>
      </c>
      <c r="W6" s="82" t="s">
        <v>195</v>
      </c>
      <c r="X6" s="82" t="s">
        <v>196</v>
      </c>
      <c r="Y6" s="82" t="s">
        <v>197</v>
      </c>
      <c r="Z6" s="83" t="s">
        <v>33</v>
      </c>
      <c r="AA6" s="81" t="s">
        <v>29</v>
      </c>
      <c r="AB6" s="82" t="s">
        <v>30</v>
      </c>
      <c r="AC6" s="82" t="s">
        <v>195</v>
      </c>
      <c r="AD6" s="82" t="s">
        <v>196</v>
      </c>
      <c r="AE6" s="82" t="s">
        <v>197</v>
      </c>
      <c r="AF6" s="88" t="s">
        <v>33</v>
      </c>
      <c r="AG6" s="74" t="s">
        <v>29</v>
      </c>
      <c r="AH6" s="75" t="s">
        <v>30</v>
      </c>
      <c r="AI6" s="75" t="s">
        <v>195</v>
      </c>
      <c r="AJ6" s="75" t="s">
        <v>196</v>
      </c>
      <c r="AK6" s="75" t="s">
        <v>197</v>
      </c>
      <c r="AL6" s="76" t="s">
        <v>33</v>
      </c>
      <c r="AM6" s="74" t="s">
        <v>29</v>
      </c>
      <c r="AN6" s="75" t="s">
        <v>30</v>
      </c>
      <c r="AO6" s="75" t="s">
        <v>195</v>
      </c>
      <c r="AP6" s="75" t="s">
        <v>196</v>
      </c>
      <c r="AQ6" s="75" t="s">
        <v>197</v>
      </c>
      <c r="AR6" s="77" t="s">
        <v>33</v>
      </c>
      <c r="AS6" s="97" t="s">
        <v>29</v>
      </c>
      <c r="AT6" s="92" t="s">
        <v>30</v>
      </c>
      <c r="AU6" s="98" t="s">
        <v>33</v>
      </c>
      <c r="AV6" s="99" t="s">
        <v>195</v>
      </c>
      <c r="AW6" s="94" t="s">
        <v>196</v>
      </c>
      <c r="AX6" s="100" t="s">
        <v>197</v>
      </c>
      <c r="AY6" s="99" t="s">
        <v>195</v>
      </c>
      <c r="AZ6" s="94" t="s">
        <v>196</v>
      </c>
      <c r="BA6" s="100" t="s">
        <v>197</v>
      </c>
      <c r="BB6" s="99" t="s">
        <v>195</v>
      </c>
      <c r="BC6" s="94" t="s">
        <v>196</v>
      </c>
      <c r="BD6" s="100" t="s">
        <v>197</v>
      </c>
      <c r="BE6" s="99" t="s">
        <v>195</v>
      </c>
      <c r="BF6" s="94" t="s">
        <v>196</v>
      </c>
      <c r="BG6" s="100" t="s">
        <v>197</v>
      </c>
      <c r="BH6" s="99" t="s">
        <v>195</v>
      </c>
      <c r="BI6" s="94" t="s">
        <v>196</v>
      </c>
      <c r="BJ6" s="100" t="s">
        <v>197</v>
      </c>
      <c r="BK6" s="99" t="s">
        <v>195</v>
      </c>
      <c r="BL6" s="94" t="s">
        <v>196</v>
      </c>
      <c r="BM6" s="100" t="s">
        <v>197</v>
      </c>
      <c r="BN6" s="99" t="s">
        <v>195</v>
      </c>
      <c r="BO6" s="94" t="s">
        <v>196</v>
      </c>
      <c r="BP6" s="100" t="s">
        <v>197</v>
      </c>
      <c r="BR6" s="346" t="s">
        <v>198</v>
      </c>
    </row>
    <row r="7" spans="1:70" ht="20.100000000000001" customHeight="1">
      <c r="A7" s="71" t="b">
        <f t="shared" ref="A7:A37" si="0">IF(OR(D7&lt;&gt;"",V7&lt;&gt;"",J7&lt;&gt;"",P7&lt;&gt;"",AB7&lt;&gt;"",AH7&lt;&gt;"",AN7&lt;&gt;"",AT7&lt;&gt;"",AZ7&lt;&gt;"",BF7&lt;&gt;"",BL7&lt;&gt;""),TRUE,FALSE)</f>
        <v>0</v>
      </c>
      <c r="B7" s="11" t="s">
        <v>80</v>
      </c>
      <c r="C7" s="86"/>
      <c r="D7" s="79"/>
      <c r="E7" s="79"/>
      <c r="F7" s="79"/>
      <c r="G7" s="79"/>
      <c r="H7" s="87"/>
      <c r="I7" s="86"/>
      <c r="J7" s="79"/>
      <c r="K7" s="79"/>
      <c r="L7" s="79"/>
      <c r="M7" s="79"/>
      <c r="N7" s="87"/>
      <c r="O7" s="86"/>
      <c r="P7" s="79"/>
      <c r="Q7" s="79"/>
      <c r="R7" s="79"/>
      <c r="S7" s="79"/>
      <c r="T7" s="87"/>
      <c r="U7" s="86"/>
      <c r="V7" s="79"/>
      <c r="W7" s="79"/>
      <c r="X7" s="79"/>
      <c r="Y7" s="79"/>
      <c r="Z7" s="87"/>
      <c r="AA7" s="84"/>
      <c r="AB7" s="78"/>
      <c r="AC7" s="78"/>
      <c r="AD7" s="78"/>
      <c r="AE7" s="78"/>
      <c r="AF7" s="165"/>
      <c r="AG7" s="166"/>
      <c r="AH7" s="167"/>
      <c r="AI7" s="167"/>
      <c r="AJ7" s="167"/>
      <c r="AK7" s="167"/>
      <c r="AL7" s="168"/>
      <c r="AM7" s="47"/>
      <c r="AN7" s="41"/>
      <c r="AO7" s="41"/>
      <c r="AP7" s="41"/>
      <c r="AQ7" s="41"/>
      <c r="AR7" s="187"/>
      <c r="AS7" s="169"/>
      <c r="AT7" s="170"/>
      <c r="AU7" s="171"/>
      <c r="AV7" s="172"/>
      <c r="AW7" s="173"/>
      <c r="AX7" s="174"/>
      <c r="AY7" s="175"/>
      <c r="AZ7" s="173"/>
      <c r="BA7" s="174"/>
      <c r="BB7" s="175"/>
      <c r="BC7" s="173"/>
      <c r="BD7" s="174"/>
      <c r="BE7" s="176"/>
      <c r="BF7" s="173"/>
      <c r="BG7" s="174"/>
      <c r="BH7" s="172"/>
      <c r="BI7" s="173"/>
      <c r="BJ7" s="174"/>
      <c r="BK7" s="172"/>
      <c r="BL7" s="173"/>
      <c r="BM7" s="174"/>
      <c r="BN7" s="175"/>
      <c r="BO7" s="173"/>
      <c r="BP7" s="174"/>
      <c r="BQ7" s="90" t="str">
        <f t="shared" ref="BQ7:BQ37" si="1">_xlfn.TEXTBEFORE($B7,".",2)</f>
        <v>9.1</v>
      </c>
      <c r="BR7" s="71" t="b">
        <f>IF(OR(H7&lt;&gt;"",N7&lt;&gt;"",T7&lt;&gt;"",Z7&lt;&gt;"",AF7&lt;&gt;"",AL7&lt;&gt;"",AR7&lt;&gt;"",AU7&lt;&gt;""),TRUE,FALSE)</f>
        <v>0</v>
      </c>
    </row>
    <row r="8" spans="1:70" ht="20.100000000000001" customHeight="1">
      <c r="A8" s="71" t="b">
        <f t="shared" si="0"/>
        <v>0</v>
      </c>
      <c r="B8" s="9" t="s">
        <v>81</v>
      </c>
      <c r="C8" s="39"/>
      <c r="D8" s="40"/>
      <c r="E8" s="40"/>
      <c r="F8" s="40"/>
      <c r="G8" s="40"/>
      <c r="H8" s="43"/>
      <c r="I8" s="39"/>
      <c r="J8" s="40"/>
      <c r="K8" s="40"/>
      <c r="L8" s="40"/>
      <c r="M8" s="40"/>
      <c r="N8" s="43"/>
      <c r="O8" s="39"/>
      <c r="P8" s="40"/>
      <c r="Q8" s="40"/>
      <c r="R8" s="40"/>
      <c r="S8" s="40"/>
      <c r="T8" s="43"/>
      <c r="U8" s="39"/>
      <c r="V8" s="40"/>
      <c r="W8" s="40"/>
      <c r="X8" s="40"/>
      <c r="Y8" s="40"/>
      <c r="Z8" s="43"/>
      <c r="AA8" s="14"/>
      <c r="AB8" s="1"/>
      <c r="AC8" s="1"/>
      <c r="AD8" s="1"/>
      <c r="AE8" s="1"/>
      <c r="AF8" s="46"/>
      <c r="AG8" s="14"/>
      <c r="AH8" s="1"/>
      <c r="AI8" s="1"/>
      <c r="AJ8" s="1"/>
      <c r="AK8" s="1"/>
      <c r="AL8" s="15"/>
      <c r="AM8" s="39"/>
      <c r="AN8" s="40"/>
      <c r="AO8" s="40"/>
      <c r="AP8" s="40"/>
      <c r="AQ8" s="40"/>
      <c r="AR8" s="48"/>
      <c r="AS8" s="177"/>
      <c r="AT8" s="178"/>
      <c r="AU8" s="171"/>
      <c r="AV8" s="175"/>
      <c r="AW8" s="179"/>
      <c r="AX8" s="174"/>
      <c r="AY8" s="175"/>
      <c r="AZ8" s="173"/>
      <c r="BA8" s="174"/>
      <c r="BB8" s="175"/>
      <c r="BC8" s="173"/>
      <c r="BD8" s="174"/>
      <c r="BE8" s="175"/>
      <c r="BF8" s="173"/>
      <c r="BG8" s="174"/>
      <c r="BH8" s="172"/>
      <c r="BI8" s="173"/>
      <c r="BJ8" s="174"/>
      <c r="BK8" s="178"/>
      <c r="BL8" s="173"/>
      <c r="BM8" s="174"/>
      <c r="BN8" s="175"/>
      <c r="BO8" s="173"/>
      <c r="BP8" s="174"/>
      <c r="BQ8" s="90" t="str">
        <f t="shared" si="1"/>
        <v>9.1</v>
      </c>
      <c r="BR8" s="71" t="b">
        <f t="shared" ref="BR8:BR37" si="2">IF(OR(H8&lt;&gt;"",N8&lt;&gt;"",T8&lt;&gt;"",Z8&lt;&gt;"",AF8&lt;&gt;"",AL8&lt;&gt;"",AR8&lt;&gt;"",AU8&lt;&gt;""),TRUE,FALSE)</f>
        <v>0</v>
      </c>
    </row>
    <row r="9" spans="1:70" ht="20.100000000000001" customHeight="1">
      <c r="A9" s="71" t="b">
        <f t="shared" si="0"/>
        <v>0</v>
      </c>
      <c r="B9" s="9" t="s">
        <v>82</v>
      </c>
      <c r="C9" s="39"/>
      <c r="D9" s="40"/>
      <c r="E9" s="40"/>
      <c r="F9" s="40"/>
      <c r="G9" s="40"/>
      <c r="H9" s="43"/>
      <c r="I9" s="39"/>
      <c r="J9" s="40"/>
      <c r="K9" s="40"/>
      <c r="L9" s="40"/>
      <c r="M9" s="40"/>
      <c r="N9" s="43"/>
      <c r="O9" s="39"/>
      <c r="P9" s="40"/>
      <c r="Q9" s="40"/>
      <c r="R9" s="40"/>
      <c r="S9" s="40"/>
      <c r="T9" s="43"/>
      <c r="U9" s="39"/>
      <c r="V9" s="40"/>
      <c r="W9" s="40"/>
      <c r="X9" s="40"/>
      <c r="Y9" s="40"/>
      <c r="Z9" s="43"/>
      <c r="AA9" s="14"/>
      <c r="AB9" s="1"/>
      <c r="AC9" s="1"/>
      <c r="AD9" s="1"/>
      <c r="AE9" s="1"/>
      <c r="AF9" s="46"/>
      <c r="AG9" s="14"/>
      <c r="AH9" s="1"/>
      <c r="AI9" s="1"/>
      <c r="AJ9" s="1"/>
      <c r="AK9" s="1"/>
      <c r="AL9" s="15"/>
      <c r="AM9" s="39"/>
      <c r="AN9" s="40"/>
      <c r="AO9" s="40"/>
      <c r="AP9" s="40"/>
      <c r="AQ9" s="40"/>
      <c r="AR9" s="48"/>
      <c r="AS9" s="177"/>
      <c r="AT9" s="178"/>
      <c r="AU9" s="171"/>
      <c r="AV9" s="175"/>
      <c r="AW9" s="173"/>
      <c r="AX9" s="174"/>
      <c r="AY9" s="175"/>
      <c r="AZ9" s="173"/>
      <c r="BA9" s="174"/>
      <c r="BB9" s="175"/>
      <c r="BC9" s="173"/>
      <c r="BD9" s="174"/>
      <c r="BE9" s="175"/>
      <c r="BF9" s="173"/>
      <c r="BG9" s="174"/>
      <c r="BH9" s="172"/>
      <c r="BI9" s="173"/>
      <c r="BJ9" s="174"/>
      <c r="BK9" s="178"/>
      <c r="BL9" s="173"/>
      <c r="BM9" s="174"/>
      <c r="BN9" s="175"/>
      <c r="BO9" s="173"/>
      <c r="BP9" s="174"/>
      <c r="BQ9" s="90" t="str">
        <f t="shared" si="1"/>
        <v>9.1</v>
      </c>
      <c r="BR9" s="71" t="b">
        <f t="shared" si="2"/>
        <v>0</v>
      </c>
    </row>
    <row r="10" spans="1:70" ht="20.100000000000001" customHeight="1">
      <c r="A10" s="71" t="b">
        <f t="shared" si="0"/>
        <v>0</v>
      </c>
      <c r="B10" s="9" t="s">
        <v>83</v>
      </c>
      <c r="C10" s="39"/>
      <c r="D10" s="40"/>
      <c r="E10" s="40"/>
      <c r="F10" s="40"/>
      <c r="G10" s="40"/>
      <c r="H10" s="43"/>
      <c r="I10" s="39"/>
      <c r="J10" s="40"/>
      <c r="K10" s="40"/>
      <c r="L10" s="40"/>
      <c r="M10" s="40"/>
      <c r="N10" s="43"/>
      <c r="O10" s="39"/>
      <c r="P10" s="40"/>
      <c r="Q10" s="40"/>
      <c r="R10" s="40"/>
      <c r="S10" s="40"/>
      <c r="T10" s="43"/>
      <c r="U10" s="39"/>
      <c r="V10" s="40"/>
      <c r="W10" s="40"/>
      <c r="X10" s="40"/>
      <c r="Y10" s="40"/>
      <c r="Z10" s="43"/>
      <c r="AA10" s="14"/>
      <c r="AB10" s="1"/>
      <c r="AC10" s="1"/>
      <c r="AD10" s="1"/>
      <c r="AE10" s="1"/>
      <c r="AF10" s="46"/>
      <c r="AG10" s="14"/>
      <c r="AH10" s="1"/>
      <c r="AI10" s="1"/>
      <c r="AJ10" s="1"/>
      <c r="AK10" s="1"/>
      <c r="AL10" s="15"/>
      <c r="AM10" s="39"/>
      <c r="AN10" s="40"/>
      <c r="AO10" s="40"/>
      <c r="AP10" s="40"/>
      <c r="AQ10" s="40"/>
      <c r="AR10" s="48"/>
      <c r="AS10" s="177"/>
      <c r="AT10" s="178"/>
      <c r="AU10" s="171"/>
      <c r="AV10" s="175"/>
      <c r="AW10" s="173"/>
      <c r="AX10" s="174"/>
      <c r="AY10" s="175"/>
      <c r="AZ10" s="173"/>
      <c r="BA10" s="174"/>
      <c r="BB10" s="175"/>
      <c r="BC10" s="173"/>
      <c r="BD10" s="174"/>
      <c r="BE10" s="175"/>
      <c r="BF10" s="173"/>
      <c r="BG10" s="174"/>
      <c r="BH10" s="172"/>
      <c r="BI10" s="173"/>
      <c r="BJ10" s="174"/>
      <c r="BK10" s="178"/>
      <c r="BL10" s="173"/>
      <c r="BM10" s="174"/>
      <c r="BN10" s="175"/>
      <c r="BO10" s="173"/>
      <c r="BP10" s="174"/>
      <c r="BQ10" s="90" t="str">
        <f t="shared" si="1"/>
        <v>9.2</v>
      </c>
      <c r="BR10" s="71" t="b">
        <f t="shared" si="2"/>
        <v>0</v>
      </c>
    </row>
    <row r="11" spans="1:70" ht="20.100000000000001" customHeight="1">
      <c r="A11" s="71" t="b">
        <f t="shared" si="0"/>
        <v>0</v>
      </c>
      <c r="B11" s="9" t="s">
        <v>84</v>
      </c>
      <c r="C11" s="39"/>
      <c r="D11" s="40"/>
      <c r="E11" s="40"/>
      <c r="F11" s="40"/>
      <c r="G11" s="40"/>
      <c r="H11" s="43"/>
      <c r="I11" s="39"/>
      <c r="J11" s="40"/>
      <c r="K11" s="40"/>
      <c r="L11" s="40"/>
      <c r="M11" s="40"/>
      <c r="N11" s="43"/>
      <c r="O11" s="39"/>
      <c r="P11" s="40"/>
      <c r="Q11" s="40"/>
      <c r="R11" s="40"/>
      <c r="S11" s="40"/>
      <c r="T11" s="43"/>
      <c r="U11" s="39"/>
      <c r="V11" s="40"/>
      <c r="W11" s="40"/>
      <c r="X11" s="40"/>
      <c r="Y11" s="40"/>
      <c r="Z11" s="43"/>
      <c r="AA11" s="14"/>
      <c r="AB11" s="1"/>
      <c r="AC11" s="1"/>
      <c r="AD11" s="1"/>
      <c r="AE11" s="1"/>
      <c r="AF11" s="46"/>
      <c r="AG11" s="14"/>
      <c r="AH11" s="1"/>
      <c r="AI11" s="1"/>
      <c r="AJ11" s="1"/>
      <c r="AK11" s="1"/>
      <c r="AL11" s="15"/>
      <c r="AM11" s="39"/>
      <c r="AN11" s="40"/>
      <c r="AO11" s="40"/>
      <c r="AP11" s="40"/>
      <c r="AQ11" s="40"/>
      <c r="AR11" s="48"/>
      <c r="AS11" s="177"/>
      <c r="AT11" s="178"/>
      <c r="AU11" s="171"/>
      <c r="AV11" s="175"/>
      <c r="AW11" s="173"/>
      <c r="AX11" s="174"/>
      <c r="AY11" s="175"/>
      <c r="AZ11" s="173"/>
      <c r="BA11" s="174"/>
      <c r="BB11" s="175"/>
      <c r="BC11" s="173"/>
      <c r="BD11" s="174"/>
      <c r="BE11" s="175"/>
      <c r="BF11" s="173"/>
      <c r="BG11" s="174"/>
      <c r="BH11" s="172"/>
      <c r="BI11" s="173"/>
      <c r="BJ11" s="174"/>
      <c r="BK11" s="178"/>
      <c r="BL11" s="173"/>
      <c r="BM11" s="174"/>
      <c r="BN11" s="175"/>
      <c r="BO11" s="173"/>
      <c r="BP11" s="174"/>
      <c r="BQ11" s="90" t="str">
        <f t="shared" si="1"/>
        <v>9.3</v>
      </c>
      <c r="BR11" s="71" t="b">
        <f t="shared" si="2"/>
        <v>0</v>
      </c>
    </row>
    <row r="12" spans="1:70" ht="20.100000000000001" customHeight="1">
      <c r="A12" s="71" t="b">
        <f t="shared" si="0"/>
        <v>0</v>
      </c>
      <c r="B12" s="9" t="s">
        <v>85</v>
      </c>
      <c r="C12" s="39"/>
      <c r="D12" s="40"/>
      <c r="E12" s="40"/>
      <c r="F12" s="40"/>
      <c r="G12" s="40"/>
      <c r="H12" s="43"/>
      <c r="I12" s="39"/>
      <c r="J12" s="40"/>
      <c r="K12" s="40"/>
      <c r="L12" s="40"/>
      <c r="M12" s="40"/>
      <c r="N12" s="43"/>
      <c r="O12" s="39"/>
      <c r="P12" s="40"/>
      <c r="Q12" s="40"/>
      <c r="R12" s="40"/>
      <c r="S12" s="40"/>
      <c r="T12" s="43"/>
      <c r="U12" s="39"/>
      <c r="V12" s="40"/>
      <c r="W12" s="40"/>
      <c r="X12" s="40"/>
      <c r="Y12" s="40"/>
      <c r="Z12" s="43"/>
      <c r="AA12" s="14"/>
      <c r="AB12" s="1"/>
      <c r="AC12" s="1"/>
      <c r="AD12" s="1"/>
      <c r="AE12" s="1"/>
      <c r="AF12" s="46"/>
      <c r="AG12" s="14"/>
      <c r="AH12" s="1"/>
      <c r="AI12" s="1"/>
      <c r="AJ12" s="1"/>
      <c r="AK12" s="1"/>
      <c r="AL12" s="15"/>
      <c r="AM12" s="39"/>
      <c r="AN12" s="40"/>
      <c r="AO12" s="40"/>
      <c r="AP12" s="40"/>
      <c r="AQ12" s="40"/>
      <c r="AR12" s="48"/>
      <c r="AS12" s="177"/>
      <c r="AT12" s="178"/>
      <c r="AU12" s="171"/>
      <c r="AV12" s="175"/>
      <c r="AW12" s="173"/>
      <c r="AX12" s="174"/>
      <c r="AY12" s="175"/>
      <c r="AZ12" s="173"/>
      <c r="BA12" s="174"/>
      <c r="BB12" s="175"/>
      <c r="BC12" s="173"/>
      <c r="BD12" s="174"/>
      <c r="BE12" s="175"/>
      <c r="BF12" s="173"/>
      <c r="BG12" s="174"/>
      <c r="BH12" s="172"/>
      <c r="BI12" s="173"/>
      <c r="BJ12" s="174"/>
      <c r="BK12" s="178"/>
      <c r="BL12" s="173"/>
      <c r="BM12" s="174"/>
      <c r="BN12" s="175"/>
      <c r="BO12" s="173"/>
      <c r="BP12" s="174"/>
      <c r="BQ12" s="90" t="str">
        <f t="shared" si="1"/>
        <v>9.4</v>
      </c>
      <c r="BR12" s="71" t="b">
        <f t="shared" si="2"/>
        <v>0</v>
      </c>
    </row>
    <row r="13" spans="1:70" ht="20.100000000000001" customHeight="1">
      <c r="A13" s="71" t="b">
        <f t="shared" si="0"/>
        <v>1</v>
      </c>
      <c r="B13" s="9" t="s">
        <v>86</v>
      </c>
      <c r="C13" s="39"/>
      <c r="D13" s="40"/>
      <c r="E13" s="40"/>
      <c r="F13" s="40"/>
      <c r="G13" s="40"/>
      <c r="H13" s="43"/>
      <c r="I13" s="14" t="s">
        <v>176</v>
      </c>
      <c r="J13" s="1" t="s">
        <v>176</v>
      </c>
      <c r="K13" s="1" t="s">
        <v>176</v>
      </c>
      <c r="L13" s="1"/>
      <c r="M13" s="1"/>
      <c r="N13" s="15"/>
      <c r="O13" s="14" t="s">
        <v>176</v>
      </c>
      <c r="P13" s="1" t="s">
        <v>176</v>
      </c>
      <c r="Q13" s="1" t="s">
        <v>176</v>
      </c>
      <c r="R13" s="1"/>
      <c r="S13" s="1"/>
      <c r="T13" s="15"/>
      <c r="U13" s="39"/>
      <c r="V13" s="40"/>
      <c r="W13" s="40"/>
      <c r="X13" s="40"/>
      <c r="Y13" s="40"/>
      <c r="Z13" s="43"/>
      <c r="AA13" s="39"/>
      <c r="AB13" s="40"/>
      <c r="AC13" s="40"/>
      <c r="AD13" s="40"/>
      <c r="AE13" s="40"/>
      <c r="AF13" s="43"/>
      <c r="AG13" s="39"/>
      <c r="AH13" s="40"/>
      <c r="AI13" s="40"/>
      <c r="AJ13" s="40"/>
      <c r="AK13" s="40"/>
      <c r="AL13" s="43"/>
      <c r="AM13" s="39"/>
      <c r="AN13" s="40"/>
      <c r="AO13" s="40"/>
      <c r="AP13" s="40"/>
      <c r="AQ13" s="40"/>
      <c r="AR13" s="43"/>
      <c r="AS13" s="177">
        <v>46079</v>
      </c>
      <c r="AT13" s="178">
        <v>46149</v>
      </c>
      <c r="AU13" s="171"/>
      <c r="AV13" s="175"/>
      <c r="AW13" s="173"/>
      <c r="AX13" s="174"/>
      <c r="AY13" s="172">
        <v>46177</v>
      </c>
      <c r="AZ13" s="173"/>
      <c r="BA13" s="174"/>
      <c r="BB13" s="172">
        <v>46146</v>
      </c>
      <c r="BC13" s="173"/>
      <c r="BD13" s="174"/>
      <c r="BE13" s="175"/>
      <c r="BF13" s="173"/>
      <c r="BG13" s="174"/>
      <c r="BH13" s="172"/>
      <c r="BI13" s="173"/>
      <c r="BJ13" s="174"/>
      <c r="BK13" s="178"/>
      <c r="BL13" s="173"/>
      <c r="BM13" s="174"/>
      <c r="BN13" s="175"/>
      <c r="BO13" s="173"/>
      <c r="BP13" s="174"/>
      <c r="BQ13" s="90" t="str">
        <f t="shared" si="1"/>
        <v>3B.1</v>
      </c>
      <c r="BR13" s="71" t="b">
        <f t="shared" si="2"/>
        <v>0</v>
      </c>
    </row>
    <row r="14" spans="1:70" ht="20.100000000000001" customHeight="1">
      <c r="A14" s="71" t="b">
        <f t="shared" si="0"/>
        <v>1</v>
      </c>
      <c r="B14" s="9" t="s">
        <v>87</v>
      </c>
      <c r="C14" s="39"/>
      <c r="D14" s="40"/>
      <c r="E14" s="40"/>
      <c r="F14" s="40"/>
      <c r="G14" s="40"/>
      <c r="H14" s="43"/>
      <c r="I14" s="14" t="s">
        <v>176</v>
      </c>
      <c r="J14" s="1" t="s">
        <v>176</v>
      </c>
      <c r="K14" s="1" t="s">
        <v>176</v>
      </c>
      <c r="L14" s="1"/>
      <c r="M14" s="1"/>
      <c r="N14" s="15"/>
      <c r="O14" s="14" t="s">
        <v>176</v>
      </c>
      <c r="P14" s="1" t="s">
        <v>176</v>
      </c>
      <c r="Q14" s="1" t="s">
        <v>176</v>
      </c>
      <c r="R14" s="1"/>
      <c r="S14" s="1"/>
      <c r="T14" s="15"/>
      <c r="U14" s="39"/>
      <c r="V14" s="40"/>
      <c r="W14" s="40"/>
      <c r="X14" s="40"/>
      <c r="Y14" s="40"/>
      <c r="Z14" s="43"/>
      <c r="AA14" s="39"/>
      <c r="AB14" s="40"/>
      <c r="AC14" s="40"/>
      <c r="AD14" s="40"/>
      <c r="AE14" s="40"/>
      <c r="AF14" s="43"/>
      <c r="AG14" s="39"/>
      <c r="AH14" s="40"/>
      <c r="AI14" s="40"/>
      <c r="AJ14" s="40"/>
      <c r="AK14" s="40"/>
      <c r="AL14" s="43"/>
      <c r="AM14" s="39"/>
      <c r="AN14" s="40"/>
      <c r="AO14" s="40"/>
      <c r="AP14" s="40"/>
      <c r="AQ14" s="40"/>
      <c r="AR14" s="43"/>
      <c r="AS14" s="177">
        <v>46083</v>
      </c>
      <c r="AT14" s="178">
        <v>46154</v>
      </c>
      <c r="AU14" s="171"/>
      <c r="AV14" s="175"/>
      <c r="AW14" s="173"/>
      <c r="AX14" s="174"/>
      <c r="AY14" s="172">
        <v>46177</v>
      </c>
      <c r="AZ14" s="173"/>
      <c r="BA14" s="174"/>
      <c r="BB14" s="172">
        <v>46161</v>
      </c>
      <c r="BC14" s="173"/>
      <c r="BD14" s="174"/>
      <c r="BE14" s="175"/>
      <c r="BF14" s="173"/>
      <c r="BG14" s="174"/>
      <c r="BH14" s="172"/>
      <c r="BI14" s="173"/>
      <c r="BJ14" s="174"/>
      <c r="BK14" s="178"/>
      <c r="BL14" s="173"/>
      <c r="BM14" s="174"/>
      <c r="BN14" s="175"/>
      <c r="BO14" s="173"/>
      <c r="BP14" s="174"/>
      <c r="BQ14" s="90" t="str">
        <f t="shared" si="1"/>
        <v>3B.1</v>
      </c>
      <c r="BR14" s="71" t="b">
        <f t="shared" si="2"/>
        <v>0</v>
      </c>
    </row>
    <row r="15" spans="1:70" ht="20.100000000000001" customHeight="1">
      <c r="A15" s="71" t="b">
        <f t="shared" si="0"/>
        <v>1</v>
      </c>
      <c r="B15" s="9" t="s">
        <v>88</v>
      </c>
      <c r="C15" s="39"/>
      <c r="D15" s="40"/>
      <c r="E15" s="40"/>
      <c r="F15" s="40"/>
      <c r="G15" s="40"/>
      <c r="H15" s="43"/>
      <c r="I15" s="14" t="s">
        <v>176</v>
      </c>
      <c r="J15" s="1" t="s">
        <v>176</v>
      </c>
      <c r="K15" s="1"/>
      <c r="L15" s="1"/>
      <c r="M15" s="1"/>
      <c r="N15" s="15"/>
      <c r="O15" s="14" t="s">
        <v>176</v>
      </c>
      <c r="P15" s="1" t="s">
        <v>176</v>
      </c>
      <c r="Q15" s="1" t="s">
        <v>176</v>
      </c>
      <c r="R15" s="1"/>
      <c r="S15" s="1"/>
      <c r="T15" s="15"/>
      <c r="U15" s="39"/>
      <c r="V15" s="40"/>
      <c r="W15" s="40"/>
      <c r="X15" s="40"/>
      <c r="Y15" s="40"/>
      <c r="Z15" s="43"/>
      <c r="AA15" s="39"/>
      <c r="AB15" s="40"/>
      <c r="AC15" s="40"/>
      <c r="AD15" s="40"/>
      <c r="AE15" s="40"/>
      <c r="AF15" s="43"/>
      <c r="AG15" s="39"/>
      <c r="AH15" s="40"/>
      <c r="AI15" s="40"/>
      <c r="AJ15" s="40"/>
      <c r="AK15" s="40"/>
      <c r="AL15" s="43"/>
      <c r="AM15" s="39"/>
      <c r="AN15" s="40"/>
      <c r="AO15" s="40"/>
      <c r="AP15" s="40"/>
      <c r="AQ15" s="40"/>
      <c r="AR15" s="43"/>
      <c r="AS15" s="177">
        <v>46092</v>
      </c>
      <c r="AT15" s="178">
        <v>46160</v>
      </c>
      <c r="AU15" s="171"/>
      <c r="AV15" s="175"/>
      <c r="AW15" s="173"/>
      <c r="AX15" s="174"/>
      <c r="AY15" s="175"/>
      <c r="AZ15" s="173"/>
      <c r="BA15" s="174"/>
      <c r="BB15" s="172">
        <v>46167</v>
      </c>
      <c r="BC15" s="173"/>
      <c r="BD15" s="174"/>
      <c r="BE15" s="175"/>
      <c r="BF15" s="173"/>
      <c r="BG15" s="174"/>
      <c r="BH15" s="172"/>
      <c r="BI15" s="173"/>
      <c r="BJ15" s="174"/>
      <c r="BK15" s="178"/>
      <c r="BL15" s="173"/>
      <c r="BM15" s="174"/>
      <c r="BN15" s="175"/>
      <c r="BO15" s="173"/>
      <c r="BP15" s="174"/>
      <c r="BQ15" s="90" t="str">
        <f t="shared" si="1"/>
        <v>3B.2</v>
      </c>
      <c r="BR15" s="71" t="b">
        <f t="shared" si="2"/>
        <v>0</v>
      </c>
    </row>
    <row r="16" spans="1:70" ht="20.100000000000001" customHeight="1">
      <c r="A16" s="71" t="b">
        <f t="shared" si="0"/>
        <v>1</v>
      </c>
      <c r="B16" s="9" t="s">
        <v>89</v>
      </c>
      <c r="C16" s="39"/>
      <c r="D16" s="40"/>
      <c r="E16" s="40"/>
      <c r="F16" s="40"/>
      <c r="G16" s="40"/>
      <c r="H16" s="43"/>
      <c r="I16" s="14" t="s">
        <v>176</v>
      </c>
      <c r="J16" s="1" t="s">
        <v>176</v>
      </c>
      <c r="K16" s="1"/>
      <c r="L16" s="1"/>
      <c r="M16" s="1"/>
      <c r="N16" s="15"/>
      <c r="O16" s="14" t="s">
        <v>176</v>
      </c>
      <c r="P16" s="1" t="s">
        <v>176</v>
      </c>
      <c r="Q16" s="1" t="s">
        <v>176</v>
      </c>
      <c r="R16" s="1"/>
      <c r="S16" s="1"/>
      <c r="T16" s="15"/>
      <c r="U16" s="39"/>
      <c r="V16" s="40"/>
      <c r="W16" s="40"/>
      <c r="X16" s="40"/>
      <c r="Y16" s="40"/>
      <c r="Z16" s="43"/>
      <c r="AA16" s="39"/>
      <c r="AB16" s="40"/>
      <c r="AC16" s="40"/>
      <c r="AD16" s="40"/>
      <c r="AE16" s="40"/>
      <c r="AF16" s="43"/>
      <c r="AG16" s="39"/>
      <c r="AH16" s="40"/>
      <c r="AI16" s="40"/>
      <c r="AJ16" s="40"/>
      <c r="AK16" s="40"/>
      <c r="AL16" s="43"/>
      <c r="AM16" s="39"/>
      <c r="AN16" s="40"/>
      <c r="AO16" s="40"/>
      <c r="AP16" s="40"/>
      <c r="AQ16" s="40"/>
      <c r="AR16" s="43"/>
      <c r="AS16" s="177">
        <v>46120</v>
      </c>
      <c r="AT16" s="178">
        <v>46161</v>
      </c>
      <c r="AU16" s="180"/>
      <c r="AV16" s="175"/>
      <c r="AW16" s="173"/>
      <c r="AX16" s="174"/>
      <c r="AY16" s="175"/>
      <c r="AZ16" s="173"/>
      <c r="BA16" s="174"/>
      <c r="BB16" s="172">
        <v>46167</v>
      </c>
      <c r="BC16" s="173"/>
      <c r="BD16" s="174"/>
      <c r="BE16" s="175"/>
      <c r="BF16" s="173"/>
      <c r="BG16" s="174"/>
      <c r="BH16" s="172"/>
      <c r="BI16" s="173"/>
      <c r="BJ16" s="174"/>
      <c r="BK16" s="178"/>
      <c r="BL16" s="173"/>
      <c r="BM16" s="174"/>
      <c r="BN16" s="175"/>
      <c r="BO16" s="173"/>
      <c r="BP16" s="174"/>
      <c r="BQ16" s="90" t="str">
        <f t="shared" si="1"/>
        <v>3B.2</v>
      </c>
      <c r="BR16" s="71" t="b">
        <f t="shared" si="2"/>
        <v>0</v>
      </c>
    </row>
    <row r="17" spans="1:70" ht="20.100000000000001" customHeight="1">
      <c r="A17" s="71" t="b">
        <f t="shared" si="0"/>
        <v>1</v>
      </c>
      <c r="B17" s="9" t="s">
        <v>91</v>
      </c>
      <c r="C17" s="39"/>
      <c r="D17" s="40"/>
      <c r="E17" s="40"/>
      <c r="F17" s="40"/>
      <c r="G17" s="40"/>
      <c r="H17" s="43"/>
      <c r="I17" s="14" t="s">
        <v>176</v>
      </c>
      <c r="J17" s="1" t="s">
        <v>176</v>
      </c>
      <c r="K17" s="1"/>
      <c r="L17" s="1"/>
      <c r="M17" s="1"/>
      <c r="N17" s="15"/>
      <c r="O17" s="14" t="s">
        <v>176</v>
      </c>
      <c r="P17" s="1" t="s">
        <v>176</v>
      </c>
      <c r="Q17" s="1"/>
      <c r="R17" s="1"/>
      <c r="S17" s="1"/>
      <c r="T17" s="15"/>
      <c r="U17" s="39"/>
      <c r="V17" s="40"/>
      <c r="W17" s="40"/>
      <c r="X17" s="40"/>
      <c r="Y17" s="40"/>
      <c r="Z17" s="43"/>
      <c r="AA17" s="39"/>
      <c r="AB17" s="40"/>
      <c r="AC17" s="40"/>
      <c r="AD17" s="40"/>
      <c r="AE17" s="40"/>
      <c r="AF17" s="43"/>
      <c r="AG17" s="39"/>
      <c r="AH17" s="40"/>
      <c r="AI17" s="40"/>
      <c r="AJ17" s="40"/>
      <c r="AK17" s="40"/>
      <c r="AL17" s="43"/>
      <c r="AM17" s="39"/>
      <c r="AN17" s="40"/>
      <c r="AO17" s="40"/>
      <c r="AP17" s="40"/>
      <c r="AQ17" s="40"/>
      <c r="AR17" s="43"/>
      <c r="AS17" s="177">
        <v>46121</v>
      </c>
      <c r="AT17" s="178">
        <v>46163</v>
      </c>
      <c r="AU17" s="171"/>
      <c r="AV17" s="175"/>
      <c r="AW17" s="173"/>
      <c r="AX17" s="174"/>
      <c r="AY17" s="175"/>
      <c r="AZ17" s="173"/>
      <c r="BA17" s="174"/>
      <c r="BB17" s="175"/>
      <c r="BC17" s="173"/>
      <c r="BD17" s="174"/>
      <c r="BE17" s="175"/>
      <c r="BF17" s="173"/>
      <c r="BG17" s="174"/>
      <c r="BH17" s="172"/>
      <c r="BI17" s="173"/>
      <c r="BJ17" s="174"/>
      <c r="BK17" s="178"/>
      <c r="BL17" s="173"/>
      <c r="BM17" s="174"/>
      <c r="BN17" s="175"/>
      <c r="BO17" s="173"/>
      <c r="BP17" s="174"/>
      <c r="BQ17" s="90" t="str">
        <f t="shared" si="1"/>
        <v>3B.3</v>
      </c>
      <c r="BR17" s="71" t="b">
        <f t="shared" si="2"/>
        <v>0</v>
      </c>
    </row>
    <row r="18" spans="1:70" ht="20.100000000000001" customHeight="1">
      <c r="A18" s="71" t="b">
        <f t="shared" si="0"/>
        <v>0</v>
      </c>
      <c r="B18" s="9" t="s">
        <v>94</v>
      </c>
      <c r="C18" s="39"/>
      <c r="D18" s="40"/>
      <c r="E18" s="40"/>
      <c r="F18" s="40"/>
      <c r="G18" s="40"/>
      <c r="H18" s="43"/>
      <c r="I18" s="39"/>
      <c r="J18" s="40"/>
      <c r="K18" s="40"/>
      <c r="L18" s="40"/>
      <c r="M18" s="40"/>
      <c r="N18" s="43"/>
      <c r="O18" s="39"/>
      <c r="P18" s="40"/>
      <c r="Q18" s="40"/>
      <c r="R18" s="40"/>
      <c r="S18" s="40"/>
      <c r="T18" s="43"/>
      <c r="U18" s="39"/>
      <c r="V18" s="40"/>
      <c r="W18" s="40"/>
      <c r="X18" s="40"/>
      <c r="Y18" s="40"/>
      <c r="Z18" s="43"/>
      <c r="AA18" s="14"/>
      <c r="AB18" s="1"/>
      <c r="AC18" s="1"/>
      <c r="AD18" s="1"/>
      <c r="AE18" s="1"/>
      <c r="AF18" s="46"/>
      <c r="AG18" s="14"/>
      <c r="AH18" s="1"/>
      <c r="AI18" s="1"/>
      <c r="AJ18" s="1"/>
      <c r="AK18" s="1"/>
      <c r="AL18" s="15"/>
      <c r="AM18" s="39"/>
      <c r="AN18" s="40"/>
      <c r="AO18" s="40"/>
      <c r="AP18" s="40"/>
      <c r="AQ18" s="40"/>
      <c r="AR18" s="48"/>
      <c r="AS18" s="177"/>
      <c r="AT18" s="178"/>
      <c r="AU18" s="171"/>
      <c r="AV18" s="175"/>
      <c r="AW18" s="173"/>
      <c r="AX18" s="174"/>
      <c r="AY18" s="172"/>
      <c r="AZ18" s="173"/>
      <c r="BA18" s="174"/>
      <c r="BB18" s="178"/>
      <c r="BC18" s="173"/>
      <c r="BD18" s="174"/>
      <c r="BE18" s="175"/>
      <c r="BF18" s="173"/>
      <c r="BG18" s="174"/>
      <c r="BH18" s="175"/>
      <c r="BI18" s="173"/>
      <c r="BJ18" s="174"/>
      <c r="BK18" s="175"/>
      <c r="BL18" s="173"/>
      <c r="BM18" s="174"/>
      <c r="BN18" s="175"/>
      <c r="BO18" s="173"/>
      <c r="BP18" s="174"/>
      <c r="BQ18" s="90" t="str">
        <f t="shared" si="1"/>
        <v>4B.1</v>
      </c>
      <c r="BR18" s="71" t="b">
        <f t="shared" si="2"/>
        <v>0</v>
      </c>
    </row>
    <row r="19" spans="1:70" ht="20.100000000000001" customHeight="1">
      <c r="A19" s="71" t="b">
        <f t="shared" si="0"/>
        <v>0</v>
      </c>
      <c r="B19" s="9" t="s">
        <v>95</v>
      </c>
      <c r="C19" s="39"/>
      <c r="D19" s="40"/>
      <c r="E19" s="40"/>
      <c r="F19" s="40"/>
      <c r="G19" s="40"/>
      <c r="H19" s="43"/>
      <c r="I19" s="39"/>
      <c r="J19" s="40"/>
      <c r="K19" s="40"/>
      <c r="L19" s="40"/>
      <c r="M19" s="40"/>
      <c r="N19" s="43"/>
      <c r="O19" s="39"/>
      <c r="P19" s="40"/>
      <c r="Q19" s="40"/>
      <c r="R19" s="40"/>
      <c r="S19" s="40"/>
      <c r="T19" s="43"/>
      <c r="U19" s="39"/>
      <c r="V19" s="40"/>
      <c r="W19" s="40"/>
      <c r="X19" s="40"/>
      <c r="Y19" s="40"/>
      <c r="Z19" s="43"/>
      <c r="AA19" s="14"/>
      <c r="AB19" s="1"/>
      <c r="AC19" s="1"/>
      <c r="AD19" s="1"/>
      <c r="AE19" s="1"/>
      <c r="AF19" s="46"/>
      <c r="AG19" s="14"/>
      <c r="AH19" s="1"/>
      <c r="AI19" s="1"/>
      <c r="AJ19" s="1"/>
      <c r="AK19" s="1"/>
      <c r="AL19" s="15"/>
      <c r="AM19" s="39"/>
      <c r="AN19" s="40"/>
      <c r="AO19" s="40"/>
      <c r="AP19" s="40"/>
      <c r="AQ19" s="40"/>
      <c r="AR19" s="48"/>
      <c r="AS19" s="177"/>
      <c r="AT19" s="178"/>
      <c r="AU19" s="171"/>
      <c r="AV19" s="175"/>
      <c r="AW19" s="173"/>
      <c r="AX19" s="174"/>
      <c r="AY19" s="172"/>
      <c r="AZ19" s="173"/>
      <c r="BA19" s="174"/>
      <c r="BB19" s="178"/>
      <c r="BC19" s="173"/>
      <c r="BD19" s="174"/>
      <c r="BE19" s="175"/>
      <c r="BF19" s="173"/>
      <c r="BG19" s="174"/>
      <c r="BH19" s="175"/>
      <c r="BI19" s="173"/>
      <c r="BJ19" s="174"/>
      <c r="BK19" s="175"/>
      <c r="BL19" s="173"/>
      <c r="BM19" s="174"/>
      <c r="BN19" s="175"/>
      <c r="BO19" s="173"/>
      <c r="BP19" s="174"/>
      <c r="BQ19" s="90" t="str">
        <f t="shared" si="1"/>
        <v>4B.1</v>
      </c>
      <c r="BR19" s="71" t="b">
        <f t="shared" si="2"/>
        <v>0</v>
      </c>
    </row>
    <row r="20" spans="1:70" ht="20.100000000000001" customHeight="1">
      <c r="A20" s="71" t="b">
        <f t="shared" si="0"/>
        <v>0</v>
      </c>
      <c r="B20" s="9" t="s">
        <v>96</v>
      </c>
      <c r="C20" s="39"/>
      <c r="D20" s="40"/>
      <c r="E20" s="40"/>
      <c r="F20" s="40"/>
      <c r="G20" s="40"/>
      <c r="H20" s="43"/>
      <c r="I20" s="39"/>
      <c r="J20" s="40"/>
      <c r="K20" s="40"/>
      <c r="L20" s="40"/>
      <c r="M20" s="40"/>
      <c r="N20" s="43"/>
      <c r="O20" s="39"/>
      <c r="P20" s="40"/>
      <c r="Q20" s="40"/>
      <c r="R20" s="40"/>
      <c r="S20" s="40"/>
      <c r="T20" s="43"/>
      <c r="U20" s="14"/>
      <c r="V20" s="1"/>
      <c r="W20" s="1"/>
      <c r="X20" s="1"/>
      <c r="Y20" s="1"/>
      <c r="Z20" s="15"/>
      <c r="AA20" s="39"/>
      <c r="AB20" s="40"/>
      <c r="AC20" s="40"/>
      <c r="AD20" s="40"/>
      <c r="AE20" s="40"/>
      <c r="AF20" s="48"/>
      <c r="AG20" s="39"/>
      <c r="AH20" s="40"/>
      <c r="AI20" s="40"/>
      <c r="AJ20" s="40"/>
      <c r="AK20" s="40"/>
      <c r="AL20" s="43"/>
      <c r="AM20" s="14"/>
      <c r="AN20" s="1"/>
      <c r="AO20" s="1"/>
      <c r="AP20" s="1"/>
      <c r="AQ20" s="1"/>
      <c r="AR20" s="46"/>
      <c r="AS20" s="177"/>
      <c r="AT20" s="178"/>
      <c r="AU20" s="171"/>
      <c r="AV20" s="175"/>
      <c r="AW20" s="173"/>
      <c r="AX20" s="174"/>
      <c r="AY20" s="175"/>
      <c r="AZ20" s="173"/>
      <c r="BA20" s="174"/>
      <c r="BB20" s="175"/>
      <c r="BC20" s="173"/>
      <c r="BD20" s="174"/>
      <c r="BE20" s="175"/>
      <c r="BF20" s="173"/>
      <c r="BG20" s="174"/>
      <c r="BH20" s="178"/>
      <c r="BI20" s="173"/>
      <c r="BJ20" s="174"/>
      <c r="BK20" s="178"/>
      <c r="BL20" s="173"/>
      <c r="BM20" s="174"/>
      <c r="BN20" s="175"/>
      <c r="BO20" s="173"/>
      <c r="BP20" s="174"/>
      <c r="BQ20" s="90" t="str">
        <f t="shared" si="1"/>
        <v>4B.2</v>
      </c>
      <c r="BR20" s="71" t="b">
        <f t="shared" si="2"/>
        <v>0</v>
      </c>
    </row>
    <row r="21" spans="1:70" ht="20.100000000000001" customHeight="1">
      <c r="A21" s="71" t="b">
        <f t="shared" si="0"/>
        <v>0</v>
      </c>
      <c r="B21" s="9" t="s">
        <v>97</v>
      </c>
      <c r="C21" s="39"/>
      <c r="D21" s="40"/>
      <c r="E21" s="40"/>
      <c r="F21" s="40"/>
      <c r="G21" s="40"/>
      <c r="H21" s="43"/>
      <c r="I21" s="39"/>
      <c r="J21" s="40"/>
      <c r="K21" s="40"/>
      <c r="L21" s="40"/>
      <c r="M21" s="40"/>
      <c r="N21" s="43"/>
      <c r="O21" s="39"/>
      <c r="P21" s="40"/>
      <c r="Q21" s="40"/>
      <c r="R21" s="40"/>
      <c r="S21" s="40"/>
      <c r="T21" s="43"/>
      <c r="U21" s="14"/>
      <c r="V21" s="1"/>
      <c r="W21" s="1"/>
      <c r="X21" s="1"/>
      <c r="Y21" s="1"/>
      <c r="Z21" s="15"/>
      <c r="AA21" s="39"/>
      <c r="AB21" s="40"/>
      <c r="AC21" s="40"/>
      <c r="AD21" s="40"/>
      <c r="AE21" s="40"/>
      <c r="AF21" s="48"/>
      <c r="AG21" s="39"/>
      <c r="AH21" s="40"/>
      <c r="AI21" s="40"/>
      <c r="AJ21" s="40"/>
      <c r="AK21" s="40"/>
      <c r="AL21" s="43"/>
      <c r="AM21" s="14"/>
      <c r="AN21" s="1"/>
      <c r="AO21" s="1"/>
      <c r="AP21" s="1"/>
      <c r="AQ21" s="1"/>
      <c r="AR21" s="46"/>
      <c r="AS21" s="177"/>
      <c r="AT21" s="178"/>
      <c r="AU21" s="171"/>
      <c r="AV21" s="175"/>
      <c r="AW21" s="173"/>
      <c r="AX21" s="174"/>
      <c r="AY21" s="175"/>
      <c r="AZ21" s="173"/>
      <c r="BA21" s="174"/>
      <c r="BB21" s="175"/>
      <c r="BC21" s="173"/>
      <c r="BD21" s="174"/>
      <c r="BE21" s="175"/>
      <c r="BF21" s="173"/>
      <c r="BG21" s="174"/>
      <c r="BH21" s="178"/>
      <c r="BI21" s="173"/>
      <c r="BJ21" s="174"/>
      <c r="BK21" s="172"/>
      <c r="BL21" s="173"/>
      <c r="BM21" s="174"/>
      <c r="BN21" s="175"/>
      <c r="BO21" s="173"/>
      <c r="BP21" s="174"/>
      <c r="BQ21" s="90" t="str">
        <f t="shared" si="1"/>
        <v>4B.2</v>
      </c>
      <c r="BR21" s="71" t="b">
        <f t="shared" si="2"/>
        <v>0</v>
      </c>
    </row>
    <row r="22" spans="1:70" ht="20.100000000000001" customHeight="1">
      <c r="A22" s="71" t="b">
        <f t="shared" si="0"/>
        <v>0</v>
      </c>
      <c r="B22" s="9" t="s">
        <v>98</v>
      </c>
      <c r="C22" s="39"/>
      <c r="D22" s="40"/>
      <c r="E22" s="40"/>
      <c r="F22" s="40"/>
      <c r="G22" s="40"/>
      <c r="H22" s="43"/>
      <c r="I22" s="245" t="s">
        <v>176</v>
      </c>
      <c r="J22" s="1"/>
      <c r="K22" s="1"/>
      <c r="L22" s="1"/>
      <c r="M22" s="1"/>
      <c r="N22" s="15"/>
      <c r="O22" s="245" t="s">
        <v>176</v>
      </c>
      <c r="P22" s="1"/>
      <c r="Q22" s="1"/>
      <c r="R22" s="1"/>
      <c r="S22" s="1"/>
      <c r="T22" s="15"/>
      <c r="U22" s="39"/>
      <c r="V22" s="40"/>
      <c r="W22" s="40"/>
      <c r="X22" s="40"/>
      <c r="Y22" s="40"/>
      <c r="Z22" s="43"/>
      <c r="AA22" s="39"/>
      <c r="AB22" s="40"/>
      <c r="AC22" s="40"/>
      <c r="AD22" s="40"/>
      <c r="AE22" s="40"/>
      <c r="AF22" s="48"/>
      <c r="AG22" s="39"/>
      <c r="AH22" s="40"/>
      <c r="AI22" s="40"/>
      <c r="AJ22" s="40"/>
      <c r="AK22" s="40"/>
      <c r="AL22" s="43"/>
      <c r="AM22" s="39"/>
      <c r="AN22" s="40"/>
      <c r="AO22" s="40"/>
      <c r="AP22" s="40"/>
      <c r="AQ22" s="40"/>
      <c r="AR22" s="48"/>
      <c r="AS22" s="177">
        <v>46244</v>
      </c>
      <c r="AT22" s="178"/>
      <c r="AU22" s="171"/>
      <c r="AV22" s="175"/>
      <c r="AW22" s="173"/>
      <c r="AX22" s="174"/>
      <c r="AY22" s="175"/>
      <c r="AZ22" s="173"/>
      <c r="BA22" s="174"/>
      <c r="BB22" s="175"/>
      <c r="BC22" s="173"/>
      <c r="BD22" s="174"/>
      <c r="BE22" s="175"/>
      <c r="BF22" s="173"/>
      <c r="BG22" s="174"/>
      <c r="BH22" s="178"/>
      <c r="BI22" s="173"/>
      <c r="BJ22" s="174"/>
      <c r="BK22" s="172"/>
      <c r="BL22" s="173"/>
      <c r="BM22" s="174"/>
      <c r="BN22" s="175"/>
      <c r="BO22" s="173"/>
      <c r="BP22" s="174"/>
      <c r="BQ22" s="90" t="str">
        <f t="shared" si="1"/>
        <v>4B.3</v>
      </c>
      <c r="BR22" s="71" t="b">
        <f t="shared" si="2"/>
        <v>0</v>
      </c>
    </row>
    <row r="23" spans="1:70" ht="20.100000000000001" customHeight="1">
      <c r="A23" s="71" t="b">
        <f t="shared" si="0"/>
        <v>1</v>
      </c>
      <c r="B23" s="9" t="s">
        <v>99</v>
      </c>
      <c r="C23" s="39"/>
      <c r="D23" s="40"/>
      <c r="E23" s="40"/>
      <c r="F23" s="40"/>
      <c r="G23" s="40"/>
      <c r="H23" s="43"/>
      <c r="I23" s="14" t="s">
        <v>176</v>
      </c>
      <c r="J23" s="1" t="s">
        <v>176</v>
      </c>
      <c r="K23" s="1" t="s">
        <v>176</v>
      </c>
      <c r="L23" s="1"/>
      <c r="M23" s="1"/>
      <c r="N23" s="15"/>
      <c r="O23" s="14" t="s">
        <v>176</v>
      </c>
      <c r="P23" s="1" t="s">
        <v>176</v>
      </c>
      <c r="Q23" s="1" t="s">
        <v>176</v>
      </c>
      <c r="R23" s="1"/>
      <c r="S23" s="1"/>
      <c r="T23" s="15"/>
      <c r="U23" s="39"/>
      <c r="V23" s="40"/>
      <c r="W23" s="40"/>
      <c r="X23" s="40"/>
      <c r="Y23" s="40"/>
      <c r="Z23" s="43"/>
      <c r="AA23" s="39"/>
      <c r="AB23" s="40"/>
      <c r="AC23" s="40"/>
      <c r="AD23" s="40"/>
      <c r="AE23" s="40"/>
      <c r="AF23" s="48"/>
      <c r="AG23" s="39"/>
      <c r="AH23" s="40"/>
      <c r="AI23" s="40"/>
      <c r="AJ23" s="40"/>
      <c r="AK23" s="40"/>
      <c r="AL23" s="43"/>
      <c r="AM23" s="39"/>
      <c r="AN23" s="40"/>
      <c r="AO23" s="40"/>
      <c r="AP23" s="40"/>
      <c r="AQ23" s="40"/>
      <c r="AR23" s="48"/>
      <c r="AS23" s="177">
        <v>46141</v>
      </c>
      <c r="AT23" s="178">
        <v>46162</v>
      </c>
      <c r="AU23" s="171"/>
      <c r="AV23" s="175"/>
      <c r="AW23" s="173"/>
      <c r="AX23" s="174"/>
      <c r="AY23" s="172">
        <v>46141</v>
      </c>
      <c r="AZ23" s="173"/>
      <c r="BA23" s="174"/>
      <c r="BB23" s="172">
        <v>46142</v>
      </c>
      <c r="BC23" s="173"/>
      <c r="BD23" s="174"/>
      <c r="BE23" s="175"/>
      <c r="BF23" s="173"/>
      <c r="BG23" s="174"/>
      <c r="BH23" s="178"/>
      <c r="BI23" s="179"/>
      <c r="BJ23" s="174"/>
      <c r="BK23" s="172"/>
      <c r="BL23" s="179"/>
      <c r="BM23" s="174"/>
      <c r="BN23" s="175"/>
      <c r="BO23" s="173"/>
      <c r="BP23" s="174"/>
      <c r="BQ23" s="90" t="str">
        <f t="shared" si="1"/>
        <v>4B.3</v>
      </c>
      <c r="BR23" s="71" t="b">
        <f t="shared" si="2"/>
        <v>0</v>
      </c>
    </row>
    <row r="24" spans="1:70" ht="20.100000000000001" customHeight="1">
      <c r="A24" s="71" t="b">
        <f t="shared" si="0"/>
        <v>0</v>
      </c>
      <c r="B24" s="9" t="s">
        <v>100</v>
      </c>
      <c r="C24" s="39"/>
      <c r="D24" s="40"/>
      <c r="E24" s="40"/>
      <c r="F24" s="40"/>
      <c r="G24" s="40"/>
      <c r="H24" s="43"/>
      <c r="I24" s="89"/>
      <c r="J24" s="1"/>
      <c r="K24" s="1"/>
      <c r="L24" s="1"/>
      <c r="M24" s="1"/>
      <c r="N24" s="15"/>
      <c r="O24" s="89"/>
      <c r="P24" s="1"/>
      <c r="Q24" s="1"/>
      <c r="R24" s="1"/>
      <c r="S24" s="1"/>
      <c r="T24" s="15"/>
      <c r="U24" s="39"/>
      <c r="V24" s="40"/>
      <c r="W24" s="40"/>
      <c r="X24" s="40"/>
      <c r="Y24" s="40"/>
      <c r="Z24" s="43"/>
      <c r="AA24" s="39"/>
      <c r="AB24" s="40"/>
      <c r="AC24" s="40"/>
      <c r="AD24" s="40"/>
      <c r="AE24" s="40"/>
      <c r="AF24" s="48"/>
      <c r="AG24" s="39"/>
      <c r="AH24" s="40"/>
      <c r="AI24" s="40"/>
      <c r="AJ24" s="40"/>
      <c r="AK24" s="40"/>
      <c r="AL24" s="43"/>
      <c r="AM24" s="39"/>
      <c r="AN24" s="40"/>
      <c r="AO24" s="40"/>
      <c r="AP24" s="40"/>
      <c r="AQ24" s="40"/>
      <c r="AR24" s="48"/>
      <c r="AS24" s="177"/>
      <c r="AT24" s="178"/>
      <c r="AU24" s="171"/>
      <c r="AV24" s="175"/>
      <c r="AW24" s="173"/>
      <c r="AX24" s="174"/>
      <c r="AY24" s="175"/>
      <c r="AZ24" s="173"/>
      <c r="BA24" s="174"/>
      <c r="BB24" s="175"/>
      <c r="BC24" s="173"/>
      <c r="BD24" s="174"/>
      <c r="BE24" s="175"/>
      <c r="BF24" s="173"/>
      <c r="BG24" s="174"/>
      <c r="BH24" s="178"/>
      <c r="BI24" s="173"/>
      <c r="BJ24" s="174"/>
      <c r="BK24" s="172"/>
      <c r="BL24" s="173"/>
      <c r="BM24" s="174"/>
      <c r="BN24" s="175"/>
      <c r="BO24" s="173"/>
      <c r="BP24" s="174"/>
      <c r="BQ24" s="90" t="str">
        <f t="shared" si="1"/>
        <v>4B.3</v>
      </c>
      <c r="BR24" s="71" t="b">
        <f t="shared" si="2"/>
        <v>0</v>
      </c>
    </row>
    <row r="25" spans="1:70" ht="20.100000000000001" customHeight="1">
      <c r="A25" s="71" t="b">
        <f t="shared" si="0"/>
        <v>0</v>
      </c>
      <c r="B25" s="9" t="s">
        <v>101</v>
      </c>
      <c r="C25" s="39"/>
      <c r="D25" s="40"/>
      <c r="E25" s="40"/>
      <c r="F25" s="40"/>
      <c r="G25" s="40"/>
      <c r="H25" s="43"/>
      <c r="I25" s="14"/>
      <c r="J25" s="1"/>
      <c r="K25" s="1"/>
      <c r="L25" s="1"/>
      <c r="M25" s="1"/>
      <c r="N25" s="15"/>
      <c r="O25" s="14"/>
      <c r="P25" s="1"/>
      <c r="Q25" s="1"/>
      <c r="R25" s="1"/>
      <c r="S25" s="1"/>
      <c r="T25" s="15"/>
      <c r="U25" s="39"/>
      <c r="V25" s="40"/>
      <c r="W25" s="40"/>
      <c r="X25" s="40"/>
      <c r="Y25" s="40"/>
      <c r="Z25" s="43"/>
      <c r="AA25" s="39"/>
      <c r="AB25" s="40"/>
      <c r="AC25" s="40"/>
      <c r="AD25" s="40"/>
      <c r="AE25" s="40"/>
      <c r="AF25" s="48"/>
      <c r="AG25" s="39"/>
      <c r="AH25" s="40"/>
      <c r="AI25" s="40"/>
      <c r="AJ25" s="40"/>
      <c r="AK25" s="40"/>
      <c r="AL25" s="43"/>
      <c r="AM25" s="39"/>
      <c r="AN25" s="40"/>
      <c r="AO25" s="40"/>
      <c r="AP25" s="40"/>
      <c r="AQ25" s="40"/>
      <c r="AR25" s="48"/>
      <c r="AS25" s="177"/>
      <c r="AT25" s="178"/>
      <c r="AU25" s="171"/>
      <c r="AV25" s="175"/>
      <c r="AW25" s="173"/>
      <c r="AX25" s="174"/>
      <c r="AY25" s="175"/>
      <c r="AZ25" s="173"/>
      <c r="BA25" s="174"/>
      <c r="BB25" s="175"/>
      <c r="BC25" s="173"/>
      <c r="BD25" s="174"/>
      <c r="BE25" s="175"/>
      <c r="BF25" s="173"/>
      <c r="BG25" s="174"/>
      <c r="BH25" s="178"/>
      <c r="BI25" s="173"/>
      <c r="BJ25" s="174"/>
      <c r="BK25" s="172"/>
      <c r="BL25" s="173"/>
      <c r="BM25" s="174"/>
      <c r="BN25" s="175"/>
      <c r="BO25" s="173"/>
      <c r="BP25" s="174"/>
      <c r="BQ25" s="90" t="str">
        <f t="shared" si="1"/>
        <v>4B.3</v>
      </c>
      <c r="BR25" s="71" t="b">
        <f t="shared" si="2"/>
        <v>0</v>
      </c>
    </row>
    <row r="26" spans="1:70" ht="20.100000000000001" customHeight="1">
      <c r="A26" s="71" t="b">
        <f t="shared" si="0"/>
        <v>0</v>
      </c>
      <c r="B26" s="9" t="s">
        <v>102</v>
      </c>
      <c r="C26" s="39"/>
      <c r="D26" s="40"/>
      <c r="E26" s="40"/>
      <c r="F26" s="40"/>
      <c r="G26" s="40"/>
      <c r="H26" s="43"/>
      <c r="I26" s="245" t="s">
        <v>176</v>
      </c>
      <c r="J26" s="1"/>
      <c r="K26" s="1"/>
      <c r="L26" s="1"/>
      <c r="M26" s="1"/>
      <c r="N26" s="15"/>
      <c r="O26" s="245" t="s">
        <v>176</v>
      </c>
      <c r="P26" s="1"/>
      <c r="Q26" s="1"/>
      <c r="R26" s="1"/>
      <c r="S26" s="1"/>
      <c r="T26" s="15"/>
      <c r="U26" s="39"/>
      <c r="V26" s="40"/>
      <c r="W26" s="40"/>
      <c r="X26" s="40"/>
      <c r="Y26" s="40"/>
      <c r="Z26" s="43"/>
      <c r="AA26" s="39"/>
      <c r="AB26" s="40"/>
      <c r="AC26" s="40"/>
      <c r="AD26" s="40"/>
      <c r="AE26" s="40"/>
      <c r="AF26" s="48"/>
      <c r="AG26" s="39"/>
      <c r="AH26" s="40"/>
      <c r="AI26" s="40"/>
      <c r="AJ26" s="40"/>
      <c r="AK26" s="40"/>
      <c r="AL26" s="43"/>
      <c r="AM26" s="39"/>
      <c r="AN26" s="40"/>
      <c r="AO26" s="40"/>
      <c r="AP26" s="40"/>
      <c r="AQ26" s="40"/>
      <c r="AR26" s="48"/>
      <c r="AS26" s="177">
        <v>46246</v>
      </c>
      <c r="AT26" s="178"/>
      <c r="AU26" s="171"/>
      <c r="AV26" s="175"/>
      <c r="AW26" s="173"/>
      <c r="AX26" s="174"/>
      <c r="AY26" s="175"/>
      <c r="AZ26" s="173"/>
      <c r="BA26" s="174"/>
      <c r="BB26" s="175"/>
      <c r="BC26" s="173"/>
      <c r="BD26" s="174"/>
      <c r="BE26" s="175"/>
      <c r="BF26" s="173"/>
      <c r="BG26" s="174"/>
      <c r="BH26" s="178"/>
      <c r="BI26" s="173"/>
      <c r="BJ26" s="174"/>
      <c r="BK26" s="172"/>
      <c r="BL26" s="173"/>
      <c r="BM26" s="174"/>
      <c r="BN26" s="175"/>
      <c r="BO26" s="173"/>
      <c r="BP26" s="174"/>
      <c r="BQ26" s="90" t="str">
        <f t="shared" si="1"/>
        <v>4B.3</v>
      </c>
      <c r="BR26" s="71" t="b">
        <f t="shared" si="2"/>
        <v>0</v>
      </c>
    </row>
    <row r="27" spans="1:70" ht="20.100000000000001" customHeight="1">
      <c r="A27" s="71" t="b">
        <f t="shared" si="0"/>
        <v>0</v>
      </c>
      <c r="B27" s="9" t="s">
        <v>103</v>
      </c>
      <c r="C27" s="39"/>
      <c r="D27" s="40"/>
      <c r="E27" s="40"/>
      <c r="F27" s="40"/>
      <c r="G27" s="40"/>
      <c r="H27" s="43"/>
      <c r="I27" s="14"/>
      <c r="J27" s="1"/>
      <c r="K27" s="1"/>
      <c r="L27" s="1"/>
      <c r="M27" s="1"/>
      <c r="N27" s="15"/>
      <c r="O27" s="14"/>
      <c r="P27" s="1"/>
      <c r="Q27" s="1"/>
      <c r="R27" s="1"/>
      <c r="S27" s="1"/>
      <c r="T27" s="15"/>
      <c r="U27" s="39"/>
      <c r="V27" s="40"/>
      <c r="W27" s="40"/>
      <c r="X27" s="40"/>
      <c r="Y27" s="40"/>
      <c r="Z27" s="43"/>
      <c r="AA27" s="39"/>
      <c r="AB27" s="40"/>
      <c r="AC27" s="40"/>
      <c r="AD27" s="40"/>
      <c r="AE27" s="40"/>
      <c r="AF27" s="48"/>
      <c r="AG27" s="39"/>
      <c r="AH27" s="40"/>
      <c r="AI27" s="40"/>
      <c r="AJ27" s="40"/>
      <c r="AK27" s="40"/>
      <c r="AL27" s="43"/>
      <c r="AM27" s="39"/>
      <c r="AN27" s="40"/>
      <c r="AO27" s="40"/>
      <c r="AP27" s="40"/>
      <c r="AQ27" s="40"/>
      <c r="AR27" s="48"/>
      <c r="AS27" s="177"/>
      <c r="AT27" s="178"/>
      <c r="AU27" s="171"/>
      <c r="AV27" s="175"/>
      <c r="AW27" s="173"/>
      <c r="AX27" s="174"/>
      <c r="AY27" s="175"/>
      <c r="AZ27" s="173"/>
      <c r="BA27" s="174"/>
      <c r="BB27" s="175"/>
      <c r="BC27" s="173"/>
      <c r="BD27" s="174"/>
      <c r="BE27" s="175"/>
      <c r="BF27" s="173"/>
      <c r="BG27" s="174"/>
      <c r="BH27" s="178"/>
      <c r="BI27" s="173"/>
      <c r="BJ27" s="174"/>
      <c r="BK27" s="172"/>
      <c r="BL27" s="173"/>
      <c r="BM27" s="174"/>
      <c r="BN27" s="175"/>
      <c r="BO27" s="173"/>
      <c r="BP27" s="174"/>
      <c r="BQ27" s="90" t="str">
        <f t="shared" si="1"/>
        <v>4B.3</v>
      </c>
      <c r="BR27" s="71" t="b">
        <f t="shared" si="2"/>
        <v>0</v>
      </c>
    </row>
    <row r="28" spans="1:70" ht="20.100000000000001" customHeight="1">
      <c r="A28" s="71" t="b">
        <f t="shared" si="0"/>
        <v>0</v>
      </c>
      <c r="B28" s="9" t="s">
        <v>104</v>
      </c>
      <c r="C28" s="39"/>
      <c r="D28" s="40"/>
      <c r="E28" s="40"/>
      <c r="F28" s="40"/>
      <c r="G28" s="40"/>
      <c r="H28" s="43"/>
      <c r="I28" s="245" t="s">
        <v>176</v>
      </c>
      <c r="J28" s="1"/>
      <c r="K28" s="1"/>
      <c r="L28" s="1"/>
      <c r="M28" s="1"/>
      <c r="N28" s="15"/>
      <c r="O28" s="245" t="s">
        <v>176</v>
      </c>
      <c r="P28" s="1"/>
      <c r="Q28" s="1"/>
      <c r="R28" s="1"/>
      <c r="S28" s="1"/>
      <c r="T28" s="15"/>
      <c r="U28" s="39"/>
      <c r="V28" s="40"/>
      <c r="W28" s="40"/>
      <c r="X28" s="40"/>
      <c r="Y28" s="40"/>
      <c r="Z28" s="43"/>
      <c r="AA28" s="39"/>
      <c r="AB28" s="40"/>
      <c r="AC28" s="40"/>
      <c r="AD28" s="40"/>
      <c r="AE28" s="40"/>
      <c r="AF28" s="48"/>
      <c r="AG28" s="39"/>
      <c r="AH28" s="40"/>
      <c r="AI28" s="40"/>
      <c r="AJ28" s="40"/>
      <c r="AK28" s="40"/>
      <c r="AL28" s="43"/>
      <c r="AM28" s="39"/>
      <c r="AN28" s="40"/>
      <c r="AO28" s="40"/>
      <c r="AP28" s="40"/>
      <c r="AQ28" s="40"/>
      <c r="AR28" s="48"/>
      <c r="AS28" s="177">
        <v>46253</v>
      </c>
      <c r="AT28" s="178"/>
      <c r="AU28" s="171"/>
      <c r="AV28" s="175"/>
      <c r="AW28" s="173"/>
      <c r="AX28" s="174"/>
      <c r="AY28" s="175"/>
      <c r="AZ28" s="173"/>
      <c r="BA28" s="174"/>
      <c r="BB28" s="175"/>
      <c r="BC28" s="173"/>
      <c r="BD28" s="174"/>
      <c r="BE28" s="175"/>
      <c r="BF28" s="173"/>
      <c r="BG28" s="174"/>
      <c r="BH28" s="178"/>
      <c r="BI28" s="173"/>
      <c r="BJ28" s="174"/>
      <c r="BK28" s="172"/>
      <c r="BL28" s="173"/>
      <c r="BM28" s="174"/>
      <c r="BN28" s="175"/>
      <c r="BO28" s="173"/>
      <c r="BP28" s="174"/>
      <c r="BQ28" s="90" t="str">
        <f t="shared" si="1"/>
        <v>4B.3</v>
      </c>
      <c r="BR28" s="71" t="b">
        <f t="shared" si="2"/>
        <v>0</v>
      </c>
    </row>
    <row r="29" spans="1:70" ht="20.100000000000001" customHeight="1">
      <c r="A29" s="71" t="b">
        <f t="shared" si="0"/>
        <v>0</v>
      </c>
      <c r="B29" s="9" t="s">
        <v>105</v>
      </c>
      <c r="C29" s="39"/>
      <c r="D29" s="40"/>
      <c r="E29" s="40"/>
      <c r="F29" s="40"/>
      <c r="G29" s="40"/>
      <c r="H29" s="43"/>
      <c r="I29" s="14"/>
      <c r="J29" s="1"/>
      <c r="K29" s="1"/>
      <c r="L29" s="1"/>
      <c r="M29" s="1"/>
      <c r="N29" s="15"/>
      <c r="O29" s="14"/>
      <c r="P29" s="1"/>
      <c r="Q29" s="1"/>
      <c r="R29" s="1"/>
      <c r="S29" s="1"/>
      <c r="T29" s="15"/>
      <c r="U29" s="39"/>
      <c r="V29" s="40"/>
      <c r="W29" s="40"/>
      <c r="X29" s="40"/>
      <c r="Y29" s="40"/>
      <c r="Z29" s="43"/>
      <c r="AA29" s="40"/>
      <c r="AB29" s="40"/>
      <c r="AC29" s="40"/>
      <c r="AD29" s="40"/>
      <c r="AE29" s="40"/>
      <c r="AF29" s="48"/>
      <c r="AG29" s="39"/>
      <c r="AH29" s="40"/>
      <c r="AI29" s="40"/>
      <c r="AJ29" s="40"/>
      <c r="AK29" s="40"/>
      <c r="AL29" s="43"/>
      <c r="AM29" s="39"/>
      <c r="AN29" s="40"/>
      <c r="AO29" s="40"/>
      <c r="AP29" s="40"/>
      <c r="AQ29" s="40"/>
      <c r="AR29" s="48"/>
      <c r="AS29" s="177"/>
      <c r="AT29" s="178"/>
      <c r="AU29" s="171"/>
      <c r="AV29" s="175"/>
      <c r="AW29" s="173"/>
      <c r="AX29" s="174"/>
      <c r="AY29" s="175"/>
      <c r="AZ29" s="173"/>
      <c r="BA29" s="174"/>
      <c r="BB29" s="175"/>
      <c r="BC29" s="173"/>
      <c r="BD29" s="174"/>
      <c r="BE29" s="175"/>
      <c r="BF29" s="173"/>
      <c r="BG29" s="174"/>
      <c r="BH29" s="178"/>
      <c r="BI29" s="173"/>
      <c r="BJ29" s="174"/>
      <c r="BK29" s="172"/>
      <c r="BL29" s="173"/>
      <c r="BM29" s="174"/>
      <c r="BN29" s="175"/>
      <c r="BO29" s="173"/>
      <c r="BP29" s="174"/>
      <c r="BQ29" s="90" t="str">
        <f t="shared" si="1"/>
        <v>4B.3</v>
      </c>
      <c r="BR29" s="71" t="b">
        <f t="shared" si="2"/>
        <v>0</v>
      </c>
    </row>
    <row r="30" spans="1:70" ht="20.100000000000001" customHeight="1">
      <c r="A30" s="71" t="b">
        <f t="shared" si="0"/>
        <v>0</v>
      </c>
      <c r="B30" s="9" t="s">
        <v>106</v>
      </c>
      <c r="C30" s="39"/>
      <c r="D30" s="40"/>
      <c r="E30" s="40"/>
      <c r="F30" s="40"/>
      <c r="G30" s="40"/>
      <c r="H30" s="43"/>
      <c r="I30" s="39"/>
      <c r="J30" s="40"/>
      <c r="K30" s="40"/>
      <c r="L30" s="40"/>
      <c r="M30" s="40"/>
      <c r="N30" s="43"/>
      <c r="O30" s="39"/>
      <c r="P30" s="40"/>
      <c r="Q30" s="40"/>
      <c r="R30" s="40"/>
      <c r="S30" s="40"/>
      <c r="T30" s="43"/>
      <c r="U30" s="39"/>
      <c r="V30" s="40"/>
      <c r="W30" s="40"/>
      <c r="X30" s="40"/>
      <c r="Y30" s="40"/>
      <c r="Z30" s="43"/>
      <c r="AA30" s="1"/>
      <c r="AB30" s="1"/>
      <c r="AC30" s="1"/>
      <c r="AD30" s="1"/>
      <c r="AE30" s="1"/>
      <c r="AF30" s="46"/>
      <c r="AG30" s="14"/>
      <c r="AH30" s="1"/>
      <c r="AI30" s="1"/>
      <c r="AJ30" s="1"/>
      <c r="AK30" s="1"/>
      <c r="AL30" s="15"/>
      <c r="AM30" s="39"/>
      <c r="AN30" s="40"/>
      <c r="AO30" s="40"/>
      <c r="AP30" s="40"/>
      <c r="AQ30" s="40"/>
      <c r="AR30" s="48"/>
      <c r="AS30" s="177"/>
      <c r="AT30" s="178"/>
      <c r="AU30" s="171"/>
      <c r="AV30" s="175"/>
      <c r="AW30" s="173"/>
      <c r="AX30" s="174"/>
      <c r="AY30" s="175"/>
      <c r="AZ30" s="173"/>
      <c r="BA30" s="174"/>
      <c r="BB30" s="175"/>
      <c r="BC30" s="173"/>
      <c r="BD30" s="174"/>
      <c r="BE30" s="175"/>
      <c r="BF30" s="173"/>
      <c r="BG30" s="174"/>
      <c r="BH30" s="178"/>
      <c r="BI30" s="173"/>
      <c r="BJ30" s="174"/>
      <c r="BK30" s="172"/>
      <c r="BL30" s="173"/>
      <c r="BM30" s="174"/>
      <c r="BN30" s="175"/>
      <c r="BO30" s="173"/>
      <c r="BP30" s="174"/>
      <c r="BQ30" s="90" t="str">
        <f t="shared" si="1"/>
        <v>5B.1</v>
      </c>
      <c r="BR30" s="71" t="b">
        <f t="shared" si="2"/>
        <v>0</v>
      </c>
    </row>
    <row r="31" spans="1:70" ht="20.100000000000001" customHeight="1">
      <c r="A31" s="71" t="b">
        <f t="shared" si="0"/>
        <v>0</v>
      </c>
      <c r="B31" s="9" t="s">
        <v>107</v>
      </c>
      <c r="C31" s="39"/>
      <c r="D31" s="40"/>
      <c r="E31" s="40"/>
      <c r="F31" s="40"/>
      <c r="G31" s="40"/>
      <c r="H31" s="43"/>
      <c r="I31" s="39"/>
      <c r="J31" s="40"/>
      <c r="K31" s="40"/>
      <c r="L31" s="40"/>
      <c r="M31" s="40"/>
      <c r="N31" s="43"/>
      <c r="O31" s="39"/>
      <c r="P31" s="40"/>
      <c r="Q31" s="40"/>
      <c r="R31" s="40"/>
      <c r="S31" s="40"/>
      <c r="T31" s="43"/>
      <c r="U31" s="39"/>
      <c r="V31" s="40"/>
      <c r="W31" s="40"/>
      <c r="X31" s="40"/>
      <c r="Y31" s="40"/>
      <c r="Z31" s="43"/>
      <c r="AA31" s="14"/>
      <c r="AB31" s="1"/>
      <c r="AC31" s="1"/>
      <c r="AD31" s="1"/>
      <c r="AE31" s="1"/>
      <c r="AF31" s="46"/>
      <c r="AG31" s="14"/>
      <c r="AH31" s="1"/>
      <c r="AI31" s="1"/>
      <c r="AJ31" s="1"/>
      <c r="AK31" s="1"/>
      <c r="AL31" s="15"/>
      <c r="AM31" s="39"/>
      <c r="AN31" s="40"/>
      <c r="AO31" s="40"/>
      <c r="AP31" s="40"/>
      <c r="AQ31" s="40"/>
      <c r="AR31" s="48"/>
      <c r="AS31" s="177"/>
      <c r="AT31" s="178"/>
      <c r="AU31" s="171"/>
      <c r="AV31" s="175"/>
      <c r="AW31" s="173"/>
      <c r="AX31" s="174"/>
      <c r="AY31" s="175"/>
      <c r="AZ31" s="173"/>
      <c r="BA31" s="174"/>
      <c r="BB31" s="175"/>
      <c r="BC31" s="173"/>
      <c r="BD31" s="174"/>
      <c r="BE31" s="175"/>
      <c r="BF31" s="173"/>
      <c r="BG31" s="174"/>
      <c r="BH31" s="178"/>
      <c r="BI31" s="173"/>
      <c r="BJ31" s="174"/>
      <c r="BK31" s="172"/>
      <c r="BL31" s="173"/>
      <c r="BM31" s="174"/>
      <c r="BN31" s="175"/>
      <c r="BO31" s="173"/>
      <c r="BP31" s="174"/>
      <c r="BQ31" s="90" t="str">
        <f t="shared" si="1"/>
        <v>5B.1</v>
      </c>
      <c r="BR31" s="71" t="b">
        <f t="shared" si="2"/>
        <v>0</v>
      </c>
    </row>
    <row r="32" spans="1:70" ht="20.100000000000001" customHeight="1">
      <c r="A32" s="71" t="b">
        <f t="shared" si="0"/>
        <v>0</v>
      </c>
      <c r="B32" s="9" t="s">
        <v>108</v>
      </c>
      <c r="C32" s="39"/>
      <c r="D32" s="40"/>
      <c r="E32" s="40"/>
      <c r="F32" s="40"/>
      <c r="G32" s="40"/>
      <c r="H32" s="43"/>
      <c r="I32" s="39"/>
      <c r="J32" s="40"/>
      <c r="K32" s="40"/>
      <c r="L32" s="40"/>
      <c r="M32" s="40"/>
      <c r="N32" s="43"/>
      <c r="O32" s="39"/>
      <c r="P32" s="40"/>
      <c r="Q32" s="40"/>
      <c r="R32" s="40"/>
      <c r="S32" s="40"/>
      <c r="T32" s="43"/>
      <c r="U32" s="39"/>
      <c r="V32" s="40"/>
      <c r="W32" s="40"/>
      <c r="X32" s="40"/>
      <c r="Y32" s="40"/>
      <c r="Z32" s="43"/>
      <c r="AA32" s="14"/>
      <c r="AB32" s="1"/>
      <c r="AC32" s="1"/>
      <c r="AD32" s="1"/>
      <c r="AE32" s="1"/>
      <c r="AF32" s="46"/>
      <c r="AG32" s="14"/>
      <c r="AH32" s="1"/>
      <c r="AI32" s="1"/>
      <c r="AJ32" s="1"/>
      <c r="AK32" s="1"/>
      <c r="AL32" s="15"/>
      <c r="AM32" s="39"/>
      <c r="AN32" s="40"/>
      <c r="AO32" s="40"/>
      <c r="AP32" s="40"/>
      <c r="AQ32" s="40"/>
      <c r="AR32" s="48"/>
      <c r="AS32" s="177"/>
      <c r="AT32" s="178"/>
      <c r="AU32" s="171"/>
      <c r="AV32" s="175"/>
      <c r="AW32" s="173"/>
      <c r="AX32" s="174"/>
      <c r="AY32" s="175"/>
      <c r="AZ32" s="173"/>
      <c r="BA32" s="174"/>
      <c r="BB32" s="175"/>
      <c r="BC32" s="173"/>
      <c r="BD32" s="174"/>
      <c r="BE32" s="175"/>
      <c r="BF32" s="173"/>
      <c r="BG32" s="174"/>
      <c r="BH32" s="178"/>
      <c r="BI32" s="173"/>
      <c r="BJ32" s="174"/>
      <c r="BK32" s="172"/>
      <c r="BL32" s="173"/>
      <c r="BM32" s="174"/>
      <c r="BN32" s="175"/>
      <c r="BO32" s="173"/>
      <c r="BP32" s="174"/>
      <c r="BQ32" s="90" t="str">
        <f t="shared" si="1"/>
        <v>5B.1</v>
      </c>
      <c r="BR32" s="71" t="b">
        <f t="shared" si="2"/>
        <v>0</v>
      </c>
    </row>
    <row r="33" spans="1:70" ht="20.100000000000001" customHeight="1">
      <c r="A33" s="71" t="b">
        <f t="shared" si="0"/>
        <v>0</v>
      </c>
      <c r="B33" s="9" t="s">
        <v>109</v>
      </c>
      <c r="C33" s="39"/>
      <c r="D33" s="40"/>
      <c r="E33" s="40"/>
      <c r="F33" s="40"/>
      <c r="G33" s="40"/>
      <c r="H33" s="43"/>
      <c r="I33" s="1"/>
      <c r="J33" s="1"/>
      <c r="K33" s="1"/>
      <c r="L33" s="1"/>
      <c r="M33" s="1"/>
      <c r="N33" s="15"/>
      <c r="O33" s="1"/>
      <c r="P33" s="1"/>
      <c r="Q33" s="1"/>
      <c r="R33" s="1"/>
      <c r="S33" s="1"/>
      <c r="T33" s="15"/>
      <c r="U33" s="39"/>
      <c r="V33" s="40"/>
      <c r="W33" s="40"/>
      <c r="X33" s="40"/>
      <c r="Y33" s="40"/>
      <c r="Z33" s="43"/>
      <c r="AA33" s="39"/>
      <c r="AB33" s="40"/>
      <c r="AC33" s="40"/>
      <c r="AD33" s="40"/>
      <c r="AE33" s="40"/>
      <c r="AF33" s="43"/>
      <c r="AG33" s="39"/>
      <c r="AH33" s="40"/>
      <c r="AI33" s="40"/>
      <c r="AJ33" s="40"/>
      <c r="AK33" s="40"/>
      <c r="AL33" s="43"/>
      <c r="AM33" s="39"/>
      <c r="AN33" s="40"/>
      <c r="AO33" s="40"/>
      <c r="AP33" s="40"/>
      <c r="AQ33" s="40"/>
      <c r="AR33" s="48"/>
      <c r="AS33" s="177"/>
      <c r="AT33" s="178"/>
      <c r="AU33" s="171"/>
      <c r="AV33" s="175"/>
      <c r="AW33" s="173"/>
      <c r="AX33" s="174"/>
      <c r="AY33" s="175"/>
      <c r="AZ33" s="173"/>
      <c r="BA33" s="174"/>
      <c r="BB33" s="175"/>
      <c r="BC33" s="173"/>
      <c r="BD33" s="174"/>
      <c r="BE33" s="175"/>
      <c r="BF33" s="173"/>
      <c r="BG33" s="174"/>
      <c r="BH33" s="178"/>
      <c r="BI33" s="173"/>
      <c r="BJ33" s="174"/>
      <c r="BK33" s="172"/>
      <c r="BL33" s="173"/>
      <c r="BM33" s="174"/>
      <c r="BN33" s="175"/>
      <c r="BO33" s="173"/>
      <c r="BP33" s="174"/>
      <c r="BQ33" s="90" t="str">
        <f t="shared" si="1"/>
        <v>5B.2</v>
      </c>
      <c r="BR33" s="71" t="b">
        <f t="shared" si="2"/>
        <v>0</v>
      </c>
    </row>
    <row r="34" spans="1:70" ht="20.100000000000001" customHeight="1">
      <c r="A34" s="71" t="b">
        <f t="shared" si="0"/>
        <v>0</v>
      </c>
      <c r="B34" s="9" t="s">
        <v>110</v>
      </c>
      <c r="C34" s="39"/>
      <c r="D34" s="40"/>
      <c r="E34" s="40"/>
      <c r="F34" s="40"/>
      <c r="G34" s="40"/>
      <c r="H34" s="43"/>
      <c r="I34" s="39"/>
      <c r="J34" s="40"/>
      <c r="K34" s="40"/>
      <c r="L34" s="40"/>
      <c r="M34" s="40"/>
      <c r="N34" s="43"/>
      <c r="O34" s="39"/>
      <c r="P34" s="40"/>
      <c r="Q34" s="40"/>
      <c r="R34" s="40"/>
      <c r="S34" s="40"/>
      <c r="T34" s="43"/>
      <c r="U34" s="14"/>
      <c r="V34" s="1"/>
      <c r="W34" s="1"/>
      <c r="X34" s="1"/>
      <c r="Y34" s="1"/>
      <c r="Z34" s="15"/>
      <c r="AA34" s="39"/>
      <c r="AB34" s="40"/>
      <c r="AC34" s="40"/>
      <c r="AD34" s="40"/>
      <c r="AE34" s="40"/>
      <c r="AF34" s="48"/>
      <c r="AG34" s="39"/>
      <c r="AH34" s="40"/>
      <c r="AI34" s="40"/>
      <c r="AJ34" s="40"/>
      <c r="AK34" s="40"/>
      <c r="AL34" s="43"/>
      <c r="AM34" s="14"/>
      <c r="AN34" s="1"/>
      <c r="AO34" s="1"/>
      <c r="AP34" s="1"/>
      <c r="AQ34" s="1"/>
      <c r="AR34" s="46"/>
      <c r="AS34" s="177"/>
      <c r="AT34" s="178"/>
      <c r="AU34" s="171"/>
      <c r="AV34" s="175"/>
      <c r="AW34" s="173"/>
      <c r="AX34" s="174"/>
      <c r="AY34" s="175"/>
      <c r="AZ34" s="173"/>
      <c r="BA34" s="174"/>
      <c r="BB34" s="175"/>
      <c r="BC34" s="173"/>
      <c r="BD34" s="174"/>
      <c r="BE34" s="175"/>
      <c r="BF34" s="173"/>
      <c r="BG34" s="174"/>
      <c r="BH34" s="178"/>
      <c r="BI34" s="173"/>
      <c r="BJ34" s="174"/>
      <c r="BK34" s="172"/>
      <c r="BL34" s="173"/>
      <c r="BM34" s="174"/>
      <c r="BN34" s="175"/>
      <c r="BO34" s="173"/>
      <c r="BP34" s="174"/>
      <c r="BQ34" s="90" t="str">
        <f t="shared" si="1"/>
        <v>5B.3</v>
      </c>
      <c r="BR34" s="71" t="b">
        <f t="shared" si="2"/>
        <v>0</v>
      </c>
    </row>
    <row r="35" spans="1:70" ht="19.5" customHeight="1">
      <c r="A35" s="71" t="b">
        <f t="shared" si="0"/>
        <v>0</v>
      </c>
      <c r="B35" s="9" t="s">
        <v>111</v>
      </c>
      <c r="C35" s="39"/>
      <c r="D35" s="40"/>
      <c r="E35" s="40"/>
      <c r="F35" s="40"/>
      <c r="G35" s="40"/>
      <c r="H35" s="43"/>
      <c r="I35" s="39"/>
      <c r="J35" s="40"/>
      <c r="K35" s="40"/>
      <c r="L35" s="40"/>
      <c r="M35" s="40"/>
      <c r="N35" s="43"/>
      <c r="O35" s="39"/>
      <c r="P35" s="40"/>
      <c r="Q35" s="40"/>
      <c r="R35" s="40"/>
      <c r="S35" s="40"/>
      <c r="T35" s="43"/>
      <c r="U35" s="14"/>
      <c r="V35" s="1"/>
      <c r="W35" s="1"/>
      <c r="X35" s="1"/>
      <c r="Y35" s="1"/>
      <c r="Z35" s="15"/>
      <c r="AA35" s="39"/>
      <c r="AB35" s="40"/>
      <c r="AC35" s="40"/>
      <c r="AD35" s="40"/>
      <c r="AE35" s="40"/>
      <c r="AF35" s="48"/>
      <c r="AG35" s="39"/>
      <c r="AH35" s="40"/>
      <c r="AI35" s="40"/>
      <c r="AJ35" s="40"/>
      <c r="AK35" s="40"/>
      <c r="AL35" s="43"/>
      <c r="AM35" s="14"/>
      <c r="AN35" s="1"/>
      <c r="AO35" s="1"/>
      <c r="AP35" s="1"/>
      <c r="AQ35" s="1"/>
      <c r="AR35" s="46"/>
      <c r="AS35" s="177"/>
      <c r="AT35" s="178"/>
      <c r="AU35" s="171"/>
      <c r="AV35" s="175"/>
      <c r="AW35" s="173"/>
      <c r="AX35" s="174"/>
      <c r="AY35" s="175"/>
      <c r="AZ35" s="173"/>
      <c r="BA35" s="174"/>
      <c r="BB35" s="175"/>
      <c r="BC35" s="173"/>
      <c r="BD35" s="174"/>
      <c r="BE35" s="175"/>
      <c r="BF35" s="173"/>
      <c r="BG35" s="174"/>
      <c r="BH35" s="178"/>
      <c r="BI35" s="173"/>
      <c r="BJ35" s="174"/>
      <c r="BK35" s="172"/>
      <c r="BL35" s="173"/>
      <c r="BM35" s="174"/>
      <c r="BN35" s="175"/>
      <c r="BO35" s="173"/>
      <c r="BP35" s="174"/>
      <c r="BQ35" s="90" t="str">
        <f t="shared" si="1"/>
        <v>5B.3</v>
      </c>
      <c r="BR35" s="71" t="b">
        <f t="shared" si="2"/>
        <v>0</v>
      </c>
    </row>
    <row r="36" spans="1:70" ht="19.5" customHeight="1">
      <c r="A36" s="71" t="b">
        <f t="shared" si="0"/>
        <v>0</v>
      </c>
      <c r="B36" s="9" t="s">
        <v>112</v>
      </c>
      <c r="C36" s="39"/>
      <c r="D36" s="40"/>
      <c r="E36" s="40"/>
      <c r="F36" s="40"/>
      <c r="G36" s="40"/>
      <c r="H36" s="43"/>
      <c r="I36" s="39"/>
      <c r="J36" s="40"/>
      <c r="K36" s="40"/>
      <c r="L36" s="40"/>
      <c r="M36" s="40"/>
      <c r="N36" s="43"/>
      <c r="O36" s="39"/>
      <c r="P36" s="40"/>
      <c r="Q36" s="40"/>
      <c r="R36" s="40"/>
      <c r="S36" s="40"/>
      <c r="T36" s="43"/>
      <c r="U36" s="14"/>
      <c r="V36" s="1"/>
      <c r="W36" s="1"/>
      <c r="X36" s="1"/>
      <c r="Y36" s="1"/>
      <c r="Z36" s="15"/>
      <c r="AA36" s="39"/>
      <c r="AB36" s="40"/>
      <c r="AC36" s="40"/>
      <c r="AD36" s="40"/>
      <c r="AE36" s="40"/>
      <c r="AF36" s="48"/>
      <c r="AG36" s="39"/>
      <c r="AH36" s="40"/>
      <c r="AI36" s="40"/>
      <c r="AJ36" s="40"/>
      <c r="AK36" s="40"/>
      <c r="AL36" s="43"/>
      <c r="AM36" s="14"/>
      <c r="AN36" s="1"/>
      <c r="AO36" s="1"/>
      <c r="AP36" s="1"/>
      <c r="AQ36" s="1"/>
      <c r="AR36" s="46"/>
      <c r="AS36" s="177"/>
      <c r="AT36" s="178"/>
      <c r="AU36" s="171"/>
      <c r="AV36" s="175"/>
      <c r="AW36" s="173"/>
      <c r="AX36" s="174"/>
      <c r="AY36" s="175"/>
      <c r="AZ36" s="173"/>
      <c r="BA36" s="174"/>
      <c r="BB36" s="175"/>
      <c r="BC36" s="173"/>
      <c r="BD36" s="174"/>
      <c r="BE36" s="175"/>
      <c r="BF36" s="173"/>
      <c r="BG36" s="174"/>
      <c r="BH36" s="178"/>
      <c r="BI36" s="173"/>
      <c r="BJ36" s="174"/>
      <c r="BK36" s="172"/>
      <c r="BL36" s="173"/>
      <c r="BM36" s="174"/>
      <c r="BN36" s="175"/>
      <c r="BO36" s="173"/>
      <c r="BP36" s="174"/>
      <c r="BQ36" s="90" t="str">
        <f t="shared" si="1"/>
        <v>5B.3</v>
      </c>
      <c r="BR36" s="71" t="b">
        <f t="shared" si="2"/>
        <v>0</v>
      </c>
    </row>
    <row r="37" spans="1:70" ht="19.5" customHeight="1">
      <c r="A37" s="71" t="b">
        <f t="shared" si="0"/>
        <v>0</v>
      </c>
      <c r="B37" s="9" t="s">
        <v>113</v>
      </c>
      <c r="C37" s="39"/>
      <c r="D37" s="40"/>
      <c r="E37" s="40"/>
      <c r="F37" s="40"/>
      <c r="G37" s="40"/>
      <c r="H37" s="43"/>
      <c r="I37" s="39"/>
      <c r="J37" s="40"/>
      <c r="K37" s="40"/>
      <c r="L37" s="40"/>
      <c r="M37" s="40"/>
      <c r="N37" s="43"/>
      <c r="O37" s="39"/>
      <c r="P37" s="40"/>
      <c r="Q37" s="40"/>
      <c r="R37" s="40"/>
      <c r="S37" s="40"/>
      <c r="T37" s="43"/>
      <c r="U37" s="14"/>
      <c r="V37" s="1"/>
      <c r="W37" s="1"/>
      <c r="X37" s="1"/>
      <c r="Y37" s="1"/>
      <c r="Z37" s="15"/>
      <c r="AA37" s="39"/>
      <c r="AB37" s="40"/>
      <c r="AC37" s="40"/>
      <c r="AD37" s="40"/>
      <c r="AE37" s="40"/>
      <c r="AF37" s="48"/>
      <c r="AG37" s="39"/>
      <c r="AH37" s="40"/>
      <c r="AI37" s="40"/>
      <c r="AJ37" s="40"/>
      <c r="AK37" s="40"/>
      <c r="AL37" s="43"/>
      <c r="AM37" s="14"/>
      <c r="AN37" s="1"/>
      <c r="AO37" s="1"/>
      <c r="AP37" s="1"/>
      <c r="AQ37" s="1"/>
      <c r="AR37" s="46"/>
      <c r="AS37" s="177"/>
      <c r="AT37" s="178"/>
      <c r="AU37" s="171"/>
      <c r="AV37" s="175"/>
      <c r="AW37" s="173"/>
      <c r="AX37" s="174"/>
      <c r="AY37" s="175"/>
      <c r="AZ37" s="173"/>
      <c r="BA37" s="174"/>
      <c r="BB37" s="175"/>
      <c r="BC37" s="173"/>
      <c r="BD37" s="174"/>
      <c r="BE37" s="175"/>
      <c r="BF37" s="173"/>
      <c r="BG37" s="174"/>
      <c r="BH37" s="178"/>
      <c r="BI37" s="173"/>
      <c r="BJ37" s="174"/>
      <c r="BK37" s="172"/>
      <c r="BL37" s="173"/>
      <c r="BM37" s="174"/>
      <c r="BN37" s="175"/>
      <c r="BO37" s="173"/>
      <c r="BP37" s="174"/>
      <c r="BQ37" s="90" t="str">
        <f t="shared" si="1"/>
        <v>10A.1</v>
      </c>
      <c r="BR37" s="71" t="b">
        <f t="shared" si="2"/>
        <v>0</v>
      </c>
    </row>
    <row r="38" spans="1:70" ht="19.5" customHeight="1">
      <c r="A38" s="25">
        <f>COUNTIF(A7:A37,TRUE)/COUNTA($B$7:$B$37)</f>
        <v>0.19354838709677419</v>
      </c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0"/>
      <c r="AO38" s="90"/>
      <c r="AP38" s="90"/>
      <c r="AQ38" s="90"/>
      <c r="AR38" s="90"/>
      <c r="BR38" s="25">
        <f>COUNTIF(BR7:BR37,TRUE)/COUNTA($B$7:$B$37)</f>
        <v>0</v>
      </c>
    </row>
    <row r="39" spans="1:70" ht="19.5" customHeight="1"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0"/>
      <c r="AO39" s="90"/>
      <c r="AP39" s="90"/>
      <c r="AQ39" s="90"/>
      <c r="AR39" s="90"/>
    </row>
    <row r="40" spans="1:70" ht="19.5" customHeight="1"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0"/>
      <c r="AO40" s="90"/>
      <c r="AP40" s="90"/>
      <c r="AQ40" s="90"/>
      <c r="AR40" s="90"/>
    </row>
    <row r="41" spans="1:70" ht="19.5" customHeight="1"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</row>
    <row r="42" spans="1:70" ht="19.5" customHeight="1"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0"/>
      <c r="AO42" s="90"/>
      <c r="AP42" s="90"/>
      <c r="AQ42" s="90"/>
      <c r="AR42" s="90"/>
    </row>
    <row r="43" spans="1:70" ht="19.5" customHeight="1"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</row>
    <row r="44" spans="1:70" ht="19.5" customHeight="1"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</row>
    <row r="45" spans="1:70" ht="19.5" customHeight="1"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</row>
    <row r="46" spans="1:70" ht="19.5" customHeight="1"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</row>
    <row r="47" spans="1:70" ht="19.5" customHeight="1"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0"/>
      <c r="AO47" s="90"/>
      <c r="AP47" s="90"/>
      <c r="AQ47" s="90"/>
      <c r="AR47" s="90"/>
    </row>
    <row r="48" spans="1:70" ht="19.5" customHeight="1"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0"/>
      <c r="AO48" s="90"/>
      <c r="AP48" s="90"/>
      <c r="AQ48" s="90"/>
      <c r="AR48" s="90"/>
    </row>
    <row r="49" spans="3:44" ht="19.5" customHeight="1"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0"/>
      <c r="AO49" s="90"/>
      <c r="AP49" s="90"/>
      <c r="AQ49" s="90"/>
      <c r="AR49" s="90"/>
    </row>
    <row r="50" spans="3:44" ht="19.5" customHeight="1"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</row>
    <row r="51" spans="3:44" ht="19.5" customHeight="1"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</row>
    <row r="52" spans="3:44" ht="19.5" customHeight="1"/>
    <row r="53" spans="3:44" ht="19.5" customHeight="1">
      <c r="D53" t="e">
        <v>#VALUE!</v>
      </c>
    </row>
    <row r="54" spans="3:44" ht="19.5" customHeight="1"/>
    <row r="55" spans="3:44" ht="19.5" customHeight="1"/>
    <row r="56" spans="3:44" ht="19.5" customHeight="1"/>
    <row r="57" spans="3:44" ht="19.5" customHeight="1"/>
    <row r="58" spans="3:44" ht="19.5" customHeight="1"/>
    <row r="59" spans="3:44" ht="19.5" customHeight="1"/>
    <row r="60" spans="3:44" ht="19.5" customHeight="1"/>
    <row r="61" spans="3:44" ht="19.5" customHeight="1"/>
    <row r="62" spans="3:44" ht="19.5" customHeight="1"/>
    <row r="63" spans="3:44" ht="19.5" customHeight="1"/>
    <row r="64" spans="3:4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</sheetData>
  <sheetProtection selectLockedCells="1"/>
  <mergeCells count="15">
    <mergeCell ref="BH5:BJ5"/>
    <mergeCell ref="BK5:BM5"/>
    <mergeCell ref="BN5:BP5"/>
    <mergeCell ref="AM5:AR5"/>
    <mergeCell ref="AS5:AU5"/>
    <mergeCell ref="AV5:AX5"/>
    <mergeCell ref="AY5:BA5"/>
    <mergeCell ref="BB5:BD5"/>
    <mergeCell ref="BE5:BG5"/>
    <mergeCell ref="AG5:AL5"/>
    <mergeCell ref="C5:H5"/>
    <mergeCell ref="I5:N5"/>
    <mergeCell ref="O5:T5"/>
    <mergeCell ref="U5:Z5"/>
    <mergeCell ref="AA5:AF5"/>
  </mergeCells>
  <conditionalFormatting sqref="C7:AR37">
    <cfRule type="expression" dxfId="88" priority="1">
      <formula>C7=$C$1</formula>
    </cfRule>
    <cfRule type="expression" dxfId="87" priority="2">
      <formula>C7=$C$2</formula>
    </cfRule>
    <cfRule type="expression" dxfId="86" priority="3">
      <formula>C7=$C$3</formula>
    </cfRule>
    <cfRule type="expression" dxfId="85" priority="4">
      <formula>C7=$C$4</formula>
    </cfRule>
    <cfRule type="expression" dxfId="84" priority="5">
      <formula>C7=$P$1</formula>
    </cfRule>
    <cfRule type="expression" dxfId="83" priority="6">
      <formula>C7=$P$2</formula>
    </cfRule>
  </conditionalFormatting>
  <dataValidations count="3">
    <dataValidation type="list" allowBlank="1" showInputMessage="1" showErrorMessage="1" sqref="W7:Z37 AC7:AF37 AI7:AL37 AO7:AR37 E7:H37 K7:N37 Q7:T37" xr:uid="{2A16360F-CC8A-434C-94E7-3C128DECAF39}">
      <formula1>"A,P,O,X,F"</formula1>
    </dataValidation>
    <dataValidation type="date" allowBlank="1" showInputMessage="1" showErrorMessage="1" sqref="BH20:BH31 BK20 BE7 BB18:BB19 AY32:AY34 AS7:AU34 BK8:BK17" xr:uid="{0DAF21DB-D18A-4204-B75D-FDD2775F3284}">
      <formula1>45880</formula1>
      <formula2>73050</formula2>
    </dataValidation>
    <dataValidation type="list" allowBlank="1" showInputMessage="1" showErrorMessage="1" sqref="C7:D1048576 O7:P1048576 AM7:AN1048576 U7:V1048576 AA7:AB1048576 AG7:AH1048576 I7:J1048576" xr:uid="{1501E4C4-35FB-4BE5-9559-13716EC84E35}">
      <formula1>"A,P,O,X,R"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F5F4-96FC-4188-ABEC-1F997F2179F5}">
  <sheetPr codeName="Feuil22">
    <tabColor theme="3" tint="0.749992370372631"/>
  </sheetPr>
  <dimension ref="A1:BR104"/>
  <sheetViews>
    <sheetView showGridLines="0" zoomScale="55" zoomScaleNormal="55" workbookViewId="0">
      <pane xSplit="2" ySplit="6" topLeftCell="C7" activePane="bottomRight" state="frozen"/>
      <selection pane="bottomRight" activeCell="AK10" sqref="AK10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3" max="44" width="3.42578125" customWidth="1"/>
    <col min="45" max="68" width="8.5703125" style="90" customWidth="1"/>
  </cols>
  <sheetData>
    <row r="1" spans="1:70" ht="14.45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R1" t="b">
        <v>0</v>
      </c>
    </row>
    <row r="2" spans="1:70" ht="14.45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70" ht="14.45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70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70" ht="37.5" customHeight="1" thickBot="1">
      <c r="B5" s="9"/>
      <c r="C5" s="369" t="s">
        <v>186</v>
      </c>
      <c r="D5" s="369"/>
      <c r="E5" s="369"/>
      <c r="F5" s="369"/>
      <c r="G5" s="369"/>
      <c r="H5" s="370"/>
      <c r="I5" s="369" t="s">
        <v>187</v>
      </c>
      <c r="J5" s="371"/>
      <c r="K5" s="371"/>
      <c r="L5" s="371"/>
      <c r="M5" s="371"/>
      <c r="N5" s="372"/>
      <c r="O5" s="373" t="s">
        <v>188</v>
      </c>
      <c r="P5" s="374"/>
      <c r="Q5" s="374"/>
      <c r="R5" s="374"/>
      <c r="S5" s="374"/>
      <c r="T5" s="375"/>
      <c r="U5" s="373" t="s">
        <v>189</v>
      </c>
      <c r="V5" s="374"/>
      <c r="W5" s="374"/>
      <c r="X5" s="374"/>
      <c r="Y5" s="374"/>
      <c r="Z5" s="375"/>
      <c r="AA5" s="373" t="s">
        <v>190</v>
      </c>
      <c r="AB5" s="374"/>
      <c r="AC5" s="374"/>
      <c r="AD5" s="374"/>
      <c r="AE5" s="374"/>
      <c r="AF5" s="375"/>
      <c r="AG5" s="366" t="s">
        <v>191</v>
      </c>
      <c r="AH5" s="367"/>
      <c r="AI5" s="367"/>
      <c r="AJ5" s="367"/>
      <c r="AK5" s="367"/>
      <c r="AL5" s="368"/>
      <c r="AM5" s="366" t="s">
        <v>192</v>
      </c>
      <c r="AN5" s="367"/>
      <c r="AO5" s="367"/>
      <c r="AP5" s="367"/>
      <c r="AQ5" s="367"/>
      <c r="AR5" s="367"/>
      <c r="AS5" s="379" t="s">
        <v>193</v>
      </c>
      <c r="AT5" s="380"/>
      <c r="AU5" s="381"/>
      <c r="AV5" s="384" t="s">
        <v>186</v>
      </c>
      <c r="AW5" s="384"/>
      <c r="AX5" s="385"/>
      <c r="AY5" s="384" t="s">
        <v>187</v>
      </c>
      <c r="AZ5" s="386"/>
      <c r="BA5" s="387"/>
      <c r="BB5" s="376" t="s">
        <v>188</v>
      </c>
      <c r="BC5" s="377"/>
      <c r="BD5" s="378"/>
      <c r="BE5" s="376" t="s">
        <v>189</v>
      </c>
      <c r="BF5" s="377"/>
      <c r="BG5" s="378"/>
      <c r="BH5" s="376" t="s">
        <v>190</v>
      </c>
      <c r="BI5" s="377"/>
      <c r="BJ5" s="378"/>
      <c r="BK5" s="379" t="s">
        <v>191</v>
      </c>
      <c r="BL5" s="380"/>
      <c r="BM5" s="381"/>
      <c r="BN5" s="379" t="s">
        <v>192</v>
      </c>
      <c r="BO5" s="380"/>
      <c r="BP5" s="381"/>
    </row>
    <row r="6" spans="1:70" ht="18" thickBot="1">
      <c r="A6" s="346" t="s">
        <v>194</v>
      </c>
      <c r="B6" s="10"/>
      <c r="C6" s="81" t="s">
        <v>29</v>
      </c>
      <c r="D6" s="82" t="s">
        <v>30</v>
      </c>
      <c r="E6" s="82" t="s">
        <v>195</v>
      </c>
      <c r="F6" s="82" t="s">
        <v>196</v>
      </c>
      <c r="G6" s="82" t="s">
        <v>197</v>
      </c>
      <c r="H6" s="83" t="s">
        <v>33</v>
      </c>
      <c r="I6" s="81" t="s">
        <v>29</v>
      </c>
      <c r="J6" s="82" t="s">
        <v>30</v>
      </c>
      <c r="K6" s="82" t="s">
        <v>195</v>
      </c>
      <c r="L6" s="82" t="s">
        <v>196</v>
      </c>
      <c r="M6" s="82" t="s">
        <v>197</v>
      </c>
      <c r="N6" s="83" t="s">
        <v>33</v>
      </c>
      <c r="O6" s="81" t="s">
        <v>29</v>
      </c>
      <c r="P6" s="82" t="s">
        <v>30</v>
      </c>
      <c r="Q6" s="82" t="s">
        <v>195</v>
      </c>
      <c r="R6" s="82" t="s">
        <v>196</v>
      </c>
      <c r="S6" s="82" t="s">
        <v>197</v>
      </c>
      <c r="T6" s="83" t="s">
        <v>33</v>
      </c>
      <c r="U6" s="81" t="s">
        <v>29</v>
      </c>
      <c r="V6" s="82" t="s">
        <v>30</v>
      </c>
      <c r="W6" s="82" t="s">
        <v>195</v>
      </c>
      <c r="X6" s="82" t="s">
        <v>196</v>
      </c>
      <c r="Y6" s="82" t="s">
        <v>197</v>
      </c>
      <c r="Z6" s="83" t="s">
        <v>33</v>
      </c>
      <c r="AA6" s="81" t="s">
        <v>29</v>
      </c>
      <c r="AB6" s="82" t="s">
        <v>30</v>
      </c>
      <c r="AC6" s="82" t="s">
        <v>195</v>
      </c>
      <c r="AD6" s="82" t="s">
        <v>196</v>
      </c>
      <c r="AE6" s="82" t="s">
        <v>197</v>
      </c>
      <c r="AF6" s="88" t="s">
        <v>33</v>
      </c>
      <c r="AG6" s="74" t="s">
        <v>29</v>
      </c>
      <c r="AH6" s="75" t="s">
        <v>30</v>
      </c>
      <c r="AI6" s="75" t="s">
        <v>195</v>
      </c>
      <c r="AJ6" s="75" t="s">
        <v>196</v>
      </c>
      <c r="AK6" s="75" t="s">
        <v>197</v>
      </c>
      <c r="AL6" s="76" t="s">
        <v>33</v>
      </c>
      <c r="AM6" s="74" t="s">
        <v>29</v>
      </c>
      <c r="AN6" s="75" t="s">
        <v>30</v>
      </c>
      <c r="AO6" s="75" t="s">
        <v>195</v>
      </c>
      <c r="AP6" s="75" t="s">
        <v>196</v>
      </c>
      <c r="AQ6" s="75" t="s">
        <v>197</v>
      </c>
      <c r="AR6" s="77" t="s">
        <v>33</v>
      </c>
      <c r="AS6" s="97" t="s">
        <v>29</v>
      </c>
      <c r="AT6" s="92" t="s">
        <v>30</v>
      </c>
      <c r="AU6" s="98" t="s">
        <v>33</v>
      </c>
      <c r="AV6" s="99" t="s">
        <v>195</v>
      </c>
      <c r="AW6" s="94" t="s">
        <v>196</v>
      </c>
      <c r="AX6" s="100" t="s">
        <v>197</v>
      </c>
      <c r="AY6" s="99" t="s">
        <v>195</v>
      </c>
      <c r="AZ6" s="94" t="s">
        <v>196</v>
      </c>
      <c r="BA6" s="100" t="s">
        <v>197</v>
      </c>
      <c r="BB6" s="99" t="s">
        <v>195</v>
      </c>
      <c r="BC6" s="94" t="s">
        <v>196</v>
      </c>
      <c r="BD6" s="100" t="s">
        <v>197</v>
      </c>
      <c r="BE6" s="99" t="s">
        <v>195</v>
      </c>
      <c r="BF6" s="94" t="s">
        <v>196</v>
      </c>
      <c r="BG6" s="100" t="s">
        <v>197</v>
      </c>
      <c r="BH6" s="99" t="s">
        <v>195</v>
      </c>
      <c r="BI6" s="94" t="s">
        <v>196</v>
      </c>
      <c r="BJ6" s="100" t="s">
        <v>197</v>
      </c>
      <c r="BK6" s="99" t="s">
        <v>195</v>
      </c>
      <c r="BL6" s="94" t="s">
        <v>196</v>
      </c>
      <c r="BM6" s="100" t="s">
        <v>197</v>
      </c>
      <c r="BN6" s="99" t="s">
        <v>195</v>
      </c>
      <c r="BO6" s="94" t="s">
        <v>196</v>
      </c>
      <c r="BP6" s="100" t="s">
        <v>197</v>
      </c>
      <c r="BR6" s="346" t="s">
        <v>198</v>
      </c>
    </row>
    <row r="7" spans="1:70" ht="20.100000000000001" customHeight="1">
      <c r="A7" s="71" t="b">
        <f>IF(OR(D7&lt;&gt;"",V7&lt;&gt;"",J7&lt;&gt;"",P7&lt;&gt;"",AB7&lt;&gt;"",AH7&lt;&gt;"",AN7&lt;&gt;"",AT7&lt;&gt;""),TRUE,FALSE)</f>
        <v>0</v>
      </c>
      <c r="B7" s="11" t="s">
        <v>122</v>
      </c>
      <c r="C7" s="102"/>
      <c r="D7" s="101"/>
      <c r="E7" s="101"/>
      <c r="F7" s="101"/>
      <c r="G7" s="101"/>
      <c r="H7" s="103"/>
      <c r="I7" s="353" t="s">
        <v>176</v>
      </c>
      <c r="J7" s="269"/>
      <c r="K7" s="269"/>
      <c r="L7" s="269"/>
      <c r="M7" s="269"/>
      <c r="N7" s="270"/>
      <c r="O7" s="353" t="s">
        <v>176</v>
      </c>
      <c r="P7" s="269"/>
      <c r="Q7" s="269"/>
      <c r="R7" s="269"/>
      <c r="S7" s="269"/>
      <c r="T7" s="270"/>
      <c r="U7" s="102"/>
      <c r="V7" s="101"/>
      <c r="W7" s="101"/>
      <c r="X7" s="101"/>
      <c r="Y7" s="101"/>
      <c r="Z7" s="103"/>
      <c r="AA7" s="102"/>
      <c r="AB7" s="101"/>
      <c r="AC7" s="101"/>
      <c r="AD7" s="101"/>
      <c r="AE7" s="101"/>
      <c r="AF7" s="206"/>
      <c r="AG7" s="207"/>
      <c r="AH7" s="208"/>
      <c r="AI7" s="208"/>
      <c r="AJ7" s="208"/>
      <c r="AK7" s="208"/>
      <c r="AL7" s="209"/>
      <c r="AM7" s="207"/>
      <c r="AN7" s="208"/>
      <c r="AO7" s="208"/>
      <c r="AP7" s="208"/>
      <c r="AQ7" s="208"/>
      <c r="AR7" s="210"/>
      <c r="AS7" s="110">
        <v>46244</v>
      </c>
      <c r="AT7" s="111"/>
      <c r="AU7" s="112"/>
      <c r="AV7" s="212"/>
      <c r="AW7" s="204"/>
      <c r="AX7" s="205"/>
      <c r="AY7" s="203"/>
      <c r="AZ7" s="204"/>
      <c r="BA7" s="205"/>
      <c r="BB7" s="203"/>
      <c r="BC7" s="204"/>
      <c r="BD7" s="205"/>
      <c r="BE7" s="213"/>
      <c r="BF7" s="204"/>
      <c r="BG7" s="205"/>
      <c r="BH7" s="203"/>
      <c r="BI7" s="204"/>
      <c r="BJ7" s="205"/>
      <c r="BK7" s="203"/>
      <c r="BL7" s="204"/>
      <c r="BM7" s="205"/>
      <c r="BN7" s="203"/>
      <c r="BO7" s="204"/>
      <c r="BP7" s="205"/>
      <c r="BQ7" s="90" t="str">
        <f t="shared" ref="BQ7:BQ44" si="0">_xlfn.TEXTBEFORE($B7,".",2)</f>
        <v>3C.1</v>
      </c>
      <c r="BR7" s="71" t="b">
        <f>IF(OR(H7&lt;&gt;"",N7&lt;&gt;"",T7&lt;&gt;"",Z7&lt;&gt;"",AF7&lt;&gt;"",AL7&lt;&gt;"",AR7&lt;&gt;"",AU7&lt;&gt;""),TRUE,FALSE)</f>
        <v>0</v>
      </c>
    </row>
    <row r="8" spans="1:70" ht="20.100000000000001" customHeight="1">
      <c r="A8" s="71" t="b">
        <f t="shared" ref="A8:A44" si="1">IF(OR(D8&lt;&gt;"",V8&lt;&gt;"",J8&lt;&gt;"",P8&lt;&gt;"",AB8&lt;&gt;"",AH8&lt;&gt;"",AN8&lt;&gt;"",AT8&lt;&gt;""),TRUE,FALSE)</f>
        <v>0</v>
      </c>
      <c r="B8" s="9" t="s">
        <v>123</v>
      </c>
      <c r="C8" s="12"/>
      <c r="D8" s="8"/>
      <c r="E8" s="8"/>
      <c r="F8" s="8"/>
      <c r="G8" s="8"/>
      <c r="H8" s="13"/>
      <c r="I8" s="245"/>
      <c r="J8" s="73"/>
      <c r="K8" s="73"/>
      <c r="L8" s="73"/>
      <c r="M8" s="73"/>
      <c r="N8" s="164"/>
      <c r="O8" s="245"/>
      <c r="P8" s="73"/>
      <c r="Q8" s="73"/>
      <c r="R8" s="73"/>
      <c r="S8" s="73"/>
      <c r="T8" s="164"/>
      <c r="U8" s="12"/>
      <c r="V8" s="8"/>
      <c r="W8" s="8"/>
      <c r="X8" s="8"/>
      <c r="Y8" s="8"/>
      <c r="Z8" s="13"/>
      <c r="AA8" s="12"/>
      <c r="AB8" s="8"/>
      <c r="AC8" s="8"/>
      <c r="AD8" s="8"/>
      <c r="AE8" s="8"/>
      <c r="AF8" s="211"/>
      <c r="AG8" s="12"/>
      <c r="AH8" s="8"/>
      <c r="AI8" s="8"/>
      <c r="AJ8" s="8"/>
      <c r="AK8" s="8"/>
      <c r="AL8" s="13"/>
      <c r="AM8" s="12"/>
      <c r="AN8" s="8"/>
      <c r="AO8" s="8"/>
      <c r="AP8" s="8"/>
      <c r="AQ8" s="8"/>
      <c r="AR8" s="211"/>
      <c r="AS8" s="116"/>
      <c r="AT8" s="117"/>
      <c r="AU8" s="112"/>
      <c r="AV8" s="203"/>
      <c r="AW8" s="214"/>
      <c r="AX8" s="205"/>
      <c r="AY8" s="203"/>
      <c r="AZ8" s="204"/>
      <c r="BA8" s="205"/>
      <c r="BB8" s="203"/>
      <c r="BC8" s="204"/>
      <c r="BD8" s="205"/>
      <c r="BE8" s="203"/>
      <c r="BF8" s="204"/>
      <c r="BG8" s="205"/>
      <c r="BH8" s="212"/>
      <c r="BI8" s="204"/>
      <c r="BJ8" s="205"/>
      <c r="BK8" s="215"/>
      <c r="BL8" s="204"/>
      <c r="BM8" s="205"/>
      <c r="BN8" s="203"/>
      <c r="BO8" s="204"/>
      <c r="BP8" s="205"/>
      <c r="BQ8" s="90" t="str">
        <f t="shared" si="0"/>
        <v>3C.1</v>
      </c>
      <c r="BR8" s="71" t="b">
        <f t="shared" ref="BR8:BR44" si="2">IF(OR(H8&lt;&gt;"",N8&lt;&gt;"",T8&lt;&gt;"",Z8&lt;&gt;"",AF8&lt;&gt;"",AL8&lt;&gt;"",AR8&lt;&gt;"",AU8&lt;&gt;""),TRUE,FALSE)</f>
        <v>0</v>
      </c>
    </row>
    <row r="9" spans="1:70" ht="20.100000000000001" customHeight="1">
      <c r="A9" s="71" t="b">
        <f t="shared" si="1"/>
        <v>0</v>
      </c>
      <c r="B9" s="9" t="s">
        <v>124</v>
      </c>
      <c r="C9" s="12"/>
      <c r="D9" s="8"/>
      <c r="E9" s="8"/>
      <c r="F9" s="8"/>
      <c r="G9" s="8"/>
      <c r="H9" s="13"/>
      <c r="I9" s="353" t="s">
        <v>176</v>
      </c>
      <c r="J9" s="73"/>
      <c r="K9" s="73"/>
      <c r="L9" s="73"/>
      <c r="M9" s="73"/>
      <c r="N9" s="164"/>
      <c r="O9" s="353" t="s">
        <v>176</v>
      </c>
      <c r="P9" s="73"/>
      <c r="Q9" s="73"/>
      <c r="R9" s="73"/>
      <c r="S9" s="73"/>
      <c r="T9" s="164"/>
      <c r="U9" s="12"/>
      <c r="V9" s="8"/>
      <c r="W9" s="8"/>
      <c r="X9" s="8"/>
      <c r="Y9" s="8"/>
      <c r="Z9" s="13"/>
      <c r="AA9" s="12"/>
      <c r="AB9" s="8"/>
      <c r="AC9" s="8"/>
      <c r="AD9" s="8"/>
      <c r="AE9" s="8"/>
      <c r="AF9" s="211"/>
      <c r="AG9" s="12"/>
      <c r="AH9" s="8"/>
      <c r="AI9" s="8"/>
      <c r="AJ9" s="8"/>
      <c r="AK9" s="8"/>
      <c r="AL9" s="13"/>
      <c r="AM9" s="12"/>
      <c r="AN9" s="8"/>
      <c r="AO9" s="8"/>
      <c r="AP9" s="8"/>
      <c r="AQ9" s="8"/>
      <c r="AR9" s="211"/>
      <c r="AS9" s="116">
        <v>46253</v>
      </c>
      <c r="AT9" s="117"/>
      <c r="AU9" s="112"/>
      <c r="AV9" s="203"/>
      <c r="AW9" s="204"/>
      <c r="AX9" s="205"/>
      <c r="AY9" s="203"/>
      <c r="AZ9" s="204"/>
      <c r="BA9" s="205"/>
      <c r="BB9" s="203"/>
      <c r="BC9" s="204"/>
      <c r="BD9" s="205"/>
      <c r="BE9" s="203"/>
      <c r="BF9" s="204"/>
      <c r="BG9" s="205"/>
      <c r="BH9" s="212"/>
      <c r="BI9" s="204"/>
      <c r="BJ9" s="205"/>
      <c r="BK9" s="215"/>
      <c r="BL9" s="204"/>
      <c r="BM9" s="205"/>
      <c r="BN9" s="203"/>
      <c r="BO9" s="204"/>
      <c r="BP9" s="205"/>
      <c r="BQ9" s="90" t="str">
        <f t="shared" si="0"/>
        <v>3C.1</v>
      </c>
      <c r="BR9" s="71" t="b">
        <f t="shared" si="2"/>
        <v>0</v>
      </c>
    </row>
    <row r="10" spans="1:70" ht="20.100000000000001" customHeight="1">
      <c r="A10" s="71" t="b">
        <f t="shared" si="1"/>
        <v>0</v>
      </c>
      <c r="B10" s="9" t="s">
        <v>125</v>
      </c>
      <c r="C10" s="12"/>
      <c r="D10" s="8"/>
      <c r="E10" s="8"/>
      <c r="F10" s="8"/>
      <c r="G10" s="8"/>
      <c r="H10" s="13"/>
      <c r="I10" s="245" t="s">
        <v>176</v>
      </c>
      <c r="J10" s="73"/>
      <c r="K10" s="73"/>
      <c r="L10" s="73"/>
      <c r="M10" s="73"/>
      <c r="N10" s="164"/>
      <c r="O10" s="245" t="s">
        <v>176</v>
      </c>
      <c r="P10" s="73"/>
      <c r="Q10" s="73"/>
      <c r="R10" s="73"/>
      <c r="S10" s="73"/>
      <c r="T10" s="164"/>
      <c r="U10" s="12"/>
      <c r="V10" s="8"/>
      <c r="W10" s="8"/>
      <c r="X10" s="8"/>
      <c r="Y10" s="8"/>
      <c r="Z10" s="13"/>
      <c r="AA10" s="12"/>
      <c r="AB10" s="8"/>
      <c r="AC10" s="8"/>
      <c r="AD10" s="8"/>
      <c r="AE10" s="8"/>
      <c r="AF10" s="211"/>
      <c r="AG10" s="12"/>
      <c r="AH10" s="8"/>
      <c r="AI10" s="8"/>
      <c r="AJ10" s="8"/>
      <c r="AK10" s="8"/>
      <c r="AL10" s="13"/>
      <c r="AM10" s="12"/>
      <c r="AN10" s="8"/>
      <c r="AO10" s="8"/>
      <c r="AP10" s="8"/>
      <c r="AQ10" s="8"/>
      <c r="AR10" s="211"/>
      <c r="AS10" s="116">
        <v>46254</v>
      </c>
      <c r="AT10" s="117"/>
      <c r="AU10" s="112"/>
      <c r="AV10" s="203"/>
      <c r="AW10" s="204"/>
      <c r="AX10" s="205"/>
      <c r="AY10" s="203"/>
      <c r="AZ10" s="204"/>
      <c r="BA10" s="205"/>
      <c r="BB10" s="203"/>
      <c r="BC10" s="204"/>
      <c r="BD10" s="205"/>
      <c r="BE10" s="203"/>
      <c r="BF10" s="204"/>
      <c r="BG10" s="205"/>
      <c r="BH10" s="212"/>
      <c r="BI10" s="204"/>
      <c r="BJ10" s="205"/>
      <c r="BK10" s="215"/>
      <c r="BL10" s="204"/>
      <c r="BM10" s="205"/>
      <c r="BN10" s="203"/>
      <c r="BO10" s="204"/>
      <c r="BP10" s="205"/>
      <c r="BQ10" s="90" t="str">
        <f t="shared" si="0"/>
        <v>3C.2</v>
      </c>
      <c r="BR10" s="71" t="b">
        <f t="shared" si="2"/>
        <v>0</v>
      </c>
    </row>
    <row r="11" spans="1:70" ht="20.100000000000001" customHeight="1">
      <c r="A11" s="71" t="b">
        <f t="shared" si="1"/>
        <v>0</v>
      </c>
      <c r="B11" s="9" t="s">
        <v>126</v>
      </c>
      <c r="C11" s="12"/>
      <c r="D11" s="8"/>
      <c r="E11" s="8"/>
      <c r="F11" s="8"/>
      <c r="G11" s="8"/>
      <c r="H11" s="13"/>
      <c r="I11" s="12"/>
      <c r="J11" s="8"/>
      <c r="K11" s="8"/>
      <c r="L11" s="8"/>
      <c r="M11" s="8"/>
      <c r="N11" s="13"/>
      <c r="O11" s="12"/>
      <c r="P11" s="8"/>
      <c r="Q11" s="8"/>
      <c r="R11" s="8"/>
      <c r="S11" s="8"/>
      <c r="T11" s="13"/>
      <c r="U11" s="12"/>
      <c r="V11" s="8"/>
      <c r="W11" s="8"/>
      <c r="X11" s="8"/>
      <c r="Y11" s="8"/>
      <c r="Z11" s="13"/>
      <c r="AA11" s="245" t="s">
        <v>176</v>
      </c>
      <c r="AB11" s="73"/>
      <c r="AC11" s="73"/>
      <c r="AD11" s="73"/>
      <c r="AE11" s="73"/>
      <c r="AF11" s="95"/>
      <c r="AG11" s="245" t="s">
        <v>176</v>
      </c>
      <c r="AH11" s="73"/>
      <c r="AI11" s="73"/>
      <c r="AJ11" s="73"/>
      <c r="AK11" s="73"/>
      <c r="AL11" s="164"/>
      <c r="AM11" s="12"/>
      <c r="AN11" s="8"/>
      <c r="AO11" s="8"/>
      <c r="AP11" s="8"/>
      <c r="AQ11" s="8"/>
      <c r="AR11" s="211"/>
      <c r="AS11" s="116">
        <v>46254</v>
      </c>
      <c r="AT11" s="117"/>
      <c r="AU11" s="112"/>
      <c r="AV11" s="203"/>
      <c r="AW11" s="204"/>
      <c r="AX11" s="205"/>
      <c r="AY11" s="203"/>
      <c r="AZ11" s="204"/>
      <c r="BA11" s="205"/>
      <c r="BB11" s="203"/>
      <c r="BC11" s="204"/>
      <c r="BD11" s="205"/>
      <c r="BE11" s="203"/>
      <c r="BF11" s="204"/>
      <c r="BG11" s="205"/>
      <c r="BH11" s="212"/>
      <c r="BI11" s="204"/>
      <c r="BJ11" s="205"/>
      <c r="BK11" s="215"/>
      <c r="BL11" s="204"/>
      <c r="BM11" s="205"/>
      <c r="BN11" s="203"/>
      <c r="BO11" s="204"/>
      <c r="BP11" s="205"/>
      <c r="BQ11" s="90" t="str">
        <f t="shared" si="0"/>
        <v>4C.1</v>
      </c>
      <c r="BR11" s="71" t="b">
        <f t="shared" si="2"/>
        <v>0</v>
      </c>
    </row>
    <row r="12" spans="1:70" ht="20.100000000000001" customHeight="1">
      <c r="A12" s="71" t="b">
        <f t="shared" si="1"/>
        <v>0</v>
      </c>
      <c r="B12" s="9" t="s">
        <v>127</v>
      </c>
      <c r="C12" s="12"/>
      <c r="D12" s="8"/>
      <c r="E12" s="8"/>
      <c r="F12" s="8"/>
      <c r="G12" s="8"/>
      <c r="H12" s="13"/>
      <c r="I12" s="12"/>
      <c r="J12" s="8"/>
      <c r="K12" s="8"/>
      <c r="L12" s="8"/>
      <c r="M12" s="8"/>
      <c r="N12" s="13"/>
      <c r="O12" s="12"/>
      <c r="P12" s="8"/>
      <c r="Q12" s="8"/>
      <c r="R12" s="8"/>
      <c r="S12" s="8"/>
      <c r="T12" s="13"/>
      <c r="U12" s="12"/>
      <c r="V12" s="8"/>
      <c r="W12" s="8"/>
      <c r="X12" s="8"/>
      <c r="Y12" s="8"/>
      <c r="Z12" s="13"/>
      <c r="AA12" s="245"/>
      <c r="AB12" s="73"/>
      <c r="AC12" s="73"/>
      <c r="AD12" s="73"/>
      <c r="AE12" s="73"/>
      <c r="AF12" s="95"/>
      <c r="AG12" s="245"/>
      <c r="AH12" s="73"/>
      <c r="AI12" s="73"/>
      <c r="AJ12" s="73"/>
      <c r="AK12" s="73"/>
      <c r="AL12" s="164"/>
      <c r="AM12" s="12"/>
      <c r="AN12" s="8"/>
      <c r="AO12" s="8"/>
      <c r="AP12" s="8"/>
      <c r="AQ12" s="8"/>
      <c r="AR12" s="211"/>
      <c r="AS12" s="116"/>
      <c r="AT12" s="117"/>
      <c r="AU12" s="112"/>
      <c r="AV12" s="203"/>
      <c r="AW12" s="204"/>
      <c r="AX12" s="205"/>
      <c r="AY12" s="203"/>
      <c r="AZ12" s="204"/>
      <c r="BA12" s="205"/>
      <c r="BB12" s="203"/>
      <c r="BC12" s="204"/>
      <c r="BD12" s="205"/>
      <c r="BE12" s="203"/>
      <c r="BF12" s="204"/>
      <c r="BG12" s="205"/>
      <c r="BH12" s="212"/>
      <c r="BI12" s="204"/>
      <c r="BJ12" s="205"/>
      <c r="BK12" s="215"/>
      <c r="BL12" s="204"/>
      <c r="BM12" s="205"/>
      <c r="BN12" s="203"/>
      <c r="BO12" s="204"/>
      <c r="BP12" s="205"/>
      <c r="BQ12" s="90" t="str">
        <f t="shared" si="0"/>
        <v>4C.2</v>
      </c>
      <c r="BR12" s="71" t="b">
        <f t="shared" si="2"/>
        <v>0</v>
      </c>
    </row>
    <row r="13" spans="1:70" ht="20.100000000000001" customHeight="1">
      <c r="A13" s="71" t="b">
        <f t="shared" si="1"/>
        <v>0</v>
      </c>
      <c r="B13" s="9" t="s">
        <v>128</v>
      </c>
      <c r="C13" s="12"/>
      <c r="D13" s="8"/>
      <c r="E13" s="8"/>
      <c r="F13" s="8"/>
      <c r="G13" s="8"/>
      <c r="H13" s="13"/>
      <c r="I13" s="12"/>
      <c r="J13" s="8"/>
      <c r="K13" s="8"/>
      <c r="L13" s="8"/>
      <c r="M13" s="8"/>
      <c r="N13" s="13"/>
      <c r="O13" s="12"/>
      <c r="P13" s="8"/>
      <c r="Q13" s="8"/>
      <c r="R13" s="8"/>
      <c r="S13" s="8"/>
      <c r="T13" s="13"/>
      <c r="U13" s="12"/>
      <c r="V13" s="8"/>
      <c r="W13" s="8"/>
      <c r="X13" s="8"/>
      <c r="Y13" s="8"/>
      <c r="Z13" s="13"/>
      <c r="AA13" s="245"/>
      <c r="AB13" s="73"/>
      <c r="AC13" s="73"/>
      <c r="AD13" s="73"/>
      <c r="AE13" s="73"/>
      <c r="AF13" s="95"/>
      <c r="AG13" s="245"/>
      <c r="AH13" s="73"/>
      <c r="AI13" s="73"/>
      <c r="AJ13" s="73"/>
      <c r="AK13" s="73"/>
      <c r="AL13" s="164"/>
      <c r="AM13" s="12"/>
      <c r="AN13" s="8"/>
      <c r="AO13" s="8"/>
      <c r="AP13" s="8"/>
      <c r="AQ13" s="8"/>
      <c r="AR13" s="211"/>
      <c r="AS13" s="116"/>
      <c r="AT13" s="117"/>
      <c r="AU13" s="112"/>
      <c r="AV13" s="203"/>
      <c r="AW13" s="204"/>
      <c r="AX13" s="205"/>
      <c r="AY13" s="203"/>
      <c r="AZ13" s="204"/>
      <c r="BA13" s="205"/>
      <c r="BB13" s="203"/>
      <c r="BC13" s="204"/>
      <c r="BD13" s="205"/>
      <c r="BE13" s="203"/>
      <c r="BF13" s="204"/>
      <c r="BG13" s="205"/>
      <c r="BH13" s="212"/>
      <c r="BI13" s="204"/>
      <c r="BJ13" s="205"/>
      <c r="BK13" s="215"/>
      <c r="BL13" s="204"/>
      <c r="BM13" s="205"/>
      <c r="BN13" s="203"/>
      <c r="BO13" s="204"/>
      <c r="BP13" s="205"/>
      <c r="BQ13" s="90" t="str">
        <f t="shared" si="0"/>
        <v>4C.3</v>
      </c>
      <c r="BR13" s="71" t="b">
        <f t="shared" si="2"/>
        <v>0</v>
      </c>
    </row>
    <row r="14" spans="1:70" ht="20.100000000000001" customHeight="1">
      <c r="A14" s="71" t="b">
        <f t="shared" si="1"/>
        <v>0</v>
      </c>
      <c r="B14" s="9" t="s">
        <v>129</v>
      </c>
      <c r="C14" s="12"/>
      <c r="D14" s="8"/>
      <c r="E14" s="8"/>
      <c r="F14" s="8"/>
      <c r="G14" s="8"/>
      <c r="H14" s="13"/>
      <c r="I14" s="12"/>
      <c r="J14" s="8"/>
      <c r="K14" s="8"/>
      <c r="L14" s="8"/>
      <c r="M14" s="8"/>
      <c r="N14" s="13"/>
      <c r="O14" s="12"/>
      <c r="P14" s="8"/>
      <c r="Q14" s="8"/>
      <c r="R14" s="8"/>
      <c r="S14" s="8"/>
      <c r="T14" s="13"/>
      <c r="U14" s="12"/>
      <c r="V14" s="8"/>
      <c r="W14" s="8"/>
      <c r="X14" s="8"/>
      <c r="Y14" s="8"/>
      <c r="Z14" s="13"/>
      <c r="AA14" s="245"/>
      <c r="AB14" s="73"/>
      <c r="AC14" s="73"/>
      <c r="AD14" s="73"/>
      <c r="AE14" s="73"/>
      <c r="AF14" s="95"/>
      <c r="AG14" s="245"/>
      <c r="AH14" s="73"/>
      <c r="AI14" s="73"/>
      <c r="AJ14" s="73"/>
      <c r="AK14" s="73"/>
      <c r="AL14" s="164"/>
      <c r="AM14" s="12"/>
      <c r="AN14" s="8"/>
      <c r="AO14" s="8"/>
      <c r="AP14" s="8"/>
      <c r="AQ14" s="8"/>
      <c r="AR14" s="211"/>
      <c r="AS14" s="116"/>
      <c r="AT14" s="117"/>
      <c r="AU14" s="112"/>
      <c r="AV14" s="203"/>
      <c r="AW14" s="204"/>
      <c r="AX14" s="205"/>
      <c r="AY14" s="203"/>
      <c r="AZ14" s="204"/>
      <c r="BA14" s="205"/>
      <c r="BB14" s="203"/>
      <c r="BC14" s="204"/>
      <c r="BD14" s="205"/>
      <c r="BE14" s="203"/>
      <c r="BF14" s="204"/>
      <c r="BG14" s="205"/>
      <c r="BH14" s="212"/>
      <c r="BI14" s="204"/>
      <c r="BJ14" s="205"/>
      <c r="BK14" s="215"/>
      <c r="BL14" s="204"/>
      <c r="BM14" s="205"/>
      <c r="BN14" s="203"/>
      <c r="BO14" s="204"/>
      <c r="BP14" s="205"/>
      <c r="BQ14" s="90" t="str">
        <f t="shared" si="0"/>
        <v>4C.4</v>
      </c>
      <c r="BR14" s="71" t="b">
        <f t="shared" si="2"/>
        <v>0</v>
      </c>
    </row>
    <row r="15" spans="1:70" ht="20.100000000000001" customHeight="1">
      <c r="A15" s="71" t="b">
        <f t="shared" si="1"/>
        <v>0</v>
      </c>
      <c r="B15" s="9" t="s">
        <v>130</v>
      </c>
      <c r="C15" s="12"/>
      <c r="D15" s="8"/>
      <c r="E15" s="8"/>
      <c r="F15" s="8"/>
      <c r="G15" s="8"/>
      <c r="H15" s="13"/>
      <c r="I15" s="12"/>
      <c r="J15" s="8"/>
      <c r="K15" s="8"/>
      <c r="L15" s="8"/>
      <c r="M15" s="8"/>
      <c r="N15" s="13"/>
      <c r="O15" s="12"/>
      <c r="P15" s="8"/>
      <c r="Q15" s="8"/>
      <c r="R15" s="8"/>
      <c r="S15" s="8"/>
      <c r="T15" s="13"/>
      <c r="U15" s="12"/>
      <c r="V15" s="8"/>
      <c r="W15" s="8"/>
      <c r="X15" s="8"/>
      <c r="Y15" s="8"/>
      <c r="Z15" s="13"/>
      <c r="AA15" s="245"/>
      <c r="AB15" s="73"/>
      <c r="AC15" s="73"/>
      <c r="AD15" s="73"/>
      <c r="AE15" s="73"/>
      <c r="AF15" s="95"/>
      <c r="AG15" s="245"/>
      <c r="AH15" s="73"/>
      <c r="AI15" s="73"/>
      <c r="AJ15" s="73"/>
      <c r="AK15" s="73"/>
      <c r="AL15" s="164"/>
      <c r="AM15" s="12"/>
      <c r="AN15" s="8"/>
      <c r="AO15" s="8"/>
      <c r="AP15" s="8"/>
      <c r="AQ15" s="8"/>
      <c r="AR15" s="211"/>
      <c r="AS15" s="116"/>
      <c r="AT15" s="117"/>
      <c r="AU15" s="112"/>
      <c r="AV15" s="203"/>
      <c r="AW15" s="204"/>
      <c r="AX15" s="205"/>
      <c r="AY15" s="203"/>
      <c r="AZ15" s="204"/>
      <c r="BA15" s="205"/>
      <c r="BB15" s="203"/>
      <c r="BC15" s="204"/>
      <c r="BD15" s="205"/>
      <c r="BE15" s="203"/>
      <c r="BF15" s="204"/>
      <c r="BG15" s="205"/>
      <c r="BH15" s="212"/>
      <c r="BI15" s="204"/>
      <c r="BJ15" s="205"/>
      <c r="BK15" s="215"/>
      <c r="BL15" s="204"/>
      <c r="BM15" s="205"/>
      <c r="BN15" s="203"/>
      <c r="BO15" s="204"/>
      <c r="BP15" s="205"/>
      <c r="BQ15" s="90" t="str">
        <f t="shared" si="0"/>
        <v>4C.5</v>
      </c>
      <c r="BR15" s="71" t="b">
        <f t="shared" si="2"/>
        <v>0</v>
      </c>
    </row>
    <row r="16" spans="1:70" ht="20.100000000000001" customHeight="1">
      <c r="A16" s="71" t="b">
        <f t="shared" si="1"/>
        <v>0</v>
      </c>
      <c r="B16" s="9" t="s">
        <v>131</v>
      </c>
      <c r="C16" s="12"/>
      <c r="D16" s="8"/>
      <c r="E16" s="8"/>
      <c r="F16" s="8"/>
      <c r="G16" s="8"/>
      <c r="H16" s="13"/>
      <c r="I16" s="12"/>
      <c r="J16" s="8"/>
      <c r="K16" s="8"/>
      <c r="L16" s="8"/>
      <c r="M16" s="8"/>
      <c r="N16" s="13"/>
      <c r="O16" s="12"/>
      <c r="P16" s="8"/>
      <c r="Q16" s="8"/>
      <c r="R16" s="8"/>
      <c r="S16" s="8"/>
      <c r="T16" s="13"/>
      <c r="U16" s="12"/>
      <c r="V16" s="8"/>
      <c r="W16" s="8"/>
      <c r="X16" s="8"/>
      <c r="Y16" s="8"/>
      <c r="Z16" s="13"/>
      <c r="AA16" s="89"/>
      <c r="AB16" s="73"/>
      <c r="AC16" s="73"/>
      <c r="AD16" s="73"/>
      <c r="AE16" s="73"/>
      <c r="AF16" s="95"/>
      <c r="AG16" s="89"/>
      <c r="AH16" s="73"/>
      <c r="AI16" s="73"/>
      <c r="AJ16" s="73"/>
      <c r="AK16" s="73"/>
      <c r="AL16" s="164"/>
      <c r="AM16" s="12"/>
      <c r="AN16" s="8"/>
      <c r="AO16" s="8"/>
      <c r="AP16" s="8"/>
      <c r="AQ16" s="8"/>
      <c r="AR16" s="211"/>
      <c r="AS16" s="116"/>
      <c r="AT16" s="117"/>
      <c r="AU16" s="136"/>
      <c r="AV16" s="203"/>
      <c r="AW16" s="204"/>
      <c r="AX16" s="205"/>
      <c r="AY16" s="203"/>
      <c r="AZ16" s="204"/>
      <c r="BA16" s="205"/>
      <c r="BB16" s="203"/>
      <c r="BC16" s="204"/>
      <c r="BD16" s="205"/>
      <c r="BE16" s="203"/>
      <c r="BF16" s="204"/>
      <c r="BG16" s="205"/>
      <c r="BH16" s="212"/>
      <c r="BI16" s="204"/>
      <c r="BJ16" s="205"/>
      <c r="BK16" s="215"/>
      <c r="BL16" s="204"/>
      <c r="BM16" s="205"/>
      <c r="BN16" s="203"/>
      <c r="BO16" s="204"/>
      <c r="BP16" s="205"/>
      <c r="BQ16" s="90" t="str">
        <f t="shared" si="0"/>
        <v>4C.6</v>
      </c>
      <c r="BR16" s="71" t="b">
        <f t="shared" si="2"/>
        <v>0</v>
      </c>
    </row>
    <row r="17" spans="1:70" ht="20.100000000000001" customHeight="1">
      <c r="A17" s="71" t="b">
        <f t="shared" si="1"/>
        <v>0</v>
      </c>
      <c r="B17" s="9" t="s">
        <v>132</v>
      </c>
      <c r="C17" s="12"/>
      <c r="D17" s="8"/>
      <c r="E17" s="8"/>
      <c r="F17" s="8"/>
      <c r="G17" s="8"/>
      <c r="H17" s="13"/>
      <c r="I17" s="12"/>
      <c r="J17" s="8"/>
      <c r="K17" s="8"/>
      <c r="L17" s="8"/>
      <c r="M17" s="8"/>
      <c r="N17" s="13"/>
      <c r="O17" s="12"/>
      <c r="P17" s="8"/>
      <c r="Q17" s="8"/>
      <c r="R17" s="8"/>
      <c r="S17" s="8"/>
      <c r="T17" s="13"/>
      <c r="U17" s="12"/>
      <c r="V17" s="8"/>
      <c r="W17" s="8"/>
      <c r="X17" s="8"/>
      <c r="Y17" s="8"/>
      <c r="Z17" s="13"/>
      <c r="AA17" s="245" t="s">
        <v>176</v>
      </c>
      <c r="AB17" s="73"/>
      <c r="AC17" s="73"/>
      <c r="AD17" s="73"/>
      <c r="AE17" s="73"/>
      <c r="AF17" s="95"/>
      <c r="AG17" s="245" t="s">
        <v>176</v>
      </c>
      <c r="AH17" s="73"/>
      <c r="AI17" s="73"/>
      <c r="AJ17" s="73"/>
      <c r="AK17" s="73"/>
      <c r="AL17" s="164"/>
      <c r="AM17" s="12"/>
      <c r="AN17" s="8"/>
      <c r="AO17" s="8"/>
      <c r="AP17" s="8"/>
      <c r="AQ17" s="8"/>
      <c r="AR17" s="211"/>
      <c r="AS17" s="116">
        <v>46244</v>
      </c>
      <c r="AT17" s="117"/>
      <c r="AU17" s="112"/>
      <c r="AV17" s="203"/>
      <c r="AW17" s="204"/>
      <c r="AX17" s="205"/>
      <c r="AY17" s="203"/>
      <c r="AZ17" s="204"/>
      <c r="BA17" s="205"/>
      <c r="BB17" s="203"/>
      <c r="BC17" s="204"/>
      <c r="BD17" s="205"/>
      <c r="BE17" s="203"/>
      <c r="BF17" s="204"/>
      <c r="BG17" s="205"/>
      <c r="BH17" s="212"/>
      <c r="BI17" s="204"/>
      <c r="BJ17" s="205"/>
      <c r="BK17" s="215"/>
      <c r="BL17" s="204"/>
      <c r="BM17" s="205"/>
      <c r="BN17" s="203"/>
      <c r="BO17" s="204"/>
      <c r="BP17" s="205"/>
      <c r="BQ17" s="90" t="str">
        <f t="shared" si="0"/>
        <v>5C.1</v>
      </c>
      <c r="BR17" s="71" t="b">
        <f t="shared" si="2"/>
        <v>0</v>
      </c>
    </row>
    <row r="18" spans="1:70" ht="20.100000000000001" customHeight="1">
      <c r="A18" s="71" t="b">
        <f t="shared" si="1"/>
        <v>0</v>
      </c>
      <c r="B18" s="9" t="s">
        <v>133</v>
      </c>
      <c r="C18" s="12"/>
      <c r="D18" s="8"/>
      <c r="E18" s="8"/>
      <c r="F18" s="8"/>
      <c r="G18" s="8"/>
      <c r="H18" s="13"/>
      <c r="I18" s="12"/>
      <c r="J18" s="8"/>
      <c r="K18" s="8"/>
      <c r="L18" s="8"/>
      <c r="M18" s="8"/>
      <c r="N18" s="13"/>
      <c r="O18" s="12"/>
      <c r="P18" s="8"/>
      <c r="Q18" s="8"/>
      <c r="R18" s="8"/>
      <c r="S18" s="8"/>
      <c r="T18" s="13"/>
      <c r="U18" s="12"/>
      <c r="V18" s="8"/>
      <c r="W18" s="8"/>
      <c r="X18" s="8"/>
      <c r="Y18" s="8"/>
      <c r="Z18" s="13"/>
      <c r="AA18" s="245" t="s">
        <v>176</v>
      </c>
      <c r="AB18" s="73"/>
      <c r="AC18" s="73"/>
      <c r="AD18" s="73"/>
      <c r="AE18" s="73"/>
      <c r="AF18" s="95"/>
      <c r="AG18" s="245" t="s">
        <v>176</v>
      </c>
      <c r="AH18" s="73"/>
      <c r="AI18" s="73"/>
      <c r="AJ18" s="73"/>
      <c r="AK18" s="73"/>
      <c r="AL18" s="164"/>
      <c r="AM18" s="12"/>
      <c r="AN18" s="8"/>
      <c r="AO18" s="8"/>
      <c r="AP18" s="8"/>
      <c r="AQ18" s="8"/>
      <c r="AR18" s="211"/>
      <c r="AS18" s="116">
        <v>46244</v>
      </c>
      <c r="AT18" s="117"/>
      <c r="AU18" s="112"/>
      <c r="AV18" s="203"/>
      <c r="AW18" s="204"/>
      <c r="AX18" s="205"/>
      <c r="AY18" s="203"/>
      <c r="AZ18" s="204"/>
      <c r="BA18" s="205"/>
      <c r="BB18" s="203"/>
      <c r="BC18" s="204"/>
      <c r="BD18" s="205"/>
      <c r="BE18" s="203"/>
      <c r="BF18" s="204"/>
      <c r="BG18" s="205"/>
      <c r="BH18" s="212"/>
      <c r="BI18" s="204"/>
      <c r="BJ18" s="205"/>
      <c r="BK18" s="215"/>
      <c r="BL18" s="204"/>
      <c r="BM18" s="205"/>
      <c r="BN18" s="203"/>
      <c r="BO18" s="204"/>
      <c r="BP18" s="205"/>
      <c r="BQ18" s="90" t="str">
        <f t="shared" si="0"/>
        <v>5C.1</v>
      </c>
      <c r="BR18" s="71" t="b">
        <f t="shared" si="2"/>
        <v>0</v>
      </c>
    </row>
    <row r="19" spans="1:70" ht="20.100000000000001" customHeight="1">
      <c r="A19" s="71" t="b">
        <f t="shared" si="1"/>
        <v>0</v>
      </c>
      <c r="B19" s="9" t="s">
        <v>134</v>
      </c>
      <c r="C19" s="12"/>
      <c r="D19" s="8"/>
      <c r="E19" s="8"/>
      <c r="F19" s="8"/>
      <c r="G19" s="8"/>
      <c r="H19" s="13"/>
      <c r="I19" s="12"/>
      <c r="J19" s="8"/>
      <c r="K19" s="8"/>
      <c r="L19" s="8"/>
      <c r="M19" s="8"/>
      <c r="N19" s="13"/>
      <c r="O19" s="12"/>
      <c r="P19" s="8"/>
      <c r="Q19" s="8"/>
      <c r="R19" s="8"/>
      <c r="S19" s="8"/>
      <c r="T19" s="13"/>
      <c r="U19" s="12"/>
      <c r="V19" s="8"/>
      <c r="W19" s="8"/>
      <c r="X19" s="8"/>
      <c r="Y19" s="8"/>
      <c r="Z19" s="13"/>
      <c r="AA19" s="245" t="s">
        <v>176</v>
      </c>
      <c r="AB19" s="73"/>
      <c r="AC19" s="73"/>
      <c r="AD19" s="73"/>
      <c r="AE19" s="73"/>
      <c r="AF19" s="95"/>
      <c r="AG19" s="245" t="s">
        <v>176</v>
      </c>
      <c r="AH19" s="73"/>
      <c r="AI19" s="73"/>
      <c r="AJ19" s="73"/>
      <c r="AK19" s="73"/>
      <c r="AL19" s="164"/>
      <c r="AM19" s="12"/>
      <c r="AN19" s="8"/>
      <c r="AO19" s="8"/>
      <c r="AP19" s="8"/>
      <c r="AQ19" s="8"/>
      <c r="AR19" s="211"/>
      <c r="AS19" s="116">
        <v>46247</v>
      </c>
      <c r="AT19" s="117"/>
      <c r="AU19" s="112"/>
      <c r="AV19" s="203"/>
      <c r="AW19" s="204"/>
      <c r="AX19" s="205"/>
      <c r="AY19" s="203"/>
      <c r="AZ19" s="204"/>
      <c r="BA19" s="205"/>
      <c r="BB19" s="203"/>
      <c r="BC19" s="204"/>
      <c r="BD19" s="205"/>
      <c r="BE19" s="203"/>
      <c r="BF19" s="204"/>
      <c r="BG19" s="205"/>
      <c r="BH19" s="212"/>
      <c r="BI19" s="204"/>
      <c r="BJ19" s="205"/>
      <c r="BK19" s="215"/>
      <c r="BL19" s="204"/>
      <c r="BM19" s="205"/>
      <c r="BN19" s="203"/>
      <c r="BO19" s="204"/>
      <c r="BP19" s="205"/>
      <c r="BQ19" s="90" t="str">
        <f t="shared" si="0"/>
        <v>5C.1</v>
      </c>
      <c r="BR19" s="71" t="b">
        <f t="shared" si="2"/>
        <v>0</v>
      </c>
    </row>
    <row r="20" spans="1:70" ht="20.100000000000001" customHeight="1">
      <c r="A20" s="71" t="b">
        <f t="shared" si="1"/>
        <v>0</v>
      </c>
      <c r="B20" s="9" t="s">
        <v>135</v>
      </c>
      <c r="C20" s="12"/>
      <c r="D20" s="8"/>
      <c r="E20" s="8"/>
      <c r="F20" s="8"/>
      <c r="G20" s="8"/>
      <c r="H20" s="13"/>
      <c r="I20" s="12"/>
      <c r="J20" s="8"/>
      <c r="K20" s="8"/>
      <c r="L20" s="8"/>
      <c r="M20" s="8"/>
      <c r="N20" s="13"/>
      <c r="O20" s="12"/>
      <c r="P20" s="8"/>
      <c r="Q20" s="8"/>
      <c r="R20" s="8"/>
      <c r="S20" s="8"/>
      <c r="T20" s="13"/>
      <c r="U20" s="12"/>
      <c r="V20" s="8"/>
      <c r="W20" s="8"/>
      <c r="X20" s="8"/>
      <c r="Y20" s="8"/>
      <c r="Z20" s="13"/>
      <c r="AA20" s="245" t="s">
        <v>176</v>
      </c>
      <c r="AB20" s="73"/>
      <c r="AC20" s="73"/>
      <c r="AD20" s="73"/>
      <c r="AE20" s="73"/>
      <c r="AF20" s="95"/>
      <c r="AG20" s="245" t="s">
        <v>176</v>
      </c>
      <c r="AH20" s="73"/>
      <c r="AI20" s="73"/>
      <c r="AJ20" s="73"/>
      <c r="AK20" s="73"/>
      <c r="AL20" s="164"/>
      <c r="AM20" s="12"/>
      <c r="AN20" s="8"/>
      <c r="AO20" s="8"/>
      <c r="AP20" s="8"/>
      <c r="AQ20" s="8"/>
      <c r="AR20" s="211"/>
      <c r="AS20" s="116">
        <v>46245</v>
      </c>
      <c r="AT20" s="117"/>
      <c r="AU20" s="112"/>
      <c r="AV20" s="203"/>
      <c r="AW20" s="204"/>
      <c r="AX20" s="205"/>
      <c r="AY20" s="203"/>
      <c r="AZ20" s="204"/>
      <c r="BA20" s="205"/>
      <c r="BB20" s="203"/>
      <c r="BC20" s="204"/>
      <c r="BD20" s="205"/>
      <c r="BE20" s="203"/>
      <c r="BF20" s="204"/>
      <c r="BG20" s="205"/>
      <c r="BH20" s="212"/>
      <c r="BI20" s="204"/>
      <c r="BJ20" s="205"/>
      <c r="BK20" s="215"/>
      <c r="BL20" s="204"/>
      <c r="BM20" s="205"/>
      <c r="BN20" s="203"/>
      <c r="BO20" s="204"/>
      <c r="BP20" s="205"/>
      <c r="BQ20" s="90" t="str">
        <f t="shared" si="0"/>
        <v>5C.1</v>
      </c>
      <c r="BR20" s="71" t="b">
        <f t="shared" si="2"/>
        <v>0</v>
      </c>
    </row>
    <row r="21" spans="1:70" ht="20.100000000000001" customHeight="1">
      <c r="A21" s="71" t="b">
        <f t="shared" si="1"/>
        <v>0</v>
      </c>
      <c r="B21" s="9" t="s">
        <v>136</v>
      </c>
      <c r="C21" s="12"/>
      <c r="D21" s="8"/>
      <c r="E21" s="8"/>
      <c r="F21" s="8"/>
      <c r="G21" s="8"/>
      <c r="H21" s="13"/>
      <c r="I21" s="12"/>
      <c r="J21" s="8"/>
      <c r="K21" s="8"/>
      <c r="L21" s="8"/>
      <c r="M21" s="8"/>
      <c r="N21" s="13"/>
      <c r="O21" s="12"/>
      <c r="P21" s="8"/>
      <c r="Q21" s="8"/>
      <c r="R21" s="8"/>
      <c r="S21" s="8"/>
      <c r="T21" s="13"/>
      <c r="U21" s="12"/>
      <c r="V21" s="8"/>
      <c r="W21" s="8"/>
      <c r="X21" s="8"/>
      <c r="Y21" s="8"/>
      <c r="Z21" s="13"/>
      <c r="AA21" s="245" t="s">
        <v>176</v>
      </c>
      <c r="AB21" s="73"/>
      <c r="AC21" s="73"/>
      <c r="AD21" s="73"/>
      <c r="AE21" s="73"/>
      <c r="AF21" s="95"/>
      <c r="AG21" s="245" t="s">
        <v>176</v>
      </c>
      <c r="AH21" s="73"/>
      <c r="AI21" s="73"/>
      <c r="AJ21" s="73"/>
      <c r="AK21" s="73"/>
      <c r="AL21" s="164"/>
      <c r="AM21" s="12"/>
      <c r="AN21" s="8"/>
      <c r="AO21" s="8"/>
      <c r="AP21" s="8"/>
      <c r="AQ21" s="8"/>
      <c r="AR21" s="211"/>
      <c r="AS21" s="116">
        <v>46247</v>
      </c>
      <c r="AT21" s="117"/>
      <c r="AU21" s="112"/>
      <c r="AV21" s="203"/>
      <c r="AW21" s="204"/>
      <c r="AX21" s="205"/>
      <c r="AY21" s="212"/>
      <c r="AZ21" s="204"/>
      <c r="BA21" s="205"/>
      <c r="BB21" s="215"/>
      <c r="BC21" s="204"/>
      <c r="BD21" s="205"/>
      <c r="BE21" s="203"/>
      <c r="BF21" s="204"/>
      <c r="BG21" s="205"/>
      <c r="BH21" s="203"/>
      <c r="BI21" s="204"/>
      <c r="BJ21" s="205"/>
      <c r="BK21" s="203"/>
      <c r="BL21" s="204"/>
      <c r="BM21" s="205"/>
      <c r="BN21" s="203"/>
      <c r="BO21" s="204"/>
      <c r="BP21" s="205"/>
      <c r="BQ21" s="90" t="str">
        <f t="shared" si="0"/>
        <v>5C.1</v>
      </c>
      <c r="BR21" s="71" t="b">
        <f t="shared" si="2"/>
        <v>0</v>
      </c>
    </row>
    <row r="22" spans="1:70" ht="20.100000000000001" customHeight="1">
      <c r="A22" s="71" t="b">
        <f t="shared" si="1"/>
        <v>0</v>
      </c>
      <c r="B22" s="9" t="s">
        <v>137</v>
      </c>
      <c r="C22" s="12"/>
      <c r="D22" s="8"/>
      <c r="E22" s="8"/>
      <c r="F22" s="8"/>
      <c r="G22" s="8"/>
      <c r="H22" s="13"/>
      <c r="I22" s="12"/>
      <c r="J22" s="8"/>
      <c r="K22" s="8"/>
      <c r="L22" s="8"/>
      <c r="M22" s="8"/>
      <c r="N22" s="13"/>
      <c r="O22" s="12"/>
      <c r="P22" s="8"/>
      <c r="Q22" s="8"/>
      <c r="R22" s="8"/>
      <c r="S22" s="8"/>
      <c r="T22" s="13"/>
      <c r="U22" s="12"/>
      <c r="V22" s="8"/>
      <c r="W22" s="8"/>
      <c r="X22" s="8"/>
      <c r="Y22" s="8"/>
      <c r="Z22" s="13"/>
      <c r="AA22" s="14"/>
      <c r="AB22" s="73"/>
      <c r="AC22" s="73"/>
      <c r="AD22" s="73"/>
      <c r="AE22" s="73"/>
      <c r="AF22" s="95"/>
      <c r="AG22" s="14"/>
      <c r="AH22" s="73"/>
      <c r="AI22" s="73"/>
      <c r="AJ22" s="73"/>
      <c r="AK22" s="73"/>
      <c r="AL22" s="164"/>
      <c r="AM22" s="12"/>
      <c r="AN22" s="8"/>
      <c r="AO22" s="8"/>
      <c r="AP22" s="8"/>
      <c r="AQ22" s="8"/>
      <c r="AR22" s="211"/>
      <c r="AS22" s="116"/>
      <c r="AT22" s="117"/>
      <c r="AU22" s="112"/>
      <c r="AV22" s="203"/>
      <c r="AW22" s="204"/>
      <c r="AX22" s="205"/>
      <c r="AY22" s="212"/>
      <c r="AZ22" s="204"/>
      <c r="BA22" s="205"/>
      <c r="BB22" s="215"/>
      <c r="BC22" s="204"/>
      <c r="BD22" s="205"/>
      <c r="BE22" s="203"/>
      <c r="BF22" s="204"/>
      <c r="BG22" s="205"/>
      <c r="BH22" s="203"/>
      <c r="BI22" s="204"/>
      <c r="BJ22" s="205"/>
      <c r="BK22" s="203"/>
      <c r="BL22" s="204"/>
      <c r="BM22" s="205"/>
      <c r="BN22" s="203"/>
      <c r="BO22" s="204"/>
      <c r="BP22" s="205"/>
      <c r="BQ22" s="90" t="str">
        <f t="shared" si="0"/>
        <v>5C.2</v>
      </c>
      <c r="BR22" s="71" t="b">
        <f t="shared" si="2"/>
        <v>0</v>
      </c>
    </row>
    <row r="23" spans="1:70" ht="20.100000000000001" customHeight="1">
      <c r="A23" s="71" t="b">
        <f t="shared" si="1"/>
        <v>0</v>
      </c>
      <c r="B23" s="9" t="s">
        <v>138</v>
      </c>
      <c r="C23" s="12"/>
      <c r="D23" s="8"/>
      <c r="E23" s="8"/>
      <c r="F23" s="8"/>
      <c r="G23" s="8"/>
      <c r="H23" s="13"/>
      <c r="I23" s="12"/>
      <c r="J23" s="8"/>
      <c r="K23" s="8"/>
      <c r="L23" s="8"/>
      <c r="M23" s="8"/>
      <c r="N23" s="13"/>
      <c r="O23" s="12"/>
      <c r="P23" s="8"/>
      <c r="Q23" s="8"/>
      <c r="R23" s="8"/>
      <c r="S23" s="8"/>
      <c r="T23" s="13"/>
      <c r="U23" s="12"/>
      <c r="V23" s="8"/>
      <c r="W23" s="8"/>
      <c r="X23" s="8"/>
      <c r="Y23" s="8"/>
      <c r="Z23" s="13"/>
      <c r="AA23" s="245" t="s">
        <v>176</v>
      </c>
      <c r="AB23" s="73"/>
      <c r="AC23" s="73"/>
      <c r="AD23" s="73"/>
      <c r="AE23" s="73"/>
      <c r="AF23" s="95"/>
      <c r="AG23" s="245" t="s">
        <v>176</v>
      </c>
      <c r="AH23" s="73"/>
      <c r="AI23" s="73"/>
      <c r="AJ23" s="73"/>
      <c r="AK23" s="73"/>
      <c r="AL23" s="164"/>
      <c r="AM23" s="12"/>
      <c r="AN23" s="8"/>
      <c r="AO23" s="8"/>
      <c r="AP23" s="8"/>
      <c r="AQ23" s="8"/>
      <c r="AR23" s="211"/>
      <c r="AS23" s="116">
        <v>46247</v>
      </c>
      <c r="AT23" s="117"/>
      <c r="AU23" s="112"/>
      <c r="AV23" s="203"/>
      <c r="AW23" s="204"/>
      <c r="AX23" s="205"/>
      <c r="AY23" s="203"/>
      <c r="AZ23" s="204"/>
      <c r="BA23" s="205"/>
      <c r="BB23" s="203"/>
      <c r="BC23" s="204"/>
      <c r="BD23" s="205"/>
      <c r="BE23" s="203"/>
      <c r="BF23" s="204"/>
      <c r="BG23" s="205"/>
      <c r="BH23" s="215"/>
      <c r="BI23" s="204"/>
      <c r="BJ23" s="205"/>
      <c r="BK23" s="215"/>
      <c r="BL23" s="204"/>
      <c r="BM23" s="205"/>
      <c r="BN23" s="203"/>
      <c r="BO23" s="204"/>
      <c r="BP23" s="205"/>
      <c r="BQ23" s="90" t="str">
        <f t="shared" si="0"/>
        <v>5C.3</v>
      </c>
      <c r="BR23" s="71" t="b">
        <f t="shared" si="2"/>
        <v>0</v>
      </c>
    </row>
    <row r="24" spans="1:70" ht="20.100000000000001" customHeight="1">
      <c r="A24" s="71" t="b">
        <f t="shared" si="1"/>
        <v>0</v>
      </c>
      <c r="B24" s="9" t="s">
        <v>139</v>
      </c>
      <c r="C24" s="12"/>
      <c r="D24" s="8"/>
      <c r="E24" s="8"/>
      <c r="F24" s="8"/>
      <c r="G24" s="8"/>
      <c r="H24" s="13"/>
      <c r="I24" s="12"/>
      <c r="J24" s="8"/>
      <c r="K24" s="8"/>
      <c r="L24" s="8"/>
      <c r="M24" s="8"/>
      <c r="N24" s="13"/>
      <c r="O24" s="12"/>
      <c r="P24" s="8"/>
      <c r="Q24" s="8"/>
      <c r="R24" s="8"/>
      <c r="S24" s="8"/>
      <c r="T24" s="13"/>
      <c r="U24" s="12"/>
      <c r="V24" s="8"/>
      <c r="W24" s="8"/>
      <c r="X24" s="8"/>
      <c r="Y24" s="8"/>
      <c r="Z24" s="13"/>
      <c r="AA24" s="245" t="s">
        <v>176</v>
      </c>
      <c r="AB24" s="73"/>
      <c r="AC24" s="73"/>
      <c r="AD24" s="73"/>
      <c r="AE24" s="73"/>
      <c r="AF24" s="95"/>
      <c r="AG24" s="245" t="s">
        <v>176</v>
      </c>
      <c r="AH24" s="73"/>
      <c r="AI24" s="73"/>
      <c r="AJ24" s="73"/>
      <c r="AK24" s="73"/>
      <c r="AL24" s="164"/>
      <c r="AM24" s="12"/>
      <c r="AN24" s="8"/>
      <c r="AO24" s="8"/>
      <c r="AP24" s="8"/>
      <c r="AQ24" s="8"/>
      <c r="AR24" s="211"/>
      <c r="AS24" s="116">
        <v>46253</v>
      </c>
      <c r="AT24" s="117"/>
      <c r="AU24" s="112"/>
      <c r="AV24" s="203"/>
      <c r="AW24" s="204"/>
      <c r="AX24" s="205"/>
      <c r="AY24" s="203"/>
      <c r="AZ24" s="204"/>
      <c r="BA24" s="205"/>
      <c r="BB24" s="203"/>
      <c r="BC24" s="204"/>
      <c r="BD24" s="205"/>
      <c r="BE24" s="203"/>
      <c r="BF24" s="204"/>
      <c r="BG24" s="205"/>
      <c r="BH24" s="215"/>
      <c r="BI24" s="204"/>
      <c r="BJ24" s="205"/>
      <c r="BK24" s="212"/>
      <c r="BL24" s="204"/>
      <c r="BM24" s="205"/>
      <c r="BN24" s="203"/>
      <c r="BO24" s="204"/>
      <c r="BP24" s="205"/>
      <c r="BQ24" s="90" t="str">
        <f t="shared" si="0"/>
        <v>5C.3</v>
      </c>
      <c r="BR24" s="71" t="b">
        <f t="shared" si="2"/>
        <v>0</v>
      </c>
    </row>
    <row r="25" spans="1:70" ht="20.100000000000001" customHeight="1">
      <c r="A25" s="71" t="b">
        <f t="shared" si="1"/>
        <v>0</v>
      </c>
      <c r="B25" s="9" t="s">
        <v>140</v>
      </c>
      <c r="C25" s="12"/>
      <c r="D25" s="8"/>
      <c r="E25" s="8"/>
      <c r="F25" s="8"/>
      <c r="G25" s="8"/>
      <c r="H25" s="13"/>
      <c r="I25" s="12"/>
      <c r="J25" s="8"/>
      <c r="K25" s="8"/>
      <c r="L25" s="8"/>
      <c r="M25" s="8"/>
      <c r="N25" s="13"/>
      <c r="O25" s="12"/>
      <c r="P25" s="8"/>
      <c r="Q25" s="8"/>
      <c r="R25" s="8"/>
      <c r="S25" s="8"/>
      <c r="T25" s="13"/>
      <c r="U25" s="12"/>
      <c r="V25" s="8"/>
      <c r="W25" s="8"/>
      <c r="X25" s="8"/>
      <c r="Y25" s="8"/>
      <c r="Z25" s="13"/>
      <c r="AA25" s="89"/>
      <c r="AB25" s="73"/>
      <c r="AC25" s="73"/>
      <c r="AD25" s="73"/>
      <c r="AE25" s="73"/>
      <c r="AF25" s="95"/>
      <c r="AG25" s="89"/>
      <c r="AH25" s="73"/>
      <c r="AI25" s="73"/>
      <c r="AJ25" s="73"/>
      <c r="AK25" s="73"/>
      <c r="AL25" s="164"/>
      <c r="AM25" s="12"/>
      <c r="AN25" s="8"/>
      <c r="AO25" s="8"/>
      <c r="AP25" s="8"/>
      <c r="AQ25" s="8"/>
      <c r="AR25" s="211"/>
      <c r="AS25" s="116"/>
      <c r="AT25" s="117"/>
      <c r="AU25" s="112"/>
      <c r="AV25" s="203"/>
      <c r="AW25" s="204"/>
      <c r="AX25" s="205"/>
      <c r="AY25" s="203"/>
      <c r="AZ25" s="204"/>
      <c r="BA25" s="205"/>
      <c r="BB25" s="203"/>
      <c r="BC25" s="204"/>
      <c r="BD25" s="205"/>
      <c r="BE25" s="203"/>
      <c r="BF25" s="204"/>
      <c r="BG25" s="205"/>
      <c r="BH25" s="215"/>
      <c r="BI25" s="204"/>
      <c r="BJ25" s="205"/>
      <c r="BK25" s="212"/>
      <c r="BL25" s="204"/>
      <c r="BM25" s="205"/>
      <c r="BN25" s="203"/>
      <c r="BO25" s="204"/>
      <c r="BP25" s="205"/>
      <c r="BQ25" s="90" t="str">
        <f t="shared" si="0"/>
        <v>5C.3</v>
      </c>
      <c r="BR25" s="71" t="b">
        <f t="shared" si="2"/>
        <v>0</v>
      </c>
    </row>
    <row r="26" spans="1:70" ht="20.100000000000001" customHeight="1">
      <c r="A26" s="71" t="b">
        <f t="shared" si="1"/>
        <v>0</v>
      </c>
      <c r="B26" s="9" t="s">
        <v>141</v>
      </c>
      <c r="C26" s="12"/>
      <c r="D26" s="8"/>
      <c r="E26" s="8"/>
      <c r="F26" s="8"/>
      <c r="G26" s="8"/>
      <c r="H26" s="13"/>
      <c r="I26" s="12"/>
      <c r="J26" s="8"/>
      <c r="K26" s="8"/>
      <c r="L26" s="8"/>
      <c r="M26" s="8"/>
      <c r="N26" s="13"/>
      <c r="O26" s="12"/>
      <c r="P26" s="8"/>
      <c r="Q26" s="8"/>
      <c r="R26" s="8"/>
      <c r="S26" s="8"/>
      <c r="T26" s="13"/>
      <c r="U26" s="12"/>
      <c r="V26" s="8"/>
      <c r="W26" s="8"/>
      <c r="X26" s="8"/>
      <c r="Y26" s="8"/>
      <c r="Z26" s="13"/>
      <c r="AA26" s="245" t="s">
        <v>176</v>
      </c>
      <c r="AB26" s="73"/>
      <c r="AC26" s="73"/>
      <c r="AD26" s="73"/>
      <c r="AE26" s="73"/>
      <c r="AF26" s="95"/>
      <c r="AG26" s="245" t="s">
        <v>176</v>
      </c>
      <c r="AH26" s="73"/>
      <c r="AI26" s="73"/>
      <c r="AJ26" s="73"/>
      <c r="AK26" s="73"/>
      <c r="AL26" s="164"/>
      <c r="AM26" s="12"/>
      <c r="AN26" s="8"/>
      <c r="AO26" s="8"/>
      <c r="AP26" s="8"/>
      <c r="AQ26" s="8"/>
      <c r="AR26" s="211"/>
      <c r="AS26" s="116">
        <v>46253</v>
      </c>
      <c r="AT26" s="117"/>
      <c r="AU26" s="112"/>
      <c r="AV26" s="203"/>
      <c r="AW26" s="204"/>
      <c r="AX26" s="205"/>
      <c r="AY26" s="203"/>
      <c r="AZ26" s="204"/>
      <c r="BA26" s="205"/>
      <c r="BB26" s="203"/>
      <c r="BC26" s="204"/>
      <c r="BD26" s="205"/>
      <c r="BE26" s="203"/>
      <c r="BF26" s="204"/>
      <c r="BG26" s="205"/>
      <c r="BH26" s="215"/>
      <c r="BI26" s="214"/>
      <c r="BJ26" s="205"/>
      <c r="BK26" s="212"/>
      <c r="BL26" s="214"/>
      <c r="BM26" s="205"/>
      <c r="BN26" s="203"/>
      <c r="BO26" s="204"/>
      <c r="BP26" s="205"/>
      <c r="BQ26" s="90" t="str">
        <f t="shared" si="0"/>
        <v>5C.3</v>
      </c>
      <c r="BR26" s="71" t="b">
        <f t="shared" si="2"/>
        <v>0</v>
      </c>
    </row>
    <row r="27" spans="1:70" ht="20.100000000000001" customHeight="1">
      <c r="A27" s="71" t="b">
        <f t="shared" si="1"/>
        <v>0</v>
      </c>
      <c r="B27" s="9" t="s">
        <v>142</v>
      </c>
      <c r="C27" s="12"/>
      <c r="D27" s="8"/>
      <c r="E27" s="8"/>
      <c r="F27" s="8"/>
      <c r="G27" s="8"/>
      <c r="H27" s="13"/>
      <c r="I27" s="12"/>
      <c r="J27" s="8"/>
      <c r="K27" s="8"/>
      <c r="L27" s="8"/>
      <c r="M27" s="8"/>
      <c r="N27" s="13"/>
      <c r="O27" s="12"/>
      <c r="P27" s="8"/>
      <c r="Q27" s="8"/>
      <c r="R27" s="8"/>
      <c r="S27" s="8"/>
      <c r="T27" s="13"/>
      <c r="U27" s="245" t="s">
        <v>176</v>
      </c>
      <c r="V27" s="73"/>
      <c r="W27" s="73"/>
      <c r="X27" s="73"/>
      <c r="Y27" s="73"/>
      <c r="Z27" s="164"/>
      <c r="AA27" s="12"/>
      <c r="AB27" s="8"/>
      <c r="AC27" s="8"/>
      <c r="AD27" s="8"/>
      <c r="AE27" s="8"/>
      <c r="AF27" s="211"/>
      <c r="AG27" s="12"/>
      <c r="AH27" s="8"/>
      <c r="AI27" s="8"/>
      <c r="AJ27" s="8"/>
      <c r="AK27" s="8"/>
      <c r="AL27" s="13"/>
      <c r="AM27" s="245" t="s">
        <v>176</v>
      </c>
      <c r="AN27" s="73"/>
      <c r="AO27" s="73"/>
      <c r="AP27" s="73"/>
      <c r="AQ27" s="73"/>
      <c r="AR27" s="95"/>
      <c r="AS27" s="116">
        <v>46252</v>
      </c>
      <c r="AT27" s="117"/>
      <c r="AU27" s="112"/>
      <c r="AV27" s="203"/>
      <c r="AW27" s="204"/>
      <c r="AX27" s="205"/>
      <c r="AY27" s="203"/>
      <c r="AZ27" s="204"/>
      <c r="BA27" s="205"/>
      <c r="BB27" s="203"/>
      <c r="BC27" s="204"/>
      <c r="BD27" s="205"/>
      <c r="BE27" s="203"/>
      <c r="BF27" s="204"/>
      <c r="BG27" s="205"/>
      <c r="BH27" s="215"/>
      <c r="BI27" s="204"/>
      <c r="BJ27" s="205"/>
      <c r="BK27" s="212"/>
      <c r="BL27" s="204"/>
      <c r="BM27" s="205"/>
      <c r="BN27" s="203"/>
      <c r="BO27" s="204"/>
      <c r="BP27" s="205"/>
      <c r="BQ27" s="90" t="str">
        <f t="shared" si="0"/>
        <v>10B.1</v>
      </c>
      <c r="BR27" s="71" t="b">
        <f t="shared" si="2"/>
        <v>0</v>
      </c>
    </row>
    <row r="28" spans="1:70" ht="20.100000000000001" customHeight="1">
      <c r="A28" s="71" t="b">
        <f t="shared" si="1"/>
        <v>0</v>
      </c>
      <c r="B28" s="9" t="s">
        <v>143</v>
      </c>
      <c r="C28" s="12"/>
      <c r="D28" s="8"/>
      <c r="E28" s="8"/>
      <c r="F28" s="8"/>
      <c r="G28" s="8"/>
      <c r="H28" s="13"/>
      <c r="I28" s="12"/>
      <c r="J28" s="8"/>
      <c r="K28" s="8"/>
      <c r="L28" s="8"/>
      <c r="M28" s="8"/>
      <c r="N28" s="13"/>
      <c r="O28" s="12"/>
      <c r="P28" s="8"/>
      <c r="Q28" s="8"/>
      <c r="R28" s="8"/>
      <c r="S28" s="8"/>
      <c r="T28" s="13"/>
      <c r="U28" s="245" t="s">
        <v>176</v>
      </c>
      <c r="V28" s="73"/>
      <c r="W28" s="73"/>
      <c r="X28" s="73"/>
      <c r="Y28" s="73"/>
      <c r="Z28" s="164"/>
      <c r="AA28" s="12"/>
      <c r="AB28" s="8"/>
      <c r="AC28" s="8"/>
      <c r="AD28" s="8"/>
      <c r="AE28" s="8"/>
      <c r="AF28" s="211"/>
      <c r="AG28" s="12"/>
      <c r="AH28" s="8"/>
      <c r="AI28" s="8"/>
      <c r="AJ28" s="8"/>
      <c r="AK28" s="8"/>
      <c r="AL28" s="13"/>
      <c r="AM28" s="245" t="s">
        <v>176</v>
      </c>
      <c r="AN28" s="73"/>
      <c r="AO28" s="73"/>
      <c r="AP28" s="73"/>
      <c r="AQ28" s="73"/>
      <c r="AR28" s="95"/>
      <c r="AS28" s="116">
        <v>46253</v>
      </c>
      <c r="AT28" s="117"/>
      <c r="AU28" s="112"/>
      <c r="AV28" s="203"/>
      <c r="AW28" s="204"/>
      <c r="AX28" s="205"/>
      <c r="AY28" s="203"/>
      <c r="AZ28" s="204"/>
      <c r="BA28" s="205"/>
      <c r="BB28" s="203"/>
      <c r="BC28" s="204"/>
      <c r="BD28" s="205"/>
      <c r="BE28" s="203"/>
      <c r="BF28" s="204"/>
      <c r="BG28" s="205"/>
      <c r="BH28" s="215"/>
      <c r="BI28" s="204"/>
      <c r="BJ28" s="205"/>
      <c r="BK28" s="212"/>
      <c r="BL28" s="204"/>
      <c r="BM28" s="205"/>
      <c r="BN28" s="203"/>
      <c r="BO28" s="204"/>
      <c r="BP28" s="205"/>
      <c r="BQ28" s="90" t="str">
        <f t="shared" si="0"/>
        <v>10B.1</v>
      </c>
      <c r="BR28" s="71" t="b">
        <f t="shared" si="2"/>
        <v>0</v>
      </c>
    </row>
    <row r="29" spans="1:70" ht="20.100000000000001" customHeight="1">
      <c r="A29" s="71" t="b">
        <f t="shared" si="1"/>
        <v>0</v>
      </c>
      <c r="B29" s="9" t="s">
        <v>144</v>
      </c>
      <c r="C29" s="12"/>
      <c r="D29" s="8"/>
      <c r="E29" s="8"/>
      <c r="F29" s="8"/>
      <c r="G29" s="8"/>
      <c r="H29" s="13"/>
      <c r="I29" s="12"/>
      <c r="J29" s="8"/>
      <c r="K29" s="8"/>
      <c r="L29" s="8"/>
      <c r="M29" s="8"/>
      <c r="N29" s="13"/>
      <c r="O29" s="12"/>
      <c r="P29" s="8"/>
      <c r="Q29" s="8"/>
      <c r="R29" s="8"/>
      <c r="S29" s="8"/>
      <c r="T29" s="13"/>
      <c r="U29" s="245" t="s">
        <v>176</v>
      </c>
      <c r="V29" s="73"/>
      <c r="W29" s="73"/>
      <c r="X29" s="73"/>
      <c r="Y29" s="73"/>
      <c r="Z29" s="164"/>
      <c r="AA29" s="12"/>
      <c r="AB29" s="8"/>
      <c r="AC29" s="8"/>
      <c r="AD29" s="8"/>
      <c r="AE29" s="8"/>
      <c r="AF29" s="211"/>
      <c r="AG29" s="12"/>
      <c r="AH29" s="8"/>
      <c r="AI29" s="8"/>
      <c r="AJ29" s="8"/>
      <c r="AK29" s="8"/>
      <c r="AL29" s="13"/>
      <c r="AM29" s="245" t="s">
        <v>176</v>
      </c>
      <c r="AN29" s="73"/>
      <c r="AO29" s="73"/>
      <c r="AP29" s="73"/>
      <c r="AQ29" s="73"/>
      <c r="AR29" s="95"/>
      <c r="AS29" s="116">
        <v>46253</v>
      </c>
      <c r="AT29" s="117"/>
      <c r="AU29" s="112"/>
      <c r="AV29" s="203"/>
      <c r="AW29" s="204"/>
      <c r="AX29" s="205"/>
      <c r="AY29" s="203"/>
      <c r="AZ29" s="204"/>
      <c r="BA29" s="205"/>
      <c r="BB29" s="203"/>
      <c r="BC29" s="204"/>
      <c r="BD29" s="205"/>
      <c r="BE29" s="203"/>
      <c r="BF29" s="204"/>
      <c r="BG29" s="205"/>
      <c r="BH29" s="215"/>
      <c r="BI29" s="204"/>
      <c r="BJ29" s="205"/>
      <c r="BK29" s="212"/>
      <c r="BL29" s="204"/>
      <c r="BM29" s="205"/>
      <c r="BN29" s="203"/>
      <c r="BO29" s="204"/>
      <c r="BP29" s="205"/>
      <c r="BQ29" s="90" t="str">
        <f t="shared" si="0"/>
        <v>10B.1</v>
      </c>
      <c r="BR29" s="71" t="b">
        <f t="shared" si="2"/>
        <v>0</v>
      </c>
    </row>
    <row r="30" spans="1:70" ht="20.100000000000001" customHeight="1">
      <c r="A30" s="71" t="b">
        <f t="shared" si="1"/>
        <v>0</v>
      </c>
      <c r="B30" s="9" t="s">
        <v>145</v>
      </c>
      <c r="C30" s="12"/>
      <c r="D30" s="8"/>
      <c r="E30" s="8"/>
      <c r="F30" s="8"/>
      <c r="G30" s="8"/>
      <c r="H30" s="13"/>
      <c r="I30" s="12"/>
      <c r="J30" s="8"/>
      <c r="K30" s="8"/>
      <c r="L30" s="8"/>
      <c r="M30" s="8"/>
      <c r="N30" s="13"/>
      <c r="O30" s="12"/>
      <c r="P30" s="8"/>
      <c r="Q30" s="8"/>
      <c r="R30" s="8"/>
      <c r="S30" s="8"/>
      <c r="T30" s="13"/>
      <c r="U30" s="245" t="s">
        <v>176</v>
      </c>
      <c r="V30" s="73"/>
      <c r="W30" s="73"/>
      <c r="X30" s="73"/>
      <c r="Y30" s="73"/>
      <c r="Z30" s="164"/>
      <c r="AA30" s="12"/>
      <c r="AB30" s="8"/>
      <c r="AC30" s="8"/>
      <c r="AD30" s="8"/>
      <c r="AE30" s="8"/>
      <c r="AF30" s="211"/>
      <c r="AG30" s="12"/>
      <c r="AH30" s="8"/>
      <c r="AI30" s="8"/>
      <c r="AJ30" s="8"/>
      <c r="AK30" s="8"/>
      <c r="AL30" s="13"/>
      <c r="AM30" s="245" t="s">
        <v>176</v>
      </c>
      <c r="AN30" s="73"/>
      <c r="AO30" s="73"/>
      <c r="AP30" s="73"/>
      <c r="AQ30" s="73"/>
      <c r="AR30" s="95"/>
      <c r="AS30" s="116">
        <v>46253</v>
      </c>
      <c r="AT30" s="117"/>
      <c r="AU30" s="112"/>
      <c r="AV30" s="203"/>
      <c r="AW30" s="204"/>
      <c r="AX30" s="205"/>
      <c r="AY30" s="203"/>
      <c r="AZ30" s="204"/>
      <c r="BA30" s="205"/>
      <c r="BB30" s="203"/>
      <c r="BC30" s="204"/>
      <c r="BD30" s="205"/>
      <c r="BE30" s="203"/>
      <c r="BF30" s="204"/>
      <c r="BG30" s="205"/>
      <c r="BH30" s="215"/>
      <c r="BI30" s="204"/>
      <c r="BJ30" s="205"/>
      <c r="BK30" s="212"/>
      <c r="BL30" s="204"/>
      <c r="BM30" s="205"/>
      <c r="BN30" s="203"/>
      <c r="BO30" s="204"/>
      <c r="BP30" s="205"/>
      <c r="BQ30" s="90" t="str">
        <f t="shared" si="0"/>
        <v>10B.1</v>
      </c>
      <c r="BR30" s="71" t="b">
        <f t="shared" si="2"/>
        <v>0</v>
      </c>
    </row>
    <row r="31" spans="1:70" ht="20.100000000000001" customHeight="1">
      <c r="A31" s="71" t="b">
        <f t="shared" si="1"/>
        <v>0</v>
      </c>
      <c r="B31" s="9" t="s">
        <v>146</v>
      </c>
      <c r="C31" s="12"/>
      <c r="D31" s="8"/>
      <c r="E31" s="8"/>
      <c r="F31" s="8"/>
      <c r="G31" s="8"/>
      <c r="H31" s="13"/>
      <c r="I31" s="12"/>
      <c r="J31" s="8"/>
      <c r="K31" s="8"/>
      <c r="L31" s="8"/>
      <c r="M31" s="8"/>
      <c r="N31" s="13"/>
      <c r="O31" s="12"/>
      <c r="P31" s="8"/>
      <c r="Q31" s="8"/>
      <c r="R31" s="8"/>
      <c r="S31" s="8"/>
      <c r="T31" s="13"/>
      <c r="U31" s="245" t="s">
        <v>176</v>
      </c>
      <c r="V31" s="73"/>
      <c r="W31" s="73"/>
      <c r="X31" s="73"/>
      <c r="Y31" s="73"/>
      <c r="Z31" s="164"/>
      <c r="AA31" s="8"/>
      <c r="AB31" s="8"/>
      <c r="AC31" s="8"/>
      <c r="AD31" s="8"/>
      <c r="AE31" s="8"/>
      <c r="AF31" s="211"/>
      <c r="AG31" s="12"/>
      <c r="AH31" s="8"/>
      <c r="AI31" s="8"/>
      <c r="AJ31" s="8"/>
      <c r="AK31" s="8"/>
      <c r="AL31" s="13"/>
      <c r="AM31" s="245" t="s">
        <v>176</v>
      </c>
      <c r="AN31" s="73"/>
      <c r="AO31" s="73"/>
      <c r="AP31" s="73"/>
      <c r="AQ31" s="73"/>
      <c r="AR31" s="95"/>
      <c r="AS31" s="116">
        <v>46253</v>
      </c>
      <c r="AT31" s="117"/>
      <c r="AU31" s="112"/>
      <c r="AV31" s="203"/>
      <c r="AW31" s="204"/>
      <c r="AX31" s="205"/>
      <c r="AY31" s="203"/>
      <c r="AZ31" s="204"/>
      <c r="BA31" s="205"/>
      <c r="BB31" s="203"/>
      <c r="BC31" s="204"/>
      <c r="BD31" s="205"/>
      <c r="BE31" s="203"/>
      <c r="BF31" s="204"/>
      <c r="BG31" s="205"/>
      <c r="BH31" s="215"/>
      <c r="BI31" s="204"/>
      <c r="BJ31" s="205"/>
      <c r="BK31" s="212"/>
      <c r="BL31" s="204"/>
      <c r="BM31" s="205"/>
      <c r="BN31" s="203"/>
      <c r="BO31" s="204"/>
      <c r="BP31" s="205"/>
      <c r="BQ31" s="90" t="str">
        <f t="shared" si="0"/>
        <v>10B.1</v>
      </c>
      <c r="BR31" s="71" t="b">
        <f t="shared" si="2"/>
        <v>0</v>
      </c>
    </row>
    <row r="32" spans="1:70" ht="20.100000000000001" customHeight="1">
      <c r="A32" s="71" t="b">
        <f t="shared" si="1"/>
        <v>0</v>
      </c>
      <c r="B32" s="9" t="s">
        <v>147</v>
      </c>
      <c r="C32" s="12"/>
      <c r="D32" s="8"/>
      <c r="E32" s="8"/>
      <c r="F32" s="8"/>
      <c r="G32" s="8"/>
      <c r="H32" s="13"/>
      <c r="I32" s="12"/>
      <c r="J32" s="8"/>
      <c r="K32" s="8"/>
      <c r="L32" s="8"/>
      <c r="M32" s="8"/>
      <c r="N32" s="13"/>
      <c r="O32" s="12"/>
      <c r="P32" s="8"/>
      <c r="Q32" s="8"/>
      <c r="R32" s="8"/>
      <c r="S32" s="8"/>
      <c r="T32" s="13"/>
      <c r="U32" s="245" t="s">
        <v>176</v>
      </c>
      <c r="V32" s="73"/>
      <c r="W32" s="73"/>
      <c r="X32" s="73"/>
      <c r="Y32" s="73"/>
      <c r="Z32" s="164"/>
      <c r="AA32" s="8"/>
      <c r="AB32" s="8"/>
      <c r="AC32" s="8"/>
      <c r="AD32" s="8"/>
      <c r="AE32" s="8"/>
      <c r="AF32" s="211"/>
      <c r="AG32" s="12"/>
      <c r="AH32" s="8"/>
      <c r="AI32" s="8"/>
      <c r="AJ32" s="8"/>
      <c r="AK32" s="8"/>
      <c r="AL32" s="13"/>
      <c r="AM32" s="245" t="s">
        <v>176</v>
      </c>
      <c r="AN32" s="73"/>
      <c r="AO32" s="73"/>
      <c r="AP32" s="73"/>
      <c r="AQ32" s="73"/>
      <c r="AR32" s="95"/>
      <c r="AS32" s="116">
        <v>46254</v>
      </c>
      <c r="AT32" s="117"/>
      <c r="AU32" s="112"/>
      <c r="AV32" s="203"/>
      <c r="AW32" s="204"/>
      <c r="AX32" s="205"/>
      <c r="AY32" s="203"/>
      <c r="AZ32" s="204"/>
      <c r="BA32" s="205"/>
      <c r="BB32" s="203"/>
      <c r="BC32" s="204"/>
      <c r="BD32" s="205"/>
      <c r="BE32" s="203"/>
      <c r="BF32" s="204"/>
      <c r="BG32" s="205"/>
      <c r="BH32" s="215"/>
      <c r="BI32" s="204"/>
      <c r="BJ32" s="205"/>
      <c r="BK32" s="212"/>
      <c r="BL32" s="204"/>
      <c r="BM32" s="205"/>
      <c r="BN32" s="203"/>
      <c r="BO32" s="204"/>
      <c r="BP32" s="205"/>
      <c r="BQ32" s="90" t="str">
        <f t="shared" si="0"/>
        <v>10B.1</v>
      </c>
      <c r="BR32" s="71" t="b">
        <f t="shared" si="2"/>
        <v>0</v>
      </c>
    </row>
    <row r="33" spans="1:70" ht="20.100000000000001" customHeight="1">
      <c r="A33" s="71" t="b">
        <f t="shared" si="1"/>
        <v>0</v>
      </c>
      <c r="B33" s="9" t="s">
        <v>148</v>
      </c>
      <c r="C33" s="12"/>
      <c r="D33" s="8"/>
      <c r="E33" s="8"/>
      <c r="F33" s="8"/>
      <c r="G33" s="8"/>
      <c r="H33" s="13"/>
      <c r="I33" s="12"/>
      <c r="J33" s="8"/>
      <c r="K33" s="8"/>
      <c r="L33" s="8"/>
      <c r="M33" s="8"/>
      <c r="N33" s="13"/>
      <c r="O33" s="12"/>
      <c r="P33" s="8"/>
      <c r="Q33" s="8"/>
      <c r="R33" s="8"/>
      <c r="S33" s="8"/>
      <c r="T33" s="13"/>
      <c r="U33" s="245"/>
      <c r="V33" s="73"/>
      <c r="W33" s="73"/>
      <c r="X33" s="73"/>
      <c r="Y33" s="73"/>
      <c r="Z33" s="164"/>
      <c r="AA33" s="8"/>
      <c r="AB33" s="8"/>
      <c r="AC33" s="8"/>
      <c r="AD33" s="8"/>
      <c r="AE33" s="8"/>
      <c r="AF33" s="211"/>
      <c r="AG33" s="12"/>
      <c r="AH33" s="8"/>
      <c r="AI33" s="8"/>
      <c r="AJ33" s="8"/>
      <c r="AK33" s="8"/>
      <c r="AL33" s="13"/>
      <c r="AM33" s="245"/>
      <c r="AN33" s="73"/>
      <c r="AO33" s="73"/>
      <c r="AP33" s="73"/>
      <c r="AQ33" s="73"/>
      <c r="AR33" s="95"/>
      <c r="AS33" s="116"/>
      <c r="AT33" s="117"/>
      <c r="AU33" s="112"/>
      <c r="AV33" s="203"/>
      <c r="AW33" s="204"/>
      <c r="AX33" s="205"/>
      <c r="AY33" s="203"/>
      <c r="AZ33" s="204"/>
      <c r="BA33" s="205"/>
      <c r="BB33" s="203"/>
      <c r="BC33" s="204"/>
      <c r="BD33" s="205"/>
      <c r="BE33" s="203"/>
      <c r="BF33" s="204"/>
      <c r="BG33" s="205"/>
      <c r="BH33" s="215"/>
      <c r="BI33" s="204"/>
      <c r="BJ33" s="205"/>
      <c r="BK33" s="212"/>
      <c r="BL33" s="204"/>
      <c r="BM33" s="205"/>
      <c r="BN33" s="203"/>
      <c r="BO33" s="204"/>
      <c r="BP33" s="205"/>
      <c r="BQ33" s="90" t="str">
        <f t="shared" si="0"/>
        <v>11B.1</v>
      </c>
      <c r="BR33" s="71" t="b">
        <f t="shared" si="2"/>
        <v>0</v>
      </c>
    </row>
    <row r="34" spans="1:70" ht="20.100000000000001" customHeight="1">
      <c r="A34" s="71" t="b">
        <f t="shared" si="1"/>
        <v>0</v>
      </c>
      <c r="B34" s="9" t="s">
        <v>149</v>
      </c>
      <c r="C34" s="12"/>
      <c r="D34" s="8"/>
      <c r="E34" s="8"/>
      <c r="F34" s="8"/>
      <c r="G34" s="8"/>
      <c r="H34" s="13"/>
      <c r="I34" s="12"/>
      <c r="J34" s="8"/>
      <c r="K34" s="8"/>
      <c r="L34" s="8"/>
      <c r="M34" s="8"/>
      <c r="N34" s="13"/>
      <c r="O34" s="12"/>
      <c r="P34" s="8"/>
      <c r="Q34" s="8"/>
      <c r="R34" s="8"/>
      <c r="S34" s="8"/>
      <c r="T34" s="13"/>
      <c r="U34" s="245"/>
      <c r="V34" s="73"/>
      <c r="W34" s="73"/>
      <c r="X34" s="73"/>
      <c r="Y34" s="73"/>
      <c r="Z34" s="164"/>
      <c r="AA34" s="12"/>
      <c r="AB34" s="8"/>
      <c r="AC34" s="8"/>
      <c r="AD34" s="8"/>
      <c r="AE34" s="8"/>
      <c r="AF34" s="211"/>
      <c r="AG34" s="12"/>
      <c r="AH34" s="8"/>
      <c r="AI34" s="8"/>
      <c r="AJ34" s="8"/>
      <c r="AK34" s="8"/>
      <c r="AL34" s="13"/>
      <c r="AM34" s="245"/>
      <c r="AN34" s="73"/>
      <c r="AO34" s="73"/>
      <c r="AP34" s="73"/>
      <c r="AQ34" s="73"/>
      <c r="AR34" s="95"/>
      <c r="AS34" s="116"/>
      <c r="AT34" s="117"/>
      <c r="AU34" s="112"/>
      <c r="AV34" s="203"/>
      <c r="AW34" s="204"/>
      <c r="AX34" s="205"/>
      <c r="AY34" s="203"/>
      <c r="AZ34" s="204"/>
      <c r="BA34" s="205"/>
      <c r="BB34" s="203"/>
      <c r="BC34" s="204"/>
      <c r="BD34" s="205"/>
      <c r="BE34" s="203"/>
      <c r="BF34" s="204"/>
      <c r="BG34" s="205"/>
      <c r="BH34" s="215"/>
      <c r="BI34" s="204"/>
      <c r="BJ34" s="205"/>
      <c r="BK34" s="212"/>
      <c r="BL34" s="204"/>
      <c r="BM34" s="205"/>
      <c r="BN34" s="203"/>
      <c r="BO34" s="204"/>
      <c r="BP34" s="205"/>
      <c r="BQ34" s="90" t="str">
        <f t="shared" si="0"/>
        <v>11B.1</v>
      </c>
      <c r="BR34" s="71" t="b">
        <f t="shared" si="2"/>
        <v>0</v>
      </c>
    </row>
    <row r="35" spans="1:70" ht="20.100000000000001" customHeight="1">
      <c r="A35" s="71" t="b">
        <f t="shared" si="1"/>
        <v>0</v>
      </c>
      <c r="B35" s="9" t="s">
        <v>150</v>
      </c>
      <c r="C35" s="12"/>
      <c r="D35" s="8"/>
      <c r="E35" s="8"/>
      <c r="F35" s="8"/>
      <c r="G35" s="8"/>
      <c r="H35" s="13"/>
      <c r="I35" s="12"/>
      <c r="J35" s="8"/>
      <c r="K35" s="8"/>
      <c r="L35" s="8"/>
      <c r="M35" s="8"/>
      <c r="N35" s="13"/>
      <c r="O35" s="12"/>
      <c r="P35" s="8"/>
      <c r="Q35" s="8"/>
      <c r="R35" s="8"/>
      <c r="S35" s="8"/>
      <c r="T35" s="13"/>
      <c r="U35" s="89"/>
      <c r="V35" s="73"/>
      <c r="W35" s="73"/>
      <c r="X35" s="73"/>
      <c r="Y35" s="73"/>
      <c r="Z35" s="164"/>
      <c r="AA35" s="12"/>
      <c r="AB35" s="8"/>
      <c r="AC35" s="8"/>
      <c r="AD35" s="8"/>
      <c r="AE35" s="8"/>
      <c r="AF35" s="211"/>
      <c r="AG35" s="12"/>
      <c r="AH35" s="8"/>
      <c r="AI35" s="8"/>
      <c r="AJ35" s="8"/>
      <c r="AK35" s="8"/>
      <c r="AL35" s="13"/>
      <c r="AM35" s="89"/>
      <c r="AN35" s="73"/>
      <c r="AO35" s="73"/>
      <c r="AP35" s="73"/>
      <c r="AQ35" s="73"/>
      <c r="AR35" s="95"/>
      <c r="AS35" s="116"/>
      <c r="AT35" s="117"/>
      <c r="AU35" s="112"/>
      <c r="AV35" s="203"/>
      <c r="AW35" s="204"/>
      <c r="AX35" s="205"/>
      <c r="AY35" s="215"/>
      <c r="AZ35" s="214"/>
      <c r="BA35" s="205"/>
      <c r="BB35" s="203"/>
      <c r="BC35" s="204"/>
      <c r="BD35" s="205"/>
      <c r="BE35" s="212"/>
      <c r="BF35" s="214"/>
      <c r="BG35" s="205"/>
      <c r="BH35" s="203"/>
      <c r="BI35" s="204"/>
      <c r="BJ35" s="205"/>
      <c r="BK35" s="203"/>
      <c r="BL35" s="204"/>
      <c r="BM35" s="205"/>
      <c r="BN35" s="203"/>
      <c r="BO35" s="204"/>
      <c r="BP35" s="205"/>
      <c r="BQ35" s="90" t="str">
        <f t="shared" si="0"/>
        <v>11B.1</v>
      </c>
      <c r="BR35" s="71" t="b">
        <f t="shared" si="2"/>
        <v>0</v>
      </c>
    </row>
    <row r="36" spans="1:70" ht="20.100000000000001" customHeight="1">
      <c r="A36" s="71" t="b">
        <f t="shared" si="1"/>
        <v>0</v>
      </c>
      <c r="B36" s="9" t="s">
        <v>151</v>
      </c>
      <c r="C36" s="12"/>
      <c r="D36" s="8"/>
      <c r="E36" s="8"/>
      <c r="F36" s="8"/>
      <c r="G36" s="8"/>
      <c r="H36" s="13"/>
      <c r="I36" s="12"/>
      <c r="J36" s="8"/>
      <c r="K36" s="8"/>
      <c r="L36" s="8"/>
      <c r="M36" s="8"/>
      <c r="N36" s="13"/>
      <c r="O36" s="12"/>
      <c r="P36" s="8"/>
      <c r="Q36" s="8"/>
      <c r="R36" s="8"/>
      <c r="S36" s="8"/>
      <c r="T36" s="13"/>
      <c r="U36" s="245" t="s">
        <v>176</v>
      </c>
      <c r="V36" s="73"/>
      <c r="W36" s="73"/>
      <c r="X36" s="73"/>
      <c r="Y36" s="73"/>
      <c r="Z36" s="164"/>
      <c r="AA36" s="12"/>
      <c r="AB36" s="8"/>
      <c r="AC36" s="8"/>
      <c r="AD36" s="8"/>
      <c r="AE36" s="8"/>
      <c r="AF36" s="211"/>
      <c r="AG36" s="12"/>
      <c r="AH36" s="8"/>
      <c r="AI36" s="8"/>
      <c r="AJ36" s="8"/>
      <c r="AK36" s="8"/>
      <c r="AL36" s="13"/>
      <c r="AM36" s="245" t="s">
        <v>176</v>
      </c>
      <c r="AN36" s="73"/>
      <c r="AO36" s="73"/>
      <c r="AP36" s="73"/>
      <c r="AQ36" s="73"/>
      <c r="AR36" s="95"/>
      <c r="AS36" s="116">
        <v>46252</v>
      </c>
      <c r="AT36" s="117"/>
      <c r="AU36" s="112"/>
      <c r="AV36" s="203"/>
      <c r="AW36" s="204"/>
      <c r="AX36" s="205"/>
      <c r="AY36" s="215"/>
      <c r="AZ36" s="204"/>
      <c r="BA36" s="205"/>
      <c r="BB36" s="203"/>
      <c r="BC36" s="204"/>
      <c r="BD36" s="205"/>
      <c r="BE36" s="212"/>
      <c r="BF36" s="204"/>
      <c r="BG36" s="205"/>
      <c r="BH36" s="203"/>
      <c r="BI36" s="204"/>
      <c r="BJ36" s="205"/>
      <c r="BK36" s="203"/>
      <c r="BL36" s="204"/>
      <c r="BM36" s="205"/>
      <c r="BN36" s="203"/>
      <c r="BO36" s="204"/>
      <c r="BP36" s="205"/>
      <c r="BQ36" s="90" t="str">
        <f t="shared" si="0"/>
        <v>7C.1</v>
      </c>
      <c r="BR36" s="71" t="b">
        <f t="shared" si="2"/>
        <v>0</v>
      </c>
    </row>
    <row r="37" spans="1:70" ht="20.100000000000001" customHeight="1">
      <c r="A37" s="71" t="b">
        <f t="shared" si="1"/>
        <v>0</v>
      </c>
      <c r="B37" s="9" t="s">
        <v>152</v>
      </c>
      <c r="C37" s="12"/>
      <c r="D37" s="8"/>
      <c r="E37" s="8"/>
      <c r="F37" s="8"/>
      <c r="G37" s="8"/>
      <c r="H37" s="13"/>
      <c r="I37" s="12"/>
      <c r="J37" s="8"/>
      <c r="K37" s="8"/>
      <c r="L37" s="8"/>
      <c r="M37" s="8"/>
      <c r="N37" s="13"/>
      <c r="O37" s="12"/>
      <c r="P37" s="8"/>
      <c r="Q37" s="8"/>
      <c r="R37" s="8"/>
      <c r="S37" s="8"/>
      <c r="T37" s="13"/>
      <c r="U37" s="245"/>
      <c r="V37" s="73"/>
      <c r="W37" s="73"/>
      <c r="X37" s="73"/>
      <c r="Y37" s="73"/>
      <c r="Z37" s="164"/>
      <c r="AA37" s="12"/>
      <c r="AB37" s="8"/>
      <c r="AC37" s="8"/>
      <c r="AD37" s="8"/>
      <c r="AE37" s="8"/>
      <c r="AF37" s="211"/>
      <c r="AG37" s="12"/>
      <c r="AH37" s="8"/>
      <c r="AI37" s="8"/>
      <c r="AJ37" s="8"/>
      <c r="AK37" s="8"/>
      <c r="AL37" s="13"/>
      <c r="AM37" s="245"/>
      <c r="AN37" s="73"/>
      <c r="AO37" s="73"/>
      <c r="AP37" s="73"/>
      <c r="AQ37" s="73"/>
      <c r="AR37" s="95"/>
      <c r="AS37" s="116"/>
      <c r="AT37" s="117"/>
      <c r="AU37" s="112"/>
      <c r="AV37" s="203"/>
      <c r="AW37" s="204"/>
      <c r="AX37" s="205"/>
      <c r="AY37" s="215"/>
      <c r="AZ37" s="204"/>
      <c r="BA37" s="205"/>
      <c r="BB37" s="203"/>
      <c r="BC37" s="204"/>
      <c r="BD37" s="205"/>
      <c r="BE37" s="212"/>
      <c r="BF37" s="204"/>
      <c r="BG37" s="205"/>
      <c r="BH37" s="203"/>
      <c r="BI37" s="204"/>
      <c r="BJ37" s="205"/>
      <c r="BK37" s="203"/>
      <c r="BL37" s="204"/>
      <c r="BM37" s="205"/>
      <c r="BN37" s="203"/>
      <c r="BO37" s="204"/>
      <c r="BP37" s="205"/>
      <c r="BQ37" s="90" t="str">
        <f t="shared" si="0"/>
        <v>7C.1</v>
      </c>
      <c r="BR37" s="71" t="b">
        <f t="shared" si="2"/>
        <v>0</v>
      </c>
    </row>
    <row r="38" spans="1:70" ht="20.100000000000001" customHeight="1">
      <c r="A38" s="71" t="b">
        <f t="shared" si="1"/>
        <v>0</v>
      </c>
      <c r="B38" s="9" t="s">
        <v>153</v>
      </c>
      <c r="C38" s="12"/>
      <c r="D38" s="8"/>
      <c r="E38" s="8"/>
      <c r="F38" s="8"/>
      <c r="G38" s="8"/>
      <c r="H38" s="13"/>
      <c r="I38" s="12"/>
      <c r="J38" s="8"/>
      <c r="K38" s="8"/>
      <c r="L38" s="8"/>
      <c r="M38" s="8"/>
      <c r="N38" s="13"/>
      <c r="O38" s="12"/>
      <c r="P38" s="8"/>
      <c r="Q38" s="8"/>
      <c r="R38" s="8"/>
      <c r="S38" s="8"/>
      <c r="T38" s="13"/>
      <c r="U38" s="89"/>
      <c r="V38" s="73"/>
      <c r="W38" s="73"/>
      <c r="X38" s="73"/>
      <c r="Y38" s="73"/>
      <c r="Z38" s="164"/>
      <c r="AA38" s="12"/>
      <c r="AB38" s="8"/>
      <c r="AC38" s="8"/>
      <c r="AD38" s="8"/>
      <c r="AE38" s="8"/>
      <c r="AF38" s="211"/>
      <c r="AG38" s="12"/>
      <c r="AH38" s="8"/>
      <c r="AI38" s="8"/>
      <c r="AJ38" s="8"/>
      <c r="AK38" s="8"/>
      <c r="AL38" s="13"/>
      <c r="AM38" s="89"/>
      <c r="AN38" s="73"/>
      <c r="AO38" s="73"/>
      <c r="AP38" s="73"/>
      <c r="AQ38" s="73"/>
      <c r="AR38" s="95"/>
      <c r="AS38" s="116"/>
      <c r="AT38" s="117"/>
      <c r="AU38" s="112"/>
      <c r="AV38" s="203"/>
      <c r="AW38" s="204"/>
      <c r="AX38" s="205"/>
      <c r="AY38" s="215"/>
      <c r="AZ38" s="204"/>
      <c r="BA38" s="205"/>
      <c r="BB38" s="203"/>
      <c r="BC38" s="204"/>
      <c r="BD38" s="205"/>
      <c r="BE38" s="212"/>
      <c r="BF38" s="204"/>
      <c r="BG38" s="205"/>
      <c r="BH38" s="203"/>
      <c r="BI38" s="204"/>
      <c r="BJ38" s="205"/>
      <c r="BK38" s="203"/>
      <c r="BL38" s="204"/>
      <c r="BM38" s="205"/>
      <c r="BN38" s="203"/>
      <c r="BO38" s="204"/>
      <c r="BP38" s="205"/>
      <c r="BQ38" s="90" t="str">
        <f t="shared" si="0"/>
        <v>7C.1</v>
      </c>
      <c r="BR38" s="71" t="b">
        <f t="shared" si="2"/>
        <v>0</v>
      </c>
    </row>
    <row r="39" spans="1:70" ht="20.100000000000001" customHeight="1">
      <c r="A39" s="71" t="b">
        <f t="shared" si="1"/>
        <v>0</v>
      </c>
      <c r="B39" s="9" t="s">
        <v>154</v>
      </c>
      <c r="C39" s="12"/>
      <c r="D39" s="8"/>
      <c r="E39" s="8"/>
      <c r="F39" s="8"/>
      <c r="G39" s="8"/>
      <c r="H39" s="13"/>
      <c r="I39" s="12"/>
      <c r="J39" s="8"/>
      <c r="K39" s="8"/>
      <c r="L39" s="8"/>
      <c r="M39" s="8"/>
      <c r="N39" s="13"/>
      <c r="O39" s="12"/>
      <c r="P39" s="8"/>
      <c r="Q39" s="8"/>
      <c r="R39" s="8"/>
      <c r="S39" s="8"/>
      <c r="T39" s="13"/>
      <c r="U39" s="89"/>
      <c r="V39" s="73"/>
      <c r="W39" s="73"/>
      <c r="X39" s="73"/>
      <c r="Y39" s="73"/>
      <c r="Z39" s="164"/>
      <c r="AA39" s="12"/>
      <c r="AB39" s="8"/>
      <c r="AC39" s="8"/>
      <c r="AD39" s="8"/>
      <c r="AE39" s="8"/>
      <c r="AF39" s="211"/>
      <c r="AG39" s="12"/>
      <c r="AH39" s="8"/>
      <c r="AI39" s="8"/>
      <c r="AJ39" s="8"/>
      <c r="AK39" s="8"/>
      <c r="AL39" s="13"/>
      <c r="AM39" s="89"/>
      <c r="AN39" s="73"/>
      <c r="AO39" s="73"/>
      <c r="AP39" s="73"/>
      <c r="AQ39" s="73"/>
      <c r="AR39" s="95"/>
      <c r="AS39" s="116"/>
      <c r="AT39" s="117"/>
      <c r="AU39" s="112"/>
      <c r="AV39" s="203"/>
      <c r="AW39" s="204"/>
      <c r="AX39" s="205"/>
      <c r="AY39" s="203"/>
      <c r="AZ39" s="204"/>
      <c r="BA39" s="205"/>
      <c r="BB39" s="215"/>
      <c r="BC39" s="204"/>
      <c r="BD39" s="205"/>
      <c r="BE39" s="212"/>
      <c r="BF39" s="204"/>
      <c r="BG39" s="205"/>
      <c r="BH39" s="203"/>
      <c r="BI39" s="204"/>
      <c r="BJ39" s="205"/>
      <c r="BK39" s="203"/>
      <c r="BL39" s="204"/>
      <c r="BM39" s="205"/>
      <c r="BN39" s="212"/>
      <c r="BO39" s="204"/>
      <c r="BP39" s="205"/>
      <c r="BQ39" s="90" t="str">
        <f t="shared" si="0"/>
        <v>7C.1</v>
      </c>
      <c r="BR39" s="71" t="b">
        <f t="shared" si="2"/>
        <v>0</v>
      </c>
    </row>
    <row r="40" spans="1:70" ht="20.100000000000001" customHeight="1">
      <c r="A40" s="71" t="b">
        <f t="shared" si="1"/>
        <v>0</v>
      </c>
      <c r="B40" s="9" t="s">
        <v>155</v>
      </c>
      <c r="C40" s="12"/>
      <c r="D40" s="8"/>
      <c r="E40" s="8"/>
      <c r="F40" s="8"/>
      <c r="G40" s="8"/>
      <c r="H40" s="13"/>
      <c r="I40" s="12"/>
      <c r="J40" s="8"/>
      <c r="K40" s="8"/>
      <c r="L40" s="8"/>
      <c r="M40" s="8"/>
      <c r="N40" s="13"/>
      <c r="O40" s="12"/>
      <c r="P40" s="8"/>
      <c r="Q40" s="8"/>
      <c r="R40" s="8"/>
      <c r="S40" s="8"/>
      <c r="T40" s="13"/>
      <c r="U40" s="89"/>
      <c r="V40" s="73"/>
      <c r="W40" s="73"/>
      <c r="X40" s="73"/>
      <c r="Y40" s="73"/>
      <c r="Z40" s="164"/>
      <c r="AA40" s="12"/>
      <c r="AB40" s="8"/>
      <c r="AC40" s="8"/>
      <c r="AD40" s="8"/>
      <c r="AE40" s="8"/>
      <c r="AF40" s="211"/>
      <c r="AG40" s="12"/>
      <c r="AH40" s="8"/>
      <c r="AI40" s="8"/>
      <c r="AJ40" s="8"/>
      <c r="AK40" s="8"/>
      <c r="AL40" s="13"/>
      <c r="AM40" s="89"/>
      <c r="AN40" s="73"/>
      <c r="AO40" s="73"/>
      <c r="AP40" s="73"/>
      <c r="AQ40" s="73"/>
      <c r="AR40" s="95"/>
      <c r="AS40" s="116"/>
      <c r="AT40" s="117"/>
      <c r="AU40" s="112"/>
      <c r="AV40" s="203"/>
      <c r="AW40" s="204"/>
      <c r="AX40" s="205"/>
      <c r="AY40" s="203"/>
      <c r="AZ40" s="204"/>
      <c r="BA40" s="205"/>
      <c r="BB40" s="215"/>
      <c r="BC40" s="204"/>
      <c r="BD40" s="205"/>
      <c r="BE40" s="212"/>
      <c r="BF40" s="204"/>
      <c r="BG40" s="205"/>
      <c r="BH40" s="203"/>
      <c r="BI40" s="204"/>
      <c r="BJ40" s="205"/>
      <c r="BK40" s="203"/>
      <c r="BL40" s="204"/>
      <c r="BM40" s="205"/>
      <c r="BN40" s="203"/>
      <c r="BO40" s="204"/>
      <c r="BP40" s="205"/>
      <c r="BQ40" s="90" t="str">
        <f t="shared" si="0"/>
        <v>7C.1</v>
      </c>
      <c r="BR40" s="71" t="b">
        <f t="shared" si="2"/>
        <v>0</v>
      </c>
    </row>
    <row r="41" spans="1:70" ht="20.100000000000001" customHeight="1">
      <c r="A41" s="71" t="b">
        <f t="shared" si="1"/>
        <v>0</v>
      </c>
      <c r="B41" s="9" t="s">
        <v>156</v>
      </c>
      <c r="C41" s="12"/>
      <c r="D41" s="8"/>
      <c r="E41" s="8"/>
      <c r="F41" s="8"/>
      <c r="G41" s="8"/>
      <c r="H41" s="13"/>
      <c r="I41" s="12"/>
      <c r="J41" s="8"/>
      <c r="K41" s="8"/>
      <c r="L41" s="8"/>
      <c r="M41" s="8"/>
      <c r="N41" s="13"/>
      <c r="O41" s="12"/>
      <c r="P41" s="8"/>
      <c r="Q41" s="8"/>
      <c r="R41" s="8"/>
      <c r="S41" s="8"/>
      <c r="T41" s="13"/>
      <c r="U41" s="89"/>
      <c r="V41" s="73"/>
      <c r="W41" s="73"/>
      <c r="X41" s="73"/>
      <c r="Y41" s="73"/>
      <c r="Z41" s="164"/>
      <c r="AA41" s="12"/>
      <c r="AB41" s="8"/>
      <c r="AC41" s="8"/>
      <c r="AD41" s="8"/>
      <c r="AE41" s="8"/>
      <c r="AF41" s="211"/>
      <c r="AG41" s="12"/>
      <c r="AH41" s="8"/>
      <c r="AI41" s="8"/>
      <c r="AJ41" s="8"/>
      <c r="AK41" s="8"/>
      <c r="AL41" s="13"/>
      <c r="AM41" s="89"/>
      <c r="AN41" s="73"/>
      <c r="AO41" s="73"/>
      <c r="AP41" s="73"/>
      <c r="AQ41" s="73"/>
      <c r="AR41" s="95"/>
      <c r="AS41" s="116"/>
      <c r="AT41" s="117"/>
      <c r="AU41" s="112"/>
      <c r="AV41" s="203"/>
      <c r="AW41" s="204"/>
      <c r="AX41" s="205"/>
      <c r="AY41" s="203"/>
      <c r="AZ41" s="204"/>
      <c r="BA41" s="205"/>
      <c r="BB41" s="215"/>
      <c r="BC41" s="204"/>
      <c r="BD41" s="205"/>
      <c r="BE41" s="212"/>
      <c r="BF41" s="204"/>
      <c r="BG41" s="205"/>
      <c r="BH41" s="203"/>
      <c r="BI41" s="204"/>
      <c r="BJ41" s="205"/>
      <c r="BK41" s="203"/>
      <c r="BL41" s="204"/>
      <c r="BM41" s="205"/>
      <c r="BN41" s="212"/>
      <c r="BO41" s="204"/>
      <c r="BP41" s="205"/>
      <c r="BQ41" s="90" t="str">
        <f t="shared" si="0"/>
        <v>7C.1</v>
      </c>
      <c r="BR41" s="71" t="b">
        <f t="shared" si="2"/>
        <v>0</v>
      </c>
    </row>
    <row r="42" spans="1:70" ht="20.100000000000001" customHeight="1">
      <c r="A42" s="71" t="b">
        <f t="shared" si="1"/>
        <v>0</v>
      </c>
      <c r="B42" s="9" t="s">
        <v>159</v>
      </c>
      <c r="C42" s="12"/>
      <c r="D42" s="8"/>
      <c r="E42" s="8"/>
      <c r="F42" s="8"/>
      <c r="G42" s="8"/>
      <c r="H42" s="13"/>
      <c r="I42" s="12"/>
      <c r="J42" s="8"/>
      <c r="K42" s="8"/>
      <c r="L42" s="8"/>
      <c r="M42" s="8"/>
      <c r="N42" s="13"/>
      <c r="O42" s="12"/>
      <c r="P42" s="8"/>
      <c r="Q42" s="8"/>
      <c r="R42" s="8"/>
      <c r="S42" s="8"/>
      <c r="T42" s="13"/>
      <c r="U42" s="89"/>
      <c r="V42" s="73"/>
      <c r="W42" s="73"/>
      <c r="X42" s="73"/>
      <c r="Y42" s="73"/>
      <c r="Z42" s="164"/>
      <c r="AA42" s="12"/>
      <c r="AB42" s="8"/>
      <c r="AC42" s="8"/>
      <c r="AD42" s="8"/>
      <c r="AE42" s="8"/>
      <c r="AF42" s="211"/>
      <c r="AG42" s="12"/>
      <c r="AH42" s="8"/>
      <c r="AI42" s="8"/>
      <c r="AJ42" s="8"/>
      <c r="AK42" s="8"/>
      <c r="AL42" s="13"/>
      <c r="AM42" s="89"/>
      <c r="AN42" s="73"/>
      <c r="AO42" s="73"/>
      <c r="AP42" s="73"/>
      <c r="AQ42" s="73"/>
      <c r="AR42" s="95"/>
      <c r="AS42" s="116"/>
      <c r="AT42" s="117"/>
      <c r="AU42" s="112"/>
      <c r="AV42" s="215"/>
      <c r="AW42" s="204"/>
      <c r="AX42" s="205"/>
      <c r="AY42" s="203"/>
      <c r="AZ42" s="204"/>
      <c r="BA42" s="205"/>
      <c r="BB42" s="203"/>
      <c r="BC42" s="204"/>
      <c r="BD42" s="205"/>
      <c r="BE42" s="212"/>
      <c r="BF42" s="204"/>
      <c r="BG42" s="205"/>
      <c r="BH42" s="203"/>
      <c r="BI42" s="204"/>
      <c r="BJ42" s="205"/>
      <c r="BK42" s="203"/>
      <c r="BL42" s="204"/>
      <c r="BM42" s="205"/>
      <c r="BN42" s="212"/>
      <c r="BO42" s="204"/>
      <c r="BP42" s="205"/>
      <c r="BQ42" s="90" t="str">
        <f t="shared" si="0"/>
        <v>12.2</v>
      </c>
      <c r="BR42" s="71" t="b">
        <f t="shared" si="2"/>
        <v>0</v>
      </c>
    </row>
    <row r="43" spans="1:70" ht="20.100000000000001" customHeight="1">
      <c r="A43" s="71" t="b">
        <f t="shared" si="1"/>
        <v>0</v>
      </c>
      <c r="B43" s="9" t="s">
        <v>160</v>
      </c>
      <c r="C43" s="12"/>
      <c r="D43" s="8"/>
      <c r="E43" s="8"/>
      <c r="F43" s="8"/>
      <c r="G43" s="8"/>
      <c r="H43" s="13"/>
      <c r="I43" s="89"/>
      <c r="J43" s="73"/>
      <c r="K43" s="73"/>
      <c r="L43" s="73"/>
      <c r="M43" s="73"/>
      <c r="N43" s="164"/>
      <c r="O43" s="89"/>
      <c r="P43" s="73"/>
      <c r="Q43" s="73"/>
      <c r="R43" s="73"/>
      <c r="S43" s="73"/>
      <c r="T43" s="164"/>
      <c r="U43" s="12"/>
      <c r="V43" s="8"/>
      <c r="W43" s="8"/>
      <c r="X43" s="8"/>
      <c r="Y43" s="8"/>
      <c r="Z43" s="13"/>
      <c r="AA43" s="12"/>
      <c r="AB43" s="8"/>
      <c r="AC43" s="8"/>
      <c r="AD43" s="8"/>
      <c r="AE43" s="8"/>
      <c r="AF43" s="211"/>
      <c r="AG43" s="12"/>
      <c r="AH43" s="8"/>
      <c r="AI43" s="8"/>
      <c r="AJ43" s="8"/>
      <c r="AK43" s="8"/>
      <c r="AL43" s="13"/>
      <c r="AM43" s="12"/>
      <c r="AN43" s="8"/>
      <c r="AO43" s="8"/>
      <c r="AP43" s="8"/>
      <c r="AQ43" s="8"/>
      <c r="AR43" s="211"/>
      <c r="AS43" s="116"/>
      <c r="AT43" s="117"/>
      <c r="AU43" s="112"/>
      <c r="AV43" s="215"/>
      <c r="AW43" s="204"/>
      <c r="AX43" s="205"/>
      <c r="AY43" s="203"/>
      <c r="AZ43" s="204"/>
      <c r="BA43" s="205"/>
      <c r="BB43" s="203"/>
      <c r="BC43" s="204"/>
      <c r="BD43" s="205"/>
      <c r="BE43" s="212"/>
      <c r="BF43" s="204"/>
      <c r="BG43" s="205"/>
      <c r="BH43" s="203"/>
      <c r="BI43" s="204"/>
      <c r="BJ43" s="205"/>
      <c r="BK43" s="203"/>
      <c r="BL43" s="204"/>
      <c r="BM43" s="205"/>
      <c r="BN43" s="212"/>
      <c r="BO43" s="204"/>
      <c r="BP43" s="205"/>
      <c r="BQ43" s="90" t="str">
        <f t="shared" si="0"/>
        <v>12.3</v>
      </c>
      <c r="BR43" s="71" t="b">
        <f t="shared" si="2"/>
        <v>0</v>
      </c>
    </row>
    <row r="44" spans="1:70" ht="20.100000000000001" customHeight="1">
      <c r="A44" s="71" t="b">
        <f t="shared" si="1"/>
        <v>0</v>
      </c>
      <c r="B44" s="9" t="s">
        <v>161</v>
      </c>
      <c r="C44" s="12"/>
      <c r="D44" s="8"/>
      <c r="E44" s="8"/>
      <c r="F44" s="8"/>
      <c r="G44" s="8"/>
      <c r="H44" s="13"/>
      <c r="I44" s="89"/>
      <c r="J44" s="73"/>
      <c r="K44" s="73"/>
      <c r="L44" s="73"/>
      <c r="M44" s="73"/>
      <c r="N44" s="164"/>
      <c r="O44" s="89"/>
      <c r="P44" s="73"/>
      <c r="Q44" s="73"/>
      <c r="R44" s="73"/>
      <c r="S44" s="73"/>
      <c r="T44" s="164"/>
      <c r="U44" s="12"/>
      <c r="V44" s="8"/>
      <c r="W44" s="8"/>
      <c r="X44" s="8"/>
      <c r="Y44" s="8"/>
      <c r="Z44" s="13"/>
      <c r="AA44" s="12"/>
      <c r="AB44" s="8"/>
      <c r="AC44" s="8"/>
      <c r="AD44" s="8"/>
      <c r="AE44" s="8"/>
      <c r="AF44" s="211"/>
      <c r="AG44" s="12"/>
      <c r="AH44" s="8"/>
      <c r="AI44" s="8"/>
      <c r="AJ44" s="8"/>
      <c r="AK44" s="8"/>
      <c r="AL44" s="13"/>
      <c r="AM44" s="12"/>
      <c r="AN44" s="8"/>
      <c r="AO44" s="8"/>
      <c r="AP44" s="8"/>
      <c r="AQ44" s="8"/>
      <c r="AR44" s="211"/>
      <c r="AS44" s="116"/>
      <c r="AT44" s="117"/>
      <c r="AU44" s="112"/>
      <c r="AV44" s="215"/>
      <c r="AW44" s="204"/>
      <c r="AX44" s="205"/>
      <c r="AY44" s="203"/>
      <c r="AZ44" s="204"/>
      <c r="BA44" s="205"/>
      <c r="BB44" s="203"/>
      <c r="BC44" s="204"/>
      <c r="BD44" s="205"/>
      <c r="BE44" s="212"/>
      <c r="BF44" s="204"/>
      <c r="BG44" s="205"/>
      <c r="BH44" s="203"/>
      <c r="BI44" s="204"/>
      <c r="BJ44" s="205"/>
      <c r="BK44" s="203"/>
      <c r="BL44" s="204"/>
      <c r="BM44" s="205"/>
      <c r="BN44" s="203"/>
      <c r="BO44" s="204"/>
      <c r="BP44" s="205"/>
      <c r="BQ44" s="90" t="str">
        <f t="shared" si="0"/>
        <v>12.3</v>
      </c>
      <c r="BR44" s="71" t="b">
        <f t="shared" si="2"/>
        <v>0</v>
      </c>
    </row>
    <row r="45" spans="1:70" ht="19.5" customHeight="1">
      <c r="A45" s="25">
        <f>COUNTIF(A7:A44,TRUE)/COUNTA($B$7:$B$44)</f>
        <v>0</v>
      </c>
      <c r="BR45" s="25">
        <f>COUNTIF(BR7:BR44,TRUE)/COUNTA($B$7:$B$44)</f>
        <v>0</v>
      </c>
    </row>
    <row r="46" spans="1:70" ht="19.5" customHeight="1">
      <c r="B46" t="s">
        <v>22</v>
      </c>
    </row>
    <row r="47" spans="1:70" ht="19.5" customHeight="1">
      <c r="B47" t="s">
        <v>22</v>
      </c>
    </row>
    <row r="48" spans="1:70" ht="19.5" customHeight="1"/>
    <row r="49" spans="4:4" ht="19.5" customHeight="1"/>
    <row r="50" spans="4:4" ht="19.5" customHeight="1"/>
    <row r="51" spans="4:4" ht="19.5" customHeight="1"/>
    <row r="52" spans="4:4" ht="19.5" customHeight="1"/>
    <row r="53" spans="4:4" ht="19.5" customHeight="1"/>
    <row r="54" spans="4:4" ht="19.5" customHeight="1"/>
    <row r="55" spans="4:4" ht="19.5" customHeight="1"/>
    <row r="56" spans="4:4" ht="19.5" customHeight="1"/>
    <row r="57" spans="4:4" ht="19.5" customHeight="1"/>
    <row r="58" spans="4:4" ht="19.5" customHeight="1"/>
    <row r="59" spans="4:4" ht="19.5" customHeight="1"/>
    <row r="60" spans="4:4" ht="19.5" customHeight="1"/>
    <row r="61" spans="4:4" ht="19.5" customHeight="1"/>
    <row r="62" spans="4:4" ht="19.5" customHeight="1"/>
    <row r="63" spans="4:4" ht="19.5" customHeight="1">
      <c r="D63" t="e">
        <v>#VALUE!</v>
      </c>
    </row>
    <row r="64" spans="4: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</sheetData>
  <sheetProtection selectLockedCells="1"/>
  <mergeCells count="15">
    <mergeCell ref="BH5:BJ5"/>
    <mergeCell ref="BK5:BM5"/>
    <mergeCell ref="BN5:BP5"/>
    <mergeCell ref="AM5:AR5"/>
    <mergeCell ref="AS5:AU5"/>
    <mergeCell ref="AV5:AX5"/>
    <mergeCell ref="AY5:BA5"/>
    <mergeCell ref="BB5:BD5"/>
    <mergeCell ref="BE5:BG5"/>
    <mergeCell ref="AG5:AL5"/>
    <mergeCell ref="C5:H5"/>
    <mergeCell ref="I5:N5"/>
    <mergeCell ref="O5:T5"/>
    <mergeCell ref="U5:Z5"/>
    <mergeCell ref="AA5:AF5"/>
  </mergeCells>
  <conditionalFormatting sqref="C7:AR44">
    <cfRule type="expression" dxfId="82" priority="1">
      <formula>C7=$C$1</formula>
    </cfRule>
    <cfRule type="expression" dxfId="81" priority="2">
      <formula>C7=$C$2</formula>
    </cfRule>
    <cfRule type="expression" dxfId="80" priority="3">
      <formula>C7=$C$3</formula>
    </cfRule>
    <cfRule type="expression" dxfId="79" priority="4">
      <formula>C7=$C$4</formula>
    </cfRule>
    <cfRule type="expression" dxfId="78" priority="5">
      <formula>C7=$P$1</formula>
    </cfRule>
    <cfRule type="expression" dxfId="77" priority="6">
      <formula>C7=$P$2</formula>
    </cfRule>
  </conditionalFormatting>
  <dataValidations count="3">
    <dataValidation type="list" allowBlank="1" showInputMessage="1" showErrorMessage="1" sqref="W7:Z44 AI7:AL44 AC7:AF44 AO7:AR44 K7:N44 E7:H44 Q7:T44" xr:uid="{B7EEFF02-A3A0-4BFA-94C6-D310AB33A685}">
      <formula1>"A,P,O,X,F"</formula1>
    </dataValidation>
    <dataValidation type="date" allowBlank="1" showInputMessage="1" showErrorMessage="1" sqref="BK8:BK20 BH23:BH34 BK23 BE7 BB21:BB22 AY35:AY38 AV42:AV44 BB39:BB41 AS7:AU44" xr:uid="{4F8B4F07-CB5C-43CA-B510-7AEC41EB0499}">
      <formula1>45880</formula1>
      <formula2>73050</formula2>
    </dataValidation>
    <dataValidation type="list" allowBlank="1" showInputMessage="1" showErrorMessage="1" sqref="C7:D1048576 I7:J1048576 O7:P1048576 AG7:AH1048576 AA7:AB1048576 U7:V1048576 AM7:AN1048576" xr:uid="{9CD340EB-7C73-4343-A493-6A4DF5245FA5}">
      <formula1>"A,P,O,X,R"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C2840-B021-4964-8632-2532AC99CD4D}">
  <sheetPr codeName="Feuil24">
    <tabColor theme="3" tint="0.749992370372631"/>
  </sheetPr>
  <dimension ref="A1:BR94"/>
  <sheetViews>
    <sheetView showGridLines="0" zoomScale="55" zoomScaleNormal="55" workbookViewId="0">
      <pane xSplit="2" ySplit="6" topLeftCell="C7" activePane="bottomRight" state="frozen"/>
      <selection pane="bottomRight" activeCell="C1" sqref="C1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3" max="44" width="3.42578125" customWidth="1"/>
    <col min="45" max="68" width="8.5703125" style="90" customWidth="1"/>
  </cols>
  <sheetData>
    <row r="1" spans="1:70" ht="14.45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R1" t="b">
        <v>0</v>
      </c>
    </row>
    <row r="2" spans="1:70" ht="14.45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70" ht="14.45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70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70" ht="37.5" customHeight="1" thickBot="1">
      <c r="B5" s="9"/>
      <c r="C5" s="369" t="s">
        <v>186</v>
      </c>
      <c r="D5" s="369"/>
      <c r="E5" s="369"/>
      <c r="F5" s="369"/>
      <c r="G5" s="369"/>
      <c r="H5" s="370"/>
      <c r="I5" s="369" t="s">
        <v>187</v>
      </c>
      <c r="J5" s="371"/>
      <c r="K5" s="371"/>
      <c r="L5" s="371"/>
      <c r="M5" s="371"/>
      <c r="N5" s="372"/>
      <c r="O5" s="373" t="s">
        <v>188</v>
      </c>
      <c r="P5" s="374"/>
      <c r="Q5" s="374"/>
      <c r="R5" s="374"/>
      <c r="S5" s="374"/>
      <c r="T5" s="375"/>
      <c r="U5" s="373" t="s">
        <v>189</v>
      </c>
      <c r="V5" s="374"/>
      <c r="W5" s="374"/>
      <c r="X5" s="374"/>
      <c r="Y5" s="374"/>
      <c r="Z5" s="375"/>
      <c r="AA5" s="373" t="s">
        <v>190</v>
      </c>
      <c r="AB5" s="374"/>
      <c r="AC5" s="374"/>
      <c r="AD5" s="374"/>
      <c r="AE5" s="374"/>
      <c r="AF5" s="375"/>
      <c r="AG5" s="366" t="s">
        <v>191</v>
      </c>
      <c r="AH5" s="367"/>
      <c r="AI5" s="367"/>
      <c r="AJ5" s="367"/>
      <c r="AK5" s="367"/>
      <c r="AL5" s="368"/>
      <c r="AM5" s="366" t="s">
        <v>192</v>
      </c>
      <c r="AN5" s="367"/>
      <c r="AO5" s="367"/>
      <c r="AP5" s="367"/>
      <c r="AQ5" s="367"/>
      <c r="AR5" s="367"/>
      <c r="AS5" s="379" t="s">
        <v>193</v>
      </c>
      <c r="AT5" s="380"/>
      <c r="AU5" s="381"/>
      <c r="AV5" s="384" t="s">
        <v>186</v>
      </c>
      <c r="AW5" s="384"/>
      <c r="AX5" s="385"/>
      <c r="AY5" s="384" t="s">
        <v>187</v>
      </c>
      <c r="AZ5" s="386"/>
      <c r="BA5" s="387"/>
      <c r="BB5" s="376" t="s">
        <v>188</v>
      </c>
      <c r="BC5" s="377"/>
      <c r="BD5" s="378"/>
      <c r="BE5" s="376" t="s">
        <v>189</v>
      </c>
      <c r="BF5" s="377"/>
      <c r="BG5" s="378"/>
      <c r="BH5" s="376" t="s">
        <v>190</v>
      </c>
      <c r="BI5" s="377"/>
      <c r="BJ5" s="378"/>
      <c r="BK5" s="379" t="s">
        <v>191</v>
      </c>
      <c r="BL5" s="380"/>
      <c r="BM5" s="381"/>
      <c r="BN5" s="379" t="s">
        <v>192</v>
      </c>
      <c r="BO5" s="380"/>
      <c r="BP5" s="381"/>
    </row>
    <row r="6" spans="1:70" ht="18" thickBot="1">
      <c r="A6" s="346" t="s">
        <v>194</v>
      </c>
      <c r="B6" s="10"/>
      <c r="C6" s="81" t="s">
        <v>29</v>
      </c>
      <c r="D6" s="82" t="s">
        <v>30</v>
      </c>
      <c r="E6" s="82" t="s">
        <v>195</v>
      </c>
      <c r="F6" s="82" t="s">
        <v>196</v>
      </c>
      <c r="G6" s="82" t="s">
        <v>197</v>
      </c>
      <c r="H6" s="83" t="s">
        <v>33</v>
      </c>
      <c r="I6" s="81" t="s">
        <v>29</v>
      </c>
      <c r="J6" s="82" t="s">
        <v>30</v>
      </c>
      <c r="K6" s="82" t="s">
        <v>195</v>
      </c>
      <c r="L6" s="82" t="s">
        <v>196</v>
      </c>
      <c r="M6" s="82" t="s">
        <v>197</v>
      </c>
      <c r="N6" s="83" t="s">
        <v>33</v>
      </c>
      <c r="O6" s="81" t="s">
        <v>29</v>
      </c>
      <c r="P6" s="82" t="s">
        <v>30</v>
      </c>
      <c r="Q6" s="82" t="s">
        <v>195</v>
      </c>
      <c r="R6" s="82" t="s">
        <v>196</v>
      </c>
      <c r="S6" s="82" t="s">
        <v>197</v>
      </c>
      <c r="T6" s="83" t="s">
        <v>33</v>
      </c>
      <c r="U6" s="81" t="s">
        <v>29</v>
      </c>
      <c r="V6" s="82" t="s">
        <v>30</v>
      </c>
      <c r="W6" s="82" t="s">
        <v>195</v>
      </c>
      <c r="X6" s="82" t="s">
        <v>196</v>
      </c>
      <c r="Y6" s="82" t="s">
        <v>197</v>
      </c>
      <c r="Z6" s="83" t="s">
        <v>33</v>
      </c>
      <c r="AA6" s="81" t="s">
        <v>29</v>
      </c>
      <c r="AB6" s="82" t="s">
        <v>30</v>
      </c>
      <c r="AC6" s="82" t="s">
        <v>195</v>
      </c>
      <c r="AD6" s="82" t="s">
        <v>196</v>
      </c>
      <c r="AE6" s="82" t="s">
        <v>197</v>
      </c>
      <c r="AF6" s="88" t="s">
        <v>33</v>
      </c>
      <c r="AG6" s="74" t="s">
        <v>29</v>
      </c>
      <c r="AH6" s="75" t="s">
        <v>30</v>
      </c>
      <c r="AI6" s="75" t="s">
        <v>195</v>
      </c>
      <c r="AJ6" s="75" t="s">
        <v>196</v>
      </c>
      <c r="AK6" s="75" t="s">
        <v>197</v>
      </c>
      <c r="AL6" s="76" t="s">
        <v>33</v>
      </c>
      <c r="AM6" s="74" t="s">
        <v>29</v>
      </c>
      <c r="AN6" s="75" t="s">
        <v>30</v>
      </c>
      <c r="AO6" s="75" t="s">
        <v>195</v>
      </c>
      <c r="AP6" s="75" t="s">
        <v>196</v>
      </c>
      <c r="AQ6" s="75" t="s">
        <v>197</v>
      </c>
      <c r="AR6" s="77" t="s">
        <v>33</v>
      </c>
      <c r="AS6" s="97" t="s">
        <v>29</v>
      </c>
      <c r="AT6" s="92" t="s">
        <v>30</v>
      </c>
      <c r="AU6" s="98" t="s">
        <v>33</v>
      </c>
      <c r="AV6" s="99" t="s">
        <v>195</v>
      </c>
      <c r="AW6" s="94" t="s">
        <v>196</v>
      </c>
      <c r="AX6" s="100" t="s">
        <v>197</v>
      </c>
      <c r="AY6" s="99" t="s">
        <v>195</v>
      </c>
      <c r="AZ6" s="94" t="s">
        <v>196</v>
      </c>
      <c r="BA6" s="100" t="s">
        <v>197</v>
      </c>
      <c r="BB6" s="99" t="s">
        <v>195</v>
      </c>
      <c r="BC6" s="94" t="s">
        <v>196</v>
      </c>
      <c r="BD6" s="100" t="s">
        <v>197</v>
      </c>
      <c r="BE6" s="99" t="s">
        <v>195</v>
      </c>
      <c r="BF6" s="94" t="s">
        <v>196</v>
      </c>
      <c r="BG6" s="100" t="s">
        <v>197</v>
      </c>
      <c r="BH6" s="99" t="s">
        <v>195</v>
      </c>
      <c r="BI6" s="94" t="s">
        <v>196</v>
      </c>
      <c r="BJ6" s="100" t="s">
        <v>197</v>
      </c>
      <c r="BK6" s="99" t="s">
        <v>195</v>
      </c>
      <c r="BL6" s="94" t="s">
        <v>196</v>
      </c>
      <c r="BM6" s="100" t="s">
        <v>197</v>
      </c>
      <c r="BN6" s="99" t="s">
        <v>195</v>
      </c>
      <c r="BO6" s="94" t="s">
        <v>196</v>
      </c>
      <c r="BP6" s="100" t="s">
        <v>197</v>
      </c>
      <c r="BR6" s="346" t="s">
        <v>198</v>
      </c>
    </row>
    <row r="7" spans="1:70" ht="20.100000000000001" customHeight="1">
      <c r="A7" s="71" t="b">
        <f>IF(OR(D7&lt;&gt;"",V7&lt;&gt;"",J7&lt;&gt;"",P7&lt;&gt;"",AB7&lt;&gt;"",AH7&lt;&gt;"",AN7&lt;&gt;"",AT7&lt;&gt;""),TRUE,FALSE)</f>
        <v>0</v>
      </c>
      <c r="B7" s="11" t="s">
        <v>122</v>
      </c>
      <c r="C7" s="102"/>
      <c r="D7" s="101"/>
      <c r="E7" s="101"/>
      <c r="F7" s="101"/>
      <c r="G7" s="101"/>
      <c r="H7" s="103"/>
      <c r="I7" s="102"/>
      <c r="J7" s="101"/>
      <c r="K7" s="101"/>
      <c r="L7" s="101"/>
      <c r="M7" s="101"/>
      <c r="N7" s="103"/>
      <c r="O7" s="102"/>
      <c r="P7" s="101"/>
      <c r="Q7" s="101"/>
      <c r="R7" s="101"/>
      <c r="S7" s="101"/>
      <c r="T7" s="103"/>
      <c r="U7" s="102"/>
      <c r="V7" s="101"/>
      <c r="W7" s="101"/>
      <c r="X7" s="101"/>
      <c r="Y7" s="101"/>
      <c r="Z7" s="103"/>
      <c r="AA7" s="102"/>
      <c r="AB7" s="101"/>
      <c r="AC7" s="101"/>
      <c r="AD7" s="101"/>
      <c r="AE7" s="101"/>
      <c r="AF7" s="206"/>
      <c r="AG7" s="207"/>
      <c r="AH7" s="208"/>
      <c r="AI7" s="208"/>
      <c r="AJ7" s="208"/>
      <c r="AK7" s="208"/>
      <c r="AL7" s="209"/>
      <c r="AM7" s="207"/>
      <c r="AN7" s="208"/>
      <c r="AO7" s="208"/>
      <c r="AP7" s="208"/>
      <c r="AQ7" s="208"/>
      <c r="AR7" s="210"/>
      <c r="AS7" s="110"/>
      <c r="AT7" s="111"/>
      <c r="AU7" s="112"/>
      <c r="AV7" s="212"/>
      <c r="AW7" s="204"/>
      <c r="AX7" s="205"/>
      <c r="AY7" s="203"/>
      <c r="AZ7" s="204"/>
      <c r="BA7" s="205"/>
      <c r="BB7" s="203"/>
      <c r="BC7" s="204"/>
      <c r="BD7" s="205"/>
      <c r="BE7" s="213"/>
      <c r="BF7" s="204"/>
      <c r="BG7" s="205"/>
      <c r="BH7" s="203"/>
      <c r="BI7" s="204"/>
      <c r="BJ7" s="205"/>
      <c r="BK7" s="203"/>
      <c r="BL7" s="204"/>
      <c r="BM7" s="205"/>
      <c r="BN7" s="203"/>
      <c r="BO7" s="204"/>
      <c r="BP7" s="205"/>
      <c r="BQ7" s="90" t="str">
        <f t="shared" ref="BQ7:BQ34" si="0">_xlfn.TEXTBEFORE($B7,".",2)</f>
        <v>3C.1</v>
      </c>
      <c r="BR7" s="71" t="b">
        <f>IF(OR(H7&lt;&gt;"",N7&lt;&gt;"",T7&lt;&gt;"",Z7&lt;&gt;"",AF7&lt;&gt;"",AL7&lt;&gt;"",AR7&lt;&gt;"",AU7&lt;&gt;""),TRUE,FALSE)</f>
        <v>0</v>
      </c>
    </row>
    <row r="8" spans="1:70" ht="20.100000000000001" customHeight="1">
      <c r="A8" s="71" t="b">
        <f t="shared" ref="A8:A34" si="1">IF(OR(D8&lt;&gt;"",V8&lt;&gt;"",J8&lt;&gt;"",P8&lt;&gt;"",AB8&lt;&gt;"",AH8&lt;&gt;"",AN8&lt;&gt;"",AT8&lt;&gt;""),TRUE,FALSE)</f>
        <v>0</v>
      </c>
      <c r="B8" s="9" t="s">
        <v>123</v>
      </c>
      <c r="C8" s="12"/>
      <c r="D8" s="8"/>
      <c r="E8" s="8"/>
      <c r="F8" s="8"/>
      <c r="G8" s="8"/>
      <c r="H8" s="13"/>
      <c r="I8" s="12"/>
      <c r="J8" s="8"/>
      <c r="K8" s="8"/>
      <c r="L8" s="8"/>
      <c r="M8" s="8"/>
      <c r="N8" s="13"/>
      <c r="O8" s="12"/>
      <c r="P8" s="8"/>
      <c r="Q8" s="8"/>
      <c r="R8" s="8"/>
      <c r="S8" s="8"/>
      <c r="T8" s="13"/>
      <c r="U8" s="12"/>
      <c r="V8" s="8"/>
      <c r="W8" s="8"/>
      <c r="X8" s="8"/>
      <c r="Y8" s="8"/>
      <c r="Z8" s="13"/>
      <c r="AA8" s="12"/>
      <c r="AB8" s="8"/>
      <c r="AC8" s="8"/>
      <c r="AD8" s="8"/>
      <c r="AE8" s="8"/>
      <c r="AF8" s="211"/>
      <c r="AG8" s="12"/>
      <c r="AH8" s="8"/>
      <c r="AI8" s="8"/>
      <c r="AJ8" s="8"/>
      <c r="AK8" s="8"/>
      <c r="AL8" s="13"/>
      <c r="AM8" s="12"/>
      <c r="AN8" s="8"/>
      <c r="AO8" s="8"/>
      <c r="AP8" s="8"/>
      <c r="AQ8" s="8"/>
      <c r="AR8" s="211"/>
      <c r="AS8" s="116"/>
      <c r="AT8" s="117"/>
      <c r="AU8" s="112"/>
      <c r="AV8" s="203"/>
      <c r="AW8" s="214"/>
      <c r="AX8" s="205"/>
      <c r="AY8" s="203"/>
      <c r="AZ8" s="204"/>
      <c r="BA8" s="205"/>
      <c r="BB8" s="203"/>
      <c r="BC8" s="204"/>
      <c r="BD8" s="205"/>
      <c r="BE8" s="203"/>
      <c r="BF8" s="204"/>
      <c r="BG8" s="205"/>
      <c r="BH8" s="212"/>
      <c r="BI8" s="204"/>
      <c r="BJ8" s="205"/>
      <c r="BK8" s="215"/>
      <c r="BL8" s="204"/>
      <c r="BM8" s="205"/>
      <c r="BN8" s="203"/>
      <c r="BO8" s="204"/>
      <c r="BP8" s="205"/>
      <c r="BQ8" s="90" t="str">
        <f t="shared" si="0"/>
        <v>3C.1</v>
      </c>
      <c r="BR8" s="71" t="b">
        <f t="shared" ref="BR8:BR34" si="2">IF(OR(H8&lt;&gt;"",N8&lt;&gt;"",T8&lt;&gt;"",Z8&lt;&gt;"",AF8&lt;&gt;"",AL8&lt;&gt;"",AR8&lt;&gt;"",AU8&lt;&gt;""),TRUE,FALSE)</f>
        <v>0</v>
      </c>
    </row>
    <row r="9" spans="1:70" ht="20.100000000000001" customHeight="1">
      <c r="A9" s="71" t="b">
        <f t="shared" si="1"/>
        <v>0</v>
      </c>
      <c r="B9" s="9" t="s">
        <v>125</v>
      </c>
      <c r="C9" s="12"/>
      <c r="D9" s="8"/>
      <c r="E9" s="8"/>
      <c r="F9" s="8"/>
      <c r="G9" s="8"/>
      <c r="H9" s="13"/>
      <c r="I9" s="12"/>
      <c r="J9" s="8"/>
      <c r="K9" s="8"/>
      <c r="L9" s="8"/>
      <c r="M9" s="8"/>
      <c r="N9" s="13"/>
      <c r="O9" s="12"/>
      <c r="P9" s="8"/>
      <c r="Q9" s="8"/>
      <c r="R9" s="8"/>
      <c r="S9" s="8"/>
      <c r="T9" s="13"/>
      <c r="U9" s="12"/>
      <c r="V9" s="8"/>
      <c r="W9" s="8"/>
      <c r="X9" s="8"/>
      <c r="Y9" s="8"/>
      <c r="Z9" s="13"/>
      <c r="AA9" s="12"/>
      <c r="AB9" s="8"/>
      <c r="AC9" s="8"/>
      <c r="AD9" s="8"/>
      <c r="AE9" s="8"/>
      <c r="AF9" s="211"/>
      <c r="AG9" s="12"/>
      <c r="AH9" s="8"/>
      <c r="AI9" s="8"/>
      <c r="AJ9" s="8"/>
      <c r="AK9" s="8"/>
      <c r="AL9" s="13"/>
      <c r="AM9" s="12"/>
      <c r="AN9" s="8"/>
      <c r="AO9" s="8"/>
      <c r="AP9" s="8"/>
      <c r="AQ9" s="8"/>
      <c r="AR9" s="211"/>
      <c r="AS9" s="116"/>
      <c r="AT9" s="117"/>
      <c r="AU9" s="112"/>
      <c r="AV9" s="203"/>
      <c r="AW9" s="204"/>
      <c r="AX9" s="205"/>
      <c r="AY9" s="203"/>
      <c r="AZ9" s="204"/>
      <c r="BA9" s="205"/>
      <c r="BB9" s="203"/>
      <c r="BC9" s="204"/>
      <c r="BD9" s="205"/>
      <c r="BE9" s="203"/>
      <c r="BF9" s="204"/>
      <c r="BG9" s="205"/>
      <c r="BH9" s="212"/>
      <c r="BI9" s="204"/>
      <c r="BJ9" s="205"/>
      <c r="BK9" s="215"/>
      <c r="BL9" s="204"/>
      <c r="BM9" s="205"/>
      <c r="BN9" s="203"/>
      <c r="BO9" s="204"/>
      <c r="BP9" s="205"/>
      <c r="BQ9" s="90" t="str">
        <f t="shared" si="0"/>
        <v>3C.2</v>
      </c>
      <c r="BR9" s="71" t="b">
        <f t="shared" si="2"/>
        <v>0</v>
      </c>
    </row>
    <row r="10" spans="1:70" ht="20.100000000000001" customHeight="1">
      <c r="A10" s="71" t="b">
        <f t="shared" si="1"/>
        <v>0</v>
      </c>
      <c r="B10" s="9" t="s">
        <v>126</v>
      </c>
      <c r="C10" s="12"/>
      <c r="D10" s="8"/>
      <c r="E10" s="8"/>
      <c r="F10" s="8"/>
      <c r="G10" s="8"/>
      <c r="H10" s="13"/>
      <c r="I10" s="12"/>
      <c r="J10" s="8"/>
      <c r="K10" s="8"/>
      <c r="L10" s="8"/>
      <c r="M10" s="8"/>
      <c r="N10" s="13"/>
      <c r="O10" s="12"/>
      <c r="P10" s="8"/>
      <c r="Q10" s="8"/>
      <c r="R10" s="8"/>
      <c r="S10" s="8"/>
      <c r="T10" s="13"/>
      <c r="U10" s="12"/>
      <c r="V10" s="8"/>
      <c r="W10" s="8"/>
      <c r="X10" s="8"/>
      <c r="Y10" s="8"/>
      <c r="Z10" s="13"/>
      <c r="AA10" s="12"/>
      <c r="AB10" s="8"/>
      <c r="AC10" s="8"/>
      <c r="AD10" s="8"/>
      <c r="AE10" s="8"/>
      <c r="AF10" s="211"/>
      <c r="AG10" s="12"/>
      <c r="AH10" s="8"/>
      <c r="AI10" s="8"/>
      <c r="AJ10" s="8"/>
      <c r="AK10" s="8"/>
      <c r="AL10" s="13"/>
      <c r="AM10" s="12"/>
      <c r="AN10" s="8"/>
      <c r="AO10" s="8"/>
      <c r="AP10" s="8"/>
      <c r="AQ10" s="8"/>
      <c r="AR10" s="211"/>
      <c r="AS10" s="116"/>
      <c r="AT10" s="117"/>
      <c r="AU10" s="112"/>
      <c r="AV10" s="203"/>
      <c r="AW10" s="204"/>
      <c r="AX10" s="205"/>
      <c r="AY10" s="203"/>
      <c r="AZ10" s="204"/>
      <c r="BA10" s="205"/>
      <c r="BB10" s="203"/>
      <c r="BC10" s="204"/>
      <c r="BD10" s="205"/>
      <c r="BE10" s="203"/>
      <c r="BF10" s="204"/>
      <c r="BG10" s="205"/>
      <c r="BH10" s="212"/>
      <c r="BI10" s="204"/>
      <c r="BJ10" s="205"/>
      <c r="BK10" s="215"/>
      <c r="BL10" s="204"/>
      <c r="BM10" s="205"/>
      <c r="BN10" s="203"/>
      <c r="BO10" s="204"/>
      <c r="BP10" s="205"/>
      <c r="BQ10" s="90" t="str">
        <f t="shared" si="0"/>
        <v>4C.1</v>
      </c>
      <c r="BR10" s="71" t="b">
        <f t="shared" si="2"/>
        <v>0</v>
      </c>
    </row>
    <row r="11" spans="1:70" ht="20.100000000000001" customHeight="1">
      <c r="A11" s="71" t="b">
        <f t="shared" si="1"/>
        <v>0</v>
      </c>
      <c r="B11" s="9" t="s">
        <v>127</v>
      </c>
      <c r="C11" s="12"/>
      <c r="D11" s="8"/>
      <c r="E11" s="8"/>
      <c r="F11" s="8"/>
      <c r="G11" s="8"/>
      <c r="H11" s="13"/>
      <c r="I11" s="12"/>
      <c r="J11" s="8"/>
      <c r="K11" s="8"/>
      <c r="L11" s="8"/>
      <c r="M11" s="8"/>
      <c r="N11" s="13"/>
      <c r="O11" s="12"/>
      <c r="P11" s="8"/>
      <c r="Q11" s="8"/>
      <c r="R11" s="8"/>
      <c r="S11" s="8"/>
      <c r="T11" s="13"/>
      <c r="U11" s="12"/>
      <c r="V11" s="8"/>
      <c r="W11" s="8"/>
      <c r="X11" s="8"/>
      <c r="Y11" s="8"/>
      <c r="Z11" s="13"/>
      <c r="AA11" s="12"/>
      <c r="AB11" s="8"/>
      <c r="AC11" s="8"/>
      <c r="AD11" s="8"/>
      <c r="AE11" s="8"/>
      <c r="AF11" s="211"/>
      <c r="AG11" s="12"/>
      <c r="AH11" s="8"/>
      <c r="AI11" s="8"/>
      <c r="AJ11" s="8"/>
      <c r="AK11" s="8"/>
      <c r="AL11" s="13"/>
      <c r="AM11" s="12"/>
      <c r="AN11" s="8"/>
      <c r="AO11" s="8"/>
      <c r="AP11" s="8"/>
      <c r="AQ11" s="8"/>
      <c r="AR11" s="211"/>
      <c r="AS11" s="116"/>
      <c r="AT11" s="117"/>
      <c r="AU11" s="112"/>
      <c r="AV11" s="203"/>
      <c r="AW11" s="204"/>
      <c r="AX11" s="205"/>
      <c r="AY11" s="203"/>
      <c r="AZ11" s="204"/>
      <c r="BA11" s="205"/>
      <c r="BB11" s="203"/>
      <c r="BC11" s="204"/>
      <c r="BD11" s="205"/>
      <c r="BE11" s="203"/>
      <c r="BF11" s="204"/>
      <c r="BG11" s="205"/>
      <c r="BH11" s="212"/>
      <c r="BI11" s="204"/>
      <c r="BJ11" s="205"/>
      <c r="BK11" s="215"/>
      <c r="BL11" s="204"/>
      <c r="BM11" s="205"/>
      <c r="BN11" s="203"/>
      <c r="BO11" s="204"/>
      <c r="BP11" s="205"/>
      <c r="BQ11" s="90" t="str">
        <f t="shared" si="0"/>
        <v>4C.2</v>
      </c>
      <c r="BR11" s="71" t="b">
        <f t="shared" si="2"/>
        <v>0</v>
      </c>
    </row>
    <row r="12" spans="1:70" ht="20.100000000000001" customHeight="1">
      <c r="A12" s="71" t="b">
        <f t="shared" si="1"/>
        <v>0</v>
      </c>
      <c r="B12" s="9" t="s">
        <v>128</v>
      </c>
      <c r="C12" s="12"/>
      <c r="D12" s="8"/>
      <c r="E12" s="8"/>
      <c r="F12" s="8"/>
      <c r="G12" s="8"/>
      <c r="H12" s="13"/>
      <c r="I12" s="12"/>
      <c r="J12" s="8"/>
      <c r="K12" s="8"/>
      <c r="L12" s="8"/>
      <c r="M12" s="8"/>
      <c r="N12" s="13"/>
      <c r="O12" s="12"/>
      <c r="P12" s="8"/>
      <c r="Q12" s="8"/>
      <c r="R12" s="8"/>
      <c r="S12" s="8"/>
      <c r="T12" s="13"/>
      <c r="U12" s="12"/>
      <c r="V12" s="8"/>
      <c r="W12" s="8"/>
      <c r="X12" s="8"/>
      <c r="Y12" s="8"/>
      <c r="Z12" s="13"/>
      <c r="AA12" s="12"/>
      <c r="AB12" s="8"/>
      <c r="AC12" s="8"/>
      <c r="AD12" s="8"/>
      <c r="AE12" s="8"/>
      <c r="AF12" s="211"/>
      <c r="AG12" s="12"/>
      <c r="AH12" s="8"/>
      <c r="AI12" s="8"/>
      <c r="AJ12" s="8"/>
      <c r="AK12" s="8"/>
      <c r="AL12" s="13"/>
      <c r="AM12" s="12"/>
      <c r="AN12" s="8"/>
      <c r="AO12" s="8"/>
      <c r="AP12" s="8"/>
      <c r="AQ12" s="8"/>
      <c r="AR12" s="211"/>
      <c r="AS12" s="116"/>
      <c r="AT12" s="117"/>
      <c r="AU12" s="112"/>
      <c r="AV12" s="203"/>
      <c r="AW12" s="204"/>
      <c r="AX12" s="205"/>
      <c r="AY12" s="203"/>
      <c r="AZ12" s="204"/>
      <c r="BA12" s="205"/>
      <c r="BB12" s="203"/>
      <c r="BC12" s="204"/>
      <c r="BD12" s="205"/>
      <c r="BE12" s="203"/>
      <c r="BF12" s="204"/>
      <c r="BG12" s="205"/>
      <c r="BH12" s="212"/>
      <c r="BI12" s="204"/>
      <c r="BJ12" s="205"/>
      <c r="BK12" s="215"/>
      <c r="BL12" s="204"/>
      <c r="BM12" s="205"/>
      <c r="BN12" s="203"/>
      <c r="BO12" s="204"/>
      <c r="BP12" s="205"/>
      <c r="BQ12" s="90" t="str">
        <f t="shared" si="0"/>
        <v>4C.3</v>
      </c>
      <c r="BR12" s="71" t="b">
        <f t="shared" si="2"/>
        <v>0</v>
      </c>
    </row>
    <row r="13" spans="1:70" ht="20.100000000000001" customHeight="1">
      <c r="A13" s="71" t="b">
        <f t="shared" si="1"/>
        <v>0</v>
      </c>
      <c r="B13" s="9" t="s">
        <v>130</v>
      </c>
      <c r="C13" s="12"/>
      <c r="D13" s="8"/>
      <c r="E13" s="8"/>
      <c r="F13" s="8"/>
      <c r="G13" s="8"/>
      <c r="H13" s="13"/>
      <c r="I13" s="12"/>
      <c r="J13" s="8"/>
      <c r="K13" s="8"/>
      <c r="L13" s="8"/>
      <c r="M13" s="8"/>
      <c r="N13" s="13"/>
      <c r="O13" s="12"/>
      <c r="P13" s="8"/>
      <c r="Q13" s="8"/>
      <c r="R13" s="8"/>
      <c r="S13" s="8"/>
      <c r="T13" s="13"/>
      <c r="U13" s="12"/>
      <c r="V13" s="8"/>
      <c r="W13" s="8"/>
      <c r="X13" s="8"/>
      <c r="Y13" s="8"/>
      <c r="Z13" s="13"/>
      <c r="AA13" s="12"/>
      <c r="AB13" s="8"/>
      <c r="AC13" s="8"/>
      <c r="AD13" s="8"/>
      <c r="AE13" s="8"/>
      <c r="AF13" s="211"/>
      <c r="AG13" s="12"/>
      <c r="AH13" s="8"/>
      <c r="AI13" s="8"/>
      <c r="AJ13" s="8"/>
      <c r="AK13" s="8"/>
      <c r="AL13" s="13"/>
      <c r="AM13" s="12"/>
      <c r="AN13" s="8"/>
      <c r="AO13" s="8"/>
      <c r="AP13" s="8"/>
      <c r="AQ13" s="8"/>
      <c r="AR13" s="211"/>
      <c r="AS13" s="116"/>
      <c r="AT13" s="117"/>
      <c r="AU13" s="112"/>
      <c r="AV13" s="203"/>
      <c r="AW13" s="204"/>
      <c r="AX13" s="205"/>
      <c r="AY13" s="203"/>
      <c r="AZ13" s="204"/>
      <c r="BA13" s="205"/>
      <c r="BB13" s="203"/>
      <c r="BC13" s="204"/>
      <c r="BD13" s="205"/>
      <c r="BE13" s="203"/>
      <c r="BF13" s="204"/>
      <c r="BG13" s="205"/>
      <c r="BH13" s="212"/>
      <c r="BI13" s="204"/>
      <c r="BJ13" s="205"/>
      <c r="BK13" s="215"/>
      <c r="BL13" s="204"/>
      <c r="BM13" s="205"/>
      <c r="BN13" s="203"/>
      <c r="BO13" s="204"/>
      <c r="BP13" s="205"/>
      <c r="BQ13" s="90" t="str">
        <f t="shared" si="0"/>
        <v>4C.5</v>
      </c>
      <c r="BR13" s="71" t="b">
        <f t="shared" si="2"/>
        <v>0</v>
      </c>
    </row>
    <row r="14" spans="1:70" ht="20.100000000000001" customHeight="1">
      <c r="A14" s="71" t="b">
        <f t="shared" si="1"/>
        <v>0</v>
      </c>
      <c r="B14" s="9" t="s">
        <v>131</v>
      </c>
      <c r="C14" s="12"/>
      <c r="D14" s="8"/>
      <c r="E14" s="8"/>
      <c r="F14" s="8"/>
      <c r="G14" s="8"/>
      <c r="H14" s="13"/>
      <c r="I14" s="12"/>
      <c r="J14" s="8"/>
      <c r="K14" s="8"/>
      <c r="L14" s="8"/>
      <c r="M14" s="8"/>
      <c r="N14" s="13"/>
      <c r="O14" s="12"/>
      <c r="P14" s="8"/>
      <c r="Q14" s="8"/>
      <c r="R14" s="8"/>
      <c r="S14" s="8"/>
      <c r="T14" s="13"/>
      <c r="U14" s="12"/>
      <c r="V14" s="8"/>
      <c r="W14" s="8"/>
      <c r="X14" s="8"/>
      <c r="Y14" s="8"/>
      <c r="Z14" s="13"/>
      <c r="AA14" s="12"/>
      <c r="AB14" s="8"/>
      <c r="AC14" s="8"/>
      <c r="AD14" s="8"/>
      <c r="AE14" s="8"/>
      <c r="AF14" s="211"/>
      <c r="AG14" s="12"/>
      <c r="AH14" s="8"/>
      <c r="AI14" s="8"/>
      <c r="AJ14" s="8"/>
      <c r="AK14" s="8"/>
      <c r="AL14" s="13"/>
      <c r="AM14" s="12"/>
      <c r="AN14" s="8"/>
      <c r="AO14" s="8"/>
      <c r="AP14" s="8"/>
      <c r="AQ14" s="8"/>
      <c r="AR14" s="211"/>
      <c r="AS14" s="116"/>
      <c r="AT14" s="117"/>
      <c r="AU14" s="136"/>
      <c r="AV14" s="203"/>
      <c r="AW14" s="204"/>
      <c r="AX14" s="205"/>
      <c r="AY14" s="203"/>
      <c r="AZ14" s="204"/>
      <c r="BA14" s="205"/>
      <c r="BB14" s="203"/>
      <c r="BC14" s="204"/>
      <c r="BD14" s="205"/>
      <c r="BE14" s="203"/>
      <c r="BF14" s="204"/>
      <c r="BG14" s="205"/>
      <c r="BH14" s="212"/>
      <c r="BI14" s="204"/>
      <c r="BJ14" s="205"/>
      <c r="BK14" s="215"/>
      <c r="BL14" s="204"/>
      <c r="BM14" s="205"/>
      <c r="BN14" s="203"/>
      <c r="BO14" s="204"/>
      <c r="BP14" s="205"/>
      <c r="BQ14" s="90" t="str">
        <f t="shared" si="0"/>
        <v>4C.6</v>
      </c>
      <c r="BR14" s="71" t="b">
        <f t="shared" si="2"/>
        <v>0</v>
      </c>
    </row>
    <row r="15" spans="1:70" ht="20.100000000000001" customHeight="1">
      <c r="A15" s="71" t="b">
        <f t="shared" si="1"/>
        <v>0</v>
      </c>
      <c r="B15" s="9" t="s">
        <v>132</v>
      </c>
      <c r="C15" s="12"/>
      <c r="D15" s="8"/>
      <c r="E15" s="8"/>
      <c r="F15" s="8"/>
      <c r="G15" s="8"/>
      <c r="H15" s="13"/>
      <c r="I15" s="12"/>
      <c r="J15" s="8"/>
      <c r="K15" s="8"/>
      <c r="L15" s="8"/>
      <c r="M15" s="8"/>
      <c r="N15" s="13"/>
      <c r="O15" s="12"/>
      <c r="P15" s="8"/>
      <c r="Q15" s="8"/>
      <c r="R15" s="8"/>
      <c r="S15" s="8"/>
      <c r="T15" s="13"/>
      <c r="U15" s="12"/>
      <c r="V15" s="8"/>
      <c r="W15" s="8"/>
      <c r="X15" s="8"/>
      <c r="Y15" s="8"/>
      <c r="Z15" s="13"/>
      <c r="AA15" s="12"/>
      <c r="AB15" s="8"/>
      <c r="AC15" s="8"/>
      <c r="AD15" s="8"/>
      <c r="AE15" s="8"/>
      <c r="AF15" s="211"/>
      <c r="AG15" s="12"/>
      <c r="AH15" s="8"/>
      <c r="AI15" s="8"/>
      <c r="AJ15" s="8"/>
      <c r="AK15" s="8"/>
      <c r="AL15" s="13"/>
      <c r="AM15" s="12"/>
      <c r="AN15" s="8"/>
      <c r="AO15" s="8"/>
      <c r="AP15" s="8"/>
      <c r="AQ15" s="8"/>
      <c r="AR15" s="211"/>
      <c r="AS15" s="116"/>
      <c r="AT15" s="117"/>
      <c r="AU15" s="112"/>
      <c r="AV15" s="203"/>
      <c r="AW15" s="204"/>
      <c r="AX15" s="205"/>
      <c r="AY15" s="203"/>
      <c r="AZ15" s="204"/>
      <c r="BA15" s="205"/>
      <c r="BB15" s="203"/>
      <c r="BC15" s="204"/>
      <c r="BD15" s="205"/>
      <c r="BE15" s="203"/>
      <c r="BF15" s="204"/>
      <c r="BG15" s="205"/>
      <c r="BH15" s="212"/>
      <c r="BI15" s="204"/>
      <c r="BJ15" s="205"/>
      <c r="BK15" s="215"/>
      <c r="BL15" s="204"/>
      <c r="BM15" s="205"/>
      <c r="BN15" s="203"/>
      <c r="BO15" s="204"/>
      <c r="BP15" s="205"/>
      <c r="BQ15" s="90" t="str">
        <f t="shared" si="0"/>
        <v>5C.1</v>
      </c>
      <c r="BR15" s="71" t="b">
        <f t="shared" si="2"/>
        <v>0</v>
      </c>
    </row>
    <row r="16" spans="1:70" ht="20.100000000000001" customHeight="1">
      <c r="A16" s="71" t="b">
        <f t="shared" si="1"/>
        <v>0</v>
      </c>
      <c r="B16" s="9" t="s">
        <v>134</v>
      </c>
      <c r="C16" s="12"/>
      <c r="D16" s="8"/>
      <c r="E16" s="8"/>
      <c r="F16" s="8"/>
      <c r="G16" s="8"/>
      <c r="H16" s="13"/>
      <c r="I16" s="12"/>
      <c r="J16" s="8"/>
      <c r="K16" s="8"/>
      <c r="L16" s="8"/>
      <c r="M16" s="8"/>
      <c r="N16" s="13"/>
      <c r="O16" s="12"/>
      <c r="P16" s="8"/>
      <c r="Q16" s="8"/>
      <c r="R16" s="8"/>
      <c r="S16" s="8"/>
      <c r="T16" s="13"/>
      <c r="U16" s="12"/>
      <c r="V16" s="8"/>
      <c r="W16" s="8"/>
      <c r="X16" s="8"/>
      <c r="Y16" s="8"/>
      <c r="Z16" s="13"/>
      <c r="AA16" s="12"/>
      <c r="AB16" s="8"/>
      <c r="AC16" s="8"/>
      <c r="AD16" s="8"/>
      <c r="AE16" s="8"/>
      <c r="AF16" s="211"/>
      <c r="AG16" s="12"/>
      <c r="AH16" s="8"/>
      <c r="AI16" s="8"/>
      <c r="AJ16" s="8"/>
      <c r="AK16" s="8"/>
      <c r="AL16" s="13"/>
      <c r="AM16" s="12"/>
      <c r="AN16" s="8"/>
      <c r="AO16" s="8"/>
      <c r="AP16" s="8"/>
      <c r="AQ16" s="8"/>
      <c r="AR16" s="211"/>
      <c r="AS16" s="116"/>
      <c r="AT16" s="117"/>
      <c r="AU16" s="112"/>
      <c r="AV16" s="203"/>
      <c r="AW16" s="204"/>
      <c r="AX16" s="205"/>
      <c r="AY16" s="203"/>
      <c r="AZ16" s="204"/>
      <c r="BA16" s="205"/>
      <c r="BB16" s="203"/>
      <c r="BC16" s="204"/>
      <c r="BD16" s="205"/>
      <c r="BE16" s="203"/>
      <c r="BF16" s="204"/>
      <c r="BG16" s="205"/>
      <c r="BH16" s="212"/>
      <c r="BI16" s="204"/>
      <c r="BJ16" s="205"/>
      <c r="BK16" s="215"/>
      <c r="BL16" s="204"/>
      <c r="BM16" s="205"/>
      <c r="BN16" s="203"/>
      <c r="BO16" s="204"/>
      <c r="BP16" s="205"/>
      <c r="BQ16" s="90" t="str">
        <f t="shared" si="0"/>
        <v>5C.1</v>
      </c>
      <c r="BR16" s="71" t="b">
        <f t="shared" si="2"/>
        <v>0</v>
      </c>
    </row>
    <row r="17" spans="1:70" ht="20.100000000000001" customHeight="1">
      <c r="A17" s="71" t="b">
        <f t="shared" si="1"/>
        <v>0</v>
      </c>
      <c r="B17" s="9" t="s">
        <v>135</v>
      </c>
      <c r="C17" s="12"/>
      <c r="D17" s="8"/>
      <c r="E17" s="8"/>
      <c r="F17" s="8"/>
      <c r="G17" s="8"/>
      <c r="H17" s="13"/>
      <c r="I17" s="12"/>
      <c r="J17" s="8"/>
      <c r="K17" s="8"/>
      <c r="L17" s="8"/>
      <c r="M17" s="8"/>
      <c r="N17" s="13"/>
      <c r="O17" s="12"/>
      <c r="P17" s="8"/>
      <c r="Q17" s="8"/>
      <c r="R17" s="8"/>
      <c r="S17" s="8"/>
      <c r="T17" s="13"/>
      <c r="U17" s="12"/>
      <c r="V17" s="8"/>
      <c r="W17" s="8"/>
      <c r="X17" s="8"/>
      <c r="Y17" s="8"/>
      <c r="Z17" s="13"/>
      <c r="AA17" s="12"/>
      <c r="AB17" s="8"/>
      <c r="AC17" s="8"/>
      <c r="AD17" s="8"/>
      <c r="AE17" s="8"/>
      <c r="AF17" s="211"/>
      <c r="AG17" s="12"/>
      <c r="AH17" s="8"/>
      <c r="AI17" s="8"/>
      <c r="AJ17" s="8"/>
      <c r="AK17" s="8"/>
      <c r="AL17" s="13"/>
      <c r="AM17" s="12"/>
      <c r="AN17" s="8"/>
      <c r="AO17" s="8"/>
      <c r="AP17" s="8"/>
      <c r="AQ17" s="8"/>
      <c r="AR17" s="211"/>
      <c r="AS17" s="116"/>
      <c r="AT17" s="117"/>
      <c r="AU17" s="112"/>
      <c r="AV17" s="203"/>
      <c r="AW17" s="204"/>
      <c r="AX17" s="205"/>
      <c r="AY17" s="203"/>
      <c r="AZ17" s="204"/>
      <c r="BA17" s="205"/>
      <c r="BB17" s="203"/>
      <c r="BC17" s="204"/>
      <c r="BD17" s="205"/>
      <c r="BE17" s="203"/>
      <c r="BF17" s="204"/>
      <c r="BG17" s="205"/>
      <c r="BH17" s="212"/>
      <c r="BI17" s="204"/>
      <c r="BJ17" s="205"/>
      <c r="BK17" s="215"/>
      <c r="BL17" s="204"/>
      <c r="BM17" s="205"/>
      <c r="BN17" s="203"/>
      <c r="BO17" s="204"/>
      <c r="BP17" s="205"/>
      <c r="BQ17" s="90" t="str">
        <f t="shared" si="0"/>
        <v>5C.1</v>
      </c>
      <c r="BR17" s="71" t="b">
        <f t="shared" si="2"/>
        <v>0</v>
      </c>
    </row>
    <row r="18" spans="1:70" ht="20.100000000000001" customHeight="1">
      <c r="A18" s="71" t="b">
        <f t="shared" si="1"/>
        <v>0</v>
      </c>
      <c r="B18" s="9" t="s">
        <v>136</v>
      </c>
      <c r="C18" s="12"/>
      <c r="D18" s="8"/>
      <c r="E18" s="8"/>
      <c r="F18" s="8"/>
      <c r="G18" s="8"/>
      <c r="H18" s="13"/>
      <c r="I18" s="12"/>
      <c r="J18" s="8"/>
      <c r="K18" s="8"/>
      <c r="L18" s="8"/>
      <c r="M18" s="8"/>
      <c r="N18" s="13"/>
      <c r="O18" s="12"/>
      <c r="P18" s="8"/>
      <c r="Q18" s="8"/>
      <c r="R18" s="8"/>
      <c r="S18" s="8"/>
      <c r="T18" s="13"/>
      <c r="U18" s="12"/>
      <c r="V18" s="8"/>
      <c r="W18" s="8"/>
      <c r="X18" s="8"/>
      <c r="Y18" s="8"/>
      <c r="Z18" s="13"/>
      <c r="AA18" s="12"/>
      <c r="AB18" s="8"/>
      <c r="AC18" s="8"/>
      <c r="AD18" s="8"/>
      <c r="AE18" s="8"/>
      <c r="AF18" s="211"/>
      <c r="AG18" s="12"/>
      <c r="AH18" s="8"/>
      <c r="AI18" s="8"/>
      <c r="AJ18" s="8"/>
      <c r="AK18" s="8"/>
      <c r="AL18" s="13"/>
      <c r="AM18" s="12"/>
      <c r="AN18" s="8"/>
      <c r="AO18" s="8"/>
      <c r="AP18" s="8"/>
      <c r="AQ18" s="8"/>
      <c r="AR18" s="211"/>
      <c r="AS18" s="116"/>
      <c r="AT18" s="117"/>
      <c r="AU18" s="112"/>
      <c r="AV18" s="203"/>
      <c r="AW18" s="204"/>
      <c r="AX18" s="205"/>
      <c r="AY18" s="212"/>
      <c r="AZ18" s="204"/>
      <c r="BA18" s="205"/>
      <c r="BB18" s="215"/>
      <c r="BC18" s="204"/>
      <c r="BD18" s="205"/>
      <c r="BE18" s="203"/>
      <c r="BF18" s="204"/>
      <c r="BG18" s="205"/>
      <c r="BH18" s="203"/>
      <c r="BI18" s="204"/>
      <c r="BJ18" s="205"/>
      <c r="BK18" s="203"/>
      <c r="BL18" s="204"/>
      <c r="BM18" s="205"/>
      <c r="BN18" s="203"/>
      <c r="BO18" s="204"/>
      <c r="BP18" s="205"/>
      <c r="BQ18" s="90" t="str">
        <f t="shared" si="0"/>
        <v>5C.1</v>
      </c>
      <c r="BR18" s="71" t="b">
        <f t="shared" si="2"/>
        <v>0</v>
      </c>
    </row>
    <row r="19" spans="1:70" ht="20.100000000000001" customHeight="1">
      <c r="A19" s="71" t="b">
        <f t="shared" si="1"/>
        <v>0</v>
      </c>
      <c r="B19" s="9" t="s">
        <v>137</v>
      </c>
      <c r="C19" s="12"/>
      <c r="D19" s="8"/>
      <c r="E19" s="8"/>
      <c r="F19" s="8"/>
      <c r="G19" s="8"/>
      <c r="H19" s="13"/>
      <c r="I19" s="12"/>
      <c r="J19" s="8"/>
      <c r="K19" s="8"/>
      <c r="L19" s="8"/>
      <c r="M19" s="8"/>
      <c r="N19" s="13"/>
      <c r="O19" s="12"/>
      <c r="P19" s="8"/>
      <c r="Q19" s="8"/>
      <c r="R19" s="8"/>
      <c r="S19" s="8"/>
      <c r="T19" s="13"/>
      <c r="U19" s="12"/>
      <c r="V19" s="8"/>
      <c r="W19" s="8"/>
      <c r="X19" s="8"/>
      <c r="Y19" s="8"/>
      <c r="Z19" s="13"/>
      <c r="AA19" s="12"/>
      <c r="AB19" s="8"/>
      <c r="AC19" s="8"/>
      <c r="AD19" s="8"/>
      <c r="AE19" s="8"/>
      <c r="AF19" s="211"/>
      <c r="AG19" s="12"/>
      <c r="AH19" s="8"/>
      <c r="AI19" s="8"/>
      <c r="AJ19" s="8"/>
      <c r="AK19" s="8"/>
      <c r="AL19" s="13"/>
      <c r="AM19" s="12"/>
      <c r="AN19" s="8"/>
      <c r="AO19" s="8"/>
      <c r="AP19" s="8"/>
      <c r="AQ19" s="8"/>
      <c r="AR19" s="211"/>
      <c r="AS19" s="116"/>
      <c r="AT19" s="117"/>
      <c r="AU19" s="112"/>
      <c r="AV19" s="203"/>
      <c r="AW19" s="204"/>
      <c r="AX19" s="205"/>
      <c r="AY19" s="212"/>
      <c r="AZ19" s="204"/>
      <c r="BA19" s="205"/>
      <c r="BB19" s="215"/>
      <c r="BC19" s="204"/>
      <c r="BD19" s="205"/>
      <c r="BE19" s="203"/>
      <c r="BF19" s="204"/>
      <c r="BG19" s="205"/>
      <c r="BH19" s="203"/>
      <c r="BI19" s="204"/>
      <c r="BJ19" s="205"/>
      <c r="BK19" s="203"/>
      <c r="BL19" s="204"/>
      <c r="BM19" s="205"/>
      <c r="BN19" s="203"/>
      <c r="BO19" s="204"/>
      <c r="BP19" s="205"/>
      <c r="BQ19" s="90" t="str">
        <f t="shared" si="0"/>
        <v>5C.2</v>
      </c>
      <c r="BR19" s="71" t="b">
        <f t="shared" si="2"/>
        <v>0</v>
      </c>
    </row>
    <row r="20" spans="1:70" ht="20.100000000000001" customHeight="1">
      <c r="A20" s="71" t="b">
        <f t="shared" si="1"/>
        <v>0</v>
      </c>
      <c r="B20" s="9" t="s">
        <v>138</v>
      </c>
      <c r="C20" s="12"/>
      <c r="D20" s="8"/>
      <c r="E20" s="8"/>
      <c r="F20" s="8"/>
      <c r="G20" s="8"/>
      <c r="H20" s="13"/>
      <c r="I20" s="12"/>
      <c r="J20" s="8"/>
      <c r="K20" s="8"/>
      <c r="L20" s="8"/>
      <c r="M20" s="8"/>
      <c r="N20" s="13"/>
      <c r="O20" s="12"/>
      <c r="P20" s="8"/>
      <c r="Q20" s="8"/>
      <c r="R20" s="8"/>
      <c r="S20" s="8"/>
      <c r="T20" s="13"/>
      <c r="U20" s="12"/>
      <c r="V20" s="8"/>
      <c r="W20" s="8"/>
      <c r="X20" s="8"/>
      <c r="Y20" s="8"/>
      <c r="Z20" s="13"/>
      <c r="AA20" s="12"/>
      <c r="AB20" s="8"/>
      <c r="AC20" s="8"/>
      <c r="AD20" s="8"/>
      <c r="AE20" s="8"/>
      <c r="AF20" s="211"/>
      <c r="AG20" s="12"/>
      <c r="AH20" s="8"/>
      <c r="AI20" s="8"/>
      <c r="AJ20" s="8"/>
      <c r="AK20" s="8"/>
      <c r="AL20" s="13"/>
      <c r="AM20" s="12"/>
      <c r="AN20" s="8"/>
      <c r="AO20" s="8"/>
      <c r="AP20" s="8"/>
      <c r="AQ20" s="8"/>
      <c r="AR20" s="211"/>
      <c r="AS20" s="116"/>
      <c r="AT20" s="117"/>
      <c r="AU20" s="112"/>
      <c r="AV20" s="203"/>
      <c r="AW20" s="204"/>
      <c r="AX20" s="205"/>
      <c r="AY20" s="203"/>
      <c r="AZ20" s="204"/>
      <c r="BA20" s="205"/>
      <c r="BB20" s="203"/>
      <c r="BC20" s="204"/>
      <c r="BD20" s="205"/>
      <c r="BE20" s="203"/>
      <c r="BF20" s="204"/>
      <c r="BG20" s="205"/>
      <c r="BH20" s="215"/>
      <c r="BI20" s="204"/>
      <c r="BJ20" s="205"/>
      <c r="BK20" s="215"/>
      <c r="BL20" s="204"/>
      <c r="BM20" s="205"/>
      <c r="BN20" s="203"/>
      <c r="BO20" s="204"/>
      <c r="BP20" s="205"/>
      <c r="BQ20" s="90" t="str">
        <f t="shared" si="0"/>
        <v>5C.3</v>
      </c>
      <c r="BR20" s="71" t="b">
        <f t="shared" si="2"/>
        <v>0</v>
      </c>
    </row>
    <row r="21" spans="1:70" ht="20.100000000000001" customHeight="1">
      <c r="A21" s="71" t="b">
        <f t="shared" si="1"/>
        <v>0</v>
      </c>
      <c r="B21" s="9" t="s">
        <v>139</v>
      </c>
      <c r="C21" s="12"/>
      <c r="D21" s="8"/>
      <c r="E21" s="8"/>
      <c r="F21" s="8"/>
      <c r="G21" s="8"/>
      <c r="H21" s="13"/>
      <c r="I21" s="12"/>
      <c r="J21" s="8"/>
      <c r="K21" s="8"/>
      <c r="L21" s="8"/>
      <c r="M21" s="8"/>
      <c r="N21" s="13"/>
      <c r="O21" s="12"/>
      <c r="P21" s="8"/>
      <c r="Q21" s="8"/>
      <c r="R21" s="8"/>
      <c r="S21" s="8"/>
      <c r="T21" s="13"/>
      <c r="U21" s="12"/>
      <c r="V21" s="8"/>
      <c r="W21" s="8"/>
      <c r="X21" s="8"/>
      <c r="Y21" s="8"/>
      <c r="Z21" s="13"/>
      <c r="AA21" s="12"/>
      <c r="AB21" s="8"/>
      <c r="AC21" s="8"/>
      <c r="AD21" s="8"/>
      <c r="AE21" s="8"/>
      <c r="AF21" s="211"/>
      <c r="AG21" s="12"/>
      <c r="AH21" s="8"/>
      <c r="AI21" s="8"/>
      <c r="AJ21" s="8"/>
      <c r="AK21" s="8"/>
      <c r="AL21" s="13"/>
      <c r="AM21" s="12"/>
      <c r="AN21" s="8"/>
      <c r="AO21" s="8"/>
      <c r="AP21" s="8"/>
      <c r="AQ21" s="8"/>
      <c r="AR21" s="211"/>
      <c r="AS21" s="116"/>
      <c r="AT21" s="117"/>
      <c r="AU21" s="112"/>
      <c r="AV21" s="203"/>
      <c r="AW21" s="204"/>
      <c r="AX21" s="205"/>
      <c r="AY21" s="203"/>
      <c r="AZ21" s="204"/>
      <c r="BA21" s="205"/>
      <c r="BB21" s="203"/>
      <c r="BC21" s="204"/>
      <c r="BD21" s="205"/>
      <c r="BE21" s="203"/>
      <c r="BF21" s="204"/>
      <c r="BG21" s="205"/>
      <c r="BH21" s="215"/>
      <c r="BI21" s="204"/>
      <c r="BJ21" s="205"/>
      <c r="BK21" s="212"/>
      <c r="BL21" s="204"/>
      <c r="BM21" s="205"/>
      <c r="BN21" s="203"/>
      <c r="BO21" s="204"/>
      <c r="BP21" s="205"/>
      <c r="BQ21" s="90" t="str">
        <f t="shared" si="0"/>
        <v>5C.3</v>
      </c>
      <c r="BR21" s="71" t="b">
        <f t="shared" si="2"/>
        <v>0</v>
      </c>
    </row>
    <row r="22" spans="1:70" ht="20.100000000000001" customHeight="1">
      <c r="A22" s="71" t="b">
        <f t="shared" si="1"/>
        <v>0</v>
      </c>
      <c r="B22" s="9" t="s">
        <v>140</v>
      </c>
      <c r="C22" s="12"/>
      <c r="D22" s="8"/>
      <c r="E22" s="8"/>
      <c r="F22" s="8"/>
      <c r="G22" s="8"/>
      <c r="H22" s="13"/>
      <c r="I22" s="12"/>
      <c r="J22" s="8"/>
      <c r="K22" s="8"/>
      <c r="L22" s="8"/>
      <c r="M22" s="8"/>
      <c r="N22" s="13"/>
      <c r="O22" s="12"/>
      <c r="P22" s="8"/>
      <c r="Q22" s="8"/>
      <c r="R22" s="8"/>
      <c r="S22" s="8"/>
      <c r="T22" s="13"/>
      <c r="U22" s="12"/>
      <c r="V22" s="8"/>
      <c r="W22" s="8"/>
      <c r="X22" s="8"/>
      <c r="Y22" s="8"/>
      <c r="Z22" s="13"/>
      <c r="AA22" s="12"/>
      <c r="AB22" s="8"/>
      <c r="AC22" s="8"/>
      <c r="AD22" s="8"/>
      <c r="AE22" s="8"/>
      <c r="AF22" s="211"/>
      <c r="AG22" s="12"/>
      <c r="AH22" s="8"/>
      <c r="AI22" s="8"/>
      <c r="AJ22" s="8"/>
      <c r="AK22" s="8"/>
      <c r="AL22" s="13"/>
      <c r="AM22" s="12"/>
      <c r="AN22" s="8"/>
      <c r="AO22" s="8"/>
      <c r="AP22" s="8"/>
      <c r="AQ22" s="8"/>
      <c r="AR22" s="211"/>
      <c r="AS22" s="116"/>
      <c r="AT22" s="117"/>
      <c r="AU22" s="112"/>
      <c r="AV22" s="203"/>
      <c r="AW22" s="204"/>
      <c r="AX22" s="205"/>
      <c r="AY22" s="203"/>
      <c r="AZ22" s="204"/>
      <c r="BA22" s="205"/>
      <c r="BB22" s="203"/>
      <c r="BC22" s="204"/>
      <c r="BD22" s="205"/>
      <c r="BE22" s="203"/>
      <c r="BF22" s="204"/>
      <c r="BG22" s="205"/>
      <c r="BH22" s="215"/>
      <c r="BI22" s="204"/>
      <c r="BJ22" s="205"/>
      <c r="BK22" s="212"/>
      <c r="BL22" s="204"/>
      <c r="BM22" s="205"/>
      <c r="BN22" s="203"/>
      <c r="BO22" s="204"/>
      <c r="BP22" s="205"/>
      <c r="BQ22" s="90" t="str">
        <f t="shared" si="0"/>
        <v>5C.3</v>
      </c>
      <c r="BR22" s="71" t="b">
        <f t="shared" si="2"/>
        <v>0</v>
      </c>
    </row>
    <row r="23" spans="1:70" ht="20.100000000000001" customHeight="1">
      <c r="A23" s="71" t="b">
        <f t="shared" si="1"/>
        <v>0</v>
      </c>
      <c r="B23" s="9" t="s">
        <v>141</v>
      </c>
      <c r="C23" s="12"/>
      <c r="D23" s="8"/>
      <c r="E23" s="8"/>
      <c r="F23" s="8"/>
      <c r="G23" s="8"/>
      <c r="H23" s="13"/>
      <c r="I23" s="12"/>
      <c r="J23" s="8"/>
      <c r="K23" s="8"/>
      <c r="L23" s="8"/>
      <c r="M23" s="8"/>
      <c r="N23" s="13"/>
      <c r="O23" s="12"/>
      <c r="P23" s="8"/>
      <c r="Q23" s="8"/>
      <c r="R23" s="8"/>
      <c r="S23" s="8"/>
      <c r="T23" s="13"/>
      <c r="U23" s="12"/>
      <c r="V23" s="8"/>
      <c r="W23" s="8"/>
      <c r="X23" s="8"/>
      <c r="Y23" s="8"/>
      <c r="Z23" s="13"/>
      <c r="AA23" s="12"/>
      <c r="AB23" s="8"/>
      <c r="AC23" s="8"/>
      <c r="AD23" s="8"/>
      <c r="AE23" s="8"/>
      <c r="AF23" s="211"/>
      <c r="AG23" s="12"/>
      <c r="AH23" s="8"/>
      <c r="AI23" s="8"/>
      <c r="AJ23" s="8"/>
      <c r="AK23" s="8"/>
      <c r="AL23" s="13"/>
      <c r="AM23" s="12"/>
      <c r="AN23" s="8"/>
      <c r="AO23" s="8"/>
      <c r="AP23" s="8"/>
      <c r="AQ23" s="8"/>
      <c r="AR23" s="211"/>
      <c r="AS23" s="116"/>
      <c r="AT23" s="117"/>
      <c r="AU23" s="112"/>
      <c r="AV23" s="203"/>
      <c r="AW23" s="204"/>
      <c r="AX23" s="205"/>
      <c r="AY23" s="203"/>
      <c r="AZ23" s="204"/>
      <c r="BA23" s="205"/>
      <c r="BB23" s="203"/>
      <c r="BC23" s="204"/>
      <c r="BD23" s="205"/>
      <c r="BE23" s="203"/>
      <c r="BF23" s="204"/>
      <c r="BG23" s="205"/>
      <c r="BH23" s="215"/>
      <c r="BI23" s="214"/>
      <c r="BJ23" s="205"/>
      <c r="BK23" s="212"/>
      <c r="BL23" s="214"/>
      <c r="BM23" s="205"/>
      <c r="BN23" s="203"/>
      <c r="BO23" s="204"/>
      <c r="BP23" s="205"/>
      <c r="BQ23" s="90" t="str">
        <f t="shared" si="0"/>
        <v>5C.3</v>
      </c>
      <c r="BR23" s="71" t="b">
        <f t="shared" si="2"/>
        <v>0</v>
      </c>
    </row>
    <row r="24" spans="1:70" ht="20.100000000000001" customHeight="1">
      <c r="A24" s="71" t="b">
        <f t="shared" si="1"/>
        <v>0</v>
      </c>
      <c r="B24" s="9" t="s">
        <v>142</v>
      </c>
      <c r="C24" s="12"/>
      <c r="D24" s="8"/>
      <c r="E24" s="8"/>
      <c r="F24" s="8"/>
      <c r="G24" s="8"/>
      <c r="H24" s="13"/>
      <c r="I24" s="12"/>
      <c r="J24" s="8"/>
      <c r="K24" s="8"/>
      <c r="L24" s="8"/>
      <c r="M24" s="8"/>
      <c r="N24" s="13"/>
      <c r="O24" s="12"/>
      <c r="P24" s="8"/>
      <c r="Q24" s="8"/>
      <c r="R24" s="8"/>
      <c r="S24" s="8"/>
      <c r="T24" s="13"/>
      <c r="U24" s="12"/>
      <c r="V24" s="8"/>
      <c r="W24" s="8"/>
      <c r="X24" s="8"/>
      <c r="Y24" s="8"/>
      <c r="Z24" s="13"/>
      <c r="AA24" s="12"/>
      <c r="AB24" s="8"/>
      <c r="AC24" s="8"/>
      <c r="AD24" s="8"/>
      <c r="AE24" s="8"/>
      <c r="AF24" s="211"/>
      <c r="AG24" s="12"/>
      <c r="AH24" s="8"/>
      <c r="AI24" s="8"/>
      <c r="AJ24" s="8"/>
      <c r="AK24" s="8"/>
      <c r="AL24" s="13"/>
      <c r="AM24" s="12"/>
      <c r="AN24" s="8"/>
      <c r="AO24" s="8"/>
      <c r="AP24" s="8"/>
      <c r="AQ24" s="8"/>
      <c r="AR24" s="211"/>
      <c r="AS24" s="116"/>
      <c r="AT24" s="117"/>
      <c r="AU24" s="112"/>
      <c r="AV24" s="203"/>
      <c r="AW24" s="204"/>
      <c r="AX24" s="205"/>
      <c r="AY24" s="203"/>
      <c r="AZ24" s="204"/>
      <c r="BA24" s="205"/>
      <c r="BB24" s="203"/>
      <c r="BC24" s="204"/>
      <c r="BD24" s="205"/>
      <c r="BE24" s="203"/>
      <c r="BF24" s="204"/>
      <c r="BG24" s="205"/>
      <c r="BH24" s="215"/>
      <c r="BI24" s="204"/>
      <c r="BJ24" s="205"/>
      <c r="BK24" s="212"/>
      <c r="BL24" s="204"/>
      <c r="BM24" s="205"/>
      <c r="BN24" s="203"/>
      <c r="BO24" s="204"/>
      <c r="BP24" s="205"/>
      <c r="BQ24" s="90" t="str">
        <f t="shared" si="0"/>
        <v>10B.1</v>
      </c>
      <c r="BR24" s="71" t="b">
        <f t="shared" si="2"/>
        <v>0</v>
      </c>
    </row>
    <row r="25" spans="1:70" ht="20.100000000000001" customHeight="1">
      <c r="A25" s="71" t="b">
        <f t="shared" si="1"/>
        <v>0</v>
      </c>
      <c r="B25" s="9" t="s">
        <v>143</v>
      </c>
      <c r="C25" s="12"/>
      <c r="D25" s="8"/>
      <c r="E25" s="8"/>
      <c r="F25" s="8"/>
      <c r="G25" s="8"/>
      <c r="H25" s="13"/>
      <c r="I25" s="12"/>
      <c r="J25" s="8"/>
      <c r="K25" s="8"/>
      <c r="L25" s="8"/>
      <c r="M25" s="8"/>
      <c r="N25" s="13"/>
      <c r="O25" s="12"/>
      <c r="P25" s="8"/>
      <c r="Q25" s="8"/>
      <c r="R25" s="8"/>
      <c r="S25" s="8"/>
      <c r="T25" s="13"/>
      <c r="U25" s="12"/>
      <c r="V25" s="8"/>
      <c r="W25" s="8"/>
      <c r="X25" s="8"/>
      <c r="Y25" s="8"/>
      <c r="Z25" s="13"/>
      <c r="AA25" s="12"/>
      <c r="AB25" s="8"/>
      <c r="AC25" s="8"/>
      <c r="AD25" s="8"/>
      <c r="AE25" s="8"/>
      <c r="AF25" s="211"/>
      <c r="AG25" s="12"/>
      <c r="AH25" s="8"/>
      <c r="AI25" s="8"/>
      <c r="AJ25" s="8"/>
      <c r="AK25" s="8"/>
      <c r="AL25" s="13"/>
      <c r="AM25" s="12"/>
      <c r="AN25" s="8"/>
      <c r="AO25" s="8"/>
      <c r="AP25" s="8"/>
      <c r="AQ25" s="8"/>
      <c r="AR25" s="211"/>
      <c r="AS25" s="116"/>
      <c r="AT25" s="117"/>
      <c r="AU25" s="112"/>
      <c r="AV25" s="203"/>
      <c r="AW25" s="204"/>
      <c r="AX25" s="205"/>
      <c r="AY25" s="203"/>
      <c r="AZ25" s="204"/>
      <c r="BA25" s="205"/>
      <c r="BB25" s="203"/>
      <c r="BC25" s="204"/>
      <c r="BD25" s="205"/>
      <c r="BE25" s="203"/>
      <c r="BF25" s="204"/>
      <c r="BG25" s="205"/>
      <c r="BH25" s="215"/>
      <c r="BI25" s="204"/>
      <c r="BJ25" s="205"/>
      <c r="BK25" s="212"/>
      <c r="BL25" s="204"/>
      <c r="BM25" s="205"/>
      <c r="BN25" s="203"/>
      <c r="BO25" s="204"/>
      <c r="BP25" s="205"/>
      <c r="BQ25" s="90" t="str">
        <f t="shared" si="0"/>
        <v>10B.1</v>
      </c>
      <c r="BR25" s="71" t="b">
        <f t="shared" si="2"/>
        <v>0</v>
      </c>
    </row>
    <row r="26" spans="1:70" ht="20.100000000000001" customHeight="1">
      <c r="A26" s="71" t="b">
        <f t="shared" si="1"/>
        <v>0</v>
      </c>
      <c r="B26" s="9" t="s">
        <v>144</v>
      </c>
      <c r="C26" s="12"/>
      <c r="D26" s="8"/>
      <c r="E26" s="8"/>
      <c r="F26" s="8"/>
      <c r="G26" s="8"/>
      <c r="H26" s="13"/>
      <c r="I26" s="12"/>
      <c r="J26" s="8"/>
      <c r="K26" s="8"/>
      <c r="L26" s="8"/>
      <c r="M26" s="8"/>
      <c r="N26" s="13"/>
      <c r="O26" s="12"/>
      <c r="P26" s="8"/>
      <c r="Q26" s="8"/>
      <c r="R26" s="8"/>
      <c r="S26" s="8"/>
      <c r="T26" s="13"/>
      <c r="U26" s="12"/>
      <c r="V26" s="8"/>
      <c r="W26" s="8"/>
      <c r="X26" s="8"/>
      <c r="Y26" s="8"/>
      <c r="Z26" s="13"/>
      <c r="AA26" s="12"/>
      <c r="AB26" s="8"/>
      <c r="AC26" s="8"/>
      <c r="AD26" s="8"/>
      <c r="AE26" s="8"/>
      <c r="AF26" s="211"/>
      <c r="AG26" s="12"/>
      <c r="AH26" s="8"/>
      <c r="AI26" s="8"/>
      <c r="AJ26" s="8"/>
      <c r="AK26" s="8"/>
      <c r="AL26" s="13"/>
      <c r="AM26" s="12"/>
      <c r="AN26" s="8"/>
      <c r="AO26" s="8"/>
      <c r="AP26" s="8"/>
      <c r="AQ26" s="8"/>
      <c r="AR26" s="211"/>
      <c r="AS26" s="116"/>
      <c r="AT26" s="117"/>
      <c r="AU26" s="112"/>
      <c r="AV26" s="203"/>
      <c r="AW26" s="204"/>
      <c r="AX26" s="205"/>
      <c r="AY26" s="203"/>
      <c r="AZ26" s="204"/>
      <c r="BA26" s="205"/>
      <c r="BB26" s="203"/>
      <c r="BC26" s="204"/>
      <c r="BD26" s="205"/>
      <c r="BE26" s="203"/>
      <c r="BF26" s="204"/>
      <c r="BG26" s="205"/>
      <c r="BH26" s="215"/>
      <c r="BI26" s="204"/>
      <c r="BJ26" s="205"/>
      <c r="BK26" s="212"/>
      <c r="BL26" s="204"/>
      <c r="BM26" s="205"/>
      <c r="BN26" s="203"/>
      <c r="BO26" s="204"/>
      <c r="BP26" s="205"/>
      <c r="BQ26" s="90" t="str">
        <f t="shared" si="0"/>
        <v>10B.1</v>
      </c>
      <c r="BR26" s="71" t="b">
        <f t="shared" si="2"/>
        <v>0</v>
      </c>
    </row>
    <row r="27" spans="1:70" ht="20.100000000000001" customHeight="1">
      <c r="A27" s="71" t="b">
        <f t="shared" si="1"/>
        <v>0</v>
      </c>
      <c r="B27" s="9" t="s">
        <v>147</v>
      </c>
      <c r="C27" s="12"/>
      <c r="D27" s="8"/>
      <c r="E27" s="8"/>
      <c r="F27" s="8"/>
      <c r="G27" s="8"/>
      <c r="H27" s="13"/>
      <c r="I27" s="12"/>
      <c r="J27" s="8"/>
      <c r="K27" s="8"/>
      <c r="L27" s="8"/>
      <c r="M27" s="8"/>
      <c r="N27" s="13"/>
      <c r="O27" s="12"/>
      <c r="P27" s="8"/>
      <c r="Q27" s="8"/>
      <c r="R27" s="8"/>
      <c r="S27" s="8"/>
      <c r="T27" s="13"/>
      <c r="U27" s="12"/>
      <c r="V27" s="8"/>
      <c r="W27" s="8"/>
      <c r="X27" s="8"/>
      <c r="Y27" s="8"/>
      <c r="Z27" s="13"/>
      <c r="AA27" s="8"/>
      <c r="AB27" s="8"/>
      <c r="AC27" s="8"/>
      <c r="AD27" s="8"/>
      <c r="AE27" s="8"/>
      <c r="AF27" s="211"/>
      <c r="AG27" s="12"/>
      <c r="AH27" s="8"/>
      <c r="AI27" s="8"/>
      <c r="AJ27" s="8"/>
      <c r="AK27" s="8"/>
      <c r="AL27" s="13"/>
      <c r="AM27" s="12"/>
      <c r="AN27" s="8"/>
      <c r="AO27" s="8"/>
      <c r="AP27" s="8"/>
      <c r="AQ27" s="8"/>
      <c r="AR27" s="211"/>
      <c r="AS27" s="116"/>
      <c r="AT27" s="117"/>
      <c r="AU27" s="112"/>
      <c r="AV27" s="203"/>
      <c r="AW27" s="204"/>
      <c r="AX27" s="205"/>
      <c r="AY27" s="203"/>
      <c r="AZ27" s="204"/>
      <c r="BA27" s="205"/>
      <c r="BB27" s="203"/>
      <c r="BC27" s="204"/>
      <c r="BD27" s="205"/>
      <c r="BE27" s="203"/>
      <c r="BF27" s="204"/>
      <c r="BG27" s="205"/>
      <c r="BH27" s="215"/>
      <c r="BI27" s="204"/>
      <c r="BJ27" s="205"/>
      <c r="BK27" s="212"/>
      <c r="BL27" s="204"/>
      <c r="BM27" s="205"/>
      <c r="BN27" s="203"/>
      <c r="BO27" s="204"/>
      <c r="BP27" s="205"/>
      <c r="BQ27" s="90" t="str">
        <f t="shared" si="0"/>
        <v>10B.1</v>
      </c>
      <c r="BR27" s="71" t="b">
        <f t="shared" si="2"/>
        <v>0</v>
      </c>
    </row>
    <row r="28" spans="1:70" ht="20.100000000000001" customHeight="1">
      <c r="A28" s="71" t="b">
        <f t="shared" si="1"/>
        <v>0</v>
      </c>
      <c r="B28" s="9" t="s">
        <v>148</v>
      </c>
      <c r="C28" s="12"/>
      <c r="D28" s="8"/>
      <c r="E28" s="8"/>
      <c r="F28" s="8"/>
      <c r="G28" s="8"/>
      <c r="H28" s="13"/>
      <c r="I28" s="12"/>
      <c r="J28" s="8"/>
      <c r="K28" s="8"/>
      <c r="L28" s="8"/>
      <c r="M28" s="8"/>
      <c r="N28" s="13"/>
      <c r="O28" s="12"/>
      <c r="P28" s="8"/>
      <c r="Q28" s="8"/>
      <c r="R28" s="8"/>
      <c r="S28" s="8"/>
      <c r="T28" s="13"/>
      <c r="U28" s="12"/>
      <c r="V28" s="8"/>
      <c r="W28" s="8"/>
      <c r="X28" s="8"/>
      <c r="Y28" s="8"/>
      <c r="Z28" s="13"/>
      <c r="AA28" s="8"/>
      <c r="AB28" s="8"/>
      <c r="AC28" s="8"/>
      <c r="AD28" s="8"/>
      <c r="AE28" s="8"/>
      <c r="AF28" s="211"/>
      <c r="AG28" s="12"/>
      <c r="AH28" s="8"/>
      <c r="AI28" s="8"/>
      <c r="AJ28" s="8"/>
      <c r="AK28" s="8"/>
      <c r="AL28" s="13"/>
      <c r="AM28" s="12"/>
      <c r="AN28" s="8"/>
      <c r="AO28" s="8"/>
      <c r="AP28" s="8"/>
      <c r="AQ28" s="8"/>
      <c r="AR28" s="211"/>
      <c r="AS28" s="116"/>
      <c r="AT28" s="117"/>
      <c r="AU28" s="112"/>
      <c r="AV28" s="203"/>
      <c r="AW28" s="204"/>
      <c r="AX28" s="205"/>
      <c r="AY28" s="203"/>
      <c r="AZ28" s="204"/>
      <c r="BA28" s="205"/>
      <c r="BB28" s="203"/>
      <c r="BC28" s="204"/>
      <c r="BD28" s="205"/>
      <c r="BE28" s="203"/>
      <c r="BF28" s="204"/>
      <c r="BG28" s="205"/>
      <c r="BH28" s="215"/>
      <c r="BI28" s="204"/>
      <c r="BJ28" s="205"/>
      <c r="BK28" s="212"/>
      <c r="BL28" s="204"/>
      <c r="BM28" s="205"/>
      <c r="BN28" s="203"/>
      <c r="BO28" s="204"/>
      <c r="BP28" s="205"/>
      <c r="BQ28" s="90" t="str">
        <f t="shared" si="0"/>
        <v>11B.1</v>
      </c>
      <c r="BR28" s="71" t="b">
        <f t="shared" si="2"/>
        <v>0</v>
      </c>
    </row>
    <row r="29" spans="1:70" ht="20.100000000000001" customHeight="1">
      <c r="A29" s="71" t="b">
        <f t="shared" si="1"/>
        <v>0</v>
      </c>
      <c r="B29" s="9" t="s">
        <v>157</v>
      </c>
      <c r="C29" s="12"/>
      <c r="D29" s="8"/>
      <c r="E29" s="8"/>
      <c r="F29" s="8"/>
      <c r="G29" s="8"/>
      <c r="H29" s="13"/>
      <c r="I29" s="12"/>
      <c r="J29" s="8"/>
      <c r="K29" s="8"/>
      <c r="L29" s="8"/>
      <c r="M29" s="8"/>
      <c r="N29" s="13"/>
      <c r="O29" s="12"/>
      <c r="P29" s="8"/>
      <c r="Q29" s="8"/>
      <c r="R29" s="8"/>
      <c r="S29" s="8"/>
      <c r="T29" s="13"/>
      <c r="U29" s="12"/>
      <c r="V29" s="8"/>
      <c r="W29" s="8"/>
      <c r="X29" s="8"/>
      <c r="Y29" s="8"/>
      <c r="Z29" s="13"/>
      <c r="AA29" s="12"/>
      <c r="AB29" s="8"/>
      <c r="AC29" s="8"/>
      <c r="AD29" s="8"/>
      <c r="AE29" s="8"/>
      <c r="AF29" s="211"/>
      <c r="AG29" s="12"/>
      <c r="AH29" s="8"/>
      <c r="AI29" s="8"/>
      <c r="AJ29" s="8"/>
      <c r="AK29" s="8"/>
      <c r="AL29" s="13"/>
      <c r="AM29" s="12"/>
      <c r="AN29" s="8"/>
      <c r="AO29" s="8"/>
      <c r="AP29" s="8"/>
      <c r="AQ29" s="8"/>
      <c r="AR29" s="211"/>
      <c r="AS29" s="116"/>
      <c r="AT29" s="117"/>
      <c r="AU29" s="112"/>
      <c r="AV29" s="203"/>
      <c r="AW29" s="204"/>
      <c r="AX29" s="205"/>
      <c r="AY29" s="203"/>
      <c r="AZ29" s="204"/>
      <c r="BA29" s="205"/>
      <c r="BB29" s="215"/>
      <c r="BC29" s="214"/>
      <c r="BD29" s="205"/>
      <c r="BE29" s="212"/>
      <c r="BF29" s="204"/>
      <c r="BG29" s="205"/>
      <c r="BH29" s="203"/>
      <c r="BI29" s="204"/>
      <c r="BJ29" s="205"/>
      <c r="BK29" s="203"/>
      <c r="BL29" s="204"/>
      <c r="BM29" s="205"/>
      <c r="BN29" s="212"/>
      <c r="BO29" s="214"/>
      <c r="BP29" s="205"/>
      <c r="BQ29" s="90" t="str">
        <f t="shared" si="0"/>
        <v>12.1</v>
      </c>
      <c r="BR29" s="71" t="b">
        <f t="shared" si="2"/>
        <v>0</v>
      </c>
    </row>
    <row r="30" spans="1:70" ht="20.100000000000001" customHeight="1">
      <c r="A30" s="71" t="b">
        <f t="shared" si="1"/>
        <v>0</v>
      </c>
      <c r="B30" s="9" t="s">
        <v>158</v>
      </c>
      <c r="C30" s="12"/>
      <c r="D30" s="8"/>
      <c r="E30" s="8"/>
      <c r="F30" s="8"/>
      <c r="G30" s="8"/>
      <c r="H30" s="13"/>
      <c r="I30" s="12"/>
      <c r="J30" s="8"/>
      <c r="K30" s="8"/>
      <c r="L30" s="8"/>
      <c r="M30" s="8"/>
      <c r="N30" s="13"/>
      <c r="O30" s="12"/>
      <c r="P30" s="8"/>
      <c r="Q30" s="8"/>
      <c r="R30" s="8"/>
      <c r="S30" s="8"/>
      <c r="T30" s="13"/>
      <c r="U30" s="12"/>
      <c r="V30" s="8"/>
      <c r="W30" s="8"/>
      <c r="X30" s="8"/>
      <c r="Y30" s="8"/>
      <c r="Z30" s="13"/>
      <c r="AA30" s="12"/>
      <c r="AB30" s="8"/>
      <c r="AC30" s="8"/>
      <c r="AD30" s="8"/>
      <c r="AE30" s="8"/>
      <c r="AF30" s="211"/>
      <c r="AG30" s="12"/>
      <c r="AH30" s="8"/>
      <c r="AI30" s="8"/>
      <c r="AJ30" s="8"/>
      <c r="AK30" s="8"/>
      <c r="AL30" s="13"/>
      <c r="AM30" s="12"/>
      <c r="AN30" s="8"/>
      <c r="AO30" s="8"/>
      <c r="AP30" s="8"/>
      <c r="AQ30" s="8"/>
      <c r="AR30" s="211"/>
      <c r="AS30" s="116"/>
      <c r="AT30" s="117"/>
      <c r="AU30" s="112"/>
      <c r="AV30" s="203"/>
      <c r="AW30" s="204"/>
      <c r="AX30" s="205"/>
      <c r="AY30" s="203"/>
      <c r="AZ30" s="204"/>
      <c r="BA30" s="205"/>
      <c r="BB30" s="215"/>
      <c r="BC30" s="204"/>
      <c r="BD30" s="205"/>
      <c r="BE30" s="212"/>
      <c r="BF30" s="204"/>
      <c r="BG30" s="205"/>
      <c r="BH30" s="203"/>
      <c r="BI30" s="204"/>
      <c r="BJ30" s="205"/>
      <c r="BK30" s="203"/>
      <c r="BL30" s="204"/>
      <c r="BM30" s="205"/>
      <c r="BN30" s="212"/>
      <c r="BO30" s="204"/>
      <c r="BP30" s="205"/>
      <c r="BQ30" s="90" t="str">
        <f t="shared" si="0"/>
        <v>12.1</v>
      </c>
      <c r="BR30" s="71" t="b">
        <f t="shared" si="2"/>
        <v>0</v>
      </c>
    </row>
    <row r="31" spans="1:70" ht="20.100000000000001" customHeight="1">
      <c r="A31" s="71" t="b">
        <f t="shared" si="1"/>
        <v>0</v>
      </c>
      <c r="B31" s="9" t="s">
        <v>159</v>
      </c>
      <c r="C31" s="12"/>
      <c r="D31" s="8"/>
      <c r="E31" s="8"/>
      <c r="F31" s="8"/>
      <c r="G31" s="8"/>
      <c r="H31" s="13"/>
      <c r="I31" s="12"/>
      <c r="J31" s="8"/>
      <c r="K31" s="8"/>
      <c r="L31" s="8"/>
      <c r="M31" s="8"/>
      <c r="N31" s="13"/>
      <c r="O31" s="12"/>
      <c r="P31" s="8"/>
      <c r="Q31" s="8"/>
      <c r="R31" s="8"/>
      <c r="S31" s="8"/>
      <c r="T31" s="13"/>
      <c r="U31" s="12"/>
      <c r="V31" s="8"/>
      <c r="W31" s="8"/>
      <c r="X31" s="8"/>
      <c r="Y31" s="8"/>
      <c r="Z31" s="13"/>
      <c r="AA31" s="12"/>
      <c r="AB31" s="8"/>
      <c r="AC31" s="8"/>
      <c r="AD31" s="8"/>
      <c r="AE31" s="8"/>
      <c r="AF31" s="211"/>
      <c r="AG31" s="12"/>
      <c r="AH31" s="8"/>
      <c r="AI31" s="8"/>
      <c r="AJ31" s="8"/>
      <c r="AK31" s="8"/>
      <c r="AL31" s="13"/>
      <c r="AM31" s="12"/>
      <c r="AN31" s="8"/>
      <c r="AO31" s="8"/>
      <c r="AP31" s="8"/>
      <c r="AQ31" s="8"/>
      <c r="AR31" s="211"/>
      <c r="AS31" s="116"/>
      <c r="AT31" s="117"/>
      <c r="AU31" s="112"/>
      <c r="AV31" s="215"/>
      <c r="AW31" s="204"/>
      <c r="AX31" s="205"/>
      <c r="AY31" s="203"/>
      <c r="AZ31" s="204"/>
      <c r="BA31" s="205"/>
      <c r="BB31" s="203"/>
      <c r="BC31" s="204"/>
      <c r="BD31" s="205"/>
      <c r="BE31" s="212"/>
      <c r="BF31" s="204"/>
      <c r="BG31" s="205"/>
      <c r="BH31" s="203"/>
      <c r="BI31" s="204"/>
      <c r="BJ31" s="205"/>
      <c r="BK31" s="203"/>
      <c r="BL31" s="204"/>
      <c r="BM31" s="205"/>
      <c r="BN31" s="212"/>
      <c r="BO31" s="204"/>
      <c r="BP31" s="205"/>
      <c r="BQ31" s="90" t="str">
        <f t="shared" si="0"/>
        <v>12.2</v>
      </c>
      <c r="BR31" s="71" t="b">
        <f t="shared" si="2"/>
        <v>0</v>
      </c>
    </row>
    <row r="32" spans="1:70" ht="20.100000000000001" customHeight="1">
      <c r="A32" s="71" t="b">
        <f t="shared" si="1"/>
        <v>0</v>
      </c>
      <c r="B32" s="9" t="s">
        <v>160</v>
      </c>
      <c r="C32" s="12"/>
      <c r="D32" s="8"/>
      <c r="E32" s="8"/>
      <c r="F32" s="8"/>
      <c r="G32" s="8"/>
      <c r="H32" s="13"/>
      <c r="I32" s="12"/>
      <c r="J32" s="8"/>
      <c r="K32" s="8"/>
      <c r="L32" s="8"/>
      <c r="M32" s="8"/>
      <c r="N32" s="13"/>
      <c r="O32" s="12"/>
      <c r="P32" s="8"/>
      <c r="Q32" s="8"/>
      <c r="R32" s="8"/>
      <c r="S32" s="8"/>
      <c r="T32" s="13"/>
      <c r="U32" s="12"/>
      <c r="V32" s="8"/>
      <c r="W32" s="8"/>
      <c r="X32" s="8"/>
      <c r="Y32" s="8"/>
      <c r="Z32" s="13"/>
      <c r="AA32" s="12"/>
      <c r="AB32" s="8"/>
      <c r="AC32" s="8"/>
      <c r="AD32" s="8"/>
      <c r="AE32" s="8"/>
      <c r="AF32" s="211"/>
      <c r="AG32" s="12"/>
      <c r="AH32" s="8"/>
      <c r="AI32" s="8"/>
      <c r="AJ32" s="8"/>
      <c r="AK32" s="8"/>
      <c r="AL32" s="13"/>
      <c r="AM32" s="12"/>
      <c r="AN32" s="8"/>
      <c r="AO32" s="8"/>
      <c r="AP32" s="8"/>
      <c r="AQ32" s="8"/>
      <c r="AR32" s="211"/>
      <c r="AS32" s="116"/>
      <c r="AT32" s="117"/>
      <c r="AU32" s="112"/>
      <c r="AV32" s="215"/>
      <c r="AW32" s="204"/>
      <c r="AX32" s="205"/>
      <c r="AY32" s="203"/>
      <c r="AZ32" s="204"/>
      <c r="BA32" s="205"/>
      <c r="BB32" s="203"/>
      <c r="BC32" s="204"/>
      <c r="BD32" s="205"/>
      <c r="BE32" s="212"/>
      <c r="BF32" s="204"/>
      <c r="BG32" s="205"/>
      <c r="BH32" s="203"/>
      <c r="BI32" s="204"/>
      <c r="BJ32" s="205"/>
      <c r="BK32" s="203"/>
      <c r="BL32" s="204"/>
      <c r="BM32" s="205"/>
      <c r="BN32" s="212"/>
      <c r="BO32" s="204"/>
      <c r="BP32" s="205"/>
      <c r="BQ32" s="90" t="str">
        <f t="shared" si="0"/>
        <v>12.3</v>
      </c>
      <c r="BR32" s="71" t="b">
        <f t="shared" si="2"/>
        <v>0</v>
      </c>
    </row>
    <row r="33" spans="1:70" ht="20.100000000000001" customHeight="1">
      <c r="A33" s="71" t="b">
        <f t="shared" si="1"/>
        <v>0</v>
      </c>
      <c r="B33" s="9" t="s">
        <v>162</v>
      </c>
      <c r="C33" s="12"/>
      <c r="D33" s="8"/>
      <c r="E33" s="8"/>
      <c r="F33" s="8"/>
      <c r="G33" s="8"/>
      <c r="H33" s="13"/>
      <c r="I33" s="12"/>
      <c r="J33" s="8"/>
      <c r="K33" s="8"/>
      <c r="L33" s="8"/>
      <c r="M33" s="8"/>
      <c r="N33" s="13"/>
      <c r="O33" s="12"/>
      <c r="P33" s="8"/>
      <c r="Q33" s="8"/>
      <c r="R33" s="8"/>
      <c r="S33" s="8"/>
      <c r="T33" s="13"/>
      <c r="U33" s="12"/>
      <c r="V33" s="8"/>
      <c r="W33" s="8"/>
      <c r="X33" s="8"/>
      <c r="Y33" s="8"/>
      <c r="Z33" s="13"/>
      <c r="AA33" s="12"/>
      <c r="AB33" s="8"/>
      <c r="AC33" s="8"/>
      <c r="AD33" s="8"/>
      <c r="AE33" s="8"/>
      <c r="AF33" s="211"/>
      <c r="AG33" s="12"/>
      <c r="AH33" s="8"/>
      <c r="AI33" s="8"/>
      <c r="AJ33" s="8"/>
      <c r="AK33" s="8"/>
      <c r="AL33" s="13"/>
      <c r="AM33" s="12"/>
      <c r="AN33" s="8"/>
      <c r="AO33" s="8"/>
      <c r="AP33" s="8"/>
      <c r="AQ33" s="8"/>
      <c r="AR33" s="211"/>
      <c r="AS33" s="116"/>
      <c r="AT33" s="117"/>
      <c r="AU33" s="112"/>
      <c r="AV33" s="215"/>
      <c r="AW33" s="204"/>
      <c r="AX33" s="205"/>
      <c r="AY33" s="203"/>
      <c r="AZ33" s="204"/>
      <c r="BA33" s="205"/>
      <c r="BB33" s="203"/>
      <c r="BC33" s="204"/>
      <c r="BD33" s="205"/>
      <c r="BE33" s="212"/>
      <c r="BF33" s="204"/>
      <c r="BG33" s="205"/>
      <c r="BH33" s="203"/>
      <c r="BI33" s="204"/>
      <c r="BJ33" s="205"/>
      <c r="BK33" s="203"/>
      <c r="BL33" s="204"/>
      <c r="BM33" s="205"/>
      <c r="BN33" s="203"/>
      <c r="BO33" s="204"/>
      <c r="BP33" s="205"/>
      <c r="BQ33" s="90" t="str">
        <f t="shared" si="0"/>
        <v>12.3</v>
      </c>
      <c r="BR33" s="71" t="b">
        <f t="shared" si="2"/>
        <v>0</v>
      </c>
    </row>
    <row r="34" spans="1:70" ht="20.100000000000001" customHeight="1">
      <c r="A34" s="71" t="b">
        <f t="shared" si="1"/>
        <v>0</v>
      </c>
      <c r="B34" s="9" t="s">
        <v>163</v>
      </c>
      <c r="C34" s="12"/>
      <c r="D34" s="8"/>
      <c r="E34" s="8"/>
      <c r="F34" s="8"/>
      <c r="G34" s="8"/>
      <c r="H34" s="13"/>
      <c r="I34" s="12"/>
      <c r="J34" s="8"/>
      <c r="K34" s="8"/>
      <c r="L34" s="8"/>
      <c r="M34" s="8"/>
      <c r="N34" s="13"/>
      <c r="O34" s="12"/>
      <c r="P34" s="8"/>
      <c r="Q34" s="8"/>
      <c r="R34" s="8"/>
      <c r="S34" s="8"/>
      <c r="T34" s="13"/>
      <c r="U34" s="12"/>
      <c r="V34" s="8"/>
      <c r="W34" s="8"/>
      <c r="X34" s="8"/>
      <c r="Y34" s="8"/>
      <c r="Z34" s="13"/>
      <c r="AA34" s="12"/>
      <c r="AB34" s="8"/>
      <c r="AC34" s="8"/>
      <c r="AD34" s="8"/>
      <c r="AE34" s="8"/>
      <c r="AF34" s="211"/>
      <c r="AG34" s="12"/>
      <c r="AH34" s="8"/>
      <c r="AI34" s="8"/>
      <c r="AJ34" s="8"/>
      <c r="AK34" s="8"/>
      <c r="AL34" s="13"/>
      <c r="AM34" s="12"/>
      <c r="AN34" s="8"/>
      <c r="AO34" s="8"/>
      <c r="AP34" s="8"/>
      <c r="AQ34" s="8"/>
      <c r="AR34" s="211"/>
      <c r="AS34" s="116"/>
      <c r="AT34" s="117"/>
      <c r="AU34" s="112"/>
      <c r="AV34" s="215"/>
      <c r="AW34" s="204"/>
      <c r="AX34" s="205"/>
      <c r="AY34" s="203"/>
      <c r="AZ34" s="204"/>
      <c r="BA34" s="205"/>
      <c r="BB34" s="212"/>
      <c r="BC34" s="204"/>
      <c r="BD34" s="205"/>
      <c r="BE34" s="212"/>
      <c r="BF34" s="204"/>
      <c r="BG34" s="205"/>
      <c r="BH34" s="203"/>
      <c r="BI34" s="204"/>
      <c r="BJ34" s="205"/>
      <c r="BK34" s="203"/>
      <c r="BL34" s="204"/>
      <c r="BM34" s="205"/>
      <c r="BN34" s="203"/>
      <c r="BO34" s="204"/>
      <c r="BP34" s="205"/>
      <c r="BQ34" s="90" t="str">
        <f t="shared" si="0"/>
        <v>12.3</v>
      </c>
      <c r="BR34" s="71" t="b">
        <f t="shared" si="2"/>
        <v>0</v>
      </c>
    </row>
    <row r="35" spans="1:70" ht="19.5" customHeight="1">
      <c r="A35" s="25">
        <f>COUNTIF(A7:A34,TRUE)/COUNTA($B$7:$B$34)</f>
        <v>0</v>
      </c>
      <c r="BR35" s="25">
        <f>COUNTIF(BR7:BR34,TRUE)/COUNTA($B$7:$B$34)</f>
        <v>0</v>
      </c>
    </row>
    <row r="36" spans="1:70" ht="19.5" customHeight="1"/>
    <row r="37" spans="1:70" ht="19.5" customHeight="1"/>
    <row r="38" spans="1:70" ht="19.5" customHeight="1"/>
    <row r="39" spans="1:70" ht="19.5" customHeight="1"/>
    <row r="40" spans="1:70" ht="19.5" customHeight="1"/>
    <row r="41" spans="1:70" ht="19.5" customHeight="1"/>
    <row r="42" spans="1:70" ht="19.5" customHeight="1"/>
    <row r="43" spans="1:70" ht="19.5" customHeight="1"/>
    <row r="44" spans="1:70" ht="19.5" customHeight="1"/>
    <row r="45" spans="1:70" ht="19.5" customHeight="1"/>
    <row r="46" spans="1:70" ht="19.5" customHeight="1"/>
    <row r="47" spans="1:70" ht="19.5" customHeight="1"/>
    <row r="48" spans="1:70" ht="19.5" customHeight="1"/>
    <row r="49" spans="4:4" ht="19.5" customHeight="1"/>
    <row r="50" spans="4:4" ht="19.5" customHeight="1"/>
    <row r="51" spans="4:4" ht="19.5" customHeight="1"/>
    <row r="52" spans="4:4" ht="19.5" customHeight="1"/>
    <row r="53" spans="4:4" ht="19.5" customHeight="1">
      <c r="D53" t="e">
        <v>#VALUE!</v>
      </c>
    </row>
    <row r="54" spans="4:4" ht="19.5" customHeight="1"/>
    <row r="55" spans="4:4" ht="19.5" customHeight="1"/>
    <row r="56" spans="4:4" ht="19.5" customHeight="1"/>
    <row r="57" spans="4:4" ht="19.5" customHeight="1"/>
    <row r="58" spans="4:4" ht="19.5" customHeight="1"/>
    <row r="59" spans="4:4" ht="19.5" customHeight="1"/>
    <row r="60" spans="4:4" ht="19.5" customHeight="1"/>
    <row r="61" spans="4:4" ht="19.5" customHeight="1"/>
    <row r="62" spans="4:4" ht="19.5" customHeight="1"/>
    <row r="63" spans="4:4" ht="19.5" customHeight="1"/>
    <row r="64" spans="4: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</sheetData>
  <sheetProtection selectLockedCells="1"/>
  <mergeCells count="15">
    <mergeCell ref="BH5:BJ5"/>
    <mergeCell ref="BK5:BM5"/>
    <mergeCell ref="BN5:BP5"/>
    <mergeCell ref="AM5:AR5"/>
    <mergeCell ref="AS5:AU5"/>
    <mergeCell ref="AV5:AX5"/>
    <mergeCell ref="AY5:BA5"/>
    <mergeCell ref="BB5:BD5"/>
    <mergeCell ref="BE5:BG5"/>
    <mergeCell ref="AG5:AL5"/>
    <mergeCell ref="C5:H5"/>
    <mergeCell ref="I5:N5"/>
    <mergeCell ref="O5:T5"/>
    <mergeCell ref="U5:Z5"/>
    <mergeCell ref="AA5:AF5"/>
  </mergeCells>
  <conditionalFormatting sqref="C7:AR34">
    <cfRule type="expression" dxfId="76" priority="1">
      <formula>C7=$C$1</formula>
    </cfRule>
    <cfRule type="expression" dxfId="75" priority="2">
      <formula>C7=$C$2</formula>
    </cfRule>
    <cfRule type="expression" dxfId="74" priority="3">
      <formula>C7=$C$3</formula>
    </cfRule>
    <cfRule type="expression" dxfId="73" priority="4">
      <formula>C7=$C$4</formula>
    </cfRule>
    <cfRule type="expression" dxfId="72" priority="5">
      <formula>C7=$P$1</formula>
    </cfRule>
    <cfRule type="expression" dxfId="71" priority="6">
      <formula>C7=$P$2</formula>
    </cfRule>
  </conditionalFormatting>
  <dataValidations count="3">
    <dataValidation type="list" allowBlank="1" showInputMessage="1" showErrorMessage="1" sqref="AO7:AR34 W7:Z34 Q7:T34 AI7:AL34 AC7:AF34 E7:H34 K7:N34" xr:uid="{853388C0-9254-4DA3-81EC-3F0918ECB923}">
      <formula1>"A,P,O,X,F"</formula1>
    </dataValidation>
    <dataValidation type="date" allowBlank="1" showInputMessage="1" showErrorMessage="1" sqref="BK20 BE7 BB18:BB19 AV31:AV34 BB29:BB30 BH20:BH28 AS7:AU34 BK8:BK17" xr:uid="{4E272B89-B9AE-45A7-81B6-71CA769C0B87}">
      <formula1>45880</formula1>
      <formula2>73050</formula2>
    </dataValidation>
    <dataValidation type="list" allowBlank="1" showInputMessage="1" showErrorMessage="1" sqref="C7:D1048576 I7:J1048576 O7:P1048576 U7:V1048576 AA7:AB1048576 AG7:AH1048576 AM7:AN1048576" xr:uid="{3E3114CA-BA0E-41B0-920C-184A6BE9D14B}">
      <formula1>"A,P,O,X,R"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D14C-AEC7-45F7-ABD3-9EC635EA3ABB}">
  <sheetPr codeName="Feuil11"/>
  <dimension ref="A1:M185"/>
  <sheetViews>
    <sheetView topLeftCell="K1" workbookViewId="0">
      <pane ySplit="2" topLeftCell="A155" activePane="bottomLeft" state="frozen"/>
      <selection pane="bottomLeft" activeCell="D93" sqref="D93"/>
    </sheetView>
  </sheetViews>
  <sheetFormatPr defaultColWidth="8.5703125" defaultRowHeight="14.45"/>
  <cols>
    <col min="1" max="1" width="10.5703125" bestFit="1" customWidth="1"/>
    <col min="4" max="4" width="39.85546875" customWidth="1"/>
    <col min="5" max="5" width="9.140625" style="25"/>
    <col min="11" max="11" width="103.5703125" customWidth="1"/>
  </cols>
  <sheetData>
    <row r="1" spans="1:10">
      <c r="B1" s="64" t="s">
        <v>202</v>
      </c>
      <c r="F1" s="64" t="s">
        <v>203</v>
      </c>
    </row>
    <row r="2" spans="1:10">
      <c r="A2" t="s">
        <v>28</v>
      </c>
      <c r="B2" s="140" t="s">
        <v>204</v>
      </c>
      <c r="C2" s="140" t="s">
        <v>205</v>
      </c>
      <c r="D2" s="140"/>
      <c r="E2" s="143" t="s">
        <v>206</v>
      </c>
      <c r="F2" s="138" t="s">
        <v>28</v>
      </c>
      <c r="G2" s="138" t="s">
        <v>204</v>
      </c>
      <c r="H2" s="138" t="s">
        <v>205</v>
      </c>
      <c r="I2" s="138"/>
      <c r="J2" s="142" t="s">
        <v>206</v>
      </c>
    </row>
    <row r="3" spans="1:10">
      <c r="A3" s="24" t="s">
        <v>207</v>
      </c>
      <c r="B3">
        <v>2</v>
      </c>
      <c r="C3">
        <f>IFERROR(
 --(INDEX('TH_CMI GRADE 10'!$C$7:$C$49,MATCH(LEFT($A3,LEN($A3)-2),'TH_CMI GRADE 10'!$B$7:$B$49,0))="P")+
 --(INDEX('TH_CMI GRADE 10'!$I$7:$I$49,MATCH(LEFT($A3,LEN($A3)-2),'TH_CMI GRADE 10'!$B$7:$B$49,0))="P")+
 --(INDEX('TH_CMI GRADE 10'!$O$7:$O$49,MATCH(LEFT($A3,LEN($A3)-2),'TH_CMI GRADE 10'!$B$7:$B$49,0))="P")+
 --(INDEX('TH_CMI GRADE 10'!$U$7:$U$49,MATCH(LEFT($A3,LEN($A3)-2),'TH_CMI GRADE 10'!$B$7:$B$49,0))="P")+
 --(INDEX('TH_CMI GRADE 10'!$AA$7:$AA$49,MATCH(LEFT($A3,LEN($A3)-2),'TH_CMI GRADE 10'!$B$7:$B$49,0))="P")+
 --(INDEX('TH_CMI GRADE 10'!$AG$7:$AG$49,MATCH(LEFT($A3,LEN($A3)-2),'TH_CMI GRADE 10'!$B$7:$B$49,0))="P")+
 --(INDEX('TH_CMI GRADE 10'!$AM$7:$AM$49,MATCH(LEFT($A3,LEN($A3)-2),'TH_CMI GRADE 10'!$B$7:$B$49,0))="P"),
0)</f>
        <v>2</v>
      </c>
      <c r="D3" s="24" t="b">
        <f ca="1">IF(IF(_xlfn.XLOOKUP(LEFT($A3,LEN($A3)-2),'TH_CMI GRADE 10'!$B$7:$B$49,'TH_CMI GRADE 10'!$AS$7:$AS$49,"",0,1)=0,"",_xlfn.XLOOKUP(LEFT($A3,LEN($A3)-2),'TH_CMI GRADE 10'!$B$7:$B$49,'TH_CMI GRADE 10'!$AS$7:$AS$49,"",0,1))&lt;=TODAY(),TRUE,FALSE)</f>
        <v>1</v>
      </c>
      <c r="E3" s="25">
        <f ca="1">IFERROR(IF(AND(D3=TRUE(),C3/B3&lt;=1),C3/B3,IF(AND(D3=TRUE(),C3/B3&gt;1),1,"")),0)</f>
        <v>1</v>
      </c>
      <c r="F3" s="24" t="s">
        <v>207</v>
      </c>
      <c r="G3">
        <v>2</v>
      </c>
      <c r="H3">
        <f>IFERROR(
 --(INDEX('PW_CMI GRADE 10'!$C$7:$C$31,MATCH(LEFT($A3,LEN($A3)-2),'PW_CMI GRADE 10'!$B$7:$B$31,0))="P")+
 --(INDEX('PW_CMI GRADE 10'!$I$7:$I$31,MATCH(LEFT($A3,LEN($A3)-2),'PW_CMI GRADE 10'!$B$7:$B$31,0))="P")+
 --(INDEX('PW_CMI GRADE 10'!$O$7:$O$31,MATCH(LEFT($A3,LEN($A3)-2),'PW_CMI GRADE 10'!$B$7:$B$31,0))="P")+
 --(INDEX('PW_CMI GRADE 10'!$U$7:$U$31,MATCH(LEFT($A3,LEN($A3)-2),'PW_CMI GRADE 10'!$B$7:$B$31,0))="P")+
 --(INDEX('PW_CMI GRADE 10'!$AA$7:$AA$31,MATCH(LEFT($A3,LEN($A3)-2),'PW_CMI GRADE 10'!$B$7:$B$31,0))="P")+
 --(INDEX('PW_CMI GRADE 10'!$AG$7:$AG$31,MATCH(LEFT($A3,LEN($A3)-2),'PW_CMI GRADE 10'!$B$7:$B$31,0))="P")+
 --(INDEX('PW_CMI GRADE 10'!$AM$7:$AM$31,MATCH(LEFT($A3,LEN($A3)-2),'PW_CMI GRADE 10'!$B$7:$B$31,0))="P"),
0)</f>
        <v>0</v>
      </c>
      <c r="I3" s="24" t="b">
        <f ca="1">IF(IF(_xlfn.XLOOKUP(LEFT($A3,LEN($A3)-2),'PW_CMI GRADE 10'!$B$7:$B$31,'PW_CMI GRADE 10'!$AS$7:$AS$31,"",0,1)=0,"",_xlfn.XLOOKUP(LEFT($A3,LEN($A3)-2),'PW_CMI GRADE 10'!$B$7:$B$31,'PW_CMI GRADE 10'!$AS$7:$AS$31,"",0,1))&lt;=TODAY(),TRUE,FALSE)</f>
        <v>0</v>
      </c>
      <c r="J3" s="25" t="str">
        <f ca="1">IFERROR(IF(AND(I3=TRUE(),H3/G3&lt;=1),H3/G3,IF(AND(I3=TRUE(),H3/G3&gt;1),1,"")),0)</f>
        <v/>
      </c>
    </row>
    <row r="4" spans="1:10">
      <c r="A4" s="24" t="s">
        <v>208</v>
      </c>
      <c r="B4">
        <v>2</v>
      </c>
      <c r="C4">
        <f>IFERROR(
 --(INDEX('TH_CMI GRADE 10'!$C$7:$C$49,MATCH(LEFT($A4,LEN($A4)-2),'TH_CMI GRADE 10'!$B$7:$B$49,0))="P")+
 --(INDEX('TH_CMI GRADE 10'!$I$7:$I$49,MATCH(LEFT($A4,LEN($A4)-2),'TH_CMI GRADE 10'!$B$7:$B$49,0))="P")+
 --(INDEX('TH_CMI GRADE 10'!$O$7:$O$49,MATCH(LEFT($A4,LEN($A4)-2),'TH_CMI GRADE 10'!$B$7:$B$49,0))="P")+
 --(INDEX('TH_CMI GRADE 10'!$U$7:$U$49,MATCH(LEFT($A4,LEN($A4)-2),'TH_CMI GRADE 10'!$B$7:$B$49,0))="P")+
 --(INDEX('TH_CMI GRADE 10'!$AA$7:$AA$49,MATCH(LEFT($A4,LEN($A4)-2),'TH_CMI GRADE 10'!$B$7:$B$49,0))="P")+
 --(INDEX('TH_CMI GRADE 10'!$AG$7:$AG$49,MATCH(LEFT($A4,LEN($A4)-2),'TH_CMI GRADE 10'!$B$7:$B$49,0))="P")+
 --(INDEX('TH_CMI GRADE 10'!$AM$7:$AM$49,MATCH(LEFT($A4,LEN($A4)-2),'TH_CMI GRADE 10'!$B$7:$B$49,0))="P"),
0)</f>
        <v>2</v>
      </c>
      <c r="D4" s="24" t="b">
        <f ca="1">IF(IF(_xlfn.XLOOKUP(LEFT(A4,LEN(A4)-2),'TH_CMI GRADE 10'!$B$7:$B$49,'TH_CMI GRADE 10'!$AS$7:$AS$49,"",0,1)=0,"",_xlfn.XLOOKUP(LEFT(A4,LEN(A4)-2),'TH_CMI GRADE 10'!$B$7:$B$49,'TH_CMI GRADE 10'!$AS$7:$AS$49,"",0,1))&lt;=TODAY(),TRUE,FALSE)</f>
        <v>1</v>
      </c>
      <c r="E4" s="25">
        <f t="shared" ref="E4:E67" ca="1" si="0">IFERROR(IF(AND(D4=TRUE(),C4/B4&lt;=1),C4/B4,IF(AND(D4=TRUE(),C4/B4&gt;1),1,"")),0)</f>
        <v>1</v>
      </c>
      <c r="F4" s="24" t="s">
        <v>208</v>
      </c>
      <c r="G4">
        <v>2</v>
      </c>
      <c r="H4">
        <f>IFERROR(
 --(INDEX('PW_CMI GRADE 10'!$C$7:$C$31,MATCH(LEFT($A4,LEN($A4)-2),'PW_CMI GRADE 10'!$B$7:$B$31,0))="P")+
 --(INDEX('PW_CMI GRADE 10'!$I$7:$I$31,MATCH(LEFT($A4,LEN($A4)-2),'PW_CMI GRADE 10'!$B$7:$B$31,0))="P")+
 --(INDEX('PW_CMI GRADE 10'!$O$7:$O$31,MATCH(LEFT($A4,LEN($A4)-2),'PW_CMI GRADE 10'!$B$7:$B$31,0))="P")+
 --(INDEX('PW_CMI GRADE 10'!$U$7:$U$31,MATCH(LEFT($A4,LEN($A4)-2),'PW_CMI GRADE 10'!$B$7:$B$31,0))="P")+
 --(INDEX('PW_CMI GRADE 10'!$AA$7:$AA$31,MATCH(LEFT($A4,LEN($A4)-2),'PW_CMI GRADE 10'!$B$7:$B$31,0))="P")+
 --(INDEX('PW_CMI GRADE 10'!$AG$7:$AG$31,MATCH(LEFT($A4,LEN($A4)-2),'PW_CMI GRADE 10'!$B$7:$B$31,0))="P")+
 --(INDEX('PW_CMI GRADE 10'!$AM$7:$AM$31,MATCH(LEFT($A4,LEN($A4)-2),'PW_CMI GRADE 10'!$B$7:$B$31,0))="P"),
0)</f>
        <v>0</v>
      </c>
      <c r="I4" s="24" t="b">
        <f ca="1">IF(IF(_xlfn.XLOOKUP(LEFT($A4,LEN($A4)-2),'PW_CMI GRADE 10'!$B$7:$B$31,'PW_CMI GRADE 10'!$AS$7:$AS$31,"",0,1)=0,"",_xlfn.XLOOKUP(LEFT($A4,LEN($A4)-2),'PW_CMI GRADE 10'!$B$7:$B$31,'PW_CMI GRADE 10'!$AS$7:$AS$31,"",0,1))&lt;=TODAY(),TRUE,FALSE)</f>
        <v>0</v>
      </c>
      <c r="J4" s="25" t="str">
        <f t="shared" ref="J4:J67" ca="1" si="1">IFERROR(IF(AND(I4=TRUE(),H4/G4&lt;=1),H4/G4,IF(AND(I4=TRUE(),H4/G4&gt;1),1,"")),0)</f>
        <v/>
      </c>
    </row>
    <row r="5" spans="1:10">
      <c r="A5" s="24" t="s">
        <v>209</v>
      </c>
      <c r="B5">
        <v>2</v>
      </c>
      <c r="C5">
        <f>IFERROR(
 --(INDEX('TH_CMI GRADE 10'!$C$7:$C$49,MATCH(LEFT($A5,LEN($A5)-2),'TH_CMI GRADE 10'!$B$7:$B$49,0))="P")+
 --(INDEX('TH_CMI GRADE 10'!$I$7:$I$49,MATCH(LEFT($A5,LEN($A5)-2),'TH_CMI GRADE 10'!$B$7:$B$49,0))="P")+
 --(INDEX('TH_CMI GRADE 10'!$O$7:$O$49,MATCH(LEFT($A5,LEN($A5)-2),'TH_CMI GRADE 10'!$B$7:$B$49,0))="P")+
 --(INDEX('TH_CMI GRADE 10'!$U$7:$U$49,MATCH(LEFT($A5,LEN($A5)-2),'TH_CMI GRADE 10'!$B$7:$B$49,0))="P")+
 --(INDEX('TH_CMI GRADE 10'!$AA$7:$AA$49,MATCH(LEFT($A5,LEN($A5)-2),'TH_CMI GRADE 10'!$B$7:$B$49,0))="P")+
 --(INDEX('TH_CMI GRADE 10'!$AG$7:$AG$49,MATCH(LEFT($A5,LEN($A5)-2),'TH_CMI GRADE 10'!$B$7:$B$49,0))="P")+
 --(INDEX('TH_CMI GRADE 10'!$AM$7:$AM$49,MATCH(LEFT($A5,LEN($A5)-2),'TH_CMI GRADE 10'!$B$7:$B$49,0))="P"),
0)</f>
        <v>2</v>
      </c>
      <c r="D5" s="24" t="b">
        <f ca="1">IF(IF(_xlfn.XLOOKUP(LEFT(A5,LEN(A5)-2),'TH_CMI GRADE 10'!$B$7:$B$49,'TH_CMI GRADE 10'!$AS$7:$AS$49,"",0,1)=0,"",_xlfn.XLOOKUP(LEFT(A5,LEN(A5)-2),'TH_CMI GRADE 10'!$B$7:$B$49,'TH_CMI GRADE 10'!$AS$7:$AS$49,"",0,1))&lt;=TODAY(),TRUE,FALSE)</f>
        <v>1</v>
      </c>
      <c r="E5" s="25">
        <f t="shared" ca="1" si="0"/>
        <v>1</v>
      </c>
      <c r="F5" s="24" t="s">
        <v>209</v>
      </c>
      <c r="G5">
        <v>2</v>
      </c>
      <c r="H5">
        <f>IFERROR(
 --(INDEX('PW_CMI GRADE 10'!$C$7:$C$31,MATCH(LEFT($A5,LEN($A5)-2),'PW_CMI GRADE 10'!$B$7:$B$31,0))="P")+
 --(INDEX('PW_CMI GRADE 10'!$I$7:$I$31,MATCH(LEFT($A5,LEN($A5)-2),'PW_CMI GRADE 10'!$B$7:$B$31,0))="P")+
 --(INDEX('PW_CMI GRADE 10'!$O$7:$O$31,MATCH(LEFT($A5,LEN($A5)-2),'PW_CMI GRADE 10'!$B$7:$B$31,0))="P")+
 --(INDEX('PW_CMI GRADE 10'!$U$7:$U$31,MATCH(LEFT($A5,LEN($A5)-2),'PW_CMI GRADE 10'!$B$7:$B$31,0))="P")+
 --(INDEX('PW_CMI GRADE 10'!$AA$7:$AA$31,MATCH(LEFT($A5,LEN($A5)-2),'PW_CMI GRADE 10'!$B$7:$B$31,0))="P")+
 --(INDEX('PW_CMI GRADE 10'!$AG$7:$AG$31,MATCH(LEFT($A5,LEN($A5)-2),'PW_CMI GRADE 10'!$B$7:$B$31,0))="P")+
 --(INDEX('PW_CMI GRADE 10'!$AM$7:$AM$31,MATCH(LEFT($A5,LEN($A5)-2),'PW_CMI GRADE 10'!$B$7:$B$31,0))="P"),
0)</f>
        <v>0</v>
      </c>
      <c r="I5" s="24" t="b">
        <f ca="1">IF(IF(_xlfn.XLOOKUP(LEFT($A5,LEN($A5)-2),'PW_CMI GRADE 10'!$B$7:$B$31,'PW_CMI GRADE 10'!$AS$7:$AS$31,"",0,1)=0,"",_xlfn.XLOOKUP(LEFT($A5,LEN($A5)-2),'PW_CMI GRADE 10'!$B$7:$B$31,'PW_CMI GRADE 10'!$AS$7:$AS$31,"",0,1))&lt;=TODAY(),TRUE,FALSE)</f>
        <v>0</v>
      </c>
      <c r="J5" s="25" t="str">
        <f t="shared" ca="1" si="1"/>
        <v/>
      </c>
    </row>
    <row r="6" spans="1:10">
      <c r="A6" s="24" t="s">
        <v>210</v>
      </c>
      <c r="B6">
        <v>2</v>
      </c>
      <c r="C6">
        <f>IFERROR(
 --(INDEX('TH_CMI GRADE 10'!$C$7:$C$49,MATCH(LEFT($A6,LEN($A6)-2),'TH_CMI GRADE 10'!$B$7:$B$49,0))="P")+
 --(INDEX('TH_CMI GRADE 10'!$I$7:$I$49,MATCH(LEFT($A6,LEN($A6)-2),'TH_CMI GRADE 10'!$B$7:$B$49,0))="P")+
 --(INDEX('TH_CMI GRADE 10'!$O$7:$O$49,MATCH(LEFT($A6,LEN($A6)-2),'TH_CMI GRADE 10'!$B$7:$B$49,0))="P")+
 --(INDEX('TH_CMI GRADE 10'!$U$7:$U$49,MATCH(LEFT($A6,LEN($A6)-2),'TH_CMI GRADE 10'!$B$7:$B$49,0))="P")+
 --(INDEX('TH_CMI GRADE 10'!$AA$7:$AA$49,MATCH(LEFT($A6,LEN($A6)-2),'TH_CMI GRADE 10'!$B$7:$B$49,0))="P")+
 --(INDEX('TH_CMI GRADE 10'!$AG$7:$AG$49,MATCH(LEFT($A6,LEN($A6)-2),'TH_CMI GRADE 10'!$B$7:$B$49,0))="P")+
 --(INDEX('TH_CMI GRADE 10'!$AM$7:$AM$49,MATCH(LEFT($A6,LEN($A6)-2),'TH_CMI GRADE 10'!$B$7:$B$49,0))="P"),
0)</f>
        <v>2</v>
      </c>
      <c r="D6" s="24" t="b">
        <f ca="1">IF(IF(_xlfn.XLOOKUP(LEFT(A6,LEN(A6)-2),'TH_CMI GRADE 10'!$B$7:$B$49,'TH_CMI GRADE 10'!$AS$7:$AS$49,"",0,1)=0,"",_xlfn.XLOOKUP(LEFT(A6,LEN(A6)-2),'TH_CMI GRADE 10'!$B$7:$B$49,'TH_CMI GRADE 10'!$AS$7:$AS$49,"",0,1))&lt;=TODAY(),TRUE,FALSE)</f>
        <v>1</v>
      </c>
      <c r="E6" s="25">
        <f t="shared" ca="1" si="0"/>
        <v>1</v>
      </c>
      <c r="F6" s="24" t="s">
        <v>210</v>
      </c>
      <c r="G6">
        <v>2</v>
      </c>
      <c r="H6">
        <f>IFERROR(
 --(INDEX('PW_CMI GRADE 10'!$C$7:$C$31,MATCH(LEFT($A6,LEN($A6)-2),'PW_CMI GRADE 10'!$B$7:$B$31,0))="P")+
 --(INDEX('PW_CMI GRADE 10'!$I$7:$I$31,MATCH(LEFT($A6,LEN($A6)-2),'PW_CMI GRADE 10'!$B$7:$B$31,0))="P")+
 --(INDEX('PW_CMI GRADE 10'!$O$7:$O$31,MATCH(LEFT($A6,LEN($A6)-2),'PW_CMI GRADE 10'!$B$7:$B$31,0))="P")+
 --(INDEX('PW_CMI GRADE 10'!$U$7:$U$31,MATCH(LEFT($A6,LEN($A6)-2),'PW_CMI GRADE 10'!$B$7:$B$31,0))="P")+
 --(INDEX('PW_CMI GRADE 10'!$AA$7:$AA$31,MATCH(LEFT($A6,LEN($A6)-2),'PW_CMI GRADE 10'!$B$7:$B$31,0))="P")+
 --(INDEX('PW_CMI GRADE 10'!$AG$7:$AG$31,MATCH(LEFT($A6,LEN($A6)-2),'PW_CMI GRADE 10'!$B$7:$B$31,0))="P")+
 --(INDEX('PW_CMI GRADE 10'!$AM$7:$AM$31,MATCH(LEFT($A6,LEN($A6)-2),'PW_CMI GRADE 10'!$B$7:$B$31,0))="P"),
0)</f>
        <v>0</v>
      </c>
      <c r="I6" s="24" t="b">
        <f ca="1">IF(IF(_xlfn.XLOOKUP(LEFT($A6,LEN($A6)-2),'PW_CMI GRADE 10'!$B$7:$B$31,'PW_CMI GRADE 10'!$AS$7:$AS$31,"",0,1)=0,"",_xlfn.XLOOKUP(LEFT($A6,LEN($A6)-2),'PW_CMI GRADE 10'!$B$7:$B$31,'PW_CMI GRADE 10'!$AS$7:$AS$31,"",0,1))&lt;=TODAY(),TRUE,FALSE)</f>
        <v>0</v>
      </c>
      <c r="J6" s="25" t="str">
        <f t="shared" ca="1" si="1"/>
        <v/>
      </c>
    </row>
    <row r="7" spans="1:10">
      <c r="A7" s="24" t="s">
        <v>211</v>
      </c>
      <c r="B7">
        <v>2</v>
      </c>
      <c r="C7">
        <f>IFERROR(
 --(INDEX('TH_CMI GRADE 10'!$C$7:$C$49,MATCH(LEFT($A7,LEN($A7)-2),'TH_CMI GRADE 10'!$B$7:$B$49,0))="P")+
 --(INDEX('TH_CMI GRADE 10'!$I$7:$I$49,MATCH(LEFT($A7,LEN($A7)-2),'TH_CMI GRADE 10'!$B$7:$B$49,0))="P")+
 --(INDEX('TH_CMI GRADE 10'!$O$7:$O$49,MATCH(LEFT($A7,LEN($A7)-2),'TH_CMI GRADE 10'!$B$7:$B$49,0))="P")+
 --(INDEX('TH_CMI GRADE 10'!$U$7:$U$49,MATCH(LEFT($A7,LEN($A7)-2),'TH_CMI GRADE 10'!$B$7:$B$49,0))="P")+
 --(INDEX('TH_CMI GRADE 10'!$AA$7:$AA$49,MATCH(LEFT($A7,LEN($A7)-2),'TH_CMI GRADE 10'!$B$7:$B$49,0))="P")+
 --(INDEX('TH_CMI GRADE 10'!$AG$7:$AG$49,MATCH(LEFT($A7,LEN($A7)-2),'TH_CMI GRADE 10'!$B$7:$B$49,0))="P")+
 --(INDEX('TH_CMI GRADE 10'!$AM$7:$AM$49,MATCH(LEFT($A7,LEN($A7)-2),'TH_CMI GRADE 10'!$B$7:$B$49,0))="P"),
0)</f>
        <v>2</v>
      </c>
      <c r="D7" s="24" t="b">
        <f ca="1">IF(IF(_xlfn.XLOOKUP(LEFT(A7,LEN(A7)-2),'TH_CMI GRADE 10'!$B$7:$B$49,'TH_CMI GRADE 10'!$AS$7:$AS$49,"",0,1)=0,"",_xlfn.XLOOKUP(LEFT(A7,LEN(A7)-2),'TH_CMI GRADE 10'!$B$7:$B$49,'TH_CMI GRADE 10'!$AS$7:$AS$49,"",0,1))&lt;=TODAY(),TRUE,FALSE)</f>
        <v>1</v>
      </c>
      <c r="E7" s="25">
        <f t="shared" ca="1" si="0"/>
        <v>1</v>
      </c>
      <c r="F7" s="24" t="s">
        <v>211</v>
      </c>
      <c r="G7">
        <v>2</v>
      </c>
      <c r="H7">
        <f>IFERROR(
 --(INDEX('PW_CMI GRADE 10'!$C$7:$C$31,MATCH(LEFT($A7,LEN($A7)-2),'PW_CMI GRADE 10'!$B$7:$B$31,0))="P")+
 --(INDEX('PW_CMI GRADE 10'!$I$7:$I$31,MATCH(LEFT($A7,LEN($A7)-2),'PW_CMI GRADE 10'!$B$7:$B$31,0))="P")+
 --(INDEX('PW_CMI GRADE 10'!$O$7:$O$31,MATCH(LEFT($A7,LEN($A7)-2),'PW_CMI GRADE 10'!$B$7:$B$31,0))="P")+
 --(INDEX('PW_CMI GRADE 10'!$U$7:$U$31,MATCH(LEFT($A7,LEN($A7)-2),'PW_CMI GRADE 10'!$B$7:$B$31,0))="P")+
 --(INDEX('PW_CMI GRADE 10'!$AA$7:$AA$31,MATCH(LEFT($A7,LEN($A7)-2),'PW_CMI GRADE 10'!$B$7:$B$31,0))="P")+
 --(INDEX('PW_CMI GRADE 10'!$AG$7:$AG$31,MATCH(LEFT($A7,LEN($A7)-2),'PW_CMI GRADE 10'!$B$7:$B$31,0))="P")+
 --(INDEX('PW_CMI GRADE 10'!$AM$7:$AM$31,MATCH(LEFT($A7,LEN($A7)-2),'PW_CMI GRADE 10'!$B$7:$B$31,0))="P"),
0)</f>
        <v>2</v>
      </c>
      <c r="I7" s="24" t="b">
        <f ca="1">IF(IF(_xlfn.XLOOKUP(LEFT($A7,LEN($A7)-2),'PW_CMI GRADE 10'!$B$7:$B$31,'PW_CMI GRADE 10'!$AS$7:$AS$31,"",0,1)=0,"",_xlfn.XLOOKUP(LEFT($A7,LEN($A7)-2),'PW_CMI GRADE 10'!$B$7:$B$31,'PW_CMI GRADE 10'!$AS$7:$AS$31,"",0,1))&lt;=TODAY(),TRUE,FALSE)</f>
        <v>1</v>
      </c>
      <c r="J7" s="25">
        <f t="shared" ca="1" si="1"/>
        <v>1</v>
      </c>
    </row>
    <row r="8" spans="1:10">
      <c r="A8" s="24" t="s">
        <v>212</v>
      </c>
      <c r="B8">
        <v>2</v>
      </c>
      <c r="C8">
        <f>IFERROR(
 --(INDEX('TH_CMI GRADE 10'!$C$7:$C$49,MATCH(LEFT($A8,LEN($A8)-2),'TH_CMI GRADE 10'!$B$7:$B$49,0))="P")+
 --(INDEX('TH_CMI GRADE 10'!$I$7:$I$49,MATCH(LEFT($A8,LEN($A8)-2),'TH_CMI GRADE 10'!$B$7:$B$49,0))="P")+
 --(INDEX('TH_CMI GRADE 10'!$O$7:$O$49,MATCH(LEFT($A8,LEN($A8)-2),'TH_CMI GRADE 10'!$B$7:$B$49,0))="P")+
 --(INDEX('TH_CMI GRADE 10'!$U$7:$U$49,MATCH(LEFT($A8,LEN($A8)-2),'TH_CMI GRADE 10'!$B$7:$B$49,0))="P")+
 --(INDEX('TH_CMI GRADE 10'!$AA$7:$AA$49,MATCH(LEFT($A8,LEN($A8)-2),'TH_CMI GRADE 10'!$B$7:$B$49,0))="P")+
 --(INDEX('TH_CMI GRADE 10'!$AG$7:$AG$49,MATCH(LEFT($A8,LEN($A8)-2),'TH_CMI GRADE 10'!$B$7:$B$49,0))="P")+
 --(INDEX('TH_CMI GRADE 10'!$AM$7:$AM$49,MATCH(LEFT($A8,LEN($A8)-2),'TH_CMI GRADE 10'!$B$7:$B$49,0))="P"),
0)</f>
        <v>2</v>
      </c>
      <c r="D8" s="24" t="b">
        <f ca="1">IF(IF(_xlfn.XLOOKUP(LEFT(A8,LEN(A8)-2),'TH_CMI GRADE 10'!$B$7:$B$49,'TH_CMI GRADE 10'!$AS$7:$AS$49,"",0,1)=0,"",_xlfn.XLOOKUP(LEFT(A8,LEN(A8)-2),'TH_CMI GRADE 10'!$B$7:$B$49,'TH_CMI GRADE 10'!$AS$7:$AS$49,"",0,1))&lt;=TODAY(),TRUE,FALSE)</f>
        <v>1</v>
      </c>
      <c r="E8" s="25">
        <f t="shared" ca="1" si="0"/>
        <v>1</v>
      </c>
      <c r="F8" s="24" t="s">
        <v>212</v>
      </c>
      <c r="G8">
        <v>2</v>
      </c>
      <c r="H8">
        <f>IFERROR(
 --(INDEX('PW_CMI GRADE 10'!$C$7:$C$31,MATCH(LEFT($A8,LEN($A8)-2),'PW_CMI GRADE 10'!$B$7:$B$31,0))="P")+
 --(INDEX('PW_CMI GRADE 10'!$I$7:$I$31,MATCH(LEFT($A8,LEN($A8)-2),'PW_CMI GRADE 10'!$B$7:$B$31,0))="P")+
 --(INDEX('PW_CMI GRADE 10'!$O$7:$O$31,MATCH(LEFT($A8,LEN($A8)-2),'PW_CMI GRADE 10'!$B$7:$B$31,0))="P")+
 --(INDEX('PW_CMI GRADE 10'!$U$7:$U$31,MATCH(LEFT($A8,LEN($A8)-2),'PW_CMI GRADE 10'!$B$7:$B$31,0))="P")+
 --(INDEX('PW_CMI GRADE 10'!$AA$7:$AA$31,MATCH(LEFT($A8,LEN($A8)-2),'PW_CMI GRADE 10'!$B$7:$B$31,0))="P")+
 --(INDEX('PW_CMI GRADE 10'!$AG$7:$AG$31,MATCH(LEFT($A8,LEN($A8)-2),'PW_CMI GRADE 10'!$B$7:$B$31,0))="P")+
 --(INDEX('PW_CMI GRADE 10'!$AM$7:$AM$31,MATCH(LEFT($A8,LEN($A8)-2),'PW_CMI GRADE 10'!$B$7:$B$31,0))="P"),
0)</f>
        <v>2</v>
      </c>
      <c r="I8" s="24" t="b">
        <f ca="1">IF(IF(_xlfn.XLOOKUP(LEFT($A8,LEN($A8)-2),'PW_CMI GRADE 10'!$B$7:$B$31,'PW_CMI GRADE 10'!$AS$7:$AS$31,"",0,1)=0,"",_xlfn.XLOOKUP(LEFT($A8,LEN($A8)-2),'PW_CMI GRADE 10'!$B$7:$B$31,'PW_CMI GRADE 10'!$AS$7:$AS$31,"",0,1))&lt;=TODAY(),TRUE,FALSE)</f>
        <v>1</v>
      </c>
      <c r="J8" s="25">
        <f t="shared" ca="1" si="1"/>
        <v>1</v>
      </c>
    </row>
    <row r="9" spans="1:10">
      <c r="A9" s="24" t="s">
        <v>213</v>
      </c>
      <c r="B9">
        <v>2</v>
      </c>
      <c r="C9">
        <f>IFERROR(
 --(INDEX('TH_CMI GRADE 10'!$C$7:$C$49,MATCH(LEFT($A9,LEN($A9)-2),'TH_CMI GRADE 10'!$B$7:$B$49,0))="P")+
 --(INDEX('TH_CMI GRADE 10'!$I$7:$I$49,MATCH(LEFT($A9,LEN($A9)-2),'TH_CMI GRADE 10'!$B$7:$B$49,0))="P")+
 --(INDEX('TH_CMI GRADE 10'!$O$7:$O$49,MATCH(LEFT($A9,LEN($A9)-2),'TH_CMI GRADE 10'!$B$7:$B$49,0))="P")+
 --(INDEX('TH_CMI GRADE 10'!$U$7:$U$49,MATCH(LEFT($A9,LEN($A9)-2),'TH_CMI GRADE 10'!$B$7:$B$49,0))="P")+
 --(INDEX('TH_CMI GRADE 10'!$AA$7:$AA$49,MATCH(LEFT($A9,LEN($A9)-2),'TH_CMI GRADE 10'!$B$7:$B$49,0))="P")+
 --(INDEX('TH_CMI GRADE 10'!$AG$7:$AG$49,MATCH(LEFT($A9,LEN($A9)-2),'TH_CMI GRADE 10'!$B$7:$B$49,0))="P")+
 --(INDEX('TH_CMI GRADE 10'!$AM$7:$AM$49,MATCH(LEFT($A9,LEN($A9)-2),'TH_CMI GRADE 10'!$B$7:$B$49,0))="P"),
0)</f>
        <v>2</v>
      </c>
      <c r="D9" s="24" t="b">
        <f ca="1">IF(IF(_xlfn.XLOOKUP(LEFT(A9,LEN(A9)-2),'TH_CMI GRADE 10'!$B$7:$B$49,'TH_CMI GRADE 10'!$AS$7:$AS$49,"",0,1)=0,"",_xlfn.XLOOKUP(LEFT(A9,LEN(A9)-2),'TH_CMI GRADE 10'!$B$7:$B$49,'TH_CMI GRADE 10'!$AS$7:$AS$49,"",0,1))&lt;=TODAY(),TRUE,FALSE)</f>
        <v>1</v>
      </c>
      <c r="E9" s="25">
        <f t="shared" ca="1" si="0"/>
        <v>1</v>
      </c>
      <c r="F9" s="24" t="s">
        <v>213</v>
      </c>
      <c r="G9">
        <v>2</v>
      </c>
      <c r="H9">
        <f>IFERROR(
 --(INDEX('PW_CMI GRADE 10'!$C$7:$C$31,MATCH(LEFT($A9,LEN($A9)-2),'PW_CMI GRADE 10'!$B$7:$B$31,0))="P")+
 --(INDEX('PW_CMI GRADE 10'!$I$7:$I$31,MATCH(LEFT($A9,LEN($A9)-2),'PW_CMI GRADE 10'!$B$7:$B$31,0))="P")+
 --(INDEX('PW_CMI GRADE 10'!$O$7:$O$31,MATCH(LEFT($A9,LEN($A9)-2),'PW_CMI GRADE 10'!$B$7:$B$31,0))="P")+
 --(INDEX('PW_CMI GRADE 10'!$U$7:$U$31,MATCH(LEFT($A9,LEN($A9)-2),'PW_CMI GRADE 10'!$B$7:$B$31,0))="P")+
 --(INDEX('PW_CMI GRADE 10'!$AA$7:$AA$31,MATCH(LEFT($A9,LEN($A9)-2),'PW_CMI GRADE 10'!$B$7:$B$31,0))="P")+
 --(INDEX('PW_CMI GRADE 10'!$AG$7:$AG$31,MATCH(LEFT($A9,LEN($A9)-2),'PW_CMI GRADE 10'!$B$7:$B$31,0))="P")+
 --(INDEX('PW_CMI GRADE 10'!$AM$7:$AM$31,MATCH(LEFT($A9,LEN($A9)-2),'PW_CMI GRADE 10'!$B$7:$B$31,0))="P"),
0)</f>
        <v>0</v>
      </c>
      <c r="I9" s="24" t="b">
        <f ca="1">IF(IF(_xlfn.XLOOKUP(LEFT($A9,LEN($A9)-2),'PW_CMI GRADE 10'!$B$7:$B$31,'PW_CMI GRADE 10'!$AS$7:$AS$31,"",0,1)=0,"",_xlfn.XLOOKUP(LEFT($A9,LEN($A9)-2),'PW_CMI GRADE 10'!$B$7:$B$31,'PW_CMI GRADE 10'!$AS$7:$AS$31,"",0,1))&lt;=TODAY(),TRUE,FALSE)</f>
        <v>0</v>
      </c>
      <c r="J9" s="25" t="str">
        <f t="shared" ca="1" si="1"/>
        <v/>
      </c>
    </row>
    <row r="10" spans="1:10">
      <c r="A10" s="24" t="s">
        <v>214</v>
      </c>
      <c r="B10">
        <v>2</v>
      </c>
      <c r="C10">
        <f>IFERROR(
 --(INDEX('TH_CMI GRADE 10'!$C$7:$C$49,MATCH(LEFT($A10,LEN($A10)-2),'TH_CMI GRADE 10'!$B$7:$B$49,0))="P")+
 --(INDEX('TH_CMI GRADE 10'!$I$7:$I$49,MATCH(LEFT($A10,LEN($A10)-2),'TH_CMI GRADE 10'!$B$7:$B$49,0))="P")+
 --(INDEX('TH_CMI GRADE 10'!$O$7:$O$49,MATCH(LEFT($A10,LEN($A10)-2),'TH_CMI GRADE 10'!$B$7:$B$49,0))="P")+
 --(INDEX('TH_CMI GRADE 10'!$U$7:$U$49,MATCH(LEFT($A10,LEN($A10)-2),'TH_CMI GRADE 10'!$B$7:$B$49,0))="P")+
 --(INDEX('TH_CMI GRADE 10'!$AA$7:$AA$49,MATCH(LEFT($A10,LEN($A10)-2),'TH_CMI GRADE 10'!$B$7:$B$49,0))="P")+
 --(INDEX('TH_CMI GRADE 10'!$AG$7:$AG$49,MATCH(LEFT($A10,LEN($A10)-2),'TH_CMI GRADE 10'!$B$7:$B$49,0))="P")+
 --(INDEX('TH_CMI GRADE 10'!$AM$7:$AM$49,MATCH(LEFT($A10,LEN($A10)-2),'TH_CMI GRADE 10'!$B$7:$B$49,0))="P"),
0)</f>
        <v>2</v>
      </c>
      <c r="D10" s="24" t="b">
        <f ca="1">IF(IF(_xlfn.XLOOKUP(LEFT(A10,LEN(A10)-2),'TH_CMI GRADE 10'!$B$7:$B$49,'TH_CMI GRADE 10'!$AS$7:$AS$49,"",0,1)=0,"",_xlfn.XLOOKUP(LEFT(A10,LEN(A10)-2),'TH_CMI GRADE 10'!$B$7:$B$49,'TH_CMI GRADE 10'!$AS$7:$AS$49,"",0,1))&lt;=TODAY(),TRUE,FALSE)</f>
        <v>1</v>
      </c>
      <c r="E10" s="25">
        <f t="shared" ca="1" si="0"/>
        <v>1</v>
      </c>
      <c r="F10" s="24" t="s">
        <v>214</v>
      </c>
      <c r="G10">
        <v>2</v>
      </c>
      <c r="H10">
        <f>IFERROR(
 --(INDEX('PW_CMI GRADE 10'!$C$7:$C$31,MATCH(LEFT($A10,LEN($A10)-2),'PW_CMI GRADE 10'!$B$7:$B$31,0))="P")+
 --(INDEX('PW_CMI GRADE 10'!$I$7:$I$31,MATCH(LEFT($A10,LEN($A10)-2),'PW_CMI GRADE 10'!$B$7:$B$31,0))="P")+
 --(INDEX('PW_CMI GRADE 10'!$O$7:$O$31,MATCH(LEFT($A10,LEN($A10)-2),'PW_CMI GRADE 10'!$B$7:$B$31,0))="P")+
 --(INDEX('PW_CMI GRADE 10'!$U$7:$U$31,MATCH(LEFT($A10,LEN($A10)-2),'PW_CMI GRADE 10'!$B$7:$B$31,0))="P")+
 --(INDEX('PW_CMI GRADE 10'!$AA$7:$AA$31,MATCH(LEFT($A10,LEN($A10)-2),'PW_CMI GRADE 10'!$B$7:$B$31,0))="P")+
 --(INDEX('PW_CMI GRADE 10'!$AG$7:$AG$31,MATCH(LEFT($A10,LEN($A10)-2),'PW_CMI GRADE 10'!$B$7:$B$31,0))="P")+
 --(INDEX('PW_CMI GRADE 10'!$AM$7:$AM$31,MATCH(LEFT($A10,LEN($A10)-2),'PW_CMI GRADE 10'!$B$7:$B$31,0))="P"),
0)</f>
        <v>0</v>
      </c>
      <c r="I10" s="24" t="b">
        <f ca="1">IF(IF(_xlfn.XLOOKUP(LEFT($A10,LEN($A10)-2),'PW_CMI GRADE 10'!$B$7:$B$31,'PW_CMI GRADE 10'!$AS$7:$AS$31,"",0,1)=0,"",_xlfn.XLOOKUP(LEFT($A10,LEN($A10)-2),'PW_CMI GRADE 10'!$B$7:$B$31,'PW_CMI GRADE 10'!$AS$7:$AS$31,"",0,1))&lt;=TODAY(),TRUE,FALSE)</f>
        <v>0</v>
      </c>
      <c r="J10" s="25" t="str">
        <f t="shared" ca="1" si="1"/>
        <v/>
      </c>
    </row>
    <row r="11" spans="1:10">
      <c r="A11" s="24" t="s">
        <v>215</v>
      </c>
      <c r="B11">
        <v>2</v>
      </c>
      <c r="C11">
        <f>IFERROR(
 --(INDEX('TH_CMI GRADE 10'!$C$7:$C$49,MATCH(LEFT($A11,LEN($A11)-2),'TH_CMI GRADE 10'!$B$7:$B$49,0))="P")+
 --(INDEX('TH_CMI GRADE 10'!$I$7:$I$49,MATCH(LEFT($A11,LEN($A11)-2),'TH_CMI GRADE 10'!$B$7:$B$49,0))="P")+
 --(INDEX('TH_CMI GRADE 10'!$O$7:$O$49,MATCH(LEFT($A11,LEN($A11)-2),'TH_CMI GRADE 10'!$B$7:$B$49,0))="P")+
 --(INDEX('TH_CMI GRADE 10'!$U$7:$U$49,MATCH(LEFT($A11,LEN($A11)-2),'TH_CMI GRADE 10'!$B$7:$B$49,0))="P")+
 --(INDEX('TH_CMI GRADE 10'!$AA$7:$AA$49,MATCH(LEFT($A11,LEN($A11)-2),'TH_CMI GRADE 10'!$B$7:$B$49,0))="P")+
 --(INDEX('TH_CMI GRADE 10'!$AG$7:$AG$49,MATCH(LEFT($A11,LEN($A11)-2),'TH_CMI GRADE 10'!$B$7:$B$49,0))="P")+
 --(INDEX('TH_CMI GRADE 10'!$AM$7:$AM$49,MATCH(LEFT($A11,LEN($A11)-2),'TH_CMI GRADE 10'!$B$7:$B$49,0))="P"),
0)</f>
        <v>2</v>
      </c>
      <c r="D11" s="24" t="b">
        <f ca="1">IF(IF(_xlfn.XLOOKUP(LEFT(A11,LEN(A11)-2),'TH_CMI GRADE 10'!$B$7:$B$49,'TH_CMI GRADE 10'!$AS$7:$AS$49,"",0,1)=0,"",_xlfn.XLOOKUP(LEFT(A11,LEN(A11)-2),'TH_CMI GRADE 10'!$B$7:$B$49,'TH_CMI GRADE 10'!$AS$7:$AS$49,"",0,1))&lt;=TODAY(),TRUE,FALSE)</f>
        <v>1</v>
      </c>
      <c r="E11" s="25">
        <f t="shared" ca="1" si="0"/>
        <v>1</v>
      </c>
      <c r="F11" s="24" t="s">
        <v>215</v>
      </c>
      <c r="G11">
        <v>2</v>
      </c>
      <c r="H11">
        <f>IFERROR(
 --(INDEX('PW_CMI GRADE 10'!$C$7:$C$31,MATCH(LEFT($A11,LEN($A11)-2),'PW_CMI GRADE 10'!$B$7:$B$31,0))="P")+
 --(INDEX('PW_CMI GRADE 10'!$I$7:$I$31,MATCH(LEFT($A11,LEN($A11)-2),'PW_CMI GRADE 10'!$B$7:$B$31,0))="P")+
 --(INDEX('PW_CMI GRADE 10'!$O$7:$O$31,MATCH(LEFT($A11,LEN($A11)-2),'PW_CMI GRADE 10'!$B$7:$B$31,0))="P")+
 --(INDEX('PW_CMI GRADE 10'!$U$7:$U$31,MATCH(LEFT($A11,LEN($A11)-2),'PW_CMI GRADE 10'!$B$7:$B$31,0))="P")+
 --(INDEX('PW_CMI GRADE 10'!$AA$7:$AA$31,MATCH(LEFT($A11,LEN($A11)-2),'PW_CMI GRADE 10'!$B$7:$B$31,0))="P")+
 --(INDEX('PW_CMI GRADE 10'!$AG$7:$AG$31,MATCH(LEFT($A11,LEN($A11)-2),'PW_CMI GRADE 10'!$B$7:$B$31,0))="P")+
 --(INDEX('PW_CMI GRADE 10'!$AM$7:$AM$31,MATCH(LEFT($A11,LEN($A11)-2),'PW_CMI GRADE 10'!$B$7:$B$31,0))="P"),
0)</f>
        <v>0</v>
      </c>
      <c r="I11" s="24" t="b">
        <f ca="1">IF(IF(_xlfn.XLOOKUP(LEFT($A11,LEN($A11)-2),'PW_CMI GRADE 10'!$B$7:$B$31,'PW_CMI GRADE 10'!$AS$7:$AS$31,"",0,1)=0,"",_xlfn.XLOOKUP(LEFT($A11,LEN($A11)-2),'PW_CMI GRADE 10'!$B$7:$B$31,'PW_CMI GRADE 10'!$AS$7:$AS$31,"",0,1))&lt;=TODAY(),TRUE,FALSE)</f>
        <v>0</v>
      </c>
      <c r="J11" s="25" t="str">
        <f t="shared" ca="1" si="1"/>
        <v/>
      </c>
    </row>
    <row r="12" spans="1:10">
      <c r="A12" s="24" t="s">
        <v>216</v>
      </c>
      <c r="B12">
        <v>2</v>
      </c>
      <c r="C12">
        <f>IFERROR(
 --(INDEX('TH_CMI GRADE 10'!$C$7:$C$49,MATCH(LEFT($A12,LEN($A12)-2),'TH_CMI GRADE 10'!$B$7:$B$49,0))="P")+
 --(INDEX('TH_CMI GRADE 10'!$I$7:$I$49,MATCH(LEFT($A12,LEN($A12)-2),'TH_CMI GRADE 10'!$B$7:$B$49,0))="P")+
 --(INDEX('TH_CMI GRADE 10'!$O$7:$O$49,MATCH(LEFT($A12,LEN($A12)-2),'TH_CMI GRADE 10'!$B$7:$B$49,0))="P")+
 --(INDEX('TH_CMI GRADE 10'!$U$7:$U$49,MATCH(LEFT($A12,LEN($A12)-2),'TH_CMI GRADE 10'!$B$7:$B$49,0))="P")+
 --(INDEX('TH_CMI GRADE 10'!$AA$7:$AA$49,MATCH(LEFT($A12,LEN($A12)-2),'TH_CMI GRADE 10'!$B$7:$B$49,0))="P")+
 --(INDEX('TH_CMI GRADE 10'!$AG$7:$AG$49,MATCH(LEFT($A12,LEN($A12)-2),'TH_CMI GRADE 10'!$B$7:$B$49,0))="P")+
 --(INDEX('TH_CMI GRADE 10'!$AM$7:$AM$49,MATCH(LEFT($A12,LEN($A12)-2),'TH_CMI GRADE 10'!$B$7:$B$49,0))="P"),
0)</f>
        <v>2</v>
      </c>
      <c r="D12" s="24" t="b">
        <f ca="1">IF(IF(_xlfn.XLOOKUP(LEFT(A12,LEN(A12)-2),'TH_CMI GRADE 10'!$B$7:$B$49,'TH_CMI GRADE 10'!$AS$7:$AS$49,"",0,1)=0,"",_xlfn.XLOOKUP(LEFT(A12,LEN(A12)-2),'TH_CMI GRADE 10'!$B$7:$B$49,'TH_CMI GRADE 10'!$AS$7:$AS$49,"",0,1))&lt;=TODAY(),TRUE,FALSE)</f>
        <v>1</v>
      </c>
      <c r="E12" s="25">
        <f t="shared" ca="1" si="0"/>
        <v>1</v>
      </c>
      <c r="F12" s="24" t="s">
        <v>216</v>
      </c>
      <c r="G12">
        <v>2</v>
      </c>
      <c r="H12">
        <f>IFERROR(
 --(INDEX('PW_CMI GRADE 10'!$C$7:$C$31,MATCH(LEFT($A12,LEN($A12)-2),'PW_CMI GRADE 10'!$B$7:$B$31,0))="P")+
 --(INDEX('PW_CMI GRADE 10'!$I$7:$I$31,MATCH(LEFT($A12,LEN($A12)-2),'PW_CMI GRADE 10'!$B$7:$B$31,0))="P")+
 --(INDEX('PW_CMI GRADE 10'!$O$7:$O$31,MATCH(LEFT($A12,LEN($A12)-2),'PW_CMI GRADE 10'!$B$7:$B$31,0))="P")+
 --(INDEX('PW_CMI GRADE 10'!$U$7:$U$31,MATCH(LEFT($A12,LEN($A12)-2),'PW_CMI GRADE 10'!$B$7:$B$31,0))="P")+
 --(INDEX('PW_CMI GRADE 10'!$AA$7:$AA$31,MATCH(LEFT($A12,LEN($A12)-2),'PW_CMI GRADE 10'!$B$7:$B$31,0))="P")+
 --(INDEX('PW_CMI GRADE 10'!$AG$7:$AG$31,MATCH(LEFT($A12,LEN($A12)-2),'PW_CMI GRADE 10'!$B$7:$B$31,0))="P")+
 --(INDEX('PW_CMI GRADE 10'!$AM$7:$AM$31,MATCH(LEFT($A12,LEN($A12)-2),'PW_CMI GRADE 10'!$B$7:$B$31,0))="P"),
0)</f>
        <v>0</v>
      </c>
      <c r="I12" s="24" t="b">
        <f ca="1">IF(IF(_xlfn.XLOOKUP(LEFT($A12,LEN($A12)-2),'PW_CMI GRADE 10'!$B$7:$B$31,'PW_CMI GRADE 10'!$AS$7:$AS$31,"",0,1)=0,"",_xlfn.XLOOKUP(LEFT($A12,LEN($A12)-2),'PW_CMI GRADE 10'!$B$7:$B$31,'PW_CMI GRADE 10'!$AS$7:$AS$31,"",0,1))&lt;=TODAY(),TRUE,FALSE)</f>
        <v>0</v>
      </c>
      <c r="J12" s="25" t="str">
        <f t="shared" ca="1" si="1"/>
        <v/>
      </c>
    </row>
    <row r="13" spans="1:10">
      <c r="A13" s="24" t="s">
        <v>217</v>
      </c>
      <c r="B13">
        <v>2</v>
      </c>
      <c r="C13">
        <f>IFERROR(
 --(INDEX('TH_CMI GRADE 10'!$C$7:$C$49,MATCH(LEFT($A13,LEN($A13)-2),'TH_CMI GRADE 10'!$B$7:$B$49,0))="P")+
 --(INDEX('TH_CMI GRADE 10'!$I$7:$I$49,MATCH(LEFT($A13,LEN($A13)-2),'TH_CMI GRADE 10'!$B$7:$B$49,0))="P")+
 --(INDEX('TH_CMI GRADE 10'!$O$7:$O$49,MATCH(LEFT($A13,LEN($A13)-2),'TH_CMI GRADE 10'!$B$7:$B$49,0))="P")+
 --(INDEX('TH_CMI GRADE 10'!$U$7:$U$49,MATCH(LEFT($A13,LEN($A13)-2),'TH_CMI GRADE 10'!$B$7:$B$49,0))="P")+
 --(INDEX('TH_CMI GRADE 10'!$AA$7:$AA$49,MATCH(LEFT($A13,LEN($A13)-2),'TH_CMI GRADE 10'!$B$7:$B$49,0))="P")+
 --(INDEX('TH_CMI GRADE 10'!$AG$7:$AG$49,MATCH(LEFT($A13,LEN($A13)-2),'TH_CMI GRADE 10'!$B$7:$B$49,0))="P")+
 --(INDEX('TH_CMI GRADE 10'!$AM$7:$AM$49,MATCH(LEFT($A13,LEN($A13)-2),'TH_CMI GRADE 10'!$B$7:$B$49,0))="P"),
0)</f>
        <v>2</v>
      </c>
      <c r="D13" s="24" t="b">
        <f ca="1">IF(IF(_xlfn.XLOOKUP(LEFT(A13,LEN(A13)-2),'TH_CMI GRADE 10'!$B$7:$B$49,'TH_CMI GRADE 10'!$AS$7:$AS$49,"",0,1)=0,"",_xlfn.XLOOKUP(LEFT(A13,LEN(A13)-2),'TH_CMI GRADE 10'!$B$7:$B$49,'TH_CMI GRADE 10'!$AS$7:$AS$49,"",0,1))&lt;=TODAY(),TRUE,FALSE)</f>
        <v>1</v>
      </c>
      <c r="E13" s="25">
        <f t="shared" ca="1" si="0"/>
        <v>1</v>
      </c>
      <c r="F13" s="24" t="s">
        <v>217</v>
      </c>
      <c r="G13">
        <v>2</v>
      </c>
      <c r="H13">
        <f>IFERROR(
 --(INDEX('PW_CMI GRADE 10'!$C$7:$C$31,MATCH(LEFT($A13,LEN($A13)-2),'PW_CMI GRADE 10'!$B$7:$B$31,0))="P")+
 --(INDEX('PW_CMI GRADE 10'!$I$7:$I$31,MATCH(LEFT($A13,LEN($A13)-2),'PW_CMI GRADE 10'!$B$7:$B$31,0))="P")+
 --(INDEX('PW_CMI GRADE 10'!$O$7:$O$31,MATCH(LEFT($A13,LEN($A13)-2),'PW_CMI GRADE 10'!$B$7:$B$31,0))="P")+
 --(INDEX('PW_CMI GRADE 10'!$U$7:$U$31,MATCH(LEFT($A13,LEN($A13)-2),'PW_CMI GRADE 10'!$B$7:$B$31,0))="P")+
 --(INDEX('PW_CMI GRADE 10'!$AA$7:$AA$31,MATCH(LEFT($A13,LEN($A13)-2),'PW_CMI GRADE 10'!$B$7:$B$31,0))="P")+
 --(INDEX('PW_CMI GRADE 10'!$AG$7:$AG$31,MATCH(LEFT($A13,LEN($A13)-2),'PW_CMI GRADE 10'!$B$7:$B$31,0))="P")+
 --(INDEX('PW_CMI GRADE 10'!$AM$7:$AM$31,MATCH(LEFT($A13,LEN($A13)-2),'PW_CMI GRADE 10'!$B$7:$B$31,0))="P"),
0)</f>
        <v>0</v>
      </c>
      <c r="I13" s="24" t="b">
        <f ca="1">IF(IF(_xlfn.XLOOKUP(LEFT($A13,LEN($A13)-2),'PW_CMI GRADE 10'!$B$7:$B$31,'PW_CMI GRADE 10'!$AS$7:$AS$31,"",0,1)=0,"",_xlfn.XLOOKUP(LEFT($A13,LEN($A13)-2),'PW_CMI GRADE 10'!$B$7:$B$31,'PW_CMI GRADE 10'!$AS$7:$AS$31,"",0,1))&lt;=TODAY(),TRUE,FALSE)</f>
        <v>0</v>
      </c>
      <c r="J13" s="25" t="str">
        <f t="shared" ca="1" si="1"/>
        <v/>
      </c>
    </row>
    <row r="14" spans="1:10">
      <c r="A14" s="24" t="s">
        <v>218</v>
      </c>
      <c r="B14">
        <v>2</v>
      </c>
      <c r="C14">
        <f>IFERROR(
 --(INDEX('TH_CMI GRADE 10'!$C$7:$C$49,MATCH(LEFT($A14,LEN($A14)-2),'TH_CMI GRADE 10'!$B$7:$B$49,0))="P")+
 --(INDEX('TH_CMI GRADE 10'!$I$7:$I$49,MATCH(LEFT($A14,LEN($A14)-2),'TH_CMI GRADE 10'!$B$7:$B$49,0))="P")+
 --(INDEX('TH_CMI GRADE 10'!$O$7:$O$49,MATCH(LEFT($A14,LEN($A14)-2),'TH_CMI GRADE 10'!$B$7:$B$49,0))="P")+
 --(INDEX('TH_CMI GRADE 10'!$U$7:$U$49,MATCH(LEFT($A14,LEN($A14)-2),'TH_CMI GRADE 10'!$B$7:$B$49,0))="P")+
 --(INDEX('TH_CMI GRADE 10'!$AA$7:$AA$49,MATCH(LEFT($A14,LEN($A14)-2),'TH_CMI GRADE 10'!$B$7:$B$49,0))="P")+
 --(INDEX('TH_CMI GRADE 10'!$AG$7:$AG$49,MATCH(LEFT($A14,LEN($A14)-2),'TH_CMI GRADE 10'!$B$7:$B$49,0))="P")+
 --(INDEX('TH_CMI GRADE 10'!$AM$7:$AM$49,MATCH(LEFT($A14,LEN($A14)-2),'TH_CMI GRADE 10'!$B$7:$B$49,0))="P"),
0)</f>
        <v>2</v>
      </c>
      <c r="D14" s="24" t="b">
        <f ca="1">IF(IF(_xlfn.XLOOKUP(LEFT(A14,LEN(A14)-2),'TH_CMI GRADE 10'!$B$7:$B$49,'TH_CMI GRADE 10'!$AS$7:$AS$49,"",0,1)=0,"",_xlfn.XLOOKUP(LEFT(A14,LEN(A14)-2),'TH_CMI GRADE 10'!$B$7:$B$49,'TH_CMI GRADE 10'!$AS$7:$AS$49,"",0,1))&lt;=TODAY(),TRUE,FALSE)</f>
        <v>1</v>
      </c>
      <c r="E14" s="25">
        <f t="shared" ca="1" si="0"/>
        <v>1</v>
      </c>
      <c r="F14" s="24" t="s">
        <v>218</v>
      </c>
      <c r="G14">
        <v>2</v>
      </c>
      <c r="H14">
        <f>IFERROR(
 --(INDEX('PW_CMI GRADE 10'!$C$7:$C$31,MATCH(LEFT($A14,LEN($A14)-2),'PW_CMI GRADE 10'!$B$7:$B$31,0))="P")+
 --(INDEX('PW_CMI GRADE 10'!$I$7:$I$31,MATCH(LEFT($A14,LEN($A14)-2),'PW_CMI GRADE 10'!$B$7:$B$31,0))="P")+
 --(INDEX('PW_CMI GRADE 10'!$O$7:$O$31,MATCH(LEFT($A14,LEN($A14)-2),'PW_CMI GRADE 10'!$B$7:$B$31,0))="P")+
 --(INDEX('PW_CMI GRADE 10'!$U$7:$U$31,MATCH(LEFT($A14,LEN($A14)-2),'PW_CMI GRADE 10'!$B$7:$B$31,0))="P")+
 --(INDEX('PW_CMI GRADE 10'!$AA$7:$AA$31,MATCH(LEFT($A14,LEN($A14)-2),'PW_CMI GRADE 10'!$B$7:$B$31,0))="P")+
 --(INDEX('PW_CMI GRADE 10'!$AG$7:$AG$31,MATCH(LEFT($A14,LEN($A14)-2),'PW_CMI GRADE 10'!$B$7:$B$31,0))="P")+
 --(INDEX('PW_CMI GRADE 10'!$AM$7:$AM$31,MATCH(LEFT($A14,LEN($A14)-2),'PW_CMI GRADE 10'!$B$7:$B$31,0))="P"),
0)</f>
        <v>0</v>
      </c>
      <c r="I14" s="24" t="b">
        <f ca="1">IF(IF(_xlfn.XLOOKUP(LEFT($A14,LEN($A14)-2),'PW_CMI GRADE 10'!$B$7:$B$31,'PW_CMI GRADE 10'!$AS$7:$AS$31,"",0,1)=0,"",_xlfn.XLOOKUP(LEFT($A14,LEN($A14)-2),'PW_CMI GRADE 10'!$B$7:$B$31,'PW_CMI GRADE 10'!$AS$7:$AS$31,"",0,1))&lt;=TODAY(),TRUE,FALSE)</f>
        <v>0</v>
      </c>
      <c r="J14" s="25" t="str">
        <f t="shared" ca="1" si="1"/>
        <v/>
      </c>
    </row>
    <row r="15" spans="1:10">
      <c r="A15" s="24" t="s">
        <v>219</v>
      </c>
      <c r="B15">
        <v>2</v>
      </c>
      <c r="C15">
        <f>IFERROR(
 --(INDEX('TH_CMI GRADE 10'!$C$7:$C$49,MATCH(LEFT($A15,LEN($A15)-2),'TH_CMI GRADE 10'!$B$7:$B$49,0))="P")+
 --(INDEX('TH_CMI GRADE 10'!$I$7:$I$49,MATCH(LEFT($A15,LEN($A15)-2),'TH_CMI GRADE 10'!$B$7:$B$49,0))="P")+
 --(INDEX('TH_CMI GRADE 10'!$O$7:$O$49,MATCH(LEFT($A15,LEN($A15)-2),'TH_CMI GRADE 10'!$B$7:$B$49,0))="P")+
 --(INDEX('TH_CMI GRADE 10'!$U$7:$U$49,MATCH(LEFT($A15,LEN($A15)-2),'TH_CMI GRADE 10'!$B$7:$B$49,0))="P")+
 --(INDEX('TH_CMI GRADE 10'!$AA$7:$AA$49,MATCH(LEFT($A15,LEN($A15)-2),'TH_CMI GRADE 10'!$B$7:$B$49,0))="P")+
 --(INDEX('TH_CMI GRADE 10'!$AG$7:$AG$49,MATCH(LEFT($A15,LEN($A15)-2),'TH_CMI GRADE 10'!$B$7:$B$49,0))="P")+
 --(INDEX('TH_CMI GRADE 10'!$AM$7:$AM$49,MATCH(LEFT($A15,LEN($A15)-2),'TH_CMI GRADE 10'!$B$7:$B$49,0))="P"),
0)</f>
        <v>2</v>
      </c>
      <c r="D15" s="24" t="b">
        <f ca="1">IF(IF(_xlfn.XLOOKUP(LEFT(A15,LEN(A15)-2),'TH_CMI GRADE 10'!$B$7:$B$49,'TH_CMI GRADE 10'!$AS$7:$AS$49,"",0,1)=0,"",_xlfn.XLOOKUP(LEFT(A15,LEN(A15)-2),'TH_CMI GRADE 10'!$B$7:$B$49,'TH_CMI GRADE 10'!$AS$7:$AS$49,"",0,1))&lt;=TODAY(),TRUE,FALSE)</f>
        <v>1</v>
      </c>
      <c r="E15" s="25">
        <f t="shared" ca="1" si="0"/>
        <v>1</v>
      </c>
      <c r="F15" s="24" t="s">
        <v>219</v>
      </c>
      <c r="G15">
        <v>2</v>
      </c>
      <c r="H15">
        <f>IFERROR(
 --(INDEX('PW_CMI GRADE 10'!$C$7:$C$31,MATCH(LEFT($A15,LEN($A15)-2),'PW_CMI GRADE 10'!$B$7:$B$31,0))="P")+
 --(INDEX('PW_CMI GRADE 10'!$I$7:$I$31,MATCH(LEFT($A15,LEN($A15)-2),'PW_CMI GRADE 10'!$B$7:$B$31,0))="P")+
 --(INDEX('PW_CMI GRADE 10'!$O$7:$O$31,MATCH(LEFT($A15,LEN($A15)-2),'PW_CMI GRADE 10'!$B$7:$B$31,0))="P")+
 --(INDEX('PW_CMI GRADE 10'!$U$7:$U$31,MATCH(LEFT($A15,LEN($A15)-2),'PW_CMI GRADE 10'!$B$7:$B$31,0))="P")+
 --(INDEX('PW_CMI GRADE 10'!$AA$7:$AA$31,MATCH(LEFT($A15,LEN($A15)-2),'PW_CMI GRADE 10'!$B$7:$B$31,0))="P")+
 --(INDEX('PW_CMI GRADE 10'!$AG$7:$AG$31,MATCH(LEFT($A15,LEN($A15)-2),'PW_CMI GRADE 10'!$B$7:$B$31,0))="P")+
 --(INDEX('PW_CMI GRADE 10'!$AM$7:$AM$31,MATCH(LEFT($A15,LEN($A15)-2),'PW_CMI GRADE 10'!$B$7:$B$31,0))="P"),
0)</f>
        <v>0</v>
      </c>
      <c r="I15" s="24" t="b">
        <f ca="1">IF(IF(_xlfn.XLOOKUP(LEFT($A15,LEN($A15)-2),'PW_CMI GRADE 10'!$B$7:$B$31,'PW_CMI GRADE 10'!$AS$7:$AS$31,"",0,1)=0,"",_xlfn.XLOOKUP(LEFT($A15,LEN($A15)-2),'PW_CMI GRADE 10'!$B$7:$B$31,'PW_CMI GRADE 10'!$AS$7:$AS$31,"",0,1))&lt;=TODAY(),TRUE,FALSE)</f>
        <v>0</v>
      </c>
      <c r="J15" s="25" t="str">
        <f t="shared" ca="1" si="1"/>
        <v/>
      </c>
    </row>
    <row r="16" spans="1:10">
      <c r="A16" s="24" t="s">
        <v>220</v>
      </c>
      <c r="B16">
        <v>2</v>
      </c>
      <c r="C16">
        <f>IFERROR(
 --(INDEX('TH_CMI GRADE 10'!$C$7:$C$49,MATCH(LEFT($A16,LEN($A16)-2),'TH_CMI GRADE 10'!$B$7:$B$49,0))="P")+
 --(INDEX('TH_CMI GRADE 10'!$I$7:$I$49,MATCH(LEFT($A16,LEN($A16)-2),'TH_CMI GRADE 10'!$B$7:$B$49,0))="P")+
 --(INDEX('TH_CMI GRADE 10'!$O$7:$O$49,MATCH(LEFT($A16,LEN($A16)-2),'TH_CMI GRADE 10'!$B$7:$B$49,0))="P")+
 --(INDEX('TH_CMI GRADE 10'!$U$7:$U$49,MATCH(LEFT($A16,LEN($A16)-2),'TH_CMI GRADE 10'!$B$7:$B$49,0))="P")+
 --(INDEX('TH_CMI GRADE 10'!$AA$7:$AA$49,MATCH(LEFT($A16,LEN($A16)-2),'TH_CMI GRADE 10'!$B$7:$B$49,0))="P")+
 --(INDEX('TH_CMI GRADE 10'!$AG$7:$AG$49,MATCH(LEFT($A16,LEN($A16)-2),'TH_CMI GRADE 10'!$B$7:$B$49,0))="P")+
 --(INDEX('TH_CMI GRADE 10'!$AM$7:$AM$49,MATCH(LEFT($A16,LEN($A16)-2),'TH_CMI GRADE 10'!$B$7:$B$49,0))="P"),
0)</f>
        <v>2</v>
      </c>
      <c r="D16" s="24" t="b">
        <f ca="1">IF(IF(_xlfn.XLOOKUP(LEFT(A16,LEN(A16)-2),'TH_CMI GRADE 10'!$B$7:$B$49,'TH_CMI GRADE 10'!$AS$7:$AS$49,"",0,1)=0,"",_xlfn.XLOOKUP(LEFT(A16,LEN(A16)-2),'TH_CMI GRADE 10'!$B$7:$B$49,'TH_CMI GRADE 10'!$AS$7:$AS$49,"",0,1))&lt;=TODAY(),TRUE,FALSE)</f>
        <v>1</v>
      </c>
      <c r="E16" s="25">
        <f t="shared" ca="1" si="0"/>
        <v>1</v>
      </c>
      <c r="F16" s="24" t="s">
        <v>220</v>
      </c>
      <c r="G16">
        <v>2</v>
      </c>
      <c r="H16">
        <f>IFERROR(
 --(INDEX('PW_CMI GRADE 10'!$C$7:$C$31,MATCH(LEFT($A16,LEN($A16)-2),'PW_CMI GRADE 10'!$B$7:$B$31,0))="P")+
 --(INDEX('PW_CMI GRADE 10'!$I$7:$I$31,MATCH(LEFT($A16,LEN($A16)-2),'PW_CMI GRADE 10'!$B$7:$B$31,0))="P")+
 --(INDEX('PW_CMI GRADE 10'!$O$7:$O$31,MATCH(LEFT($A16,LEN($A16)-2),'PW_CMI GRADE 10'!$B$7:$B$31,0))="P")+
 --(INDEX('PW_CMI GRADE 10'!$U$7:$U$31,MATCH(LEFT($A16,LEN($A16)-2),'PW_CMI GRADE 10'!$B$7:$B$31,0))="P")+
 --(INDEX('PW_CMI GRADE 10'!$AA$7:$AA$31,MATCH(LEFT($A16,LEN($A16)-2),'PW_CMI GRADE 10'!$B$7:$B$31,0))="P")+
 --(INDEX('PW_CMI GRADE 10'!$AG$7:$AG$31,MATCH(LEFT($A16,LEN($A16)-2),'PW_CMI GRADE 10'!$B$7:$B$31,0))="P")+
 --(INDEX('PW_CMI GRADE 10'!$AM$7:$AM$31,MATCH(LEFT($A16,LEN($A16)-2),'PW_CMI GRADE 10'!$B$7:$B$31,0))="P"),
0)</f>
        <v>0</v>
      </c>
      <c r="I16" s="24" t="b">
        <f ca="1">IF(IF(_xlfn.XLOOKUP(LEFT($A16,LEN($A16)-2),'PW_CMI GRADE 10'!$B$7:$B$31,'PW_CMI GRADE 10'!$AS$7:$AS$31,"",0,1)=0,"",_xlfn.XLOOKUP(LEFT($A16,LEN($A16)-2),'PW_CMI GRADE 10'!$B$7:$B$31,'PW_CMI GRADE 10'!$AS$7:$AS$31,"",0,1))&lt;=TODAY(),TRUE,FALSE)</f>
        <v>0</v>
      </c>
      <c r="J16" s="25" t="str">
        <f t="shared" ca="1" si="1"/>
        <v/>
      </c>
    </row>
    <row r="17" spans="1:10">
      <c r="A17" s="24" t="s">
        <v>221</v>
      </c>
      <c r="B17">
        <v>2</v>
      </c>
      <c r="C17">
        <f>IFERROR(
 --(INDEX('TH_CMI GRADE 10'!$C$7:$C$49,MATCH(LEFT($A17,LEN($A17)-2),'TH_CMI GRADE 10'!$B$7:$B$49,0))="P")+
 --(INDEX('TH_CMI GRADE 10'!$I$7:$I$49,MATCH(LEFT($A17,LEN($A17)-2),'TH_CMI GRADE 10'!$B$7:$B$49,0))="P")+
 --(INDEX('TH_CMI GRADE 10'!$O$7:$O$49,MATCH(LEFT($A17,LEN($A17)-2),'TH_CMI GRADE 10'!$B$7:$B$49,0))="P")+
 --(INDEX('TH_CMI GRADE 10'!$U$7:$U$49,MATCH(LEFT($A17,LEN($A17)-2),'TH_CMI GRADE 10'!$B$7:$B$49,0))="P")+
 --(INDEX('TH_CMI GRADE 10'!$AA$7:$AA$49,MATCH(LEFT($A17,LEN($A17)-2),'TH_CMI GRADE 10'!$B$7:$B$49,0))="P")+
 --(INDEX('TH_CMI GRADE 10'!$AG$7:$AG$49,MATCH(LEFT($A17,LEN($A17)-2),'TH_CMI GRADE 10'!$B$7:$B$49,0))="P")+
 --(INDEX('TH_CMI GRADE 10'!$AM$7:$AM$49,MATCH(LEFT($A17,LEN($A17)-2),'TH_CMI GRADE 10'!$B$7:$B$49,0))="P"),
0)</f>
        <v>2</v>
      </c>
      <c r="D17" s="24" t="b">
        <f ca="1">IF(IF(_xlfn.XLOOKUP(LEFT(A17,LEN(A17)-2),'TH_CMI GRADE 10'!$B$7:$B$49,'TH_CMI GRADE 10'!$AS$7:$AS$49,"",0,1)=0,"",_xlfn.XLOOKUP(LEFT(A17,LEN(A17)-2),'TH_CMI GRADE 10'!$B$7:$B$49,'TH_CMI GRADE 10'!$AS$7:$AS$49,"",0,1))&lt;=TODAY(),TRUE,FALSE)</f>
        <v>1</v>
      </c>
      <c r="E17" s="25">
        <f t="shared" ca="1" si="0"/>
        <v>1</v>
      </c>
      <c r="F17" s="24" t="s">
        <v>221</v>
      </c>
      <c r="G17">
        <v>2</v>
      </c>
      <c r="H17">
        <f>IFERROR(
 --(INDEX('PW_CMI GRADE 10'!$C$7:$C$31,MATCH(LEFT($A17,LEN($A17)-2),'PW_CMI GRADE 10'!$B$7:$B$31,0))="P")+
 --(INDEX('PW_CMI GRADE 10'!$I$7:$I$31,MATCH(LEFT($A17,LEN($A17)-2),'PW_CMI GRADE 10'!$B$7:$B$31,0))="P")+
 --(INDEX('PW_CMI GRADE 10'!$O$7:$O$31,MATCH(LEFT($A17,LEN($A17)-2),'PW_CMI GRADE 10'!$B$7:$B$31,0))="P")+
 --(INDEX('PW_CMI GRADE 10'!$U$7:$U$31,MATCH(LEFT($A17,LEN($A17)-2),'PW_CMI GRADE 10'!$B$7:$B$31,0))="P")+
 --(INDEX('PW_CMI GRADE 10'!$AA$7:$AA$31,MATCH(LEFT($A17,LEN($A17)-2),'PW_CMI GRADE 10'!$B$7:$B$31,0))="P")+
 --(INDEX('PW_CMI GRADE 10'!$AG$7:$AG$31,MATCH(LEFT($A17,LEN($A17)-2),'PW_CMI GRADE 10'!$B$7:$B$31,0))="P")+
 --(INDEX('PW_CMI GRADE 10'!$AM$7:$AM$31,MATCH(LEFT($A17,LEN($A17)-2),'PW_CMI GRADE 10'!$B$7:$B$31,0))="P"),
0)</f>
        <v>0</v>
      </c>
      <c r="I17" s="24" t="b">
        <f ca="1">IF(IF(_xlfn.XLOOKUP(LEFT($A17,LEN($A17)-2),'PW_CMI GRADE 10'!$B$7:$B$31,'PW_CMI GRADE 10'!$AS$7:$AS$31,"",0,1)=0,"",_xlfn.XLOOKUP(LEFT($A17,LEN($A17)-2),'PW_CMI GRADE 10'!$B$7:$B$31,'PW_CMI GRADE 10'!$AS$7:$AS$31,"",0,1))&lt;=TODAY(),TRUE,FALSE)</f>
        <v>0</v>
      </c>
      <c r="J17" s="25" t="str">
        <f t="shared" ca="1" si="1"/>
        <v/>
      </c>
    </row>
    <row r="18" spans="1:10">
      <c r="A18" s="24" t="s">
        <v>222</v>
      </c>
      <c r="B18">
        <v>2</v>
      </c>
      <c r="C18">
        <f>IFERROR(
 --(INDEX('TH_CMI GRADE 10'!$C$7:$C$49,MATCH(LEFT($A18,LEN($A18)-2),'TH_CMI GRADE 10'!$B$7:$B$49,0))="P")+
 --(INDEX('TH_CMI GRADE 10'!$I$7:$I$49,MATCH(LEFT($A18,LEN($A18)-2),'TH_CMI GRADE 10'!$B$7:$B$49,0))="P")+
 --(INDEX('TH_CMI GRADE 10'!$O$7:$O$49,MATCH(LEFT($A18,LEN($A18)-2),'TH_CMI GRADE 10'!$B$7:$B$49,0))="P")+
 --(INDEX('TH_CMI GRADE 10'!$U$7:$U$49,MATCH(LEFT($A18,LEN($A18)-2),'TH_CMI GRADE 10'!$B$7:$B$49,0))="P")+
 --(INDEX('TH_CMI GRADE 10'!$AA$7:$AA$49,MATCH(LEFT($A18,LEN($A18)-2),'TH_CMI GRADE 10'!$B$7:$B$49,0))="P")+
 --(INDEX('TH_CMI GRADE 10'!$AG$7:$AG$49,MATCH(LEFT($A18,LEN($A18)-2),'TH_CMI GRADE 10'!$B$7:$B$49,0))="P")+
 --(INDEX('TH_CMI GRADE 10'!$AM$7:$AM$49,MATCH(LEFT($A18,LEN($A18)-2),'TH_CMI GRADE 10'!$B$7:$B$49,0))="P"),
0)</f>
        <v>2</v>
      </c>
      <c r="D18" s="24" t="b">
        <f ca="1">IF(IF(_xlfn.XLOOKUP(LEFT(A18,LEN(A18)-2),'TH_CMI GRADE 10'!$B$7:$B$49,'TH_CMI GRADE 10'!$AS$7:$AS$49,"",0,1)=0,"",_xlfn.XLOOKUP(LEFT(A18,LEN(A18)-2),'TH_CMI GRADE 10'!$B$7:$B$49,'TH_CMI GRADE 10'!$AS$7:$AS$49,"",0,1))&lt;=TODAY(),TRUE,FALSE)</f>
        <v>1</v>
      </c>
      <c r="E18" s="25">
        <f t="shared" ca="1" si="0"/>
        <v>1</v>
      </c>
      <c r="F18" s="24" t="s">
        <v>222</v>
      </c>
      <c r="G18">
        <v>2</v>
      </c>
      <c r="H18">
        <f>IFERROR(
 --(INDEX('PW_CMI GRADE 10'!$C$7:$C$31,MATCH(LEFT($A18,LEN($A18)-2),'PW_CMI GRADE 10'!$B$7:$B$31,0))="P")+
 --(INDEX('PW_CMI GRADE 10'!$I$7:$I$31,MATCH(LEFT($A18,LEN($A18)-2),'PW_CMI GRADE 10'!$B$7:$B$31,0))="P")+
 --(INDEX('PW_CMI GRADE 10'!$O$7:$O$31,MATCH(LEFT($A18,LEN($A18)-2),'PW_CMI GRADE 10'!$B$7:$B$31,0))="P")+
 --(INDEX('PW_CMI GRADE 10'!$U$7:$U$31,MATCH(LEFT($A18,LEN($A18)-2),'PW_CMI GRADE 10'!$B$7:$B$31,0))="P")+
 --(INDEX('PW_CMI GRADE 10'!$AA$7:$AA$31,MATCH(LEFT($A18,LEN($A18)-2),'PW_CMI GRADE 10'!$B$7:$B$31,0))="P")+
 --(INDEX('PW_CMI GRADE 10'!$AG$7:$AG$31,MATCH(LEFT($A18,LEN($A18)-2),'PW_CMI GRADE 10'!$B$7:$B$31,0))="P")+
 --(INDEX('PW_CMI GRADE 10'!$AM$7:$AM$31,MATCH(LEFT($A18,LEN($A18)-2),'PW_CMI GRADE 10'!$B$7:$B$31,0))="P"),
0)</f>
        <v>0</v>
      </c>
      <c r="I18" s="24" t="b">
        <f ca="1">IF(IF(_xlfn.XLOOKUP(LEFT($A18,LEN($A18)-2),'PW_CMI GRADE 10'!$B$7:$B$31,'PW_CMI GRADE 10'!$AS$7:$AS$31,"",0,1)=0,"",_xlfn.XLOOKUP(LEFT($A18,LEN($A18)-2),'PW_CMI GRADE 10'!$B$7:$B$31,'PW_CMI GRADE 10'!$AS$7:$AS$31,"",0,1))&lt;=TODAY(),TRUE,FALSE)</f>
        <v>0</v>
      </c>
      <c r="J18" s="25" t="str">
        <f t="shared" ca="1" si="1"/>
        <v/>
      </c>
    </row>
    <row r="19" spans="1:10">
      <c r="A19" s="24" t="s">
        <v>223</v>
      </c>
      <c r="B19">
        <v>2</v>
      </c>
      <c r="C19">
        <f>IFERROR(
 --(INDEX('TH_CMI GRADE 10'!$C$7:$C$49,MATCH(LEFT($A19,LEN($A19)-2),'TH_CMI GRADE 10'!$B$7:$B$49,0))="P")+
 --(INDEX('TH_CMI GRADE 10'!$I$7:$I$49,MATCH(LEFT($A19,LEN($A19)-2),'TH_CMI GRADE 10'!$B$7:$B$49,0))="P")+
 --(INDEX('TH_CMI GRADE 10'!$O$7:$O$49,MATCH(LEFT($A19,LEN($A19)-2),'TH_CMI GRADE 10'!$B$7:$B$49,0))="P")+
 --(INDEX('TH_CMI GRADE 10'!$U$7:$U$49,MATCH(LEFT($A19,LEN($A19)-2),'TH_CMI GRADE 10'!$B$7:$B$49,0))="P")+
 --(INDEX('TH_CMI GRADE 10'!$AA$7:$AA$49,MATCH(LEFT($A19,LEN($A19)-2),'TH_CMI GRADE 10'!$B$7:$B$49,0))="P")+
 --(INDEX('TH_CMI GRADE 10'!$AG$7:$AG$49,MATCH(LEFT($A19,LEN($A19)-2),'TH_CMI GRADE 10'!$B$7:$B$49,0))="P")+
 --(INDEX('TH_CMI GRADE 10'!$AM$7:$AM$49,MATCH(LEFT($A19,LEN($A19)-2),'TH_CMI GRADE 10'!$B$7:$B$49,0))="P"),
0)</f>
        <v>0</v>
      </c>
      <c r="D19" s="24" t="b">
        <f ca="1">IF(IF(_xlfn.XLOOKUP(LEFT(A19,LEN(A19)-2),'TH_CMI GRADE 10'!$B$7:$B$49,'TH_CMI GRADE 10'!$AS$7:$AS$49,"",0,1)=0,"",_xlfn.XLOOKUP(LEFT(A19,LEN(A19)-2),'TH_CMI GRADE 10'!$B$7:$B$49,'TH_CMI GRADE 10'!$AS$7:$AS$49,"",0,1))&lt;=TODAY(),TRUE,FALSE)</f>
        <v>0</v>
      </c>
      <c r="E19" s="25" t="str">
        <f t="shared" ca="1" si="0"/>
        <v/>
      </c>
      <c r="F19" s="24" t="s">
        <v>223</v>
      </c>
      <c r="G19">
        <v>2</v>
      </c>
      <c r="H19">
        <f>IFERROR(
 --(INDEX('PW_CMI GRADE 10'!$C$7:$C$31,MATCH(LEFT($A19,LEN($A19)-2),'PW_CMI GRADE 10'!$B$7:$B$31,0))="P")+
 --(INDEX('PW_CMI GRADE 10'!$I$7:$I$31,MATCH(LEFT($A19,LEN($A19)-2),'PW_CMI GRADE 10'!$B$7:$B$31,0))="P")+
 --(INDEX('PW_CMI GRADE 10'!$O$7:$O$31,MATCH(LEFT($A19,LEN($A19)-2),'PW_CMI GRADE 10'!$B$7:$B$31,0))="P")+
 --(INDEX('PW_CMI GRADE 10'!$U$7:$U$31,MATCH(LEFT($A19,LEN($A19)-2),'PW_CMI GRADE 10'!$B$7:$B$31,0))="P")+
 --(INDEX('PW_CMI GRADE 10'!$AA$7:$AA$31,MATCH(LEFT($A19,LEN($A19)-2),'PW_CMI GRADE 10'!$B$7:$B$31,0))="P")+
 --(INDEX('PW_CMI GRADE 10'!$AG$7:$AG$31,MATCH(LEFT($A19,LEN($A19)-2),'PW_CMI GRADE 10'!$B$7:$B$31,0))="P")+
 --(INDEX('PW_CMI GRADE 10'!$AM$7:$AM$31,MATCH(LEFT($A19,LEN($A19)-2),'PW_CMI GRADE 10'!$B$7:$B$31,0))="P"),
0)</f>
        <v>2</v>
      </c>
      <c r="I19" s="24" t="b">
        <f ca="1">IF(IF(_xlfn.XLOOKUP(LEFT($A19,LEN($A19)-2),'PW_CMI GRADE 10'!$B$7:$B$31,'PW_CMI GRADE 10'!$AS$7:$AS$31,"",0,1)=0,"",_xlfn.XLOOKUP(LEFT($A19,LEN($A19)-2),'PW_CMI GRADE 10'!$B$7:$B$31,'PW_CMI GRADE 10'!$AS$7:$AS$31,"",0,1))&lt;=TODAY(),TRUE,FALSE)</f>
        <v>1</v>
      </c>
      <c r="J19" s="25">
        <f t="shared" ca="1" si="1"/>
        <v>1</v>
      </c>
    </row>
    <row r="20" spans="1:10">
      <c r="A20" s="24" t="s">
        <v>224</v>
      </c>
      <c r="B20">
        <v>2</v>
      </c>
      <c r="C20">
        <f>IFERROR(
 --(INDEX('TH_CMI GRADE 10'!$C$7:$C$49,MATCH(LEFT($A20,LEN($A20)-2),'TH_CMI GRADE 10'!$B$7:$B$49,0))="P")+
 --(INDEX('TH_CMI GRADE 10'!$I$7:$I$49,MATCH(LEFT($A20,LEN($A20)-2),'TH_CMI GRADE 10'!$B$7:$B$49,0))="P")+
 --(INDEX('TH_CMI GRADE 10'!$O$7:$O$49,MATCH(LEFT($A20,LEN($A20)-2),'TH_CMI GRADE 10'!$B$7:$B$49,0))="P")+
 --(INDEX('TH_CMI GRADE 10'!$U$7:$U$49,MATCH(LEFT($A20,LEN($A20)-2),'TH_CMI GRADE 10'!$B$7:$B$49,0))="P")+
 --(INDEX('TH_CMI GRADE 10'!$AA$7:$AA$49,MATCH(LEFT($A20,LEN($A20)-2),'TH_CMI GRADE 10'!$B$7:$B$49,0))="P")+
 --(INDEX('TH_CMI GRADE 10'!$AG$7:$AG$49,MATCH(LEFT($A20,LEN($A20)-2),'TH_CMI GRADE 10'!$B$7:$B$49,0))="P")+
 --(INDEX('TH_CMI GRADE 10'!$AM$7:$AM$49,MATCH(LEFT($A20,LEN($A20)-2),'TH_CMI GRADE 10'!$B$7:$B$49,0))="P"),
0)</f>
        <v>0</v>
      </c>
      <c r="D20" s="24" t="b">
        <f ca="1">IF(IF(_xlfn.XLOOKUP(LEFT(A20,LEN(A20)-2),'TH_CMI GRADE 10'!$B$7:$B$49,'TH_CMI GRADE 10'!$AS$7:$AS$49,"",0,1)=0,"",_xlfn.XLOOKUP(LEFT(A20,LEN(A20)-2),'TH_CMI GRADE 10'!$B$7:$B$49,'TH_CMI GRADE 10'!$AS$7:$AS$49,"",0,1))&lt;=TODAY(),TRUE,FALSE)</f>
        <v>0</v>
      </c>
      <c r="E20" s="25" t="str">
        <f t="shared" ca="1" si="0"/>
        <v/>
      </c>
      <c r="F20" s="24" t="s">
        <v>224</v>
      </c>
      <c r="G20">
        <v>2</v>
      </c>
      <c r="H20">
        <f>IFERROR(
 --(INDEX('PW_CMI GRADE 10'!$C$7:$C$31,MATCH(LEFT($A20,LEN($A20)-2),'PW_CMI GRADE 10'!$B$7:$B$31,0))="P")+
 --(INDEX('PW_CMI GRADE 10'!$I$7:$I$31,MATCH(LEFT($A20,LEN($A20)-2),'PW_CMI GRADE 10'!$B$7:$B$31,0))="P")+
 --(INDEX('PW_CMI GRADE 10'!$O$7:$O$31,MATCH(LEFT($A20,LEN($A20)-2),'PW_CMI GRADE 10'!$B$7:$B$31,0))="P")+
 --(INDEX('PW_CMI GRADE 10'!$U$7:$U$31,MATCH(LEFT($A20,LEN($A20)-2),'PW_CMI GRADE 10'!$B$7:$B$31,0))="P")+
 --(INDEX('PW_CMI GRADE 10'!$AA$7:$AA$31,MATCH(LEFT($A20,LEN($A20)-2),'PW_CMI GRADE 10'!$B$7:$B$31,0))="P")+
 --(INDEX('PW_CMI GRADE 10'!$AG$7:$AG$31,MATCH(LEFT($A20,LEN($A20)-2),'PW_CMI GRADE 10'!$B$7:$B$31,0))="P")+
 --(INDEX('PW_CMI GRADE 10'!$AM$7:$AM$31,MATCH(LEFT($A20,LEN($A20)-2),'PW_CMI GRADE 10'!$B$7:$B$31,0))="P"),
0)</f>
        <v>2</v>
      </c>
      <c r="I20" s="24" t="b">
        <f ca="1">IF(IF(_xlfn.XLOOKUP(LEFT($A20,LEN($A20)-2),'PW_CMI GRADE 10'!$B$7:$B$31,'PW_CMI GRADE 10'!$AS$7:$AS$31,"",0,1)=0,"",_xlfn.XLOOKUP(LEFT($A20,LEN($A20)-2),'PW_CMI GRADE 10'!$B$7:$B$31,'PW_CMI GRADE 10'!$AS$7:$AS$31,"",0,1))&lt;=TODAY(),TRUE,FALSE)</f>
        <v>1</v>
      </c>
      <c r="J20" s="25">
        <f t="shared" ca="1" si="1"/>
        <v>1</v>
      </c>
    </row>
    <row r="21" spans="1:10">
      <c r="A21" s="24" t="s">
        <v>225</v>
      </c>
      <c r="B21">
        <v>2</v>
      </c>
      <c r="C21">
        <f>IFERROR(
 --(INDEX('TH_CMI GRADE 10'!$C$7:$C$49,MATCH(LEFT($A21,LEN($A21)-2),'TH_CMI GRADE 10'!$B$7:$B$49,0))="P")+
 --(INDEX('TH_CMI GRADE 10'!$I$7:$I$49,MATCH(LEFT($A21,LEN($A21)-2),'TH_CMI GRADE 10'!$B$7:$B$49,0))="P")+
 --(INDEX('TH_CMI GRADE 10'!$O$7:$O$49,MATCH(LEFT($A21,LEN($A21)-2),'TH_CMI GRADE 10'!$B$7:$B$49,0))="P")+
 --(INDEX('TH_CMI GRADE 10'!$U$7:$U$49,MATCH(LEFT($A21,LEN($A21)-2),'TH_CMI GRADE 10'!$B$7:$B$49,0))="P")+
 --(INDEX('TH_CMI GRADE 10'!$AA$7:$AA$49,MATCH(LEFT($A21,LEN($A21)-2),'TH_CMI GRADE 10'!$B$7:$B$49,0))="P")+
 --(INDEX('TH_CMI GRADE 10'!$AG$7:$AG$49,MATCH(LEFT($A21,LEN($A21)-2),'TH_CMI GRADE 10'!$B$7:$B$49,0))="P")+
 --(INDEX('TH_CMI GRADE 10'!$AM$7:$AM$49,MATCH(LEFT($A21,LEN($A21)-2),'TH_CMI GRADE 10'!$B$7:$B$49,0))="P"),
0)</f>
        <v>2</v>
      </c>
      <c r="D21" s="24" t="b">
        <f ca="1">IF(IF(_xlfn.XLOOKUP(LEFT(A21,LEN(A21)-2),'TH_CMI GRADE 10'!$B$7:$B$49,'TH_CMI GRADE 10'!$AS$7:$AS$49,"",0,1)=0,"",_xlfn.XLOOKUP(LEFT(A21,LEN(A21)-2),'TH_CMI GRADE 10'!$B$7:$B$49,'TH_CMI GRADE 10'!$AS$7:$AS$49,"",0,1))&lt;=TODAY(),TRUE,FALSE)</f>
        <v>1</v>
      </c>
      <c r="E21" s="25">
        <f t="shared" ca="1" si="0"/>
        <v>1</v>
      </c>
      <c r="F21" s="24" t="s">
        <v>225</v>
      </c>
      <c r="G21">
        <v>2</v>
      </c>
      <c r="H21">
        <f>IFERROR(
 --(INDEX('PW_CMI GRADE 10'!$C$7:$C$31,MATCH(LEFT($A21,LEN($A21)-2),'PW_CMI GRADE 10'!$B$7:$B$31,0))="P")+
 --(INDEX('PW_CMI GRADE 10'!$I$7:$I$31,MATCH(LEFT($A21,LEN($A21)-2),'PW_CMI GRADE 10'!$B$7:$B$31,0))="P")+
 --(INDEX('PW_CMI GRADE 10'!$O$7:$O$31,MATCH(LEFT($A21,LEN($A21)-2),'PW_CMI GRADE 10'!$B$7:$B$31,0))="P")+
 --(INDEX('PW_CMI GRADE 10'!$U$7:$U$31,MATCH(LEFT($A21,LEN($A21)-2),'PW_CMI GRADE 10'!$B$7:$B$31,0))="P")+
 --(INDEX('PW_CMI GRADE 10'!$AA$7:$AA$31,MATCH(LEFT($A21,LEN($A21)-2),'PW_CMI GRADE 10'!$B$7:$B$31,0))="P")+
 --(INDEX('PW_CMI GRADE 10'!$AG$7:$AG$31,MATCH(LEFT($A21,LEN($A21)-2),'PW_CMI GRADE 10'!$B$7:$B$31,0))="P")+
 --(INDEX('PW_CMI GRADE 10'!$AM$7:$AM$31,MATCH(LEFT($A21,LEN($A21)-2),'PW_CMI GRADE 10'!$B$7:$B$31,0))="P"),
0)</f>
        <v>0</v>
      </c>
      <c r="I21" s="24" t="b">
        <f ca="1">IF(IF(_xlfn.XLOOKUP(LEFT($A21,LEN($A21)-2),'PW_CMI GRADE 10'!$B$7:$B$31,'PW_CMI GRADE 10'!$AS$7:$AS$31,"",0,1)=0,"",_xlfn.XLOOKUP(LEFT($A21,LEN($A21)-2),'PW_CMI GRADE 10'!$B$7:$B$31,'PW_CMI GRADE 10'!$AS$7:$AS$31,"",0,1))&lt;=TODAY(),TRUE,FALSE)</f>
        <v>0</v>
      </c>
      <c r="J21" s="25" t="str">
        <f t="shared" ca="1" si="1"/>
        <v/>
      </c>
    </row>
    <row r="22" spans="1:10">
      <c r="A22" s="24" t="s">
        <v>226</v>
      </c>
      <c r="B22">
        <v>2</v>
      </c>
      <c r="C22">
        <f>IFERROR(
 --(INDEX('TH_CMI GRADE 10'!$C$7:$C$49,MATCH(LEFT($A22,LEN($A22)-2),'TH_CMI GRADE 10'!$B$7:$B$49,0))="P")+
 --(INDEX('TH_CMI GRADE 10'!$I$7:$I$49,MATCH(LEFT($A22,LEN($A22)-2),'TH_CMI GRADE 10'!$B$7:$B$49,0))="P")+
 --(INDEX('TH_CMI GRADE 10'!$O$7:$O$49,MATCH(LEFT($A22,LEN($A22)-2),'TH_CMI GRADE 10'!$B$7:$B$49,0))="P")+
 --(INDEX('TH_CMI GRADE 10'!$U$7:$U$49,MATCH(LEFT($A22,LEN($A22)-2),'TH_CMI GRADE 10'!$B$7:$B$49,0))="P")+
 --(INDEX('TH_CMI GRADE 10'!$AA$7:$AA$49,MATCH(LEFT($A22,LEN($A22)-2),'TH_CMI GRADE 10'!$B$7:$B$49,0))="P")+
 --(INDEX('TH_CMI GRADE 10'!$AG$7:$AG$49,MATCH(LEFT($A22,LEN($A22)-2),'TH_CMI GRADE 10'!$B$7:$B$49,0))="P")+
 --(INDEX('TH_CMI GRADE 10'!$AM$7:$AM$49,MATCH(LEFT($A22,LEN($A22)-2),'TH_CMI GRADE 10'!$B$7:$B$49,0))="P"),
0)</f>
        <v>2</v>
      </c>
      <c r="D22" s="24" t="b">
        <f ca="1">IF(IF(_xlfn.XLOOKUP(LEFT(A22,LEN(A22)-2),'TH_CMI GRADE 10'!$B$7:$B$49,'TH_CMI GRADE 10'!$AS$7:$AS$49,"",0,1)=0,"",_xlfn.XLOOKUP(LEFT(A22,LEN(A22)-2),'TH_CMI GRADE 10'!$B$7:$B$49,'TH_CMI GRADE 10'!$AS$7:$AS$49,"",0,1))&lt;=TODAY(),TRUE,FALSE)</f>
        <v>1</v>
      </c>
      <c r="E22" s="25">
        <f t="shared" ca="1" si="0"/>
        <v>1</v>
      </c>
      <c r="F22" s="24" t="s">
        <v>226</v>
      </c>
      <c r="G22">
        <v>2</v>
      </c>
      <c r="H22">
        <f>IFERROR(
 --(INDEX('PW_CMI GRADE 10'!$C$7:$C$31,MATCH(LEFT($A22,LEN($A22)-2),'PW_CMI GRADE 10'!$B$7:$B$31,0))="P")+
 --(INDEX('PW_CMI GRADE 10'!$I$7:$I$31,MATCH(LEFT($A22,LEN($A22)-2),'PW_CMI GRADE 10'!$B$7:$B$31,0))="P")+
 --(INDEX('PW_CMI GRADE 10'!$O$7:$O$31,MATCH(LEFT($A22,LEN($A22)-2),'PW_CMI GRADE 10'!$B$7:$B$31,0))="P")+
 --(INDEX('PW_CMI GRADE 10'!$U$7:$U$31,MATCH(LEFT($A22,LEN($A22)-2),'PW_CMI GRADE 10'!$B$7:$B$31,0))="P")+
 --(INDEX('PW_CMI GRADE 10'!$AA$7:$AA$31,MATCH(LEFT($A22,LEN($A22)-2),'PW_CMI GRADE 10'!$B$7:$B$31,0))="P")+
 --(INDEX('PW_CMI GRADE 10'!$AG$7:$AG$31,MATCH(LEFT($A22,LEN($A22)-2),'PW_CMI GRADE 10'!$B$7:$B$31,0))="P")+
 --(INDEX('PW_CMI GRADE 10'!$AM$7:$AM$31,MATCH(LEFT($A22,LEN($A22)-2),'PW_CMI GRADE 10'!$B$7:$B$31,0))="P"),
0)</f>
        <v>0</v>
      </c>
      <c r="I22" s="24" t="b">
        <f ca="1">IF(IF(_xlfn.XLOOKUP(LEFT($A22,LEN($A22)-2),'PW_CMI GRADE 10'!$B$7:$B$31,'PW_CMI GRADE 10'!$AS$7:$AS$31,"",0,1)=0,"",_xlfn.XLOOKUP(LEFT($A22,LEN($A22)-2),'PW_CMI GRADE 10'!$B$7:$B$31,'PW_CMI GRADE 10'!$AS$7:$AS$31,"",0,1))&lt;=TODAY(),TRUE,FALSE)</f>
        <v>0</v>
      </c>
      <c r="J22" s="25" t="str">
        <f t="shared" ca="1" si="1"/>
        <v/>
      </c>
    </row>
    <row r="23" spans="1:10">
      <c r="A23" s="24" t="s">
        <v>227</v>
      </c>
      <c r="B23">
        <v>2</v>
      </c>
      <c r="C23">
        <f>IFERROR(
 --(INDEX('TH_CMI GRADE 10'!$C$7:$C$49,MATCH(LEFT($A23,LEN($A23)-2),'TH_CMI GRADE 10'!$B$7:$B$49,0))="P")+
 --(INDEX('TH_CMI GRADE 10'!$I$7:$I$49,MATCH(LEFT($A23,LEN($A23)-2),'TH_CMI GRADE 10'!$B$7:$B$49,0))="P")+
 --(INDEX('TH_CMI GRADE 10'!$O$7:$O$49,MATCH(LEFT($A23,LEN($A23)-2),'TH_CMI GRADE 10'!$B$7:$B$49,0))="P")+
 --(INDEX('TH_CMI GRADE 10'!$U$7:$U$49,MATCH(LEFT($A23,LEN($A23)-2),'TH_CMI GRADE 10'!$B$7:$B$49,0))="P")+
 --(INDEX('TH_CMI GRADE 10'!$AA$7:$AA$49,MATCH(LEFT($A23,LEN($A23)-2),'TH_CMI GRADE 10'!$B$7:$B$49,0))="P")+
 --(INDEX('TH_CMI GRADE 10'!$AG$7:$AG$49,MATCH(LEFT($A23,LEN($A23)-2),'TH_CMI GRADE 10'!$B$7:$B$49,0))="P")+
 --(INDEX('TH_CMI GRADE 10'!$AM$7:$AM$49,MATCH(LEFT($A23,LEN($A23)-2),'TH_CMI GRADE 10'!$B$7:$B$49,0))="P"),
0)</f>
        <v>2</v>
      </c>
      <c r="D23" s="24" t="b">
        <f ca="1">IF(IF(_xlfn.XLOOKUP(LEFT(A23,LEN(A23)-2),'TH_CMI GRADE 10'!$B$7:$B$49,'TH_CMI GRADE 10'!$AS$7:$AS$49,"",0,1)=0,"",_xlfn.XLOOKUP(LEFT(A23,LEN(A23)-2),'TH_CMI GRADE 10'!$B$7:$B$49,'TH_CMI GRADE 10'!$AS$7:$AS$49,"",0,1))&lt;=TODAY(),TRUE,FALSE)</f>
        <v>1</v>
      </c>
      <c r="E23" s="25">
        <f t="shared" ca="1" si="0"/>
        <v>1</v>
      </c>
      <c r="F23" s="24" t="s">
        <v>227</v>
      </c>
      <c r="G23">
        <v>2</v>
      </c>
      <c r="H23">
        <f>IFERROR(
 --(INDEX('PW_CMI GRADE 10'!$C$7:$C$31,MATCH(LEFT($A23,LEN($A23)-2),'PW_CMI GRADE 10'!$B$7:$B$31,0))="P")+
 --(INDEX('PW_CMI GRADE 10'!$I$7:$I$31,MATCH(LEFT($A23,LEN($A23)-2),'PW_CMI GRADE 10'!$B$7:$B$31,0))="P")+
 --(INDEX('PW_CMI GRADE 10'!$O$7:$O$31,MATCH(LEFT($A23,LEN($A23)-2),'PW_CMI GRADE 10'!$B$7:$B$31,0))="P")+
 --(INDEX('PW_CMI GRADE 10'!$U$7:$U$31,MATCH(LEFT($A23,LEN($A23)-2),'PW_CMI GRADE 10'!$B$7:$B$31,0))="P")+
 --(INDEX('PW_CMI GRADE 10'!$AA$7:$AA$31,MATCH(LEFT($A23,LEN($A23)-2),'PW_CMI GRADE 10'!$B$7:$B$31,0))="P")+
 --(INDEX('PW_CMI GRADE 10'!$AG$7:$AG$31,MATCH(LEFT($A23,LEN($A23)-2),'PW_CMI GRADE 10'!$B$7:$B$31,0))="P")+
 --(INDEX('PW_CMI GRADE 10'!$AM$7:$AM$31,MATCH(LEFT($A23,LEN($A23)-2),'PW_CMI GRADE 10'!$B$7:$B$31,0))="P"),
0)</f>
        <v>0</v>
      </c>
      <c r="I23" s="24" t="b">
        <f ca="1">IF(IF(_xlfn.XLOOKUP(LEFT($A23,LEN($A23)-2),'PW_CMI GRADE 10'!$B$7:$B$31,'PW_CMI GRADE 10'!$AS$7:$AS$31,"",0,1)=0,"",_xlfn.XLOOKUP(LEFT($A23,LEN($A23)-2),'PW_CMI GRADE 10'!$B$7:$B$31,'PW_CMI GRADE 10'!$AS$7:$AS$31,"",0,1))&lt;=TODAY(),TRUE,FALSE)</f>
        <v>0</v>
      </c>
      <c r="J23" s="25" t="str">
        <f t="shared" ca="1" si="1"/>
        <v/>
      </c>
    </row>
    <row r="24" spans="1:10">
      <c r="A24" s="24" t="s">
        <v>228</v>
      </c>
      <c r="B24">
        <v>2</v>
      </c>
      <c r="C24">
        <f>IFERROR(
 --(INDEX('TH_CMI GRADE 10'!$C$7:$C$49,MATCH(LEFT($A24,LEN($A24)-2),'TH_CMI GRADE 10'!$B$7:$B$49,0))="P")+
 --(INDEX('TH_CMI GRADE 10'!$I$7:$I$49,MATCH(LEFT($A24,LEN($A24)-2),'TH_CMI GRADE 10'!$B$7:$B$49,0))="P")+
 --(INDEX('TH_CMI GRADE 10'!$O$7:$O$49,MATCH(LEFT($A24,LEN($A24)-2),'TH_CMI GRADE 10'!$B$7:$B$49,0))="P")+
 --(INDEX('TH_CMI GRADE 10'!$U$7:$U$49,MATCH(LEFT($A24,LEN($A24)-2),'TH_CMI GRADE 10'!$B$7:$B$49,0))="P")+
 --(INDEX('TH_CMI GRADE 10'!$AA$7:$AA$49,MATCH(LEFT($A24,LEN($A24)-2),'TH_CMI GRADE 10'!$B$7:$B$49,0))="P")+
 --(INDEX('TH_CMI GRADE 10'!$AG$7:$AG$49,MATCH(LEFT($A24,LEN($A24)-2),'TH_CMI GRADE 10'!$B$7:$B$49,0))="P")+
 --(INDEX('TH_CMI GRADE 10'!$AM$7:$AM$49,MATCH(LEFT($A24,LEN($A24)-2),'TH_CMI GRADE 10'!$B$7:$B$49,0))="P"),
0)</f>
        <v>2</v>
      </c>
      <c r="D24" s="24" t="b">
        <f ca="1">IF(IF(_xlfn.XLOOKUP(LEFT(A24,LEN(A24)-2),'TH_CMI GRADE 10'!$B$7:$B$49,'TH_CMI GRADE 10'!$AS$7:$AS$49,"",0,1)=0,"",_xlfn.XLOOKUP(LEFT(A24,LEN(A24)-2),'TH_CMI GRADE 10'!$B$7:$B$49,'TH_CMI GRADE 10'!$AS$7:$AS$49,"",0,1))&lt;=TODAY(),TRUE,FALSE)</f>
        <v>1</v>
      </c>
      <c r="E24" s="25">
        <f t="shared" ca="1" si="0"/>
        <v>1</v>
      </c>
      <c r="F24" s="24" t="s">
        <v>228</v>
      </c>
      <c r="G24">
        <v>2</v>
      </c>
      <c r="H24">
        <f>IFERROR(
 --(INDEX('PW_CMI GRADE 10'!$C$7:$C$31,MATCH(LEFT($A24,LEN($A24)-2),'PW_CMI GRADE 10'!$B$7:$B$31,0))="P")+
 --(INDEX('PW_CMI GRADE 10'!$I$7:$I$31,MATCH(LEFT($A24,LEN($A24)-2),'PW_CMI GRADE 10'!$B$7:$B$31,0))="P")+
 --(INDEX('PW_CMI GRADE 10'!$O$7:$O$31,MATCH(LEFT($A24,LEN($A24)-2),'PW_CMI GRADE 10'!$B$7:$B$31,0))="P")+
 --(INDEX('PW_CMI GRADE 10'!$U$7:$U$31,MATCH(LEFT($A24,LEN($A24)-2),'PW_CMI GRADE 10'!$B$7:$B$31,0))="P")+
 --(INDEX('PW_CMI GRADE 10'!$AA$7:$AA$31,MATCH(LEFT($A24,LEN($A24)-2),'PW_CMI GRADE 10'!$B$7:$B$31,0))="P")+
 --(INDEX('PW_CMI GRADE 10'!$AG$7:$AG$31,MATCH(LEFT($A24,LEN($A24)-2),'PW_CMI GRADE 10'!$B$7:$B$31,0))="P")+
 --(INDEX('PW_CMI GRADE 10'!$AM$7:$AM$31,MATCH(LEFT($A24,LEN($A24)-2),'PW_CMI GRADE 10'!$B$7:$B$31,0))="P"),
0)</f>
        <v>0</v>
      </c>
      <c r="I24" s="24" t="b">
        <f ca="1">IF(IF(_xlfn.XLOOKUP(LEFT($A24,LEN($A24)-2),'PW_CMI GRADE 10'!$B$7:$B$31,'PW_CMI GRADE 10'!$AS$7:$AS$31,"",0,1)=0,"",_xlfn.XLOOKUP(LEFT($A24,LEN($A24)-2),'PW_CMI GRADE 10'!$B$7:$B$31,'PW_CMI GRADE 10'!$AS$7:$AS$31,"",0,1))&lt;=TODAY(),TRUE,FALSE)</f>
        <v>0</v>
      </c>
      <c r="J24" s="25" t="str">
        <f t="shared" ca="1" si="1"/>
        <v/>
      </c>
    </row>
    <row r="25" spans="1:10">
      <c r="A25" s="24" t="s">
        <v>229</v>
      </c>
      <c r="B25">
        <v>2</v>
      </c>
      <c r="C25">
        <f>IFERROR(
 --(INDEX('TH_CMI GRADE 10'!$C$7:$C$49,MATCH(LEFT($A25,LEN($A25)-2),'TH_CMI GRADE 10'!$B$7:$B$49,0))="P")+
 --(INDEX('TH_CMI GRADE 10'!$I$7:$I$49,MATCH(LEFT($A25,LEN($A25)-2),'TH_CMI GRADE 10'!$B$7:$B$49,0))="P")+
 --(INDEX('TH_CMI GRADE 10'!$O$7:$O$49,MATCH(LEFT($A25,LEN($A25)-2),'TH_CMI GRADE 10'!$B$7:$B$49,0))="P")+
 --(INDEX('TH_CMI GRADE 10'!$U$7:$U$49,MATCH(LEFT($A25,LEN($A25)-2),'TH_CMI GRADE 10'!$B$7:$B$49,0))="P")+
 --(INDEX('TH_CMI GRADE 10'!$AA$7:$AA$49,MATCH(LEFT($A25,LEN($A25)-2),'TH_CMI GRADE 10'!$B$7:$B$49,0))="P")+
 --(INDEX('TH_CMI GRADE 10'!$AG$7:$AG$49,MATCH(LEFT($A25,LEN($A25)-2),'TH_CMI GRADE 10'!$B$7:$B$49,0))="P")+
 --(INDEX('TH_CMI GRADE 10'!$AM$7:$AM$49,MATCH(LEFT($A25,LEN($A25)-2),'TH_CMI GRADE 10'!$B$7:$B$49,0))="P"),
0)</f>
        <v>2</v>
      </c>
      <c r="D25" s="24" t="b">
        <f ca="1">IF(IF(_xlfn.XLOOKUP(LEFT(A25,LEN(A25)-2),'TH_CMI GRADE 10'!$B$7:$B$49,'TH_CMI GRADE 10'!$AS$7:$AS$49,"",0,1)=0,"",_xlfn.XLOOKUP(LEFT(A25,LEN(A25)-2),'TH_CMI GRADE 10'!$B$7:$B$49,'TH_CMI GRADE 10'!$AS$7:$AS$49,"",0,1))&lt;=TODAY(),TRUE,FALSE)</f>
        <v>1</v>
      </c>
      <c r="E25" s="25">
        <f t="shared" ca="1" si="0"/>
        <v>1</v>
      </c>
      <c r="F25" s="24" t="s">
        <v>229</v>
      </c>
      <c r="G25">
        <v>2</v>
      </c>
      <c r="H25">
        <f>IFERROR(
 --(INDEX('PW_CMI GRADE 10'!$C$7:$C$31,MATCH(LEFT($A25,LEN($A25)-2),'PW_CMI GRADE 10'!$B$7:$B$31,0))="P")+
 --(INDEX('PW_CMI GRADE 10'!$I$7:$I$31,MATCH(LEFT($A25,LEN($A25)-2),'PW_CMI GRADE 10'!$B$7:$B$31,0))="P")+
 --(INDEX('PW_CMI GRADE 10'!$O$7:$O$31,MATCH(LEFT($A25,LEN($A25)-2),'PW_CMI GRADE 10'!$B$7:$B$31,0))="P")+
 --(INDEX('PW_CMI GRADE 10'!$U$7:$U$31,MATCH(LEFT($A25,LEN($A25)-2),'PW_CMI GRADE 10'!$B$7:$B$31,0))="P")+
 --(INDEX('PW_CMI GRADE 10'!$AA$7:$AA$31,MATCH(LEFT($A25,LEN($A25)-2),'PW_CMI GRADE 10'!$B$7:$B$31,0))="P")+
 --(INDEX('PW_CMI GRADE 10'!$AG$7:$AG$31,MATCH(LEFT($A25,LEN($A25)-2),'PW_CMI GRADE 10'!$B$7:$B$31,0))="P")+
 --(INDEX('PW_CMI GRADE 10'!$AM$7:$AM$31,MATCH(LEFT($A25,LEN($A25)-2),'PW_CMI GRADE 10'!$B$7:$B$31,0))="P"),
0)</f>
        <v>0</v>
      </c>
      <c r="I25" s="24" t="b">
        <f ca="1">IF(IF(_xlfn.XLOOKUP(LEFT($A25,LEN($A25)-2),'PW_CMI GRADE 10'!$B$7:$B$31,'PW_CMI GRADE 10'!$AS$7:$AS$31,"",0,1)=0,"",_xlfn.XLOOKUP(LEFT($A25,LEN($A25)-2),'PW_CMI GRADE 10'!$B$7:$B$31,'PW_CMI GRADE 10'!$AS$7:$AS$31,"",0,1))&lt;=TODAY(),TRUE,FALSE)</f>
        <v>0</v>
      </c>
      <c r="J25" s="25" t="str">
        <f t="shared" ca="1" si="1"/>
        <v/>
      </c>
    </row>
    <row r="26" spans="1:10">
      <c r="A26" s="24" t="s">
        <v>230</v>
      </c>
      <c r="B26">
        <v>2</v>
      </c>
      <c r="C26">
        <f>IFERROR(
 --(INDEX('TH_CMI GRADE 10'!$C$7:$C$49,MATCH(LEFT($A26,LEN($A26)-2),'TH_CMI GRADE 10'!$B$7:$B$49,0))="P")+
 --(INDEX('TH_CMI GRADE 10'!$I$7:$I$49,MATCH(LEFT($A26,LEN($A26)-2),'TH_CMI GRADE 10'!$B$7:$B$49,0))="P")+
 --(INDEX('TH_CMI GRADE 10'!$O$7:$O$49,MATCH(LEFT($A26,LEN($A26)-2),'TH_CMI GRADE 10'!$B$7:$B$49,0))="P")+
 --(INDEX('TH_CMI GRADE 10'!$U$7:$U$49,MATCH(LEFT($A26,LEN($A26)-2),'TH_CMI GRADE 10'!$B$7:$B$49,0))="P")+
 --(INDEX('TH_CMI GRADE 10'!$AA$7:$AA$49,MATCH(LEFT($A26,LEN($A26)-2),'TH_CMI GRADE 10'!$B$7:$B$49,0))="P")+
 --(INDEX('TH_CMI GRADE 10'!$AG$7:$AG$49,MATCH(LEFT($A26,LEN($A26)-2),'TH_CMI GRADE 10'!$B$7:$B$49,0))="P")+
 --(INDEX('TH_CMI GRADE 10'!$AM$7:$AM$49,MATCH(LEFT($A26,LEN($A26)-2),'TH_CMI GRADE 10'!$B$7:$B$49,0))="P"),
0)</f>
        <v>2</v>
      </c>
      <c r="D26" s="24" t="b">
        <f ca="1">IF(IF(_xlfn.XLOOKUP(LEFT(A26,LEN(A26)-2),'TH_CMI GRADE 10'!$B$7:$B$49,'TH_CMI GRADE 10'!$AS$7:$AS$49,"",0,1)=0,"",_xlfn.XLOOKUP(LEFT(A26,LEN(A26)-2),'TH_CMI GRADE 10'!$B$7:$B$49,'TH_CMI GRADE 10'!$AS$7:$AS$49,"",0,1))&lt;=TODAY(),TRUE,FALSE)</f>
        <v>1</v>
      </c>
      <c r="E26" s="25">
        <f t="shared" ca="1" si="0"/>
        <v>1</v>
      </c>
      <c r="F26" s="24" t="s">
        <v>230</v>
      </c>
      <c r="G26">
        <v>2</v>
      </c>
      <c r="H26">
        <f>IFERROR(
 --(INDEX('PW_CMI GRADE 10'!$C$7:$C$31,MATCH(LEFT($A26,LEN($A26)-2),'PW_CMI GRADE 10'!$B$7:$B$31,0))="P")+
 --(INDEX('PW_CMI GRADE 10'!$I$7:$I$31,MATCH(LEFT($A26,LEN($A26)-2),'PW_CMI GRADE 10'!$B$7:$B$31,0))="P")+
 --(INDEX('PW_CMI GRADE 10'!$O$7:$O$31,MATCH(LEFT($A26,LEN($A26)-2),'PW_CMI GRADE 10'!$B$7:$B$31,0))="P")+
 --(INDEX('PW_CMI GRADE 10'!$U$7:$U$31,MATCH(LEFT($A26,LEN($A26)-2),'PW_CMI GRADE 10'!$B$7:$B$31,0))="P")+
 --(INDEX('PW_CMI GRADE 10'!$AA$7:$AA$31,MATCH(LEFT($A26,LEN($A26)-2),'PW_CMI GRADE 10'!$B$7:$B$31,0))="P")+
 --(INDEX('PW_CMI GRADE 10'!$AG$7:$AG$31,MATCH(LEFT($A26,LEN($A26)-2),'PW_CMI GRADE 10'!$B$7:$B$31,0))="P")+
 --(INDEX('PW_CMI GRADE 10'!$AM$7:$AM$31,MATCH(LEFT($A26,LEN($A26)-2),'PW_CMI GRADE 10'!$B$7:$B$31,0))="P"),
0)</f>
        <v>3</v>
      </c>
      <c r="I26" s="24" t="b">
        <f ca="1">IF(IF(_xlfn.XLOOKUP(LEFT($A26,LEN($A26)-2),'PW_CMI GRADE 10'!$B$7:$B$31,'PW_CMI GRADE 10'!$AS$7:$AS$31,"",0,1)=0,"",_xlfn.XLOOKUP(LEFT($A26,LEN($A26)-2),'PW_CMI GRADE 10'!$B$7:$B$31,'PW_CMI GRADE 10'!$AS$7:$AS$31,"",0,1))&lt;=TODAY(),TRUE,FALSE)</f>
        <v>1</v>
      </c>
      <c r="J26" s="25">
        <f t="shared" ca="1" si="1"/>
        <v>1</v>
      </c>
    </row>
    <row r="27" spans="1:10">
      <c r="A27" s="24" t="s">
        <v>231</v>
      </c>
      <c r="B27">
        <v>2</v>
      </c>
      <c r="C27">
        <f>IFERROR(
 --(INDEX('TH_CMI GRADE 10'!$C$7:$C$49,MATCH(LEFT($A27,LEN($A27)-2),'TH_CMI GRADE 10'!$B$7:$B$49,0))="P")+
 --(INDEX('TH_CMI GRADE 10'!$I$7:$I$49,MATCH(LEFT($A27,LEN($A27)-2),'TH_CMI GRADE 10'!$B$7:$B$49,0))="P")+
 --(INDEX('TH_CMI GRADE 10'!$O$7:$O$49,MATCH(LEFT($A27,LEN($A27)-2),'TH_CMI GRADE 10'!$B$7:$B$49,0))="P")+
 --(INDEX('TH_CMI GRADE 10'!$U$7:$U$49,MATCH(LEFT($A27,LEN($A27)-2),'TH_CMI GRADE 10'!$B$7:$B$49,0))="P")+
 --(INDEX('TH_CMI GRADE 10'!$AA$7:$AA$49,MATCH(LEFT($A27,LEN($A27)-2),'TH_CMI GRADE 10'!$B$7:$B$49,0))="P")+
 --(INDEX('TH_CMI GRADE 10'!$AG$7:$AG$49,MATCH(LEFT($A27,LEN($A27)-2),'TH_CMI GRADE 10'!$B$7:$B$49,0))="P")+
 --(INDEX('TH_CMI GRADE 10'!$AM$7:$AM$49,MATCH(LEFT($A27,LEN($A27)-2),'TH_CMI GRADE 10'!$B$7:$B$49,0))="P"),
0)</f>
        <v>2</v>
      </c>
      <c r="D27" s="24" t="b">
        <f ca="1">IF(IF(_xlfn.XLOOKUP(LEFT(A27,LEN(A27)-2),'TH_CMI GRADE 10'!$B$7:$B$49,'TH_CMI GRADE 10'!$AS$7:$AS$49,"",0,1)=0,"",_xlfn.XLOOKUP(LEFT(A27,LEN(A27)-2),'TH_CMI GRADE 10'!$B$7:$B$49,'TH_CMI GRADE 10'!$AS$7:$AS$49,"",0,1))&lt;=TODAY(),TRUE,FALSE)</f>
        <v>1</v>
      </c>
      <c r="E27" s="25">
        <f t="shared" ca="1" si="0"/>
        <v>1</v>
      </c>
      <c r="F27" s="24" t="s">
        <v>231</v>
      </c>
      <c r="G27">
        <v>2</v>
      </c>
      <c r="H27">
        <f>IFERROR(
 --(INDEX('PW_CMI GRADE 10'!$C$7:$C$31,MATCH(LEFT($A27,LEN($A27)-2),'PW_CMI GRADE 10'!$B$7:$B$31,0))="P")+
 --(INDEX('PW_CMI GRADE 10'!$I$7:$I$31,MATCH(LEFT($A27,LEN($A27)-2),'PW_CMI GRADE 10'!$B$7:$B$31,0))="P")+
 --(INDEX('PW_CMI GRADE 10'!$O$7:$O$31,MATCH(LEFT($A27,LEN($A27)-2),'PW_CMI GRADE 10'!$B$7:$B$31,0))="P")+
 --(INDEX('PW_CMI GRADE 10'!$U$7:$U$31,MATCH(LEFT($A27,LEN($A27)-2),'PW_CMI GRADE 10'!$B$7:$B$31,0))="P")+
 --(INDEX('PW_CMI GRADE 10'!$AA$7:$AA$31,MATCH(LEFT($A27,LEN($A27)-2),'PW_CMI GRADE 10'!$B$7:$B$31,0))="P")+
 --(INDEX('PW_CMI GRADE 10'!$AG$7:$AG$31,MATCH(LEFT($A27,LEN($A27)-2),'PW_CMI GRADE 10'!$B$7:$B$31,0))="P")+
 --(INDEX('PW_CMI GRADE 10'!$AM$7:$AM$31,MATCH(LEFT($A27,LEN($A27)-2),'PW_CMI GRADE 10'!$B$7:$B$31,0))="P"),
0)</f>
        <v>0</v>
      </c>
      <c r="I27" s="24" t="b">
        <f ca="1">IF(IF(_xlfn.XLOOKUP(LEFT($A27,LEN($A27)-2),'PW_CMI GRADE 10'!$B$7:$B$31,'PW_CMI GRADE 10'!$AS$7:$AS$31,"",0,1)=0,"",_xlfn.XLOOKUP(LEFT($A27,LEN($A27)-2),'PW_CMI GRADE 10'!$B$7:$B$31,'PW_CMI GRADE 10'!$AS$7:$AS$31,"",0,1))&lt;=TODAY(),TRUE,FALSE)</f>
        <v>0</v>
      </c>
      <c r="J27" s="25" t="str">
        <f t="shared" ca="1" si="1"/>
        <v/>
      </c>
    </row>
    <row r="28" spans="1:10">
      <c r="A28" s="24" t="s">
        <v>232</v>
      </c>
      <c r="B28">
        <v>2</v>
      </c>
      <c r="C28">
        <f>IFERROR(
 --(INDEX('TH_CMI GRADE 10'!$C$7:$C$49,MATCH(LEFT($A28,LEN($A28)-2),'TH_CMI GRADE 10'!$B$7:$B$49,0))="P")+
 --(INDEX('TH_CMI GRADE 10'!$I$7:$I$49,MATCH(LEFT($A28,LEN($A28)-2),'TH_CMI GRADE 10'!$B$7:$B$49,0))="P")+
 --(INDEX('TH_CMI GRADE 10'!$O$7:$O$49,MATCH(LEFT($A28,LEN($A28)-2),'TH_CMI GRADE 10'!$B$7:$B$49,0))="P")+
 --(INDEX('TH_CMI GRADE 10'!$U$7:$U$49,MATCH(LEFT($A28,LEN($A28)-2),'TH_CMI GRADE 10'!$B$7:$B$49,0))="P")+
 --(INDEX('TH_CMI GRADE 10'!$AA$7:$AA$49,MATCH(LEFT($A28,LEN($A28)-2),'TH_CMI GRADE 10'!$B$7:$B$49,0))="P")+
 --(INDEX('TH_CMI GRADE 10'!$AG$7:$AG$49,MATCH(LEFT($A28,LEN($A28)-2),'TH_CMI GRADE 10'!$B$7:$B$49,0))="P")+
 --(INDEX('TH_CMI GRADE 10'!$AM$7:$AM$49,MATCH(LEFT($A28,LEN($A28)-2),'TH_CMI GRADE 10'!$B$7:$B$49,0))="P"),
0)</f>
        <v>2</v>
      </c>
      <c r="D28" s="24" t="b">
        <f ca="1">IF(IF(_xlfn.XLOOKUP(LEFT(A28,LEN(A28)-2),'TH_CMI GRADE 10'!$B$7:$B$49,'TH_CMI GRADE 10'!$AS$7:$AS$49,"",0,1)=0,"",_xlfn.XLOOKUP(LEFT(A28,LEN(A28)-2),'TH_CMI GRADE 10'!$B$7:$B$49,'TH_CMI GRADE 10'!$AS$7:$AS$49,"",0,1))&lt;=TODAY(),TRUE,FALSE)</f>
        <v>1</v>
      </c>
      <c r="E28" s="25">
        <f t="shared" ca="1" si="0"/>
        <v>1</v>
      </c>
      <c r="F28" s="24" t="s">
        <v>232</v>
      </c>
      <c r="G28">
        <v>2</v>
      </c>
      <c r="H28">
        <f>IFERROR(
 --(INDEX('PW_CMI GRADE 10'!$C$7:$C$31,MATCH(LEFT($A28,LEN($A28)-2),'PW_CMI GRADE 10'!$B$7:$B$31,0))="P")+
 --(INDEX('PW_CMI GRADE 10'!$I$7:$I$31,MATCH(LEFT($A28,LEN($A28)-2),'PW_CMI GRADE 10'!$B$7:$B$31,0))="P")+
 --(INDEX('PW_CMI GRADE 10'!$O$7:$O$31,MATCH(LEFT($A28,LEN($A28)-2),'PW_CMI GRADE 10'!$B$7:$B$31,0))="P")+
 --(INDEX('PW_CMI GRADE 10'!$U$7:$U$31,MATCH(LEFT($A28,LEN($A28)-2),'PW_CMI GRADE 10'!$B$7:$B$31,0))="P")+
 --(INDEX('PW_CMI GRADE 10'!$AA$7:$AA$31,MATCH(LEFT($A28,LEN($A28)-2),'PW_CMI GRADE 10'!$B$7:$B$31,0))="P")+
 --(INDEX('PW_CMI GRADE 10'!$AG$7:$AG$31,MATCH(LEFT($A28,LEN($A28)-2),'PW_CMI GRADE 10'!$B$7:$B$31,0))="P")+
 --(INDEX('PW_CMI GRADE 10'!$AM$7:$AM$31,MATCH(LEFT($A28,LEN($A28)-2),'PW_CMI GRADE 10'!$B$7:$B$31,0))="P"),
0)</f>
        <v>2</v>
      </c>
      <c r="I28" s="24" t="b">
        <f ca="1">IF(IF(_xlfn.XLOOKUP(LEFT($A28,LEN($A28)-2),'PW_CMI GRADE 10'!$B$7:$B$31,'PW_CMI GRADE 10'!$AS$7:$AS$31,"",0,1)=0,"",_xlfn.XLOOKUP(LEFT($A28,LEN($A28)-2),'PW_CMI GRADE 10'!$B$7:$B$31,'PW_CMI GRADE 10'!$AS$7:$AS$31,"",0,1))&lt;=TODAY(),TRUE,FALSE)</f>
        <v>1</v>
      </c>
      <c r="J28" s="25">
        <f t="shared" ca="1" si="1"/>
        <v>1</v>
      </c>
    </row>
    <row r="29" spans="1:10">
      <c r="A29" s="24" t="s">
        <v>233</v>
      </c>
      <c r="B29">
        <v>2</v>
      </c>
      <c r="C29">
        <f>IFERROR(
 --(INDEX('TH_CMI GRADE 10'!$C$7:$C$49,MATCH(LEFT($A29,LEN($A29)-2),'TH_CMI GRADE 10'!$B$7:$B$49,0))="P")+
 --(INDEX('TH_CMI GRADE 10'!$I$7:$I$49,MATCH(LEFT($A29,LEN($A29)-2),'TH_CMI GRADE 10'!$B$7:$B$49,0))="P")+
 --(INDEX('TH_CMI GRADE 10'!$O$7:$O$49,MATCH(LEFT($A29,LEN($A29)-2),'TH_CMI GRADE 10'!$B$7:$B$49,0))="P")+
 --(INDEX('TH_CMI GRADE 10'!$U$7:$U$49,MATCH(LEFT($A29,LEN($A29)-2),'TH_CMI GRADE 10'!$B$7:$B$49,0))="P")+
 --(INDEX('TH_CMI GRADE 10'!$AA$7:$AA$49,MATCH(LEFT($A29,LEN($A29)-2),'TH_CMI GRADE 10'!$B$7:$B$49,0))="P")+
 --(INDEX('TH_CMI GRADE 10'!$AG$7:$AG$49,MATCH(LEFT($A29,LEN($A29)-2),'TH_CMI GRADE 10'!$B$7:$B$49,0))="P")+
 --(INDEX('TH_CMI GRADE 10'!$AM$7:$AM$49,MATCH(LEFT($A29,LEN($A29)-2),'TH_CMI GRADE 10'!$B$7:$B$49,0))="P"),
0)</f>
        <v>2</v>
      </c>
      <c r="D29" s="24" t="b">
        <f ca="1">IF(IF(_xlfn.XLOOKUP(LEFT(A29,LEN(A29)-2),'TH_CMI GRADE 10'!$B$7:$B$49,'TH_CMI GRADE 10'!$AS$7:$AS$49,"",0,1)=0,"",_xlfn.XLOOKUP(LEFT(A29,LEN(A29)-2),'TH_CMI GRADE 10'!$B$7:$B$49,'TH_CMI GRADE 10'!$AS$7:$AS$49,"",0,1))&lt;=TODAY(),TRUE,FALSE)</f>
        <v>1</v>
      </c>
      <c r="E29" s="25">
        <f t="shared" ca="1" si="0"/>
        <v>1</v>
      </c>
      <c r="F29" s="24" t="s">
        <v>233</v>
      </c>
      <c r="G29">
        <v>2</v>
      </c>
      <c r="H29">
        <f>IFERROR(
 --(INDEX('PW_CMI GRADE 10'!$C$7:$C$31,MATCH(LEFT($A29,LEN($A29)-2),'PW_CMI GRADE 10'!$B$7:$B$31,0))="P")+
 --(INDEX('PW_CMI GRADE 10'!$I$7:$I$31,MATCH(LEFT($A29,LEN($A29)-2),'PW_CMI GRADE 10'!$B$7:$B$31,0))="P")+
 --(INDEX('PW_CMI GRADE 10'!$O$7:$O$31,MATCH(LEFT($A29,LEN($A29)-2),'PW_CMI GRADE 10'!$B$7:$B$31,0))="P")+
 --(INDEX('PW_CMI GRADE 10'!$U$7:$U$31,MATCH(LEFT($A29,LEN($A29)-2),'PW_CMI GRADE 10'!$B$7:$B$31,0))="P")+
 --(INDEX('PW_CMI GRADE 10'!$AA$7:$AA$31,MATCH(LEFT($A29,LEN($A29)-2),'PW_CMI GRADE 10'!$B$7:$B$31,0))="P")+
 --(INDEX('PW_CMI GRADE 10'!$AG$7:$AG$31,MATCH(LEFT($A29,LEN($A29)-2),'PW_CMI GRADE 10'!$B$7:$B$31,0))="P")+
 --(INDEX('PW_CMI GRADE 10'!$AM$7:$AM$31,MATCH(LEFT($A29,LEN($A29)-2),'PW_CMI GRADE 10'!$B$7:$B$31,0))="P"),
0)</f>
        <v>0</v>
      </c>
      <c r="I29" s="24" t="b">
        <f ca="1">IF(IF(_xlfn.XLOOKUP(LEFT($A29,LEN($A29)-2),'PW_CMI GRADE 10'!$B$7:$B$31,'PW_CMI GRADE 10'!$AS$7:$AS$31,"",0,1)=0,"",_xlfn.XLOOKUP(LEFT($A29,LEN($A29)-2),'PW_CMI GRADE 10'!$B$7:$B$31,'PW_CMI GRADE 10'!$AS$7:$AS$31,"",0,1))&lt;=TODAY(),TRUE,FALSE)</f>
        <v>0</v>
      </c>
      <c r="J29" s="25" t="str">
        <f t="shared" ca="1" si="1"/>
        <v/>
      </c>
    </row>
    <row r="30" spans="1:10">
      <c r="A30" s="24" t="s">
        <v>234</v>
      </c>
      <c r="B30">
        <v>2</v>
      </c>
      <c r="C30">
        <f>IFERROR(
 --(INDEX('TH_CMI GRADE 10'!$C$7:$C$49,MATCH(LEFT($A30,LEN($A30)-2),'TH_CMI GRADE 10'!$B$7:$B$49,0))="P")+
 --(INDEX('TH_CMI GRADE 10'!$I$7:$I$49,MATCH(LEFT($A30,LEN($A30)-2),'TH_CMI GRADE 10'!$B$7:$B$49,0))="P")+
 --(INDEX('TH_CMI GRADE 10'!$O$7:$O$49,MATCH(LEFT($A30,LEN($A30)-2),'TH_CMI GRADE 10'!$B$7:$B$49,0))="P")+
 --(INDEX('TH_CMI GRADE 10'!$U$7:$U$49,MATCH(LEFT($A30,LEN($A30)-2),'TH_CMI GRADE 10'!$B$7:$B$49,0))="P")+
 --(INDEX('TH_CMI GRADE 10'!$AA$7:$AA$49,MATCH(LEFT($A30,LEN($A30)-2),'TH_CMI GRADE 10'!$B$7:$B$49,0))="P")+
 --(INDEX('TH_CMI GRADE 10'!$AG$7:$AG$49,MATCH(LEFT($A30,LEN($A30)-2),'TH_CMI GRADE 10'!$B$7:$B$49,0))="P")+
 --(INDEX('TH_CMI GRADE 10'!$AM$7:$AM$49,MATCH(LEFT($A30,LEN($A30)-2),'TH_CMI GRADE 10'!$B$7:$B$49,0))="P"),
0)</f>
        <v>2</v>
      </c>
      <c r="D30" s="24" t="b">
        <f ca="1">IF(IF(_xlfn.XLOOKUP(LEFT(A30,LEN(A30)-2),'TH_CMI GRADE 10'!$B$7:$B$49,'TH_CMI GRADE 10'!$AS$7:$AS$49,"",0,1)=0,"",_xlfn.XLOOKUP(LEFT(A30,LEN(A30)-2),'TH_CMI GRADE 10'!$B$7:$B$49,'TH_CMI GRADE 10'!$AS$7:$AS$49,"",0,1))&lt;=TODAY(),TRUE,FALSE)</f>
        <v>1</v>
      </c>
      <c r="E30" s="25">
        <f t="shared" ca="1" si="0"/>
        <v>1</v>
      </c>
      <c r="F30" s="24" t="s">
        <v>234</v>
      </c>
      <c r="G30">
        <v>2</v>
      </c>
      <c r="H30">
        <f>IFERROR(
 --(INDEX('PW_CMI GRADE 10'!$C$7:$C$31,MATCH(LEFT($A30,LEN($A30)-2),'PW_CMI GRADE 10'!$B$7:$B$31,0))="P")+
 --(INDEX('PW_CMI GRADE 10'!$I$7:$I$31,MATCH(LEFT($A30,LEN($A30)-2),'PW_CMI GRADE 10'!$B$7:$B$31,0))="P")+
 --(INDEX('PW_CMI GRADE 10'!$O$7:$O$31,MATCH(LEFT($A30,LEN($A30)-2),'PW_CMI GRADE 10'!$B$7:$B$31,0))="P")+
 --(INDEX('PW_CMI GRADE 10'!$U$7:$U$31,MATCH(LEFT($A30,LEN($A30)-2),'PW_CMI GRADE 10'!$B$7:$B$31,0))="P")+
 --(INDEX('PW_CMI GRADE 10'!$AA$7:$AA$31,MATCH(LEFT($A30,LEN($A30)-2),'PW_CMI GRADE 10'!$B$7:$B$31,0))="P")+
 --(INDEX('PW_CMI GRADE 10'!$AG$7:$AG$31,MATCH(LEFT($A30,LEN($A30)-2),'PW_CMI GRADE 10'!$B$7:$B$31,0))="P")+
 --(INDEX('PW_CMI GRADE 10'!$AM$7:$AM$31,MATCH(LEFT($A30,LEN($A30)-2),'PW_CMI GRADE 10'!$B$7:$B$31,0))="P"),
0)</f>
        <v>0</v>
      </c>
      <c r="I30" s="24" t="b">
        <f ca="1">IF(IF(_xlfn.XLOOKUP(LEFT($A30,LEN($A30)-2),'PW_CMI GRADE 10'!$B$7:$B$31,'PW_CMI GRADE 10'!$AS$7:$AS$31,"",0,1)=0,"",_xlfn.XLOOKUP(LEFT($A30,LEN($A30)-2),'PW_CMI GRADE 10'!$B$7:$B$31,'PW_CMI GRADE 10'!$AS$7:$AS$31,"",0,1))&lt;=TODAY(),TRUE,FALSE)</f>
        <v>0</v>
      </c>
      <c r="J30" s="25" t="str">
        <f t="shared" ca="1" si="1"/>
        <v/>
      </c>
    </row>
    <row r="31" spans="1:10">
      <c r="A31" s="24" t="s">
        <v>235</v>
      </c>
      <c r="B31">
        <v>2</v>
      </c>
      <c r="C31">
        <f>IFERROR(
 --(INDEX('TH_CMI GRADE 10'!$C$7:$C$49,MATCH(LEFT($A31,LEN($A31)-2),'TH_CMI GRADE 10'!$B$7:$B$49,0))="P")+
 --(INDEX('TH_CMI GRADE 10'!$I$7:$I$49,MATCH(LEFT($A31,LEN($A31)-2),'TH_CMI GRADE 10'!$B$7:$B$49,0))="P")+
 --(INDEX('TH_CMI GRADE 10'!$O$7:$O$49,MATCH(LEFT($A31,LEN($A31)-2),'TH_CMI GRADE 10'!$B$7:$B$49,0))="P")+
 --(INDEX('TH_CMI GRADE 10'!$U$7:$U$49,MATCH(LEFT($A31,LEN($A31)-2),'TH_CMI GRADE 10'!$B$7:$B$49,0))="P")+
 --(INDEX('TH_CMI GRADE 10'!$AA$7:$AA$49,MATCH(LEFT($A31,LEN($A31)-2),'TH_CMI GRADE 10'!$B$7:$B$49,0))="P")+
 --(INDEX('TH_CMI GRADE 10'!$AG$7:$AG$49,MATCH(LEFT($A31,LEN($A31)-2),'TH_CMI GRADE 10'!$B$7:$B$49,0))="P")+
 --(INDEX('TH_CMI GRADE 10'!$AM$7:$AM$49,MATCH(LEFT($A31,LEN($A31)-2),'TH_CMI GRADE 10'!$B$7:$B$49,0))="P"),
0)</f>
        <v>2</v>
      </c>
      <c r="D31" s="24" t="b">
        <f ca="1">IF(IF(_xlfn.XLOOKUP(LEFT(A31,LEN(A31)-2),'TH_CMI GRADE 10'!$B$7:$B$49,'TH_CMI GRADE 10'!$AS$7:$AS$49,"",0,1)=0,"",_xlfn.XLOOKUP(LEFT(A31,LEN(A31)-2),'TH_CMI GRADE 10'!$B$7:$B$49,'TH_CMI GRADE 10'!$AS$7:$AS$49,"",0,1))&lt;=TODAY(),TRUE,FALSE)</f>
        <v>1</v>
      </c>
      <c r="E31" s="25">
        <f t="shared" ca="1" si="0"/>
        <v>1</v>
      </c>
      <c r="F31" s="24" t="s">
        <v>235</v>
      </c>
      <c r="G31">
        <v>2</v>
      </c>
      <c r="H31">
        <f>IFERROR(
 --(INDEX('PW_CMI GRADE 10'!$C$7:$C$31,MATCH(LEFT($A31,LEN($A31)-2),'PW_CMI GRADE 10'!$B$7:$B$31,0))="P")+
 --(INDEX('PW_CMI GRADE 10'!$I$7:$I$31,MATCH(LEFT($A31,LEN($A31)-2),'PW_CMI GRADE 10'!$B$7:$B$31,0))="P")+
 --(INDEX('PW_CMI GRADE 10'!$O$7:$O$31,MATCH(LEFT($A31,LEN($A31)-2),'PW_CMI GRADE 10'!$B$7:$B$31,0))="P")+
 --(INDEX('PW_CMI GRADE 10'!$U$7:$U$31,MATCH(LEFT($A31,LEN($A31)-2),'PW_CMI GRADE 10'!$B$7:$B$31,0))="P")+
 --(INDEX('PW_CMI GRADE 10'!$AA$7:$AA$31,MATCH(LEFT($A31,LEN($A31)-2),'PW_CMI GRADE 10'!$B$7:$B$31,0))="P")+
 --(INDEX('PW_CMI GRADE 10'!$AG$7:$AG$31,MATCH(LEFT($A31,LEN($A31)-2),'PW_CMI GRADE 10'!$B$7:$B$31,0))="P")+
 --(INDEX('PW_CMI GRADE 10'!$AM$7:$AM$31,MATCH(LEFT($A31,LEN($A31)-2),'PW_CMI GRADE 10'!$B$7:$B$31,0))="P"),
0)</f>
        <v>0</v>
      </c>
      <c r="I31" s="24" t="b">
        <f ca="1">IF(IF(_xlfn.XLOOKUP(LEFT($A31,LEN($A31)-2),'PW_CMI GRADE 10'!$B$7:$B$31,'PW_CMI GRADE 10'!$AS$7:$AS$31,"",0,1)=0,"",_xlfn.XLOOKUP(LEFT($A31,LEN($A31)-2),'PW_CMI GRADE 10'!$B$7:$B$31,'PW_CMI GRADE 10'!$AS$7:$AS$31,"",0,1))&lt;=TODAY(),TRUE,FALSE)</f>
        <v>0</v>
      </c>
      <c r="J31" s="25" t="str">
        <f t="shared" ca="1" si="1"/>
        <v/>
      </c>
    </row>
    <row r="32" spans="1:10">
      <c r="A32" s="24" t="s">
        <v>236</v>
      </c>
      <c r="B32">
        <v>2</v>
      </c>
      <c r="C32">
        <f>IFERROR(
 --(INDEX('TH_CMI GRADE 10'!$C$7:$C$49,MATCH(LEFT($A32,LEN($A32)-2),'TH_CMI GRADE 10'!$B$7:$B$49,0))="P")+
 --(INDEX('TH_CMI GRADE 10'!$I$7:$I$49,MATCH(LEFT($A32,LEN($A32)-2),'TH_CMI GRADE 10'!$B$7:$B$49,0))="P")+
 --(INDEX('TH_CMI GRADE 10'!$O$7:$O$49,MATCH(LEFT($A32,LEN($A32)-2),'TH_CMI GRADE 10'!$B$7:$B$49,0))="P")+
 --(INDEX('TH_CMI GRADE 10'!$U$7:$U$49,MATCH(LEFT($A32,LEN($A32)-2),'TH_CMI GRADE 10'!$B$7:$B$49,0))="P")+
 --(INDEX('TH_CMI GRADE 10'!$AA$7:$AA$49,MATCH(LEFT($A32,LEN($A32)-2),'TH_CMI GRADE 10'!$B$7:$B$49,0))="P")+
 --(INDEX('TH_CMI GRADE 10'!$AG$7:$AG$49,MATCH(LEFT($A32,LEN($A32)-2),'TH_CMI GRADE 10'!$B$7:$B$49,0))="P")+
 --(INDEX('TH_CMI GRADE 10'!$AM$7:$AM$49,MATCH(LEFT($A32,LEN($A32)-2),'TH_CMI GRADE 10'!$B$7:$B$49,0))="P"),
0)</f>
        <v>2</v>
      </c>
      <c r="D32" s="24" t="b">
        <f ca="1">IF(IF(_xlfn.XLOOKUP(LEFT(A32,LEN(A32)-2),'TH_CMI GRADE 10'!$B$7:$B$49,'TH_CMI GRADE 10'!$AS$7:$AS$49,"",0,1)=0,"",_xlfn.XLOOKUP(LEFT(A32,LEN(A32)-2),'TH_CMI GRADE 10'!$B$7:$B$49,'TH_CMI GRADE 10'!$AS$7:$AS$49,"",0,1))&lt;=TODAY(),TRUE,FALSE)</f>
        <v>1</v>
      </c>
      <c r="E32" s="25">
        <f t="shared" ca="1" si="0"/>
        <v>1</v>
      </c>
      <c r="F32" s="24" t="s">
        <v>236</v>
      </c>
      <c r="G32">
        <v>2</v>
      </c>
      <c r="H32">
        <f>IFERROR(
 --(INDEX('PW_CMI GRADE 10'!$C$7:$C$31,MATCH(LEFT($A32,LEN($A32)-2),'PW_CMI GRADE 10'!$B$7:$B$31,0))="P")+
 --(INDEX('PW_CMI GRADE 10'!$I$7:$I$31,MATCH(LEFT($A32,LEN($A32)-2),'PW_CMI GRADE 10'!$B$7:$B$31,0))="P")+
 --(INDEX('PW_CMI GRADE 10'!$O$7:$O$31,MATCH(LEFT($A32,LEN($A32)-2),'PW_CMI GRADE 10'!$B$7:$B$31,0))="P")+
 --(INDEX('PW_CMI GRADE 10'!$U$7:$U$31,MATCH(LEFT($A32,LEN($A32)-2),'PW_CMI GRADE 10'!$B$7:$B$31,0))="P")+
 --(INDEX('PW_CMI GRADE 10'!$AA$7:$AA$31,MATCH(LEFT($A32,LEN($A32)-2),'PW_CMI GRADE 10'!$B$7:$B$31,0))="P")+
 --(INDEX('PW_CMI GRADE 10'!$AG$7:$AG$31,MATCH(LEFT($A32,LEN($A32)-2),'PW_CMI GRADE 10'!$B$7:$B$31,0))="P")+
 --(INDEX('PW_CMI GRADE 10'!$AM$7:$AM$31,MATCH(LEFT($A32,LEN($A32)-2),'PW_CMI GRADE 10'!$B$7:$B$31,0))="P"),
0)</f>
        <v>0</v>
      </c>
      <c r="I32" s="24" t="b">
        <f ca="1">IF(IF(_xlfn.XLOOKUP(LEFT($A32,LEN($A32)-2),'PW_CMI GRADE 10'!$B$7:$B$31,'PW_CMI GRADE 10'!$AS$7:$AS$31,"",0,1)=0,"",_xlfn.XLOOKUP(LEFT($A32,LEN($A32)-2),'PW_CMI GRADE 10'!$B$7:$B$31,'PW_CMI GRADE 10'!$AS$7:$AS$31,"",0,1))&lt;=TODAY(),TRUE,FALSE)</f>
        <v>0</v>
      </c>
      <c r="J32" s="25" t="str">
        <f t="shared" ca="1" si="1"/>
        <v/>
      </c>
    </row>
    <row r="33" spans="1:11">
      <c r="A33" s="24" t="s">
        <v>237</v>
      </c>
      <c r="B33">
        <v>2</v>
      </c>
      <c r="C33">
        <f>IFERROR(
 --(INDEX('TH_CMI GRADE 10'!$C$7:$C$49,MATCH(LEFT($A33,LEN($A33)-2),'TH_CMI GRADE 10'!$B$7:$B$49,0))="P")+
 --(INDEX('TH_CMI GRADE 10'!$I$7:$I$49,MATCH(LEFT($A33,LEN($A33)-2),'TH_CMI GRADE 10'!$B$7:$B$49,0))="P")+
 --(INDEX('TH_CMI GRADE 10'!$O$7:$O$49,MATCH(LEFT($A33,LEN($A33)-2),'TH_CMI GRADE 10'!$B$7:$B$49,0))="P")+
 --(INDEX('TH_CMI GRADE 10'!$U$7:$U$49,MATCH(LEFT($A33,LEN($A33)-2),'TH_CMI GRADE 10'!$B$7:$B$49,0))="P")+
 --(INDEX('TH_CMI GRADE 10'!$AA$7:$AA$49,MATCH(LEFT($A33,LEN($A33)-2),'TH_CMI GRADE 10'!$B$7:$B$49,0))="P")+
 --(INDEX('TH_CMI GRADE 10'!$AG$7:$AG$49,MATCH(LEFT($A33,LEN($A33)-2),'TH_CMI GRADE 10'!$B$7:$B$49,0))="P")+
 --(INDEX('TH_CMI GRADE 10'!$AM$7:$AM$49,MATCH(LEFT($A33,LEN($A33)-2),'TH_CMI GRADE 10'!$B$7:$B$49,0))="P"),
0)</f>
        <v>2</v>
      </c>
      <c r="D33" s="24" t="b">
        <f ca="1">IF(IF(_xlfn.XLOOKUP(LEFT(A33,LEN(A33)-2),'TH_CMI GRADE 10'!$B$7:$B$49,'TH_CMI GRADE 10'!$AS$7:$AS$49,"",0,1)=0,"",_xlfn.XLOOKUP(LEFT(A33,LEN(A33)-2),'TH_CMI GRADE 10'!$B$7:$B$49,'TH_CMI GRADE 10'!$AS$7:$AS$49,"",0,1))&lt;=TODAY(),TRUE,FALSE)</f>
        <v>1</v>
      </c>
      <c r="E33" s="25">
        <f t="shared" ca="1" si="0"/>
        <v>1</v>
      </c>
      <c r="F33" s="24" t="s">
        <v>237</v>
      </c>
      <c r="G33">
        <v>2</v>
      </c>
      <c r="H33">
        <f>IFERROR(
 --(INDEX('PW_CMI GRADE 10'!$C$7:$C$31,MATCH(LEFT($A33,LEN($A33)-2),'PW_CMI GRADE 10'!$B$7:$B$31,0))="P")+
 --(INDEX('PW_CMI GRADE 10'!$I$7:$I$31,MATCH(LEFT($A33,LEN($A33)-2),'PW_CMI GRADE 10'!$B$7:$B$31,0))="P")+
 --(INDEX('PW_CMI GRADE 10'!$O$7:$O$31,MATCH(LEFT($A33,LEN($A33)-2),'PW_CMI GRADE 10'!$B$7:$B$31,0))="P")+
 --(INDEX('PW_CMI GRADE 10'!$U$7:$U$31,MATCH(LEFT($A33,LEN($A33)-2),'PW_CMI GRADE 10'!$B$7:$B$31,0))="P")+
 --(INDEX('PW_CMI GRADE 10'!$AA$7:$AA$31,MATCH(LEFT($A33,LEN($A33)-2),'PW_CMI GRADE 10'!$B$7:$B$31,0))="P")+
 --(INDEX('PW_CMI GRADE 10'!$AG$7:$AG$31,MATCH(LEFT($A33,LEN($A33)-2),'PW_CMI GRADE 10'!$B$7:$B$31,0))="P")+
 --(INDEX('PW_CMI GRADE 10'!$AM$7:$AM$31,MATCH(LEFT($A33,LEN($A33)-2),'PW_CMI GRADE 10'!$B$7:$B$31,0))="P"),
0)</f>
        <v>2</v>
      </c>
      <c r="I33" s="24" t="b">
        <f ca="1">IF(IF(_xlfn.XLOOKUP(LEFT($A33,LEN($A33)-2),'PW_CMI GRADE 10'!$B$7:$B$31,'PW_CMI GRADE 10'!$AS$7:$AS$31,"",0,1)=0,"",_xlfn.XLOOKUP(LEFT($A33,LEN($A33)-2),'PW_CMI GRADE 10'!$B$7:$B$31,'PW_CMI GRADE 10'!$AS$7:$AS$31,"",0,1))&lt;=TODAY(),TRUE,FALSE)</f>
        <v>1</v>
      </c>
      <c r="J33" s="25">
        <f t="shared" ca="1" si="1"/>
        <v>1</v>
      </c>
    </row>
    <row r="34" spans="1:11">
      <c r="A34" s="24" t="s">
        <v>238</v>
      </c>
      <c r="B34">
        <v>2</v>
      </c>
      <c r="C34">
        <f>IFERROR(
 --(INDEX('TH_CMI GRADE 10'!$C$7:$C$49,MATCH(LEFT($A34,LEN($A34)-2),'TH_CMI GRADE 10'!$B$7:$B$49,0))="P")+
 --(INDEX('TH_CMI GRADE 10'!$I$7:$I$49,MATCH(LEFT($A34,LEN($A34)-2),'TH_CMI GRADE 10'!$B$7:$B$49,0))="P")+
 --(INDEX('TH_CMI GRADE 10'!$O$7:$O$49,MATCH(LEFT($A34,LEN($A34)-2),'TH_CMI GRADE 10'!$B$7:$B$49,0))="P")+
 --(INDEX('TH_CMI GRADE 10'!$U$7:$U$49,MATCH(LEFT($A34,LEN($A34)-2),'TH_CMI GRADE 10'!$B$7:$B$49,0))="P")+
 --(INDEX('TH_CMI GRADE 10'!$AA$7:$AA$49,MATCH(LEFT($A34,LEN($A34)-2),'TH_CMI GRADE 10'!$B$7:$B$49,0))="P")+
 --(INDEX('TH_CMI GRADE 10'!$AG$7:$AG$49,MATCH(LEFT($A34,LEN($A34)-2),'TH_CMI GRADE 10'!$B$7:$B$49,0))="P")+
 --(INDEX('TH_CMI GRADE 10'!$AM$7:$AM$49,MATCH(LEFT($A34,LEN($A34)-2),'TH_CMI GRADE 10'!$B$7:$B$49,0))="P"),
0)</f>
        <v>2</v>
      </c>
      <c r="D34" s="24" t="b">
        <f ca="1">IF(IF(_xlfn.XLOOKUP(LEFT(A34,LEN(A34)-2),'TH_CMI GRADE 10'!$B$7:$B$49,'TH_CMI GRADE 10'!$AS$7:$AS$49,"",0,1)=0,"",_xlfn.XLOOKUP(LEFT(A34,LEN(A34)-2),'TH_CMI GRADE 10'!$B$7:$B$49,'TH_CMI GRADE 10'!$AS$7:$AS$49,"",0,1))&lt;=TODAY(),TRUE,FALSE)</f>
        <v>1</v>
      </c>
      <c r="E34" s="25">
        <f t="shared" ca="1" si="0"/>
        <v>1</v>
      </c>
      <c r="F34" s="24" t="s">
        <v>238</v>
      </c>
      <c r="G34">
        <v>2</v>
      </c>
      <c r="H34">
        <f>IFERROR(
 --(INDEX('PW_CMI GRADE 10'!$C$7:$C$31,MATCH(LEFT($A34,LEN($A34)-2),'PW_CMI GRADE 10'!$B$7:$B$31,0))="P")+
 --(INDEX('PW_CMI GRADE 10'!$I$7:$I$31,MATCH(LEFT($A34,LEN($A34)-2),'PW_CMI GRADE 10'!$B$7:$B$31,0))="P")+
 --(INDEX('PW_CMI GRADE 10'!$O$7:$O$31,MATCH(LEFT($A34,LEN($A34)-2),'PW_CMI GRADE 10'!$B$7:$B$31,0))="P")+
 --(INDEX('PW_CMI GRADE 10'!$U$7:$U$31,MATCH(LEFT($A34,LEN($A34)-2),'PW_CMI GRADE 10'!$B$7:$B$31,0))="P")+
 --(INDEX('PW_CMI GRADE 10'!$AA$7:$AA$31,MATCH(LEFT($A34,LEN($A34)-2),'PW_CMI GRADE 10'!$B$7:$B$31,0))="P")+
 --(INDEX('PW_CMI GRADE 10'!$AG$7:$AG$31,MATCH(LEFT($A34,LEN($A34)-2),'PW_CMI GRADE 10'!$B$7:$B$31,0))="P")+
 --(INDEX('PW_CMI GRADE 10'!$AM$7:$AM$31,MATCH(LEFT($A34,LEN($A34)-2),'PW_CMI GRADE 10'!$B$7:$B$31,0))="P"),
0)</f>
        <v>0</v>
      </c>
      <c r="I34" s="24" t="b">
        <f ca="1">IF(IF(_xlfn.XLOOKUP(LEFT($A34,LEN($A34)-2),'PW_CMI GRADE 10'!$B$7:$B$31,'PW_CMI GRADE 10'!$AS$7:$AS$31,"",0,1)=0,"",_xlfn.XLOOKUP(LEFT($A34,LEN($A34)-2),'PW_CMI GRADE 10'!$B$7:$B$31,'PW_CMI GRADE 10'!$AS$7:$AS$31,"",0,1))&lt;=TODAY(),TRUE,FALSE)</f>
        <v>0</v>
      </c>
      <c r="J34" s="25" t="str">
        <f t="shared" ca="1" si="1"/>
        <v/>
      </c>
    </row>
    <row r="35" spans="1:11">
      <c r="A35" s="24" t="s">
        <v>239</v>
      </c>
      <c r="B35">
        <v>2</v>
      </c>
      <c r="C35">
        <f>IFERROR(
 --(INDEX('TH_CMI GRADE 10'!$C$7:$C$49,MATCH(LEFT($A35,LEN($A35)-2),'TH_CMI GRADE 10'!$B$7:$B$49,0))="P")+
 --(INDEX('TH_CMI GRADE 10'!$I$7:$I$49,MATCH(LEFT($A35,LEN($A35)-2),'TH_CMI GRADE 10'!$B$7:$B$49,0))="P")+
 --(INDEX('TH_CMI GRADE 10'!$O$7:$O$49,MATCH(LEFT($A35,LEN($A35)-2),'TH_CMI GRADE 10'!$B$7:$B$49,0))="P")+
 --(INDEX('TH_CMI GRADE 10'!$U$7:$U$49,MATCH(LEFT($A35,LEN($A35)-2),'TH_CMI GRADE 10'!$B$7:$B$49,0))="P")+
 --(INDEX('TH_CMI GRADE 10'!$AA$7:$AA$49,MATCH(LEFT($A35,LEN($A35)-2),'TH_CMI GRADE 10'!$B$7:$B$49,0))="P")+
 --(INDEX('TH_CMI GRADE 10'!$AG$7:$AG$49,MATCH(LEFT($A35,LEN($A35)-2),'TH_CMI GRADE 10'!$B$7:$B$49,0))="P")+
 --(INDEX('TH_CMI GRADE 10'!$AM$7:$AM$49,MATCH(LEFT($A35,LEN($A35)-2),'TH_CMI GRADE 10'!$B$7:$B$49,0))="P"),
0)</f>
        <v>2</v>
      </c>
      <c r="D35" s="24" t="b">
        <f ca="1">IF(IF(_xlfn.XLOOKUP(LEFT(A35,LEN(A35)-2),'TH_CMI GRADE 10'!$B$7:$B$49,'TH_CMI GRADE 10'!$AS$7:$AS$49,"",0,1)=0,"",_xlfn.XLOOKUP(LEFT(A35,LEN(A35)-2),'TH_CMI GRADE 10'!$B$7:$B$49,'TH_CMI GRADE 10'!$AS$7:$AS$49,"",0,1))&lt;=TODAY(),TRUE,FALSE)</f>
        <v>1</v>
      </c>
      <c r="E35" s="25">
        <f t="shared" ca="1" si="0"/>
        <v>1</v>
      </c>
      <c r="F35" s="24" t="s">
        <v>239</v>
      </c>
      <c r="G35">
        <v>2</v>
      </c>
      <c r="H35">
        <f>IFERROR(
 --(INDEX('PW_CMI GRADE 10'!$C$7:$C$31,MATCH(LEFT($A35,LEN($A35)-2),'PW_CMI GRADE 10'!$B$7:$B$31,0))="P")+
 --(INDEX('PW_CMI GRADE 10'!$I$7:$I$31,MATCH(LEFT($A35,LEN($A35)-2),'PW_CMI GRADE 10'!$B$7:$B$31,0))="P")+
 --(INDEX('PW_CMI GRADE 10'!$O$7:$O$31,MATCH(LEFT($A35,LEN($A35)-2),'PW_CMI GRADE 10'!$B$7:$B$31,0))="P")+
 --(INDEX('PW_CMI GRADE 10'!$U$7:$U$31,MATCH(LEFT($A35,LEN($A35)-2),'PW_CMI GRADE 10'!$B$7:$B$31,0))="P")+
 --(INDEX('PW_CMI GRADE 10'!$AA$7:$AA$31,MATCH(LEFT($A35,LEN($A35)-2),'PW_CMI GRADE 10'!$B$7:$B$31,0))="P")+
 --(INDEX('PW_CMI GRADE 10'!$AG$7:$AG$31,MATCH(LEFT($A35,LEN($A35)-2),'PW_CMI GRADE 10'!$B$7:$B$31,0))="P")+
 --(INDEX('PW_CMI GRADE 10'!$AM$7:$AM$31,MATCH(LEFT($A35,LEN($A35)-2),'PW_CMI GRADE 10'!$B$7:$B$31,0))="P"),
0)</f>
        <v>2</v>
      </c>
      <c r="I35" s="24" t="b">
        <f ca="1">IF(IF(_xlfn.XLOOKUP(LEFT($A35,LEN($A35)-2),'PW_CMI GRADE 10'!$B$7:$B$31,'PW_CMI GRADE 10'!$AS$7:$AS$31,"",0,1)=0,"",_xlfn.XLOOKUP(LEFT($A35,LEN($A35)-2),'PW_CMI GRADE 10'!$B$7:$B$31,'PW_CMI GRADE 10'!$AS$7:$AS$31,"",0,1))&lt;=TODAY(),TRUE,FALSE)</f>
        <v>1</v>
      </c>
      <c r="J35" s="25">
        <f t="shared" ca="1" si="1"/>
        <v>1</v>
      </c>
    </row>
    <row r="36" spans="1:11">
      <c r="A36" s="24" t="s">
        <v>240</v>
      </c>
      <c r="B36">
        <v>2</v>
      </c>
      <c r="C36">
        <f>IFERROR(
 --(INDEX('TH_CMI GRADE 10'!$C$7:$C$49,MATCH(LEFT($A36,LEN($A36)-2),'TH_CMI GRADE 10'!$B$7:$B$49,0))="P")+
 --(INDEX('TH_CMI GRADE 10'!$I$7:$I$49,MATCH(LEFT($A36,LEN($A36)-2),'TH_CMI GRADE 10'!$B$7:$B$49,0))="P")+
 --(INDEX('TH_CMI GRADE 10'!$O$7:$O$49,MATCH(LEFT($A36,LEN($A36)-2),'TH_CMI GRADE 10'!$B$7:$B$49,0))="P")+
 --(INDEX('TH_CMI GRADE 10'!$U$7:$U$49,MATCH(LEFT($A36,LEN($A36)-2),'TH_CMI GRADE 10'!$B$7:$B$49,0))="P")+
 --(INDEX('TH_CMI GRADE 10'!$AA$7:$AA$49,MATCH(LEFT($A36,LEN($A36)-2),'TH_CMI GRADE 10'!$B$7:$B$49,0))="P")+
 --(INDEX('TH_CMI GRADE 10'!$AG$7:$AG$49,MATCH(LEFT($A36,LEN($A36)-2),'TH_CMI GRADE 10'!$B$7:$B$49,0))="P")+
 --(INDEX('TH_CMI GRADE 10'!$AM$7:$AM$49,MATCH(LEFT($A36,LEN($A36)-2),'TH_CMI GRADE 10'!$B$7:$B$49,0))="P"),
0)</f>
        <v>2</v>
      </c>
      <c r="D36" s="24" t="b">
        <f ca="1">IF(IF(_xlfn.XLOOKUP(LEFT(A36,LEN(A36)-2),'TH_CMI GRADE 10'!$B$7:$B$49,'TH_CMI GRADE 10'!$AS$7:$AS$49,"",0,1)=0,"",_xlfn.XLOOKUP(LEFT(A36,LEN(A36)-2),'TH_CMI GRADE 10'!$B$7:$B$49,'TH_CMI GRADE 10'!$AS$7:$AS$49,"",0,1))&lt;=TODAY(),TRUE,FALSE)</f>
        <v>1</v>
      </c>
      <c r="E36" s="25">
        <f t="shared" ca="1" si="0"/>
        <v>1</v>
      </c>
      <c r="F36" s="24" t="s">
        <v>240</v>
      </c>
      <c r="G36">
        <v>2</v>
      </c>
      <c r="H36">
        <f>IFERROR(
 --(INDEX('PW_CMI GRADE 10'!$C$7:$C$31,MATCH(LEFT($A36,LEN($A36)-2),'PW_CMI GRADE 10'!$B$7:$B$31,0))="P")+
 --(INDEX('PW_CMI GRADE 10'!$I$7:$I$31,MATCH(LEFT($A36,LEN($A36)-2),'PW_CMI GRADE 10'!$B$7:$B$31,0))="P")+
 --(INDEX('PW_CMI GRADE 10'!$O$7:$O$31,MATCH(LEFT($A36,LEN($A36)-2),'PW_CMI GRADE 10'!$B$7:$B$31,0))="P")+
 --(INDEX('PW_CMI GRADE 10'!$U$7:$U$31,MATCH(LEFT($A36,LEN($A36)-2),'PW_CMI GRADE 10'!$B$7:$B$31,0))="P")+
 --(INDEX('PW_CMI GRADE 10'!$AA$7:$AA$31,MATCH(LEFT($A36,LEN($A36)-2),'PW_CMI GRADE 10'!$B$7:$B$31,0))="P")+
 --(INDEX('PW_CMI GRADE 10'!$AG$7:$AG$31,MATCH(LEFT($A36,LEN($A36)-2),'PW_CMI GRADE 10'!$B$7:$B$31,0))="P")+
 --(INDEX('PW_CMI GRADE 10'!$AM$7:$AM$31,MATCH(LEFT($A36,LEN($A36)-2),'PW_CMI GRADE 10'!$B$7:$B$31,0))="P"),
0)</f>
        <v>0</v>
      </c>
      <c r="I36" s="24" t="b">
        <f ca="1">IF(IF(_xlfn.XLOOKUP(LEFT($A36,LEN($A36)-2),'PW_CMI GRADE 10'!$B$7:$B$31,'PW_CMI GRADE 10'!$AS$7:$AS$31,"",0,1)=0,"",_xlfn.XLOOKUP(LEFT($A36,LEN($A36)-2),'PW_CMI GRADE 10'!$B$7:$B$31,'PW_CMI GRADE 10'!$AS$7:$AS$31,"",0,1))&lt;=TODAY(),TRUE,FALSE)</f>
        <v>0</v>
      </c>
      <c r="J36" s="25" t="str">
        <f t="shared" ca="1" si="1"/>
        <v/>
      </c>
    </row>
    <row r="37" spans="1:11">
      <c r="A37" s="24" t="s">
        <v>241</v>
      </c>
      <c r="B37">
        <v>3</v>
      </c>
      <c r="C37">
        <f>IFERROR(
 --(INDEX('TH_CMI GRADE 10'!$C$7:$C$49,MATCH(LEFT($A37,LEN($A37)-2),'TH_CMI GRADE 10'!$B$7:$B$49,0))="P")+
 --(INDEX('TH_CMI GRADE 10'!$I$7:$I$49,MATCH(LEFT($A37,LEN($A37)-2),'TH_CMI GRADE 10'!$B$7:$B$49,0))="P")+
 --(INDEX('TH_CMI GRADE 10'!$O$7:$O$49,MATCH(LEFT($A37,LEN($A37)-2),'TH_CMI GRADE 10'!$B$7:$B$49,0))="P")+
 --(INDEX('TH_CMI GRADE 10'!$U$7:$U$49,MATCH(LEFT($A37,LEN($A37)-2),'TH_CMI GRADE 10'!$B$7:$B$49,0))="P")+
 --(INDEX('TH_CMI GRADE 10'!$AA$7:$AA$49,MATCH(LEFT($A37,LEN($A37)-2),'TH_CMI GRADE 10'!$B$7:$B$49,0))="P")+
 --(INDEX('TH_CMI GRADE 10'!$AG$7:$AG$49,MATCH(LEFT($A37,LEN($A37)-2),'TH_CMI GRADE 10'!$B$7:$B$49,0))="P")+
 --(INDEX('TH_CMI GRADE 10'!$AM$7:$AM$49,MATCH(LEFT($A37,LEN($A37)-2),'TH_CMI GRADE 10'!$B$7:$B$49,0))="P"),
0)</f>
        <v>2</v>
      </c>
      <c r="D37" s="24" t="b">
        <f ca="1">IF(IF(_xlfn.XLOOKUP(LEFT(A37,LEN(A37)-2),'TH_CMI GRADE 10'!$B$7:$B$49,'TH_CMI GRADE 10'!$AS$7:$AS$49,"",0,1)=0,"",_xlfn.XLOOKUP(LEFT(A37,LEN(A37)-2),'TH_CMI GRADE 10'!$B$7:$B$49,'TH_CMI GRADE 10'!$AS$7:$AS$49,"",0,1))&lt;=TODAY(),TRUE,FALSE)</f>
        <v>1</v>
      </c>
      <c r="E37" s="25">
        <f t="shared" ca="1" si="0"/>
        <v>0.66666666666666663</v>
      </c>
      <c r="F37" s="24" t="s">
        <v>241</v>
      </c>
      <c r="G37">
        <v>2</v>
      </c>
      <c r="H37">
        <f>IFERROR(
 --(INDEX('PW_CMI GRADE 10'!$C$7:$C$31,MATCH(LEFT($A37,LEN($A37)-2),'PW_CMI GRADE 10'!$B$7:$B$31,0))="P")+
 --(INDEX('PW_CMI GRADE 10'!$I$7:$I$31,MATCH(LEFT($A37,LEN($A37)-2),'PW_CMI GRADE 10'!$B$7:$B$31,0))="P")+
 --(INDEX('PW_CMI GRADE 10'!$O$7:$O$31,MATCH(LEFT($A37,LEN($A37)-2),'PW_CMI GRADE 10'!$B$7:$B$31,0))="P")+
 --(INDEX('PW_CMI GRADE 10'!$U$7:$U$31,MATCH(LEFT($A37,LEN($A37)-2),'PW_CMI GRADE 10'!$B$7:$B$31,0))="P")+
 --(INDEX('PW_CMI GRADE 10'!$AA$7:$AA$31,MATCH(LEFT($A37,LEN($A37)-2),'PW_CMI GRADE 10'!$B$7:$B$31,0))="P")+
 --(INDEX('PW_CMI GRADE 10'!$AG$7:$AG$31,MATCH(LEFT($A37,LEN($A37)-2),'PW_CMI GRADE 10'!$B$7:$B$31,0))="P")+
 --(INDEX('PW_CMI GRADE 10'!$AM$7:$AM$31,MATCH(LEFT($A37,LEN($A37)-2),'PW_CMI GRADE 10'!$B$7:$B$31,0))="P"),
0)</f>
        <v>2</v>
      </c>
      <c r="I37" s="24" t="b">
        <f ca="1">IF(IF(_xlfn.XLOOKUP(LEFT($A37,LEN($A37)-2),'PW_CMI GRADE 10'!$B$7:$B$31,'PW_CMI GRADE 10'!$AS$7:$AS$31,"",0,1)=0,"",_xlfn.XLOOKUP(LEFT($A37,LEN($A37)-2),'PW_CMI GRADE 10'!$B$7:$B$31,'PW_CMI GRADE 10'!$AS$7:$AS$31,"",0,1))&lt;=TODAY(),TRUE,FALSE)</f>
        <v>1</v>
      </c>
      <c r="J37" s="25">
        <f t="shared" ca="1" si="1"/>
        <v>1</v>
      </c>
    </row>
    <row r="38" spans="1:11">
      <c r="A38" s="24" t="s">
        <v>242</v>
      </c>
      <c r="B38">
        <v>2</v>
      </c>
      <c r="C38">
        <f>IFERROR(
 --(INDEX('TH_CMI GRADE 10'!$C$7:$C$49,MATCH(LEFT($A38,LEN($A38)-2),'TH_CMI GRADE 10'!$B$7:$B$49,0))="P")+
 --(INDEX('TH_CMI GRADE 10'!$I$7:$I$49,MATCH(LEFT($A38,LEN($A38)-2),'TH_CMI GRADE 10'!$B$7:$B$49,0))="P")+
 --(INDEX('TH_CMI GRADE 10'!$O$7:$O$49,MATCH(LEFT($A38,LEN($A38)-2),'TH_CMI GRADE 10'!$B$7:$B$49,0))="P")+
 --(INDEX('TH_CMI GRADE 10'!$U$7:$U$49,MATCH(LEFT($A38,LEN($A38)-2),'TH_CMI GRADE 10'!$B$7:$B$49,0))="P")+
 --(INDEX('TH_CMI GRADE 10'!$AA$7:$AA$49,MATCH(LEFT($A38,LEN($A38)-2),'TH_CMI GRADE 10'!$B$7:$B$49,0))="P")+
 --(INDEX('TH_CMI GRADE 10'!$AG$7:$AG$49,MATCH(LEFT($A38,LEN($A38)-2),'TH_CMI GRADE 10'!$B$7:$B$49,0))="P")+
 --(INDEX('TH_CMI GRADE 10'!$AM$7:$AM$49,MATCH(LEFT($A38,LEN($A38)-2),'TH_CMI GRADE 10'!$B$7:$B$49,0))="P"),
0)</f>
        <v>2</v>
      </c>
      <c r="D38" s="24" t="b">
        <f ca="1">IF(IF(_xlfn.XLOOKUP(LEFT(A38,LEN(A38)-2),'TH_CMI GRADE 10'!$B$7:$B$49,'TH_CMI GRADE 10'!$AS$7:$AS$49,"",0,1)=0,"",_xlfn.XLOOKUP(LEFT(A38,LEN(A38)-2),'TH_CMI GRADE 10'!$B$7:$B$49,'TH_CMI GRADE 10'!$AS$7:$AS$49,"",0,1))&lt;=TODAY(),TRUE,FALSE)</f>
        <v>1</v>
      </c>
      <c r="E38" s="25">
        <f t="shared" ca="1" si="0"/>
        <v>1</v>
      </c>
      <c r="F38" s="24" t="s">
        <v>242</v>
      </c>
      <c r="G38">
        <v>2</v>
      </c>
      <c r="H38">
        <f>IFERROR(
 --(INDEX('PW_CMI GRADE 10'!$C$7:$C$31,MATCH(LEFT($A38,LEN($A38)-2),'PW_CMI GRADE 10'!$B$7:$B$31,0))="P")+
 --(INDEX('PW_CMI GRADE 10'!$I$7:$I$31,MATCH(LEFT($A38,LEN($A38)-2),'PW_CMI GRADE 10'!$B$7:$B$31,0))="P")+
 --(INDEX('PW_CMI GRADE 10'!$O$7:$O$31,MATCH(LEFT($A38,LEN($A38)-2),'PW_CMI GRADE 10'!$B$7:$B$31,0))="P")+
 --(INDEX('PW_CMI GRADE 10'!$U$7:$U$31,MATCH(LEFT($A38,LEN($A38)-2),'PW_CMI GRADE 10'!$B$7:$B$31,0))="P")+
 --(INDEX('PW_CMI GRADE 10'!$AA$7:$AA$31,MATCH(LEFT($A38,LEN($A38)-2),'PW_CMI GRADE 10'!$B$7:$B$31,0))="P")+
 --(INDEX('PW_CMI GRADE 10'!$AG$7:$AG$31,MATCH(LEFT($A38,LEN($A38)-2),'PW_CMI GRADE 10'!$B$7:$B$31,0))="P")+
 --(INDEX('PW_CMI GRADE 10'!$AM$7:$AM$31,MATCH(LEFT($A38,LEN($A38)-2),'PW_CMI GRADE 10'!$B$7:$B$31,0))="P"),
0)</f>
        <v>0</v>
      </c>
      <c r="I38" s="24" t="b">
        <f ca="1">IF(IF(_xlfn.XLOOKUP(LEFT($A38,LEN($A38)-2),'PW_CMI GRADE 10'!$B$7:$B$31,'PW_CMI GRADE 10'!$AS$7:$AS$31,"",0,1)=0,"",_xlfn.XLOOKUP(LEFT($A38,LEN($A38)-2),'PW_CMI GRADE 10'!$B$7:$B$31,'PW_CMI GRADE 10'!$AS$7:$AS$31,"",0,1))&lt;=TODAY(),TRUE,FALSE)</f>
        <v>0</v>
      </c>
      <c r="J38" s="25" t="str">
        <f t="shared" ca="1" si="1"/>
        <v/>
      </c>
    </row>
    <row r="39" spans="1:11">
      <c r="A39" s="24" t="s">
        <v>243</v>
      </c>
      <c r="B39">
        <v>2</v>
      </c>
      <c r="C39">
        <f>IFERROR(
 --(INDEX('TH_CMI GRADE 10'!$C$7:$C$49,MATCH(LEFT($A39,LEN($A39)-2),'TH_CMI GRADE 10'!$B$7:$B$49,0))="P")+
 --(INDEX('TH_CMI GRADE 10'!$I$7:$I$49,MATCH(LEFT($A39,LEN($A39)-2),'TH_CMI GRADE 10'!$B$7:$B$49,0))="P")+
 --(INDEX('TH_CMI GRADE 10'!$O$7:$O$49,MATCH(LEFT($A39,LEN($A39)-2),'TH_CMI GRADE 10'!$B$7:$B$49,0))="P")+
 --(INDEX('TH_CMI GRADE 10'!$U$7:$U$49,MATCH(LEFT($A39,LEN($A39)-2),'TH_CMI GRADE 10'!$B$7:$B$49,0))="P")+
 --(INDEX('TH_CMI GRADE 10'!$AA$7:$AA$49,MATCH(LEFT($A39,LEN($A39)-2),'TH_CMI GRADE 10'!$B$7:$B$49,0))="P")+
 --(INDEX('TH_CMI GRADE 10'!$AG$7:$AG$49,MATCH(LEFT($A39,LEN($A39)-2),'TH_CMI GRADE 10'!$B$7:$B$49,0))="P")+
 --(INDEX('TH_CMI GRADE 10'!$AM$7:$AM$49,MATCH(LEFT($A39,LEN($A39)-2),'TH_CMI GRADE 10'!$B$7:$B$49,0))="P"),
0)</f>
        <v>2</v>
      </c>
      <c r="D39" s="24" t="b">
        <f ca="1">IF(IF(_xlfn.XLOOKUP(LEFT(A39,LEN(A39)-2),'TH_CMI GRADE 10'!$B$7:$B$49,'TH_CMI GRADE 10'!$AS$7:$AS$49,"",0,1)=0,"",_xlfn.XLOOKUP(LEFT(A39,LEN(A39)-2),'TH_CMI GRADE 10'!$B$7:$B$49,'TH_CMI GRADE 10'!$AS$7:$AS$49,"",0,1))&lt;=TODAY(),TRUE,FALSE)</f>
        <v>1</v>
      </c>
      <c r="E39" s="25">
        <f t="shared" ca="1" si="0"/>
        <v>1</v>
      </c>
      <c r="F39" s="24" t="s">
        <v>243</v>
      </c>
      <c r="G39">
        <v>2</v>
      </c>
      <c r="H39">
        <f>IFERROR(
 --(INDEX('PW_CMI GRADE 10'!$C$7:$C$31,MATCH(LEFT($A39,LEN($A39)-2),'PW_CMI GRADE 10'!$B$7:$B$31,0))="P")+
 --(INDEX('PW_CMI GRADE 10'!$I$7:$I$31,MATCH(LEFT($A39,LEN($A39)-2),'PW_CMI GRADE 10'!$B$7:$B$31,0))="P")+
 --(INDEX('PW_CMI GRADE 10'!$O$7:$O$31,MATCH(LEFT($A39,LEN($A39)-2),'PW_CMI GRADE 10'!$B$7:$B$31,0))="P")+
 --(INDEX('PW_CMI GRADE 10'!$U$7:$U$31,MATCH(LEFT($A39,LEN($A39)-2),'PW_CMI GRADE 10'!$B$7:$B$31,0))="P")+
 --(INDEX('PW_CMI GRADE 10'!$AA$7:$AA$31,MATCH(LEFT($A39,LEN($A39)-2),'PW_CMI GRADE 10'!$B$7:$B$31,0))="P")+
 --(INDEX('PW_CMI GRADE 10'!$AG$7:$AG$31,MATCH(LEFT($A39,LEN($A39)-2),'PW_CMI GRADE 10'!$B$7:$B$31,0))="P")+
 --(INDEX('PW_CMI GRADE 10'!$AM$7:$AM$31,MATCH(LEFT($A39,LEN($A39)-2),'PW_CMI GRADE 10'!$B$7:$B$31,0))="P"),
0)</f>
        <v>0</v>
      </c>
      <c r="I39" s="24" t="b">
        <f ca="1">IF(IF(_xlfn.XLOOKUP(LEFT($A39,LEN($A39)-2),'PW_CMI GRADE 10'!$B$7:$B$31,'PW_CMI GRADE 10'!$AS$7:$AS$31,"",0,1)=0,"",_xlfn.XLOOKUP(LEFT($A39,LEN($A39)-2),'PW_CMI GRADE 10'!$B$7:$B$31,'PW_CMI GRADE 10'!$AS$7:$AS$31,"",0,1))&lt;=TODAY(),TRUE,FALSE)</f>
        <v>0</v>
      </c>
      <c r="J39" s="25" t="str">
        <f t="shared" ca="1" si="1"/>
        <v/>
      </c>
    </row>
    <row r="40" spans="1:11">
      <c r="A40" s="24" t="s">
        <v>244</v>
      </c>
      <c r="B40">
        <v>2</v>
      </c>
      <c r="C40">
        <f>IFERROR(
 --(INDEX('TH_CMI GRADE 10'!$C$7:$C$49,MATCH(LEFT($A40,LEN($A40)-2),'TH_CMI GRADE 10'!$B$7:$B$49,0))="P")+
 --(INDEX('TH_CMI GRADE 10'!$I$7:$I$49,MATCH(LEFT($A40,LEN($A40)-2),'TH_CMI GRADE 10'!$B$7:$B$49,0))="P")+
 --(INDEX('TH_CMI GRADE 10'!$O$7:$O$49,MATCH(LEFT($A40,LEN($A40)-2),'TH_CMI GRADE 10'!$B$7:$B$49,0))="P")+
 --(INDEX('TH_CMI GRADE 10'!$U$7:$U$49,MATCH(LEFT($A40,LEN($A40)-2),'TH_CMI GRADE 10'!$B$7:$B$49,0))="P")+
 --(INDEX('TH_CMI GRADE 10'!$AA$7:$AA$49,MATCH(LEFT($A40,LEN($A40)-2),'TH_CMI GRADE 10'!$B$7:$B$49,0))="P")+
 --(INDEX('TH_CMI GRADE 10'!$AG$7:$AG$49,MATCH(LEFT($A40,LEN($A40)-2),'TH_CMI GRADE 10'!$B$7:$B$49,0))="P")+
 --(INDEX('TH_CMI GRADE 10'!$AM$7:$AM$49,MATCH(LEFT($A40,LEN($A40)-2),'TH_CMI GRADE 10'!$B$7:$B$49,0))="P"),
0)</f>
        <v>2</v>
      </c>
      <c r="D40" s="24" t="b">
        <f ca="1">IF(IF(_xlfn.XLOOKUP(LEFT(A40,LEN(A40)-2),'TH_CMI GRADE 10'!$B$7:$B$49,'TH_CMI GRADE 10'!$AS$7:$AS$49,"",0,1)=0,"",_xlfn.XLOOKUP(LEFT(A40,LEN(A40)-2),'TH_CMI GRADE 10'!$B$7:$B$49,'TH_CMI GRADE 10'!$AS$7:$AS$49,"",0,1))&lt;=TODAY(),TRUE,FALSE)</f>
        <v>1</v>
      </c>
      <c r="E40" s="25">
        <f t="shared" ca="1" si="0"/>
        <v>1</v>
      </c>
      <c r="F40" s="24" t="s">
        <v>244</v>
      </c>
      <c r="G40">
        <v>2</v>
      </c>
      <c r="H40">
        <f>IFERROR(
 --(INDEX('PW_CMI GRADE 10'!$C$7:$C$31,MATCH(LEFT($A40,LEN($A40)-2),'PW_CMI GRADE 10'!$B$7:$B$31,0))="P")+
 --(INDEX('PW_CMI GRADE 10'!$I$7:$I$31,MATCH(LEFT($A40,LEN($A40)-2),'PW_CMI GRADE 10'!$B$7:$B$31,0))="P")+
 --(INDEX('PW_CMI GRADE 10'!$O$7:$O$31,MATCH(LEFT($A40,LEN($A40)-2),'PW_CMI GRADE 10'!$B$7:$B$31,0))="P")+
 --(INDEX('PW_CMI GRADE 10'!$U$7:$U$31,MATCH(LEFT($A40,LEN($A40)-2),'PW_CMI GRADE 10'!$B$7:$B$31,0))="P")+
 --(INDEX('PW_CMI GRADE 10'!$AA$7:$AA$31,MATCH(LEFT($A40,LEN($A40)-2),'PW_CMI GRADE 10'!$B$7:$B$31,0))="P")+
 --(INDEX('PW_CMI GRADE 10'!$AG$7:$AG$31,MATCH(LEFT($A40,LEN($A40)-2),'PW_CMI GRADE 10'!$B$7:$B$31,0))="P")+
 --(INDEX('PW_CMI GRADE 10'!$AM$7:$AM$31,MATCH(LEFT($A40,LEN($A40)-2),'PW_CMI GRADE 10'!$B$7:$B$31,0))="P"),
0)</f>
        <v>2</v>
      </c>
      <c r="I40" s="24" t="b">
        <f ca="1">IF(IF(_xlfn.XLOOKUP(LEFT($A40,LEN($A40)-2),'PW_CMI GRADE 10'!$B$7:$B$31,'PW_CMI GRADE 10'!$AS$7:$AS$31,"",0,1)=0,"",_xlfn.XLOOKUP(LEFT($A40,LEN($A40)-2),'PW_CMI GRADE 10'!$B$7:$B$31,'PW_CMI GRADE 10'!$AS$7:$AS$31,"",0,1))&lt;=TODAY(),TRUE,FALSE)</f>
        <v>1</v>
      </c>
      <c r="J40" s="25">
        <f t="shared" ca="1" si="1"/>
        <v>1</v>
      </c>
    </row>
    <row r="41" spans="1:11">
      <c r="A41" s="24" t="s">
        <v>245</v>
      </c>
      <c r="B41">
        <v>2</v>
      </c>
      <c r="C41">
        <f>IFERROR(
 --(INDEX('TH_CMI GRADE 10'!$C$7:$C$49,MATCH(LEFT($A41,LEN($A41)-2),'TH_CMI GRADE 10'!$B$7:$B$49,0))="P")+
 --(INDEX('TH_CMI GRADE 10'!$I$7:$I$49,MATCH(LEFT($A41,LEN($A41)-2),'TH_CMI GRADE 10'!$B$7:$B$49,0))="P")+
 --(INDEX('TH_CMI GRADE 10'!$O$7:$O$49,MATCH(LEFT($A41,LEN($A41)-2),'TH_CMI GRADE 10'!$B$7:$B$49,0))="P")+
 --(INDEX('TH_CMI GRADE 10'!$U$7:$U$49,MATCH(LEFT($A41,LEN($A41)-2),'TH_CMI GRADE 10'!$B$7:$B$49,0))="P")+
 --(INDEX('TH_CMI GRADE 10'!$AA$7:$AA$49,MATCH(LEFT($A41,LEN($A41)-2),'TH_CMI GRADE 10'!$B$7:$B$49,0))="P")+
 --(INDEX('TH_CMI GRADE 10'!$AG$7:$AG$49,MATCH(LEFT($A41,LEN($A41)-2),'TH_CMI GRADE 10'!$B$7:$B$49,0))="P")+
 --(INDEX('TH_CMI GRADE 10'!$AM$7:$AM$49,MATCH(LEFT($A41,LEN($A41)-2),'TH_CMI GRADE 10'!$B$7:$B$49,0))="P"),
0)</f>
        <v>2</v>
      </c>
      <c r="D41" s="24" t="b">
        <f ca="1">IF(IF(_xlfn.XLOOKUP(LEFT(A41,LEN(A41)-2),'TH_CMI GRADE 10'!$B$7:$B$49,'TH_CMI GRADE 10'!$AS$7:$AS$49,"",0,1)=0,"",_xlfn.XLOOKUP(LEFT(A41,LEN(A41)-2),'TH_CMI GRADE 10'!$B$7:$B$49,'TH_CMI GRADE 10'!$AS$7:$AS$49,"",0,1))&lt;=TODAY(),TRUE,FALSE)</f>
        <v>1</v>
      </c>
      <c r="E41" s="25">
        <f t="shared" ca="1" si="0"/>
        <v>1</v>
      </c>
      <c r="F41" s="24" t="s">
        <v>245</v>
      </c>
      <c r="G41">
        <v>2</v>
      </c>
      <c r="H41">
        <f>IFERROR(
 --(INDEX('PW_CMI GRADE 10'!$C$7:$C$31,MATCH(LEFT($A41,LEN($A41)-2),'PW_CMI GRADE 10'!$B$7:$B$31,0))="P")+
 --(INDEX('PW_CMI GRADE 10'!$I$7:$I$31,MATCH(LEFT($A41,LEN($A41)-2),'PW_CMI GRADE 10'!$B$7:$B$31,0))="P")+
 --(INDEX('PW_CMI GRADE 10'!$O$7:$O$31,MATCH(LEFT($A41,LEN($A41)-2),'PW_CMI GRADE 10'!$B$7:$B$31,0))="P")+
 --(INDEX('PW_CMI GRADE 10'!$U$7:$U$31,MATCH(LEFT($A41,LEN($A41)-2),'PW_CMI GRADE 10'!$B$7:$B$31,0))="P")+
 --(INDEX('PW_CMI GRADE 10'!$AA$7:$AA$31,MATCH(LEFT($A41,LEN($A41)-2),'PW_CMI GRADE 10'!$B$7:$B$31,0))="P")+
 --(INDEX('PW_CMI GRADE 10'!$AG$7:$AG$31,MATCH(LEFT($A41,LEN($A41)-2),'PW_CMI GRADE 10'!$B$7:$B$31,0))="P")+
 --(INDEX('PW_CMI GRADE 10'!$AM$7:$AM$31,MATCH(LEFT($A41,LEN($A41)-2),'PW_CMI GRADE 10'!$B$7:$B$31,0))="P"),
0)</f>
        <v>0</v>
      </c>
      <c r="I41" s="24" t="b">
        <f ca="1">IF(IF(_xlfn.XLOOKUP(LEFT($A41,LEN($A41)-2),'PW_CMI GRADE 10'!$B$7:$B$31,'PW_CMI GRADE 10'!$AS$7:$AS$31,"",0,1)=0,"",_xlfn.XLOOKUP(LEFT($A41,LEN($A41)-2),'PW_CMI GRADE 10'!$B$7:$B$31,'PW_CMI GRADE 10'!$AS$7:$AS$31,"",0,1))&lt;=TODAY(),TRUE,FALSE)</f>
        <v>0</v>
      </c>
      <c r="J41" s="25" t="str">
        <f t="shared" ca="1" si="1"/>
        <v/>
      </c>
    </row>
    <row r="42" spans="1:11">
      <c r="A42" s="24" t="s">
        <v>246</v>
      </c>
      <c r="B42">
        <v>2</v>
      </c>
      <c r="C42">
        <f>IFERROR(
 --(INDEX('TH_CMI GRADE 10'!$C$7:$C$49,MATCH(LEFT($A42,LEN($A42)-2),'TH_CMI GRADE 10'!$B$7:$B$49,0))="P")+
 --(INDEX('TH_CMI GRADE 10'!$I$7:$I$49,MATCH(LEFT($A42,LEN($A42)-2),'TH_CMI GRADE 10'!$B$7:$B$49,0))="P")+
 --(INDEX('TH_CMI GRADE 10'!$O$7:$O$49,MATCH(LEFT($A42,LEN($A42)-2),'TH_CMI GRADE 10'!$B$7:$B$49,0))="P")+
 --(INDEX('TH_CMI GRADE 10'!$U$7:$U$49,MATCH(LEFT($A42,LEN($A42)-2),'TH_CMI GRADE 10'!$B$7:$B$49,0))="P")+
 --(INDEX('TH_CMI GRADE 10'!$AA$7:$AA$49,MATCH(LEFT($A42,LEN($A42)-2),'TH_CMI GRADE 10'!$B$7:$B$49,0))="P")+
 --(INDEX('TH_CMI GRADE 10'!$AG$7:$AG$49,MATCH(LEFT($A42,LEN($A42)-2),'TH_CMI GRADE 10'!$B$7:$B$49,0))="P")+
 --(INDEX('TH_CMI GRADE 10'!$AM$7:$AM$49,MATCH(LEFT($A42,LEN($A42)-2),'TH_CMI GRADE 10'!$B$7:$B$49,0))="P"),
0)</f>
        <v>2</v>
      </c>
      <c r="D42" s="24" t="b">
        <f ca="1">IF(IF(_xlfn.XLOOKUP(LEFT(A42,LEN(A42)-2),'TH_CMI GRADE 10'!$B$7:$B$49,'TH_CMI GRADE 10'!$AS$7:$AS$49,"",0,1)=0,"",_xlfn.XLOOKUP(LEFT(A42,LEN(A42)-2),'TH_CMI GRADE 10'!$B$7:$B$49,'TH_CMI GRADE 10'!$AS$7:$AS$49,"",0,1))&lt;=TODAY(),TRUE,FALSE)</f>
        <v>1</v>
      </c>
      <c r="E42" s="25">
        <f t="shared" ca="1" si="0"/>
        <v>1</v>
      </c>
      <c r="F42" s="24" t="s">
        <v>246</v>
      </c>
      <c r="G42">
        <v>2</v>
      </c>
      <c r="H42">
        <f>IFERROR(
 --(INDEX('PW_CMI GRADE 10'!$C$7:$C$31,MATCH(LEFT($A42,LEN($A42)-2),'PW_CMI GRADE 10'!$B$7:$B$31,0))="P")+
 --(INDEX('PW_CMI GRADE 10'!$I$7:$I$31,MATCH(LEFT($A42,LEN($A42)-2),'PW_CMI GRADE 10'!$B$7:$B$31,0))="P")+
 --(INDEX('PW_CMI GRADE 10'!$O$7:$O$31,MATCH(LEFT($A42,LEN($A42)-2),'PW_CMI GRADE 10'!$B$7:$B$31,0))="P")+
 --(INDEX('PW_CMI GRADE 10'!$U$7:$U$31,MATCH(LEFT($A42,LEN($A42)-2),'PW_CMI GRADE 10'!$B$7:$B$31,0))="P")+
 --(INDEX('PW_CMI GRADE 10'!$AA$7:$AA$31,MATCH(LEFT($A42,LEN($A42)-2),'PW_CMI GRADE 10'!$B$7:$B$31,0))="P")+
 --(INDEX('PW_CMI GRADE 10'!$AG$7:$AG$31,MATCH(LEFT($A42,LEN($A42)-2),'PW_CMI GRADE 10'!$B$7:$B$31,0))="P")+
 --(INDEX('PW_CMI GRADE 10'!$AM$7:$AM$31,MATCH(LEFT($A42,LEN($A42)-2),'PW_CMI GRADE 10'!$B$7:$B$31,0))="P"),
0)</f>
        <v>0</v>
      </c>
      <c r="I42" s="24" t="b">
        <f ca="1">IF(IF(_xlfn.XLOOKUP(LEFT($A42,LEN($A42)-2),'PW_CMI GRADE 10'!$B$7:$B$31,'PW_CMI GRADE 10'!$AS$7:$AS$31,"",0,1)=0,"",_xlfn.XLOOKUP(LEFT($A42,LEN($A42)-2),'PW_CMI GRADE 10'!$B$7:$B$31,'PW_CMI GRADE 10'!$AS$7:$AS$31,"",0,1))&lt;=TODAY(),TRUE,FALSE)</f>
        <v>0</v>
      </c>
      <c r="J42" s="25" t="str">
        <f t="shared" ca="1" si="1"/>
        <v/>
      </c>
    </row>
    <row r="43" spans="1:11">
      <c r="A43" s="24" t="s">
        <v>247</v>
      </c>
      <c r="B43">
        <v>2</v>
      </c>
      <c r="C43">
        <f>IFERROR(
 --(INDEX('TH_CMI GRADE 10'!$C$7:$C$49,MATCH(LEFT($A43,LEN($A43)-2),'TH_CMI GRADE 10'!$B$7:$B$49,0))="P")+
 --(INDEX('TH_CMI GRADE 10'!$I$7:$I$49,MATCH(LEFT($A43,LEN($A43)-2),'TH_CMI GRADE 10'!$B$7:$B$49,0))="P")+
 --(INDEX('TH_CMI GRADE 10'!$O$7:$O$49,MATCH(LEFT($A43,LEN($A43)-2),'TH_CMI GRADE 10'!$B$7:$B$49,0))="P")+
 --(INDEX('TH_CMI GRADE 10'!$U$7:$U$49,MATCH(LEFT($A43,LEN($A43)-2),'TH_CMI GRADE 10'!$B$7:$B$49,0))="P")+
 --(INDEX('TH_CMI GRADE 10'!$AA$7:$AA$49,MATCH(LEFT($A43,LEN($A43)-2),'TH_CMI GRADE 10'!$B$7:$B$49,0))="P")+
 --(INDEX('TH_CMI GRADE 10'!$AG$7:$AG$49,MATCH(LEFT($A43,LEN($A43)-2),'TH_CMI GRADE 10'!$B$7:$B$49,0))="P")+
 --(INDEX('TH_CMI GRADE 10'!$AM$7:$AM$49,MATCH(LEFT($A43,LEN($A43)-2),'TH_CMI GRADE 10'!$B$7:$B$49,0))="P"),
0)</f>
        <v>2</v>
      </c>
      <c r="D43" s="24" t="b">
        <f ca="1">IF(IF(_xlfn.XLOOKUP(LEFT(A43,LEN(A43)-2),'TH_CMI GRADE 10'!$B$7:$B$49,'TH_CMI GRADE 10'!$AS$7:$AS$49,"",0,1)=0,"",_xlfn.XLOOKUP(LEFT(A43,LEN(A43)-2),'TH_CMI GRADE 10'!$B$7:$B$49,'TH_CMI GRADE 10'!$AS$7:$AS$49,"",0,1))&lt;=TODAY(),TRUE,FALSE)</f>
        <v>1</v>
      </c>
      <c r="E43" s="25">
        <f t="shared" ca="1" si="0"/>
        <v>1</v>
      </c>
      <c r="F43" s="24" t="s">
        <v>247</v>
      </c>
      <c r="G43">
        <v>2</v>
      </c>
      <c r="H43">
        <f>IFERROR(
 --(INDEX('PW_CMI GRADE 10'!$C$7:$C$31,MATCH(LEFT($A43,LEN($A43)-2),'PW_CMI GRADE 10'!$B$7:$B$31,0))="P")+
 --(INDEX('PW_CMI GRADE 10'!$I$7:$I$31,MATCH(LEFT($A43,LEN($A43)-2),'PW_CMI GRADE 10'!$B$7:$B$31,0))="P")+
 --(INDEX('PW_CMI GRADE 10'!$O$7:$O$31,MATCH(LEFT($A43,LEN($A43)-2),'PW_CMI GRADE 10'!$B$7:$B$31,0))="P")+
 --(INDEX('PW_CMI GRADE 10'!$U$7:$U$31,MATCH(LEFT($A43,LEN($A43)-2),'PW_CMI GRADE 10'!$B$7:$B$31,0))="P")+
 --(INDEX('PW_CMI GRADE 10'!$AA$7:$AA$31,MATCH(LEFT($A43,LEN($A43)-2),'PW_CMI GRADE 10'!$B$7:$B$31,0))="P")+
 --(INDEX('PW_CMI GRADE 10'!$AG$7:$AG$31,MATCH(LEFT($A43,LEN($A43)-2),'PW_CMI GRADE 10'!$B$7:$B$31,0))="P")+
 --(INDEX('PW_CMI GRADE 10'!$AM$7:$AM$31,MATCH(LEFT($A43,LEN($A43)-2),'PW_CMI GRADE 10'!$B$7:$B$31,0))="P"),
0)</f>
        <v>0</v>
      </c>
      <c r="I43" s="24" t="b">
        <f ca="1">IF(IF(_xlfn.XLOOKUP(LEFT($A43,LEN($A43)-2),'PW_CMI GRADE 10'!$B$7:$B$31,'PW_CMI GRADE 10'!$AS$7:$AS$31,"",0,1)=0,"",_xlfn.XLOOKUP(LEFT($A43,LEN($A43)-2),'PW_CMI GRADE 10'!$B$7:$B$31,'PW_CMI GRADE 10'!$AS$7:$AS$31,"",0,1))&lt;=TODAY(),TRUE,FALSE)</f>
        <v>0</v>
      </c>
      <c r="J43" s="25" t="str">
        <f t="shared" ca="1" si="1"/>
        <v/>
      </c>
    </row>
    <row r="44" spans="1:11">
      <c r="A44" s="24" t="s">
        <v>248</v>
      </c>
      <c r="B44">
        <v>2</v>
      </c>
      <c r="C44">
        <f>IFERROR(
 --(INDEX('TH_CMI GRADE 10'!$C$7:$C$49,MATCH(LEFT($A44,LEN($A44)-2),'TH_CMI GRADE 10'!$B$7:$B$49,0))="P")+
 --(INDEX('TH_CMI GRADE 10'!$I$7:$I$49,MATCH(LEFT($A44,LEN($A44)-2),'TH_CMI GRADE 10'!$B$7:$B$49,0))="P")+
 --(INDEX('TH_CMI GRADE 10'!$O$7:$O$49,MATCH(LEFT($A44,LEN($A44)-2),'TH_CMI GRADE 10'!$B$7:$B$49,0))="P")+
 --(INDEX('TH_CMI GRADE 10'!$U$7:$U$49,MATCH(LEFT($A44,LEN($A44)-2),'TH_CMI GRADE 10'!$B$7:$B$49,0))="P")+
 --(INDEX('TH_CMI GRADE 10'!$AA$7:$AA$49,MATCH(LEFT($A44,LEN($A44)-2),'TH_CMI GRADE 10'!$B$7:$B$49,0))="P")+
 --(INDEX('TH_CMI GRADE 10'!$AG$7:$AG$49,MATCH(LEFT($A44,LEN($A44)-2),'TH_CMI GRADE 10'!$B$7:$B$49,0))="P")+
 --(INDEX('TH_CMI GRADE 10'!$AM$7:$AM$49,MATCH(LEFT($A44,LEN($A44)-2),'TH_CMI GRADE 10'!$B$7:$B$49,0))="P"),
0)</f>
        <v>3</v>
      </c>
      <c r="D44" s="24" t="b">
        <f ca="1">IF(IF(_xlfn.XLOOKUP(LEFT(A44,LEN(A44)-2),'TH_CMI GRADE 10'!$B$7:$B$49,'TH_CMI GRADE 10'!$AS$7:$AS$49,"",0,1)=0,"",_xlfn.XLOOKUP(LEFT(A44,LEN(A44)-2),'TH_CMI GRADE 10'!$B$7:$B$49,'TH_CMI GRADE 10'!$AS$7:$AS$49,"",0,1))&lt;=TODAY(),TRUE,FALSE)</f>
        <v>1</v>
      </c>
      <c r="E44" s="25">
        <f t="shared" ca="1" si="0"/>
        <v>1</v>
      </c>
      <c r="F44" s="24" t="s">
        <v>248</v>
      </c>
      <c r="G44">
        <v>2</v>
      </c>
      <c r="H44">
        <f>IFERROR(
 --(INDEX('PW_CMI GRADE 10'!$C$7:$C$31,MATCH(LEFT($A44,LEN($A44)-2),'PW_CMI GRADE 10'!$B$7:$B$31,0))="P")+
 --(INDEX('PW_CMI GRADE 10'!$I$7:$I$31,MATCH(LEFT($A44,LEN($A44)-2),'PW_CMI GRADE 10'!$B$7:$B$31,0))="P")+
 --(INDEX('PW_CMI GRADE 10'!$O$7:$O$31,MATCH(LEFT($A44,LEN($A44)-2),'PW_CMI GRADE 10'!$B$7:$B$31,0))="P")+
 --(INDEX('PW_CMI GRADE 10'!$U$7:$U$31,MATCH(LEFT($A44,LEN($A44)-2),'PW_CMI GRADE 10'!$B$7:$B$31,0))="P")+
 --(INDEX('PW_CMI GRADE 10'!$AA$7:$AA$31,MATCH(LEFT($A44,LEN($A44)-2),'PW_CMI GRADE 10'!$B$7:$B$31,0))="P")+
 --(INDEX('PW_CMI GRADE 10'!$AG$7:$AG$31,MATCH(LEFT($A44,LEN($A44)-2),'PW_CMI GRADE 10'!$B$7:$B$31,0))="P")+
 --(INDEX('PW_CMI GRADE 10'!$AM$7:$AM$31,MATCH(LEFT($A44,LEN($A44)-2),'PW_CMI GRADE 10'!$B$7:$B$31,0))="P"),
0)</f>
        <v>0</v>
      </c>
      <c r="I44" s="24" t="b">
        <f ca="1">IF(IF(_xlfn.XLOOKUP(LEFT($A44,LEN($A44)-2),'PW_CMI GRADE 10'!$B$7:$B$31,'PW_CMI GRADE 10'!$AS$7:$AS$31,"",0,1)=0,"",_xlfn.XLOOKUP(LEFT($A44,LEN($A44)-2),'PW_CMI GRADE 10'!$B$7:$B$31,'PW_CMI GRADE 10'!$AS$7:$AS$31,"",0,1))&lt;=TODAY(),TRUE,FALSE)</f>
        <v>0</v>
      </c>
      <c r="J44" s="25" t="str">
        <f t="shared" ca="1" si="1"/>
        <v/>
      </c>
    </row>
    <row r="45" spans="1:11">
      <c r="A45" s="24" t="s">
        <v>249</v>
      </c>
      <c r="B45">
        <v>2</v>
      </c>
      <c r="C45">
        <f>IFERROR(
 --(INDEX('TH_CMI GRADE 10'!$C$7:$C$49,MATCH(LEFT($A45,LEN($A45)-2),'TH_CMI GRADE 10'!$B$7:$B$49,0))="P")+
 --(INDEX('TH_CMI GRADE 10'!$I$7:$I$49,MATCH(LEFT($A45,LEN($A45)-2),'TH_CMI GRADE 10'!$B$7:$B$49,0))="P")+
 --(INDEX('TH_CMI GRADE 10'!$O$7:$O$49,MATCH(LEFT($A45,LEN($A45)-2),'TH_CMI GRADE 10'!$B$7:$B$49,0))="P")+
 --(INDEX('TH_CMI GRADE 10'!$U$7:$U$49,MATCH(LEFT($A45,LEN($A45)-2),'TH_CMI GRADE 10'!$B$7:$B$49,0))="P")+
 --(INDEX('TH_CMI GRADE 10'!$AA$7:$AA$49,MATCH(LEFT($A45,LEN($A45)-2),'TH_CMI GRADE 10'!$B$7:$B$49,0))="P")+
 --(INDEX('TH_CMI GRADE 10'!$AG$7:$AG$49,MATCH(LEFT($A45,LEN($A45)-2),'TH_CMI GRADE 10'!$B$7:$B$49,0))="P")+
 --(INDEX('TH_CMI GRADE 10'!$AM$7:$AM$49,MATCH(LEFT($A45,LEN($A45)-2),'TH_CMI GRADE 10'!$B$7:$B$49,0))="P"),
0)</f>
        <v>3</v>
      </c>
      <c r="D45" s="24" t="b">
        <f ca="1">IF(IF(_xlfn.XLOOKUP(LEFT(A45,LEN(A45)-2),'TH_CMI GRADE 10'!$B$7:$B$49,'TH_CMI GRADE 10'!$AS$7:$AS$49,"",0,1)=0,"",_xlfn.XLOOKUP(LEFT(A45,LEN(A45)-2),'TH_CMI GRADE 10'!$B$7:$B$49,'TH_CMI GRADE 10'!$AS$7:$AS$49,"",0,1))&lt;=TODAY(),TRUE,FALSE)</f>
        <v>1</v>
      </c>
      <c r="E45" s="25">
        <f t="shared" ca="1" si="0"/>
        <v>1</v>
      </c>
      <c r="F45" s="24" t="s">
        <v>249</v>
      </c>
      <c r="G45">
        <v>2</v>
      </c>
      <c r="H45">
        <f>IFERROR(
 --(INDEX('PW_CMI GRADE 10'!$C$7:$C$31,MATCH(LEFT($A45,LEN($A45)-2),'PW_CMI GRADE 10'!$B$7:$B$31,0))="P")+
 --(INDEX('PW_CMI GRADE 10'!$I$7:$I$31,MATCH(LEFT($A45,LEN($A45)-2),'PW_CMI GRADE 10'!$B$7:$B$31,0))="P")+
 --(INDEX('PW_CMI GRADE 10'!$O$7:$O$31,MATCH(LEFT($A45,LEN($A45)-2),'PW_CMI GRADE 10'!$B$7:$B$31,0))="P")+
 --(INDEX('PW_CMI GRADE 10'!$U$7:$U$31,MATCH(LEFT($A45,LEN($A45)-2),'PW_CMI GRADE 10'!$B$7:$B$31,0))="P")+
 --(INDEX('PW_CMI GRADE 10'!$AA$7:$AA$31,MATCH(LEFT($A45,LEN($A45)-2),'PW_CMI GRADE 10'!$B$7:$B$31,0))="P")+
 --(INDEX('PW_CMI GRADE 10'!$AG$7:$AG$31,MATCH(LEFT($A45,LEN($A45)-2),'PW_CMI GRADE 10'!$B$7:$B$31,0))="P")+
 --(INDEX('PW_CMI GRADE 10'!$AM$7:$AM$31,MATCH(LEFT($A45,LEN($A45)-2),'PW_CMI GRADE 10'!$B$7:$B$31,0))="P"),
0)</f>
        <v>0</v>
      </c>
      <c r="I45" s="24" t="b">
        <f ca="1">IF(IF(_xlfn.XLOOKUP(LEFT($A45,LEN($A45)-2),'PW_CMI GRADE 10'!$B$7:$B$31,'PW_CMI GRADE 10'!$AS$7:$AS$31,"",0,1)=0,"",_xlfn.XLOOKUP(LEFT($A45,LEN($A45)-2),'PW_CMI GRADE 10'!$B$7:$B$31,'PW_CMI GRADE 10'!$AS$7:$AS$31,"",0,1))&lt;=TODAY(),TRUE,FALSE)</f>
        <v>0</v>
      </c>
      <c r="J45" s="25" t="str">
        <f t="shared" ca="1" si="1"/>
        <v/>
      </c>
    </row>
    <row r="46" spans="1:11">
      <c r="A46" s="24" t="s">
        <v>250</v>
      </c>
      <c r="B46">
        <v>2</v>
      </c>
      <c r="C46">
        <f>IFERROR(
 --(INDEX('TH_CMI GRADE 10'!$C$7:$C$49,MATCH(LEFT($A46,LEN($A46)-2),'TH_CMI GRADE 10'!$B$7:$B$49,0))="P")+
 --(INDEX('TH_CMI GRADE 10'!$I$7:$I$49,MATCH(LEFT($A46,LEN($A46)-2),'TH_CMI GRADE 10'!$B$7:$B$49,0))="P")+
 --(INDEX('TH_CMI GRADE 10'!$O$7:$O$49,MATCH(LEFT($A46,LEN($A46)-2),'TH_CMI GRADE 10'!$B$7:$B$49,0))="P")+
 --(INDEX('TH_CMI GRADE 10'!$U$7:$U$49,MATCH(LEFT($A46,LEN($A46)-2),'TH_CMI GRADE 10'!$B$7:$B$49,0))="P")+
 --(INDEX('TH_CMI GRADE 10'!$AA$7:$AA$49,MATCH(LEFT($A46,LEN($A46)-2),'TH_CMI GRADE 10'!$B$7:$B$49,0))="P")+
 --(INDEX('TH_CMI GRADE 10'!$AG$7:$AG$49,MATCH(LEFT($A46,LEN($A46)-2),'TH_CMI GRADE 10'!$B$7:$B$49,0))="P")+
 --(INDEX('TH_CMI GRADE 10'!$AM$7:$AM$49,MATCH(LEFT($A46,LEN($A46)-2),'TH_CMI GRADE 10'!$B$7:$B$49,0))="P"),
0)</f>
        <v>3</v>
      </c>
      <c r="D46" s="24" t="b">
        <f ca="1">IF(IF(_xlfn.XLOOKUP(LEFT(A46,LEN(A46)-2),'TH_CMI GRADE 10'!$B$7:$B$49,'TH_CMI GRADE 10'!$AS$7:$AS$49,"",0,1)=0,"",_xlfn.XLOOKUP(LEFT(A46,LEN(A46)-2),'TH_CMI GRADE 10'!$B$7:$B$49,'TH_CMI GRADE 10'!$AS$7:$AS$49,"",0,1))&lt;=TODAY(),TRUE,FALSE)</f>
        <v>1</v>
      </c>
      <c r="E46" s="25">
        <f t="shared" ca="1" si="0"/>
        <v>1</v>
      </c>
      <c r="F46" s="24" t="s">
        <v>250</v>
      </c>
      <c r="G46">
        <v>2</v>
      </c>
      <c r="H46">
        <f>IFERROR(
 --(INDEX('PW_CMI GRADE 10'!$C$7:$C$31,MATCH(LEFT($A46,LEN($A46)-2),'PW_CMI GRADE 10'!$B$7:$B$31,0))="P")+
 --(INDEX('PW_CMI GRADE 10'!$I$7:$I$31,MATCH(LEFT($A46,LEN($A46)-2),'PW_CMI GRADE 10'!$B$7:$B$31,0))="P")+
 --(INDEX('PW_CMI GRADE 10'!$O$7:$O$31,MATCH(LEFT($A46,LEN($A46)-2),'PW_CMI GRADE 10'!$B$7:$B$31,0))="P")+
 --(INDEX('PW_CMI GRADE 10'!$U$7:$U$31,MATCH(LEFT($A46,LEN($A46)-2),'PW_CMI GRADE 10'!$B$7:$B$31,0))="P")+
 --(INDEX('PW_CMI GRADE 10'!$AA$7:$AA$31,MATCH(LEFT($A46,LEN($A46)-2),'PW_CMI GRADE 10'!$B$7:$B$31,0))="P")+
 --(INDEX('PW_CMI GRADE 10'!$AG$7:$AG$31,MATCH(LEFT($A46,LEN($A46)-2),'PW_CMI GRADE 10'!$B$7:$B$31,0))="P")+
 --(INDEX('PW_CMI GRADE 10'!$AM$7:$AM$31,MATCH(LEFT($A46,LEN($A46)-2),'PW_CMI GRADE 10'!$B$7:$B$31,0))="P"),
0)</f>
        <v>0</v>
      </c>
      <c r="I46" s="24" t="b">
        <f ca="1">IF(IF(_xlfn.XLOOKUP(LEFT($A46,LEN($A46)-2),'PW_CMI GRADE 10'!$B$7:$B$31,'PW_CMI GRADE 10'!$AS$7:$AS$31,"",0,1)=0,"",_xlfn.XLOOKUP(LEFT($A46,LEN($A46)-2),'PW_CMI GRADE 10'!$B$7:$B$31,'PW_CMI GRADE 10'!$AS$7:$AS$31,"",0,1))&lt;=TODAY(),TRUE,FALSE)</f>
        <v>0</v>
      </c>
      <c r="J46" s="25" t="str">
        <f t="shared" ca="1" si="1"/>
        <v/>
      </c>
    </row>
    <row r="47" spans="1:11">
      <c r="A47" s="24" t="s">
        <v>251</v>
      </c>
      <c r="B47">
        <v>2</v>
      </c>
      <c r="C47">
        <f>IFERROR(
 --(INDEX('TH_CMI GRADE 10'!$C$7:$C$49,MATCH(LEFT($A47,LEN($A47)-2),'TH_CMI GRADE 10'!$B$7:$B$49,0))="P")+
 --(INDEX('TH_CMI GRADE 10'!$I$7:$I$49,MATCH(LEFT($A47,LEN($A47)-2),'TH_CMI GRADE 10'!$B$7:$B$49,0))="P")+
 --(INDEX('TH_CMI GRADE 10'!$O$7:$O$49,MATCH(LEFT($A47,LEN($A47)-2),'TH_CMI GRADE 10'!$B$7:$B$49,0))="P")+
 --(INDEX('TH_CMI GRADE 10'!$U$7:$U$49,MATCH(LEFT($A47,LEN($A47)-2),'TH_CMI GRADE 10'!$B$7:$B$49,0))="P")+
 --(INDEX('TH_CMI GRADE 10'!$AA$7:$AA$49,MATCH(LEFT($A47,LEN($A47)-2),'TH_CMI GRADE 10'!$B$7:$B$49,0))="P")+
 --(INDEX('TH_CMI GRADE 10'!$AG$7:$AG$49,MATCH(LEFT($A47,LEN($A47)-2),'TH_CMI GRADE 10'!$B$7:$B$49,0))="P")+
 --(INDEX('TH_CMI GRADE 10'!$AM$7:$AM$49,MATCH(LEFT($A47,LEN($A47)-2),'TH_CMI GRADE 10'!$B$7:$B$49,0))="P"),
0)</f>
        <v>3</v>
      </c>
      <c r="D47" s="24" t="b">
        <f ca="1">IF(IF(_xlfn.XLOOKUP(LEFT(A47,LEN(A47)-2),'TH_CMI GRADE 10'!$B$7:$B$49,'TH_CMI GRADE 10'!$AS$7:$AS$49,"",0,1)=0,"",_xlfn.XLOOKUP(LEFT(A47,LEN(A47)-2),'TH_CMI GRADE 10'!$B$7:$B$49,'TH_CMI GRADE 10'!$AS$7:$AS$49,"",0,1))&lt;=TODAY(),TRUE,FALSE)</f>
        <v>1</v>
      </c>
      <c r="E47" s="25">
        <f t="shared" ca="1" si="0"/>
        <v>1</v>
      </c>
      <c r="F47" s="24" t="s">
        <v>251</v>
      </c>
      <c r="G47">
        <v>2</v>
      </c>
      <c r="H47">
        <f>IFERROR(
 --(INDEX('PW_CMI GRADE 10'!$C$7:$C$31,MATCH(LEFT($A47,LEN($A47)-2),'PW_CMI GRADE 10'!$B$7:$B$31,0))="P")+
 --(INDEX('PW_CMI GRADE 10'!$I$7:$I$31,MATCH(LEFT($A47,LEN($A47)-2),'PW_CMI GRADE 10'!$B$7:$B$31,0))="P")+
 --(INDEX('PW_CMI GRADE 10'!$O$7:$O$31,MATCH(LEFT($A47,LEN($A47)-2),'PW_CMI GRADE 10'!$B$7:$B$31,0))="P")+
 --(INDEX('PW_CMI GRADE 10'!$U$7:$U$31,MATCH(LEFT($A47,LEN($A47)-2),'PW_CMI GRADE 10'!$B$7:$B$31,0))="P")+
 --(INDEX('PW_CMI GRADE 10'!$AA$7:$AA$31,MATCH(LEFT($A47,LEN($A47)-2),'PW_CMI GRADE 10'!$B$7:$B$31,0))="P")+
 --(INDEX('PW_CMI GRADE 10'!$AG$7:$AG$31,MATCH(LEFT($A47,LEN($A47)-2),'PW_CMI GRADE 10'!$B$7:$B$31,0))="P")+
 --(INDEX('PW_CMI GRADE 10'!$AM$7:$AM$31,MATCH(LEFT($A47,LEN($A47)-2),'PW_CMI GRADE 10'!$B$7:$B$31,0))="P"),
0)</f>
        <v>0</v>
      </c>
      <c r="I47" s="24" t="b">
        <f ca="1">IF(IF(_xlfn.XLOOKUP(LEFT($A47,LEN($A47)-2),'PW_CMI GRADE 10'!$B$7:$B$31,'PW_CMI GRADE 10'!$AS$7:$AS$31,"",0,1)=0,"",_xlfn.XLOOKUP(LEFT($A47,LEN($A47)-2),'PW_CMI GRADE 10'!$B$7:$B$31,'PW_CMI GRADE 10'!$AS$7:$AS$31,"",0,1))&lt;=TODAY(),TRUE,FALSE)</f>
        <v>0</v>
      </c>
      <c r="J47" s="25" t="str">
        <f t="shared" ca="1" si="1"/>
        <v/>
      </c>
    </row>
    <row r="48" spans="1:11">
      <c r="A48" s="24" t="s">
        <v>252</v>
      </c>
      <c r="B48">
        <v>2</v>
      </c>
      <c r="C48">
        <f>IFERROR(
 --(INDEX('TH_CMI GRADE 10'!$D$7:$D$49,MATCH(LEFT($A48,LEN($A48)-2),'TH_CMI GRADE 10'!$B$7:$B$49,0))="P")+
 --(INDEX('TH_CMI GRADE 10'!$J$7:$J$49,MATCH(LEFT($A48,LEN($A48)-2),'TH_CMI GRADE 10'!$B$7:$B$49,0))="P")+
 --(INDEX('TH_CMI GRADE 10'!$P$7:$P$49,MATCH(LEFT($A48,LEN($A48)-2),'TH_CMI GRADE 10'!$B$7:$B$49,0))="P")+
 --(INDEX('TH_CMI GRADE 10'!$V$7:$V$49,MATCH(LEFT($A48,LEN($A48)-2),'TH_CMI GRADE 10'!$B$7:$B$49,0))="P")+
 --(INDEX('TH_CMI GRADE 10'!$AB$7:$AB$49,MATCH(LEFT($A48,LEN($A48)-2),'TH_CMI GRADE 10'!$B$7:$B$49,0))="P")+
 --(INDEX('TH_CMI GRADE 10'!$AH$7:$AH$49,MATCH(LEFT($A48,LEN($A48)-2),'TH_CMI GRADE 10'!$B$7:$B$49,0))="P")+
 --(INDEX('TH_CMI GRADE 10'!$AN$7:$AN$49,MATCH(LEFT($A48,LEN($A48)-2),'TH_CMI GRADE 10'!$B$7:$B$49,0))="P"),
0)</f>
        <v>2</v>
      </c>
      <c r="D48" s="24" t="b">
        <f ca="1">IF(IF(_xlfn.XLOOKUP(LEFT($A48,LEN($A48)-2),'TH_CMI GRADE 10'!$B$7:$B$49,'TH_CMI GRADE 10'!$AT$7:$AT$49,"",0,1)=0,"",_xlfn.XLOOKUP(LEFT($A48,LEN($A48)-2),'TH_CMI GRADE 10'!$B$7:$B$49,'TH_CMI GRADE 10'!$AT$7:$AT$49,"",0,1))&lt;=TODAY(),TRUE,FALSE)</f>
        <v>1</v>
      </c>
      <c r="E48" s="25">
        <f t="shared" ca="1" si="0"/>
        <v>1</v>
      </c>
      <c r="F48" s="24" t="s">
        <v>252</v>
      </c>
      <c r="G48">
        <v>2</v>
      </c>
      <c r="H48">
        <f>IFERROR(
 --(INDEX('PW_CMI GRADE 10'!$D$7:$D$31,MATCH(LEFT($A48,LEN($A48)-2),'PW_CMI GRADE 10'!$B$7:$B$31,0))="P")+
 --(INDEX('PW_CMI GRADE 10'!$J$7:$J$31,MATCH(LEFT($A48,LEN($A48)-2),'PW_CMI GRADE 10'!$B$7:$B$31,0))="P")+
 --(INDEX('PW_CMI GRADE 10'!$P$7:$P$31,MATCH(LEFT($A48,LEN($A48)-2),'PW_CMI GRADE 10'!$B$7:$B$31,0))="P")+
 --(INDEX('PW_CMI GRADE 10'!$V$7:$V$31,MATCH(LEFT($A48,LEN($A48)-2),'PW_CMI GRADE 10'!$B$7:$B$31,0))="P")+
 --(INDEX('PW_CMI GRADE 10'!$AB$7:$AB$31,MATCH(LEFT($A48,LEN($A48)-2),'PW_CMI GRADE 10'!$B$7:$B$31,0))="P")+
 --(INDEX('PW_CMI GRADE 10'!$AH$7:$AH$31,MATCH(LEFT($A48,LEN($A48)-2),'PW_CMI GRADE 10'!$B$7:$B$31,0))="P")+
 --(INDEX('PW_CMI GRADE 10'!$AN$7:$AN$31,MATCH(LEFT($A48,LEN($A48)-2),'PW_CMI GRADE 10'!$B$7:$B$31,0))="P"),
0)</f>
        <v>0</v>
      </c>
      <c r="I48" s="24" t="b">
        <f ca="1">IF(IF(_xlfn.XLOOKUP(LEFT($A48,LEN($A48)-2),'PW_CMI GRADE 10'!$B$7:$B$31,'PW_CMI GRADE 10'!$AT$7:$AT$31,"",0,1)=0,"",_xlfn.XLOOKUP(LEFT($A48,LEN($A48)-2),'PW_CMI GRADE 10'!$B$7:$B$31,'PW_CMI GRADE 10'!$AT$7:$AT$31,"",0,1))&lt;=TODAY(),TRUE,FALSE)</f>
        <v>0</v>
      </c>
      <c r="J48" s="25" t="str">
        <f t="shared" ca="1" si="1"/>
        <v/>
      </c>
      <c r="K48" s="54"/>
    </row>
    <row r="49" spans="1:10">
      <c r="A49" s="24" t="s">
        <v>253</v>
      </c>
      <c r="B49">
        <v>2</v>
      </c>
      <c r="C49">
        <f>IFERROR(
 --(INDEX('TH_CMI GRADE 10'!$D$7:$D$49,MATCH(LEFT($A49,LEN($A49)-2),'TH_CMI GRADE 10'!$B$7:$B$49,0))="P")+
 --(INDEX('TH_CMI GRADE 10'!$J$7:$J$49,MATCH(LEFT($A49,LEN($A49)-2),'TH_CMI GRADE 10'!$B$7:$B$49,0))="P")+
 --(INDEX('TH_CMI GRADE 10'!$P$7:$P$49,MATCH(LEFT($A49,LEN($A49)-2),'TH_CMI GRADE 10'!$B$7:$B$49,0))="P")+
 --(INDEX('TH_CMI GRADE 10'!$V$7:$V$49,MATCH(LEFT($A49,LEN($A49)-2),'TH_CMI GRADE 10'!$B$7:$B$49,0))="P")+
 --(INDEX('TH_CMI GRADE 10'!$AB$7:$AB$49,MATCH(LEFT($A49,LEN($A49)-2),'TH_CMI GRADE 10'!$B$7:$B$49,0))="P")+
 --(INDEX('TH_CMI GRADE 10'!$AH$7:$AH$49,MATCH(LEFT($A49,LEN($A49)-2),'TH_CMI GRADE 10'!$B$7:$B$49,0))="P")+
 --(INDEX('TH_CMI GRADE 10'!$AN$7:$AN$49,MATCH(LEFT($A49,LEN($A49)-2),'TH_CMI GRADE 10'!$B$7:$B$49,0))="P"),
0)</f>
        <v>2</v>
      </c>
      <c r="D49" s="24" t="b">
        <f ca="1">IF(IF(_xlfn.XLOOKUP(LEFT(A49,LEN(A49)-2),'TH_CMI GRADE 10'!$B$7:$B$49,'TH_CMI GRADE 10'!$AT$7:$AT$49,"",0,1)=0,"",_xlfn.XLOOKUP(LEFT(A49,LEN(A49)-2),'TH_CMI GRADE 10'!$B$7:$B$49,'TH_CMI GRADE 10'!$AT$7:$AT$49,"",0,1))&lt;=TODAY(),TRUE,FALSE)</f>
        <v>1</v>
      </c>
      <c r="E49" s="25">
        <f t="shared" ca="1" si="0"/>
        <v>1</v>
      </c>
      <c r="F49" s="24" t="s">
        <v>253</v>
      </c>
      <c r="G49">
        <v>2</v>
      </c>
      <c r="H49">
        <f>IFERROR(
 --(INDEX('PW_CMI GRADE 10'!$D$7:$D$31,MATCH(LEFT($A49,LEN($A49)-2),'PW_CMI GRADE 10'!$B$7:$B$31,0))="P")+
 --(INDEX('PW_CMI GRADE 10'!$J$7:$J$31,MATCH(LEFT($A49,LEN($A49)-2),'PW_CMI GRADE 10'!$B$7:$B$31,0))="P")+
 --(INDEX('PW_CMI GRADE 10'!$P$7:$P$31,MATCH(LEFT($A49,LEN($A49)-2),'PW_CMI GRADE 10'!$B$7:$B$31,0))="P")+
 --(INDEX('PW_CMI GRADE 10'!$V$7:$V$31,MATCH(LEFT($A49,LEN($A49)-2),'PW_CMI GRADE 10'!$B$7:$B$31,0))="P")+
 --(INDEX('PW_CMI GRADE 10'!$AB$7:$AB$31,MATCH(LEFT($A49,LEN($A49)-2),'PW_CMI GRADE 10'!$B$7:$B$31,0))="P")+
 --(INDEX('PW_CMI GRADE 10'!$AH$7:$AH$31,MATCH(LEFT($A49,LEN($A49)-2),'PW_CMI GRADE 10'!$B$7:$B$31,0))="P")+
 --(INDEX('PW_CMI GRADE 10'!$AN$7:$AN$31,MATCH(LEFT($A49,LEN($A49)-2),'PW_CMI GRADE 10'!$B$7:$B$31,0))="P"),
0)</f>
        <v>0</v>
      </c>
      <c r="I49" s="24" t="b">
        <f ca="1">IF(IF(_xlfn.XLOOKUP(LEFT($A49,LEN($A49)-2),'PW_CMI GRADE 10'!$B$7:$B$31,'PW_CMI GRADE 10'!$AT$7:$AT$31,"",0,1)=0,"",_xlfn.XLOOKUP(LEFT($A49,LEN($A49)-2),'PW_CMI GRADE 10'!$B$7:$B$31,'PW_CMI GRADE 10'!$AT$7:$AT$31,"",0,1))&lt;=TODAY(),TRUE,FALSE)</f>
        <v>0</v>
      </c>
      <c r="J49" s="25" t="str">
        <f t="shared" ca="1" si="1"/>
        <v/>
      </c>
    </row>
    <row r="50" spans="1:10">
      <c r="A50" s="24" t="s">
        <v>254</v>
      </c>
      <c r="B50">
        <v>2</v>
      </c>
      <c r="C50">
        <f>IFERROR(
 --(INDEX('TH_CMI GRADE 10'!$D$7:$D$49,MATCH(LEFT($A50,LEN($A50)-2),'TH_CMI GRADE 10'!$B$7:$B$49,0))="P")+
 --(INDEX('TH_CMI GRADE 10'!$J$7:$J$49,MATCH(LEFT($A50,LEN($A50)-2),'TH_CMI GRADE 10'!$B$7:$B$49,0))="P")+
 --(INDEX('TH_CMI GRADE 10'!$P$7:$P$49,MATCH(LEFT($A50,LEN($A50)-2),'TH_CMI GRADE 10'!$B$7:$B$49,0))="P")+
 --(INDEX('TH_CMI GRADE 10'!$V$7:$V$49,MATCH(LEFT($A50,LEN($A50)-2),'TH_CMI GRADE 10'!$B$7:$B$49,0))="P")+
 --(INDEX('TH_CMI GRADE 10'!$AB$7:$AB$49,MATCH(LEFT($A50,LEN($A50)-2),'TH_CMI GRADE 10'!$B$7:$B$49,0))="P")+
 --(INDEX('TH_CMI GRADE 10'!$AH$7:$AH$49,MATCH(LEFT($A50,LEN($A50)-2),'TH_CMI GRADE 10'!$B$7:$B$49,0))="P")+
 --(INDEX('TH_CMI GRADE 10'!$AN$7:$AN$49,MATCH(LEFT($A50,LEN($A50)-2),'TH_CMI GRADE 10'!$B$7:$B$49,0))="P"),
0)</f>
        <v>2</v>
      </c>
      <c r="D50" s="24" t="b">
        <f ca="1">IF(IF(_xlfn.XLOOKUP(LEFT(A50,LEN(A50)-2),'TH_CMI GRADE 10'!$B$7:$B$49,'TH_CMI GRADE 10'!$AT$7:$AT$49,"",0,1)=0,"",_xlfn.XLOOKUP(LEFT(A50,LEN(A50)-2),'TH_CMI GRADE 10'!$B$7:$B$49,'TH_CMI GRADE 10'!$AT$7:$AT$49,"",0,1))&lt;=TODAY(),TRUE,FALSE)</f>
        <v>1</v>
      </c>
      <c r="E50" s="25">
        <f t="shared" ca="1" si="0"/>
        <v>1</v>
      </c>
      <c r="F50" s="24" t="s">
        <v>254</v>
      </c>
      <c r="G50">
        <v>2</v>
      </c>
      <c r="H50">
        <f>IFERROR(
 --(INDEX('PW_CMI GRADE 10'!$D$7:$D$31,MATCH(LEFT($A50,LEN($A50)-2),'PW_CMI GRADE 10'!$B$7:$B$31,0))="P")+
 --(INDEX('PW_CMI GRADE 10'!$J$7:$J$31,MATCH(LEFT($A50,LEN($A50)-2),'PW_CMI GRADE 10'!$B$7:$B$31,0))="P")+
 --(INDEX('PW_CMI GRADE 10'!$P$7:$P$31,MATCH(LEFT($A50,LEN($A50)-2),'PW_CMI GRADE 10'!$B$7:$B$31,0))="P")+
 --(INDEX('PW_CMI GRADE 10'!$V$7:$V$31,MATCH(LEFT($A50,LEN($A50)-2),'PW_CMI GRADE 10'!$B$7:$B$31,0))="P")+
 --(INDEX('PW_CMI GRADE 10'!$AB$7:$AB$31,MATCH(LEFT($A50,LEN($A50)-2),'PW_CMI GRADE 10'!$B$7:$B$31,0))="P")+
 --(INDEX('PW_CMI GRADE 10'!$AH$7:$AH$31,MATCH(LEFT($A50,LEN($A50)-2),'PW_CMI GRADE 10'!$B$7:$B$31,0))="P")+
 --(INDEX('PW_CMI GRADE 10'!$AN$7:$AN$31,MATCH(LEFT($A50,LEN($A50)-2),'PW_CMI GRADE 10'!$B$7:$B$31,0))="P"),
0)</f>
        <v>0</v>
      </c>
      <c r="I50" s="24" t="b">
        <f ca="1">IF(IF(_xlfn.XLOOKUP(LEFT($A50,LEN($A50)-2),'PW_CMI GRADE 10'!$B$7:$B$31,'PW_CMI GRADE 10'!$AT$7:$AT$31,"",0,1)=0,"",_xlfn.XLOOKUP(LEFT($A50,LEN($A50)-2),'PW_CMI GRADE 10'!$B$7:$B$31,'PW_CMI GRADE 10'!$AT$7:$AT$31,"",0,1))&lt;=TODAY(),TRUE,FALSE)</f>
        <v>0</v>
      </c>
      <c r="J50" s="25" t="str">
        <f t="shared" ca="1" si="1"/>
        <v/>
      </c>
    </row>
    <row r="51" spans="1:10">
      <c r="A51" s="24" t="s">
        <v>255</v>
      </c>
      <c r="B51">
        <v>2</v>
      </c>
      <c r="C51">
        <f>IFERROR(
 --(INDEX('TH_CMI GRADE 10'!$D$7:$D$49,MATCH(LEFT($A51,LEN($A51)-2),'TH_CMI GRADE 10'!$B$7:$B$49,0))="P")+
 --(INDEX('TH_CMI GRADE 10'!$J$7:$J$49,MATCH(LEFT($A51,LEN($A51)-2),'TH_CMI GRADE 10'!$B$7:$B$49,0))="P")+
 --(INDEX('TH_CMI GRADE 10'!$P$7:$P$49,MATCH(LEFT($A51,LEN($A51)-2),'TH_CMI GRADE 10'!$B$7:$B$49,0))="P")+
 --(INDEX('TH_CMI GRADE 10'!$V$7:$V$49,MATCH(LEFT($A51,LEN($A51)-2),'TH_CMI GRADE 10'!$B$7:$B$49,0))="P")+
 --(INDEX('TH_CMI GRADE 10'!$AB$7:$AB$49,MATCH(LEFT($A51,LEN($A51)-2),'TH_CMI GRADE 10'!$B$7:$B$49,0))="P")+
 --(INDEX('TH_CMI GRADE 10'!$AH$7:$AH$49,MATCH(LEFT($A51,LEN($A51)-2),'TH_CMI GRADE 10'!$B$7:$B$49,0))="P")+
 --(INDEX('TH_CMI GRADE 10'!$AN$7:$AN$49,MATCH(LEFT($A51,LEN($A51)-2),'TH_CMI GRADE 10'!$B$7:$B$49,0))="P"),
0)</f>
        <v>2</v>
      </c>
      <c r="D51" s="24" t="b">
        <f ca="1">IF(IF(_xlfn.XLOOKUP(LEFT(A51,LEN(A51)-2),'TH_CMI GRADE 10'!$B$7:$B$49,'TH_CMI GRADE 10'!$AT$7:$AT$49,"",0,1)=0,"",_xlfn.XLOOKUP(LEFT(A51,LEN(A51)-2),'TH_CMI GRADE 10'!$B$7:$B$49,'TH_CMI GRADE 10'!$AT$7:$AT$49,"",0,1))&lt;=TODAY(),TRUE,FALSE)</f>
        <v>1</v>
      </c>
      <c r="E51" s="25">
        <f t="shared" ca="1" si="0"/>
        <v>1</v>
      </c>
      <c r="F51" s="24" t="s">
        <v>255</v>
      </c>
      <c r="G51">
        <v>2</v>
      </c>
      <c r="H51">
        <f>IFERROR(
 --(INDEX('PW_CMI GRADE 10'!$D$7:$D$31,MATCH(LEFT($A51,LEN($A51)-2),'PW_CMI GRADE 10'!$B$7:$B$31,0))="P")+
 --(INDEX('PW_CMI GRADE 10'!$J$7:$J$31,MATCH(LEFT($A51,LEN($A51)-2),'PW_CMI GRADE 10'!$B$7:$B$31,0))="P")+
 --(INDEX('PW_CMI GRADE 10'!$P$7:$P$31,MATCH(LEFT($A51,LEN($A51)-2),'PW_CMI GRADE 10'!$B$7:$B$31,0))="P")+
 --(INDEX('PW_CMI GRADE 10'!$V$7:$V$31,MATCH(LEFT($A51,LEN($A51)-2),'PW_CMI GRADE 10'!$B$7:$B$31,0))="P")+
 --(INDEX('PW_CMI GRADE 10'!$AB$7:$AB$31,MATCH(LEFT($A51,LEN($A51)-2),'PW_CMI GRADE 10'!$B$7:$B$31,0))="P")+
 --(INDEX('PW_CMI GRADE 10'!$AH$7:$AH$31,MATCH(LEFT($A51,LEN($A51)-2),'PW_CMI GRADE 10'!$B$7:$B$31,0))="P")+
 --(INDEX('PW_CMI GRADE 10'!$AN$7:$AN$31,MATCH(LEFT($A51,LEN($A51)-2),'PW_CMI GRADE 10'!$B$7:$B$31,0))="P"),
0)</f>
        <v>0</v>
      </c>
      <c r="I51" s="24" t="b">
        <f ca="1">IF(IF(_xlfn.XLOOKUP(LEFT($A51,LEN($A51)-2),'PW_CMI GRADE 10'!$B$7:$B$31,'PW_CMI GRADE 10'!$AT$7:$AT$31,"",0,1)=0,"",_xlfn.XLOOKUP(LEFT($A51,LEN($A51)-2),'PW_CMI GRADE 10'!$B$7:$B$31,'PW_CMI GRADE 10'!$AT$7:$AT$31,"",0,1))&lt;=TODAY(),TRUE,FALSE)</f>
        <v>0</v>
      </c>
      <c r="J51" s="25" t="str">
        <f t="shared" ca="1" si="1"/>
        <v/>
      </c>
    </row>
    <row r="52" spans="1:10">
      <c r="A52" s="24" t="s">
        <v>256</v>
      </c>
      <c r="B52">
        <v>2</v>
      </c>
      <c r="C52">
        <f>IFERROR(
 --(INDEX('TH_CMI GRADE 10'!$D$7:$D$49,MATCH(LEFT($A52,LEN($A52)-2),'TH_CMI GRADE 10'!$B$7:$B$49,0))="P")+
 --(INDEX('TH_CMI GRADE 10'!$J$7:$J$49,MATCH(LEFT($A52,LEN($A52)-2),'TH_CMI GRADE 10'!$B$7:$B$49,0))="P")+
 --(INDEX('TH_CMI GRADE 10'!$P$7:$P$49,MATCH(LEFT($A52,LEN($A52)-2),'TH_CMI GRADE 10'!$B$7:$B$49,0))="P")+
 --(INDEX('TH_CMI GRADE 10'!$V$7:$V$49,MATCH(LEFT($A52,LEN($A52)-2),'TH_CMI GRADE 10'!$B$7:$B$49,0))="P")+
 --(INDEX('TH_CMI GRADE 10'!$AB$7:$AB$49,MATCH(LEFT($A52,LEN($A52)-2),'TH_CMI GRADE 10'!$B$7:$B$49,0))="P")+
 --(INDEX('TH_CMI GRADE 10'!$AH$7:$AH$49,MATCH(LEFT($A52,LEN($A52)-2),'TH_CMI GRADE 10'!$B$7:$B$49,0))="P")+
 --(INDEX('TH_CMI GRADE 10'!$AN$7:$AN$49,MATCH(LEFT($A52,LEN($A52)-2),'TH_CMI GRADE 10'!$B$7:$B$49,0))="P"),
0)</f>
        <v>2</v>
      </c>
      <c r="D52" s="24" t="b">
        <f ca="1">IF(IF(_xlfn.XLOOKUP(LEFT(A52,LEN(A52)-2),'TH_CMI GRADE 10'!$B$7:$B$49,'TH_CMI GRADE 10'!$AT$7:$AT$49,"",0,1)=0,"",_xlfn.XLOOKUP(LEFT(A52,LEN(A52)-2),'TH_CMI GRADE 10'!$B$7:$B$49,'TH_CMI GRADE 10'!$AT$7:$AT$49,"",0,1))&lt;=TODAY(),TRUE,FALSE)</f>
        <v>1</v>
      </c>
      <c r="E52" s="25">
        <f t="shared" ca="1" si="0"/>
        <v>1</v>
      </c>
      <c r="F52" s="24" t="s">
        <v>256</v>
      </c>
      <c r="G52">
        <v>2</v>
      </c>
      <c r="H52">
        <f>IFERROR(
 --(INDEX('PW_CMI GRADE 10'!$D$7:$D$31,MATCH(LEFT($A52,LEN($A52)-2),'PW_CMI GRADE 10'!$B$7:$B$31,0))="P")+
 --(INDEX('PW_CMI GRADE 10'!$J$7:$J$31,MATCH(LEFT($A52,LEN($A52)-2),'PW_CMI GRADE 10'!$B$7:$B$31,0))="P")+
 --(INDEX('PW_CMI GRADE 10'!$P$7:$P$31,MATCH(LEFT($A52,LEN($A52)-2),'PW_CMI GRADE 10'!$B$7:$B$31,0))="P")+
 --(INDEX('PW_CMI GRADE 10'!$V$7:$V$31,MATCH(LEFT($A52,LEN($A52)-2),'PW_CMI GRADE 10'!$B$7:$B$31,0))="P")+
 --(INDEX('PW_CMI GRADE 10'!$AB$7:$AB$31,MATCH(LEFT($A52,LEN($A52)-2),'PW_CMI GRADE 10'!$B$7:$B$31,0))="P")+
 --(INDEX('PW_CMI GRADE 10'!$AH$7:$AH$31,MATCH(LEFT($A52,LEN($A52)-2),'PW_CMI GRADE 10'!$B$7:$B$31,0))="P")+
 --(INDEX('PW_CMI GRADE 10'!$AN$7:$AN$31,MATCH(LEFT($A52,LEN($A52)-2),'PW_CMI GRADE 10'!$B$7:$B$31,0))="P"),
0)</f>
        <v>2</v>
      </c>
      <c r="I52" s="24" t="b">
        <f ca="1">IF(IF(_xlfn.XLOOKUP(LEFT($A52,LEN($A52)-2),'PW_CMI GRADE 10'!$B$7:$B$31,'PW_CMI GRADE 10'!$AT$7:$AT$31,"",0,1)=0,"",_xlfn.XLOOKUP(LEFT($A52,LEN($A52)-2),'PW_CMI GRADE 10'!$B$7:$B$31,'PW_CMI GRADE 10'!$AT$7:$AT$31,"",0,1))&lt;=TODAY(),TRUE,FALSE)</f>
        <v>1</v>
      </c>
      <c r="J52" s="25">
        <f t="shared" ca="1" si="1"/>
        <v>1</v>
      </c>
    </row>
    <row r="53" spans="1:10">
      <c r="A53" s="24" t="s">
        <v>257</v>
      </c>
      <c r="B53">
        <v>2</v>
      </c>
      <c r="C53">
        <f>IFERROR(
 --(INDEX('TH_CMI GRADE 10'!$D$7:$D$49,MATCH(LEFT($A53,LEN($A53)-2),'TH_CMI GRADE 10'!$B$7:$B$49,0))="P")+
 --(INDEX('TH_CMI GRADE 10'!$J$7:$J$49,MATCH(LEFT($A53,LEN($A53)-2),'TH_CMI GRADE 10'!$B$7:$B$49,0))="P")+
 --(INDEX('TH_CMI GRADE 10'!$P$7:$P$49,MATCH(LEFT($A53,LEN($A53)-2),'TH_CMI GRADE 10'!$B$7:$B$49,0))="P")+
 --(INDEX('TH_CMI GRADE 10'!$V$7:$V$49,MATCH(LEFT($A53,LEN($A53)-2),'TH_CMI GRADE 10'!$B$7:$B$49,0))="P")+
 --(INDEX('TH_CMI GRADE 10'!$AB$7:$AB$49,MATCH(LEFT($A53,LEN($A53)-2),'TH_CMI GRADE 10'!$B$7:$B$49,0))="P")+
 --(INDEX('TH_CMI GRADE 10'!$AH$7:$AH$49,MATCH(LEFT($A53,LEN($A53)-2),'TH_CMI GRADE 10'!$B$7:$B$49,0))="P")+
 --(INDEX('TH_CMI GRADE 10'!$AN$7:$AN$49,MATCH(LEFT($A53,LEN($A53)-2),'TH_CMI GRADE 10'!$B$7:$B$49,0))="P"),
0)</f>
        <v>2</v>
      </c>
      <c r="D53" s="24" t="b">
        <f ca="1">IF(IF(_xlfn.XLOOKUP(LEFT(A53,LEN(A53)-2),'TH_CMI GRADE 10'!$B$7:$B$49,'TH_CMI GRADE 10'!$AT$7:$AT$49,"",0,1)=0,"",_xlfn.XLOOKUP(LEFT(A53,LEN(A53)-2),'TH_CMI GRADE 10'!$B$7:$B$49,'TH_CMI GRADE 10'!$AT$7:$AT$49,"",0,1))&lt;=TODAY(),TRUE,FALSE)</f>
        <v>1</v>
      </c>
      <c r="E53" s="25">
        <f t="shared" ca="1" si="0"/>
        <v>1</v>
      </c>
      <c r="F53" s="24" t="s">
        <v>257</v>
      </c>
      <c r="G53">
        <v>2</v>
      </c>
      <c r="H53">
        <f>IFERROR(
 --(INDEX('PW_CMI GRADE 10'!$D$7:$D$31,MATCH(LEFT($A53,LEN($A53)-2),'PW_CMI GRADE 10'!$B$7:$B$31,0))="P")+
 --(INDEX('PW_CMI GRADE 10'!$J$7:$J$31,MATCH(LEFT($A53,LEN($A53)-2),'PW_CMI GRADE 10'!$B$7:$B$31,0))="P")+
 --(INDEX('PW_CMI GRADE 10'!$P$7:$P$31,MATCH(LEFT($A53,LEN($A53)-2),'PW_CMI GRADE 10'!$B$7:$B$31,0))="P")+
 --(INDEX('PW_CMI GRADE 10'!$V$7:$V$31,MATCH(LEFT($A53,LEN($A53)-2),'PW_CMI GRADE 10'!$B$7:$B$31,0))="P")+
 --(INDEX('PW_CMI GRADE 10'!$AB$7:$AB$31,MATCH(LEFT($A53,LEN($A53)-2),'PW_CMI GRADE 10'!$B$7:$B$31,0))="P")+
 --(INDEX('PW_CMI GRADE 10'!$AH$7:$AH$31,MATCH(LEFT($A53,LEN($A53)-2),'PW_CMI GRADE 10'!$B$7:$B$31,0))="P")+
 --(INDEX('PW_CMI GRADE 10'!$AN$7:$AN$31,MATCH(LEFT($A53,LEN($A53)-2),'PW_CMI GRADE 10'!$B$7:$B$31,0))="P"),
0)</f>
        <v>2</v>
      </c>
      <c r="I53" s="24" t="b">
        <f ca="1">IF(IF(_xlfn.XLOOKUP(LEFT($A53,LEN($A53)-2),'PW_CMI GRADE 10'!$B$7:$B$31,'PW_CMI GRADE 10'!$AT$7:$AT$31,"",0,1)=0,"",_xlfn.XLOOKUP(LEFT($A53,LEN($A53)-2),'PW_CMI GRADE 10'!$B$7:$B$31,'PW_CMI GRADE 10'!$AT$7:$AT$31,"",0,1))&lt;=TODAY(),TRUE,FALSE)</f>
        <v>1</v>
      </c>
      <c r="J53" s="25">
        <f t="shared" ca="1" si="1"/>
        <v>1</v>
      </c>
    </row>
    <row r="54" spans="1:10">
      <c r="A54" s="24" t="s">
        <v>258</v>
      </c>
      <c r="B54">
        <v>2</v>
      </c>
      <c r="C54">
        <f>IFERROR(
 --(INDEX('TH_CMI GRADE 10'!$D$7:$D$49,MATCH(LEFT($A54,LEN($A54)-2),'TH_CMI GRADE 10'!$B$7:$B$49,0))="P")+
 --(INDEX('TH_CMI GRADE 10'!$J$7:$J$49,MATCH(LEFT($A54,LEN($A54)-2),'TH_CMI GRADE 10'!$B$7:$B$49,0))="P")+
 --(INDEX('TH_CMI GRADE 10'!$P$7:$P$49,MATCH(LEFT($A54,LEN($A54)-2),'TH_CMI GRADE 10'!$B$7:$B$49,0))="P")+
 --(INDEX('TH_CMI GRADE 10'!$V$7:$V$49,MATCH(LEFT($A54,LEN($A54)-2),'TH_CMI GRADE 10'!$B$7:$B$49,0))="P")+
 --(INDEX('TH_CMI GRADE 10'!$AB$7:$AB$49,MATCH(LEFT($A54,LEN($A54)-2),'TH_CMI GRADE 10'!$B$7:$B$49,0))="P")+
 --(INDEX('TH_CMI GRADE 10'!$AH$7:$AH$49,MATCH(LEFT($A54,LEN($A54)-2),'TH_CMI GRADE 10'!$B$7:$B$49,0))="P")+
 --(INDEX('TH_CMI GRADE 10'!$AN$7:$AN$49,MATCH(LEFT($A54,LEN($A54)-2),'TH_CMI GRADE 10'!$B$7:$B$49,0))="P"),
0)</f>
        <v>2</v>
      </c>
      <c r="D54" s="24" t="b">
        <f ca="1">IF(IF(_xlfn.XLOOKUP(LEFT(A54,LEN(A54)-2),'TH_CMI GRADE 10'!$B$7:$B$49,'TH_CMI GRADE 10'!$AT$7:$AT$49,"",0,1)=0,"",_xlfn.XLOOKUP(LEFT(A54,LEN(A54)-2),'TH_CMI GRADE 10'!$B$7:$B$49,'TH_CMI GRADE 10'!$AT$7:$AT$49,"",0,1))&lt;=TODAY(),TRUE,FALSE)</f>
        <v>1</v>
      </c>
      <c r="E54" s="25">
        <f t="shared" ca="1" si="0"/>
        <v>1</v>
      </c>
      <c r="F54" s="24" t="s">
        <v>258</v>
      </c>
      <c r="G54">
        <v>2</v>
      </c>
      <c r="H54">
        <f>IFERROR(
 --(INDEX('PW_CMI GRADE 10'!$D$7:$D$31,MATCH(LEFT($A54,LEN($A54)-2),'PW_CMI GRADE 10'!$B$7:$B$31,0))="P")+
 --(INDEX('PW_CMI GRADE 10'!$J$7:$J$31,MATCH(LEFT($A54,LEN($A54)-2),'PW_CMI GRADE 10'!$B$7:$B$31,0))="P")+
 --(INDEX('PW_CMI GRADE 10'!$P$7:$P$31,MATCH(LEFT($A54,LEN($A54)-2),'PW_CMI GRADE 10'!$B$7:$B$31,0))="P")+
 --(INDEX('PW_CMI GRADE 10'!$V$7:$V$31,MATCH(LEFT($A54,LEN($A54)-2),'PW_CMI GRADE 10'!$B$7:$B$31,0))="P")+
 --(INDEX('PW_CMI GRADE 10'!$AB$7:$AB$31,MATCH(LEFT($A54,LEN($A54)-2),'PW_CMI GRADE 10'!$B$7:$B$31,0))="P")+
 --(INDEX('PW_CMI GRADE 10'!$AH$7:$AH$31,MATCH(LEFT($A54,LEN($A54)-2),'PW_CMI GRADE 10'!$B$7:$B$31,0))="P")+
 --(INDEX('PW_CMI GRADE 10'!$AN$7:$AN$31,MATCH(LEFT($A54,LEN($A54)-2),'PW_CMI GRADE 10'!$B$7:$B$31,0))="P"),
0)</f>
        <v>0</v>
      </c>
      <c r="I54" s="24" t="b">
        <f ca="1">IF(IF(_xlfn.XLOOKUP(LEFT($A54,LEN($A54)-2),'PW_CMI GRADE 10'!$B$7:$B$31,'PW_CMI GRADE 10'!$AT$7:$AT$31,"",0,1)=0,"",_xlfn.XLOOKUP(LEFT($A54,LEN($A54)-2),'PW_CMI GRADE 10'!$B$7:$B$31,'PW_CMI GRADE 10'!$AT$7:$AT$31,"",0,1))&lt;=TODAY(),TRUE,FALSE)</f>
        <v>0</v>
      </c>
      <c r="J54" s="25" t="str">
        <f t="shared" ca="1" si="1"/>
        <v/>
      </c>
    </row>
    <row r="55" spans="1:10">
      <c r="A55" s="24" t="s">
        <v>259</v>
      </c>
      <c r="B55">
        <v>2</v>
      </c>
      <c r="C55">
        <f>IFERROR(
 --(INDEX('TH_CMI GRADE 10'!$D$7:$D$49,MATCH(LEFT($A55,LEN($A55)-2),'TH_CMI GRADE 10'!$B$7:$B$49,0))="P")+
 --(INDEX('TH_CMI GRADE 10'!$J$7:$J$49,MATCH(LEFT($A55,LEN($A55)-2),'TH_CMI GRADE 10'!$B$7:$B$49,0))="P")+
 --(INDEX('TH_CMI GRADE 10'!$P$7:$P$49,MATCH(LEFT($A55,LEN($A55)-2),'TH_CMI GRADE 10'!$B$7:$B$49,0))="P")+
 --(INDEX('TH_CMI GRADE 10'!$V$7:$V$49,MATCH(LEFT($A55,LEN($A55)-2),'TH_CMI GRADE 10'!$B$7:$B$49,0))="P")+
 --(INDEX('TH_CMI GRADE 10'!$AB$7:$AB$49,MATCH(LEFT($A55,LEN($A55)-2),'TH_CMI GRADE 10'!$B$7:$B$49,0))="P")+
 --(INDEX('TH_CMI GRADE 10'!$AH$7:$AH$49,MATCH(LEFT($A55,LEN($A55)-2),'TH_CMI GRADE 10'!$B$7:$B$49,0))="P")+
 --(INDEX('TH_CMI GRADE 10'!$AN$7:$AN$49,MATCH(LEFT($A55,LEN($A55)-2),'TH_CMI GRADE 10'!$B$7:$B$49,0))="P"),
0)</f>
        <v>2</v>
      </c>
      <c r="D55" s="24" t="b">
        <f ca="1">IF(IF(_xlfn.XLOOKUP(LEFT(A55,LEN(A55)-2),'TH_CMI GRADE 10'!$B$7:$B$49,'TH_CMI GRADE 10'!$AT$7:$AT$49,"",0,1)=0,"",_xlfn.XLOOKUP(LEFT(A55,LEN(A55)-2),'TH_CMI GRADE 10'!$B$7:$B$49,'TH_CMI GRADE 10'!$AT$7:$AT$49,"",0,1))&lt;=TODAY(),TRUE,FALSE)</f>
        <v>1</v>
      </c>
      <c r="E55" s="25">
        <f t="shared" ca="1" si="0"/>
        <v>1</v>
      </c>
      <c r="F55" s="24" t="s">
        <v>259</v>
      </c>
      <c r="G55">
        <v>2</v>
      </c>
      <c r="H55">
        <f>IFERROR(
 --(INDEX('PW_CMI GRADE 10'!$D$7:$D$31,MATCH(LEFT($A55,LEN($A55)-2),'PW_CMI GRADE 10'!$B$7:$B$31,0))="P")+
 --(INDEX('PW_CMI GRADE 10'!$J$7:$J$31,MATCH(LEFT($A55,LEN($A55)-2),'PW_CMI GRADE 10'!$B$7:$B$31,0))="P")+
 --(INDEX('PW_CMI GRADE 10'!$P$7:$P$31,MATCH(LEFT($A55,LEN($A55)-2),'PW_CMI GRADE 10'!$B$7:$B$31,0))="P")+
 --(INDEX('PW_CMI GRADE 10'!$V$7:$V$31,MATCH(LEFT($A55,LEN($A55)-2),'PW_CMI GRADE 10'!$B$7:$B$31,0))="P")+
 --(INDEX('PW_CMI GRADE 10'!$AB$7:$AB$31,MATCH(LEFT($A55,LEN($A55)-2),'PW_CMI GRADE 10'!$B$7:$B$31,0))="P")+
 --(INDEX('PW_CMI GRADE 10'!$AH$7:$AH$31,MATCH(LEFT($A55,LEN($A55)-2),'PW_CMI GRADE 10'!$B$7:$B$31,0))="P")+
 --(INDEX('PW_CMI GRADE 10'!$AN$7:$AN$31,MATCH(LEFT($A55,LEN($A55)-2),'PW_CMI GRADE 10'!$B$7:$B$31,0))="P"),
0)</f>
        <v>0</v>
      </c>
      <c r="I55" s="24" t="b">
        <f ca="1">IF(IF(_xlfn.XLOOKUP(LEFT($A55,LEN($A55)-2),'PW_CMI GRADE 10'!$B$7:$B$31,'PW_CMI GRADE 10'!$AT$7:$AT$31,"",0,1)=0,"",_xlfn.XLOOKUP(LEFT($A55,LEN($A55)-2),'PW_CMI GRADE 10'!$B$7:$B$31,'PW_CMI GRADE 10'!$AT$7:$AT$31,"",0,1))&lt;=TODAY(),TRUE,FALSE)</f>
        <v>0</v>
      </c>
      <c r="J55" s="25" t="str">
        <f t="shared" ca="1" si="1"/>
        <v/>
      </c>
    </row>
    <row r="56" spans="1:10">
      <c r="A56" s="24" t="s">
        <v>260</v>
      </c>
      <c r="B56">
        <v>2</v>
      </c>
      <c r="C56">
        <f>IFERROR(
 --(INDEX('TH_CMI GRADE 10'!$D$7:$D$49,MATCH(LEFT($A56,LEN($A56)-2),'TH_CMI GRADE 10'!$B$7:$B$49,0))="P")+
 --(INDEX('TH_CMI GRADE 10'!$J$7:$J$49,MATCH(LEFT($A56,LEN($A56)-2),'TH_CMI GRADE 10'!$B$7:$B$49,0))="P")+
 --(INDEX('TH_CMI GRADE 10'!$P$7:$P$49,MATCH(LEFT($A56,LEN($A56)-2),'TH_CMI GRADE 10'!$B$7:$B$49,0))="P")+
 --(INDEX('TH_CMI GRADE 10'!$V$7:$V$49,MATCH(LEFT($A56,LEN($A56)-2),'TH_CMI GRADE 10'!$B$7:$B$49,0))="P")+
 --(INDEX('TH_CMI GRADE 10'!$AB$7:$AB$49,MATCH(LEFT($A56,LEN($A56)-2),'TH_CMI GRADE 10'!$B$7:$B$49,0))="P")+
 --(INDEX('TH_CMI GRADE 10'!$AH$7:$AH$49,MATCH(LEFT($A56,LEN($A56)-2),'TH_CMI GRADE 10'!$B$7:$B$49,0))="P")+
 --(INDEX('TH_CMI GRADE 10'!$AN$7:$AN$49,MATCH(LEFT($A56,LEN($A56)-2),'TH_CMI GRADE 10'!$B$7:$B$49,0))="P"),
0)</f>
        <v>2</v>
      </c>
      <c r="D56" s="24" t="b">
        <f ca="1">IF(IF(_xlfn.XLOOKUP(LEFT(A56,LEN(A56)-2),'TH_CMI GRADE 10'!$B$7:$B$49,'TH_CMI GRADE 10'!$AT$7:$AT$49,"",0,1)=0,"",_xlfn.XLOOKUP(LEFT(A56,LEN(A56)-2),'TH_CMI GRADE 10'!$B$7:$B$49,'TH_CMI GRADE 10'!$AT$7:$AT$49,"",0,1))&lt;=TODAY(),TRUE,FALSE)</f>
        <v>1</v>
      </c>
      <c r="E56" s="25">
        <f t="shared" ca="1" si="0"/>
        <v>1</v>
      </c>
      <c r="F56" s="24" t="s">
        <v>260</v>
      </c>
      <c r="G56">
        <v>2</v>
      </c>
      <c r="H56">
        <f>IFERROR(
 --(INDEX('PW_CMI GRADE 10'!$D$7:$D$31,MATCH(LEFT($A56,LEN($A56)-2),'PW_CMI GRADE 10'!$B$7:$B$31,0))="P")+
 --(INDEX('PW_CMI GRADE 10'!$J$7:$J$31,MATCH(LEFT($A56,LEN($A56)-2),'PW_CMI GRADE 10'!$B$7:$B$31,0))="P")+
 --(INDEX('PW_CMI GRADE 10'!$P$7:$P$31,MATCH(LEFT($A56,LEN($A56)-2),'PW_CMI GRADE 10'!$B$7:$B$31,0))="P")+
 --(INDEX('PW_CMI GRADE 10'!$V$7:$V$31,MATCH(LEFT($A56,LEN($A56)-2),'PW_CMI GRADE 10'!$B$7:$B$31,0))="P")+
 --(INDEX('PW_CMI GRADE 10'!$AB$7:$AB$31,MATCH(LEFT($A56,LEN($A56)-2),'PW_CMI GRADE 10'!$B$7:$B$31,0))="P")+
 --(INDEX('PW_CMI GRADE 10'!$AH$7:$AH$31,MATCH(LEFT($A56,LEN($A56)-2),'PW_CMI GRADE 10'!$B$7:$B$31,0))="P")+
 --(INDEX('PW_CMI GRADE 10'!$AN$7:$AN$31,MATCH(LEFT($A56,LEN($A56)-2),'PW_CMI GRADE 10'!$B$7:$B$31,0))="P"),
0)</f>
        <v>0</v>
      </c>
      <c r="I56" s="24" t="b">
        <f ca="1">IF(IF(_xlfn.XLOOKUP(LEFT($A56,LEN($A56)-2),'PW_CMI GRADE 10'!$B$7:$B$31,'PW_CMI GRADE 10'!$AT$7:$AT$31,"",0,1)=0,"",_xlfn.XLOOKUP(LEFT($A56,LEN($A56)-2),'PW_CMI GRADE 10'!$B$7:$B$31,'PW_CMI GRADE 10'!$AT$7:$AT$31,"",0,1))&lt;=TODAY(),TRUE,FALSE)</f>
        <v>0</v>
      </c>
      <c r="J56" s="25" t="str">
        <f t="shared" ca="1" si="1"/>
        <v/>
      </c>
    </row>
    <row r="57" spans="1:10">
      <c r="A57" s="24" t="s">
        <v>261</v>
      </c>
      <c r="B57">
        <v>2</v>
      </c>
      <c r="C57">
        <f>IFERROR(
 --(INDEX('TH_CMI GRADE 10'!$D$7:$D$49,MATCH(LEFT($A57,LEN($A57)-2),'TH_CMI GRADE 10'!$B$7:$B$49,0))="P")+
 --(INDEX('TH_CMI GRADE 10'!$J$7:$J$49,MATCH(LEFT($A57,LEN($A57)-2),'TH_CMI GRADE 10'!$B$7:$B$49,0))="P")+
 --(INDEX('TH_CMI GRADE 10'!$P$7:$P$49,MATCH(LEFT($A57,LEN($A57)-2),'TH_CMI GRADE 10'!$B$7:$B$49,0))="P")+
 --(INDEX('TH_CMI GRADE 10'!$V$7:$V$49,MATCH(LEFT($A57,LEN($A57)-2),'TH_CMI GRADE 10'!$B$7:$B$49,0))="P")+
 --(INDEX('TH_CMI GRADE 10'!$AB$7:$AB$49,MATCH(LEFT($A57,LEN($A57)-2),'TH_CMI GRADE 10'!$B$7:$B$49,0))="P")+
 --(INDEX('TH_CMI GRADE 10'!$AH$7:$AH$49,MATCH(LEFT($A57,LEN($A57)-2),'TH_CMI GRADE 10'!$B$7:$B$49,0))="P")+
 --(INDEX('TH_CMI GRADE 10'!$AN$7:$AN$49,MATCH(LEFT($A57,LEN($A57)-2),'TH_CMI GRADE 10'!$B$7:$B$49,0))="P"),
0)</f>
        <v>2</v>
      </c>
      <c r="D57" s="24" t="b">
        <f ca="1">IF(IF(_xlfn.XLOOKUP(LEFT(A57,LEN(A57)-2),'TH_CMI GRADE 10'!$B$7:$B$49,'TH_CMI GRADE 10'!$AT$7:$AT$49,"",0,1)=0,"",_xlfn.XLOOKUP(LEFT(A57,LEN(A57)-2),'TH_CMI GRADE 10'!$B$7:$B$49,'TH_CMI GRADE 10'!$AT$7:$AT$49,"",0,1))&lt;=TODAY(),TRUE,FALSE)</f>
        <v>1</v>
      </c>
      <c r="E57" s="25">
        <f t="shared" ca="1" si="0"/>
        <v>1</v>
      </c>
      <c r="F57" s="24" t="s">
        <v>261</v>
      </c>
      <c r="G57">
        <v>2</v>
      </c>
      <c r="H57">
        <f>IFERROR(
 --(INDEX('PW_CMI GRADE 10'!$D$7:$D$31,MATCH(LEFT($A57,LEN($A57)-2),'PW_CMI GRADE 10'!$B$7:$B$31,0))="P")+
 --(INDEX('PW_CMI GRADE 10'!$J$7:$J$31,MATCH(LEFT($A57,LEN($A57)-2),'PW_CMI GRADE 10'!$B$7:$B$31,0))="P")+
 --(INDEX('PW_CMI GRADE 10'!$P$7:$P$31,MATCH(LEFT($A57,LEN($A57)-2),'PW_CMI GRADE 10'!$B$7:$B$31,0))="P")+
 --(INDEX('PW_CMI GRADE 10'!$V$7:$V$31,MATCH(LEFT($A57,LEN($A57)-2),'PW_CMI GRADE 10'!$B$7:$B$31,0))="P")+
 --(INDEX('PW_CMI GRADE 10'!$AB$7:$AB$31,MATCH(LEFT($A57,LEN($A57)-2),'PW_CMI GRADE 10'!$B$7:$B$31,0))="P")+
 --(INDEX('PW_CMI GRADE 10'!$AH$7:$AH$31,MATCH(LEFT($A57,LEN($A57)-2),'PW_CMI GRADE 10'!$B$7:$B$31,0))="P")+
 --(INDEX('PW_CMI GRADE 10'!$AN$7:$AN$31,MATCH(LEFT($A57,LEN($A57)-2),'PW_CMI GRADE 10'!$B$7:$B$31,0))="P"),
0)</f>
        <v>0</v>
      </c>
      <c r="I57" s="24" t="b">
        <f ca="1">IF(IF(_xlfn.XLOOKUP(LEFT($A57,LEN($A57)-2),'PW_CMI GRADE 10'!$B$7:$B$31,'PW_CMI GRADE 10'!$AT$7:$AT$31,"",0,1)=0,"",_xlfn.XLOOKUP(LEFT($A57,LEN($A57)-2),'PW_CMI GRADE 10'!$B$7:$B$31,'PW_CMI GRADE 10'!$AT$7:$AT$31,"",0,1))&lt;=TODAY(),TRUE,FALSE)</f>
        <v>0</v>
      </c>
      <c r="J57" s="25" t="str">
        <f t="shared" ca="1" si="1"/>
        <v/>
      </c>
    </row>
    <row r="58" spans="1:10">
      <c r="A58" s="24" t="s">
        <v>262</v>
      </c>
      <c r="B58">
        <v>2</v>
      </c>
      <c r="C58">
        <f>IFERROR(
 --(INDEX('TH_CMI GRADE 10'!$D$7:$D$49,MATCH(LEFT($A58,LEN($A58)-2),'TH_CMI GRADE 10'!$B$7:$B$49,0))="P")+
 --(INDEX('TH_CMI GRADE 10'!$J$7:$J$49,MATCH(LEFT($A58,LEN($A58)-2),'TH_CMI GRADE 10'!$B$7:$B$49,0))="P")+
 --(INDEX('TH_CMI GRADE 10'!$P$7:$P$49,MATCH(LEFT($A58,LEN($A58)-2),'TH_CMI GRADE 10'!$B$7:$B$49,0))="P")+
 --(INDEX('TH_CMI GRADE 10'!$V$7:$V$49,MATCH(LEFT($A58,LEN($A58)-2),'TH_CMI GRADE 10'!$B$7:$B$49,0))="P")+
 --(INDEX('TH_CMI GRADE 10'!$AB$7:$AB$49,MATCH(LEFT($A58,LEN($A58)-2),'TH_CMI GRADE 10'!$B$7:$B$49,0))="P")+
 --(INDEX('TH_CMI GRADE 10'!$AH$7:$AH$49,MATCH(LEFT($A58,LEN($A58)-2),'TH_CMI GRADE 10'!$B$7:$B$49,0))="P")+
 --(INDEX('TH_CMI GRADE 10'!$AN$7:$AN$49,MATCH(LEFT($A58,LEN($A58)-2),'TH_CMI GRADE 10'!$B$7:$B$49,0))="P"),
0)</f>
        <v>2</v>
      </c>
      <c r="D58" s="24" t="b">
        <f ca="1">IF(IF(_xlfn.XLOOKUP(LEFT(A58,LEN(A58)-2),'TH_CMI GRADE 10'!$B$7:$B$49,'TH_CMI GRADE 10'!$AT$7:$AT$49,"",0,1)=0,"",_xlfn.XLOOKUP(LEFT(A58,LEN(A58)-2),'TH_CMI GRADE 10'!$B$7:$B$49,'TH_CMI GRADE 10'!$AT$7:$AT$49,"",0,1))&lt;=TODAY(),TRUE,FALSE)</f>
        <v>1</v>
      </c>
      <c r="E58" s="25">
        <f t="shared" ca="1" si="0"/>
        <v>1</v>
      </c>
      <c r="F58" s="24" t="s">
        <v>262</v>
      </c>
      <c r="G58">
        <v>2</v>
      </c>
      <c r="H58">
        <f>IFERROR(
 --(INDEX('PW_CMI GRADE 10'!$D$7:$D$31,MATCH(LEFT($A58,LEN($A58)-2),'PW_CMI GRADE 10'!$B$7:$B$31,0))="P")+
 --(INDEX('PW_CMI GRADE 10'!$J$7:$J$31,MATCH(LEFT($A58,LEN($A58)-2),'PW_CMI GRADE 10'!$B$7:$B$31,0))="P")+
 --(INDEX('PW_CMI GRADE 10'!$P$7:$P$31,MATCH(LEFT($A58,LEN($A58)-2),'PW_CMI GRADE 10'!$B$7:$B$31,0))="P")+
 --(INDEX('PW_CMI GRADE 10'!$V$7:$V$31,MATCH(LEFT($A58,LEN($A58)-2),'PW_CMI GRADE 10'!$B$7:$B$31,0))="P")+
 --(INDEX('PW_CMI GRADE 10'!$AB$7:$AB$31,MATCH(LEFT($A58,LEN($A58)-2),'PW_CMI GRADE 10'!$B$7:$B$31,0))="P")+
 --(INDEX('PW_CMI GRADE 10'!$AH$7:$AH$31,MATCH(LEFT($A58,LEN($A58)-2),'PW_CMI GRADE 10'!$B$7:$B$31,0))="P")+
 --(INDEX('PW_CMI GRADE 10'!$AN$7:$AN$31,MATCH(LEFT($A58,LEN($A58)-2),'PW_CMI GRADE 10'!$B$7:$B$31,0))="P"),
0)</f>
        <v>0</v>
      </c>
      <c r="I58" s="24" t="b">
        <f ca="1">IF(IF(_xlfn.XLOOKUP(LEFT($A58,LEN($A58)-2),'PW_CMI GRADE 10'!$B$7:$B$31,'PW_CMI GRADE 10'!$AT$7:$AT$31,"",0,1)=0,"",_xlfn.XLOOKUP(LEFT($A58,LEN($A58)-2),'PW_CMI GRADE 10'!$B$7:$B$31,'PW_CMI GRADE 10'!$AT$7:$AT$31,"",0,1))&lt;=TODAY(),TRUE,FALSE)</f>
        <v>0</v>
      </c>
      <c r="J58" s="25" t="str">
        <f t="shared" ca="1" si="1"/>
        <v/>
      </c>
    </row>
    <row r="59" spans="1:10">
      <c r="A59" s="24" t="s">
        <v>263</v>
      </c>
      <c r="B59">
        <v>2</v>
      </c>
      <c r="C59">
        <f>IFERROR(
 --(INDEX('TH_CMI GRADE 10'!$D$7:$D$49,MATCH(LEFT($A59,LEN($A59)-2),'TH_CMI GRADE 10'!$B$7:$B$49,0))="P")+
 --(INDEX('TH_CMI GRADE 10'!$J$7:$J$49,MATCH(LEFT($A59,LEN($A59)-2),'TH_CMI GRADE 10'!$B$7:$B$49,0))="P")+
 --(INDEX('TH_CMI GRADE 10'!$P$7:$P$49,MATCH(LEFT($A59,LEN($A59)-2),'TH_CMI GRADE 10'!$B$7:$B$49,0))="P")+
 --(INDEX('TH_CMI GRADE 10'!$V$7:$V$49,MATCH(LEFT($A59,LEN($A59)-2),'TH_CMI GRADE 10'!$B$7:$B$49,0))="P")+
 --(INDEX('TH_CMI GRADE 10'!$AB$7:$AB$49,MATCH(LEFT($A59,LEN($A59)-2),'TH_CMI GRADE 10'!$B$7:$B$49,0))="P")+
 --(INDEX('TH_CMI GRADE 10'!$AH$7:$AH$49,MATCH(LEFT($A59,LEN($A59)-2),'TH_CMI GRADE 10'!$B$7:$B$49,0))="P")+
 --(INDEX('TH_CMI GRADE 10'!$AN$7:$AN$49,MATCH(LEFT($A59,LEN($A59)-2),'TH_CMI GRADE 10'!$B$7:$B$49,0))="P"),
0)</f>
        <v>2</v>
      </c>
      <c r="D59" s="24" t="b">
        <f ca="1">IF(IF(_xlfn.XLOOKUP(LEFT(A59,LEN(A59)-2),'TH_CMI GRADE 10'!$B$7:$B$49,'TH_CMI GRADE 10'!$AT$7:$AT$49,"",0,1)=0,"",_xlfn.XLOOKUP(LEFT(A59,LEN(A59)-2),'TH_CMI GRADE 10'!$B$7:$B$49,'TH_CMI GRADE 10'!$AT$7:$AT$49,"",0,1))&lt;=TODAY(),TRUE,FALSE)</f>
        <v>1</v>
      </c>
      <c r="E59" s="25">
        <f t="shared" ca="1" si="0"/>
        <v>1</v>
      </c>
      <c r="F59" s="24" t="s">
        <v>263</v>
      </c>
      <c r="G59">
        <v>2</v>
      </c>
      <c r="H59">
        <f>IFERROR(
 --(INDEX('PW_CMI GRADE 10'!$D$7:$D$31,MATCH(LEFT($A59,LEN($A59)-2),'PW_CMI GRADE 10'!$B$7:$B$31,0))="P")+
 --(INDEX('PW_CMI GRADE 10'!$J$7:$J$31,MATCH(LEFT($A59,LEN($A59)-2),'PW_CMI GRADE 10'!$B$7:$B$31,0))="P")+
 --(INDEX('PW_CMI GRADE 10'!$P$7:$P$31,MATCH(LEFT($A59,LEN($A59)-2),'PW_CMI GRADE 10'!$B$7:$B$31,0))="P")+
 --(INDEX('PW_CMI GRADE 10'!$V$7:$V$31,MATCH(LEFT($A59,LEN($A59)-2),'PW_CMI GRADE 10'!$B$7:$B$31,0))="P")+
 --(INDEX('PW_CMI GRADE 10'!$AB$7:$AB$31,MATCH(LEFT($A59,LEN($A59)-2),'PW_CMI GRADE 10'!$B$7:$B$31,0))="P")+
 --(INDEX('PW_CMI GRADE 10'!$AH$7:$AH$31,MATCH(LEFT($A59,LEN($A59)-2),'PW_CMI GRADE 10'!$B$7:$B$31,0))="P")+
 --(INDEX('PW_CMI GRADE 10'!$AN$7:$AN$31,MATCH(LEFT($A59,LEN($A59)-2),'PW_CMI GRADE 10'!$B$7:$B$31,0))="P"),
0)</f>
        <v>0</v>
      </c>
      <c r="I59" s="24" t="b">
        <f ca="1">IF(IF(_xlfn.XLOOKUP(LEFT($A59,LEN($A59)-2),'PW_CMI GRADE 10'!$B$7:$B$31,'PW_CMI GRADE 10'!$AT$7:$AT$31,"",0,1)=0,"",_xlfn.XLOOKUP(LEFT($A59,LEN($A59)-2),'PW_CMI GRADE 10'!$B$7:$B$31,'PW_CMI GRADE 10'!$AT$7:$AT$31,"",0,1))&lt;=TODAY(),TRUE,FALSE)</f>
        <v>0</v>
      </c>
      <c r="J59" s="25" t="str">
        <f t="shared" ca="1" si="1"/>
        <v/>
      </c>
    </row>
    <row r="60" spans="1:10">
      <c r="A60" s="24" t="s">
        <v>264</v>
      </c>
      <c r="B60">
        <v>2</v>
      </c>
      <c r="C60">
        <f>IFERROR(
 --(INDEX('TH_CMI GRADE 10'!$D$7:$D$49,MATCH(LEFT($A60,LEN($A60)-2),'TH_CMI GRADE 10'!$B$7:$B$49,0))="P")+
 --(INDEX('TH_CMI GRADE 10'!$J$7:$J$49,MATCH(LEFT($A60,LEN($A60)-2),'TH_CMI GRADE 10'!$B$7:$B$49,0))="P")+
 --(INDEX('TH_CMI GRADE 10'!$P$7:$P$49,MATCH(LEFT($A60,LEN($A60)-2),'TH_CMI GRADE 10'!$B$7:$B$49,0))="P")+
 --(INDEX('TH_CMI GRADE 10'!$V$7:$V$49,MATCH(LEFT($A60,LEN($A60)-2),'TH_CMI GRADE 10'!$B$7:$B$49,0))="P")+
 --(INDEX('TH_CMI GRADE 10'!$AB$7:$AB$49,MATCH(LEFT($A60,LEN($A60)-2),'TH_CMI GRADE 10'!$B$7:$B$49,0))="P")+
 --(INDEX('TH_CMI GRADE 10'!$AH$7:$AH$49,MATCH(LEFT($A60,LEN($A60)-2),'TH_CMI GRADE 10'!$B$7:$B$49,0))="P")+
 --(INDEX('TH_CMI GRADE 10'!$AN$7:$AN$49,MATCH(LEFT($A60,LEN($A60)-2),'TH_CMI GRADE 10'!$B$7:$B$49,0))="P"),
0)</f>
        <v>2</v>
      </c>
      <c r="D60" s="24" t="b">
        <f ca="1">IF(IF(_xlfn.XLOOKUP(LEFT(A60,LEN(A60)-2),'TH_CMI GRADE 10'!$B$7:$B$49,'TH_CMI GRADE 10'!$AT$7:$AT$49,"",0,1)=0,"",_xlfn.XLOOKUP(LEFT(A60,LEN(A60)-2),'TH_CMI GRADE 10'!$B$7:$B$49,'TH_CMI GRADE 10'!$AT$7:$AT$49,"",0,1))&lt;=TODAY(),TRUE,FALSE)</f>
        <v>1</v>
      </c>
      <c r="E60" s="25">
        <f t="shared" ca="1" si="0"/>
        <v>1</v>
      </c>
      <c r="F60" s="24" t="s">
        <v>264</v>
      </c>
      <c r="G60">
        <v>2</v>
      </c>
      <c r="H60">
        <f>IFERROR(
 --(INDEX('PW_CMI GRADE 10'!$D$7:$D$31,MATCH(LEFT($A60,LEN($A60)-2),'PW_CMI GRADE 10'!$B$7:$B$31,0))="P")+
 --(INDEX('PW_CMI GRADE 10'!$J$7:$J$31,MATCH(LEFT($A60,LEN($A60)-2),'PW_CMI GRADE 10'!$B$7:$B$31,0))="P")+
 --(INDEX('PW_CMI GRADE 10'!$P$7:$P$31,MATCH(LEFT($A60,LEN($A60)-2),'PW_CMI GRADE 10'!$B$7:$B$31,0))="P")+
 --(INDEX('PW_CMI GRADE 10'!$V$7:$V$31,MATCH(LEFT($A60,LEN($A60)-2),'PW_CMI GRADE 10'!$B$7:$B$31,0))="P")+
 --(INDEX('PW_CMI GRADE 10'!$AB$7:$AB$31,MATCH(LEFT($A60,LEN($A60)-2),'PW_CMI GRADE 10'!$B$7:$B$31,0))="P")+
 --(INDEX('PW_CMI GRADE 10'!$AH$7:$AH$31,MATCH(LEFT($A60,LEN($A60)-2),'PW_CMI GRADE 10'!$B$7:$B$31,0))="P")+
 --(INDEX('PW_CMI GRADE 10'!$AN$7:$AN$31,MATCH(LEFT($A60,LEN($A60)-2),'PW_CMI GRADE 10'!$B$7:$B$31,0))="P"),
0)</f>
        <v>0</v>
      </c>
      <c r="I60" s="24" t="b">
        <f ca="1">IF(IF(_xlfn.XLOOKUP(LEFT($A60,LEN($A60)-2),'PW_CMI GRADE 10'!$B$7:$B$31,'PW_CMI GRADE 10'!$AT$7:$AT$31,"",0,1)=0,"",_xlfn.XLOOKUP(LEFT($A60,LEN($A60)-2),'PW_CMI GRADE 10'!$B$7:$B$31,'PW_CMI GRADE 10'!$AT$7:$AT$31,"",0,1))&lt;=TODAY(),TRUE,FALSE)</f>
        <v>0</v>
      </c>
      <c r="J60" s="25" t="str">
        <f t="shared" ca="1" si="1"/>
        <v/>
      </c>
    </row>
    <row r="61" spans="1:10">
      <c r="A61" s="24" t="s">
        <v>265</v>
      </c>
      <c r="B61">
        <v>2</v>
      </c>
      <c r="C61">
        <f>IFERROR(
 --(INDEX('TH_CMI GRADE 10'!$D$7:$D$49,MATCH(LEFT($A61,LEN($A61)-2),'TH_CMI GRADE 10'!$B$7:$B$49,0))="P")+
 --(INDEX('TH_CMI GRADE 10'!$J$7:$J$49,MATCH(LEFT($A61,LEN($A61)-2),'TH_CMI GRADE 10'!$B$7:$B$49,0))="P")+
 --(INDEX('TH_CMI GRADE 10'!$P$7:$P$49,MATCH(LEFT($A61,LEN($A61)-2),'TH_CMI GRADE 10'!$B$7:$B$49,0))="P")+
 --(INDEX('TH_CMI GRADE 10'!$V$7:$V$49,MATCH(LEFT($A61,LEN($A61)-2),'TH_CMI GRADE 10'!$B$7:$B$49,0))="P")+
 --(INDEX('TH_CMI GRADE 10'!$AB$7:$AB$49,MATCH(LEFT($A61,LEN($A61)-2),'TH_CMI GRADE 10'!$B$7:$B$49,0))="P")+
 --(INDEX('TH_CMI GRADE 10'!$AH$7:$AH$49,MATCH(LEFT($A61,LEN($A61)-2),'TH_CMI GRADE 10'!$B$7:$B$49,0))="P")+
 --(INDEX('TH_CMI GRADE 10'!$AN$7:$AN$49,MATCH(LEFT($A61,LEN($A61)-2),'TH_CMI GRADE 10'!$B$7:$B$49,0))="P"),
0)</f>
        <v>2</v>
      </c>
      <c r="D61" s="24" t="b">
        <f ca="1">IF(IF(_xlfn.XLOOKUP(LEFT(A61,LEN(A61)-2),'TH_CMI GRADE 10'!$B$7:$B$49,'TH_CMI GRADE 10'!$AT$7:$AT$49,"",0,1)=0,"",_xlfn.XLOOKUP(LEFT(A61,LEN(A61)-2),'TH_CMI GRADE 10'!$B$7:$B$49,'TH_CMI GRADE 10'!$AT$7:$AT$49,"",0,1))&lt;=TODAY(),TRUE,FALSE)</f>
        <v>1</v>
      </c>
      <c r="E61" s="25">
        <f t="shared" ca="1" si="0"/>
        <v>1</v>
      </c>
      <c r="F61" s="24" t="s">
        <v>265</v>
      </c>
      <c r="G61">
        <v>2</v>
      </c>
      <c r="H61">
        <f>IFERROR(
 --(INDEX('PW_CMI GRADE 10'!$D$7:$D$31,MATCH(LEFT($A61,LEN($A61)-2),'PW_CMI GRADE 10'!$B$7:$B$31,0))="P")+
 --(INDEX('PW_CMI GRADE 10'!$J$7:$J$31,MATCH(LEFT($A61,LEN($A61)-2),'PW_CMI GRADE 10'!$B$7:$B$31,0))="P")+
 --(INDEX('PW_CMI GRADE 10'!$P$7:$P$31,MATCH(LEFT($A61,LEN($A61)-2),'PW_CMI GRADE 10'!$B$7:$B$31,0))="P")+
 --(INDEX('PW_CMI GRADE 10'!$V$7:$V$31,MATCH(LEFT($A61,LEN($A61)-2),'PW_CMI GRADE 10'!$B$7:$B$31,0))="P")+
 --(INDEX('PW_CMI GRADE 10'!$AB$7:$AB$31,MATCH(LEFT($A61,LEN($A61)-2),'PW_CMI GRADE 10'!$B$7:$B$31,0))="P")+
 --(INDEX('PW_CMI GRADE 10'!$AH$7:$AH$31,MATCH(LEFT($A61,LEN($A61)-2),'PW_CMI GRADE 10'!$B$7:$B$31,0))="P")+
 --(INDEX('PW_CMI GRADE 10'!$AN$7:$AN$31,MATCH(LEFT($A61,LEN($A61)-2),'PW_CMI GRADE 10'!$B$7:$B$31,0))="P"),
0)</f>
        <v>0</v>
      </c>
      <c r="I61" s="24" t="b">
        <f ca="1">IF(IF(_xlfn.XLOOKUP(LEFT($A61,LEN($A61)-2),'PW_CMI GRADE 10'!$B$7:$B$31,'PW_CMI GRADE 10'!$AT$7:$AT$31,"",0,1)=0,"",_xlfn.XLOOKUP(LEFT($A61,LEN($A61)-2),'PW_CMI GRADE 10'!$B$7:$B$31,'PW_CMI GRADE 10'!$AT$7:$AT$31,"",0,1))&lt;=TODAY(),TRUE,FALSE)</f>
        <v>0</v>
      </c>
      <c r="J61" s="25" t="str">
        <f t="shared" ca="1" si="1"/>
        <v/>
      </c>
    </row>
    <row r="62" spans="1:10">
      <c r="A62" s="24" t="s">
        <v>266</v>
      </c>
      <c r="B62">
        <v>2</v>
      </c>
      <c r="C62">
        <f>IFERROR(
 --(INDEX('TH_CMI GRADE 10'!$D$7:$D$49,MATCH(LEFT($A62,LEN($A62)-2),'TH_CMI GRADE 10'!$B$7:$B$49,0))="P")+
 --(INDEX('TH_CMI GRADE 10'!$J$7:$J$49,MATCH(LEFT($A62,LEN($A62)-2),'TH_CMI GRADE 10'!$B$7:$B$49,0))="P")+
 --(INDEX('TH_CMI GRADE 10'!$P$7:$P$49,MATCH(LEFT($A62,LEN($A62)-2),'TH_CMI GRADE 10'!$B$7:$B$49,0))="P")+
 --(INDEX('TH_CMI GRADE 10'!$V$7:$V$49,MATCH(LEFT($A62,LEN($A62)-2),'TH_CMI GRADE 10'!$B$7:$B$49,0))="P")+
 --(INDEX('TH_CMI GRADE 10'!$AB$7:$AB$49,MATCH(LEFT($A62,LEN($A62)-2),'TH_CMI GRADE 10'!$B$7:$B$49,0))="P")+
 --(INDEX('TH_CMI GRADE 10'!$AH$7:$AH$49,MATCH(LEFT($A62,LEN($A62)-2),'TH_CMI GRADE 10'!$B$7:$B$49,0))="P")+
 --(INDEX('TH_CMI GRADE 10'!$AN$7:$AN$49,MATCH(LEFT($A62,LEN($A62)-2),'TH_CMI GRADE 10'!$B$7:$B$49,0))="P"),
0)</f>
        <v>2</v>
      </c>
      <c r="D62" s="24" t="b">
        <f ca="1">IF(IF(_xlfn.XLOOKUP(LEFT(A62,LEN(A62)-2),'TH_CMI GRADE 10'!$B$7:$B$49,'TH_CMI GRADE 10'!$AT$7:$AT$49,"",0,1)=0,"",_xlfn.XLOOKUP(LEFT(A62,LEN(A62)-2),'TH_CMI GRADE 10'!$B$7:$B$49,'TH_CMI GRADE 10'!$AT$7:$AT$49,"",0,1))&lt;=TODAY(),TRUE,FALSE)</f>
        <v>1</v>
      </c>
      <c r="E62" s="25">
        <f t="shared" ca="1" si="0"/>
        <v>1</v>
      </c>
      <c r="F62" s="24" t="s">
        <v>266</v>
      </c>
      <c r="G62">
        <v>2</v>
      </c>
      <c r="H62">
        <f>IFERROR(
 --(INDEX('PW_CMI GRADE 10'!$D$7:$D$31,MATCH(LEFT($A62,LEN($A62)-2),'PW_CMI GRADE 10'!$B$7:$B$31,0))="P")+
 --(INDEX('PW_CMI GRADE 10'!$J$7:$J$31,MATCH(LEFT($A62,LEN($A62)-2),'PW_CMI GRADE 10'!$B$7:$B$31,0))="P")+
 --(INDEX('PW_CMI GRADE 10'!$P$7:$P$31,MATCH(LEFT($A62,LEN($A62)-2),'PW_CMI GRADE 10'!$B$7:$B$31,0))="P")+
 --(INDEX('PW_CMI GRADE 10'!$V$7:$V$31,MATCH(LEFT($A62,LEN($A62)-2),'PW_CMI GRADE 10'!$B$7:$B$31,0))="P")+
 --(INDEX('PW_CMI GRADE 10'!$AB$7:$AB$31,MATCH(LEFT($A62,LEN($A62)-2),'PW_CMI GRADE 10'!$B$7:$B$31,0))="P")+
 --(INDEX('PW_CMI GRADE 10'!$AH$7:$AH$31,MATCH(LEFT($A62,LEN($A62)-2),'PW_CMI GRADE 10'!$B$7:$B$31,0))="P")+
 --(INDEX('PW_CMI GRADE 10'!$AN$7:$AN$31,MATCH(LEFT($A62,LEN($A62)-2),'PW_CMI GRADE 10'!$B$7:$B$31,0))="P"),
0)</f>
        <v>0</v>
      </c>
      <c r="I62" s="24" t="b">
        <f ca="1">IF(IF(_xlfn.XLOOKUP(LEFT($A62,LEN($A62)-2),'PW_CMI GRADE 10'!$B$7:$B$31,'PW_CMI GRADE 10'!$AT$7:$AT$31,"",0,1)=0,"",_xlfn.XLOOKUP(LEFT($A62,LEN($A62)-2),'PW_CMI GRADE 10'!$B$7:$B$31,'PW_CMI GRADE 10'!$AT$7:$AT$31,"",0,1))&lt;=TODAY(),TRUE,FALSE)</f>
        <v>0</v>
      </c>
      <c r="J62" s="25" t="str">
        <f t="shared" ca="1" si="1"/>
        <v/>
      </c>
    </row>
    <row r="63" spans="1:10">
      <c r="A63" s="24" t="s">
        <v>267</v>
      </c>
      <c r="B63">
        <v>2</v>
      </c>
      <c r="C63">
        <f>IFERROR(
 --(INDEX('TH_CMI GRADE 10'!$D$7:$D$49,MATCH(LEFT($A63,LEN($A63)-2),'TH_CMI GRADE 10'!$B$7:$B$49,0))="P")+
 --(INDEX('TH_CMI GRADE 10'!$J$7:$J$49,MATCH(LEFT($A63,LEN($A63)-2),'TH_CMI GRADE 10'!$B$7:$B$49,0))="P")+
 --(INDEX('TH_CMI GRADE 10'!$P$7:$P$49,MATCH(LEFT($A63,LEN($A63)-2),'TH_CMI GRADE 10'!$B$7:$B$49,0))="P")+
 --(INDEX('TH_CMI GRADE 10'!$V$7:$V$49,MATCH(LEFT($A63,LEN($A63)-2),'TH_CMI GRADE 10'!$B$7:$B$49,0))="P")+
 --(INDEX('TH_CMI GRADE 10'!$AB$7:$AB$49,MATCH(LEFT($A63,LEN($A63)-2),'TH_CMI GRADE 10'!$B$7:$B$49,0))="P")+
 --(INDEX('TH_CMI GRADE 10'!$AH$7:$AH$49,MATCH(LEFT($A63,LEN($A63)-2),'TH_CMI GRADE 10'!$B$7:$B$49,0))="P")+
 --(INDEX('TH_CMI GRADE 10'!$AN$7:$AN$49,MATCH(LEFT($A63,LEN($A63)-2),'TH_CMI GRADE 10'!$B$7:$B$49,0))="P"),
0)</f>
        <v>2</v>
      </c>
      <c r="D63" s="24" t="b">
        <f ca="1">IF(IF(_xlfn.XLOOKUP(LEFT(A63,LEN(A63)-2),'TH_CMI GRADE 10'!$B$7:$B$49,'TH_CMI GRADE 10'!$AT$7:$AT$49,"",0,1)=0,"",_xlfn.XLOOKUP(LEFT(A63,LEN(A63)-2),'TH_CMI GRADE 10'!$B$7:$B$49,'TH_CMI GRADE 10'!$AT$7:$AT$49,"",0,1))&lt;=TODAY(),TRUE,FALSE)</f>
        <v>1</v>
      </c>
      <c r="E63" s="25">
        <f t="shared" ca="1" si="0"/>
        <v>1</v>
      </c>
      <c r="F63" s="24" t="s">
        <v>267</v>
      </c>
      <c r="G63">
        <v>2</v>
      </c>
      <c r="H63">
        <f>IFERROR(
 --(INDEX('PW_CMI GRADE 10'!$D$7:$D$31,MATCH(LEFT($A63,LEN($A63)-2),'PW_CMI GRADE 10'!$B$7:$B$31,0))="P")+
 --(INDEX('PW_CMI GRADE 10'!$J$7:$J$31,MATCH(LEFT($A63,LEN($A63)-2),'PW_CMI GRADE 10'!$B$7:$B$31,0))="P")+
 --(INDEX('PW_CMI GRADE 10'!$P$7:$P$31,MATCH(LEFT($A63,LEN($A63)-2),'PW_CMI GRADE 10'!$B$7:$B$31,0))="P")+
 --(INDEX('PW_CMI GRADE 10'!$V$7:$V$31,MATCH(LEFT($A63,LEN($A63)-2),'PW_CMI GRADE 10'!$B$7:$B$31,0))="P")+
 --(INDEX('PW_CMI GRADE 10'!$AB$7:$AB$31,MATCH(LEFT($A63,LEN($A63)-2),'PW_CMI GRADE 10'!$B$7:$B$31,0))="P")+
 --(INDEX('PW_CMI GRADE 10'!$AH$7:$AH$31,MATCH(LEFT($A63,LEN($A63)-2),'PW_CMI GRADE 10'!$B$7:$B$31,0))="P")+
 --(INDEX('PW_CMI GRADE 10'!$AN$7:$AN$31,MATCH(LEFT($A63,LEN($A63)-2),'PW_CMI GRADE 10'!$B$7:$B$31,0))="P"),
0)</f>
        <v>0</v>
      </c>
      <c r="I63" s="24" t="b">
        <f ca="1">IF(IF(_xlfn.XLOOKUP(LEFT($A63,LEN($A63)-2),'PW_CMI GRADE 10'!$B$7:$B$31,'PW_CMI GRADE 10'!$AT$7:$AT$31,"",0,1)=0,"",_xlfn.XLOOKUP(LEFT($A63,LEN($A63)-2),'PW_CMI GRADE 10'!$B$7:$B$31,'PW_CMI GRADE 10'!$AT$7:$AT$31,"",0,1))&lt;=TODAY(),TRUE,FALSE)</f>
        <v>0</v>
      </c>
      <c r="J63" s="25" t="str">
        <f t="shared" ca="1" si="1"/>
        <v/>
      </c>
    </row>
    <row r="64" spans="1:10">
      <c r="A64" s="24" t="s">
        <v>268</v>
      </c>
      <c r="B64">
        <v>2</v>
      </c>
      <c r="C64">
        <f>IFERROR(
 --(INDEX('TH_CMI GRADE 10'!$D$7:$D$49,MATCH(LEFT($A64,LEN($A64)-2),'TH_CMI GRADE 10'!$B$7:$B$49,0))="P")+
 --(INDEX('TH_CMI GRADE 10'!$J$7:$J$49,MATCH(LEFT($A64,LEN($A64)-2),'TH_CMI GRADE 10'!$B$7:$B$49,0))="P")+
 --(INDEX('TH_CMI GRADE 10'!$P$7:$P$49,MATCH(LEFT($A64,LEN($A64)-2),'TH_CMI GRADE 10'!$B$7:$B$49,0))="P")+
 --(INDEX('TH_CMI GRADE 10'!$V$7:$V$49,MATCH(LEFT($A64,LEN($A64)-2),'TH_CMI GRADE 10'!$B$7:$B$49,0))="P")+
 --(INDEX('TH_CMI GRADE 10'!$AB$7:$AB$49,MATCH(LEFT($A64,LEN($A64)-2),'TH_CMI GRADE 10'!$B$7:$B$49,0))="P")+
 --(INDEX('TH_CMI GRADE 10'!$AH$7:$AH$49,MATCH(LEFT($A64,LEN($A64)-2),'TH_CMI GRADE 10'!$B$7:$B$49,0))="P")+
 --(INDEX('TH_CMI GRADE 10'!$AN$7:$AN$49,MATCH(LEFT($A64,LEN($A64)-2),'TH_CMI GRADE 10'!$B$7:$B$49,0))="P"),
0)</f>
        <v>0</v>
      </c>
      <c r="D64" s="24" t="b">
        <f ca="1">IF(IF(_xlfn.XLOOKUP(LEFT(A64,LEN(A64)-2),'TH_CMI GRADE 10'!$B$7:$B$49,'TH_CMI GRADE 10'!$AT$7:$AT$49,"",0,1)=0,"",_xlfn.XLOOKUP(LEFT(A64,LEN(A64)-2),'TH_CMI GRADE 10'!$B$7:$B$49,'TH_CMI GRADE 10'!$AT$7:$AT$49,"",0,1))&lt;=TODAY(),TRUE,FALSE)</f>
        <v>0</v>
      </c>
      <c r="E64" s="25" t="str">
        <f t="shared" ca="1" si="0"/>
        <v/>
      </c>
      <c r="F64" s="24" t="s">
        <v>268</v>
      </c>
      <c r="G64">
        <v>2</v>
      </c>
      <c r="H64">
        <f>IFERROR(
 --(INDEX('PW_CMI GRADE 10'!$D$7:$D$31,MATCH(LEFT($A64,LEN($A64)-2),'PW_CMI GRADE 10'!$B$7:$B$31,0))="P")+
 --(INDEX('PW_CMI GRADE 10'!$J$7:$J$31,MATCH(LEFT($A64,LEN($A64)-2),'PW_CMI GRADE 10'!$B$7:$B$31,0))="P")+
 --(INDEX('PW_CMI GRADE 10'!$P$7:$P$31,MATCH(LEFT($A64,LEN($A64)-2),'PW_CMI GRADE 10'!$B$7:$B$31,0))="P")+
 --(INDEX('PW_CMI GRADE 10'!$V$7:$V$31,MATCH(LEFT($A64,LEN($A64)-2),'PW_CMI GRADE 10'!$B$7:$B$31,0))="P")+
 --(INDEX('PW_CMI GRADE 10'!$AB$7:$AB$31,MATCH(LEFT($A64,LEN($A64)-2),'PW_CMI GRADE 10'!$B$7:$B$31,0))="P")+
 --(INDEX('PW_CMI GRADE 10'!$AH$7:$AH$31,MATCH(LEFT($A64,LEN($A64)-2),'PW_CMI GRADE 10'!$B$7:$B$31,0))="P")+
 --(INDEX('PW_CMI GRADE 10'!$AN$7:$AN$31,MATCH(LEFT($A64,LEN($A64)-2),'PW_CMI GRADE 10'!$B$7:$B$31,0))="P"),
0)</f>
        <v>2</v>
      </c>
      <c r="I64" s="24" t="b">
        <f ca="1">IF(IF(_xlfn.XLOOKUP(LEFT($A64,LEN($A64)-2),'PW_CMI GRADE 10'!$B$7:$B$31,'PW_CMI GRADE 10'!$AT$7:$AT$31,"",0,1)=0,"",_xlfn.XLOOKUP(LEFT($A64,LEN($A64)-2),'PW_CMI GRADE 10'!$B$7:$B$31,'PW_CMI GRADE 10'!$AT$7:$AT$31,"",0,1))&lt;=TODAY(),TRUE,FALSE)</f>
        <v>1</v>
      </c>
      <c r="J64" s="25">
        <f t="shared" ca="1" si="1"/>
        <v>1</v>
      </c>
    </row>
    <row r="65" spans="1:10">
      <c r="A65" s="24" t="s">
        <v>269</v>
      </c>
      <c r="B65">
        <v>2</v>
      </c>
      <c r="C65">
        <f>IFERROR(
 --(INDEX('TH_CMI GRADE 10'!$D$7:$D$49,MATCH(LEFT($A65,LEN($A65)-2),'TH_CMI GRADE 10'!$B$7:$B$49,0))="P")+
 --(INDEX('TH_CMI GRADE 10'!$J$7:$J$49,MATCH(LEFT($A65,LEN($A65)-2),'TH_CMI GRADE 10'!$B$7:$B$49,0))="P")+
 --(INDEX('TH_CMI GRADE 10'!$P$7:$P$49,MATCH(LEFT($A65,LEN($A65)-2),'TH_CMI GRADE 10'!$B$7:$B$49,0))="P")+
 --(INDEX('TH_CMI GRADE 10'!$V$7:$V$49,MATCH(LEFT($A65,LEN($A65)-2),'TH_CMI GRADE 10'!$B$7:$B$49,0))="P")+
 --(INDEX('TH_CMI GRADE 10'!$AB$7:$AB$49,MATCH(LEFT($A65,LEN($A65)-2),'TH_CMI GRADE 10'!$B$7:$B$49,0))="P")+
 --(INDEX('TH_CMI GRADE 10'!$AH$7:$AH$49,MATCH(LEFT($A65,LEN($A65)-2),'TH_CMI GRADE 10'!$B$7:$B$49,0))="P")+
 --(INDEX('TH_CMI GRADE 10'!$AN$7:$AN$49,MATCH(LEFT($A65,LEN($A65)-2),'TH_CMI GRADE 10'!$B$7:$B$49,0))="P"),
0)</f>
        <v>0</v>
      </c>
      <c r="D65" s="24" t="b">
        <f ca="1">IF(IF(_xlfn.XLOOKUP(LEFT(A65,LEN(A65)-2),'TH_CMI GRADE 10'!$B$7:$B$49,'TH_CMI GRADE 10'!$AT$7:$AT$49,"",0,1)=0,"",_xlfn.XLOOKUP(LEFT(A65,LEN(A65)-2),'TH_CMI GRADE 10'!$B$7:$B$49,'TH_CMI GRADE 10'!$AT$7:$AT$49,"",0,1))&lt;=TODAY(),TRUE,FALSE)</f>
        <v>0</v>
      </c>
      <c r="E65" s="25" t="str">
        <f t="shared" ca="1" si="0"/>
        <v/>
      </c>
      <c r="F65" s="24" t="s">
        <v>269</v>
      </c>
      <c r="G65">
        <v>2</v>
      </c>
      <c r="H65">
        <f>IFERROR(
 --(INDEX('PW_CMI GRADE 10'!$D$7:$D$31,MATCH(LEFT($A65,LEN($A65)-2),'PW_CMI GRADE 10'!$B$7:$B$31,0))="P")+
 --(INDEX('PW_CMI GRADE 10'!$J$7:$J$31,MATCH(LEFT($A65,LEN($A65)-2),'PW_CMI GRADE 10'!$B$7:$B$31,0))="P")+
 --(INDEX('PW_CMI GRADE 10'!$P$7:$P$31,MATCH(LEFT($A65,LEN($A65)-2),'PW_CMI GRADE 10'!$B$7:$B$31,0))="P")+
 --(INDEX('PW_CMI GRADE 10'!$V$7:$V$31,MATCH(LEFT($A65,LEN($A65)-2),'PW_CMI GRADE 10'!$B$7:$B$31,0))="P")+
 --(INDEX('PW_CMI GRADE 10'!$AB$7:$AB$31,MATCH(LEFT($A65,LEN($A65)-2),'PW_CMI GRADE 10'!$B$7:$B$31,0))="P")+
 --(INDEX('PW_CMI GRADE 10'!$AH$7:$AH$31,MATCH(LEFT($A65,LEN($A65)-2),'PW_CMI GRADE 10'!$B$7:$B$31,0))="P")+
 --(INDEX('PW_CMI GRADE 10'!$AN$7:$AN$31,MATCH(LEFT($A65,LEN($A65)-2),'PW_CMI GRADE 10'!$B$7:$B$31,0))="P"),
0)</f>
        <v>2</v>
      </c>
      <c r="I65" s="24" t="b">
        <f ca="1">IF(IF(_xlfn.XLOOKUP(LEFT($A65,LEN($A65)-2),'PW_CMI GRADE 10'!$B$7:$B$31,'PW_CMI GRADE 10'!$AT$7:$AT$31,"",0,1)=0,"",_xlfn.XLOOKUP(LEFT($A65,LEN($A65)-2),'PW_CMI GRADE 10'!$B$7:$B$31,'PW_CMI GRADE 10'!$AT$7:$AT$31,"",0,1))&lt;=TODAY(),TRUE,FALSE)</f>
        <v>1</v>
      </c>
      <c r="J65" s="25">
        <f t="shared" ca="1" si="1"/>
        <v>1</v>
      </c>
    </row>
    <row r="66" spans="1:10">
      <c r="A66" s="24" t="s">
        <v>270</v>
      </c>
      <c r="B66">
        <v>2</v>
      </c>
      <c r="C66">
        <f>IFERROR(
 --(INDEX('TH_CMI GRADE 10'!$D$7:$D$49,MATCH(LEFT($A66,LEN($A66)-2),'TH_CMI GRADE 10'!$B$7:$B$49,0))="P")+
 --(INDEX('TH_CMI GRADE 10'!$J$7:$J$49,MATCH(LEFT($A66,LEN($A66)-2),'TH_CMI GRADE 10'!$B$7:$B$49,0))="P")+
 --(INDEX('TH_CMI GRADE 10'!$P$7:$P$49,MATCH(LEFT($A66,LEN($A66)-2),'TH_CMI GRADE 10'!$B$7:$B$49,0))="P")+
 --(INDEX('TH_CMI GRADE 10'!$V$7:$V$49,MATCH(LEFT($A66,LEN($A66)-2),'TH_CMI GRADE 10'!$B$7:$B$49,0))="P")+
 --(INDEX('TH_CMI GRADE 10'!$AB$7:$AB$49,MATCH(LEFT($A66,LEN($A66)-2),'TH_CMI GRADE 10'!$B$7:$B$49,0))="P")+
 --(INDEX('TH_CMI GRADE 10'!$AH$7:$AH$49,MATCH(LEFT($A66,LEN($A66)-2),'TH_CMI GRADE 10'!$B$7:$B$49,0))="P")+
 --(INDEX('TH_CMI GRADE 10'!$AN$7:$AN$49,MATCH(LEFT($A66,LEN($A66)-2),'TH_CMI GRADE 10'!$B$7:$B$49,0))="P"),
0)</f>
        <v>2</v>
      </c>
      <c r="D66" s="24" t="b">
        <f ca="1">IF(IF(_xlfn.XLOOKUP(LEFT(A66,LEN(A66)-2),'TH_CMI GRADE 10'!$B$7:$B$49,'TH_CMI GRADE 10'!$AT$7:$AT$49,"",0,1)=0,"",_xlfn.XLOOKUP(LEFT(A66,LEN(A66)-2),'TH_CMI GRADE 10'!$B$7:$B$49,'TH_CMI GRADE 10'!$AT$7:$AT$49,"",0,1))&lt;=TODAY(),TRUE,FALSE)</f>
        <v>1</v>
      </c>
      <c r="E66" s="25">
        <f t="shared" ca="1" si="0"/>
        <v>1</v>
      </c>
      <c r="F66" s="24" t="s">
        <v>270</v>
      </c>
      <c r="G66">
        <v>2</v>
      </c>
      <c r="H66">
        <f>IFERROR(
 --(INDEX('PW_CMI GRADE 10'!$D$7:$D$31,MATCH(LEFT($A66,LEN($A66)-2),'PW_CMI GRADE 10'!$B$7:$B$31,0))="P")+
 --(INDEX('PW_CMI GRADE 10'!$J$7:$J$31,MATCH(LEFT($A66,LEN($A66)-2),'PW_CMI GRADE 10'!$B$7:$B$31,0))="P")+
 --(INDEX('PW_CMI GRADE 10'!$P$7:$P$31,MATCH(LEFT($A66,LEN($A66)-2),'PW_CMI GRADE 10'!$B$7:$B$31,0))="P")+
 --(INDEX('PW_CMI GRADE 10'!$V$7:$V$31,MATCH(LEFT($A66,LEN($A66)-2),'PW_CMI GRADE 10'!$B$7:$B$31,0))="P")+
 --(INDEX('PW_CMI GRADE 10'!$AB$7:$AB$31,MATCH(LEFT($A66,LEN($A66)-2),'PW_CMI GRADE 10'!$B$7:$B$31,0))="P")+
 --(INDEX('PW_CMI GRADE 10'!$AH$7:$AH$31,MATCH(LEFT($A66,LEN($A66)-2),'PW_CMI GRADE 10'!$B$7:$B$31,0))="P")+
 --(INDEX('PW_CMI GRADE 10'!$AN$7:$AN$31,MATCH(LEFT($A66,LEN($A66)-2),'PW_CMI GRADE 10'!$B$7:$B$31,0))="P"),
0)</f>
        <v>0</v>
      </c>
      <c r="I66" s="24" t="b">
        <f ca="1">IF(IF(_xlfn.XLOOKUP(LEFT($A66,LEN($A66)-2),'PW_CMI GRADE 10'!$B$7:$B$31,'PW_CMI GRADE 10'!$AT$7:$AT$31,"",0,1)=0,"",_xlfn.XLOOKUP(LEFT($A66,LEN($A66)-2),'PW_CMI GRADE 10'!$B$7:$B$31,'PW_CMI GRADE 10'!$AT$7:$AT$31,"",0,1))&lt;=TODAY(),TRUE,FALSE)</f>
        <v>0</v>
      </c>
      <c r="J66" s="25" t="str">
        <f t="shared" ca="1" si="1"/>
        <v/>
      </c>
    </row>
    <row r="67" spans="1:10">
      <c r="A67" s="24" t="s">
        <v>271</v>
      </c>
      <c r="B67">
        <v>2</v>
      </c>
      <c r="C67">
        <f>IFERROR(
 --(INDEX('TH_CMI GRADE 10'!$D$7:$D$49,MATCH(LEFT($A67,LEN($A67)-2),'TH_CMI GRADE 10'!$B$7:$B$49,0))="P")+
 --(INDEX('TH_CMI GRADE 10'!$J$7:$J$49,MATCH(LEFT($A67,LEN($A67)-2),'TH_CMI GRADE 10'!$B$7:$B$49,0))="P")+
 --(INDEX('TH_CMI GRADE 10'!$P$7:$P$49,MATCH(LEFT($A67,LEN($A67)-2),'TH_CMI GRADE 10'!$B$7:$B$49,0))="P")+
 --(INDEX('TH_CMI GRADE 10'!$V$7:$V$49,MATCH(LEFT($A67,LEN($A67)-2),'TH_CMI GRADE 10'!$B$7:$B$49,0))="P")+
 --(INDEX('TH_CMI GRADE 10'!$AB$7:$AB$49,MATCH(LEFT($A67,LEN($A67)-2),'TH_CMI GRADE 10'!$B$7:$B$49,0))="P")+
 --(INDEX('TH_CMI GRADE 10'!$AH$7:$AH$49,MATCH(LEFT($A67,LEN($A67)-2),'TH_CMI GRADE 10'!$B$7:$B$49,0))="P")+
 --(INDEX('TH_CMI GRADE 10'!$AN$7:$AN$49,MATCH(LEFT($A67,LEN($A67)-2),'TH_CMI GRADE 10'!$B$7:$B$49,0))="P"),
0)</f>
        <v>2</v>
      </c>
      <c r="D67" s="24" t="b">
        <f ca="1">IF(IF(_xlfn.XLOOKUP(LEFT(A67,LEN(A67)-2),'TH_CMI GRADE 10'!$B$7:$B$49,'TH_CMI GRADE 10'!$AT$7:$AT$49,"",0,1)=0,"",_xlfn.XLOOKUP(LEFT(A67,LEN(A67)-2),'TH_CMI GRADE 10'!$B$7:$B$49,'TH_CMI GRADE 10'!$AT$7:$AT$49,"",0,1))&lt;=TODAY(),TRUE,FALSE)</f>
        <v>1</v>
      </c>
      <c r="E67" s="25">
        <f t="shared" ca="1" si="0"/>
        <v>1</v>
      </c>
      <c r="F67" s="24" t="s">
        <v>271</v>
      </c>
      <c r="G67">
        <v>2</v>
      </c>
      <c r="H67">
        <f>IFERROR(
 --(INDEX('PW_CMI GRADE 10'!$D$7:$D$31,MATCH(LEFT($A67,LEN($A67)-2),'PW_CMI GRADE 10'!$B$7:$B$31,0))="P")+
 --(INDEX('PW_CMI GRADE 10'!$J$7:$J$31,MATCH(LEFT($A67,LEN($A67)-2),'PW_CMI GRADE 10'!$B$7:$B$31,0))="P")+
 --(INDEX('PW_CMI GRADE 10'!$P$7:$P$31,MATCH(LEFT($A67,LEN($A67)-2),'PW_CMI GRADE 10'!$B$7:$B$31,0))="P")+
 --(INDEX('PW_CMI GRADE 10'!$V$7:$V$31,MATCH(LEFT($A67,LEN($A67)-2),'PW_CMI GRADE 10'!$B$7:$B$31,0))="P")+
 --(INDEX('PW_CMI GRADE 10'!$AB$7:$AB$31,MATCH(LEFT($A67,LEN($A67)-2),'PW_CMI GRADE 10'!$B$7:$B$31,0))="P")+
 --(INDEX('PW_CMI GRADE 10'!$AH$7:$AH$31,MATCH(LEFT($A67,LEN($A67)-2),'PW_CMI GRADE 10'!$B$7:$B$31,0))="P")+
 --(INDEX('PW_CMI GRADE 10'!$AN$7:$AN$31,MATCH(LEFT($A67,LEN($A67)-2),'PW_CMI GRADE 10'!$B$7:$B$31,0))="P"),
0)</f>
        <v>0</v>
      </c>
      <c r="I67" s="24" t="b">
        <f ca="1">IF(IF(_xlfn.XLOOKUP(LEFT($A67,LEN($A67)-2),'PW_CMI GRADE 10'!$B$7:$B$31,'PW_CMI GRADE 10'!$AT$7:$AT$31,"",0,1)=0,"",_xlfn.XLOOKUP(LEFT($A67,LEN($A67)-2),'PW_CMI GRADE 10'!$B$7:$B$31,'PW_CMI GRADE 10'!$AT$7:$AT$31,"",0,1))&lt;=TODAY(),TRUE,FALSE)</f>
        <v>0</v>
      </c>
      <c r="J67" s="25" t="str">
        <f t="shared" ca="1" si="1"/>
        <v/>
      </c>
    </row>
    <row r="68" spans="1:10">
      <c r="A68" s="24" t="s">
        <v>272</v>
      </c>
      <c r="B68">
        <v>2</v>
      </c>
      <c r="C68">
        <f>IFERROR(
 --(INDEX('TH_CMI GRADE 10'!$D$7:$D$49,MATCH(LEFT($A68,LEN($A68)-2),'TH_CMI GRADE 10'!$B$7:$B$49,0))="P")+
 --(INDEX('TH_CMI GRADE 10'!$J$7:$J$49,MATCH(LEFT($A68,LEN($A68)-2),'TH_CMI GRADE 10'!$B$7:$B$49,0))="P")+
 --(INDEX('TH_CMI GRADE 10'!$P$7:$P$49,MATCH(LEFT($A68,LEN($A68)-2),'TH_CMI GRADE 10'!$B$7:$B$49,0))="P")+
 --(INDEX('TH_CMI GRADE 10'!$V$7:$V$49,MATCH(LEFT($A68,LEN($A68)-2),'TH_CMI GRADE 10'!$B$7:$B$49,0))="P")+
 --(INDEX('TH_CMI GRADE 10'!$AB$7:$AB$49,MATCH(LEFT($A68,LEN($A68)-2),'TH_CMI GRADE 10'!$B$7:$B$49,0))="P")+
 --(INDEX('TH_CMI GRADE 10'!$AH$7:$AH$49,MATCH(LEFT($A68,LEN($A68)-2),'TH_CMI GRADE 10'!$B$7:$B$49,0))="P")+
 --(INDEX('TH_CMI GRADE 10'!$AN$7:$AN$49,MATCH(LEFT($A68,LEN($A68)-2),'TH_CMI GRADE 10'!$B$7:$B$49,0))="P"),
0)</f>
        <v>2</v>
      </c>
      <c r="D68" s="24" t="b">
        <f ca="1">IF(IF(_xlfn.XLOOKUP(LEFT(A68,LEN(A68)-2),'TH_CMI GRADE 10'!$B$7:$B$49,'TH_CMI GRADE 10'!$AT$7:$AT$49,"",0,1)=0,"",_xlfn.XLOOKUP(LEFT(A68,LEN(A68)-2),'TH_CMI GRADE 10'!$B$7:$B$49,'TH_CMI GRADE 10'!$AT$7:$AT$49,"",0,1))&lt;=TODAY(),TRUE,FALSE)</f>
        <v>1</v>
      </c>
      <c r="E68" s="25">
        <f t="shared" ref="E68:E87" ca="1" si="2">IFERROR(IF(AND(D68=TRUE(),C68/B68&lt;=1),C68/B68,IF(AND(D68=TRUE(),C68/B68&gt;1),1,"")),0)</f>
        <v>1</v>
      </c>
      <c r="F68" s="24" t="s">
        <v>272</v>
      </c>
      <c r="G68">
        <v>2</v>
      </c>
      <c r="H68">
        <f>IFERROR(
 --(INDEX('PW_CMI GRADE 10'!$D$7:$D$31,MATCH(LEFT($A68,LEN($A68)-2),'PW_CMI GRADE 10'!$B$7:$B$31,0))="P")+
 --(INDEX('PW_CMI GRADE 10'!$J$7:$J$31,MATCH(LEFT($A68,LEN($A68)-2),'PW_CMI GRADE 10'!$B$7:$B$31,0))="P")+
 --(INDEX('PW_CMI GRADE 10'!$P$7:$P$31,MATCH(LEFT($A68,LEN($A68)-2),'PW_CMI GRADE 10'!$B$7:$B$31,0))="P")+
 --(INDEX('PW_CMI GRADE 10'!$V$7:$V$31,MATCH(LEFT($A68,LEN($A68)-2),'PW_CMI GRADE 10'!$B$7:$B$31,0))="P")+
 --(INDEX('PW_CMI GRADE 10'!$AB$7:$AB$31,MATCH(LEFT($A68,LEN($A68)-2),'PW_CMI GRADE 10'!$B$7:$B$31,0))="P")+
 --(INDEX('PW_CMI GRADE 10'!$AH$7:$AH$31,MATCH(LEFT($A68,LEN($A68)-2),'PW_CMI GRADE 10'!$B$7:$B$31,0))="P")+
 --(INDEX('PW_CMI GRADE 10'!$AN$7:$AN$31,MATCH(LEFT($A68,LEN($A68)-2),'PW_CMI GRADE 10'!$B$7:$B$31,0))="P"),
0)</f>
        <v>0</v>
      </c>
      <c r="I68" s="24" t="b">
        <f ca="1">IF(IF(_xlfn.XLOOKUP(LEFT($A68,LEN($A68)-2),'PW_CMI GRADE 10'!$B$7:$B$31,'PW_CMI GRADE 10'!$AT$7:$AT$31,"",0,1)=0,"",_xlfn.XLOOKUP(LEFT($A68,LEN($A68)-2),'PW_CMI GRADE 10'!$B$7:$B$31,'PW_CMI GRADE 10'!$AT$7:$AT$31,"",0,1))&lt;=TODAY(),TRUE,FALSE)</f>
        <v>0</v>
      </c>
      <c r="J68" s="25" t="str">
        <f t="shared" ref="J68:J131" ca="1" si="3">IFERROR(IF(AND(I68=TRUE(),H68/G68&lt;=1),H68/G68,IF(AND(I68=TRUE(),H68/G68&gt;1),1,"")),0)</f>
        <v/>
      </c>
    </row>
    <row r="69" spans="1:10">
      <c r="A69" s="24" t="s">
        <v>273</v>
      </c>
      <c r="B69">
        <v>2</v>
      </c>
      <c r="C69">
        <f>IFERROR(
 --(INDEX('TH_CMI GRADE 10'!$D$7:$D$49,MATCH(LEFT($A69,LEN($A69)-2),'TH_CMI GRADE 10'!$B$7:$B$49,0))="P")+
 --(INDEX('TH_CMI GRADE 10'!$J$7:$J$49,MATCH(LEFT($A69,LEN($A69)-2),'TH_CMI GRADE 10'!$B$7:$B$49,0))="P")+
 --(INDEX('TH_CMI GRADE 10'!$P$7:$P$49,MATCH(LEFT($A69,LEN($A69)-2),'TH_CMI GRADE 10'!$B$7:$B$49,0))="P")+
 --(INDEX('TH_CMI GRADE 10'!$V$7:$V$49,MATCH(LEFT($A69,LEN($A69)-2),'TH_CMI GRADE 10'!$B$7:$B$49,0))="P")+
 --(INDEX('TH_CMI GRADE 10'!$AB$7:$AB$49,MATCH(LEFT($A69,LEN($A69)-2),'TH_CMI GRADE 10'!$B$7:$B$49,0))="P")+
 --(INDEX('TH_CMI GRADE 10'!$AH$7:$AH$49,MATCH(LEFT($A69,LEN($A69)-2),'TH_CMI GRADE 10'!$B$7:$B$49,0))="P")+
 --(INDEX('TH_CMI GRADE 10'!$AN$7:$AN$49,MATCH(LEFT($A69,LEN($A69)-2),'TH_CMI GRADE 10'!$B$7:$B$49,0))="P"),
0)</f>
        <v>2</v>
      </c>
      <c r="D69" s="24" t="b">
        <f ca="1">IF(IF(_xlfn.XLOOKUP(LEFT(A69,LEN(A69)-2),'TH_CMI GRADE 10'!$B$7:$B$49,'TH_CMI GRADE 10'!$AT$7:$AT$49,"",0,1)=0,"",_xlfn.XLOOKUP(LEFT(A69,LEN(A69)-2),'TH_CMI GRADE 10'!$B$7:$B$49,'TH_CMI GRADE 10'!$AT$7:$AT$49,"",0,1))&lt;=TODAY(),TRUE,FALSE)</f>
        <v>1</v>
      </c>
      <c r="E69" s="25">
        <f t="shared" ca="1" si="2"/>
        <v>1</v>
      </c>
      <c r="F69" s="24" t="s">
        <v>273</v>
      </c>
      <c r="G69">
        <v>2</v>
      </c>
      <c r="H69">
        <f>IFERROR(
 --(INDEX('PW_CMI GRADE 10'!$D$7:$D$31,MATCH(LEFT($A69,LEN($A69)-2),'PW_CMI GRADE 10'!$B$7:$B$31,0))="P")+
 --(INDEX('PW_CMI GRADE 10'!$J$7:$J$31,MATCH(LEFT($A69,LEN($A69)-2),'PW_CMI GRADE 10'!$B$7:$B$31,0))="P")+
 --(INDEX('PW_CMI GRADE 10'!$P$7:$P$31,MATCH(LEFT($A69,LEN($A69)-2),'PW_CMI GRADE 10'!$B$7:$B$31,0))="P")+
 --(INDEX('PW_CMI GRADE 10'!$V$7:$V$31,MATCH(LEFT($A69,LEN($A69)-2),'PW_CMI GRADE 10'!$B$7:$B$31,0))="P")+
 --(INDEX('PW_CMI GRADE 10'!$AB$7:$AB$31,MATCH(LEFT($A69,LEN($A69)-2),'PW_CMI GRADE 10'!$B$7:$B$31,0))="P")+
 --(INDEX('PW_CMI GRADE 10'!$AH$7:$AH$31,MATCH(LEFT($A69,LEN($A69)-2),'PW_CMI GRADE 10'!$B$7:$B$31,0))="P")+
 --(INDEX('PW_CMI GRADE 10'!$AN$7:$AN$31,MATCH(LEFT($A69,LEN($A69)-2),'PW_CMI GRADE 10'!$B$7:$B$31,0))="P"),
0)</f>
        <v>0</v>
      </c>
      <c r="I69" s="24" t="b">
        <f ca="1">IF(IF(_xlfn.XLOOKUP(LEFT($A69,LEN($A69)-2),'PW_CMI GRADE 10'!$B$7:$B$31,'PW_CMI GRADE 10'!$AT$7:$AT$31,"",0,1)=0,"",_xlfn.XLOOKUP(LEFT($A69,LEN($A69)-2),'PW_CMI GRADE 10'!$B$7:$B$31,'PW_CMI GRADE 10'!$AT$7:$AT$31,"",0,1))&lt;=TODAY(),TRUE,FALSE)</f>
        <v>0</v>
      </c>
      <c r="J69" s="25" t="str">
        <f t="shared" ca="1" si="3"/>
        <v/>
      </c>
    </row>
    <row r="70" spans="1:10">
      <c r="A70" s="24" t="s">
        <v>274</v>
      </c>
      <c r="B70">
        <v>2</v>
      </c>
      <c r="C70">
        <f>IFERROR(
 --(INDEX('TH_CMI GRADE 10'!$D$7:$D$49,MATCH(LEFT($A70,LEN($A70)-2),'TH_CMI GRADE 10'!$B$7:$B$49,0))="P")+
 --(INDEX('TH_CMI GRADE 10'!$J$7:$J$49,MATCH(LEFT($A70,LEN($A70)-2),'TH_CMI GRADE 10'!$B$7:$B$49,0))="P")+
 --(INDEX('TH_CMI GRADE 10'!$P$7:$P$49,MATCH(LEFT($A70,LEN($A70)-2),'TH_CMI GRADE 10'!$B$7:$B$49,0))="P")+
 --(INDEX('TH_CMI GRADE 10'!$V$7:$V$49,MATCH(LEFT($A70,LEN($A70)-2),'TH_CMI GRADE 10'!$B$7:$B$49,0))="P")+
 --(INDEX('TH_CMI GRADE 10'!$AB$7:$AB$49,MATCH(LEFT($A70,LEN($A70)-2),'TH_CMI GRADE 10'!$B$7:$B$49,0))="P")+
 --(INDEX('TH_CMI GRADE 10'!$AH$7:$AH$49,MATCH(LEFT($A70,LEN($A70)-2),'TH_CMI GRADE 10'!$B$7:$B$49,0))="P")+
 --(INDEX('TH_CMI GRADE 10'!$AN$7:$AN$49,MATCH(LEFT($A70,LEN($A70)-2),'TH_CMI GRADE 10'!$B$7:$B$49,0))="P"),
0)</f>
        <v>2</v>
      </c>
      <c r="D70" s="24" t="b">
        <f ca="1">IF(IF(_xlfn.XLOOKUP(LEFT(A70,LEN(A70)-2),'TH_CMI GRADE 10'!$B$7:$B$49,'TH_CMI GRADE 10'!$AT$7:$AT$49,"",0,1)=0,"",_xlfn.XLOOKUP(LEFT(A70,LEN(A70)-2),'TH_CMI GRADE 10'!$B$7:$B$49,'TH_CMI GRADE 10'!$AT$7:$AT$49,"",0,1))&lt;=TODAY(),TRUE,FALSE)</f>
        <v>1</v>
      </c>
      <c r="E70" s="25">
        <f t="shared" ca="1" si="2"/>
        <v>1</v>
      </c>
      <c r="F70" s="24" t="s">
        <v>274</v>
      </c>
      <c r="G70">
        <v>2</v>
      </c>
      <c r="H70">
        <f>IFERROR(
 --(INDEX('PW_CMI GRADE 10'!$D$7:$D$31,MATCH(LEFT($A70,LEN($A70)-2),'PW_CMI GRADE 10'!$B$7:$B$31,0))="P")+
 --(INDEX('PW_CMI GRADE 10'!$J$7:$J$31,MATCH(LEFT($A70,LEN($A70)-2),'PW_CMI GRADE 10'!$B$7:$B$31,0))="P")+
 --(INDEX('PW_CMI GRADE 10'!$P$7:$P$31,MATCH(LEFT($A70,LEN($A70)-2),'PW_CMI GRADE 10'!$B$7:$B$31,0))="P")+
 --(INDEX('PW_CMI GRADE 10'!$V$7:$V$31,MATCH(LEFT($A70,LEN($A70)-2),'PW_CMI GRADE 10'!$B$7:$B$31,0))="P")+
 --(INDEX('PW_CMI GRADE 10'!$AB$7:$AB$31,MATCH(LEFT($A70,LEN($A70)-2),'PW_CMI GRADE 10'!$B$7:$B$31,0))="P")+
 --(INDEX('PW_CMI GRADE 10'!$AH$7:$AH$31,MATCH(LEFT($A70,LEN($A70)-2),'PW_CMI GRADE 10'!$B$7:$B$31,0))="P")+
 --(INDEX('PW_CMI GRADE 10'!$AN$7:$AN$31,MATCH(LEFT($A70,LEN($A70)-2),'PW_CMI GRADE 10'!$B$7:$B$31,0))="P"),
0)</f>
        <v>0</v>
      </c>
      <c r="I70" s="24" t="b">
        <f ca="1">IF(IF(_xlfn.XLOOKUP(LEFT($A70,LEN($A70)-2),'PW_CMI GRADE 10'!$B$7:$B$31,'PW_CMI GRADE 10'!$AT$7:$AT$31,"",0,1)=0,"",_xlfn.XLOOKUP(LEFT($A70,LEN($A70)-2),'PW_CMI GRADE 10'!$B$7:$B$31,'PW_CMI GRADE 10'!$AT$7:$AT$31,"",0,1))&lt;=TODAY(),TRUE,FALSE)</f>
        <v>0</v>
      </c>
      <c r="J70" s="25" t="str">
        <f t="shared" ca="1" si="3"/>
        <v/>
      </c>
    </row>
    <row r="71" spans="1:10">
      <c r="A71" s="24" t="s">
        <v>275</v>
      </c>
      <c r="B71">
        <v>2</v>
      </c>
      <c r="C71">
        <f>IFERROR(
 --(INDEX('TH_CMI GRADE 10'!$D$7:$D$49,MATCH(LEFT($A71,LEN($A71)-2),'TH_CMI GRADE 10'!$B$7:$B$49,0))="P")+
 --(INDEX('TH_CMI GRADE 10'!$J$7:$J$49,MATCH(LEFT($A71,LEN($A71)-2),'TH_CMI GRADE 10'!$B$7:$B$49,0))="P")+
 --(INDEX('TH_CMI GRADE 10'!$P$7:$P$49,MATCH(LEFT($A71,LEN($A71)-2),'TH_CMI GRADE 10'!$B$7:$B$49,0))="P")+
 --(INDEX('TH_CMI GRADE 10'!$V$7:$V$49,MATCH(LEFT($A71,LEN($A71)-2),'TH_CMI GRADE 10'!$B$7:$B$49,0))="P")+
 --(INDEX('TH_CMI GRADE 10'!$AB$7:$AB$49,MATCH(LEFT($A71,LEN($A71)-2),'TH_CMI GRADE 10'!$B$7:$B$49,0))="P")+
 --(INDEX('TH_CMI GRADE 10'!$AH$7:$AH$49,MATCH(LEFT($A71,LEN($A71)-2),'TH_CMI GRADE 10'!$B$7:$B$49,0))="P")+
 --(INDEX('TH_CMI GRADE 10'!$AN$7:$AN$49,MATCH(LEFT($A71,LEN($A71)-2),'TH_CMI GRADE 10'!$B$7:$B$49,0))="P"),
0)</f>
        <v>2</v>
      </c>
      <c r="D71" s="24" t="b">
        <f ca="1">IF(IF(_xlfn.XLOOKUP(LEFT(A71,LEN(A71)-2),'TH_CMI GRADE 10'!$B$7:$B$49,'TH_CMI GRADE 10'!$AT$7:$AT$49,"",0,1)=0,"",_xlfn.XLOOKUP(LEFT(A71,LEN(A71)-2),'TH_CMI GRADE 10'!$B$7:$B$49,'TH_CMI GRADE 10'!$AT$7:$AT$49,"",0,1))&lt;=TODAY(),TRUE,FALSE)</f>
        <v>1</v>
      </c>
      <c r="E71" s="25">
        <f t="shared" ca="1" si="2"/>
        <v>1</v>
      </c>
      <c r="F71" s="24" t="s">
        <v>275</v>
      </c>
      <c r="G71">
        <v>2</v>
      </c>
      <c r="H71">
        <f>IFERROR(
 --(INDEX('PW_CMI GRADE 10'!$D$7:$D$31,MATCH(LEFT($A71,LEN($A71)-2),'PW_CMI GRADE 10'!$B$7:$B$31,0))="P")+
 --(INDEX('PW_CMI GRADE 10'!$J$7:$J$31,MATCH(LEFT($A71,LEN($A71)-2),'PW_CMI GRADE 10'!$B$7:$B$31,0))="P")+
 --(INDEX('PW_CMI GRADE 10'!$P$7:$P$31,MATCH(LEFT($A71,LEN($A71)-2),'PW_CMI GRADE 10'!$B$7:$B$31,0))="P")+
 --(INDEX('PW_CMI GRADE 10'!$V$7:$V$31,MATCH(LEFT($A71,LEN($A71)-2),'PW_CMI GRADE 10'!$B$7:$B$31,0))="P")+
 --(INDEX('PW_CMI GRADE 10'!$AB$7:$AB$31,MATCH(LEFT($A71,LEN($A71)-2),'PW_CMI GRADE 10'!$B$7:$B$31,0))="P")+
 --(INDEX('PW_CMI GRADE 10'!$AH$7:$AH$31,MATCH(LEFT($A71,LEN($A71)-2),'PW_CMI GRADE 10'!$B$7:$B$31,0))="P")+
 --(INDEX('PW_CMI GRADE 10'!$AN$7:$AN$31,MATCH(LEFT($A71,LEN($A71)-2),'PW_CMI GRADE 10'!$B$7:$B$31,0))="P"),
0)</f>
        <v>0</v>
      </c>
      <c r="I71" s="24" t="b">
        <f ca="1">IF(IF(_xlfn.XLOOKUP(LEFT($A71,LEN($A71)-2),'PW_CMI GRADE 10'!$B$7:$B$31,'PW_CMI GRADE 10'!$AT$7:$AT$31,"",0,1)=0,"",_xlfn.XLOOKUP(LEFT($A71,LEN($A71)-2),'PW_CMI GRADE 10'!$B$7:$B$31,'PW_CMI GRADE 10'!$AT$7:$AT$31,"",0,1))&lt;=TODAY(),TRUE,FALSE)</f>
        <v>0</v>
      </c>
      <c r="J71" s="25" t="str">
        <f t="shared" ca="1" si="3"/>
        <v/>
      </c>
    </row>
    <row r="72" spans="1:10">
      <c r="A72" s="24" t="s">
        <v>276</v>
      </c>
      <c r="B72">
        <v>2</v>
      </c>
      <c r="C72">
        <f>IFERROR(
 --(INDEX('TH_CMI GRADE 10'!$D$7:$D$49,MATCH(LEFT($A72,LEN($A72)-2),'TH_CMI GRADE 10'!$B$7:$B$49,0))="P")+
 --(INDEX('TH_CMI GRADE 10'!$J$7:$J$49,MATCH(LEFT($A72,LEN($A72)-2),'TH_CMI GRADE 10'!$B$7:$B$49,0))="P")+
 --(INDEX('TH_CMI GRADE 10'!$P$7:$P$49,MATCH(LEFT($A72,LEN($A72)-2),'TH_CMI GRADE 10'!$B$7:$B$49,0))="P")+
 --(INDEX('TH_CMI GRADE 10'!$V$7:$V$49,MATCH(LEFT($A72,LEN($A72)-2),'TH_CMI GRADE 10'!$B$7:$B$49,0))="P")+
 --(INDEX('TH_CMI GRADE 10'!$AB$7:$AB$49,MATCH(LEFT($A72,LEN($A72)-2),'TH_CMI GRADE 10'!$B$7:$B$49,0))="P")+
 --(INDEX('TH_CMI GRADE 10'!$AH$7:$AH$49,MATCH(LEFT($A72,LEN($A72)-2),'TH_CMI GRADE 10'!$B$7:$B$49,0))="P")+
 --(INDEX('TH_CMI GRADE 10'!$AN$7:$AN$49,MATCH(LEFT($A72,LEN($A72)-2),'TH_CMI GRADE 10'!$B$7:$B$49,0))="P"),
0)</f>
        <v>0</v>
      </c>
      <c r="D72" s="24" t="b">
        <f ca="1">IF(IF(_xlfn.XLOOKUP(LEFT(A72,LEN(A72)-2),'TH_CMI GRADE 10'!$B$7:$B$49,'TH_CMI GRADE 10'!$AT$7:$AT$49,"",0,1)=0,"",_xlfn.XLOOKUP(LEFT(A72,LEN(A72)-2),'TH_CMI GRADE 10'!$B$7:$B$49,'TH_CMI GRADE 10'!$AT$7:$AT$49,"",0,1))&lt;=TODAY(),TRUE,FALSE)</f>
        <v>1</v>
      </c>
      <c r="E72" s="25">
        <f t="shared" ca="1" si="2"/>
        <v>0</v>
      </c>
      <c r="F72" s="24" t="s">
        <v>276</v>
      </c>
      <c r="G72">
        <v>2</v>
      </c>
      <c r="H72">
        <f>IFERROR(
 --(INDEX('PW_CMI GRADE 10'!$D$7:$D$31,MATCH(LEFT($A72,LEN($A72)-2),'PW_CMI GRADE 10'!$B$7:$B$31,0))="P")+
 --(INDEX('PW_CMI GRADE 10'!$J$7:$J$31,MATCH(LEFT($A72,LEN($A72)-2),'PW_CMI GRADE 10'!$B$7:$B$31,0))="P")+
 --(INDEX('PW_CMI GRADE 10'!$P$7:$P$31,MATCH(LEFT($A72,LEN($A72)-2),'PW_CMI GRADE 10'!$B$7:$B$31,0))="P")+
 --(INDEX('PW_CMI GRADE 10'!$V$7:$V$31,MATCH(LEFT($A72,LEN($A72)-2),'PW_CMI GRADE 10'!$B$7:$B$31,0))="P")+
 --(INDEX('PW_CMI GRADE 10'!$AB$7:$AB$31,MATCH(LEFT($A72,LEN($A72)-2),'PW_CMI GRADE 10'!$B$7:$B$31,0))="P")+
 --(INDEX('PW_CMI GRADE 10'!$AH$7:$AH$31,MATCH(LEFT($A72,LEN($A72)-2),'PW_CMI GRADE 10'!$B$7:$B$31,0))="P")+
 --(INDEX('PW_CMI GRADE 10'!$AN$7:$AN$31,MATCH(LEFT($A72,LEN($A72)-2),'PW_CMI GRADE 10'!$B$7:$B$31,0))="P"),
0)</f>
        <v>0</v>
      </c>
      <c r="I72" s="24" t="b">
        <f ca="1">IF(IF(_xlfn.XLOOKUP(LEFT($A72,LEN($A72)-2),'PW_CMI GRADE 10'!$B$7:$B$31,'PW_CMI GRADE 10'!$AT$7:$AT$31,"",0,1)=0,"",_xlfn.XLOOKUP(LEFT($A72,LEN($A72)-2),'PW_CMI GRADE 10'!$B$7:$B$31,'PW_CMI GRADE 10'!$AT$7:$AT$31,"",0,1))&lt;=TODAY(),TRUE,FALSE)</f>
        <v>0</v>
      </c>
      <c r="J72" s="25" t="str">
        <f t="shared" ca="1" si="3"/>
        <v/>
      </c>
    </row>
    <row r="73" spans="1:10">
      <c r="A73" s="24" t="s">
        <v>277</v>
      </c>
      <c r="B73">
        <v>2</v>
      </c>
      <c r="C73">
        <f>IFERROR(
 --(INDEX('TH_CMI GRADE 10'!$D$7:$D$49,MATCH(LEFT($A73,LEN($A73)-2),'TH_CMI GRADE 10'!$B$7:$B$49,0))="P")+
 --(INDEX('TH_CMI GRADE 10'!$J$7:$J$49,MATCH(LEFT($A73,LEN($A73)-2),'TH_CMI GRADE 10'!$B$7:$B$49,0))="P")+
 --(INDEX('TH_CMI GRADE 10'!$P$7:$P$49,MATCH(LEFT($A73,LEN($A73)-2),'TH_CMI GRADE 10'!$B$7:$B$49,0))="P")+
 --(INDEX('TH_CMI GRADE 10'!$V$7:$V$49,MATCH(LEFT($A73,LEN($A73)-2),'TH_CMI GRADE 10'!$B$7:$B$49,0))="P")+
 --(INDEX('TH_CMI GRADE 10'!$AB$7:$AB$49,MATCH(LEFT($A73,LEN($A73)-2),'TH_CMI GRADE 10'!$B$7:$B$49,0))="P")+
 --(INDEX('TH_CMI GRADE 10'!$AH$7:$AH$49,MATCH(LEFT($A73,LEN($A73)-2),'TH_CMI GRADE 10'!$B$7:$B$49,0))="P")+
 --(INDEX('TH_CMI GRADE 10'!$AN$7:$AN$49,MATCH(LEFT($A73,LEN($A73)-2),'TH_CMI GRADE 10'!$B$7:$B$49,0))="P"),
0)</f>
        <v>2</v>
      </c>
      <c r="D73" s="24" t="b">
        <f ca="1">IF(IF(_xlfn.XLOOKUP(LEFT(A73,LEN(A73)-2),'TH_CMI GRADE 10'!$B$7:$B$49,'TH_CMI GRADE 10'!$AT$7:$AT$49,"",0,1)=0,"",_xlfn.XLOOKUP(LEFT(A73,LEN(A73)-2),'TH_CMI GRADE 10'!$B$7:$B$49,'TH_CMI GRADE 10'!$AT$7:$AT$49,"",0,1))&lt;=TODAY(),TRUE,FALSE)</f>
        <v>1</v>
      </c>
      <c r="E73" s="25">
        <f t="shared" ca="1" si="2"/>
        <v>1</v>
      </c>
      <c r="F73" s="24" t="s">
        <v>277</v>
      </c>
      <c r="G73">
        <v>2</v>
      </c>
      <c r="H73">
        <f>IFERROR(
 --(INDEX('PW_CMI GRADE 10'!$D$7:$D$31,MATCH(LEFT($A73,LEN($A73)-2),'PW_CMI GRADE 10'!$B$7:$B$31,0))="P")+
 --(INDEX('PW_CMI GRADE 10'!$J$7:$J$31,MATCH(LEFT($A73,LEN($A73)-2),'PW_CMI GRADE 10'!$B$7:$B$31,0))="P")+
 --(INDEX('PW_CMI GRADE 10'!$P$7:$P$31,MATCH(LEFT($A73,LEN($A73)-2),'PW_CMI GRADE 10'!$B$7:$B$31,0))="P")+
 --(INDEX('PW_CMI GRADE 10'!$V$7:$V$31,MATCH(LEFT($A73,LEN($A73)-2),'PW_CMI GRADE 10'!$B$7:$B$31,0))="P")+
 --(INDEX('PW_CMI GRADE 10'!$AB$7:$AB$31,MATCH(LEFT($A73,LEN($A73)-2),'PW_CMI GRADE 10'!$B$7:$B$31,0))="P")+
 --(INDEX('PW_CMI GRADE 10'!$AH$7:$AH$31,MATCH(LEFT($A73,LEN($A73)-2),'PW_CMI GRADE 10'!$B$7:$B$31,0))="P")+
 --(INDEX('PW_CMI GRADE 10'!$AN$7:$AN$31,MATCH(LEFT($A73,LEN($A73)-2),'PW_CMI GRADE 10'!$B$7:$B$31,0))="P"),
0)</f>
        <v>0</v>
      </c>
      <c r="I73" s="24" t="b">
        <f ca="1">IF(IF(_xlfn.XLOOKUP(LEFT($A73,LEN($A73)-2),'PW_CMI GRADE 10'!$B$7:$B$31,'PW_CMI GRADE 10'!$AT$7:$AT$31,"",0,1)=0,"",_xlfn.XLOOKUP(LEFT($A73,LEN($A73)-2),'PW_CMI GRADE 10'!$B$7:$B$31,'PW_CMI GRADE 10'!$AT$7:$AT$31,"",0,1))&lt;=TODAY(),TRUE,FALSE)</f>
        <v>0</v>
      </c>
      <c r="J73" s="25" t="str">
        <f t="shared" ca="1" si="3"/>
        <v/>
      </c>
    </row>
    <row r="74" spans="1:10">
      <c r="A74" s="24" t="s">
        <v>278</v>
      </c>
      <c r="B74">
        <v>2</v>
      </c>
      <c r="C74">
        <f>IFERROR(
 --(INDEX('TH_CMI GRADE 10'!$D$7:$D$49,MATCH(LEFT($A74,LEN($A74)-2),'TH_CMI GRADE 10'!$B$7:$B$49,0))="P")+
 --(INDEX('TH_CMI GRADE 10'!$J$7:$J$49,MATCH(LEFT($A74,LEN($A74)-2),'TH_CMI GRADE 10'!$B$7:$B$49,0))="P")+
 --(INDEX('TH_CMI GRADE 10'!$P$7:$P$49,MATCH(LEFT($A74,LEN($A74)-2),'TH_CMI GRADE 10'!$B$7:$B$49,0))="P")+
 --(INDEX('TH_CMI GRADE 10'!$V$7:$V$49,MATCH(LEFT($A74,LEN($A74)-2),'TH_CMI GRADE 10'!$B$7:$B$49,0))="P")+
 --(INDEX('TH_CMI GRADE 10'!$AB$7:$AB$49,MATCH(LEFT($A74,LEN($A74)-2),'TH_CMI GRADE 10'!$B$7:$B$49,0))="P")+
 --(INDEX('TH_CMI GRADE 10'!$AH$7:$AH$49,MATCH(LEFT($A74,LEN($A74)-2),'TH_CMI GRADE 10'!$B$7:$B$49,0))="P")+
 --(INDEX('TH_CMI GRADE 10'!$AN$7:$AN$49,MATCH(LEFT($A74,LEN($A74)-2),'TH_CMI GRADE 10'!$B$7:$B$49,0))="P"),
0)</f>
        <v>2</v>
      </c>
      <c r="D74" s="24" t="b">
        <f ca="1">IF(IF(_xlfn.XLOOKUP(LEFT(A74,LEN(A74)-2),'TH_CMI GRADE 10'!$B$7:$B$49,'TH_CMI GRADE 10'!$AT$7:$AT$49,"",0,1)=0,"",_xlfn.XLOOKUP(LEFT(A74,LEN(A74)-2),'TH_CMI GRADE 10'!$B$7:$B$49,'TH_CMI GRADE 10'!$AT$7:$AT$49,"",0,1))&lt;=TODAY(),TRUE,FALSE)</f>
        <v>1</v>
      </c>
      <c r="E74" s="25">
        <f t="shared" ca="1" si="2"/>
        <v>1</v>
      </c>
      <c r="F74" s="24" t="s">
        <v>278</v>
      </c>
      <c r="G74">
        <v>2</v>
      </c>
      <c r="H74">
        <f>IFERROR(
 --(INDEX('PW_CMI GRADE 10'!$D$7:$D$31,MATCH(LEFT($A74,LEN($A74)-2),'PW_CMI GRADE 10'!$B$7:$B$31,0))="P")+
 --(INDEX('PW_CMI GRADE 10'!$J$7:$J$31,MATCH(LEFT($A74,LEN($A74)-2),'PW_CMI GRADE 10'!$B$7:$B$31,0))="P")+
 --(INDEX('PW_CMI GRADE 10'!$P$7:$P$31,MATCH(LEFT($A74,LEN($A74)-2),'PW_CMI GRADE 10'!$B$7:$B$31,0))="P")+
 --(INDEX('PW_CMI GRADE 10'!$V$7:$V$31,MATCH(LEFT($A74,LEN($A74)-2),'PW_CMI GRADE 10'!$B$7:$B$31,0))="P")+
 --(INDEX('PW_CMI GRADE 10'!$AB$7:$AB$31,MATCH(LEFT($A74,LEN($A74)-2),'PW_CMI GRADE 10'!$B$7:$B$31,0))="P")+
 --(INDEX('PW_CMI GRADE 10'!$AH$7:$AH$31,MATCH(LEFT($A74,LEN($A74)-2),'PW_CMI GRADE 10'!$B$7:$B$31,0))="P")+
 --(INDEX('PW_CMI GRADE 10'!$AN$7:$AN$31,MATCH(LEFT($A74,LEN($A74)-2),'PW_CMI GRADE 10'!$B$7:$B$31,0))="P"),
0)</f>
        <v>0</v>
      </c>
      <c r="I74" s="24" t="b">
        <f ca="1">IF(IF(_xlfn.XLOOKUP(LEFT($A74,LEN($A74)-2),'PW_CMI GRADE 10'!$B$7:$B$31,'PW_CMI GRADE 10'!$AT$7:$AT$31,"",0,1)=0,"",_xlfn.XLOOKUP(LEFT($A74,LEN($A74)-2),'PW_CMI GRADE 10'!$B$7:$B$31,'PW_CMI GRADE 10'!$AT$7:$AT$31,"",0,1))&lt;=TODAY(),TRUE,FALSE)</f>
        <v>0</v>
      </c>
      <c r="J74" s="25" t="str">
        <f t="shared" ca="1" si="3"/>
        <v/>
      </c>
    </row>
    <row r="75" spans="1:10">
      <c r="A75" s="24" t="s">
        <v>279</v>
      </c>
      <c r="B75">
        <v>2</v>
      </c>
      <c r="C75">
        <f>IFERROR(
 --(INDEX('TH_CMI GRADE 10'!$D$7:$D$49,MATCH(LEFT($A75,LEN($A75)-2),'TH_CMI GRADE 10'!$B$7:$B$49,0))="P")+
 --(INDEX('TH_CMI GRADE 10'!$J$7:$J$49,MATCH(LEFT($A75,LEN($A75)-2),'TH_CMI GRADE 10'!$B$7:$B$49,0))="P")+
 --(INDEX('TH_CMI GRADE 10'!$P$7:$P$49,MATCH(LEFT($A75,LEN($A75)-2),'TH_CMI GRADE 10'!$B$7:$B$49,0))="P")+
 --(INDEX('TH_CMI GRADE 10'!$V$7:$V$49,MATCH(LEFT($A75,LEN($A75)-2),'TH_CMI GRADE 10'!$B$7:$B$49,0))="P")+
 --(INDEX('TH_CMI GRADE 10'!$AB$7:$AB$49,MATCH(LEFT($A75,LEN($A75)-2),'TH_CMI GRADE 10'!$B$7:$B$49,0))="P")+
 --(INDEX('TH_CMI GRADE 10'!$AH$7:$AH$49,MATCH(LEFT($A75,LEN($A75)-2),'TH_CMI GRADE 10'!$B$7:$B$49,0))="P")+
 --(INDEX('TH_CMI GRADE 10'!$AN$7:$AN$49,MATCH(LEFT($A75,LEN($A75)-2),'TH_CMI GRADE 10'!$B$7:$B$49,0))="P"),
0)</f>
        <v>2</v>
      </c>
      <c r="D75" s="24" t="b">
        <f ca="1">IF(IF(_xlfn.XLOOKUP(LEFT(A75,LEN(A75)-2),'TH_CMI GRADE 10'!$B$7:$B$49,'TH_CMI GRADE 10'!$AT$7:$AT$49,"",0,1)=0,"",_xlfn.XLOOKUP(LEFT(A75,LEN(A75)-2),'TH_CMI GRADE 10'!$B$7:$B$49,'TH_CMI GRADE 10'!$AT$7:$AT$49,"",0,1))&lt;=TODAY(),TRUE,FALSE)</f>
        <v>1</v>
      </c>
      <c r="E75" s="25">
        <f t="shared" ca="1" si="2"/>
        <v>1</v>
      </c>
      <c r="F75" s="24" t="s">
        <v>279</v>
      </c>
      <c r="G75">
        <v>2</v>
      </c>
      <c r="H75">
        <f>IFERROR(
 --(INDEX('PW_CMI GRADE 10'!$D$7:$D$31,MATCH(LEFT($A75,LEN($A75)-2),'PW_CMI GRADE 10'!$B$7:$B$31,0))="P")+
 --(INDEX('PW_CMI GRADE 10'!$J$7:$J$31,MATCH(LEFT($A75,LEN($A75)-2),'PW_CMI GRADE 10'!$B$7:$B$31,0))="P")+
 --(INDEX('PW_CMI GRADE 10'!$P$7:$P$31,MATCH(LEFT($A75,LEN($A75)-2),'PW_CMI GRADE 10'!$B$7:$B$31,0))="P")+
 --(INDEX('PW_CMI GRADE 10'!$V$7:$V$31,MATCH(LEFT($A75,LEN($A75)-2),'PW_CMI GRADE 10'!$B$7:$B$31,0))="P")+
 --(INDEX('PW_CMI GRADE 10'!$AB$7:$AB$31,MATCH(LEFT($A75,LEN($A75)-2),'PW_CMI GRADE 10'!$B$7:$B$31,0))="P")+
 --(INDEX('PW_CMI GRADE 10'!$AH$7:$AH$31,MATCH(LEFT($A75,LEN($A75)-2),'PW_CMI GRADE 10'!$B$7:$B$31,0))="P")+
 --(INDEX('PW_CMI GRADE 10'!$AN$7:$AN$31,MATCH(LEFT($A75,LEN($A75)-2),'PW_CMI GRADE 10'!$B$7:$B$31,0))="P"),
0)</f>
        <v>0</v>
      </c>
      <c r="I75" s="24" t="b">
        <f ca="1">IF(IF(_xlfn.XLOOKUP(LEFT($A75,LEN($A75)-2),'PW_CMI GRADE 10'!$B$7:$B$31,'PW_CMI GRADE 10'!$AT$7:$AT$31,"",0,1)=0,"",_xlfn.XLOOKUP(LEFT($A75,LEN($A75)-2),'PW_CMI GRADE 10'!$B$7:$B$31,'PW_CMI GRADE 10'!$AT$7:$AT$31,"",0,1))&lt;=TODAY(),TRUE,FALSE)</f>
        <v>0</v>
      </c>
      <c r="J75" s="25" t="str">
        <f t="shared" ca="1" si="3"/>
        <v/>
      </c>
    </row>
    <row r="76" spans="1:10">
      <c r="A76" s="24" t="s">
        <v>280</v>
      </c>
      <c r="B76">
        <v>2</v>
      </c>
      <c r="C76">
        <f>IFERROR(
 --(INDEX('TH_CMI GRADE 10'!$D$7:$D$49,MATCH(LEFT($A76,LEN($A76)-2),'TH_CMI GRADE 10'!$B$7:$B$49,0))="P")+
 --(INDEX('TH_CMI GRADE 10'!$J$7:$J$49,MATCH(LEFT($A76,LEN($A76)-2),'TH_CMI GRADE 10'!$B$7:$B$49,0))="P")+
 --(INDEX('TH_CMI GRADE 10'!$P$7:$P$49,MATCH(LEFT($A76,LEN($A76)-2),'TH_CMI GRADE 10'!$B$7:$B$49,0))="P")+
 --(INDEX('TH_CMI GRADE 10'!$V$7:$V$49,MATCH(LEFT($A76,LEN($A76)-2),'TH_CMI GRADE 10'!$B$7:$B$49,0))="P")+
 --(INDEX('TH_CMI GRADE 10'!$AB$7:$AB$49,MATCH(LEFT($A76,LEN($A76)-2),'TH_CMI GRADE 10'!$B$7:$B$49,0))="P")+
 --(INDEX('TH_CMI GRADE 10'!$AH$7:$AH$49,MATCH(LEFT($A76,LEN($A76)-2),'TH_CMI GRADE 10'!$B$7:$B$49,0))="P")+
 --(INDEX('TH_CMI GRADE 10'!$AN$7:$AN$49,MATCH(LEFT($A76,LEN($A76)-2),'TH_CMI GRADE 10'!$B$7:$B$49,0))="P"),
0)</f>
        <v>2</v>
      </c>
      <c r="D76" s="24" t="b">
        <f ca="1">IF(IF(_xlfn.XLOOKUP(LEFT(A76,LEN(A76)-2),'TH_CMI GRADE 10'!$B$7:$B$49,'TH_CMI GRADE 10'!$AT$7:$AT$49,"",0,1)=0,"",_xlfn.XLOOKUP(LEFT(A76,LEN(A76)-2),'TH_CMI GRADE 10'!$B$7:$B$49,'TH_CMI GRADE 10'!$AT$7:$AT$49,"",0,1))&lt;=TODAY(),TRUE,FALSE)</f>
        <v>1</v>
      </c>
      <c r="E76" s="25">
        <f t="shared" ca="1" si="2"/>
        <v>1</v>
      </c>
      <c r="F76" s="24" t="s">
        <v>280</v>
      </c>
      <c r="G76">
        <v>2</v>
      </c>
      <c r="H76">
        <f>IFERROR(
 --(INDEX('PW_CMI GRADE 10'!$D$7:$D$31,MATCH(LEFT($A76,LEN($A76)-2),'PW_CMI GRADE 10'!$B$7:$B$31,0))="P")+
 --(INDEX('PW_CMI GRADE 10'!$J$7:$J$31,MATCH(LEFT($A76,LEN($A76)-2),'PW_CMI GRADE 10'!$B$7:$B$31,0))="P")+
 --(INDEX('PW_CMI GRADE 10'!$P$7:$P$31,MATCH(LEFT($A76,LEN($A76)-2),'PW_CMI GRADE 10'!$B$7:$B$31,0))="P")+
 --(INDEX('PW_CMI GRADE 10'!$V$7:$V$31,MATCH(LEFT($A76,LEN($A76)-2),'PW_CMI GRADE 10'!$B$7:$B$31,0))="P")+
 --(INDEX('PW_CMI GRADE 10'!$AB$7:$AB$31,MATCH(LEFT($A76,LEN($A76)-2),'PW_CMI GRADE 10'!$B$7:$B$31,0))="P")+
 --(INDEX('PW_CMI GRADE 10'!$AH$7:$AH$31,MATCH(LEFT($A76,LEN($A76)-2),'PW_CMI GRADE 10'!$B$7:$B$31,0))="P")+
 --(INDEX('PW_CMI GRADE 10'!$AN$7:$AN$31,MATCH(LEFT($A76,LEN($A76)-2),'PW_CMI GRADE 10'!$B$7:$B$31,0))="P"),
0)</f>
        <v>0</v>
      </c>
      <c r="I76" s="24" t="b">
        <f ca="1">IF(IF(_xlfn.XLOOKUP(LEFT($A76,LEN($A76)-2),'PW_CMI GRADE 10'!$B$7:$B$31,'PW_CMI GRADE 10'!$AT$7:$AT$31,"",0,1)=0,"",_xlfn.XLOOKUP(LEFT($A76,LEN($A76)-2),'PW_CMI GRADE 10'!$B$7:$B$31,'PW_CMI GRADE 10'!$AT$7:$AT$31,"",0,1))&lt;=TODAY(),TRUE,FALSE)</f>
        <v>0</v>
      </c>
      <c r="J76" s="25" t="str">
        <f t="shared" ca="1" si="3"/>
        <v/>
      </c>
    </row>
    <row r="77" spans="1:10">
      <c r="A77" s="24" t="s">
        <v>281</v>
      </c>
      <c r="B77">
        <v>2</v>
      </c>
      <c r="C77">
        <f>IFERROR(
 --(INDEX('TH_CMI GRADE 10'!$D$7:$D$49,MATCH(LEFT($A77,LEN($A77)-2),'TH_CMI GRADE 10'!$B$7:$B$49,0))="P")+
 --(INDEX('TH_CMI GRADE 10'!$J$7:$J$49,MATCH(LEFT($A77,LEN($A77)-2),'TH_CMI GRADE 10'!$B$7:$B$49,0))="P")+
 --(INDEX('TH_CMI GRADE 10'!$P$7:$P$49,MATCH(LEFT($A77,LEN($A77)-2),'TH_CMI GRADE 10'!$B$7:$B$49,0))="P")+
 --(INDEX('TH_CMI GRADE 10'!$V$7:$V$49,MATCH(LEFT($A77,LEN($A77)-2),'TH_CMI GRADE 10'!$B$7:$B$49,0))="P")+
 --(INDEX('TH_CMI GRADE 10'!$AB$7:$AB$49,MATCH(LEFT($A77,LEN($A77)-2),'TH_CMI GRADE 10'!$B$7:$B$49,0))="P")+
 --(INDEX('TH_CMI GRADE 10'!$AH$7:$AH$49,MATCH(LEFT($A77,LEN($A77)-2),'TH_CMI GRADE 10'!$B$7:$B$49,0))="P")+
 --(INDEX('TH_CMI GRADE 10'!$AN$7:$AN$49,MATCH(LEFT($A77,LEN($A77)-2),'TH_CMI GRADE 10'!$B$7:$B$49,0))="P"),
0)</f>
        <v>2</v>
      </c>
      <c r="D77" s="24" t="b">
        <f ca="1">IF(IF(_xlfn.XLOOKUP(LEFT(A77,LEN(A77)-2),'TH_CMI GRADE 10'!$B$7:$B$49,'TH_CMI GRADE 10'!$AT$7:$AT$49,"",0,1)=0,"",_xlfn.XLOOKUP(LEFT(A77,LEN(A77)-2),'TH_CMI GRADE 10'!$B$7:$B$49,'TH_CMI GRADE 10'!$AT$7:$AT$49,"",0,1))&lt;=TODAY(),TRUE,FALSE)</f>
        <v>1</v>
      </c>
      <c r="E77" s="25">
        <f t="shared" ca="1" si="2"/>
        <v>1</v>
      </c>
      <c r="F77" s="24" t="s">
        <v>281</v>
      </c>
      <c r="G77">
        <v>2</v>
      </c>
      <c r="H77">
        <f>IFERROR(
 --(INDEX('PW_CMI GRADE 10'!$D$7:$D$31,MATCH(LEFT($A77,LEN($A77)-2),'PW_CMI GRADE 10'!$B$7:$B$31,0))="P")+
 --(INDEX('PW_CMI GRADE 10'!$J$7:$J$31,MATCH(LEFT($A77,LEN($A77)-2),'PW_CMI GRADE 10'!$B$7:$B$31,0))="P")+
 --(INDEX('PW_CMI GRADE 10'!$P$7:$P$31,MATCH(LEFT($A77,LEN($A77)-2),'PW_CMI GRADE 10'!$B$7:$B$31,0))="P")+
 --(INDEX('PW_CMI GRADE 10'!$V$7:$V$31,MATCH(LEFT($A77,LEN($A77)-2),'PW_CMI GRADE 10'!$B$7:$B$31,0))="P")+
 --(INDEX('PW_CMI GRADE 10'!$AB$7:$AB$31,MATCH(LEFT($A77,LEN($A77)-2),'PW_CMI GRADE 10'!$B$7:$B$31,0))="P")+
 --(INDEX('PW_CMI GRADE 10'!$AH$7:$AH$31,MATCH(LEFT($A77,LEN($A77)-2),'PW_CMI GRADE 10'!$B$7:$B$31,0))="P")+
 --(INDEX('PW_CMI GRADE 10'!$AN$7:$AN$31,MATCH(LEFT($A77,LEN($A77)-2),'PW_CMI GRADE 10'!$B$7:$B$31,0))="P"),
0)</f>
        <v>0</v>
      </c>
      <c r="I77" s="24" t="b">
        <f ca="1">IF(IF(_xlfn.XLOOKUP(LEFT($A77,LEN($A77)-2),'PW_CMI GRADE 10'!$B$7:$B$31,'PW_CMI GRADE 10'!$AT$7:$AT$31,"",0,1)=0,"",_xlfn.XLOOKUP(LEFT($A77,LEN($A77)-2),'PW_CMI GRADE 10'!$B$7:$B$31,'PW_CMI GRADE 10'!$AT$7:$AT$31,"",0,1))&lt;=TODAY(),TRUE,FALSE)</f>
        <v>0</v>
      </c>
      <c r="J77" s="25" t="str">
        <f t="shared" ca="1" si="3"/>
        <v/>
      </c>
    </row>
    <row r="78" spans="1:10">
      <c r="A78" s="24" t="s">
        <v>282</v>
      </c>
      <c r="B78">
        <v>2</v>
      </c>
      <c r="C78">
        <f>IFERROR(
 --(INDEX('TH_CMI GRADE 10'!$D$7:$D$49,MATCH(LEFT($A78,LEN($A78)-2),'TH_CMI GRADE 10'!$B$7:$B$49,0))="P")+
 --(INDEX('TH_CMI GRADE 10'!$J$7:$J$49,MATCH(LEFT($A78,LEN($A78)-2),'TH_CMI GRADE 10'!$B$7:$B$49,0))="P")+
 --(INDEX('TH_CMI GRADE 10'!$P$7:$P$49,MATCH(LEFT($A78,LEN($A78)-2),'TH_CMI GRADE 10'!$B$7:$B$49,0))="P")+
 --(INDEX('TH_CMI GRADE 10'!$V$7:$V$49,MATCH(LEFT($A78,LEN($A78)-2),'TH_CMI GRADE 10'!$B$7:$B$49,0))="P")+
 --(INDEX('TH_CMI GRADE 10'!$AB$7:$AB$49,MATCH(LEFT($A78,LEN($A78)-2),'TH_CMI GRADE 10'!$B$7:$B$49,0))="P")+
 --(INDEX('TH_CMI GRADE 10'!$AH$7:$AH$49,MATCH(LEFT($A78,LEN($A78)-2),'TH_CMI GRADE 10'!$B$7:$B$49,0))="P")+
 --(INDEX('TH_CMI GRADE 10'!$AN$7:$AN$49,MATCH(LEFT($A78,LEN($A78)-2),'TH_CMI GRADE 10'!$B$7:$B$49,0))="P"),
0)</f>
        <v>2</v>
      </c>
      <c r="D78" s="24" t="b">
        <f ca="1">IF(IF(_xlfn.XLOOKUP(LEFT(A78,LEN(A78)-2),'TH_CMI GRADE 10'!$B$7:$B$49,'TH_CMI GRADE 10'!$AT$7:$AT$49,"",0,1)=0,"",_xlfn.XLOOKUP(LEFT(A78,LEN(A78)-2),'TH_CMI GRADE 10'!$B$7:$B$49,'TH_CMI GRADE 10'!$AT$7:$AT$49,"",0,1))&lt;=TODAY(),TRUE,FALSE)</f>
        <v>1</v>
      </c>
      <c r="E78" s="25">
        <f t="shared" ca="1" si="2"/>
        <v>1</v>
      </c>
      <c r="F78" s="24" t="s">
        <v>282</v>
      </c>
      <c r="G78">
        <v>2</v>
      </c>
      <c r="H78">
        <f>IFERROR(
 --(INDEX('PW_CMI GRADE 10'!$D$7:$D$31,MATCH(LEFT($A78,LEN($A78)-2),'PW_CMI GRADE 10'!$B$7:$B$31,0))="P")+
 --(INDEX('PW_CMI GRADE 10'!$J$7:$J$31,MATCH(LEFT($A78,LEN($A78)-2),'PW_CMI GRADE 10'!$B$7:$B$31,0))="P")+
 --(INDEX('PW_CMI GRADE 10'!$P$7:$P$31,MATCH(LEFT($A78,LEN($A78)-2),'PW_CMI GRADE 10'!$B$7:$B$31,0))="P")+
 --(INDEX('PW_CMI GRADE 10'!$V$7:$V$31,MATCH(LEFT($A78,LEN($A78)-2),'PW_CMI GRADE 10'!$B$7:$B$31,0))="P")+
 --(INDEX('PW_CMI GRADE 10'!$AB$7:$AB$31,MATCH(LEFT($A78,LEN($A78)-2),'PW_CMI GRADE 10'!$B$7:$B$31,0))="P")+
 --(INDEX('PW_CMI GRADE 10'!$AH$7:$AH$31,MATCH(LEFT($A78,LEN($A78)-2),'PW_CMI GRADE 10'!$B$7:$B$31,0))="P")+
 --(INDEX('PW_CMI GRADE 10'!$AN$7:$AN$31,MATCH(LEFT($A78,LEN($A78)-2),'PW_CMI GRADE 10'!$B$7:$B$31,0))="P"),
0)</f>
        <v>0</v>
      </c>
      <c r="I78" s="24" t="b">
        <f ca="1">IF(IF(_xlfn.XLOOKUP(LEFT($A78,LEN($A78)-2),'PW_CMI GRADE 10'!$B$7:$B$31,'PW_CMI GRADE 10'!$AT$7:$AT$31,"",0,1)=0,"",_xlfn.XLOOKUP(LEFT($A78,LEN($A78)-2),'PW_CMI GRADE 10'!$B$7:$B$31,'PW_CMI GRADE 10'!$AT$7:$AT$31,"",0,1))&lt;=TODAY(),TRUE,FALSE)</f>
        <v>0</v>
      </c>
      <c r="J78" s="25" t="str">
        <f t="shared" ca="1" si="3"/>
        <v/>
      </c>
    </row>
    <row r="79" spans="1:10">
      <c r="A79" s="24" t="s">
        <v>283</v>
      </c>
      <c r="B79">
        <v>2</v>
      </c>
      <c r="C79">
        <f>IFERROR(
 --(INDEX('TH_CMI GRADE 10'!$D$7:$D$49,MATCH(LEFT($A79,LEN($A79)-2),'TH_CMI GRADE 10'!$B$7:$B$49,0))="P")+
 --(INDEX('TH_CMI GRADE 10'!$J$7:$J$49,MATCH(LEFT($A79,LEN($A79)-2),'TH_CMI GRADE 10'!$B$7:$B$49,0))="P")+
 --(INDEX('TH_CMI GRADE 10'!$P$7:$P$49,MATCH(LEFT($A79,LEN($A79)-2),'TH_CMI GRADE 10'!$B$7:$B$49,0))="P")+
 --(INDEX('TH_CMI GRADE 10'!$V$7:$V$49,MATCH(LEFT($A79,LEN($A79)-2),'TH_CMI GRADE 10'!$B$7:$B$49,0))="P")+
 --(INDEX('TH_CMI GRADE 10'!$AB$7:$AB$49,MATCH(LEFT($A79,LEN($A79)-2),'TH_CMI GRADE 10'!$B$7:$B$49,0))="P")+
 --(INDEX('TH_CMI GRADE 10'!$AH$7:$AH$49,MATCH(LEFT($A79,LEN($A79)-2),'TH_CMI GRADE 10'!$B$7:$B$49,0))="P")+
 --(INDEX('TH_CMI GRADE 10'!$AN$7:$AN$49,MATCH(LEFT($A79,LEN($A79)-2),'TH_CMI GRADE 10'!$B$7:$B$49,0))="P"),
0)</f>
        <v>2</v>
      </c>
      <c r="D79" s="24" t="b">
        <f ca="1">IF(IF(_xlfn.XLOOKUP(LEFT(A79,LEN(A79)-2),'TH_CMI GRADE 10'!$B$7:$B$49,'TH_CMI GRADE 10'!$AT$7:$AT$49,"",0,1)=0,"",_xlfn.XLOOKUP(LEFT(A79,LEN(A79)-2),'TH_CMI GRADE 10'!$B$7:$B$49,'TH_CMI GRADE 10'!$AT$7:$AT$49,"",0,1))&lt;=TODAY(),TRUE,FALSE)</f>
        <v>1</v>
      </c>
      <c r="E79" s="25">
        <f t="shared" ca="1" si="2"/>
        <v>1</v>
      </c>
      <c r="F79" s="24" t="s">
        <v>283</v>
      </c>
      <c r="G79">
        <v>2</v>
      </c>
      <c r="H79">
        <f>IFERROR(
 --(INDEX('PW_CMI GRADE 10'!$D$7:$D$31,MATCH(LEFT($A79,LEN($A79)-2),'PW_CMI GRADE 10'!$B$7:$B$31,0))="P")+
 --(INDEX('PW_CMI GRADE 10'!$J$7:$J$31,MATCH(LEFT($A79,LEN($A79)-2),'PW_CMI GRADE 10'!$B$7:$B$31,0))="P")+
 --(INDEX('PW_CMI GRADE 10'!$P$7:$P$31,MATCH(LEFT($A79,LEN($A79)-2),'PW_CMI GRADE 10'!$B$7:$B$31,0))="P")+
 --(INDEX('PW_CMI GRADE 10'!$V$7:$V$31,MATCH(LEFT($A79,LEN($A79)-2),'PW_CMI GRADE 10'!$B$7:$B$31,0))="P")+
 --(INDEX('PW_CMI GRADE 10'!$AB$7:$AB$31,MATCH(LEFT($A79,LEN($A79)-2),'PW_CMI GRADE 10'!$B$7:$B$31,0))="P")+
 --(INDEX('PW_CMI GRADE 10'!$AH$7:$AH$31,MATCH(LEFT($A79,LEN($A79)-2),'PW_CMI GRADE 10'!$B$7:$B$31,0))="P")+
 --(INDEX('PW_CMI GRADE 10'!$AN$7:$AN$31,MATCH(LEFT($A79,LEN($A79)-2),'PW_CMI GRADE 10'!$B$7:$B$31,0))="P"),
0)</f>
        <v>0</v>
      </c>
      <c r="I79" s="24" t="b">
        <f ca="1">IF(IF(_xlfn.XLOOKUP(LEFT($A79,LEN($A79)-2),'PW_CMI GRADE 10'!$B$7:$B$31,'PW_CMI GRADE 10'!$AT$7:$AT$31,"",0,1)=0,"",_xlfn.XLOOKUP(LEFT($A79,LEN($A79)-2),'PW_CMI GRADE 10'!$B$7:$B$31,'PW_CMI GRADE 10'!$AT$7:$AT$31,"",0,1))&lt;=TODAY(),TRUE,FALSE)</f>
        <v>0</v>
      </c>
      <c r="J79" s="25" t="str">
        <f t="shared" ca="1" si="3"/>
        <v/>
      </c>
    </row>
    <row r="80" spans="1:10">
      <c r="A80" s="24" t="s">
        <v>284</v>
      </c>
      <c r="B80">
        <v>2</v>
      </c>
      <c r="C80">
        <f>IFERROR(
 --(INDEX('TH_CMI GRADE 10'!$D$7:$D$49,MATCH(LEFT($A80,LEN($A80)-2),'TH_CMI GRADE 10'!$B$7:$B$49,0))="P")+
 --(INDEX('TH_CMI GRADE 10'!$J$7:$J$49,MATCH(LEFT($A80,LEN($A80)-2),'TH_CMI GRADE 10'!$B$7:$B$49,0))="P")+
 --(INDEX('TH_CMI GRADE 10'!$P$7:$P$49,MATCH(LEFT($A80,LEN($A80)-2),'TH_CMI GRADE 10'!$B$7:$B$49,0))="P")+
 --(INDEX('TH_CMI GRADE 10'!$V$7:$V$49,MATCH(LEFT($A80,LEN($A80)-2),'TH_CMI GRADE 10'!$B$7:$B$49,0))="P")+
 --(INDEX('TH_CMI GRADE 10'!$AB$7:$AB$49,MATCH(LEFT($A80,LEN($A80)-2),'TH_CMI GRADE 10'!$B$7:$B$49,0))="P")+
 --(INDEX('TH_CMI GRADE 10'!$AH$7:$AH$49,MATCH(LEFT($A80,LEN($A80)-2),'TH_CMI GRADE 10'!$B$7:$B$49,0))="P")+
 --(INDEX('TH_CMI GRADE 10'!$AN$7:$AN$49,MATCH(LEFT($A80,LEN($A80)-2),'TH_CMI GRADE 10'!$B$7:$B$49,0))="P"),
0)</f>
        <v>2</v>
      </c>
      <c r="D80" s="24" t="b">
        <f ca="1">IF(IF(_xlfn.XLOOKUP(LEFT(A80,LEN(A80)-2),'TH_CMI GRADE 10'!$B$7:$B$49,'TH_CMI GRADE 10'!$AT$7:$AT$49,"",0,1)=0,"",_xlfn.XLOOKUP(LEFT(A80,LEN(A80)-2),'TH_CMI GRADE 10'!$B$7:$B$49,'TH_CMI GRADE 10'!$AT$7:$AT$49,"",0,1))&lt;=TODAY(),TRUE,FALSE)</f>
        <v>1</v>
      </c>
      <c r="E80" s="25">
        <f t="shared" ca="1" si="2"/>
        <v>1</v>
      </c>
      <c r="F80" s="24" t="s">
        <v>284</v>
      </c>
      <c r="G80">
        <v>2</v>
      </c>
      <c r="H80">
        <f>IFERROR(
 --(INDEX('PW_CMI GRADE 10'!$D$7:$D$31,MATCH(LEFT($A80,LEN($A80)-2),'PW_CMI GRADE 10'!$B$7:$B$31,0))="P")+
 --(INDEX('PW_CMI GRADE 10'!$J$7:$J$31,MATCH(LEFT($A80,LEN($A80)-2),'PW_CMI GRADE 10'!$B$7:$B$31,0))="P")+
 --(INDEX('PW_CMI GRADE 10'!$P$7:$P$31,MATCH(LEFT($A80,LEN($A80)-2),'PW_CMI GRADE 10'!$B$7:$B$31,0))="P")+
 --(INDEX('PW_CMI GRADE 10'!$V$7:$V$31,MATCH(LEFT($A80,LEN($A80)-2),'PW_CMI GRADE 10'!$B$7:$B$31,0))="P")+
 --(INDEX('PW_CMI GRADE 10'!$AB$7:$AB$31,MATCH(LEFT($A80,LEN($A80)-2),'PW_CMI GRADE 10'!$B$7:$B$31,0))="P")+
 --(INDEX('PW_CMI GRADE 10'!$AH$7:$AH$31,MATCH(LEFT($A80,LEN($A80)-2),'PW_CMI GRADE 10'!$B$7:$B$31,0))="P")+
 --(INDEX('PW_CMI GRADE 10'!$AN$7:$AN$31,MATCH(LEFT($A80,LEN($A80)-2),'PW_CMI GRADE 10'!$B$7:$B$31,0))="P"),
0)</f>
        <v>0</v>
      </c>
      <c r="I80" s="24" t="b">
        <f ca="1">IF(IF(_xlfn.XLOOKUP(LEFT($A80,LEN($A80)-2),'PW_CMI GRADE 10'!$B$7:$B$31,'PW_CMI GRADE 10'!$AT$7:$AT$31,"",0,1)=0,"",_xlfn.XLOOKUP(LEFT($A80,LEN($A80)-2),'PW_CMI GRADE 10'!$B$7:$B$31,'PW_CMI GRADE 10'!$AT$7:$AT$31,"",0,1))&lt;=TODAY(),TRUE,FALSE)</f>
        <v>0</v>
      </c>
      <c r="J80" s="25" t="str">
        <f t="shared" ca="1" si="3"/>
        <v/>
      </c>
    </row>
    <row r="81" spans="1:11">
      <c r="A81" s="24" t="s">
        <v>285</v>
      </c>
      <c r="B81">
        <v>2</v>
      </c>
      <c r="C81">
        <f>IFERROR(
 --(INDEX('TH_CMI GRADE 10'!$D$7:$D$49,MATCH(LEFT($A81,LEN($A81)-2),'TH_CMI GRADE 10'!$B$7:$B$49,0))="P")+
 --(INDEX('TH_CMI GRADE 10'!$J$7:$J$49,MATCH(LEFT($A81,LEN($A81)-2),'TH_CMI GRADE 10'!$B$7:$B$49,0))="P")+
 --(INDEX('TH_CMI GRADE 10'!$P$7:$P$49,MATCH(LEFT($A81,LEN($A81)-2),'TH_CMI GRADE 10'!$B$7:$B$49,0))="P")+
 --(INDEX('TH_CMI GRADE 10'!$V$7:$V$49,MATCH(LEFT($A81,LEN($A81)-2),'TH_CMI GRADE 10'!$B$7:$B$49,0))="P")+
 --(INDEX('TH_CMI GRADE 10'!$AB$7:$AB$49,MATCH(LEFT($A81,LEN($A81)-2),'TH_CMI GRADE 10'!$B$7:$B$49,0))="P")+
 --(INDEX('TH_CMI GRADE 10'!$AH$7:$AH$49,MATCH(LEFT($A81,LEN($A81)-2),'TH_CMI GRADE 10'!$B$7:$B$49,0))="P")+
 --(INDEX('TH_CMI GRADE 10'!$AN$7:$AN$49,MATCH(LEFT($A81,LEN($A81)-2),'TH_CMI GRADE 10'!$B$7:$B$49,0))="P"),
0)</f>
        <v>2</v>
      </c>
      <c r="D81" s="24" t="b">
        <f ca="1">IF(IF(_xlfn.XLOOKUP(LEFT(A81,LEN(A81)-2),'TH_CMI GRADE 10'!$B$7:$B$49,'TH_CMI GRADE 10'!$AT$7:$AT$49,"",0,1)=0,"",_xlfn.XLOOKUP(LEFT(A81,LEN(A81)-2),'TH_CMI GRADE 10'!$B$7:$B$49,'TH_CMI GRADE 10'!$AT$7:$AT$49,"",0,1))&lt;=TODAY(),TRUE,FALSE)</f>
        <v>1</v>
      </c>
      <c r="E81" s="25">
        <f t="shared" ca="1" si="2"/>
        <v>1</v>
      </c>
      <c r="F81" s="24" t="s">
        <v>285</v>
      </c>
      <c r="G81">
        <v>2</v>
      </c>
      <c r="H81">
        <f>IFERROR(
 --(INDEX('PW_CMI GRADE 10'!$D$7:$D$31,MATCH(LEFT($A81,LEN($A81)-2),'PW_CMI GRADE 10'!$B$7:$B$31,0))="P")+
 --(INDEX('PW_CMI GRADE 10'!$J$7:$J$31,MATCH(LEFT($A81,LEN($A81)-2),'PW_CMI GRADE 10'!$B$7:$B$31,0))="P")+
 --(INDEX('PW_CMI GRADE 10'!$P$7:$P$31,MATCH(LEFT($A81,LEN($A81)-2),'PW_CMI GRADE 10'!$B$7:$B$31,0))="P")+
 --(INDEX('PW_CMI GRADE 10'!$V$7:$V$31,MATCH(LEFT($A81,LEN($A81)-2),'PW_CMI GRADE 10'!$B$7:$B$31,0))="P")+
 --(INDEX('PW_CMI GRADE 10'!$AB$7:$AB$31,MATCH(LEFT($A81,LEN($A81)-2),'PW_CMI GRADE 10'!$B$7:$B$31,0))="P")+
 --(INDEX('PW_CMI GRADE 10'!$AH$7:$AH$31,MATCH(LEFT($A81,LEN($A81)-2),'PW_CMI GRADE 10'!$B$7:$B$31,0))="P")+
 --(INDEX('PW_CMI GRADE 10'!$AN$7:$AN$31,MATCH(LEFT($A81,LEN($A81)-2),'PW_CMI GRADE 10'!$B$7:$B$31,0))="P"),
0)</f>
        <v>0</v>
      </c>
      <c r="I81" s="24" t="b">
        <f ca="1">IF(IF(_xlfn.XLOOKUP(LEFT($A81,LEN($A81)-2),'PW_CMI GRADE 10'!$B$7:$B$31,'PW_CMI GRADE 10'!$AT$7:$AT$31,"",0,1)=0,"",_xlfn.XLOOKUP(LEFT($A81,LEN($A81)-2),'PW_CMI GRADE 10'!$B$7:$B$31,'PW_CMI GRADE 10'!$AT$7:$AT$31,"",0,1))&lt;=TODAY(),TRUE,FALSE)</f>
        <v>0</v>
      </c>
      <c r="J81" s="25" t="str">
        <f t="shared" ca="1" si="3"/>
        <v/>
      </c>
    </row>
    <row r="82" spans="1:11">
      <c r="A82" s="24" t="s">
        <v>286</v>
      </c>
      <c r="B82">
        <v>2</v>
      </c>
      <c r="C82">
        <f>IFERROR(
 --(INDEX('TH_CMI GRADE 10'!$D$7:$D$49,MATCH(LEFT($A82,LEN($A82)-2),'TH_CMI GRADE 10'!$B$7:$B$49,0))="P")+
 --(INDEX('TH_CMI GRADE 10'!$J$7:$J$49,MATCH(LEFT($A82,LEN($A82)-2),'TH_CMI GRADE 10'!$B$7:$B$49,0))="P")+
 --(INDEX('TH_CMI GRADE 10'!$P$7:$P$49,MATCH(LEFT($A82,LEN($A82)-2),'TH_CMI GRADE 10'!$B$7:$B$49,0))="P")+
 --(INDEX('TH_CMI GRADE 10'!$V$7:$V$49,MATCH(LEFT($A82,LEN($A82)-2),'TH_CMI GRADE 10'!$B$7:$B$49,0))="P")+
 --(INDEX('TH_CMI GRADE 10'!$AB$7:$AB$49,MATCH(LEFT($A82,LEN($A82)-2),'TH_CMI GRADE 10'!$B$7:$B$49,0))="P")+
 --(INDEX('TH_CMI GRADE 10'!$AH$7:$AH$49,MATCH(LEFT($A82,LEN($A82)-2),'TH_CMI GRADE 10'!$B$7:$B$49,0))="P")+
 --(INDEX('TH_CMI GRADE 10'!$AN$7:$AN$49,MATCH(LEFT($A82,LEN($A82)-2),'TH_CMI GRADE 10'!$B$7:$B$49,0))="P"),
0)</f>
        <v>3</v>
      </c>
      <c r="D82" s="24" t="b">
        <f ca="1">IF(IF(_xlfn.XLOOKUP(LEFT(A82,LEN(A82)-2),'TH_CMI GRADE 10'!$B$7:$B$49,'TH_CMI GRADE 10'!$AT$7:$AT$49,"",0,1)=0,"",_xlfn.XLOOKUP(LEFT(A82,LEN(A82)-2),'TH_CMI GRADE 10'!$B$7:$B$49,'TH_CMI GRADE 10'!$AT$7:$AT$49,"",0,1))&lt;=TODAY(),TRUE,FALSE)</f>
        <v>1</v>
      </c>
      <c r="E82" s="25">
        <f t="shared" ca="1" si="2"/>
        <v>1</v>
      </c>
      <c r="F82" s="24" t="s">
        <v>286</v>
      </c>
      <c r="G82">
        <v>2</v>
      </c>
      <c r="H82">
        <f>IFERROR(
 --(INDEX('PW_CMI GRADE 10'!$D$7:$D$31,MATCH(LEFT($A82,LEN($A82)-2),'PW_CMI GRADE 10'!$B$7:$B$31,0))="P")+
 --(INDEX('PW_CMI GRADE 10'!$J$7:$J$31,MATCH(LEFT($A82,LEN($A82)-2),'PW_CMI GRADE 10'!$B$7:$B$31,0))="P")+
 --(INDEX('PW_CMI GRADE 10'!$P$7:$P$31,MATCH(LEFT($A82,LEN($A82)-2),'PW_CMI GRADE 10'!$B$7:$B$31,0))="P")+
 --(INDEX('PW_CMI GRADE 10'!$V$7:$V$31,MATCH(LEFT($A82,LEN($A82)-2),'PW_CMI GRADE 10'!$B$7:$B$31,0))="P")+
 --(INDEX('PW_CMI GRADE 10'!$AB$7:$AB$31,MATCH(LEFT($A82,LEN($A82)-2),'PW_CMI GRADE 10'!$B$7:$B$31,0))="P")+
 --(INDEX('PW_CMI GRADE 10'!$AH$7:$AH$31,MATCH(LEFT($A82,LEN($A82)-2),'PW_CMI GRADE 10'!$B$7:$B$31,0))="P")+
 --(INDEX('PW_CMI GRADE 10'!$AN$7:$AN$31,MATCH(LEFT($A82,LEN($A82)-2),'PW_CMI GRADE 10'!$B$7:$B$31,0))="P"),
0)</f>
        <v>2</v>
      </c>
      <c r="I82" s="24" t="b">
        <f ca="1">IF(IF(_xlfn.XLOOKUP(LEFT($A82,LEN($A82)-2),'PW_CMI GRADE 10'!$B$7:$B$31,'PW_CMI GRADE 10'!$AT$7:$AT$31,"",0,1)=0,"",_xlfn.XLOOKUP(LEFT($A82,LEN($A82)-2),'PW_CMI GRADE 10'!$B$7:$B$31,'PW_CMI GRADE 10'!$AT$7:$AT$31,"",0,1))&lt;=TODAY(),TRUE,FALSE)</f>
        <v>1</v>
      </c>
      <c r="J82" s="25">
        <f t="shared" ca="1" si="3"/>
        <v>1</v>
      </c>
    </row>
    <row r="83" spans="1:11">
      <c r="A83" s="24" t="s">
        <v>287</v>
      </c>
      <c r="B83">
        <v>2</v>
      </c>
      <c r="C83">
        <f>IFERROR(
 --(INDEX('TH_CMI GRADE 10'!$D$7:$D$49,MATCH(LEFT($A83,LEN($A83)-2),'TH_CMI GRADE 10'!$B$7:$B$49,0))="P")+
 --(INDEX('TH_CMI GRADE 10'!$J$7:$J$49,MATCH(LEFT($A83,LEN($A83)-2),'TH_CMI GRADE 10'!$B$7:$B$49,0))="P")+
 --(INDEX('TH_CMI GRADE 10'!$P$7:$P$49,MATCH(LEFT($A83,LEN($A83)-2),'TH_CMI GRADE 10'!$B$7:$B$49,0))="P")+
 --(INDEX('TH_CMI GRADE 10'!$V$7:$V$49,MATCH(LEFT($A83,LEN($A83)-2),'TH_CMI GRADE 10'!$B$7:$B$49,0))="P")+
 --(INDEX('TH_CMI GRADE 10'!$AB$7:$AB$49,MATCH(LEFT($A83,LEN($A83)-2),'TH_CMI GRADE 10'!$B$7:$B$49,0))="P")+
 --(INDEX('TH_CMI GRADE 10'!$AH$7:$AH$49,MATCH(LEFT($A83,LEN($A83)-2),'TH_CMI GRADE 10'!$B$7:$B$49,0))="P")+
 --(INDEX('TH_CMI GRADE 10'!$AN$7:$AN$49,MATCH(LEFT($A83,LEN($A83)-2),'TH_CMI GRADE 10'!$B$7:$B$49,0))="P"),
0)</f>
        <v>3</v>
      </c>
      <c r="D83" s="24" t="b">
        <f ca="1">IF(IF(_xlfn.XLOOKUP(LEFT(A83,LEN(A83)-2),'TH_CMI GRADE 10'!$B$7:$B$49,'TH_CMI GRADE 10'!$AT$7:$AT$49,"",0,1)=0,"",_xlfn.XLOOKUP(LEFT(A83,LEN(A83)-2),'TH_CMI GRADE 10'!$B$7:$B$49,'TH_CMI GRADE 10'!$AT$7:$AT$49,"",0,1))&lt;=TODAY(),TRUE,FALSE)</f>
        <v>1</v>
      </c>
      <c r="E83" s="25">
        <f t="shared" ca="1" si="2"/>
        <v>1</v>
      </c>
      <c r="F83" s="24" t="s">
        <v>287</v>
      </c>
      <c r="G83">
        <v>2</v>
      </c>
      <c r="H83">
        <f>IFERROR(
 --(INDEX('PW_CMI GRADE 10'!$D$7:$D$31,MATCH(LEFT($A83,LEN($A83)-2),'PW_CMI GRADE 10'!$B$7:$B$31,0))="P")+
 --(INDEX('PW_CMI GRADE 10'!$J$7:$J$31,MATCH(LEFT($A83,LEN($A83)-2),'PW_CMI GRADE 10'!$B$7:$B$31,0))="P")+
 --(INDEX('PW_CMI GRADE 10'!$P$7:$P$31,MATCH(LEFT($A83,LEN($A83)-2),'PW_CMI GRADE 10'!$B$7:$B$31,0))="P")+
 --(INDEX('PW_CMI GRADE 10'!$V$7:$V$31,MATCH(LEFT($A83,LEN($A83)-2),'PW_CMI GRADE 10'!$B$7:$B$31,0))="P")+
 --(INDEX('PW_CMI GRADE 10'!$AB$7:$AB$31,MATCH(LEFT($A83,LEN($A83)-2),'PW_CMI GRADE 10'!$B$7:$B$31,0))="P")+
 --(INDEX('PW_CMI GRADE 10'!$AH$7:$AH$31,MATCH(LEFT($A83,LEN($A83)-2),'PW_CMI GRADE 10'!$B$7:$B$31,0))="P")+
 --(INDEX('PW_CMI GRADE 10'!$AN$7:$AN$31,MATCH(LEFT($A83,LEN($A83)-2),'PW_CMI GRADE 10'!$B$7:$B$31,0))="P"),
0)</f>
        <v>0</v>
      </c>
      <c r="I83" s="24" t="b">
        <f ca="1">IF(IF(_xlfn.XLOOKUP(LEFT($A83,LEN($A83)-2),'PW_CMI GRADE 10'!$B$7:$B$31,'PW_CMI GRADE 10'!$AT$7:$AT$31,"",0,1)=0,"",_xlfn.XLOOKUP(LEFT($A83,LEN($A83)-2),'PW_CMI GRADE 10'!$B$7:$B$31,'PW_CMI GRADE 10'!$AT$7:$AT$31,"",0,1))&lt;=TODAY(),TRUE,FALSE)</f>
        <v>0</v>
      </c>
      <c r="J83" s="25" t="str">
        <f t="shared" ca="1" si="3"/>
        <v/>
      </c>
    </row>
    <row r="84" spans="1:11">
      <c r="A84" s="24" t="s">
        <v>288</v>
      </c>
      <c r="B84">
        <v>2</v>
      </c>
      <c r="C84">
        <f>IFERROR(
 --(INDEX('TH_CMI GRADE 10'!$D$7:$D$49,MATCH(LEFT($A84,LEN($A84)-2),'TH_CMI GRADE 10'!$B$7:$B$49,0))="P")+
 --(INDEX('TH_CMI GRADE 10'!$J$7:$J$49,MATCH(LEFT($A84,LEN($A84)-2),'TH_CMI GRADE 10'!$B$7:$B$49,0))="P")+
 --(INDEX('TH_CMI GRADE 10'!$P$7:$P$49,MATCH(LEFT($A84,LEN($A84)-2),'TH_CMI GRADE 10'!$B$7:$B$49,0))="P")+
 --(INDEX('TH_CMI GRADE 10'!$V$7:$V$49,MATCH(LEFT($A84,LEN($A84)-2),'TH_CMI GRADE 10'!$B$7:$B$49,0))="P")+
 --(INDEX('TH_CMI GRADE 10'!$AB$7:$AB$49,MATCH(LEFT($A84,LEN($A84)-2),'TH_CMI GRADE 10'!$B$7:$B$49,0))="P")+
 --(INDEX('TH_CMI GRADE 10'!$AH$7:$AH$49,MATCH(LEFT($A84,LEN($A84)-2),'TH_CMI GRADE 10'!$B$7:$B$49,0))="P")+
 --(INDEX('TH_CMI GRADE 10'!$AN$7:$AN$49,MATCH(LEFT($A84,LEN($A84)-2),'TH_CMI GRADE 10'!$B$7:$B$49,0))="P"),
0)</f>
        <v>1</v>
      </c>
      <c r="D84" s="24" t="b">
        <f ca="1">IF(IF(_xlfn.XLOOKUP(LEFT(A84,LEN(A84)-2),'TH_CMI GRADE 10'!$B$7:$B$49,'TH_CMI GRADE 10'!$AT$7:$AT$49,"",0,1)=0,"",_xlfn.XLOOKUP(LEFT(A84,LEN(A84)-2),'TH_CMI GRADE 10'!$B$7:$B$49,'TH_CMI GRADE 10'!$AT$7:$AT$49,"",0,1))&lt;=TODAY(),TRUE,FALSE)</f>
        <v>1</v>
      </c>
      <c r="E84" s="25">
        <f t="shared" ca="1" si="2"/>
        <v>0.5</v>
      </c>
      <c r="F84" s="24" t="s">
        <v>288</v>
      </c>
      <c r="G84">
        <v>2</v>
      </c>
      <c r="H84">
        <f>IFERROR(
 --(INDEX('PW_CMI GRADE 10'!$D$7:$D$31,MATCH(LEFT($A84,LEN($A84)-2),'PW_CMI GRADE 10'!$B$7:$B$31,0))="P")+
 --(INDEX('PW_CMI GRADE 10'!$J$7:$J$31,MATCH(LEFT($A84,LEN($A84)-2),'PW_CMI GRADE 10'!$B$7:$B$31,0))="P")+
 --(INDEX('PW_CMI GRADE 10'!$P$7:$P$31,MATCH(LEFT($A84,LEN($A84)-2),'PW_CMI GRADE 10'!$B$7:$B$31,0))="P")+
 --(INDEX('PW_CMI GRADE 10'!$V$7:$V$31,MATCH(LEFT($A84,LEN($A84)-2),'PW_CMI GRADE 10'!$B$7:$B$31,0))="P")+
 --(INDEX('PW_CMI GRADE 10'!$AB$7:$AB$31,MATCH(LEFT($A84,LEN($A84)-2),'PW_CMI GRADE 10'!$B$7:$B$31,0))="P")+
 --(INDEX('PW_CMI GRADE 10'!$AH$7:$AH$31,MATCH(LEFT($A84,LEN($A84)-2),'PW_CMI GRADE 10'!$B$7:$B$31,0))="P")+
 --(INDEX('PW_CMI GRADE 10'!$AN$7:$AN$31,MATCH(LEFT($A84,LEN($A84)-2),'PW_CMI GRADE 10'!$B$7:$B$31,0))="P"),
0)</f>
        <v>0</v>
      </c>
      <c r="I84" s="24" t="b">
        <f ca="1">IF(IF(_xlfn.XLOOKUP(LEFT($A84,LEN($A84)-2),'PW_CMI GRADE 10'!$B$7:$B$31,'PW_CMI GRADE 10'!$AT$7:$AT$31,"",0,1)=0,"",_xlfn.XLOOKUP(LEFT($A84,LEN($A84)-2),'PW_CMI GRADE 10'!$B$7:$B$31,'PW_CMI GRADE 10'!$AT$7:$AT$31,"",0,1))&lt;=TODAY(),TRUE,FALSE)</f>
        <v>0</v>
      </c>
      <c r="J84" s="25" t="str">
        <f t="shared" ca="1" si="3"/>
        <v/>
      </c>
    </row>
    <row r="85" spans="1:11">
      <c r="A85" s="24" t="s">
        <v>289</v>
      </c>
      <c r="B85">
        <v>2</v>
      </c>
      <c r="C85">
        <f>IFERROR(
 --(INDEX('TH_CMI GRADE 10'!$D$7:$D$49,MATCH(LEFT($A85,LEN($A85)-2),'TH_CMI GRADE 10'!$B$7:$B$49,0))="P")+
 --(INDEX('TH_CMI GRADE 10'!$J$7:$J$49,MATCH(LEFT($A85,LEN($A85)-2),'TH_CMI GRADE 10'!$B$7:$B$49,0))="P")+
 --(INDEX('TH_CMI GRADE 10'!$P$7:$P$49,MATCH(LEFT($A85,LEN($A85)-2),'TH_CMI GRADE 10'!$B$7:$B$49,0))="P")+
 --(INDEX('TH_CMI GRADE 10'!$V$7:$V$49,MATCH(LEFT($A85,LEN($A85)-2),'TH_CMI GRADE 10'!$B$7:$B$49,0))="P")+
 --(INDEX('TH_CMI GRADE 10'!$AB$7:$AB$49,MATCH(LEFT($A85,LEN($A85)-2),'TH_CMI GRADE 10'!$B$7:$B$49,0))="P")+
 --(INDEX('TH_CMI GRADE 10'!$AH$7:$AH$49,MATCH(LEFT($A85,LEN($A85)-2),'TH_CMI GRADE 10'!$B$7:$B$49,0))="P")+
 --(INDEX('TH_CMI GRADE 10'!$AN$7:$AN$49,MATCH(LEFT($A85,LEN($A85)-2),'TH_CMI GRADE 10'!$B$7:$B$49,0))="P"),
0)</f>
        <v>3</v>
      </c>
      <c r="D85" s="24" t="b">
        <f ca="1">IF(IF(_xlfn.XLOOKUP(LEFT(A85,LEN(A85)-2),'TH_CMI GRADE 10'!$B$7:$B$49,'TH_CMI GRADE 10'!$AT$7:$AT$49,"",0,1)=0,"",_xlfn.XLOOKUP(LEFT(A85,LEN(A85)-2),'TH_CMI GRADE 10'!$B$7:$B$49,'TH_CMI GRADE 10'!$AT$7:$AT$49,"",0,1))&lt;=TODAY(),TRUE,FALSE)</f>
        <v>1</v>
      </c>
      <c r="E85" s="25">
        <f t="shared" ca="1" si="2"/>
        <v>1</v>
      </c>
      <c r="F85" s="24" t="s">
        <v>289</v>
      </c>
      <c r="G85">
        <v>2</v>
      </c>
      <c r="H85">
        <f>IFERROR(
 --(INDEX('PW_CMI GRADE 10'!$D$7:$D$31,MATCH(LEFT($A85,LEN($A85)-2),'PW_CMI GRADE 10'!$B$7:$B$31,0))="P")+
 --(INDEX('PW_CMI GRADE 10'!$J$7:$J$31,MATCH(LEFT($A85,LEN($A85)-2),'PW_CMI GRADE 10'!$B$7:$B$31,0))="P")+
 --(INDEX('PW_CMI GRADE 10'!$P$7:$P$31,MATCH(LEFT($A85,LEN($A85)-2),'PW_CMI GRADE 10'!$B$7:$B$31,0))="P")+
 --(INDEX('PW_CMI GRADE 10'!$V$7:$V$31,MATCH(LEFT($A85,LEN($A85)-2),'PW_CMI GRADE 10'!$B$7:$B$31,0))="P")+
 --(INDEX('PW_CMI GRADE 10'!$AB$7:$AB$31,MATCH(LEFT($A85,LEN($A85)-2),'PW_CMI GRADE 10'!$B$7:$B$31,0))="P")+
 --(INDEX('PW_CMI GRADE 10'!$AH$7:$AH$31,MATCH(LEFT($A85,LEN($A85)-2),'PW_CMI GRADE 10'!$B$7:$B$31,0))="P")+
 --(INDEX('PW_CMI GRADE 10'!$AN$7:$AN$31,MATCH(LEFT($A85,LEN($A85)-2),'PW_CMI GRADE 10'!$B$7:$B$31,0))="P"),
0)</f>
        <v>0</v>
      </c>
      <c r="I85" s="24" t="b">
        <f ca="1">IF(IF(_xlfn.XLOOKUP(LEFT($A85,LEN($A85)-2),'PW_CMI GRADE 10'!$B$7:$B$31,'PW_CMI GRADE 10'!$AT$7:$AT$31,"",0,1)=0,"",_xlfn.XLOOKUP(LEFT($A85,LEN($A85)-2),'PW_CMI GRADE 10'!$B$7:$B$31,'PW_CMI GRADE 10'!$AT$7:$AT$31,"",0,1))&lt;=TODAY(),TRUE,FALSE)</f>
        <v>0</v>
      </c>
      <c r="J85" s="25" t="str">
        <f t="shared" ca="1" si="3"/>
        <v/>
      </c>
    </row>
    <row r="86" spans="1:11">
      <c r="A86" s="24" t="s">
        <v>290</v>
      </c>
      <c r="B86">
        <v>2</v>
      </c>
      <c r="C86">
        <f>IFERROR(
 --(INDEX('TH_CMI GRADE 10'!$D$7:$D$49,MATCH(LEFT($A86,LEN($A86)-2),'TH_CMI GRADE 10'!$B$7:$B$49,0))="P")+
 --(INDEX('TH_CMI GRADE 10'!$J$7:$J$49,MATCH(LEFT($A86,LEN($A86)-2),'TH_CMI GRADE 10'!$B$7:$B$49,0))="P")+
 --(INDEX('TH_CMI GRADE 10'!$P$7:$P$49,MATCH(LEFT($A86,LEN($A86)-2),'TH_CMI GRADE 10'!$B$7:$B$49,0))="P")+
 --(INDEX('TH_CMI GRADE 10'!$V$7:$V$49,MATCH(LEFT($A86,LEN($A86)-2),'TH_CMI GRADE 10'!$B$7:$B$49,0))="P")+
 --(INDEX('TH_CMI GRADE 10'!$AB$7:$AB$49,MATCH(LEFT($A86,LEN($A86)-2),'TH_CMI GRADE 10'!$B$7:$B$49,0))="P")+
 --(INDEX('TH_CMI GRADE 10'!$AH$7:$AH$49,MATCH(LEFT($A86,LEN($A86)-2),'TH_CMI GRADE 10'!$B$7:$B$49,0))="P")+
 --(INDEX('TH_CMI GRADE 10'!$AN$7:$AN$49,MATCH(LEFT($A86,LEN($A86)-2),'TH_CMI GRADE 10'!$B$7:$B$49,0))="P"),
0)</f>
        <v>3</v>
      </c>
      <c r="D86" s="24" t="b">
        <f ca="1">IF(IF(_xlfn.XLOOKUP(LEFT(A86,LEN(A86)-2),'TH_CMI GRADE 10'!$B$7:$B$49,'TH_CMI GRADE 10'!$AT$7:$AT$49,"",0,1)=0,"",_xlfn.XLOOKUP(LEFT(A86,LEN(A86)-2),'TH_CMI GRADE 10'!$B$7:$B$49,'TH_CMI GRADE 10'!$AT$7:$AT$49,"",0,1))&lt;=TODAY(),TRUE,FALSE)</f>
        <v>1</v>
      </c>
      <c r="E86" s="25">
        <f t="shared" ca="1" si="2"/>
        <v>1</v>
      </c>
      <c r="F86" s="24" t="s">
        <v>290</v>
      </c>
      <c r="G86">
        <v>2</v>
      </c>
      <c r="H86">
        <f>IFERROR(
 --(INDEX('PW_CMI GRADE 10'!$D$7:$D$31,MATCH(LEFT($A86,LEN($A86)-2),'PW_CMI GRADE 10'!$B$7:$B$31,0))="P")+
 --(INDEX('PW_CMI GRADE 10'!$J$7:$J$31,MATCH(LEFT($A86,LEN($A86)-2),'PW_CMI GRADE 10'!$B$7:$B$31,0))="P")+
 --(INDEX('PW_CMI GRADE 10'!$P$7:$P$31,MATCH(LEFT($A86,LEN($A86)-2),'PW_CMI GRADE 10'!$B$7:$B$31,0))="P")+
 --(INDEX('PW_CMI GRADE 10'!$V$7:$V$31,MATCH(LEFT($A86,LEN($A86)-2),'PW_CMI GRADE 10'!$B$7:$B$31,0))="P")+
 --(INDEX('PW_CMI GRADE 10'!$AB$7:$AB$31,MATCH(LEFT($A86,LEN($A86)-2),'PW_CMI GRADE 10'!$B$7:$B$31,0))="P")+
 --(INDEX('PW_CMI GRADE 10'!$AH$7:$AH$31,MATCH(LEFT($A86,LEN($A86)-2),'PW_CMI GRADE 10'!$B$7:$B$31,0))="P")+
 --(INDEX('PW_CMI GRADE 10'!$AN$7:$AN$31,MATCH(LEFT($A86,LEN($A86)-2),'PW_CMI GRADE 10'!$B$7:$B$31,0))="P"),
0)</f>
        <v>0</v>
      </c>
      <c r="I86" s="24" t="b">
        <f ca="1">IF(IF(_xlfn.XLOOKUP(LEFT($A86,LEN($A86)-2),'PW_CMI GRADE 10'!$B$7:$B$31,'PW_CMI GRADE 10'!$AT$7:$AT$31,"",0,1)=0,"",_xlfn.XLOOKUP(LEFT($A86,LEN($A86)-2),'PW_CMI GRADE 10'!$B$7:$B$31,'PW_CMI GRADE 10'!$AT$7:$AT$31,"",0,1))&lt;=TODAY(),TRUE,FALSE)</f>
        <v>0</v>
      </c>
      <c r="J86" s="25" t="str">
        <f t="shared" ca="1" si="3"/>
        <v/>
      </c>
    </row>
    <row r="87" spans="1:11">
      <c r="A87" s="24" t="s">
        <v>291</v>
      </c>
      <c r="B87">
        <v>2</v>
      </c>
      <c r="C87">
        <f>IFERROR(
 --(INDEX('TH_CMI GRADE 10'!$D$7:$D$49,MATCH(LEFT($A87,LEN($A87)-2),'TH_CMI GRADE 10'!$B$7:$B$49,0))="P")+
 --(INDEX('TH_CMI GRADE 10'!$J$7:$J$49,MATCH(LEFT($A87,LEN($A87)-2),'TH_CMI GRADE 10'!$B$7:$B$49,0))="P")+
 --(INDEX('TH_CMI GRADE 10'!$P$7:$P$49,MATCH(LEFT($A87,LEN($A87)-2),'TH_CMI GRADE 10'!$B$7:$B$49,0))="P")+
 --(INDEX('TH_CMI GRADE 10'!$V$7:$V$49,MATCH(LEFT($A87,LEN($A87)-2),'TH_CMI GRADE 10'!$B$7:$B$49,0))="P")+
 --(INDEX('TH_CMI GRADE 10'!$AB$7:$AB$49,MATCH(LEFT($A87,LEN($A87)-2),'TH_CMI GRADE 10'!$B$7:$B$49,0))="P")+
 --(INDEX('TH_CMI GRADE 10'!$AH$7:$AH$49,MATCH(LEFT($A87,LEN($A87)-2),'TH_CMI GRADE 10'!$B$7:$B$49,0))="P")+
 --(INDEX('TH_CMI GRADE 10'!$AN$7:$AN$49,MATCH(LEFT($A87,LEN($A87)-2),'TH_CMI GRADE 10'!$B$7:$B$49,0))="P"),
0)</f>
        <v>3</v>
      </c>
      <c r="D87" s="24" t="b">
        <f ca="1">IF(IF(_xlfn.XLOOKUP(LEFT(A87,LEN(A87)-2),'TH_CMI GRADE 10'!$B$7:$B$49,'TH_CMI GRADE 10'!$AT$7:$AT$49,"",0,1)=0,"",_xlfn.XLOOKUP(LEFT(A87,LEN(A87)-2),'TH_CMI GRADE 10'!$B$7:$B$49,'TH_CMI GRADE 10'!$AT$7:$AT$49,"",0,1))&lt;=TODAY(),TRUE,FALSE)</f>
        <v>1</v>
      </c>
      <c r="E87" s="25">
        <f t="shared" ca="1" si="2"/>
        <v>1</v>
      </c>
      <c r="F87" s="24" t="s">
        <v>291</v>
      </c>
      <c r="G87">
        <v>2</v>
      </c>
      <c r="H87">
        <f>IFERROR(
 --(INDEX('PW_CMI GRADE 10'!$D$7:$D$31,MATCH(LEFT($A87,LEN($A87)-2),'PW_CMI GRADE 10'!$B$7:$B$31,0))="P")+
 --(INDEX('PW_CMI GRADE 10'!$J$7:$J$31,MATCH(LEFT($A87,LEN($A87)-2),'PW_CMI GRADE 10'!$B$7:$B$31,0))="P")+
 --(INDEX('PW_CMI GRADE 10'!$P$7:$P$31,MATCH(LEFT($A87,LEN($A87)-2),'PW_CMI GRADE 10'!$B$7:$B$31,0))="P")+
 --(INDEX('PW_CMI GRADE 10'!$V$7:$V$31,MATCH(LEFT($A87,LEN($A87)-2),'PW_CMI GRADE 10'!$B$7:$B$31,0))="P")+
 --(INDEX('PW_CMI GRADE 10'!$AB$7:$AB$31,MATCH(LEFT($A87,LEN($A87)-2),'PW_CMI GRADE 10'!$B$7:$B$31,0))="P")+
 --(INDEX('PW_CMI GRADE 10'!$AH$7:$AH$31,MATCH(LEFT($A87,LEN($A87)-2),'PW_CMI GRADE 10'!$B$7:$B$31,0))="P")+
 --(INDEX('PW_CMI GRADE 10'!$AN$7:$AN$31,MATCH(LEFT($A87,LEN($A87)-2),'PW_CMI GRADE 10'!$B$7:$B$31,0))="P"),
0)</f>
        <v>0</v>
      </c>
      <c r="I87" s="24" t="b">
        <f ca="1">IF(IF(_xlfn.XLOOKUP(LEFT($A87,LEN($A87)-2),'PW_CMI GRADE 10'!$B$7:$B$31,'PW_CMI GRADE 10'!$AT$7:$AT$31,"",0,1)=0,"",_xlfn.XLOOKUP(LEFT($A87,LEN($A87)-2),'PW_CMI GRADE 10'!$B$7:$B$31,'PW_CMI GRADE 10'!$AT$7:$AT$31,"",0,1))&lt;=TODAY(),TRUE,FALSE)</f>
        <v>0</v>
      </c>
      <c r="J87" s="25" t="str">
        <f t="shared" ca="1" si="3"/>
        <v/>
      </c>
    </row>
    <row r="88" spans="1:11">
      <c r="A88" s="24" t="s">
        <v>292</v>
      </c>
      <c r="B88">
        <v>2</v>
      </c>
      <c r="C88">
        <f>IFERROR(
 --(INDEX('TH_CMI GRADE 10'!$D$7:$D$49,MATCH(LEFT($A88,LEN($A88)-2),'TH_CMI GRADE 10'!$B$7:$B$49,0))="P")+
 --(INDEX('TH_CMI GRADE 10'!$J$7:$J$49,MATCH(LEFT($A88,LEN($A88)-2),'TH_CMI GRADE 10'!$B$7:$B$49,0))="P")+
 --(INDEX('TH_CMI GRADE 10'!$P$7:$P$49,MATCH(LEFT($A88,LEN($A88)-2),'TH_CMI GRADE 10'!$B$7:$B$49,0))="P")+
 --(INDEX('TH_CMI GRADE 10'!$V$7:$V$49,MATCH(LEFT($A88,LEN($A88)-2),'TH_CMI GRADE 10'!$B$7:$B$49,0))="P")+
 --(INDEX('TH_CMI GRADE 10'!$AB$7:$AB$49,MATCH(LEFT($A88,LEN($A88)-2),'TH_CMI GRADE 10'!$B$7:$B$49,0))="P")+
 --(INDEX('TH_CMI GRADE 10'!$AH$7:$AH$49,MATCH(LEFT($A88,LEN($A88)-2),'TH_CMI GRADE 10'!$B$7:$B$49,0))="P")+
 --(INDEX('TH_CMI GRADE 10'!$AN$7:$AN$49,MATCH(LEFT($A88,LEN($A88)-2),'TH_CMI GRADE 10'!$B$7:$B$49,0))="P"),
0)</f>
        <v>3</v>
      </c>
      <c r="D88" s="24" t="b">
        <f ca="1">IF(IF(_xlfn.XLOOKUP(LEFT(A88,LEN(A88)-2),'TH_CMI GRADE 10'!$B$7:$B$49,'TH_CMI GRADE 10'!$AT$7:$AT$49,"",0,1)=0,"",_xlfn.XLOOKUP(LEFT(A88,LEN(A88)-2),'TH_CMI GRADE 10'!$B$7:$B$49,'TH_CMI GRADE 10'!$AT$7:$AT$49,"",0,1))&lt;=TODAY(),TRUE,FALSE)</f>
        <v>1</v>
      </c>
      <c r="E88" s="25">
        <f t="shared" ref="E88:E131" ca="1" si="4">IFERROR(IF(AND(D88=TRUE(),C88/B88&lt;=1),C88/B88,IF(AND(D88=TRUE(),C88/B88&gt;1),1,"")),0)</f>
        <v>1</v>
      </c>
      <c r="F88" s="24" t="s">
        <v>292</v>
      </c>
      <c r="G88">
        <v>2</v>
      </c>
      <c r="H88">
        <f>IFERROR(
 --(INDEX('PW_CMI GRADE 10'!$D$7:$D$31,MATCH(LEFT($A88,LEN($A88)-2),'PW_CMI GRADE 10'!$B$7:$B$31,0))="P")+
 --(INDEX('PW_CMI GRADE 10'!$J$7:$J$31,MATCH(LEFT($A88,LEN($A88)-2),'PW_CMI GRADE 10'!$B$7:$B$31,0))="P")+
 --(INDEX('PW_CMI GRADE 10'!$P$7:$P$31,MATCH(LEFT($A88,LEN($A88)-2),'PW_CMI GRADE 10'!$B$7:$B$31,0))="P")+
 --(INDEX('PW_CMI GRADE 10'!$V$7:$V$31,MATCH(LEFT($A88,LEN($A88)-2),'PW_CMI GRADE 10'!$B$7:$B$31,0))="P")+
 --(INDEX('PW_CMI GRADE 10'!$AB$7:$AB$31,MATCH(LEFT($A88,LEN($A88)-2),'PW_CMI GRADE 10'!$B$7:$B$31,0))="P")+
 --(INDEX('PW_CMI GRADE 10'!$AH$7:$AH$31,MATCH(LEFT($A88,LEN($A88)-2),'PW_CMI GRADE 10'!$B$7:$B$31,0))="P")+
 --(INDEX('PW_CMI GRADE 10'!$AN$7:$AN$31,MATCH(LEFT($A88,LEN($A88)-2),'PW_CMI GRADE 10'!$B$7:$B$31,0))="P"),
0)</f>
        <v>0</v>
      </c>
      <c r="I88" s="24" t="b">
        <f ca="1">IF(IF(_xlfn.XLOOKUP(LEFT($A88,LEN($A88)-2),'PW_CMI GRADE 10'!$B$7:$B$31,'PW_CMI GRADE 10'!$AT$7:$AT$31,"",0,1)=0,"",_xlfn.XLOOKUP(LEFT($A88,LEN($A88)-2),'PW_CMI GRADE 10'!$B$7:$B$31,'PW_CMI GRADE 10'!$AT$7:$AT$31,"",0,1))&lt;=TODAY(),TRUE,FALSE)</f>
        <v>0</v>
      </c>
      <c r="J88" s="25" t="str">
        <f t="shared" ca="1" si="3"/>
        <v/>
      </c>
    </row>
    <row r="89" spans="1:11">
      <c r="A89" s="24" t="s">
        <v>293</v>
      </c>
      <c r="B89">
        <v>2</v>
      </c>
      <c r="C89">
        <f>IFERROR(
 --(INDEX('TH_CMI GRADE 10'!$D$7:$D$49,MATCH(LEFT($A89,LEN($A89)-2),'TH_CMI GRADE 10'!$B$7:$B$49,0))="P")+
 --(INDEX('TH_CMI GRADE 10'!$J$7:$J$49,MATCH(LEFT($A89,LEN($A89)-2),'TH_CMI GRADE 10'!$B$7:$B$49,0))="P")+
 --(INDEX('TH_CMI GRADE 10'!$P$7:$P$49,MATCH(LEFT($A89,LEN($A89)-2),'TH_CMI GRADE 10'!$B$7:$B$49,0))="P")+
 --(INDEX('TH_CMI GRADE 10'!$V$7:$V$49,MATCH(LEFT($A89,LEN($A89)-2),'TH_CMI GRADE 10'!$B$7:$B$49,0))="P")+
 --(INDEX('TH_CMI GRADE 10'!$AB$7:$AB$49,MATCH(LEFT($A89,LEN($A89)-2),'TH_CMI GRADE 10'!$B$7:$B$49,0))="P")+
 --(INDEX('TH_CMI GRADE 10'!$AH$7:$AH$49,MATCH(LEFT($A89,LEN($A89)-2),'TH_CMI GRADE 10'!$B$7:$B$49,0))="P")+
 --(INDEX('TH_CMI GRADE 10'!$AN$7:$AN$49,MATCH(LEFT($A89,LEN($A89)-2),'TH_CMI GRADE 10'!$B$7:$B$49,0))="P"),
0)</f>
        <v>3</v>
      </c>
      <c r="D89" s="24" t="b">
        <f ca="1">IF(IF(_xlfn.XLOOKUP(LEFT(A89,LEN(A89)-2),'TH_CMI GRADE 10'!$B$7:$B$49,'TH_CMI GRADE 10'!$AT$7:$AT$49,"",0,1)=0,"",_xlfn.XLOOKUP(LEFT(A89,LEN(A89)-2),'TH_CMI GRADE 10'!$B$7:$B$49,'TH_CMI GRADE 10'!$AT$7:$AT$49,"",0,1))&lt;=TODAY(),TRUE,FALSE)</f>
        <v>1</v>
      </c>
      <c r="E89" s="25">
        <f t="shared" ca="1" si="4"/>
        <v>1</v>
      </c>
      <c r="F89" s="24" t="s">
        <v>293</v>
      </c>
      <c r="G89">
        <v>2</v>
      </c>
      <c r="H89">
        <f>IFERROR(
 --(INDEX('PW_CMI GRADE 10'!$D$7:$D$31,MATCH(LEFT($A89,LEN($A89)-2),'PW_CMI GRADE 10'!$B$7:$B$31,0))="P")+
 --(INDEX('PW_CMI GRADE 10'!$J$7:$J$31,MATCH(LEFT($A89,LEN($A89)-2),'PW_CMI GRADE 10'!$B$7:$B$31,0))="P")+
 --(INDEX('PW_CMI GRADE 10'!$P$7:$P$31,MATCH(LEFT($A89,LEN($A89)-2),'PW_CMI GRADE 10'!$B$7:$B$31,0))="P")+
 --(INDEX('PW_CMI GRADE 10'!$V$7:$V$31,MATCH(LEFT($A89,LEN($A89)-2),'PW_CMI GRADE 10'!$B$7:$B$31,0))="P")+
 --(INDEX('PW_CMI GRADE 10'!$AB$7:$AB$31,MATCH(LEFT($A89,LEN($A89)-2),'PW_CMI GRADE 10'!$B$7:$B$31,0))="P")+
 --(INDEX('PW_CMI GRADE 10'!$AH$7:$AH$31,MATCH(LEFT($A89,LEN($A89)-2),'PW_CMI GRADE 10'!$B$7:$B$31,0))="P")+
 --(INDEX('PW_CMI GRADE 10'!$AN$7:$AN$31,MATCH(LEFT($A89,LEN($A89)-2),'PW_CMI GRADE 10'!$B$7:$B$31,0))="P"),
0)</f>
        <v>0</v>
      </c>
      <c r="I89" s="24" t="b">
        <f ca="1">IF(IF(_xlfn.XLOOKUP(LEFT($A89,LEN($A89)-2),'PW_CMI GRADE 10'!$B$7:$B$31,'PW_CMI GRADE 10'!$AT$7:$AT$31,"",0,1)=0,"",_xlfn.XLOOKUP(LEFT($A89,LEN($A89)-2),'PW_CMI GRADE 10'!$B$7:$B$31,'PW_CMI GRADE 10'!$AT$7:$AT$31,"",0,1))&lt;=TODAY(),TRUE,FALSE)</f>
        <v>0</v>
      </c>
      <c r="J89" s="25" t="str">
        <f t="shared" ca="1" si="3"/>
        <v/>
      </c>
    </row>
    <row r="90" spans="1:11">
      <c r="A90" s="24" t="s">
        <v>294</v>
      </c>
      <c r="B90">
        <v>2</v>
      </c>
      <c r="C90">
        <f>IFERROR(
 --(INDEX('TH_CMI GRADE 10'!$D$7:$D$49,MATCH(LEFT($A90,LEN($A90)-2),'TH_CMI GRADE 10'!$B$7:$B$49,0))="P")+
 --(INDEX('TH_CMI GRADE 10'!$J$7:$J$49,MATCH(LEFT($A90,LEN($A90)-2),'TH_CMI GRADE 10'!$B$7:$B$49,0))="P")+
 --(INDEX('TH_CMI GRADE 10'!$P$7:$P$49,MATCH(LEFT($A90,LEN($A90)-2),'TH_CMI GRADE 10'!$B$7:$B$49,0))="P")+
 --(INDEX('TH_CMI GRADE 10'!$V$7:$V$49,MATCH(LEFT($A90,LEN($A90)-2),'TH_CMI GRADE 10'!$B$7:$B$49,0))="P")+
 --(INDEX('TH_CMI GRADE 10'!$AB$7:$AB$49,MATCH(LEFT($A90,LEN($A90)-2),'TH_CMI GRADE 10'!$B$7:$B$49,0))="P")+
 --(INDEX('TH_CMI GRADE 10'!$AH$7:$AH$49,MATCH(LEFT($A90,LEN($A90)-2),'TH_CMI GRADE 10'!$B$7:$B$49,0))="P")+
 --(INDEX('TH_CMI GRADE 10'!$AN$7:$AN$49,MATCH(LEFT($A90,LEN($A90)-2),'TH_CMI GRADE 10'!$B$7:$B$49,0))="P"),
0)</f>
        <v>3</v>
      </c>
      <c r="D90" s="24" t="b">
        <f ca="1">IF(IF(_xlfn.XLOOKUP(LEFT(A90,LEN(A90)-2),'TH_CMI GRADE 10'!$B$7:$B$49,'TH_CMI GRADE 10'!$AT$7:$AT$49,"",0,1)=0,"",_xlfn.XLOOKUP(LEFT(A90,LEN(A90)-2),'TH_CMI GRADE 10'!$B$7:$B$49,'TH_CMI GRADE 10'!$AT$7:$AT$49,"",0,1))&lt;=TODAY(),TRUE,FALSE)</f>
        <v>1</v>
      </c>
      <c r="E90" s="25">
        <f t="shared" ca="1" si="4"/>
        <v>1</v>
      </c>
      <c r="F90" s="24" t="s">
        <v>294</v>
      </c>
      <c r="G90">
        <v>2</v>
      </c>
      <c r="H90">
        <f>IFERROR(
 --(INDEX('PW_CMI GRADE 10'!$D$7:$D$31,MATCH(LEFT($A90,LEN($A90)-2),'PW_CMI GRADE 10'!$B$7:$B$31,0))="P")+
 --(INDEX('PW_CMI GRADE 10'!$J$7:$J$31,MATCH(LEFT($A90,LEN($A90)-2),'PW_CMI GRADE 10'!$B$7:$B$31,0))="P")+
 --(INDEX('PW_CMI GRADE 10'!$P$7:$P$31,MATCH(LEFT($A90,LEN($A90)-2),'PW_CMI GRADE 10'!$B$7:$B$31,0))="P")+
 --(INDEX('PW_CMI GRADE 10'!$V$7:$V$31,MATCH(LEFT($A90,LEN($A90)-2),'PW_CMI GRADE 10'!$B$7:$B$31,0))="P")+
 --(INDEX('PW_CMI GRADE 10'!$AB$7:$AB$31,MATCH(LEFT($A90,LEN($A90)-2),'PW_CMI GRADE 10'!$B$7:$B$31,0))="P")+
 --(INDEX('PW_CMI GRADE 10'!$AH$7:$AH$31,MATCH(LEFT($A90,LEN($A90)-2),'PW_CMI GRADE 10'!$B$7:$B$31,0))="P")+
 --(INDEX('PW_CMI GRADE 10'!$AN$7:$AN$31,MATCH(LEFT($A90,LEN($A90)-2),'PW_CMI GRADE 10'!$B$7:$B$31,0))="P"),
0)</f>
        <v>0</v>
      </c>
      <c r="I90" s="24" t="b">
        <f ca="1">IF(IF(_xlfn.XLOOKUP(LEFT($A90,LEN($A90)-2),'PW_CMI GRADE 10'!$B$7:$B$31,'PW_CMI GRADE 10'!$AT$7:$AT$31,"",0,1)=0,"",_xlfn.XLOOKUP(LEFT($A90,LEN($A90)-2),'PW_CMI GRADE 10'!$B$7:$B$31,'PW_CMI GRADE 10'!$AT$7:$AT$31,"",0,1))&lt;=TODAY(),TRUE,FALSE)</f>
        <v>0</v>
      </c>
      <c r="J90" s="25" t="str">
        <f t="shared" ca="1" si="3"/>
        <v/>
      </c>
    </row>
    <row r="91" spans="1:11">
      <c r="A91" s="24" t="s">
        <v>295</v>
      </c>
      <c r="B91">
        <v>2</v>
      </c>
      <c r="C91">
        <f>IFERROR(
 --(INDEX('TH_CMI GRADE 10'!$D$7:$D$49,MATCH(LEFT($A91,LEN($A91)-2),'TH_CMI GRADE 10'!$B$7:$B$49,0))="P")+
 --(INDEX('TH_CMI GRADE 10'!$J$7:$J$49,MATCH(LEFT($A91,LEN($A91)-2),'TH_CMI GRADE 10'!$B$7:$B$49,0))="P")+
 --(INDEX('TH_CMI GRADE 10'!$P$7:$P$49,MATCH(LEFT($A91,LEN($A91)-2),'TH_CMI GRADE 10'!$B$7:$B$49,0))="P")+
 --(INDEX('TH_CMI GRADE 10'!$V$7:$V$49,MATCH(LEFT($A91,LEN($A91)-2),'TH_CMI GRADE 10'!$B$7:$B$49,0))="P")+
 --(INDEX('TH_CMI GRADE 10'!$AB$7:$AB$49,MATCH(LEFT($A91,LEN($A91)-2),'TH_CMI GRADE 10'!$B$7:$B$49,0))="P")+
 --(INDEX('TH_CMI GRADE 10'!$AH$7:$AH$49,MATCH(LEFT($A91,LEN($A91)-2),'TH_CMI GRADE 10'!$B$7:$B$49,0))="P")+
 --(INDEX('TH_CMI GRADE 10'!$AN$7:$AN$49,MATCH(LEFT($A91,LEN($A91)-2),'TH_CMI GRADE 10'!$B$7:$B$49,0))="P"),
0)</f>
        <v>3</v>
      </c>
      <c r="D91" s="24" t="b">
        <f ca="1">IF(IF(_xlfn.XLOOKUP(LEFT(A91,LEN(A91)-2),'TH_CMI GRADE 10'!$B$7:$B$49,'TH_CMI GRADE 10'!$AT$7:$AT$49,"",0,1)=0,"",_xlfn.XLOOKUP(LEFT(A91,LEN(A91)-2),'TH_CMI GRADE 10'!$B$7:$B$49,'TH_CMI GRADE 10'!$AT$7:$AT$49,"",0,1))&lt;=TODAY(),TRUE,FALSE)</f>
        <v>1</v>
      </c>
      <c r="E91" s="25">
        <f t="shared" ca="1" si="4"/>
        <v>1</v>
      </c>
      <c r="F91" s="24" t="s">
        <v>295</v>
      </c>
      <c r="G91">
        <v>2</v>
      </c>
      <c r="H91">
        <f>IFERROR(
 --(INDEX('PW_CMI GRADE 10'!$D$7:$D$31,MATCH(LEFT($A91,LEN($A91)-2),'PW_CMI GRADE 10'!$B$7:$B$31,0))="P")+
 --(INDEX('PW_CMI GRADE 10'!$J$7:$J$31,MATCH(LEFT($A91,LEN($A91)-2),'PW_CMI GRADE 10'!$B$7:$B$31,0))="P")+
 --(INDEX('PW_CMI GRADE 10'!$P$7:$P$31,MATCH(LEFT($A91,LEN($A91)-2),'PW_CMI GRADE 10'!$B$7:$B$31,0))="P")+
 --(INDEX('PW_CMI GRADE 10'!$V$7:$V$31,MATCH(LEFT($A91,LEN($A91)-2),'PW_CMI GRADE 10'!$B$7:$B$31,0))="P")+
 --(INDEX('PW_CMI GRADE 10'!$AB$7:$AB$31,MATCH(LEFT($A91,LEN($A91)-2),'PW_CMI GRADE 10'!$B$7:$B$31,0))="P")+
 --(INDEX('PW_CMI GRADE 10'!$AH$7:$AH$31,MATCH(LEFT($A91,LEN($A91)-2),'PW_CMI GRADE 10'!$B$7:$B$31,0))="P")+
 --(INDEX('PW_CMI GRADE 10'!$AN$7:$AN$31,MATCH(LEFT($A91,LEN($A91)-2),'PW_CMI GRADE 10'!$B$7:$B$31,0))="P"),
0)</f>
        <v>0</v>
      </c>
      <c r="I91" s="24" t="b">
        <f ca="1">IF(IF(_xlfn.XLOOKUP(LEFT($A91,LEN($A91)-2),'PW_CMI GRADE 10'!$B$7:$B$31,'PW_CMI GRADE 10'!$AT$7:$AT$31,"",0,1)=0,"",_xlfn.XLOOKUP(LEFT($A91,LEN($A91)-2),'PW_CMI GRADE 10'!$B$7:$B$31,'PW_CMI GRADE 10'!$AT$7:$AT$31,"",0,1))&lt;=TODAY(),TRUE,FALSE)</f>
        <v>0</v>
      </c>
      <c r="J91" s="25" t="str">
        <f t="shared" ca="1" si="3"/>
        <v/>
      </c>
    </row>
    <row r="92" spans="1:11">
      <c r="A92" s="24" t="s">
        <v>296</v>
      </c>
      <c r="B92">
        <v>2</v>
      </c>
      <c r="C92">
        <f>IFERROR(
 --(INDEX('TH_CMI GRADE 10'!$D$7:$D$49,MATCH(LEFT($A92,LEN($A92)-2),'TH_CMI GRADE 10'!$B$7:$B$49,0))="P")+
 --(INDEX('TH_CMI GRADE 10'!$J$7:$J$49,MATCH(LEFT($A92,LEN($A92)-2),'TH_CMI GRADE 10'!$B$7:$B$49,0))="P")+
 --(INDEX('TH_CMI GRADE 10'!$P$7:$P$49,MATCH(LEFT($A92,LEN($A92)-2),'TH_CMI GRADE 10'!$B$7:$B$49,0))="P")+
 --(INDEX('TH_CMI GRADE 10'!$V$7:$V$49,MATCH(LEFT($A92,LEN($A92)-2),'TH_CMI GRADE 10'!$B$7:$B$49,0))="P")+
 --(INDEX('TH_CMI GRADE 10'!$AB$7:$AB$49,MATCH(LEFT($A92,LEN($A92)-2),'TH_CMI GRADE 10'!$B$7:$B$49,0))="P")+
 --(INDEX('TH_CMI GRADE 10'!$AH$7:$AH$49,MATCH(LEFT($A92,LEN($A92)-2),'TH_CMI GRADE 10'!$B$7:$B$49,0))="P")+
 --(INDEX('TH_CMI GRADE 10'!$AN$7:$AN$49,MATCH(LEFT($A92,LEN($A92)-2),'TH_CMI GRADE 10'!$B$7:$B$49,0))="P"),
0)</f>
        <v>3</v>
      </c>
      <c r="D92" s="24" t="b">
        <f ca="1">IF(IF(_xlfn.XLOOKUP(LEFT(A92,LEN(A92)-2),'TH_CMI GRADE 10'!$B$7:$B$49,'TH_CMI GRADE 10'!$AT$7:$AT$49,"",0,1)=0,"",_xlfn.XLOOKUP(LEFT(A92,LEN(A92)-2),'TH_CMI GRADE 10'!$B$7:$B$49,'TH_CMI GRADE 10'!$AT$7:$AT$49,"",0,1))&lt;=TODAY(),TRUE,FALSE)</f>
        <v>1</v>
      </c>
      <c r="E92" s="25">
        <f t="shared" ca="1" si="4"/>
        <v>1</v>
      </c>
      <c r="F92" s="24" t="s">
        <v>296</v>
      </c>
      <c r="G92">
        <v>2</v>
      </c>
      <c r="H92">
        <f>IFERROR(
 --(INDEX('PW_CMI GRADE 10'!$D$7:$D$31,MATCH(LEFT($A92,LEN($A92)-2),'PW_CMI GRADE 10'!$B$7:$B$31,0))="P")+
 --(INDEX('PW_CMI GRADE 10'!$J$7:$J$31,MATCH(LEFT($A92,LEN($A92)-2),'PW_CMI GRADE 10'!$B$7:$B$31,0))="P")+
 --(INDEX('PW_CMI GRADE 10'!$P$7:$P$31,MATCH(LEFT($A92,LEN($A92)-2),'PW_CMI GRADE 10'!$B$7:$B$31,0))="P")+
 --(INDEX('PW_CMI GRADE 10'!$V$7:$V$31,MATCH(LEFT($A92,LEN($A92)-2),'PW_CMI GRADE 10'!$B$7:$B$31,0))="P")+
 --(INDEX('PW_CMI GRADE 10'!$AB$7:$AB$31,MATCH(LEFT($A92,LEN($A92)-2),'PW_CMI GRADE 10'!$B$7:$B$31,0))="P")+
 --(INDEX('PW_CMI GRADE 10'!$AH$7:$AH$31,MATCH(LEFT($A92,LEN($A92)-2),'PW_CMI GRADE 10'!$B$7:$B$31,0))="P")+
 --(INDEX('PW_CMI GRADE 10'!$AN$7:$AN$31,MATCH(LEFT($A92,LEN($A92)-2),'PW_CMI GRADE 10'!$B$7:$B$31,0))="P"),
0)</f>
        <v>0</v>
      </c>
      <c r="I92" s="24" t="b">
        <f ca="1">IF(IF(_xlfn.XLOOKUP(LEFT($A92,LEN($A92)-2),'PW_CMI GRADE 10'!$B$7:$B$31,'PW_CMI GRADE 10'!$AT$7:$AT$31,"",0,1)=0,"",_xlfn.XLOOKUP(LEFT($A92,LEN($A92)-2),'PW_CMI GRADE 10'!$B$7:$B$31,'PW_CMI GRADE 10'!$AT$7:$AT$31,"",0,1))&lt;=TODAY(),TRUE,FALSE)</f>
        <v>0</v>
      </c>
      <c r="J92" s="25" t="str">
        <f t="shared" ca="1" si="3"/>
        <v/>
      </c>
    </row>
    <row r="93" spans="1:11">
      <c r="A93" s="24" t="s">
        <v>297</v>
      </c>
      <c r="B93">
        <v>2</v>
      </c>
      <c r="C93">
        <f>IFERROR(
 --(INDEX('TH_CMI GRADE 10'!$E$7:$E$49,MATCH(LEFT($A93,LEN($A93)-2),'TH_CMI GRADE 10'!$B$7:$B$49,0))="P")+
 --(INDEX('TH_CMI GRADE 10'!$K$7:$K$49,MATCH(LEFT($A93,LEN($A93)-2),'TH_CMI GRADE 10'!$B$7:$B$49,0))="P")+
 --(INDEX('TH_CMI GRADE 10'!$Q$7:$Q$49,MATCH(LEFT($A93,LEN($A93)-2),'TH_CMI GRADE 10'!$B$7:$B$49,0))="P")+
 --(INDEX('TH_CMI GRADE 10'!$W$7:$W$49,MATCH(LEFT($A93,LEN($A93)-2),'TH_CMI GRADE 10'!$B$7:$B$49,0))="P")+
 --(INDEX('TH_CMI GRADE 10'!$AC$7:$AC$49,MATCH(LEFT($A93,LEN($A93)-2),'TH_CMI GRADE 10'!$B$7:$B$49,0))="P")+
 --(INDEX('TH_CMI GRADE 10'!$AI$7:$AI$49,MATCH(LEFT($A93,LEN($A93)-2),'TH_CMI GRADE 10'!$B$7:$B$49,0))="P")+
 --(INDEX('TH_CMI GRADE 10'!$AO$7:$AO$49,MATCH(LEFT($A93,LEN($A93)-2),'TH_CMI GRADE 10'!$B$7:$B$49,0))="P"),
0)</f>
        <v>2</v>
      </c>
      <c r="D93" s="144" t="s">
        <v>298</v>
      </c>
      <c r="E93" s="25" t="str">
        <f t="shared" si="4"/>
        <v/>
      </c>
      <c r="F93" s="24" t="s">
        <v>297</v>
      </c>
      <c r="G93">
        <v>2</v>
      </c>
      <c r="H93">
        <f>IFERROR(
 --(INDEX('PW_CMI GRADE 10'!$E$7:$E$49,MATCH(LEFT($A93,LEN($A93)-2),'PW_CMI GRADE 10'!$B$7:$B$49,0))="P")+
 --(INDEX('PW_CMI GRADE 10'!$K$7:$K$49,MATCH(LEFT($A93,LEN($A93)-2),'PW_CMI GRADE 10'!$B$7:$B$49,0))="P")+
 --(INDEX('PW_CMI GRADE 10'!$Q$7:$Q$49,MATCH(LEFT($A93,LEN($A93)-2),'PW_CMI GRADE 10'!$B$7:$B$49,0))="P")+
 --(INDEX('PW_CMI GRADE 10'!$W$7:$W$49,MATCH(LEFT($A93,LEN($A93)-2),'PW_CMI GRADE 10'!$B$7:$B$49,0))="P")+
 --(INDEX('PW_CMI GRADE 10'!$AC$7:$AC$49,MATCH(LEFT($A93,LEN($A93)-2),'PW_CMI GRADE 10'!$B$7:$B$49,0))="P")+
 --(INDEX('PW_CMI GRADE 10'!$AI$7:$AI$49,MATCH(LEFT($A93,LEN($A93)-2),'PW_CMI GRADE 10'!$B$7:$B$49,0))="P")+
 --(INDEX('PW_CMI GRADE 10'!$AO$7:$AO$49,MATCH(LEFT($A93,LEN($A93)-2),'PW_CMI GRADE 10'!$B$7:$B$49,0))="P"),
0)</f>
        <v>0</v>
      </c>
      <c r="I93" s="24" t="b" cm="1">
        <f t="array" aca="1" ref="I93" ca="1">_xlfn.LET(_xlpm.k,LEFT($A93,LEN($A93)-2),_xlpm.idx,IFERROR(MATCH(_xlpm.k,'PW_CMI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93" s="25" t="str">
        <f t="shared" ca="1" si="3"/>
        <v/>
      </c>
      <c r="K93" s="54"/>
    </row>
    <row r="94" spans="1:11">
      <c r="A94" s="24" t="s">
        <v>299</v>
      </c>
      <c r="B94">
        <v>2</v>
      </c>
      <c r="C94">
        <f>IFERROR(
 --(INDEX('TH_CMI GRADE 10'!$E$7:$E$49,MATCH(LEFT($A94,LEN($A94)-2),'TH_CMI GRADE 10'!$B$7:$B$49,0))="P")+
 --(INDEX('TH_CMI GRADE 10'!$K$7:$K$49,MATCH(LEFT($A94,LEN($A94)-2),'TH_CMI GRADE 10'!$B$7:$B$49,0))="P")+
 --(INDEX('TH_CMI GRADE 10'!$Q$7:$Q$49,MATCH(LEFT($A94,LEN($A94)-2),'TH_CMI GRADE 10'!$B$7:$B$49,0))="P")+
 --(INDEX('TH_CMI GRADE 10'!$W$7:$W$49,MATCH(LEFT($A94,LEN($A94)-2),'TH_CMI GRADE 10'!$B$7:$B$49,0))="P")+
 --(INDEX('TH_CMI GRADE 10'!$AC$7:$AC$49,MATCH(LEFT($A94,LEN($A94)-2),'TH_CMI GRADE 10'!$B$7:$B$49,0))="P")+
 --(INDEX('TH_CMI GRADE 10'!$AI$7:$AI$49,MATCH(LEFT($A94,LEN($A94)-2),'TH_CMI GRADE 10'!$B$7:$B$49,0))="P")+
 --(INDEX('TH_CMI GRADE 10'!$AO$7:$AO$49,MATCH(LEFT($A94,LEN($A94)-2),'TH_CMI GRADE 10'!$B$7:$B$49,0))="P"),
0)</f>
        <v>2</v>
      </c>
      <c r="D94" s="144" t="b" cm="1">
        <f t="array" aca="1" ref="D94" ca="1">_xlfn.LET(_xlpm.k,LEFT(A94,LEN(A94)-2),_xlpm.idx,IFERROR(MATCH(_xlpm.k,'TH_CMI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94" s="25">
        <f t="shared" ca="1" si="4"/>
        <v>1</v>
      </c>
      <c r="F94" s="24" t="s">
        <v>299</v>
      </c>
      <c r="G94">
        <v>2</v>
      </c>
      <c r="H94">
        <f>IFERROR(
 --(INDEX('PW_CMI GRADE 10'!$E$7:$E$49,MATCH(LEFT($A94,LEN($A94)-2),'PW_CMI GRADE 10'!$B$7:$B$49,0))="P")+
 --(INDEX('PW_CMI GRADE 10'!$K$7:$K$49,MATCH(LEFT($A94,LEN($A94)-2),'PW_CMI GRADE 10'!$B$7:$B$49,0))="P")+
 --(INDEX('PW_CMI GRADE 10'!$Q$7:$Q$49,MATCH(LEFT($A94,LEN($A94)-2),'PW_CMI GRADE 10'!$B$7:$B$49,0))="P")+
 --(INDEX('PW_CMI GRADE 10'!$W$7:$W$49,MATCH(LEFT($A94,LEN($A94)-2),'PW_CMI GRADE 10'!$B$7:$B$49,0))="P")+
 --(INDEX('PW_CMI GRADE 10'!$AC$7:$AC$49,MATCH(LEFT($A94,LEN($A94)-2),'PW_CMI GRADE 10'!$B$7:$B$49,0))="P")+
 --(INDEX('PW_CMI GRADE 10'!$AI$7:$AI$49,MATCH(LEFT($A94,LEN($A94)-2),'PW_CMI GRADE 10'!$B$7:$B$49,0))="P")+
 --(INDEX('PW_CMI GRADE 10'!$AO$7:$AO$49,MATCH(LEFT($A94,LEN($A94)-2),'PW_CMI GRADE 10'!$B$7:$B$49,0))="P"),
0)</f>
        <v>0</v>
      </c>
      <c r="I94" s="24" t="b" cm="1">
        <f t="array" aca="1" ref="I94" ca="1">_xlfn.LET(_xlpm.k,LEFT($A94,LEN($A94)-2),_xlpm.idx,IFERROR(MATCH(_xlpm.k,'PW_CMI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94" s="25" t="str">
        <f t="shared" ca="1" si="3"/>
        <v/>
      </c>
    </row>
    <row r="95" spans="1:11">
      <c r="A95" s="24" t="s">
        <v>300</v>
      </c>
      <c r="B95">
        <v>2</v>
      </c>
      <c r="C95">
        <f>IFERROR(
 --(INDEX('TH_CMI GRADE 10'!$E$7:$E$49,MATCH(LEFT($A95,LEN($A95)-2),'TH_CMI GRADE 10'!$B$7:$B$49,0))="P")+
 --(INDEX('TH_CMI GRADE 10'!$K$7:$K$49,MATCH(LEFT($A95,LEN($A95)-2),'TH_CMI GRADE 10'!$B$7:$B$49,0))="P")+
 --(INDEX('TH_CMI GRADE 10'!$Q$7:$Q$49,MATCH(LEFT($A95,LEN($A95)-2),'TH_CMI GRADE 10'!$B$7:$B$49,0))="P")+
 --(INDEX('TH_CMI GRADE 10'!$W$7:$W$49,MATCH(LEFT($A95,LEN($A95)-2),'TH_CMI GRADE 10'!$B$7:$B$49,0))="P")+
 --(INDEX('TH_CMI GRADE 10'!$AC$7:$AC$49,MATCH(LEFT($A95,LEN($A95)-2),'TH_CMI GRADE 10'!$B$7:$B$49,0))="P")+
 --(INDEX('TH_CMI GRADE 10'!$AI$7:$AI$49,MATCH(LEFT($A95,LEN($A95)-2),'TH_CMI GRADE 10'!$B$7:$B$49,0))="P")+
 --(INDEX('TH_CMI GRADE 10'!$AO$7:$AO$49,MATCH(LEFT($A95,LEN($A95)-2),'TH_CMI GRADE 10'!$B$7:$B$49,0))="P"),
0)</f>
        <v>2</v>
      </c>
      <c r="D95" s="144" t="b" cm="1">
        <f t="array" aca="1" ref="D95" ca="1">_xlfn.LET(_xlpm.k,LEFT(A95,LEN(A95)-2),_xlpm.idx,IFERROR(MATCH(_xlpm.k,'TH_CMI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95" s="25">
        <f t="shared" ca="1" si="4"/>
        <v>1</v>
      </c>
      <c r="F95" s="24" t="s">
        <v>300</v>
      </c>
      <c r="G95">
        <v>2</v>
      </c>
      <c r="H95">
        <f>IFERROR(
 --(INDEX('PW_CMI GRADE 10'!$E$7:$E$49,MATCH(LEFT($A95,LEN($A95)-2),'PW_CMI GRADE 10'!$B$7:$B$49,0))="P")+
 --(INDEX('PW_CMI GRADE 10'!$K$7:$K$49,MATCH(LEFT($A95,LEN($A95)-2),'PW_CMI GRADE 10'!$B$7:$B$49,0))="P")+
 --(INDEX('PW_CMI GRADE 10'!$Q$7:$Q$49,MATCH(LEFT($A95,LEN($A95)-2),'PW_CMI GRADE 10'!$B$7:$B$49,0))="P")+
 --(INDEX('PW_CMI GRADE 10'!$W$7:$W$49,MATCH(LEFT($A95,LEN($A95)-2),'PW_CMI GRADE 10'!$B$7:$B$49,0))="P")+
 --(INDEX('PW_CMI GRADE 10'!$AC$7:$AC$49,MATCH(LEFT($A95,LEN($A95)-2),'PW_CMI GRADE 10'!$B$7:$B$49,0))="P")+
 --(INDEX('PW_CMI GRADE 10'!$AI$7:$AI$49,MATCH(LEFT($A95,LEN($A95)-2),'PW_CMI GRADE 10'!$B$7:$B$49,0))="P")+
 --(INDEX('PW_CMI GRADE 10'!$AO$7:$AO$49,MATCH(LEFT($A95,LEN($A95)-2),'PW_CMI GRADE 10'!$B$7:$B$49,0))="P"),
0)</f>
        <v>0</v>
      </c>
      <c r="I95" s="24" t="b" cm="1">
        <f t="array" aca="1" ref="I95" ca="1">_xlfn.LET(_xlpm.k,LEFT($A95,LEN($A95)-2),_xlpm.idx,IFERROR(MATCH(_xlpm.k,'PW_CMI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95" s="25" t="str">
        <f t="shared" ca="1" si="3"/>
        <v/>
      </c>
    </row>
    <row r="96" spans="1:11">
      <c r="A96" s="24" t="s">
        <v>301</v>
      </c>
      <c r="B96">
        <v>2</v>
      </c>
      <c r="C96">
        <f>IFERROR(
 --(INDEX('TH_CMI GRADE 10'!$E$7:$E$49,MATCH(LEFT($A96,LEN($A96)-2),'TH_CMI GRADE 10'!$B$7:$B$49,0))="P")+
 --(INDEX('TH_CMI GRADE 10'!$K$7:$K$49,MATCH(LEFT($A96,LEN($A96)-2),'TH_CMI GRADE 10'!$B$7:$B$49,0))="P")+
 --(INDEX('TH_CMI GRADE 10'!$Q$7:$Q$49,MATCH(LEFT($A96,LEN($A96)-2),'TH_CMI GRADE 10'!$B$7:$B$49,0))="P")+
 --(INDEX('TH_CMI GRADE 10'!$W$7:$W$49,MATCH(LEFT($A96,LEN($A96)-2),'TH_CMI GRADE 10'!$B$7:$B$49,0))="P")+
 --(INDEX('TH_CMI GRADE 10'!$AC$7:$AC$49,MATCH(LEFT($A96,LEN($A96)-2),'TH_CMI GRADE 10'!$B$7:$B$49,0))="P")+
 --(INDEX('TH_CMI GRADE 10'!$AI$7:$AI$49,MATCH(LEFT($A96,LEN($A96)-2),'TH_CMI GRADE 10'!$B$7:$B$49,0))="P")+
 --(INDEX('TH_CMI GRADE 10'!$AO$7:$AO$49,MATCH(LEFT($A96,LEN($A96)-2),'TH_CMI GRADE 10'!$B$7:$B$49,0))="P"),
0)</f>
        <v>2</v>
      </c>
      <c r="D96" s="144" t="b" cm="1">
        <f t="array" aca="1" ref="D96" ca="1">_xlfn.LET(_xlpm.k,LEFT(A96,LEN(A96)-2),_xlpm.idx,IFERROR(MATCH(_xlpm.k,'TH_CMI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96" s="25">
        <f t="shared" ca="1" si="4"/>
        <v>1</v>
      </c>
      <c r="F96" s="24" t="s">
        <v>301</v>
      </c>
      <c r="G96">
        <v>2</v>
      </c>
      <c r="H96">
        <f>IFERROR(
 --(INDEX('PW_CMI GRADE 10'!$E$7:$E$49,MATCH(LEFT($A96,LEN($A96)-2),'PW_CMI GRADE 10'!$B$7:$B$49,0))="P")+
 --(INDEX('PW_CMI GRADE 10'!$K$7:$K$49,MATCH(LEFT($A96,LEN($A96)-2),'PW_CMI GRADE 10'!$B$7:$B$49,0))="P")+
 --(INDEX('PW_CMI GRADE 10'!$Q$7:$Q$49,MATCH(LEFT($A96,LEN($A96)-2),'PW_CMI GRADE 10'!$B$7:$B$49,0))="P")+
 --(INDEX('PW_CMI GRADE 10'!$W$7:$W$49,MATCH(LEFT($A96,LEN($A96)-2),'PW_CMI GRADE 10'!$B$7:$B$49,0))="P")+
 --(INDEX('PW_CMI GRADE 10'!$AC$7:$AC$49,MATCH(LEFT($A96,LEN($A96)-2),'PW_CMI GRADE 10'!$B$7:$B$49,0))="P")+
 --(INDEX('PW_CMI GRADE 10'!$AI$7:$AI$49,MATCH(LEFT($A96,LEN($A96)-2),'PW_CMI GRADE 10'!$B$7:$B$49,0))="P")+
 --(INDEX('PW_CMI GRADE 10'!$AO$7:$AO$49,MATCH(LEFT($A96,LEN($A96)-2),'PW_CMI GRADE 10'!$B$7:$B$49,0))="P"),
0)</f>
        <v>0</v>
      </c>
      <c r="I96" s="24" t="b" cm="1">
        <f t="array" aca="1" ref="I96" ca="1">_xlfn.LET(_xlpm.k,LEFT($A96,LEN($A96)-2),_xlpm.idx,IFERROR(MATCH(_xlpm.k,'PW_CMI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96" s="25" t="str">
        <f t="shared" ca="1" si="3"/>
        <v/>
      </c>
    </row>
    <row r="97" spans="1:10">
      <c r="A97" s="24" t="s">
        <v>302</v>
      </c>
      <c r="B97">
        <v>2</v>
      </c>
      <c r="C97">
        <f>IFERROR(
 --(INDEX('TH_CMI GRADE 10'!$E$7:$E$49,MATCH(LEFT($A97,LEN($A97)-2),'TH_CMI GRADE 10'!$B$7:$B$49,0))="P")+
 --(INDEX('TH_CMI GRADE 10'!$K$7:$K$49,MATCH(LEFT($A97,LEN($A97)-2),'TH_CMI GRADE 10'!$B$7:$B$49,0))="P")+
 --(INDEX('TH_CMI GRADE 10'!$Q$7:$Q$49,MATCH(LEFT($A97,LEN($A97)-2),'TH_CMI GRADE 10'!$B$7:$B$49,0))="P")+
 --(INDEX('TH_CMI GRADE 10'!$W$7:$W$49,MATCH(LEFT($A97,LEN($A97)-2),'TH_CMI GRADE 10'!$B$7:$B$49,0))="P")+
 --(INDEX('TH_CMI GRADE 10'!$AC$7:$AC$49,MATCH(LEFT($A97,LEN($A97)-2),'TH_CMI GRADE 10'!$B$7:$B$49,0))="P")+
 --(INDEX('TH_CMI GRADE 10'!$AI$7:$AI$49,MATCH(LEFT($A97,LEN($A97)-2),'TH_CMI GRADE 10'!$B$7:$B$49,0))="P")+
 --(INDEX('TH_CMI GRADE 10'!$AO$7:$AO$49,MATCH(LEFT($A97,LEN($A97)-2),'TH_CMI GRADE 10'!$B$7:$B$49,0))="P"),
0)</f>
        <v>2</v>
      </c>
      <c r="D97" s="144" t="b" cm="1">
        <f t="array" aca="1" ref="D97" ca="1">_xlfn.LET(_xlpm.k,LEFT(A97,LEN(A97)-2),_xlpm.idx,IFERROR(MATCH(_xlpm.k,'TH_CMI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97" s="25">
        <f t="shared" ca="1" si="4"/>
        <v>1</v>
      </c>
      <c r="F97" s="24" t="s">
        <v>302</v>
      </c>
      <c r="G97">
        <v>2</v>
      </c>
      <c r="H97">
        <f>IFERROR(
 --(INDEX('PW_CMI GRADE 10'!$E$7:$E$49,MATCH(LEFT($A97,LEN($A97)-2),'PW_CMI GRADE 10'!$B$7:$B$49,0))="P")+
 --(INDEX('PW_CMI GRADE 10'!$K$7:$K$49,MATCH(LEFT($A97,LEN($A97)-2),'PW_CMI GRADE 10'!$B$7:$B$49,0))="P")+
 --(INDEX('PW_CMI GRADE 10'!$Q$7:$Q$49,MATCH(LEFT($A97,LEN($A97)-2),'PW_CMI GRADE 10'!$B$7:$B$49,0))="P")+
 --(INDEX('PW_CMI GRADE 10'!$W$7:$W$49,MATCH(LEFT($A97,LEN($A97)-2),'PW_CMI GRADE 10'!$B$7:$B$49,0))="P")+
 --(INDEX('PW_CMI GRADE 10'!$AC$7:$AC$49,MATCH(LEFT($A97,LEN($A97)-2),'PW_CMI GRADE 10'!$B$7:$B$49,0))="P")+
 --(INDEX('PW_CMI GRADE 10'!$AI$7:$AI$49,MATCH(LEFT($A97,LEN($A97)-2),'PW_CMI GRADE 10'!$B$7:$B$49,0))="P")+
 --(INDEX('PW_CMI GRADE 10'!$AO$7:$AO$49,MATCH(LEFT($A97,LEN($A97)-2),'PW_CMI GRADE 10'!$B$7:$B$49,0))="P"),
0)</f>
        <v>2</v>
      </c>
      <c r="I97" s="24" t="b" cm="1">
        <f t="array" aca="1" ref="I97" ca="1">_xlfn.LET(_xlpm.k,LEFT($A97,LEN($A97)-2),_xlpm.idx,IFERROR(MATCH(_xlpm.k,'PW_CMI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1</v>
      </c>
      <c r="J97" s="25">
        <f t="shared" ca="1" si="3"/>
        <v>1</v>
      </c>
    </row>
    <row r="98" spans="1:10">
      <c r="A98" s="24" t="s">
        <v>303</v>
      </c>
      <c r="B98">
        <v>2</v>
      </c>
      <c r="C98">
        <f>IFERROR(
 --(INDEX('TH_CMI GRADE 10'!$E$7:$E$49,MATCH(LEFT($A98,LEN($A98)-2),'TH_CMI GRADE 10'!$B$7:$B$49,0))="P")+
 --(INDEX('TH_CMI GRADE 10'!$K$7:$K$49,MATCH(LEFT($A98,LEN($A98)-2),'TH_CMI GRADE 10'!$B$7:$B$49,0))="P")+
 --(INDEX('TH_CMI GRADE 10'!$Q$7:$Q$49,MATCH(LEFT($A98,LEN($A98)-2),'TH_CMI GRADE 10'!$B$7:$B$49,0))="P")+
 --(INDEX('TH_CMI GRADE 10'!$W$7:$W$49,MATCH(LEFT($A98,LEN($A98)-2),'TH_CMI GRADE 10'!$B$7:$B$49,0))="P")+
 --(INDEX('TH_CMI GRADE 10'!$AC$7:$AC$49,MATCH(LEFT($A98,LEN($A98)-2),'TH_CMI GRADE 10'!$B$7:$B$49,0))="P")+
 --(INDEX('TH_CMI GRADE 10'!$AI$7:$AI$49,MATCH(LEFT($A98,LEN($A98)-2),'TH_CMI GRADE 10'!$B$7:$B$49,0))="P")+
 --(INDEX('TH_CMI GRADE 10'!$AO$7:$AO$49,MATCH(LEFT($A98,LEN($A98)-2),'TH_CMI GRADE 10'!$B$7:$B$49,0))="P"),
0)</f>
        <v>2</v>
      </c>
      <c r="D98" s="144" t="b" cm="1">
        <f t="array" aca="1" ref="D98" ca="1">_xlfn.LET(_xlpm.k,LEFT(A98,LEN(A98)-2),_xlpm.idx,IFERROR(MATCH(_xlpm.k,'TH_CMI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98" s="25">
        <f t="shared" ca="1" si="4"/>
        <v>1</v>
      </c>
      <c r="F98" s="24" t="s">
        <v>303</v>
      </c>
      <c r="G98">
        <v>2</v>
      </c>
      <c r="H98">
        <f>IFERROR(
 --(INDEX('PW_CMI GRADE 10'!$E$7:$E$49,MATCH(LEFT($A98,LEN($A98)-2),'PW_CMI GRADE 10'!$B$7:$B$49,0))="P")+
 --(INDEX('PW_CMI GRADE 10'!$K$7:$K$49,MATCH(LEFT($A98,LEN($A98)-2),'PW_CMI GRADE 10'!$B$7:$B$49,0))="P")+
 --(INDEX('PW_CMI GRADE 10'!$Q$7:$Q$49,MATCH(LEFT($A98,LEN($A98)-2),'PW_CMI GRADE 10'!$B$7:$B$49,0))="P")+
 --(INDEX('PW_CMI GRADE 10'!$W$7:$W$49,MATCH(LEFT($A98,LEN($A98)-2),'PW_CMI GRADE 10'!$B$7:$B$49,0))="P")+
 --(INDEX('PW_CMI GRADE 10'!$AC$7:$AC$49,MATCH(LEFT($A98,LEN($A98)-2),'PW_CMI GRADE 10'!$B$7:$B$49,0))="P")+
 --(INDEX('PW_CMI GRADE 10'!$AI$7:$AI$49,MATCH(LEFT($A98,LEN($A98)-2),'PW_CMI GRADE 10'!$B$7:$B$49,0))="P")+
 --(INDEX('PW_CMI GRADE 10'!$AO$7:$AO$49,MATCH(LEFT($A98,LEN($A98)-2),'PW_CMI GRADE 10'!$B$7:$B$49,0))="P"),
0)</f>
        <v>2</v>
      </c>
      <c r="I98" s="24" t="b" cm="1">
        <f t="array" aca="1" ref="I98" ca="1">_xlfn.LET(_xlpm.k,LEFT($A98,LEN($A98)-2),_xlpm.idx,IFERROR(MATCH(_xlpm.k,'PW_CMI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1</v>
      </c>
      <c r="J98" s="25">
        <f t="shared" ca="1" si="3"/>
        <v>1</v>
      </c>
    </row>
    <row r="99" spans="1:10">
      <c r="A99" s="24" t="s">
        <v>304</v>
      </c>
      <c r="B99">
        <v>2</v>
      </c>
      <c r="C99">
        <f>IFERROR(
 --(INDEX('TH_CMI GRADE 10'!$E$7:$E$49,MATCH(LEFT($A99,LEN($A99)-2),'TH_CMI GRADE 10'!$B$7:$B$49,0))="P")+
 --(INDEX('TH_CMI GRADE 10'!$K$7:$K$49,MATCH(LEFT($A99,LEN($A99)-2),'TH_CMI GRADE 10'!$B$7:$B$49,0))="P")+
 --(INDEX('TH_CMI GRADE 10'!$Q$7:$Q$49,MATCH(LEFT($A99,LEN($A99)-2),'TH_CMI GRADE 10'!$B$7:$B$49,0))="P")+
 --(INDEX('TH_CMI GRADE 10'!$W$7:$W$49,MATCH(LEFT($A99,LEN($A99)-2),'TH_CMI GRADE 10'!$B$7:$B$49,0))="P")+
 --(INDEX('TH_CMI GRADE 10'!$AC$7:$AC$49,MATCH(LEFT($A99,LEN($A99)-2),'TH_CMI GRADE 10'!$B$7:$B$49,0))="P")+
 --(INDEX('TH_CMI GRADE 10'!$AI$7:$AI$49,MATCH(LEFT($A99,LEN($A99)-2),'TH_CMI GRADE 10'!$B$7:$B$49,0))="P")+
 --(INDEX('TH_CMI GRADE 10'!$AO$7:$AO$49,MATCH(LEFT($A99,LEN($A99)-2),'TH_CMI GRADE 10'!$B$7:$B$49,0))="P"),
0)</f>
        <v>2</v>
      </c>
      <c r="D99" s="144" t="b" cm="1">
        <f t="array" aca="1" ref="D99" ca="1">_xlfn.LET(_xlpm.k,LEFT(A99,LEN(A99)-2),_xlpm.idx,IFERROR(MATCH(_xlpm.k,'TH_CMI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99" s="25">
        <f t="shared" ca="1" si="4"/>
        <v>1</v>
      </c>
      <c r="F99" s="24" t="s">
        <v>304</v>
      </c>
      <c r="G99">
        <v>2</v>
      </c>
      <c r="H99">
        <f>IFERROR(
 --(INDEX('PW_CMI GRADE 10'!$E$7:$E$49,MATCH(LEFT($A99,LEN($A99)-2),'PW_CMI GRADE 10'!$B$7:$B$49,0))="P")+
 --(INDEX('PW_CMI GRADE 10'!$K$7:$K$49,MATCH(LEFT($A99,LEN($A99)-2),'PW_CMI GRADE 10'!$B$7:$B$49,0))="P")+
 --(INDEX('PW_CMI GRADE 10'!$Q$7:$Q$49,MATCH(LEFT($A99,LEN($A99)-2),'PW_CMI GRADE 10'!$B$7:$B$49,0))="P")+
 --(INDEX('PW_CMI GRADE 10'!$W$7:$W$49,MATCH(LEFT($A99,LEN($A99)-2),'PW_CMI GRADE 10'!$B$7:$B$49,0))="P")+
 --(INDEX('PW_CMI GRADE 10'!$AC$7:$AC$49,MATCH(LEFT($A99,LEN($A99)-2),'PW_CMI GRADE 10'!$B$7:$B$49,0))="P")+
 --(INDEX('PW_CMI GRADE 10'!$AI$7:$AI$49,MATCH(LEFT($A99,LEN($A99)-2),'PW_CMI GRADE 10'!$B$7:$B$49,0))="P")+
 --(INDEX('PW_CMI GRADE 10'!$AO$7:$AO$49,MATCH(LEFT($A99,LEN($A99)-2),'PW_CMI GRADE 10'!$B$7:$B$49,0))="P"),
0)</f>
        <v>0</v>
      </c>
      <c r="I99" s="24" t="b" cm="1">
        <f t="array" aca="1" ref="I99" ca="1">_xlfn.LET(_xlpm.k,LEFT($A99,LEN($A99)-2),_xlpm.idx,IFERROR(MATCH(_xlpm.k,'PW_CMI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99" s="25" t="str">
        <f t="shared" ca="1" si="3"/>
        <v/>
      </c>
    </row>
    <row r="100" spans="1:10">
      <c r="A100" s="24" t="s">
        <v>305</v>
      </c>
      <c r="B100">
        <v>2</v>
      </c>
      <c r="C100">
        <f>IFERROR(
 --(INDEX('TH_CMI GRADE 10'!$E$7:$E$49,MATCH(LEFT($A100,LEN($A100)-2),'TH_CMI GRADE 10'!$B$7:$B$49,0))="P")+
 --(INDEX('TH_CMI GRADE 10'!$K$7:$K$49,MATCH(LEFT($A100,LEN($A100)-2),'TH_CMI GRADE 10'!$B$7:$B$49,0))="P")+
 --(INDEX('TH_CMI GRADE 10'!$Q$7:$Q$49,MATCH(LEFT($A100,LEN($A100)-2),'TH_CMI GRADE 10'!$B$7:$B$49,0))="P")+
 --(INDEX('TH_CMI GRADE 10'!$W$7:$W$49,MATCH(LEFT($A100,LEN($A100)-2),'TH_CMI GRADE 10'!$B$7:$B$49,0))="P")+
 --(INDEX('TH_CMI GRADE 10'!$AC$7:$AC$49,MATCH(LEFT($A100,LEN($A100)-2),'TH_CMI GRADE 10'!$B$7:$B$49,0))="P")+
 --(INDEX('TH_CMI GRADE 10'!$AI$7:$AI$49,MATCH(LEFT($A100,LEN($A100)-2),'TH_CMI GRADE 10'!$B$7:$B$49,0))="P")+
 --(INDEX('TH_CMI GRADE 10'!$AO$7:$AO$49,MATCH(LEFT($A100,LEN($A100)-2),'TH_CMI GRADE 10'!$B$7:$B$49,0))="P"),
0)</f>
        <v>2</v>
      </c>
      <c r="D100" s="144" t="b" cm="1">
        <f t="array" aca="1" ref="D100" ca="1">_xlfn.LET(_xlpm.k,LEFT(A100,LEN(A100)-2),_xlpm.idx,IFERROR(MATCH(_xlpm.k,'TH_CMI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00" s="25">
        <f t="shared" ca="1" si="4"/>
        <v>1</v>
      </c>
      <c r="F100" s="24" t="s">
        <v>305</v>
      </c>
      <c r="G100">
        <v>2</v>
      </c>
      <c r="H100">
        <f>IFERROR(
 --(INDEX('PW_CMI GRADE 10'!$E$7:$E$49,MATCH(LEFT($A100,LEN($A100)-2),'PW_CMI GRADE 10'!$B$7:$B$49,0))="P")+
 --(INDEX('PW_CMI GRADE 10'!$K$7:$K$49,MATCH(LEFT($A100,LEN($A100)-2),'PW_CMI GRADE 10'!$B$7:$B$49,0))="P")+
 --(INDEX('PW_CMI GRADE 10'!$Q$7:$Q$49,MATCH(LEFT($A100,LEN($A100)-2),'PW_CMI GRADE 10'!$B$7:$B$49,0))="P")+
 --(INDEX('PW_CMI GRADE 10'!$W$7:$W$49,MATCH(LEFT($A100,LEN($A100)-2),'PW_CMI GRADE 10'!$B$7:$B$49,0))="P")+
 --(INDEX('PW_CMI GRADE 10'!$AC$7:$AC$49,MATCH(LEFT($A100,LEN($A100)-2),'PW_CMI GRADE 10'!$B$7:$B$49,0))="P")+
 --(INDEX('PW_CMI GRADE 10'!$AI$7:$AI$49,MATCH(LEFT($A100,LEN($A100)-2),'PW_CMI GRADE 10'!$B$7:$B$49,0))="P")+
 --(INDEX('PW_CMI GRADE 10'!$AO$7:$AO$49,MATCH(LEFT($A100,LEN($A100)-2),'PW_CMI GRADE 10'!$B$7:$B$49,0))="P"),
0)</f>
        <v>0</v>
      </c>
      <c r="I100" s="24" t="b" cm="1">
        <f t="array" aca="1" ref="I100" ca="1">_xlfn.LET(_xlpm.k,LEFT($A100,LEN($A100)-2),_xlpm.idx,IFERROR(MATCH(_xlpm.k,'PW_CMI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00" s="25" t="str">
        <f t="shared" ca="1" si="3"/>
        <v/>
      </c>
    </row>
    <row r="101" spans="1:10">
      <c r="A101" s="24" t="s">
        <v>306</v>
      </c>
      <c r="B101">
        <v>2</v>
      </c>
      <c r="C101">
        <f>IFERROR(
 --(INDEX('TH_CMI GRADE 10'!$E$7:$E$49,MATCH(LEFT($A101,LEN($A101)-2),'TH_CMI GRADE 10'!$B$7:$B$49,0))="P")+
 --(INDEX('TH_CMI GRADE 10'!$K$7:$K$49,MATCH(LEFT($A101,LEN($A101)-2),'TH_CMI GRADE 10'!$B$7:$B$49,0))="P")+
 --(INDEX('TH_CMI GRADE 10'!$Q$7:$Q$49,MATCH(LEFT($A101,LEN($A101)-2),'TH_CMI GRADE 10'!$B$7:$B$49,0))="P")+
 --(INDEX('TH_CMI GRADE 10'!$W$7:$W$49,MATCH(LEFT($A101,LEN($A101)-2),'TH_CMI GRADE 10'!$B$7:$B$49,0))="P")+
 --(INDEX('TH_CMI GRADE 10'!$AC$7:$AC$49,MATCH(LEFT($A101,LEN($A101)-2),'TH_CMI GRADE 10'!$B$7:$B$49,0))="P")+
 --(INDEX('TH_CMI GRADE 10'!$AI$7:$AI$49,MATCH(LEFT($A101,LEN($A101)-2),'TH_CMI GRADE 10'!$B$7:$B$49,0))="P")+
 --(INDEX('TH_CMI GRADE 10'!$AO$7:$AO$49,MATCH(LEFT($A101,LEN($A101)-2),'TH_CMI GRADE 10'!$B$7:$B$49,0))="P"),
0)</f>
        <v>2</v>
      </c>
      <c r="D101" s="144" t="b" cm="1">
        <f t="array" aca="1" ref="D101" ca="1">_xlfn.LET(_xlpm.k,LEFT(A101,LEN(A101)-2),_xlpm.idx,IFERROR(MATCH(_xlpm.k,'TH_CMI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01" s="25">
        <f t="shared" ca="1" si="4"/>
        <v>1</v>
      </c>
      <c r="F101" s="24" t="s">
        <v>306</v>
      </c>
      <c r="G101">
        <v>2</v>
      </c>
      <c r="H101">
        <f>IFERROR(
 --(INDEX('PW_CMI GRADE 10'!$E$7:$E$49,MATCH(LEFT($A101,LEN($A101)-2),'PW_CMI GRADE 10'!$B$7:$B$49,0))="P")+
 --(INDEX('PW_CMI GRADE 10'!$K$7:$K$49,MATCH(LEFT($A101,LEN($A101)-2),'PW_CMI GRADE 10'!$B$7:$B$49,0))="P")+
 --(INDEX('PW_CMI GRADE 10'!$Q$7:$Q$49,MATCH(LEFT($A101,LEN($A101)-2),'PW_CMI GRADE 10'!$B$7:$B$49,0))="P")+
 --(INDEX('PW_CMI GRADE 10'!$W$7:$W$49,MATCH(LEFT($A101,LEN($A101)-2),'PW_CMI GRADE 10'!$B$7:$B$49,0))="P")+
 --(INDEX('PW_CMI GRADE 10'!$AC$7:$AC$49,MATCH(LEFT($A101,LEN($A101)-2),'PW_CMI GRADE 10'!$B$7:$B$49,0))="P")+
 --(INDEX('PW_CMI GRADE 10'!$AI$7:$AI$49,MATCH(LEFT($A101,LEN($A101)-2),'PW_CMI GRADE 10'!$B$7:$B$49,0))="P")+
 --(INDEX('PW_CMI GRADE 10'!$AO$7:$AO$49,MATCH(LEFT($A101,LEN($A101)-2),'PW_CMI GRADE 10'!$B$7:$B$49,0))="P"),
0)</f>
        <v>0</v>
      </c>
      <c r="I101" s="24" t="b" cm="1">
        <f t="array" aca="1" ref="I101" ca="1">_xlfn.LET(_xlpm.k,LEFT($A101,LEN($A101)-2),_xlpm.idx,IFERROR(MATCH(_xlpm.k,'PW_CMI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01" s="25" t="str">
        <f t="shared" ca="1" si="3"/>
        <v/>
      </c>
    </row>
    <row r="102" spans="1:10">
      <c r="A102" s="24" t="s">
        <v>307</v>
      </c>
      <c r="B102">
        <v>2</v>
      </c>
      <c r="C102">
        <f>IFERROR(
 --(INDEX('TH_CMI GRADE 10'!$E$7:$E$49,MATCH(LEFT($A102,LEN($A102)-2),'TH_CMI GRADE 10'!$B$7:$B$49,0))="P")+
 --(INDEX('TH_CMI GRADE 10'!$K$7:$K$49,MATCH(LEFT($A102,LEN($A102)-2),'TH_CMI GRADE 10'!$B$7:$B$49,0))="P")+
 --(INDEX('TH_CMI GRADE 10'!$Q$7:$Q$49,MATCH(LEFT($A102,LEN($A102)-2),'TH_CMI GRADE 10'!$B$7:$B$49,0))="P")+
 --(INDEX('TH_CMI GRADE 10'!$W$7:$W$49,MATCH(LEFT($A102,LEN($A102)-2),'TH_CMI GRADE 10'!$B$7:$B$49,0))="P")+
 --(INDEX('TH_CMI GRADE 10'!$AC$7:$AC$49,MATCH(LEFT($A102,LEN($A102)-2),'TH_CMI GRADE 10'!$B$7:$B$49,0))="P")+
 --(INDEX('TH_CMI GRADE 10'!$AI$7:$AI$49,MATCH(LEFT($A102,LEN($A102)-2),'TH_CMI GRADE 10'!$B$7:$B$49,0))="P")+
 --(INDEX('TH_CMI GRADE 10'!$AO$7:$AO$49,MATCH(LEFT($A102,LEN($A102)-2),'TH_CMI GRADE 10'!$B$7:$B$49,0))="P"),
0)</f>
        <v>2</v>
      </c>
      <c r="D102" s="144" t="b" cm="1">
        <f t="array" aca="1" ref="D102" ca="1">_xlfn.LET(_xlpm.k,LEFT(A102,LEN(A102)-2),_xlpm.idx,IFERROR(MATCH(_xlpm.k,'TH_CMI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02" s="25">
        <f t="shared" ca="1" si="4"/>
        <v>1</v>
      </c>
      <c r="F102" s="24" t="s">
        <v>307</v>
      </c>
      <c r="G102">
        <v>2</v>
      </c>
      <c r="H102">
        <f>IFERROR(
 --(INDEX('PW_CMI GRADE 10'!$E$7:$E$49,MATCH(LEFT($A102,LEN($A102)-2),'PW_CMI GRADE 10'!$B$7:$B$49,0))="P")+
 --(INDEX('PW_CMI GRADE 10'!$K$7:$K$49,MATCH(LEFT($A102,LEN($A102)-2),'PW_CMI GRADE 10'!$B$7:$B$49,0))="P")+
 --(INDEX('PW_CMI GRADE 10'!$Q$7:$Q$49,MATCH(LEFT($A102,LEN($A102)-2),'PW_CMI GRADE 10'!$B$7:$B$49,0))="P")+
 --(INDEX('PW_CMI GRADE 10'!$W$7:$W$49,MATCH(LEFT($A102,LEN($A102)-2),'PW_CMI GRADE 10'!$B$7:$B$49,0))="P")+
 --(INDEX('PW_CMI GRADE 10'!$AC$7:$AC$49,MATCH(LEFT($A102,LEN($A102)-2),'PW_CMI GRADE 10'!$B$7:$B$49,0))="P")+
 --(INDEX('PW_CMI GRADE 10'!$AI$7:$AI$49,MATCH(LEFT($A102,LEN($A102)-2),'PW_CMI GRADE 10'!$B$7:$B$49,0))="P")+
 --(INDEX('PW_CMI GRADE 10'!$AO$7:$AO$49,MATCH(LEFT($A102,LEN($A102)-2),'PW_CMI GRADE 10'!$B$7:$B$49,0))="P"),
0)</f>
        <v>0</v>
      </c>
      <c r="I102" s="24" t="b" cm="1">
        <f t="array" aca="1" ref="I102" ca="1">_xlfn.LET(_xlpm.k,LEFT($A102,LEN($A102)-2),_xlpm.idx,IFERROR(MATCH(_xlpm.k,'PW_CMI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02" s="25" t="str">
        <f t="shared" ca="1" si="3"/>
        <v/>
      </c>
    </row>
    <row r="103" spans="1:10">
      <c r="A103" s="24" t="s">
        <v>308</v>
      </c>
      <c r="B103">
        <v>2</v>
      </c>
      <c r="C103">
        <f>IFERROR(
 --(INDEX('TH_CMI GRADE 10'!$E$7:$E$49,MATCH(LEFT($A103,LEN($A103)-2),'TH_CMI GRADE 10'!$B$7:$B$49,0))="P")+
 --(INDEX('TH_CMI GRADE 10'!$K$7:$K$49,MATCH(LEFT($A103,LEN($A103)-2),'TH_CMI GRADE 10'!$B$7:$B$49,0))="P")+
 --(INDEX('TH_CMI GRADE 10'!$Q$7:$Q$49,MATCH(LEFT($A103,LEN($A103)-2),'TH_CMI GRADE 10'!$B$7:$B$49,0))="P")+
 --(INDEX('TH_CMI GRADE 10'!$W$7:$W$49,MATCH(LEFT($A103,LEN($A103)-2),'TH_CMI GRADE 10'!$B$7:$B$49,0))="P")+
 --(INDEX('TH_CMI GRADE 10'!$AC$7:$AC$49,MATCH(LEFT($A103,LEN($A103)-2),'TH_CMI GRADE 10'!$B$7:$B$49,0))="P")+
 --(INDEX('TH_CMI GRADE 10'!$AI$7:$AI$49,MATCH(LEFT($A103,LEN($A103)-2),'TH_CMI GRADE 10'!$B$7:$B$49,0))="P")+
 --(INDEX('TH_CMI GRADE 10'!$AO$7:$AO$49,MATCH(LEFT($A103,LEN($A103)-2),'TH_CMI GRADE 10'!$B$7:$B$49,0))="P"),
0)</f>
        <v>2</v>
      </c>
      <c r="D103" s="144" t="b" cm="1">
        <f t="array" aca="1" ref="D103" ca="1">_xlfn.LET(_xlpm.k,LEFT(A103,LEN(A103)-2),_xlpm.idx,IFERROR(MATCH(_xlpm.k,'TH_CMI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03" s="25">
        <f t="shared" ca="1" si="4"/>
        <v>1</v>
      </c>
      <c r="F103" s="24" t="s">
        <v>308</v>
      </c>
      <c r="G103">
        <v>2</v>
      </c>
      <c r="H103">
        <f>IFERROR(
 --(INDEX('PW_CMI GRADE 10'!$E$7:$E$49,MATCH(LEFT($A103,LEN($A103)-2),'PW_CMI GRADE 10'!$B$7:$B$49,0))="P")+
 --(INDEX('PW_CMI GRADE 10'!$K$7:$K$49,MATCH(LEFT($A103,LEN($A103)-2),'PW_CMI GRADE 10'!$B$7:$B$49,0))="P")+
 --(INDEX('PW_CMI GRADE 10'!$Q$7:$Q$49,MATCH(LEFT($A103,LEN($A103)-2),'PW_CMI GRADE 10'!$B$7:$B$49,0))="P")+
 --(INDEX('PW_CMI GRADE 10'!$W$7:$W$49,MATCH(LEFT($A103,LEN($A103)-2),'PW_CMI GRADE 10'!$B$7:$B$49,0))="P")+
 --(INDEX('PW_CMI GRADE 10'!$AC$7:$AC$49,MATCH(LEFT($A103,LEN($A103)-2),'PW_CMI GRADE 10'!$B$7:$B$49,0))="P")+
 --(INDEX('PW_CMI GRADE 10'!$AI$7:$AI$49,MATCH(LEFT($A103,LEN($A103)-2),'PW_CMI GRADE 10'!$B$7:$B$49,0))="P")+
 --(INDEX('PW_CMI GRADE 10'!$AO$7:$AO$49,MATCH(LEFT($A103,LEN($A103)-2),'PW_CMI GRADE 10'!$B$7:$B$49,0))="P"),
0)</f>
        <v>0</v>
      </c>
      <c r="I103" s="24" t="b" cm="1">
        <f t="array" aca="1" ref="I103" ca="1">_xlfn.LET(_xlpm.k,LEFT($A103,LEN($A103)-2),_xlpm.idx,IFERROR(MATCH(_xlpm.k,'PW_CMI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03" s="25" t="str">
        <f t="shared" ca="1" si="3"/>
        <v/>
      </c>
    </row>
    <row r="104" spans="1:10">
      <c r="A104" s="24" t="s">
        <v>309</v>
      </c>
      <c r="B104">
        <v>2</v>
      </c>
      <c r="C104">
        <f>IFERROR(
 --(INDEX('TH_CMI GRADE 10'!$E$7:$E$49,MATCH(LEFT($A104,LEN($A104)-2),'TH_CMI GRADE 10'!$B$7:$B$49,0))="P")+
 --(INDEX('TH_CMI GRADE 10'!$K$7:$K$49,MATCH(LEFT($A104,LEN($A104)-2),'TH_CMI GRADE 10'!$B$7:$B$49,0))="P")+
 --(INDEX('TH_CMI GRADE 10'!$Q$7:$Q$49,MATCH(LEFT($A104,LEN($A104)-2),'TH_CMI GRADE 10'!$B$7:$B$49,0))="P")+
 --(INDEX('TH_CMI GRADE 10'!$W$7:$W$49,MATCH(LEFT($A104,LEN($A104)-2),'TH_CMI GRADE 10'!$B$7:$B$49,0))="P")+
 --(INDEX('TH_CMI GRADE 10'!$AC$7:$AC$49,MATCH(LEFT($A104,LEN($A104)-2),'TH_CMI GRADE 10'!$B$7:$B$49,0))="P")+
 --(INDEX('TH_CMI GRADE 10'!$AI$7:$AI$49,MATCH(LEFT($A104,LEN($A104)-2),'TH_CMI GRADE 10'!$B$7:$B$49,0))="P")+
 --(INDEX('TH_CMI GRADE 10'!$AO$7:$AO$49,MATCH(LEFT($A104,LEN($A104)-2),'TH_CMI GRADE 10'!$B$7:$B$49,0))="P"),
0)</f>
        <v>2</v>
      </c>
      <c r="D104" s="144" t="b" cm="1">
        <f t="array" aca="1" ref="D104" ca="1">_xlfn.LET(_xlpm.k,LEFT(A104,LEN(A104)-2),_xlpm.idx,IFERROR(MATCH(_xlpm.k,'TH_CMI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04" s="25">
        <f t="shared" ca="1" si="4"/>
        <v>1</v>
      </c>
      <c r="F104" s="24" t="s">
        <v>309</v>
      </c>
      <c r="G104">
        <v>2</v>
      </c>
      <c r="H104">
        <f>IFERROR(
 --(INDEX('PW_CMI GRADE 10'!$E$7:$E$49,MATCH(LEFT($A104,LEN($A104)-2),'PW_CMI GRADE 10'!$B$7:$B$49,0))="P")+
 --(INDEX('PW_CMI GRADE 10'!$K$7:$K$49,MATCH(LEFT($A104,LEN($A104)-2),'PW_CMI GRADE 10'!$B$7:$B$49,0))="P")+
 --(INDEX('PW_CMI GRADE 10'!$Q$7:$Q$49,MATCH(LEFT($A104,LEN($A104)-2),'PW_CMI GRADE 10'!$B$7:$B$49,0))="P")+
 --(INDEX('PW_CMI GRADE 10'!$W$7:$W$49,MATCH(LEFT($A104,LEN($A104)-2),'PW_CMI GRADE 10'!$B$7:$B$49,0))="P")+
 --(INDEX('PW_CMI GRADE 10'!$AC$7:$AC$49,MATCH(LEFT($A104,LEN($A104)-2),'PW_CMI GRADE 10'!$B$7:$B$49,0))="P")+
 --(INDEX('PW_CMI GRADE 10'!$AI$7:$AI$49,MATCH(LEFT($A104,LEN($A104)-2),'PW_CMI GRADE 10'!$B$7:$B$49,0))="P")+
 --(INDEX('PW_CMI GRADE 10'!$AO$7:$AO$49,MATCH(LEFT($A104,LEN($A104)-2),'PW_CMI GRADE 10'!$B$7:$B$49,0))="P"),
0)</f>
        <v>0</v>
      </c>
      <c r="I104" s="24" t="b" cm="1">
        <f t="array" aca="1" ref="I104" ca="1">_xlfn.LET(_xlpm.k,LEFT($A104,LEN($A104)-2),_xlpm.idx,IFERROR(MATCH(_xlpm.k,'PW_CMI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04" s="25" t="str">
        <f t="shared" ca="1" si="3"/>
        <v/>
      </c>
    </row>
    <row r="105" spans="1:10">
      <c r="A105" s="24" t="s">
        <v>310</v>
      </c>
      <c r="B105">
        <v>2</v>
      </c>
      <c r="C105">
        <f>IFERROR(
 --(INDEX('TH_CMI GRADE 10'!$E$7:$E$49,MATCH(LEFT($A105,LEN($A105)-2),'TH_CMI GRADE 10'!$B$7:$B$49,0))="P")+
 --(INDEX('TH_CMI GRADE 10'!$K$7:$K$49,MATCH(LEFT($A105,LEN($A105)-2),'TH_CMI GRADE 10'!$B$7:$B$49,0))="P")+
 --(INDEX('TH_CMI GRADE 10'!$Q$7:$Q$49,MATCH(LEFT($A105,LEN($A105)-2),'TH_CMI GRADE 10'!$B$7:$B$49,0))="P")+
 --(INDEX('TH_CMI GRADE 10'!$W$7:$W$49,MATCH(LEFT($A105,LEN($A105)-2),'TH_CMI GRADE 10'!$B$7:$B$49,0))="P")+
 --(INDEX('TH_CMI GRADE 10'!$AC$7:$AC$49,MATCH(LEFT($A105,LEN($A105)-2),'TH_CMI GRADE 10'!$B$7:$B$49,0))="P")+
 --(INDEX('TH_CMI GRADE 10'!$AI$7:$AI$49,MATCH(LEFT($A105,LEN($A105)-2),'TH_CMI GRADE 10'!$B$7:$B$49,0))="P")+
 --(INDEX('TH_CMI GRADE 10'!$AO$7:$AO$49,MATCH(LEFT($A105,LEN($A105)-2),'TH_CMI GRADE 10'!$B$7:$B$49,0))="P"),
0)</f>
        <v>2</v>
      </c>
      <c r="D105" s="144" t="b" cm="1">
        <f t="array" aca="1" ref="D105" ca="1">_xlfn.LET(_xlpm.k,LEFT(A105,LEN(A105)-2),_xlpm.idx,IFERROR(MATCH(_xlpm.k,'TH_CMI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05" s="25">
        <f t="shared" ca="1" si="4"/>
        <v>1</v>
      </c>
      <c r="F105" s="24" t="s">
        <v>310</v>
      </c>
      <c r="G105">
        <v>2</v>
      </c>
      <c r="H105">
        <f>IFERROR(
 --(INDEX('PW_CMI GRADE 10'!$E$7:$E$49,MATCH(LEFT($A105,LEN($A105)-2),'PW_CMI GRADE 10'!$B$7:$B$49,0))="P")+
 --(INDEX('PW_CMI GRADE 10'!$K$7:$K$49,MATCH(LEFT($A105,LEN($A105)-2),'PW_CMI GRADE 10'!$B$7:$B$49,0))="P")+
 --(INDEX('PW_CMI GRADE 10'!$Q$7:$Q$49,MATCH(LEFT($A105,LEN($A105)-2),'PW_CMI GRADE 10'!$B$7:$B$49,0))="P")+
 --(INDEX('PW_CMI GRADE 10'!$W$7:$W$49,MATCH(LEFT($A105,LEN($A105)-2),'PW_CMI GRADE 10'!$B$7:$B$49,0))="P")+
 --(INDEX('PW_CMI GRADE 10'!$AC$7:$AC$49,MATCH(LEFT($A105,LEN($A105)-2),'PW_CMI GRADE 10'!$B$7:$B$49,0))="P")+
 --(INDEX('PW_CMI GRADE 10'!$AI$7:$AI$49,MATCH(LEFT($A105,LEN($A105)-2),'PW_CMI GRADE 10'!$B$7:$B$49,0))="P")+
 --(INDEX('PW_CMI GRADE 10'!$AO$7:$AO$49,MATCH(LEFT($A105,LEN($A105)-2),'PW_CMI GRADE 10'!$B$7:$B$49,0))="P"),
0)</f>
        <v>0</v>
      </c>
      <c r="I105" s="24" t="b" cm="1">
        <f t="array" aca="1" ref="I105" ca="1">_xlfn.LET(_xlpm.k,LEFT($A105,LEN($A105)-2),_xlpm.idx,IFERROR(MATCH(_xlpm.k,'PW_CMI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05" s="25" t="str">
        <f t="shared" ca="1" si="3"/>
        <v/>
      </c>
    </row>
    <row r="106" spans="1:10">
      <c r="A106" s="24" t="s">
        <v>311</v>
      </c>
      <c r="B106">
        <v>2</v>
      </c>
      <c r="C106">
        <f>IFERROR(
 --(INDEX('TH_CMI GRADE 10'!$E$7:$E$49,MATCH(LEFT($A106,LEN($A106)-2),'TH_CMI GRADE 10'!$B$7:$B$49,0))="P")+
 --(INDEX('TH_CMI GRADE 10'!$K$7:$K$49,MATCH(LEFT($A106,LEN($A106)-2),'TH_CMI GRADE 10'!$B$7:$B$49,0))="P")+
 --(INDEX('TH_CMI GRADE 10'!$Q$7:$Q$49,MATCH(LEFT($A106,LEN($A106)-2),'TH_CMI GRADE 10'!$B$7:$B$49,0))="P")+
 --(INDEX('TH_CMI GRADE 10'!$W$7:$W$49,MATCH(LEFT($A106,LEN($A106)-2),'TH_CMI GRADE 10'!$B$7:$B$49,0))="P")+
 --(INDEX('TH_CMI GRADE 10'!$AC$7:$AC$49,MATCH(LEFT($A106,LEN($A106)-2),'TH_CMI GRADE 10'!$B$7:$B$49,0))="P")+
 --(INDEX('TH_CMI GRADE 10'!$AI$7:$AI$49,MATCH(LEFT($A106,LEN($A106)-2),'TH_CMI GRADE 10'!$B$7:$B$49,0))="P")+
 --(INDEX('TH_CMI GRADE 10'!$AO$7:$AO$49,MATCH(LEFT($A106,LEN($A106)-2),'TH_CMI GRADE 10'!$B$7:$B$49,0))="P"),
0)</f>
        <v>2</v>
      </c>
      <c r="D106" s="144" t="b" cm="1">
        <f t="array" aca="1" ref="D106" ca="1">_xlfn.LET(_xlpm.k,LEFT(A106,LEN(A106)-2),_xlpm.idx,IFERROR(MATCH(_xlpm.k,'TH_CMI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06" s="25">
        <f t="shared" ca="1" si="4"/>
        <v>1</v>
      </c>
      <c r="F106" s="24" t="s">
        <v>311</v>
      </c>
      <c r="G106">
        <v>2</v>
      </c>
      <c r="H106">
        <f>IFERROR(
 --(INDEX('PW_CMI GRADE 10'!$E$7:$E$49,MATCH(LEFT($A106,LEN($A106)-2),'PW_CMI GRADE 10'!$B$7:$B$49,0))="P")+
 --(INDEX('PW_CMI GRADE 10'!$K$7:$K$49,MATCH(LEFT($A106,LEN($A106)-2),'PW_CMI GRADE 10'!$B$7:$B$49,0))="P")+
 --(INDEX('PW_CMI GRADE 10'!$Q$7:$Q$49,MATCH(LEFT($A106,LEN($A106)-2),'PW_CMI GRADE 10'!$B$7:$B$49,0))="P")+
 --(INDEX('PW_CMI GRADE 10'!$W$7:$W$49,MATCH(LEFT($A106,LEN($A106)-2),'PW_CMI GRADE 10'!$B$7:$B$49,0))="P")+
 --(INDEX('PW_CMI GRADE 10'!$AC$7:$AC$49,MATCH(LEFT($A106,LEN($A106)-2),'PW_CMI GRADE 10'!$B$7:$B$49,0))="P")+
 --(INDEX('PW_CMI GRADE 10'!$AI$7:$AI$49,MATCH(LEFT($A106,LEN($A106)-2),'PW_CMI GRADE 10'!$B$7:$B$49,0))="P")+
 --(INDEX('PW_CMI GRADE 10'!$AO$7:$AO$49,MATCH(LEFT($A106,LEN($A106)-2),'PW_CMI GRADE 10'!$B$7:$B$49,0))="P"),
0)</f>
        <v>0</v>
      </c>
      <c r="I106" s="24" t="b" cm="1">
        <f t="array" aca="1" ref="I106" ca="1">_xlfn.LET(_xlpm.k,LEFT($A106,LEN($A106)-2),_xlpm.idx,IFERROR(MATCH(_xlpm.k,'PW_CMI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06" s="25" t="str">
        <f t="shared" ca="1" si="3"/>
        <v/>
      </c>
    </row>
    <row r="107" spans="1:10">
      <c r="A107" s="24" t="s">
        <v>312</v>
      </c>
      <c r="B107">
        <v>2</v>
      </c>
      <c r="C107">
        <f>IFERROR(
 --(INDEX('TH_CMI GRADE 10'!$E$7:$E$49,MATCH(LEFT($A107,LEN($A107)-2),'TH_CMI GRADE 10'!$B$7:$B$49,0))="P")+
 --(INDEX('TH_CMI GRADE 10'!$K$7:$K$49,MATCH(LEFT($A107,LEN($A107)-2),'TH_CMI GRADE 10'!$B$7:$B$49,0))="P")+
 --(INDEX('TH_CMI GRADE 10'!$Q$7:$Q$49,MATCH(LEFT($A107,LEN($A107)-2),'TH_CMI GRADE 10'!$B$7:$B$49,0))="P")+
 --(INDEX('TH_CMI GRADE 10'!$W$7:$W$49,MATCH(LEFT($A107,LEN($A107)-2),'TH_CMI GRADE 10'!$B$7:$B$49,0))="P")+
 --(INDEX('TH_CMI GRADE 10'!$AC$7:$AC$49,MATCH(LEFT($A107,LEN($A107)-2),'TH_CMI GRADE 10'!$B$7:$B$49,0))="P")+
 --(INDEX('TH_CMI GRADE 10'!$AI$7:$AI$49,MATCH(LEFT($A107,LEN($A107)-2),'TH_CMI GRADE 10'!$B$7:$B$49,0))="P")+
 --(INDEX('TH_CMI GRADE 10'!$AO$7:$AO$49,MATCH(LEFT($A107,LEN($A107)-2),'TH_CMI GRADE 10'!$B$7:$B$49,0))="P"),
0)</f>
        <v>2</v>
      </c>
      <c r="D107" s="144" t="b" cm="1">
        <f t="array" aca="1" ref="D107" ca="1">_xlfn.LET(_xlpm.k,LEFT(A107,LEN(A107)-2),_xlpm.idx,IFERROR(MATCH(_xlpm.k,'TH_CMI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07" s="25">
        <f t="shared" ca="1" si="4"/>
        <v>1</v>
      </c>
      <c r="F107" s="24" t="s">
        <v>312</v>
      </c>
      <c r="G107">
        <v>2</v>
      </c>
      <c r="H107">
        <f>IFERROR(
 --(INDEX('PW_CMI GRADE 10'!$E$7:$E$49,MATCH(LEFT($A107,LEN($A107)-2),'PW_CMI GRADE 10'!$B$7:$B$49,0))="P")+
 --(INDEX('PW_CMI GRADE 10'!$K$7:$K$49,MATCH(LEFT($A107,LEN($A107)-2),'PW_CMI GRADE 10'!$B$7:$B$49,0))="P")+
 --(INDEX('PW_CMI GRADE 10'!$Q$7:$Q$49,MATCH(LEFT($A107,LEN($A107)-2),'PW_CMI GRADE 10'!$B$7:$B$49,0))="P")+
 --(INDEX('PW_CMI GRADE 10'!$W$7:$W$49,MATCH(LEFT($A107,LEN($A107)-2),'PW_CMI GRADE 10'!$B$7:$B$49,0))="P")+
 --(INDEX('PW_CMI GRADE 10'!$AC$7:$AC$49,MATCH(LEFT($A107,LEN($A107)-2),'PW_CMI GRADE 10'!$B$7:$B$49,0))="P")+
 --(INDEX('PW_CMI GRADE 10'!$AI$7:$AI$49,MATCH(LEFT($A107,LEN($A107)-2),'PW_CMI GRADE 10'!$B$7:$B$49,0))="P")+
 --(INDEX('PW_CMI GRADE 10'!$AO$7:$AO$49,MATCH(LEFT($A107,LEN($A107)-2),'PW_CMI GRADE 10'!$B$7:$B$49,0))="P"),
0)</f>
        <v>0</v>
      </c>
      <c r="I107" s="24" t="b" cm="1">
        <f t="array" aca="1" ref="I107" ca="1">_xlfn.LET(_xlpm.k,LEFT($A107,LEN($A107)-2),_xlpm.idx,IFERROR(MATCH(_xlpm.k,'PW_CMI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07" s="25" t="str">
        <f t="shared" ca="1" si="3"/>
        <v/>
      </c>
    </row>
    <row r="108" spans="1:10">
      <c r="A108" s="24" t="s">
        <v>313</v>
      </c>
      <c r="B108">
        <v>2</v>
      </c>
      <c r="C108">
        <f>IFERROR(
 --(INDEX('TH_CMI GRADE 10'!$E$7:$E$49,MATCH(LEFT($A108,LEN($A108)-2),'TH_CMI GRADE 10'!$B$7:$B$49,0))="P")+
 --(INDEX('TH_CMI GRADE 10'!$K$7:$K$49,MATCH(LEFT($A108,LEN($A108)-2),'TH_CMI GRADE 10'!$B$7:$B$49,0))="P")+
 --(INDEX('TH_CMI GRADE 10'!$Q$7:$Q$49,MATCH(LEFT($A108,LEN($A108)-2),'TH_CMI GRADE 10'!$B$7:$B$49,0))="P")+
 --(INDEX('TH_CMI GRADE 10'!$W$7:$W$49,MATCH(LEFT($A108,LEN($A108)-2),'TH_CMI GRADE 10'!$B$7:$B$49,0))="P")+
 --(INDEX('TH_CMI GRADE 10'!$AC$7:$AC$49,MATCH(LEFT($A108,LEN($A108)-2),'TH_CMI GRADE 10'!$B$7:$B$49,0))="P")+
 --(INDEX('TH_CMI GRADE 10'!$AI$7:$AI$49,MATCH(LEFT($A108,LEN($A108)-2),'TH_CMI GRADE 10'!$B$7:$B$49,0))="P")+
 --(INDEX('TH_CMI GRADE 10'!$AO$7:$AO$49,MATCH(LEFT($A108,LEN($A108)-2),'TH_CMI GRADE 10'!$B$7:$B$49,0))="P"),
0)</f>
        <v>2</v>
      </c>
      <c r="D108" s="144" t="b" cm="1">
        <f t="array" aca="1" ref="D108" ca="1">_xlfn.LET(_xlpm.k,LEFT(A108,LEN(A108)-2),_xlpm.idx,IFERROR(MATCH(_xlpm.k,'TH_CMI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08" s="25">
        <f t="shared" ca="1" si="4"/>
        <v>1</v>
      </c>
      <c r="F108" s="24" t="s">
        <v>313</v>
      </c>
      <c r="G108">
        <v>2</v>
      </c>
      <c r="H108">
        <f>IFERROR(
 --(INDEX('PW_CMI GRADE 10'!$E$7:$E$49,MATCH(LEFT($A108,LEN($A108)-2),'PW_CMI GRADE 10'!$B$7:$B$49,0))="P")+
 --(INDEX('PW_CMI GRADE 10'!$K$7:$K$49,MATCH(LEFT($A108,LEN($A108)-2),'PW_CMI GRADE 10'!$B$7:$B$49,0))="P")+
 --(INDEX('PW_CMI GRADE 10'!$Q$7:$Q$49,MATCH(LEFT($A108,LEN($A108)-2),'PW_CMI GRADE 10'!$B$7:$B$49,0))="P")+
 --(INDEX('PW_CMI GRADE 10'!$W$7:$W$49,MATCH(LEFT($A108,LEN($A108)-2),'PW_CMI GRADE 10'!$B$7:$B$49,0))="P")+
 --(INDEX('PW_CMI GRADE 10'!$AC$7:$AC$49,MATCH(LEFT($A108,LEN($A108)-2),'PW_CMI GRADE 10'!$B$7:$B$49,0))="P")+
 --(INDEX('PW_CMI GRADE 10'!$AI$7:$AI$49,MATCH(LEFT($A108,LEN($A108)-2),'PW_CMI GRADE 10'!$B$7:$B$49,0))="P")+
 --(INDEX('PW_CMI GRADE 10'!$AO$7:$AO$49,MATCH(LEFT($A108,LEN($A108)-2),'PW_CMI GRADE 10'!$B$7:$B$49,0))="P"),
0)</f>
        <v>0</v>
      </c>
      <c r="I108" s="24" t="b" cm="1">
        <f t="array" aca="1" ref="I108" ca="1">_xlfn.LET(_xlpm.k,LEFT($A108,LEN($A108)-2),_xlpm.idx,IFERROR(MATCH(_xlpm.k,'PW_CMI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08" s="25" t="str">
        <f t="shared" ca="1" si="3"/>
        <v/>
      </c>
    </row>
    <row r="109" spans="1:10">
      <c r="A109" s="24" t="s">
        <v>314</v>
      </c>
      <c r="B109">
        <v>2</v>
      </c>
      <c r="C109">
        <f>IFERROR(
 --(INDEX('TH_CMI GRADE 10'!$E$7:$E$49,MATCH(LEFT($A109,LEN($A109)-2),'TH_CMI GRADE 10'!$B$7:$B$49,0))="P")+
 --(INDEX('TH_CMI GRADE 10'!$K$7:$K$49,MATCH(LEFT($A109,LEN($A109)-2),'TH_CMI GRADE 10'!$B$7:$B$49,0))="P")+
 --(INDEX('TH_CMI GRADE 10'!$Q$7:$Q$49,MATCH(LEFT($A109,LEN($A109)-2),'TH_CMI GRADE 10'!$B$7:$B$49,0))="P")+
 --(INDEX('TH_CMI GRADE 10'!$W$7:$W$49,MATCH(LEFT($A109,LEN($A109)-2),'TH_CMI GRADE 10'!$B$7:$B$49,0))="P")+
 --(INDEX('TH_CMI GRADE 10'!$AC$7:$AC$49,MATCH(LEFT($A109,LEN($A109)-2),'TH_CMI GRADE 10'!$B$7:$B$49,0))="P")+
 --(INDEX('TH_CMI GRADE 10'!$AI$7:$AI$49,MATCH(LEFT($A109,LEN($A109)-2),'TH_CMI GRADE 10'!$B$7:$B$49,0))="P")+
 --(INDEX('TH_CMI GRADE 10'!$AO$7:$AO$49,MATCH(LEFT($A109,LEN($A109)-2),'TH_CMI GRADE 10'!$B$7:$B$49,0))="P"),
0)</f>
        <v>0</v>
      </c>
      <c r="D109" s="144" t="b" cm="1">
        <f t="array" aca="1" ref="D109" ca="1">_xlfn.LET(_xlpm.k,LEFT(A109,LEN(A109)-2),_xlpm.idx,IFERROR(MATCH(_xlpm.k,'TH_CMI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0</v>
      </c>
      <c r="E109" s="25" t="str">
        <f t="shared" ca="1" si="4"/>
        <v/>
      </c>
      <c r="F109" s="24" t="s">
        <v>314</v>
      </c>
      <c r="G109">
        <v>2</v>
      </c>
      <c r="H109">
        <f>IFERROR(
 --(INDEX('PW_CMI GRADE 10'!$E$7:$E$49,MATCH(LEFT($A109,LEN($A109)-2),'PW_CMI GRADE 10'!$B$7:$B$49,0))="P")+
 --(INDEX('PW_CMI GRADE 10'!$K$7:$K$49,MATCH(LEFT($A109,LEN($A109)-2),'PW_CMI GRADE 10'!$B$7:$B$49,0))="P")+
 --(INDEX('PW_CMI GRADE 10'!$Q$7:$Q$49,MATCH(LEFT($A109,LEN($A109)-2),'PW_CMI GRADE 10'!$B$7:$B$49,0))="P")+
 --(INDEX('PW_CMI GRADE 10'!$W$7:$W$49,MATCH(LEFT($A109,LEN($A109)-2),'PW_CMI GRADE 10'!$B$7:$B$49,0))="P")+
 --(INDEX('PW_CMI GRADE 10'!$AC$7:$AC$49,MATCH(LEFT($A109,LEN($A109)-2),'PW_CMI GRADE 10'!$B$7:$B$49,0))="P")+
 --(INDEX('PW_CMI GRADE 10'!$AI$7:$AI$49,MATCH(LEFT($A109,LEN($A109)-2),'PW_CMI GRADE 10'!$B$7:$B$49,0))="P")+
 --(INDEX('PW_CMI GRADE 10'!$AO$7:$AO$49,MATCH(LEFT($A109,LEN($A109)-2),'PW_CMI GRADE 10'!$B$7:$B$49,0))="P"),
0)</f>
        <v>2</v>
      </c>
      <c r="I109" s="24" t="b" cm="1">
        <f t="array" aca="1" ref="I109" ca="1">_xlfn.LET(_xlpm.k,LEFT($A109,LEN($A109)-2),_xlpm.idx,IFERROR(MATCH(_xlpm.k,'PW_CMI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1</v>
      </c>
      <c r="J109" s="25">
        <f t="shared" ca="1" si="3"/>
        <v>1</v>
      </c>
    </row>
    <row r="110" spans="1:10">
      <c r="A110" s="24" t="s">
        <v>315</v>
      </c>
      <c r="B110">
        <v>2</v>
      </c>
      <c r="C110">
        <f>IFERROR(
 --(INDEX('TH_CMI GRADE 10'!$E$7:$E$49,MATCH(LEFT($A110,LEN($A110)-2),'TH_CMI GRADE 10'!$B$7:$B$49,0))="P")+
 --(INDEX('TH_CMI GRADE 10'!$K$7:$K$49,MATCH(LEFT($A110,LEN($A110)-2),'TH_CMI GRADE 10'!$B$7:$B$49,0))="P")+
 --(INDEX('TH_CMI GRADE 10'!$Q$7:$Q$49,MATCH(LEFT($A110,LEN($A110)-2),'TH_CMI GRADE 10'!$B$7:$B$49,0))="P")+
 --(INDEX('TH_CMI GRADE 10'!$W$7:$W$49,MATCH(LEFT($A110,LEN($A110)-2),'TH_CMI GRADE 10'!$B$7:$B$49,0))="P")+
 --(INDEX('TH_CMI GRADE 10'!$AC$7:$AC$49,MATCH(LEFT($A110,LEN($A110)-2),'TH_CMI GRADE 10'!$B$7:$B$49,0))="P")+
 --(INDEX('TH_CMI GRADE 10'!$AI$7:$AI$49,MATCH(LEFT($A110,LEN($A110)-2),'TH_CMI GRADE 10'!$B$7:$B$49,0))="P")+
 --(INDEX('TH_CMI GRADE 10'!$AO$7:$AO$49,MATCH(LEFT($A110,LEN($A110)-2),'TH_CMI GRADE 10'!$B$7:$B$49,0))="P"),
0)</f>
        <v>0</v>
      </c>
      <c r="D110" s="144" t="b" cm="1">
        <f t="array" aca="1" ref="D110" ca="1">_xlfn.LET(_xlpm.k,LEFT(A110,LEN(A110)-2),_xlpm.idx,IFERROR(MATCH(_xlpm.k,'TH_CMI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0</v>
      </c>
      <c r="E110" s="25" t="str">
        <f t="shared" ca="1" si="4"/>
        <v/>
      </c>
      <c r="F110" s="24" t="s">
        <v>315</v>
      </c>
      <c r="G110">
        <v>2</v>
      </c>
      <c r="H110">
        <f>IFERROR(
 --(INDEX('PW_CMI GRADE 10'!$E$7:$E$49,MATCH(LEFT($A110,LEN($A110)-2),'PW_CMI GRADE 10'!$B$7:$B$49,0))="P")+
 --(INDEX('PW_CMI GRADE 10'!$K$7:$K$49,MATCH(LEFT($A110,LEN($A110)-2),'PW_CMI GRADE 10'!$B$7:$B$49,0))="P")+
 --(INDEX('PW_CMI GRADE 10'!$Q$7:$Q$49,MATCH(LEFT($A110,LEN($A110)-2),'PW_CMI GRADE 10'!$B$7:$B$49,0))="P")+
 --(INDEX('PW_CMI GRADE 10'!$W$7:$W$49,MATCH(LEFT($A110,LEN($A110)-2),'PW_CMI GRADE 10'!$B$7:$B$49,0))="P")+
 --(INDEX('PW_CMI GRADE 10'!$AC$7:$AC$49,MATCH(LEFT($A110,LEN($A110)-2),'PW_CMI GRADE 10'!$B$7:$B$49,0))="P")+
 --(INDEX('PW_CMI GRADE 10'!$AI$7:$AI$49,MATCH(LEFT($A110,LEN($A110)-2),'PW_CMI GRADE 10'!$B$7:$B$49,0))="P")+
 --(INDEX('PW_CMI GRADE 10'!$AO$7:$AO$49,MATCH(LEFT($A110,LEN($A110)-2),'PW_CMI GRADE 10'!$B$7:$B$49,0))="P"),
0)</f>
        <v>2</v>
      </c>
      <c r="I110" s="24" t="b" cm="1">
        <f t="array" aca="1" ref="I110" ca="1">_xlfn.LET(_xlpm.k,LEFT($A110,LEN($A110)-2),_xlpm.idx,IFERROR(MATCH(_xlpm.k,'PW_CMI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1</v>
      </c>
      <c r="J110" s="25">
        <f t="shared" ca="1" si="3"/>
        <v>1</v>
      </c>
    </row>
    <row r="111" spans="1:10">
      <c r="A111" s="24" t="s">
        <v>316</v>
      </c>
      <c r="B111">
        <v>2</v>
      </c>
      <c r="C111">
        <f>IFERROR(
 --(INDEX('TH_CMI GRADE 10'!$E$7:$E$49,MATCH(LEFT($A111,LEN($A111)-2),'TH_CMI GRADE 10'!$B$7:$B$49,0))="P")+
 --(INDEX('TH_CMI GRADE 10'!$K$7:$K$49,MATCH(LEFT($A111,LEN($A111)-2),'TH_CMI GRADE 10'!$B$7:$B$49,0))="P")+
 --(INDEX('TH_CMI GRADE 10'!$Q$7:$Q$49,MATCH(LEFT($A111,LEN($A111)-2),'TH_CMI GRADE 10'!$B$7:$B$49,0))="P")+
 --(INDEX('TH_CMI GRADE 10'!$W$7:$W$49,MATCH(LEFT($A111,LEN($A111)-2),'TH_CMI GRADE 10'!$B$7:$B$49,0))="P")+
 --(INDEX('TH_CMI GRADE 10'!$AC$7:$AC$49,MATCH(LEFT($A111,LEN($A111)-2),'TH_CMI GRADE 10'!$B$7:$B$49,0))="P")+
 --(INDEX('TH_CMI GRADE 10'!$AI$7:$AI$49,MATCH(LEFT($A111,LEN($A111)-2),'TH_CMI GRADE 10'!$B$7:$B$49,0))="P")+
 --(INDEX('TH_CMI GRADE 10'!$AO$7:$AO$49,MATCH(LEFT($A111,LEN($A111)-2),'TH_CMI GRADE 10'!$B$7:$B$49,0))="P"),
0)</f>
        <v>2</v>
      </c>
      <c r="D111" s="144" t="b" cm="1">
        <f t="array" aca="1" ref="D111" ca="1">_xlfn.LET(_xlpm.k,LEFT(A111,LEN(A111)-2),_xlpm.idx,IFERROR(MATCH(_xlpm.k,'TH_CMI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11" s="25">
        <f t="shared" ca="1" si="4"/>
        <v>1</v>
      </c>
      <c r="F111" s="24" t="s">
        <v>316</v>
      </c>
      <c r="G111">
        <v>2</v>
      </c>
      <c r="H111">
        <f>IFERROR(
 --(INDEX('PW_CMI GRADE 10'!$E$7:$E$49,MATCH(LEFT($A111,LEN($A111)-2),'PW_CMI GRADE 10'!$B$7:$B$49,0))="P")+
 --(INDEX('PW_CMI GRADE 10'!$K$7:$K$49,MATCH(LEFT($A111,LEN($A111)-2),'PW_CMI GRADE 10'!$B$7:$B$49,0))="P")+
 --(INDEX('PW_CMI GRADE 10'!$Q$7:$Q$49,MATCH(LEFT($A111,LEN($A111)-2),'PW_CMI GRADE 10'!$B$7:$B$49,0))="P")+
 --(INDEX('PW_CMI GRADE 10'!$W$7:$W$49,MATCH(LEFT($A111,LEN($A111)-2),'PW_CMI GRADE 10'!$B$7:$B$49,0))="P")+
 --(INDEX('PW_CMI GRADE 10'!$AC$7:$AC$49,MATCH(LEFT($A111,LEN($A111)-2),'PW_CMI GRADE 10'!$B$7:$B$49,0))="P")+
 --(INDEX('PW_CMI GRADE 10'!$AI$7:$AI$49,MATCH(LEFT($A111,LEN($A111)-2),'PW_CMI GRADE 10'!$B$7:$B$49,0))="P")+
 --(INDEX('PW_CMI GRADE 10'!$AO$7:$AO$49,MATCH(LEFT($A111,LEN($A111)-2),'PW_CMI GRADE 10'!$B$7:$B$49,0))="P"),
0)</f>
        <v>0</v>
      </c>
      <c r="I111" s="24" t="b" cm="1">
        <f t="array" aca="1" ref="I111" ca="1">_xlfn.LET(_xlpm.k,LEFT($A111,LEN($A111)-2),_xlpm.idx,IFERROR(MATCH(_xlpm.k,'PW_CMI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11" s="25" t="str">
        <f t="shared" ca="1" si="3"/>
        <v/>
      </c>
    </row>
    <row r="112" spans="1:10">
      <c r="A112" s="24" t="s">
        <v>317</v>
      </c>
      <c r="B112">
        <v>2</v>
      </c>
      <c r="C112">
        <f>IFERROR(
 --(INDEX('TH_CMI GRADE 10'!$E$7:$E$49,MATCH(LEFT($A112,LEN($A112)-2),'TH_CMI GRADE 10'!$B$7:$B$49,0))="P")+
 --(INDEX('TH_CMI GRADE 10'!$K$7:$K$49,MATCH(LEFT($A112,LEN($A112)-2),'TH_CMI GRADE 10'!$B$7:$B$49,0))="P")+
 --(INDEX('TH_CMI GRADE 10'!$Q$7:$Q$49,MATCH(LEFT($A112,LEN($A112)-2),'TH_CMI GRADE 10'!$B$7:$B$49,0))="P")+
 --(INDEX('TH_CMI GRADE 10'!$W$7:$W$49,MATCH(LEFT($A112,LEN($A112)-2),'TH_CMI GRADE 10'!$B$7:$B$49,0))="P")+
 --(INDEX('TH_CMI GRADE 10'!$AC$7:$AC$49,MATCH(LEFT($A112,LEN($A112)-2),'TH_CMI GRADE 10'!$B$7:$B$49,0))="P")+
 --(INDEX('TH_CMI GRADE 10'!$AI$7:$AI$49,MATCH(LEFT($A112,LEN($A112)-2),'TH_CMI GRADE 10'!$B$7:$B$49,0))="P")+
 --(INDEX('TH_CMI GRADE 10'!$AO$7:$AO$49,MATCH(LEFT($A112,LEN($A112)-2),'TH_CMI GRADE 10'!$B$7:$B$49,0))="P"),
0)</f>
        <v>2</v>
      </c>
      <c r="D112" s="144" t="b" cm="1">
        <f t="array" aca="1" ref="D112" ca="1">_xlfn.LET(_xlpm.k,LEFT(A112,LEN(A112)-2),_xlpm.idx,IFERROR(MATCH(_xlpm.k,'TH_CMI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12" s="25">
        <f t="shared" ca="1" si="4"/>
        <v>1</v>
      </c>
      <c r="F112" s="24" t="s">
        <v>317</v>
      </c>
      <c r="G112">
        <v>2</v>
      </c>
      <c r="H112">
        <f>IFERROR(
 --(INDEX('PW_CMI GRADE 10'!$E$7:$E$49,MATCH(LEFT($A112,LEN($A112)-2),'PW_CMI GRADE 10'!$B$7:$B$49,0))="P")+
 --(INDEX('PW_CMI GRADE 10'!$K$7:$K$49,MATCH(LEFT($A112,LEN($A112)-2),'PW_CMI GRADE 10'!$B$7:$B$49,0))="P")+
 --(INDEX('PW_CMI GRADE 10'!$Q$7:$Q$49,MATCH(LEFT($A112,LEN($A112)-2),'PW_CMI GRADE 10'!$B$7:$B$49,0))="P")+
 --(INDEX('PW_CMI GRADE 10'!$W$7:$W$49,MATCH(LEFT($A112,LEN($A112)-2),'PW_CMI GRADE 10'!$B$7:$B$49,0))="P")+
 --(INDEX('PW_CMI GRADE 10'!$AC$7:$AC$49,MATCH(LEFT($A112,LEN($A112)-2),'PW_CMI GRADE 10'!$B$7:$B$49,0))="P")+
 --(INDEX('PW_CMI GRADE 10'!$AI$7:$AI$49,MATCH(LEFT($A112,LEN($A112)-2),'PW_CMI GRADE 10'!$B$7:$B$49,0))="P")+
 --(INDEX('PW_CMI GRADE 10'!$AO$7:$AO$49,MATCH(LEFT($A112,LEN($A112)-2),'PW_CMI GRADE 10'!$B$7:$B$49,0))="P"),
0)</f>
        <v>0</v>
      </c>
      <c r="I112" s="24" t="b" cm="1">
        <f t="array" aca="1" ref="I112" ca="1">_xlfn.LET(_xlpm.k,LEFT($A112,LEN($A112)-2),_xlpm.idx,IFERROR(MATCH(_xlpm.k,'PW_CMI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12" s="25" t="str">
        <f t="shared" ca="1" si="3"/>
        <v/>
      </c>
    </row>
    <row r="113" spans="1:10">
      <c r="A113" s="24" t="s">
        <v>318</v>
      </c>
      <c r="B113">
        <v>2</v>
      </c>
      <c r="C113">
        <f>IFERROR(
 --(INDEX('TH_CMI GRADE 10'!$E$7:$E$49,MATCH(LEFT($A113,LEN($A113)-2),'TH_CMI GRADE 10'!$B$7:$B$49,0))="P")+
 --(INDEX('TH_CMI GRADE 10'!$K$7:$K$49,MATCH(LEFT($A113,LEN($A113)-2),'TH_CMI GRADE 10'!$B$7:$B$49,0))="P")+
 --(INDEX('TH_CMI GRADE 10'!$Q$7:$Q$49,MATCH(LEFT($A113,LEN($A113)-2),'TH_CMI GRADE 10'!$B$7:$B$49,0))="P")+
 --(INDEX('TH_CMI GRADE 10'!$W$7:$W$49,MATCH(LEFT($A113,LEN($A113)-2),'TH_CMI GRADE 10'!$B$7:$B$49,0))="P")+
 --(INDEX('TH_CMI GRADE 10'!$AC$7:$AC$49,MATCH(LEFT($A113,LEN($A113)-2),'TH_CMI GRADE 10'!$B$7:$B$49,0))="P")+
 --(INDEX('TH_CMI GRADE 10'!$AI$7:$AI$49,MATCH(LEFT($A113,LEN($A113)-2),'TH_CMI GRADE 10'!$B$7:$B$49,0))="P")+
 --(INDEX('TH_CMI GRADE 10'!$AO$7:$AO$49,MATCH(LEFT($A113,LEN($A113)-2),'TH_CMI GRADE 10'!$B$7:$B$49,0))="P"),
0)</f>
        <v>2</v>
      </c>
      <c r="D113" s="144" t="b" cm="1">
        <f t="array" aca="1" ref="D113" ca="1">_xlfn.LET(_xlpm.k,LEFT(A113,LEN(A113)-2),_xlpm.idx,IFERROR(MATCH(_xlpm.k,'TH_CMI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13" s="25">
        <f t="shared" ca="1" si="4"/>
        <v>1</v>
      </c>
      <c r="F113" s="24" t="s">
        <v>318</v>
      </c>
      <c r="G113">
        <v>2</v>
      </c>
      <c r="H113">
        <f>IFERROR(
 --(INDEX('PW_CMI GRADE 10'!$E$7:$E$49,MATCH(LEFT($A113,LEN($A113)-2),'PW_CMI GRADE 10'!$B$7:$B$49,0))="P")+
 --(INDEX('PW_CMI GRADE 10'!$K$7:$K$49,MATCH(LEFT($A113,LEN($A113)-2),'PW_CMI GRADE 10'!$B$7:$B$49,0))="P")+
 --(INDEX('PW_CMI GRADE 10'!$Q$7:$Q$49,MATCH(LEFT($A113,LEN($A113)-2),'PW_CMI GRADE 10'!$B$7:$B$49,0))="P")+
 --(INDEX('PW_CMI GRADE 10'!$W$7:$W$49,MATCH(LEFT($A113,LEN($A113)-2),'PW_CMI GRADE 10'!$B$7:$B$49,0))="P")+
 --(INDEX('PW_CMI GRADE 10'!$AC$7:$AC$49,MATCH(LEFT($A113,LEN($A113)-2),'PW_CMI GRADE 10'!$B$7:$B$49,0))="P")+
 --(INDEX('PW_CMI GRADE 10'!$AI$7:$AI$49,MATCH(LEFT($A113,LEN($A113)-2),'PW_CMI GRADE 10'!$B$7:$B$49,0))="P")+
 --(INDEX('PW_CMI GRADE 10'!$AO$7:$AO$49,MATCH(LEFT($A113,LEN($A113)-2),'PW_CMI GRADE 10'!$B$7:$B$49,0))="P"),
0)</f>
        <v>0</v>
      </c>
      <c r="I113" s="24" t="b" cm="1">
        <f t="array" aca="1" ref="I113" ca="1">_xlfn.LET(_xlpm.k,LEFT($A113,LEN($A113)-2),_xlpm.idx,IFERROR(MATCH(_xlpm.k,'PW_CMI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13" s="25" t="str">
        <f t="shared" ca="1" si="3"/>
        <v/>
      </c>
    </row>
    <row r="114" spans="1:10">
      <c r="A114" s="24" t="s">
        <v>319</v>
      </c>
      <c r="B114">
        <v>2</v>
      </c>
      <c r="C114">
        <f>IFERROR(
 --(INDEX('TH_CMI GRADE 10'!$E$7:$E$49,MATCH(LEFT($A114,LEN($A114)-2),'TH_CMI GRADE 10'!$B$7:$B$49,0))="P")+
 --(INDEX('TH_CMI GRADE 10'!$K$7:$K$49,MATCH(LEFT($A114,LEN($A114)-2),'TH_CMI GRADE 10'!$B$7:$B$49,0))="P")+
 --(INDEX('TH_CMI GRADE 10'!$Q$7:$Q$49,MATCH(LEFT($A114,LEN($A114)-2),'TH_CMI GRADE 10'!$B$7:$B$49,0))="P")+
 --(INDEX('TH_CMI GRADE 10'!$W$7:$W$49,MATCH(LEFT($A114,LEN($A114)-2),'TH_CMI GRADE 10'!$B$7:$B$49,0))="P")+
 --(INDEX('TH_CMI GRADE 10'!$AC$7:$AC$49,MATCH(LEFT($A114,LEN($A114)-2),'TH_CMI GRADE 10'!$B$7:$B$49,0))="P")+
 --(INDEX('TH_CMI GRADE 10'!$AI$7:$AI$49,MATCH(LEFT($A114,LEN($A114)-2),'TH_CMI GRADE 10'!$B$7:$B$49,0))="P")+
 --(INDEX('TH_CMI GRADE 10'!$AO$7:$AO$49,MATCH(LEFT($A114,LEN($A114)-2),'TH_CMI GRADE 10'!$B$7:$B$49,0))="P"),
0)</f>
        <v>0</v>
      </c>
      <c r="D114" s="144" t="b" cm="1">
        <f t="array" aca="1" ref="D114" ca="1">_xlfn.LET(_xlpm.k,LEFT(A114,LEN(A114)-2),_xlpm.idx,IFERROR(MATCH(_xlpm.k,'TH_CMI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14" s="25">
        <f t="shared" ca="1" si="4"/>
        <v>0</v>
      </c>
      <c r="F114" s="24" t="s">
        <v>319</v>
      </c>
      <c r="G114">
        <v>2</v>
      </c>
      <c r="H114">
        <f>IFERROR(
 --(INDEX('PW_CMI GRADE 10'!$E$7:$E$49,MATCH(LEFT($A114,LEN($A114)-2),'PW_CMI GRADE 10'!$B$7:$B$49,0))="P")+
 --(INDEX('PW_CMI GRADE 10'!$K$7:$K$49,MATCH(LEFT($A114,LEN($A114)-2),'PW_CMI GRADE 10'!$B$7:$B$49,0))="P")+
 --(INDEX('PW_CMI GRADE 10'!$Q$7:$Q$49,MATCH(LEFT($A114,LEN($A114)-2),'PW_CMI GRADE 10'!$B$7:$B$49,0))="P")+
 --(INDEX('PW_CMI GRADE 10'!$W$7:$W$49,MATCH(LEFT($A114,LEN($A114)-2),'PW_CMI GRADE 10'!$B$7:$B$49,0))="P")+
 --(INDEX('PW_CMI GRADE 10'!$AC$7:$AC$49,MATCH(LEFT($A114,LEN($A114)-2),'PW_CMI GRADE 10'!$B$7:$B$49,0))="P")+
 --(INDEX('PW_CMI GRADE 10'!$AI$7:$AI$49,MATCH(LEFT($A114,LEN($A114)-2),'PW_CMI GRADE 10'!$B$7:$B$49,0))="P")+
 --(INDEX('PW_CMI GRADE 10'!$AO$7:$AO$49,MATCH(LEFT($A114,LEN($A114)-2),'PW_CMI GRADE 10'!$B$7:$B$49,0))="P"),
0)</f>
        <v>0</v>
      </c>
      <c r="I114" s="24" t="b" cm="1">
        <f t="array" aca="1" ref="I114" ca="1">_xlfn.LET(_xlpm.k,LEFT($A114,LEN($A114)-2),_xlpm.idx,IFERROR(MATCH(_xlpm.k,'PW_CMI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14" s="25" t="str">
        <f t="shared" ca="1" si="3"/>
        <v/>
      </c>
    </row>
    <row r="115" spans="1:10">
      <c r="A115" s="24" t="s">
        <v>320</v>
      </c>
      <c r="B115">
        <v>2</v>
      </c>
      <c r="C115">
        <f>IFERROR(
 --(INDEX('TH_CMI GRADE 10'!$E$7:$E$49,MATCH(LEFT($A115,LEN($A115)-2),'TH_CMI GRADE 10'!$B$7:$B$49,0))="P")+
 --(INDEX('TH_CMI GRADE 10'!$K$7:$K$49,MATCH(LEFT($A115,LEN($A115)-2),'TH_CMI GRADE 10'!$B$7:$B$49,0))="P")+
 --(INDEX('TH_CMI GRADE 10'!$Q$7:$Q$49,MATCH(LEFT($A115,LEN($A115)-2),'TH_CMI GRADE 10'!$B$7:$B$49,0))="P")+
 --(INDEX('TH_CMI GRADE 10'!$W$7:$W$49,MATCH(LEFT($A115,LEN($A115)-2),'TH_CMI GRADE 10'!$B$7:$B$49,0))="P")+
 --(INDEX('TH_CMI GRADE 10'!$AC$7:$AC$49,MATCH(LEFT($A115,LEN($A115)-2),'TH_CMI GRADE 10'!$B$7:$B$49,0))="P")+
 --(INDEX('TH_CMI GRADE 10'!$AI$7:$AI$49,MATCH(LEFT($A115,LEN($A115)-2),'TH_CMI GRADE 10'!$B$7:$B$49,0))="P")+
 --(INDEX('TH_CMI GRADE 10'!$AO$7:$AO$49,MATCH(LEFT($A115,LEN($A115)-2),'TH_CMI GRADE 10'!$B$7:$B$49,0))="P"),
0)</f>
        <v>2</v>
      </c>
      <c r="D115" s="144" t="b" cm="1">
        <f t="array" aca="1" ref="D115" ca="1">_xlfn.LET(_xlpm.k,LEFT(A115,LEN(A115)-2),_xlpm.idx,IFERROR(MATCH(_xlpm.k,'TH_CMI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15" s="25">
        <f t="shared" ca="1" si="4"/>
        <v>1</v>
      </c>
      <c r="F115" s="24" t="s">
        <v>320</v>
      </c>
      <c r="G115">
        <v>2</v>
      </c>
      <c r="H115">
        <f>IFERROR(
 --(INDEX('PW_CMI GRADE 10'!$E$7:$E$49,MATCH(LEFT($A115,LEN($A115)-2),'PW_CMI GRADE 10'!$B$7:$B$49,0))="P")+
 --(INDEX('PW_CMI GRADE 10'!$K$7:$K$49,MATCH(LEFT($A115,LEN($A115)-2),'PW_CMI GRADE 10'!$B$7:$B$49,0))="P")+
 --(INDEX('PW_CMI GRADE 10'!$Q$7:$Q$49,MATCH(LEFT($A115,LEN($A115)-2),'PW_CMI GRADE 10'!$B$7:$B$49,0))="P")+
 --(INDEX('PW_CMI GRADE 10'!$W$7:$W$49,MATCH(LEFT($A115,LEN($A115)-2),'PW_CMI GRADE 10'!$B$7:$B$49,0))="P")+
 --(INDEX('PW_CMI GRADE 10'!$AC$7:$AC$49,MATCH(LEFT($A115,LEN($A115)-2),'PW_CMI GRADE 10'!$B$7:$B$49,0))="P")+
 --(INDEX('PW_CMI GRADE 10'!$AI$7:$AI$49,MATCH(LEFT($A115,LEN($A115)-2),'PW_CMI GRADE 10'!$B$7:$B$49,0))="P")+
 --(INDEX('PW_CMI GRADE 10'!$AO$7:$AO$49,MATCH(LEFT($A115,LEN($A115)-2),'PW_CMI GRADE 10'!$B$7:$B$49,0))="P"),
0)</f>
        <v>0</v>
      </c>
      <c r="I115" s="24" t="b" cm="1">
        <f t="array" aca="1" ref="I115" ca="1">_xlfn.LET(_xlpm.k,LEFT($A115,LEN($A115)-2),_xlpm.idx,IFERROR(MATCH(_xlpm.k,'PW_CMI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15" s="25" t="str">
        <f t="shared" ca="1" si="3"/>
        <v/>
      </c>
    </row>
    <row r="116" spans="1:10">
      <c r="A116" s="24" t="s">
        <v>321</v>
      </c>
      <c r="B116">
        <v>2</v>
      </c>
      <c r="C116">
        <f>IFERROR(
 --(INDEX('TH_CMI GRADE 10'!$E$7:$E$49,MATCH(LEFT($A116,LEN($A116)-2),'TH_CMI GRADE 10'!$B$7:$B$49,0))="P")+
 --(INDEX('TH_CMI GRADE 10'!$K$7:$K$49,MATCH(LEFT($A116,LEN($A116)-2),'TH_CMI GRADE 10'!$B$7:$B$49,0))="P")+
 --(INDEX('TH_CMI GRADE 10'!$Q$7:$Q$49,MATCH(LEFT($A116,LEN($A116)-2),'TH_CMI GRADE 10'!$B$7:$B$49,0))="P")+
 --(INDEX('TH_CMI GRADE 10'!$W$7:$W$49,MATCH(LEFT($A116,LEN($A116)-2),'TH_CMI GRADE 10'!$B$7:$B$49,0))="P")+
 --(INDEX('TH_CMI GRADE 10'!$AC$7:$AC$49,MATCH(LEFT($A116,LEN($A116)-2),'TH_CMI GRADE 10'!$B$7:$B$49,0))="P")+
 --(INDEX('TH_CMI GRADE 10'!$AI$7:$AI$49,MATCH(LEFT($A116,LEN($A116)-2),'TH_CMI GRADE 10'!$B$7:$B$49,0))="P")+
 --(INDEX('TH_CMI GRADE 10'!$AO$7:$AO$49,MATCH(LEFT($A116,LEN($A116)-2),'TH_CMI GRADE 10'!$B$7:$B$49,0))="P"),
0)</f>
        <v>2</v>
      </c>
      <c r="D116" s="144" t="b" cm="1">
        <f t="array" aca="1" ref="D116" ca="1">_xlfn.LET(_xlpm.k,LEFT(A116,LEN(A116)-2),_xlpm.idx,IFERROR(MATCH(_xlpm.k,'TH_CMI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16" s="25">
        <f t="shared" ca="1" si="4"/>
        <v>1</v>
      </c>
      <c r="F116" s="24" t="s">
        <v>321</v>
      </c>
      <c r="G116">
        <v>2</v>
      </c>
      <c r="H116">
        <f>IFERROR(
 --(INDEX('PW_CMI GRADE 10'!$E$7:$E$49,MATCH(LEFT($A116,LEN($A116)-2),'PW_CMI GRADE 10'!$B$7:$B$49,0))="P")+
 --(INDEX('PW_CMI GRADE 10'!$K$7:$K$49,MATCH(LEFT($A116,LEN($A116)-2),'PW_CMI GRADE 10'!$B$7:$B$49,0))="P")+
 --(INDEX('PW_CMI GRADE 10'!$Q$7:$Q$49,MATCH(LEFT($A116,LEN($A116)-2),'PW_CMI GRADE 10'!$B$7:$B$49,0))="P")+
 --(INDEX('PW_CMI GRADE 10'!$W$7:$W$49,MATCH(LEFT($A116,LEN($A116)-2),'PW_CMI GRADE 10'!$B$7:$B$49,0))="P")+
 --(INDEX('PW_CMI GRADE 10'!$AC$7:$AC$49,MATCH(LEFT($A116,LEN($A116)-2),'PW_CMI GRADE 10'!$B$7:$B$49,0))="P")+
 --(INDEX('PW_CMI GRADE 10'!$AI$7:$AI$49,MATCH(LEFT($A116,LEN($A116)-2),'PW_CMI GRADE 10'!$B$7:$B$49,0))="P")+
 --(INDEX('PW_CMI GRADE 10'!$AO$7:$AO$49,MATCH(LEFT($A116,LEN($A116)-2),'PW_CMI GRADE 10'!$B$7:$B$49,0))="P"),
0)</f>
        <v>2</v>
      </c>
      <c r="I116" s="24" t="b" cm="1">
        <f t="array" aca="1" ref="I116" ca="1">_xlfn.LET(_xlpm.k,LEFT($A116,LEN($A116)-2),_xlpm.idx,IFERROR(MATCH(_xlpm.k,'PW_CMI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1</v>
      </c>
      <c r="J116" s="25">
        <f t="shared" ca="1" si="3"/>
        <v>1</v>
      </c>
    </row>
    <row r="117" spans="1:10">
      <c r="A117" s="24" t="s">
        <v>322</v>
      </c>
      <c r="B117">
        <v>2</v>
      </c>
      <c r="C117">
        <f>IFERROR(
 --(INDEX('TH_CMI GRADE 10'!$E$7:$E$49,MATCH(LEFT($A117,LEN($A117)-2),'TH_CMI GRADE 10'!$B$7:$B$49,0))="P")+
 --(INDEX('TH_CMI GRADE 10'!$K$7:$K$49,MATCH(LEFT($A117,LEN($A117)-2),'TH_CMI GRADE 10'!$B$7:$B$49,0))="P")+
 --(INDEX('TH_CMI GRADE 10'!$Q$7:$Q$49,MATCH(LEFT($A117,LEN($A117)-2),'TH_CMI GRADE 10'!$B$7:$B$49,0))="P")+
 --(INDEX('TH_CMI GRADE 10'!$W$7:$W$49,MATCH(LEFT($A117,LEN($A117)-2),'TH_CMI GRADE 10'!$B$7:$B$49,0))="P")+
 --(INDEX('TH_CMI GRADE 10'!$AC$7:$AC$49,MATCH(LEFT($A117,LEN($A117)-2),'TH_CMI GRADE 10'!$B$7:$B$49,0))="P")+
 --(INDEX('TH_CMI GRADE 10'!$AI$7:$AI$49,MATCH(LEFT($A117,LEN($A117)-2),'TH_CMI GRADE 10'!$B$7:$B$49,0))="P")+
 --(INDEX('TH_CMI GRADE 10'!$AO$7:$AO$49,MATCH(LEFT($A117,LEN($A117)-2),'TH_CMI GRADE 10'!$B$7:$B$49,0))="P"),
0)</f>
        <v>2</v>
      </c>
      <c r="D117" s="144" t="b" cm="1">
        <f t="array" aca="1" ref="D117" ca="1">_xlfn.LET(_xlpm.k,LEFT(A117,LEN(A117)-2),_xlpm.idx,IFERROR(MATCH(_xlpm.k,'TH_CMI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17" s="25">
        <f t="shared" ca="1" si="4"/>
        <v>1</v>
      </c>
      <c r="F117" s="24" t="s">
        <v>322</v>
      </c>
      <c r="G117">
        <v>2</v>
      </c>
      <c r="H117">
        <f>IFERROR(
 --(INDEX('PW_CMI GRADE 10'!$E$7:$E$49,MATCH(LEFT($A117,LEN($A117)-2),'PW_CMI GRADE 10'!$B$7:$B$49,0))="P")+
 --(INDEX('PW_CMI GRADE 10'!$K$7:$K$49,MATCH(LEFT($A117,LEN($A117)-2),'PW_CMI GRADE 10'!$B$7:$B$49,0))="P")+
 --(INDEX('PW_CMI GRADE 10'!$Q$7:$Q$49,MATCH(LEFT($A117,LEN($A117)-2),'PW_CMI GRADE 10'!$B$7:$B$49,0))="P")+
 --(INDEX('PW_CMI GRADE 10'!$W$7:$W$49,MATCH(LEFT($A117,LEN($A117)-2),'PW_CMI GRADE 10'!$B$7:$B$49,0))="P")+
 --(INDEX('PW_CMI GRADE 10'!$AC$7:$AC$49,MATCH(LEFT($A117,LEN($A117)-2),'PW_CMI GRADE 10'!$B$7:$B$49,0))="P")+
 --(INDEX('PW_CMI GRADE 10'!$AI$7:$AI$49,MATCH(LEFT($A117,LEN($A117)-2),'PW_CMI GRADE 10'!$B$7:$B$49,0))="P")+
 --(INDEX('PW_CMI GRADE 10'!$AO$7:$AO$49,MATCH(LEFT($A117,LEN($A117)-2),'PW_CMI GRADE 10'!$B$7:$B$49,0))="P"),
0)</f>
        <v>0</v>
      </c>
      <c r="I117" s="24" t="b" cm="1">
        <f t="array" aca="1" ref="I117" ca="1">_xlfn.LET(_xlpm.k,LEFT($A117,LEN($A117)-2),_xlpm.idx,IFERROR(MATCH(_xlpm.k,'PW_CMI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17" s="25" t="str">
        <f t="shared" ca="1" si="3"/>
        <v/>
      </c>
    </row>
    <row r="118" spans="1:10">
      <c r="A118" s="24" t="s">
        <v>323</v>
      </c>
      <c r="B118">
        <v>2</v>
      </c>
      <c r="C118">
        <f>IFERROR(
 --(INDEX('TH_CMI GRADE 10'!$E$7:$E$49,MATCH(LEFT($A118,LEN($A118)-2),'TH_CMI GRADE 10'!$B$7:$B$49,0))="P")+
 --(INDEX('TH_CMI GRADE 10'!$K$7:$K$49,MATCH(LEFT($A118,LEN($A118)-2),'TH_CMI GRADE 10'!$B$7:$B$49,0))="P")+
 --(INDEX('TH_CMI GRADE 10'!$Q$7:$Q$49,MATCH(LEFT($A118,LEN($A118)-2),'TH_CMI GRADE 10'!$B$7:$B$49,0))="P")+
 --(INDEX('TH_CMI GRADE 10'!$W$7:$W$49,MATCH(LEFT($A118,LEN($A118)-2),'TH_CMI GRADE 10'!$B$7:$B$49,0))="P")+
 --(INDEX('TH_CMI GRADE 10'!$AC$7:$AC$49,MATCH(LEFT($A118,LEN($A118)-2),'TH_CMI GRADE 10'!$B$7:$B$49,0))="P")+
 --(INDEX('TH_CMI GRADE 10'!$AI$7:$AI$49,MATCH(LEFT($A118,LEN($A118)-2),'TH_CMI GRADE 10'!$B$7:$B$49,0))="P")+
 --(INDEX('TH_CMI GRADE 10'!$AO$7:$AO$49,MATCH(LEFT($A118,LEN($A118)-2),'TH_CMI GRADE 10'!$B$7:$B$49,0))="P"),
0)</f>
        <v>2</v>
      </c>
      <c r="D118" s="144" t="b" cm="1">
        <f t="array" aca="1" ref="D118" ca="1">_xlfn.LET(_xlpm.k,LEFT(A118,LEN(A118)-2),_xlpm.idx,IFERROR(MATCH(_xlpm.k,'TH_CMI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18" s="25">
        <f t="shared" ca="1" si="4"/>
        <v>1</v>
      </c>
      <c r="F118" s="24" t="s">
        <v>323</v>
      </c>
      <c r="G118">
        <v>2</v>
      </c>
      <c r="H118">
        <f>IFERROR(
 --(INDEX('PW_CMI GRADE 10'!$E$7:$E$49,MATCH(LEFT($A118,LEN($A118)-2),'PW_CMI GRADE 10'!$B$7:$B$49,0))="P")+
 --(INDEX('PW_CMI GRADE 10'!$K$7:$K$49,MATCH(LEFT($A118,LEN($A118)-2),'PW_CMI GRADE 10'!$B$7:$B$49,0))="P")+
 --(INDEX('PW_CMI GRADE 10'!$Q$7:$Q$49,MATCH(LEFT($A118,LEN($A118)-2),'PW_CMI GRADE 10'!$B$7:$B$49,0))="P")+
 --(INDEX('PW_CMI GRADE 10'!$W$7:$W$49,MATCH(LEFT($A118,LEN($A118)-2),'PW_CMI GRADE 10'!$B$7:$B$49,0))="P")+
 --(INDEX('PW_CMI GRADE 10'!$AC$7:$AC$49,MATCH(LEFT($A118,LEN($A118)-2),'PW_CMI GRADE 10'!$B$7:$B$49,0))="P")+
 --(INDEX('PW_CMI GRADE 10'!$AI$7:$AI$49,MATCH(LEFT($A118,LEN($A118)-2),'PW_CMI GRADE 10'!$B$7:$B$49,0))="P")+
 --(INDEX('PW_CMI GRADE 10'!$AO$7:$AO$49,MATCH(LEFT($A118,LEN($A118)-2),'PW_CMI GRADE 10'!$B$7:$B$49,0))="P"),
0)</f>
        <v>2</v>
      </c>
      <c r="I118" s="24" t="b" cm="1">
        <f t="array" aca="1" ref="I118" ca="1">_xlfn.LET(_xlpm.k,LEFT($A118,LEN($A118)-2),_xlpm.idx,IFERROR(MATCH(_xlpm.k,'PW_CMI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1</v>
      </c>
      <c r="J118" s="25">
        <f t="shared" ca="1" si="3"/>
        <v>1</v>
      </c>
    </row>
    <row r="119" spans="1:10">
      <c r="A119" s="24" t="s">
        <v>324</v>
      </c>
      <c r="B119">
        <v>2</v>
      </c>
      <c r="C119">
        <f>IFERROR(
 --(INDEX('TH_CMI GRADE 10'!$E$7:$E$49,MATCH(LEFT($A119,LEN($A119)-2),'TH_CMI GRADE 10'!$B$7:$B$49,0))="P")+
 --(INDEX('TH_CMI GRADE 10'!$K$7:$K$49,MATCH(LEFT($A119,LEN($A119)-2),'TH_CMI GRADE 10'!$B$7:$B$49,0))="P")+
 --(INDEX('TH_CMI GRADE 10'!$Q$7:$Q$49,MATCH(LEFT($A119,LEN($A119)-2),'TH_CMI GRADE 10'!$B$7:$B$49,0))="P")+
 --(INDEX('TH_CMI GRADE 10'!$W$7:$W$49,MATCH(LEFT($A119,LEN($A119)-2),'TH_CMI GRADE 10'!$B$7:$B$49,0))="P")+
 --(INDEX('TH_CMI GRADE 10'!$AC$7:$AC$49,MATCH(LEFT($A119,LEN($A119)-2),'TH_CMI GRADE 10'!$B$7:$B$49,0))="P")+
 --(INDEX('TH_CMI GRADE 10'!$AI$7:$AI$49,MATCH(LEFT($A119,LEN($A119)-2),'TH_CMI GRADE 10'!$B$7:$B$49,0))="P")+
 --(INDEX('TH_CMI GRADE 10'!$AO$7:$AO$49,MATCH(LEFT($A119,LEN($A119)-2),'TH_CMI GRADE 10'!$B$7:$B$49,0))="P"),
0)</f>
        <v>2</v>
      </c>
      <c r="D119" s="144" t="b" cm="1">
        <f t="array" aca="1" ref="D119" ca="1">_xlfn.LET(_xlpm.k,LEFT(A119,LEN(A119)-2),_xlpm.idx,IFERROR(MATCH(_xlpm.k,'TH_CMI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19" s="25">
        <f t="shared" ca="1" si="4"/>
        <v>1</v>
      </c>
      <c r="F119" s="24" t="s">
        <v>324</v>
      </c>
      <c r="G119">
        <v>2</v>
      </c>
      <c r="H119">
        <f>IFERROR(
 --(INDEX('PW_CMI GRADE 10'!$E$7:$E$49,MATCH(LEFT($A119,LEN($A119)-2),'PW_CMI GRADE 10'!$B$7:$B$49,0))="P")+
 --(INDEX('PW_CMI GRADE 10'!$K$7:$K$49,MATCH(LEFT($A119,LEN($A119)-2),'PW_CMI GRADE 10'!$B$7:$B$49,0))="P")+
 --(INDEX('PW_CMI GRADE 10'!$Q$7:$Q$49,MATCH(LEFT($A119,LEN($A119)-2),'PW_CMI GRADE 10'!$B$7:$B$49,0))="P")+
 --(INDEX('PW_CMI GRADE 10'!$W$7:$W$49,MATCH(LEFT($A119,LEN($A119)-2),'PW_CMI GRADE 10'!$B$7:$B$49,0))="P")+
 --(INDEX('PW_CMI GRADE 10'!$AC$7:$AC$49,MATCH(LEFT($A119,LEN($A119)-2),'PW_CMI GRADE 10'!$B$7:$B$49,0))="P")+
 --(INDEX('PW_CMI GRADE 10'!$AI$7:$AI$49,MATCH(LEFT($A119,LEN($A119)-2),'PW_CMI GRADE 10'!$B$7:$B$49,0))="P")+
 --(INDEX('PW_CMI GRADE 10'!$AO$7:$AO$49,MATCH(LEFT($A119,LEN($A119)-2),'PW_CMI GRADE 10'!$B$7:$B$49,0))="P"),
0)</f>
        <v>0</v>
      </c>
      <c r="I119" s="24" t="b" cm="1">
        <f t="array" aca="1" ref="I119" ca="1">_xlfn.LET(_xlpm.k,LEFT($A119,LEN($A119)-2),_xlpm.idx,IFERROR(MATCH(_xlpm.k,'PW_CMI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19" s="25" t="str">
        <f t="shared" ca="1" si="3"/>
        <v/>
      </c>
    </row>
    <row r="120" spans="1:10">
      <c r="A120" s="24" t="s">
        <v>325</v>
      </c>
      <c r="B120">
        <v>2</v>
      </c>
      <c r="C120">
        <f>IFERROR(
 --(INDEX('TH_CMI GRADE 10'!$E$7:$E$49,MATCH(LEFT($A120,LEN($A120)-2),'TH_CMI GRADE 10'!$B$7:$B$49,0))="P")+
 --(INDEX('TH_CMI GRADE 10'!$K$7:$K$49,MATCH(LEFT($A120,LEN($A120)-2),'TH_CMI GRADE 10'!$B$7:$B$49,0))="P")+
 --(INDEX('TH_CMI GRADE 10'!$Q$7:$Q$49,MATCH(LEFT($A120,LEN($A120)-2),'TH_CMI GRADE 10'!$B$7:$B$49,0))="P")+
 --(INDEX('TH_CMI GRADE 10'!$W$7:$W$49,MATCH(LEFT($A120,LEN($A120)-2),'TH_CMI GRADE 10'!$B$7:$B$49,0))="P")+
 --(INDEX('TH_CMI GRADE 10'!$AC$7:$AC$49,MATCH(LEFT($A120,LEN($A120)-2),'TH_CMI GRADE 10'!$B$7:$B$49,0))="P")+
 --(INDEX('TH_CMI GRADE 10'!$AI$7:$AI$49,MATCH(LEFT($A120,LEN($A120)-2),'TH_CMI GRADE 10'!$B$7:$B$49,0))="P")+
 --(INDEX('TH_CMI GRADE 10'!$AO$7:$AO$49,MATCH(LEFT($A120,LEN($A120)-2),'TH_CMI GRADE 10'!$B$7:$B$49,0))="P"),
0)</f>
        <v>2</v>
      </c>
      <c r="D120" s="144" t="b" cm="1">
        <f t="array" aca="1" ref="D120" ca="1">_xlfn.LET(_xlpm.k,LEFT(A120,LEN(A120)-2),_xlpm.idx,IFERROR(MATCH(_xlpm.k,'TH_CMI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0" s="25">
        <f t="shared" ca="1" si="4"/>
        <v>1</v>
      </c>
      <c r="F120" s="24" t="s">
        <v>325</v>
      </c>
      <c r="G120">
        <v>2</v>
      </c>
      <c r="H120">
        <f>IFERROR(
 --(INDEX('PW_CMI GRADE 10'!$E$7:$E$49,MATCH(LEFT($A120,LEN($A120)-2),'PW_CMI GRADE 10'!$B$7:$B$49,0))="P")+
 --(INDEX('PW_CMI GRADE 10'!$K$7:$K$49,MATCH(LEFT($A120,LEN($A120)-2),'PW_CMI GRADE 10'!$B$7:$B$49,0))="P")+
 --(INDEX('PW_CMI GRADE 10'!$Q$7:$Q$49,MATCH(LEFT($A120,LEN($A120)-2),'PW_CMI GRADE 10'!$B$7:$B$49,0))="P")+
 --(INDEX('PW_CMI GRADE 10'!$W$7:$W$49,MATCH(LEFT($A120,LEN($A120)-2),'PW_CMI GRADE 10'!$B$7:$B$49,0))="P")+
 --(INDEX('PW_CMI GRADE 10'!$AC$7:$AC$49,MATCH(LEFT($A120,LEN($A120)-2),'PW_CMI GRADE 10'!$B$7:$B$49,0))="P")+
 --(INDEX('PW_CMI GRADE 10'!$AI$7:$AI$49,MATCH(LEFT($A120,LEN($A120)-2),'PW_CMI GRADE 10'!$B$7:$B$49,0))="P")+
 --(INDEX('PW_CMI GRADE 10'!$AO$7:$AO$49,MATCH(LEFT($A120,LEN($A120)-2),'PW_CMI GRADE 10'!$B$7:$B$49,0))="P"),
0)</f>
        <v>0</v>
      </c>
      <c r="I120" s="24" t="b" cm="1">
        <f t="array" aca="1" ref="I120" ca="1">_xlfn.LET(_xlpm.k,LEFT($A120,LEN($A120)-2),_xlpm.idx,IFERROR(MATCH(_xlpm.k,'PW_CMI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20" s="25" t="str">
        <f t="shared" ca="1" si="3"/>
        <v/>
      </c>
    </row>
    <row r="121" spans="1:10">
      <c r="A121" s="24" t="s">
        <v>326</v>
      </c>
      <c r="B121">
        <v>2</v>
      </c>
      <c r="C121">
        <f>IFERROR(
 --(INDEX('TH_CMI GRADE 10'!$E$7:$E$49,MATCH(LEFT($A121,LEN($A121)-2),'TH_CMI GRADE 10'!$B$7:$B$49,0))="P")+
 --(INDEX('TH_CMI GRADE 10'!$K$7:$K$49,MATCH(LEFT($A121,LEN($A121)-2),'TH_CMI GRADE 10'!$B$7:$B$49,0))="P")+
 --(INDEX('TH_CMI GRADE 10'!$Q$7:$Q$49,MATCH(LEFT($A121,LEN($A121)-2),'TH_CMI GRADE 10'!$B$7:$B$49,0))="P")+
 --(INDEX('TH_CMI GRADE 10'!$W$7:$W$49,MATCH(LEFT($A121,LEN($A121)-2),'TH_CMI GRADE 10'!$B$7:$B$49,0))="P")+
 --(INDEX('TH_CMI GRADE 10'!$AC$7:$AC$49,MATCH(LEFT($A121,LEN($A121)-2),'TH_CMI GRADE 10'!$B$7:$B$49,0))="P")+
 --(INDEX('TH_CMI GRADE 10'!$AI$7:$AI$49,MATCH(LEFT($A121,LEN($A121)-2),'TH_CMI GRADE 10'!$B$7:$B$49,0))="P")+
 --(INDEX('TH_CMI GRADE 10'!$AO$7:$AO$49,MATCH(LEFT($A121,LEN($A121)-2),'TH_CMI GRADE 10'!$B$7:$B$49,0))="P"),
0)</f>
        <v>2</v>
      </c>
      <c r="D121" s="144" t="b" cm="1">
        <f t="array" aca="1" ref="D121" ca="1">_xlfn.LET(_xlpm.k,LEFT(A121,LEN(A121)-2),_xlpm.idx,IFERROR(MATCH(_xlpm.k,'TH_CMI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1" s="25">
        <f t="shared" ca="1" si="4"/>
        <v>1</v>
      </c>
      <c r="F121" s="24" t="s">
        <v>326</v>
      </c>
      <c r="G121">
        <v>2</v>
      </c>
      <c r="H121">
        <f>IFERROR(
 --(INDEX('PW_CMI GRADE 10'!$E$7:$E$49,MATCH(LEFT($A121,LEN($A121)-2),'PW_CMI GRADE 10'!$B$7:$B$49,0))="P")+
 --(INDEX('PW_CMI GRADE 10'!$K$7:$K$49,MATCH(LEFT($A121,LEN($A121)-2),'PW_CMI GRADE 10'!$B$7:$B$49,0))="P")+
 --(INDEX('PW_CMI GRADE 10'!$Q$7:$Q$49,MATCH(LEFT($A121,LEN($A121)-2),'PW_CMI GRADE 10'!$B$7:$B$49,0))="P")+
 --(INDEX('PW_CMI GRADE 10'!$W$7:$W$49,MATCH(LEFT($A121,LEN($A121)-2),'PW_CMI GRADE 10'!$B$7:$B$49,0))="P")+
 --(INDEX('PW_CMI GRADE 10'!$AC$7:$AC$49,MATCH(LEFT($A121,LEN($A121)-2),'PW_CMI GRADE 10'!$B$7:$B$49,0))="P")+
 --(INDEX('PW_CMI GRADE 10'!$AI$7:$AI$49,MATCH(LEFT($A121,LEN($A121)-2),'PW_CMI GRADE 10'!$B$7:$B$49,0))="P")+
 --(INDEX('PW_CMI GRADE 10'!$AO$7:$AO$49,MATCH(LEFT($A121,LEN($A121)-2),'PW_CMI GRADE 10'!$B$7:$B$49,0))="P"),
0)</f>
        <v>0</v>
      </c>
      <c r="I121" s="24" t="b" cm="1">
        <f t="array" aca="1" ref="I121" ca="1">_xlfn.LET(_xlpm.k,LEFT($A121,LEN($A121)-2),_xlpm.idx,IFERROR(MATCH(_xlpm.k,'PW_CMI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21" s="25" t="str">
        <f t="shared" ca="1" si="3"/>
        <v/>
      </c>
    </row>
    <row r="122" spans="1:10">
      <c r="A122" s="24" t="s">
        <v>327</v>
      </c>
      <c r="B122">
        <v>2</v>
      </c>
      <c r="C122">
        <f>IFERROR(
 --(INDEX('TH_CMI GRADE 10'!$E$7:$E$49,MATCH(LEFT($A122,LEN($A122)-2),'TH_CMI GRADE 10'!$B$7:$B$49,0))="P")+
 --(INDEX('TH_CMI GRADE 10'!$K$7:$K$49,MATCH(LEFT($A122,LEN($A122)-2),'TH_CMI GRADE 10'!$B$7:$B$49,0))="P")+
 --(INDEX('TH_CMI GRADE 10'!$Q$7:$Q$49,MATCH(LEFT($A122,LEN($A122)-2),'TH_CMI GRADE 10'!$B$7:$B$49,0))="P")+
 --(INDEX('TH_CMI GRADE 10'!$W$7:$W$49,MATCH(LEFT($A122,LEN($A122)-2),'TH_CMI GRADE 10'!$B$7:$B$49,0))="P")+
 --(INDEX('TH_CMI GRADE 10'!$AC$7:$AC$49,MATCH(LEFT($A122,LEN($A122)-2),'TH_CMI GRADE 10'!$B$7:$B$49,0))="P")+
 --(INDEX('TH_CMI GRADE 10'!$AI$7:$AI$49,MATCH(LEFT($A122,LEN($A122)-2),'TH_CMI GRADE 10'!$B$7:$B$49,0))="P")+
 --(INDEX('TH_CMI GRADE 10'!$AO$7:$AO$49,MATCH(LEFT($A122,LEN($A122)-2),'TH_CMI GRADE 10'!$B$7:$B$49,0))="P"),
0)</f>
        <v>2</v>
      </c>
      <c r="D122" s="144" t="b" cm="1">
        <f t="array" aca="1" ref="D122" ca="1">_xlfn.LET(_xlpm.k,LEFT(A122,LEN(A122)-2),_xlpm.idx,IFERROR(MATCH(_xlpm.k,'TH_CMI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2" s="25">
        <f t="shared" ca="1" si="4"/>
        <v>1</v>
      </c>
      <c r="F122" s="24" t="s">
        <v>327</v>
      </c>
      <c r="G122">
        <v>2</v>
      </c>
      <c r="H122">
        <f>IFERROR(
 --(INDEX('PW_CMI GRADE 10'!$E$7:$E$49,MATCH(LEFT($A122,LEN($A122)-2),'PW_CMI GRADE 10'!$B$7:$B$49,0))="P")+
 --(INDEX('PW_CMI GRADE 10'!$K$7:$K$49,MATCH(LEFT($A122,LEN($A122)-2),'PW_CMI GRADE 10'!$B$7:$B$49,0))="P")+
 --(INDEX('PW_CMI GRADE 10'!$Q$7:$Q$49,MATCH(LEFT($A122,LEN($A122)-2),'PW_CMI GRADE 10'!$B$7:$B$49,0))="P")+
 --(INDEX('PW_CMI GRADE 10'!$W$7:$W$49,MATCH(LEFT($A122,LEN($A122)-2),'PW_CMI GRADE 10'!$B$7:$B$49,0))="P")+
 --(INDEX('PW_CMI GRADE 10'!$AC$7:$AC$49,MATCH(LEFT($A122,LEN($A122)-2),'PW_CMI GRADE 10'!$B$7:$B$49,0))="P")+
 --(INDEX('PW_CMI GRADE 10'!$AI$7:$AI$49,MATCH(LEFT($A122,LEN($A122)-2),'PW_CMI GRADE 10'!$B$7:$B$49,0))="P")+
 --(INDEX('PW_CMI GRADE 10'!$AO$7:$AO$49,MATCH(LEFT($A122,LEN($A122)-2),'PW_CMI GRADE 10'!$B$7:$B$49,0))="P"),
0)</f>
        <v>0</v>
      </c>
      <c r="I122" s="24" t="b" cm="1">
        <f t="array" aca="1" ref="I122" ca="1">_xlfn.LET(_xlpm.k,LEFT($A122,LEN($A122)-2),_xlpm.idx,IFERROR(MATCH(_xlpm.k,'PW_CMI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22" s="25" t="str">
        <f t="shared" ca="1" si="3"/>
        <v/>
      </c>
    </row>
    <row r="123" spans="1:10">
      <c r="A123" s="24" t="s">
        <v>328</v>
      </c>
      <c r="B123">
        <v>2</v>
      </c>
      <c r="C123">
        <f>IFERROR(
 --(INDEX('TH_CMI GRADE 10'!$E$7:$E$49,MATCH(LEFT($A123,LEN($A123)-2),'TH_CMI GRADE 10'!$B$7:$B$49,0))="P")+
 --(INDEX('TH_CMI GRADE 10'!$K$7:$K$49,MATCH(LEFT($A123,LEN($A123)-2),'TH_CMI GRADE 10'!$B$7:$B$49,0))="P")+
 --(INDEX('TH_CMI GRADE 10'!$Q$7:$Q$49,MATCH(LEFT($A123,LEN($A123)-2),'TH_CMI GRADE 10'!$B$7:$B$49,0))="P")+
 --(INDEX('TH_CMI GRADE 10'!$W$7:$W$49,MATCH(LEFT($A123,LEN($A123)-2),'TH_CMI GRADE 10'!$B$7:$B$49,0))="P")+
 --(INDEX('TH_CMI GRADE 10'!$AC$7:$AC$49,MATCH(LEFT($A123,LEN($A123)-2),'TH_CMI GRADE 10'!$B$7:$B$49,0))="P")+
 --(INDEX('TH_CMI GRADE 10'!$AI$7:$AI$49,MATCH(LEFT($A123,LEN($A123)-2),'TH_CMI GRADE 10'!$B$7:$B$49,0))="P")+
 --(INDEX('TH_CMI GRADE 10'!$AO$7:$AO$49,MATCH(LEFT($A123,LEN($A123)-2),'TH_CMI GRADE 10'!$B$7:$B$49,0))="P"),
0)</f>
        <v>0</v>
      </c>
      <c r="D123" s="144" t="b" cm="1">
        <f t="array" aca="1" ref="D123" ca="1">_xlfn.LET(_xlpm.k,LEFT(A123,LEN(A123)-2),_xlpm.idx,IFERROR(MATCH(_xlpm.k,'TH_CMI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3" s="25">
        <f t="shared" ca="1" si="4"/>
        <v>0</v>
      </c>
      <c r="F123" s="24" t="s">
        <v>328</v>
      </c>
      <c r="G123">
        <v>2</v>
      </c>
      <c r="H123">
        <f>IFERROR(
 --(INDEX('PW_CMI GRADE 10'!$E$7:$E$49,MATCH(LEFT($A123,LEN($A123)-2),'PW_CMI GRADE 10'!$B$7:$B$49,0))="P")+
 --(INDEX('PW_CMI GRADE 10'!$K$7:$K$49,MATCH(LEFT($A123,LEN($A123)-2),'PW_CMI GRADE 10'!$B$7:$B$49,0))="P")+
 --(INDEX('PW_CMI GRADE 10'!$Q$7:$Q$49,MATCH(LEFT($A123,LEN($A123)-2),'PW_CMI GRADE 10'!$B$7:$B$49,0))="P")+
 --(INDEX('PW_CMI GRADE 10'!$W$7:$W$49,MATCH(LEFT($A123,LEN($A123)-2),'PW_CMI GRADE 10'!$B$7:$B$49,0))="P")+
 --(INDEX('PW_CMI GRADE 10'!$AC$7:$AC$49,MATCH(LEFT($A123,LEN($A123)-2),'PW_CMI GRADE 10'!$B$7:$B$49,0))="P")+
 --(INDEX('PW_CMI GRADE 10'!$AI$7:$AI$49,MATCH(LEFT($A123,LEN($A123)-2),'PW_CMI GRADE 10'!$B$7:$B$49,0))="P")+
 --(INDEX('PW_CMI GRADE 10'!$AO$7:$AO$49,MATCH(LEFT($A123,LEN($A123)-2),'PW_CMI GRADE 10'!$B$7:$B$49,0))="P"),
0)</f>
        <v>2</v>
      </c>
      <c r="I123" s="24" t="b" cm="1">
        <f t="array" aca="1" ref="I123" ca="1">_xlfn.LET(_xlpm.k,LEFT($A123,LEN($A123)-2),_xlpm.idx,IFERROR(MATCH(_xlpm.k,'PW_CMI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1</v>
      </c>
      <c r="J123" s="25">
        <f t="shared" ca="1" si="3"/>
        <v>1</v>
      </c>
    </row>
    <row r="124" spans="1:10">
      <c r="A124" s="24" t="s">
        <v>329</v>
      </c>
      <c r="B124">
        <v>2</v>
      </c>
      <c r="C124">
        <f>IFERROR(
 --(INDEX('TH_CMI GRADE 10'!$E$7:$E$49,MATCH(LEFT($A124,LEN($A124)-2),'TH_CMI GRADE 10'!$B$7:$B$49,0))="P")+
 --(INDEX('TH_CMI GRADE 10'!$K$7:$K$49,MATCH(LEFT($A124,LEN($A124)-2),'TH_CMI GRADE 10'!$B$7:$B$49,0))="P")+
 --(INDEX('TH_CMI GRADE 10'!$Q$7:$Q$49,MATCH(LEFT($A124,LEN($A124)-2),'TH_CMI GRADE 10'!$B$7:$B$49,0))="P")+
 --(INDEX('TH_CMI GRADE 10'!$W$7:$W$49,MATCH(LEFT($A124,LEN($A124)-2),'TH_CMI GRADE 10'!$B$7:$B$49,0))="P")+
 --(INDEX('TH_CMI GRADE 10'!$AC$7:$AC$49,MATCH(LEFT($A124,LEN($A124)-2),'TH_CMI GRADE 10'!$B$7:$B$49,0))="P")+
 --(INDEX('TH_CMI GRADE 10'!$AI$7:$AI$49,MATCH(LEFT($A124,LEN($A124)-2),'TH_CMI GRADE 10'!$B$7:$B$49,0))="P")+
 --(INDEX('TH_CMI GRADE 10'!$AO$7:$AO$49,MATCH(LEFT($A124,LEN($A124)-2),'TH_CMI GRADE 10'!$B$7:$B$49,0))="P"),
0)</f>
        <v>2</v>
      </c>
      <c r="D124" s="144" t="b" cm="1">
        <f t="array" aca="1" ref="D124" ca="1">_xlfn.LET(_xlpm.k,LEFT(A124,LEN(A124)-2),_xlpm.idx,IFERROR(MATCH(_xlpm.k,'TH_CMI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4" s="25">
        <f t="shared" ca="1" si="4"/>
        <v>1</v>
      </c>
      <c r="F124" s="24" t="s">
        <v>329</v>
      </c>
      <c r="G124">
        <v>2</v>
      </c>
      <c r="H124">
        <f>IFERROR(
 --(INDEX('PW_CMI GRADE 10'!$E$7:$E$49,MATCH(LEFT($A124,LEN($A124)-2),'PW_CMI GRADE 10'!$B$7:$B$49,0))="P")+
 --(INDEX('PW_CMI GRADE 10'!$K$7:$K$49,MATCH(LEFT($A124,LEN($A124)-2),'PW_CMI GRADE 10'!$B$7:$B$49,0))="P")+
 --(INDEX('PW_CMI GRADE 10'!$Q$7:$Q$49,MATCH(LEFT($A124,LEN($A124)-2),'PW_CMI GRADE 10'!$B$7:$B$49,0))="P")+
 --(INDEX('PW_CMI GRADE 10'!$W$7:$W$49,MATCH(LEFT($A124,LEN($A124)-2),'PW_CMI GRADE 10'!$B$7:$B$49,0))="P")+
 --(INDEX('PW_CMI GRADE 10'!$AC$7:$AC$49,MATCH(LEFT($A124,LEN($A124)-2),'PW_CMI GRADE 10'!$B$7:$B$49,0))="P")+
 --(INDEX('PW_CMI GRADE 10'!$AI$7:$AI$49,MATCH(LEFT($A124,LEN($A124)-2),'PW_CMI GRADE 10'!$B$7:$B$49,0))="P")+
 --(INDEX('PW_CMI GRADE 10'!$AO$7:$AO$49,MATCH(LEFT($A124,LEN($A124)-2),'PW_CMI GRADE 10'!$B$7:$B$49,0))="P"),
0)</f>
        <v>0</v>
      </c>
      <c r="I124" s="24" t="b" cm="1">
        <f t="array" aca="1" ref="I124" ca="1">_xlfn.LET(_xlpm.k,LEFT($A124,LEN($A124)-2),_xlpm.idx,IFERROR(MATCH(_xlpm.k,'PW_CMI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24" s="25" t="str">
        <f t="shared" ca="1" si="3"/>
        <v/>
      </c>
    </row>
    <row r="125" spans="1:10">
      <c r="A125" s="24" t="s">
        <v>330</v>
      </c>
      <c r="B125">
        <v>2</v>
      </c>
      <c r="C125">
        <f>IFERROR(
 --(INDEX('TH_CMI GRADE 10'!$E$7:$E$49,MATCH(LEFT($A125,LEN($A125)-2),'TH_CMI GRADE 10'!$B$7:$B$49,0))="P")+
 --(INDEX('TH_CMI GRADE 10'!$K$7:$K$49,MATCH(LEFT($A125,LEN($A125)-2),'TH_CMI GRADE 10'!$B$7:$B$49,0))="P")+
 --(INDEX('TH_CMI GRADE 10'!$Q$7:$Q$49,MATCH(LEFT($A125,LEN($A125)-2),'TH_CMI GRADE 10'!$B$7:$B$49,0))="P")+
 --(INDEX('TH_CMI GRADE 10'!$W$7:$W$49,MATCH(LEFT($A125,LEN($A125)-2),'TH_CMI GRADE 10'!$B$7:$B$49,0))="P")+
 --(INDEX('TH_CMI GRADE 10'!$AC$7:$AC$49,MATCH(LEFT($A125,LEN($A125)-2),'TH_CMI GRADE 10'!$B$7:$B$49,0))="P")+
 --(INDEX('TH_CMI GRADE 10'!$AI$7:$AI$49,MATCH(LEFT($A125,LEN($A125)-2),'TH_CMI GRADE 10'!$B$7:$B$49,0))="P")+
 --(INDEX('TH_CMI GRADE 10'!$AO$7:$AO$49,MATCH(LEFT($A125,LEN($A125)-2),'TH_CMI GRADE 10'!$B$7:$B$49,0))="P"),
0)</f>
        <v>2</v>
      </c>
      <c r="D125" s="144" t="b" cm="1">
        <f t="array" aca="1" ref="D125" ca="1">_xlfn.LET(_xlpm.k,LEFT(A125,LEN(A125)-2),_xlpm.idx,IFERROR(MATCH(_xlpm.k,'TH_CMI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5" s="25">
        <f t="shared" ca="1" si="4"/>
        <v>1</v>
      </c>
      <c r="F125" s="24" t="s">
        <v>330</v>
      </c>
      <c r="G125">
        <v>2</v>
      </c>
      <c r="H125">
        <f>IFERROR(
 --(INDEX('PW_CMI GRADE 10'!$E$7:$E$49,MATCH(LEFT($A125,LEN($A125)-2),'PW_CMI GRADE 10'!$B$7:$B$49,0))="P")+
 --(INDEX('PW_CMI GRADE 10'!$K$7:$K$49,MATCH(LEFT($A125,LEN($A125)-2),'PW_CMI GRADE 10'!$B$7:$B$49,0))="P")+
 --(INDEX('PW_CMI GRADE 10'!$Q$7:$Q$49,MATCH(LEFT($A125,LEN($A125)-2),'PW_CMI GRADE 10'!$B$7:$B$49,0))="P")+
 --(INDEX('PW_CMI GRADE 10'!$W$7:$W$49,MATCH(LEFT($A125,LEN($A125)-2),'PW_CMI GRADE 10'!$B$7:$B$49,0))="P")+
 --(INDEX('PW_CMI GRADE 10'!$AC$7:$AC$49,MATCH(LEFT($A125,LEN($A125)-2),'PW_CMI GRADE 10'!$B$7:$B$49,0))="P")+
 --(INDEX('PW_CMI GRADE 10'!$AI$7:$AI$49,MATCH(LEFT($A125,LEN($A125)-2),'PW_CMI GRADE 10'!$B$7:$B$49,0))="P")+
 --(INDEX('PW_CMI GRADE 10'!$AO$7:$AO$49,MATCH(LEFT($A125,LEN($A125)-2),'PW_CMI GRADE 10'!$B$7:$B$49,0))="P"),
0)</f>
        <v>1</v>
      </c>
      <c r="I125" s="24" t="b" cm="1">
        <f t="array" aca="1" ref="I125" ca="1">_xlfn.LET(_xlpm.k,LEFT($A125,LEN($A125)-2),_xlpm.idx,IFERROR(MATCH(_xlpm.k,'PW_CMI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1</v>
      </c>
      <c r="J125" s="25">
        <f t="shared" ca="1" si="3"/>
        <v>0.5</v>
      </c>
    </row>
    <row r="126" spans="1:10">
      <c r="A126" s="24" t="s">
        <v>331</v>
      </c>
      <c r="B126">
        <v>2</v>
      </c>
      <c r="C126">
        <f>IFERROR(
 --(INDEX('TH_CMI GRADE 10'!$E$7:$E$49,MATCH(LEFT($A126,LEN($A126)-2),'TH_CMI GRADE 10'!$B$7:$B$49,0))="P")+
 --(INDEX('TH_CMI GRADE 10'!$K$7:$K$49,MATCH(LEFT($A126,LEN($A126)-2),'TH_CMI GRADE 10'!$B$7:$B$49,0))="P")+
 --(INDEX('TH_CMI GRADE 10'!$Q$7:$Q$49,MATCH(LEFT($A126,LEN($A126)-2),'TH_CMI GRADE 10'!$B$7:$B$49,0))="P")+
 --(INDEX('TH_CMI GRADE 10'!$W$7:$W$49,MATCH(LEFT($A126,LEN($A126)-2),'TH_CMI GRADE 10'!$B$7:$B$49,0))="P")+
 --(INDEX('TH_CMI GRADE 10'!$AC$7:$AC$49,MATCH(LEFT($A126,LEN($A126)-2),'TH_CMI GRADE 10'!$B$7:$B$49,0))="P")+
 --(INDEX('TH_CMI GRADE 10'!$AI$7:$AI$49,MATCH(LEFT($A126,LEN($A126)-2),'TH_CMI GRADE 10'!$B$7:$B$49,0))="P")+
 --(INDEX('TH_CMI GRADE 10'!$AO$7:$AO$49,MATCH(LEFT($A126,LEN($A126)-2),'TH_CMI GRADE 10'!$B$7:$B$49,0))="P"),
0)</f>
        <v>2</v>
      </c>
      <c r="D126" s="144" t="b" cm="1">
        <f t="array" aca="1" ref="D126" ca="1">_xlfn.LET(_xlpm.k,LEFT(A126,LEN(A126)-2),_xlpm.idx,IFERROR(MATCH(_xlpm.k,'TH_CMI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6" s="25">
        <f t="shared" ca="1" si="4"/>
        <v>1</v>
      </c>
      <c r="F126" s="24" t="s">
        <v>331</v>
      </c>
      <c r="G126">
        <v>2</v>
      </c>
      <c r="H126">
        <f>IFERROR(
 --(INDEX('PW_CMI GRADE 10'!$E$7:$E$49,MATCH(LEFT($A126,LEN($A126)-2),'PW_CMI GRADE 10'!$B$7:$B$49,0))="P")+
 --(INDEX('PW_CMI GRADE 10'!$K$7:$K$49,MATCH(LEFT($A126,LEN($A126)-2),'PW_CMI GRADE 10'!$B$7:$B$49,0))="P")+
 --(INDEX('PW_CMI GRADE 10'!$Q$7:$Q$49,MATCH(LEFT($A126,LEN($A126)-2),'PW_CMI GRADE 10'!$B$7:$B$49,0))="P")+
 --(INDEX('PW_CMI GRADE 10'!$W$7:$W$49,MATCH(LEFT($A126,LEN($A126)-2),'PW_CMI GRADE 10'!$B$7:$B$49,0))="P")+
 --(INDEX('PW_CMI GRADE 10'!$AC$7:$AC$49,MATCH(LEFT($A126,LEN($A126)-2),'PW_CMI GRADE 10'!$B$7:$B$49,0))="P")+
 --(INDEX('PW_CMI GRADE 10'!$AI$7:$AI$49,MATCH(LEFT($A126,LEN($A126)-2),'PW_CMI GRADE 10'!$B$7:$B$49,0))="P")+
 --(INDEX('PW_CMI GRADE 10'!$AO$7:$AO$49,MATCH(LEFT($A126,LEN($A126)-2),'PW_CMI GRADE 10'!$B$7:$B$49,0))="P"),
0)</f>
        <v>0</v>
      </c>
      <c r="I126" s="24" t="b" cm="1">
        <f t="array" aca="1" ref="I126" ca="1">_xlfn.LET(_xlpm.k,LEFT($A126,LEN($A126)-2),_xlpm.idx,IFERROR(MATCH(_xlpm.k,'PW_CMI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26" s="25" t="str">
        <f t="shared" ca="1" si="3"/>
        <v/>
      </c>
    </row>
    <row r="127" spans="1:10">
      <c r="A127" s="24" t="s">
        <v>332</v>
      </c>
      <c r="B127">
        <v>2</v>
      </c>
      <c r="C127">
        <f>IFERROR(
 --(INDEX('TH_CMI GRADE 10'!$E$7:$E$49,MATCH(LEFT($A127,LEN($A127)-2),'TH_CMI GRADE 10'!$B$7:$B$49,0))="P")+
 --(INDEX('TH_CMI GRADE 10'!$K$7:$K$49,MATCH(LEFT($A127,LEN($A127)-2),'TH_CMI GRADE 10'!$B$7:$B$49,0))="P")+
 --(INDEX('TH_CMI GRADE 10'!$Q$7:$Q$49,MATCH(LEFT($A127,LEN($A127)-2),'TH_CMI GRADE 10'!$B$7:$B$49,0))="P")+
 --(INDEX('TH_CMI GRADE 10'!$W$7:$W$49,MATCH(LEFT($A127,LEN($A127)-2),'TH_CMI GRADE 10'!$B$7:$B$49,0))="P")+
 --(INDEX('TH_CMI GRADE 10'!$AC$7:$AC$49,MATCH(LEFT($A127,LEN($A127)-2),'TH_CMI GRADE 10'!$B$7:$B$49,0))="P")+
 --(INDEX('TH_CMI GRADE 10'!$AI$7:$AI$49,MATCH(LEFT($A127,LEN($A127)-2),'TH_CMI GRADE 10'!$B$7:$B$49,0))="P")+
 --(INDEX('TH_CMI GRADE 10'!$AO$7:$AO$49,MATCH(LEFT($A127,LEN($A127)-2),'TH_CMI GRADE 10'!$B$7:$B$49,0))="P"),
0)</f>
        <v>2</v>
      </c>
      <c r="D127" s="144" t="b" cm="1">
        <f t="array" aca="1" ref="D127" ca="1">_xlfn.LET(_xlpm.k,LEFT(A127,LEN(A127)-2),_xlpm.idx,IFERROR(MATCH(_xlpm.k,'TH_CMI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7" s="25">
        <f t="shared" ca="1" si="4"/>
        <v>1</v>
      </c>
      <c r="F127" s="24" t="s">
        <v>332</v>
      </c>
      <c r="G127">
        <v>2</v>
      </c>
      <c r="H127">
        <f>IFERROR(
 --(INDEX('PW_CMI GRADE 10'!$E$7:$E$49,MATCH(LEFT($A127,LEN($A127)-2),'PW_CMI GRADE 10'!$B$7:$B$49,0))="P")+
 --(INDEX('PW_CMI GRADE 10'!$K$7:$K$49,MATCH(LEFT($A127,LEN($A127)-2),'PW_CMI GRADE 10'!$B$7:$B$49,0))="P")+
 --(INDEX('PW_CMI GRADE 10'!$Q$7:$Q$49,MATCH(LEFT($A127,LEN($A127)-2),'PW_CMI GRADE 10'!$B$7:$B$49,0))="P")+
 --(INDEX('PW_CMI GRADE 10'!$W$7:$W$49,MATCH(LEFT($A127,LEN($A127)-2),'PW_CMI GRADE 10'!$B$7:$B$49,0))="P")+
 --(INDEX('PW_CMI GRADE 10'!$AC$7:$AC$49,MATCH(LEFT($A127,LEN($A127)-2),'PW_CMI GRADE 10'!$B$7:$B$49,0))="P")+
 --(INDEX('PW_CMI GRADE 10'!$AI$7:$AI$49,MATCH(LEFT($A127,LEN($A127)-2),'PW_CMI GRADE 10'!$B$7:$B$49,0))="P")+
 --(INDEX('PW_CMI GRADE 10'!$AO$7:$AO$49,MATCH(LEFT($A127,LEN($A127)-2),'PW_CMI GRADE 10'!$B$7:$B$49,0))="P"),
0)</f>
        <v>2</v>
      </c>
      <c r="I127" s="24" t="b" cm="1">
        <f t="array" aca="1" ref="I127" ca="1">_xlfn.LET(_xlpm.k,LEFT($A127,LEN($A127)-2),_xlpm.idx,IFERROR(MATCH(_xlpm.k,'PW_CMI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1</v>
      </c>
      <c r="J127" s="25">
        <f t="shared" ca="1" si="3"/>
        <v>1</v>
      </c>
    </row>
    <row r="128" spans="1:10">
      <c r="A128" s="24" t="s">
        <v>333</v>
      </c>
      <c r="B128">
        <v>2</v>
      </c>
      <c r="C128">
        <f>IFERROR(
 --(INDEX('TH_CMI GRADE 10'!$E$7:$E$49,MATCH(LEFT($A128,LEN($A128)-2),'TH_CMI GRADE 10'!$B$7:$B$49,0))="P")+
 --(INDEX('TH_CMI GRADE 10'!$K$7:$K$49,MATCH(LEFT($A128,LEN($A128)-2),'TH_CMI GRADE 10'!$B$7:$B$49,0))="P")+
 --(INDEX('TH_CMI GRADE 10'!$Q$7:$Q$49,MATCH(LEFT($A128,LEN($A128)-2),'TH_CMI GRADE 10'!$B$7:$B$49,0))="P")+
 --(INDEX('TH_CMI GRADE 10'!$W$7:$W$49,MATCH(LEFT($A128,LEN($A128)-2),'TH_CMI GRADE 10'!$B$7:$B$49,0))="P")+
 --(INDEX('TH_CMI GRADE 10'!$AC$7:$AC$49,MATCH(LEFT($A128,LEN($A128)-2),'TH_CMI GRADE 10'!$B$7:$B$49,0))="P")+
 --(INDEX('TH_CMI GRADE 10'!$AI$7:$AI$49,MATCH(LEFT($A128,LEN($A128)-2),'TH_CMI GRADE 10'!$B$7:$B$49,0))="P")+
 --(INDEX('TH_CMI GRADE 10'!$AO$7:$AO$49,MATCH(LEFT($A128,LEN($A128)-2),'TH_CMI GRADE 10'!$B$7:$B$49,0))="P"),
0)</f>
        <v>3</v>
      </c>
      <c r="D128" s="144" t="b" cm="1">
        <f t="array" aca="1" ref="D128" ca="1">_xlfn.LET(_xlpm.k,LEFT(A128,LEN(A128)-2),_xlpm.idx,IFERROR(MATCH(_xlpm.k,'TH_CMI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8" s="25">
        <f t="shared" ca="1" si="4"/>
        <v>1</v>
      </c>
      <c r="F128" s="24" t="s">
        <v>333</v>
      </c>
      <c r="G128">
        <v>2</v>
      </c>
      <c r="H128">
        <f>IFERROR(
 --(INDEX('PW_CMI GRADE 10'!$E$7:$E$49,MATCH(LEFT($A128,LEN($A128)-2),'PW_CMI GRADE 10'!$B$7:$B$49,0))="P")+
 --(INDEX('PW_CMI GRADE 10'!$K$7:$K$49,MATCH(LEFT($A128,LEN($A128)-2),'PW_CMI GRADE 10'!$B$7:$B$49,0))="P")+
 --(INDEX('PW_CMI GRADE 10'!$Q$7:$Q$49,MATCH(LEFT($A128,LEN($A128)-2),'PW_CMI GRADE 10'!$B$7:$B$49,0))="P")+
 --(INDEX('PW_CMI GRADE 10'!$W$7:$W$49,MATCH(LEFT($A128,LEN($A128)-2),'PW_CMI GRADE 10'!$B$7:$B$49,0))="P")+
 --(INDEX('PW_CMI GRADE 10'!$AC$7:$AC$49,MATCH(LEFT($A128,LEN($A128)-2),'PW_CMI GRADE 10'!$B$7:$B$49,0))="P")+
 --(INDEX('PW_CMI GRADE 10'!$AI$7:$AI$49,MATCH(LEFT($A128,LEN($A128)-2),'PW_CMI GRADE 10'!$B$7:$B$49,0))="P")+
 --(INDEX('PW_CMI GRADE 10'!$AO$7:$AO$49,MATCH(LEFT($A128,LEN($A128)-2),'PW_CMI GRADE 10'!$B$7:$B$49,0))="P"),
0)</f>
        <v>0</v>
      </c>
      <c r="I128" s="24" t="b" cm="1">
        <f t="array" aca="1" ref="I128" ca="1">_xlfn.LET(_xlpm.k,LEFT($A128,LEN($A128)-2),_xlpm.idx,IFERROR(MATCH(_xlpm.k,'PW_CMI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28" s="25" t="str">
        <f t="shared" ca="1" si="3"/>
        <v/>
      </c>
    </row>
    <row r="129" spans="1:13">
      <c r="A129" s="24" t="s">
        <v>334</v>
      </c>
      <c r="B129">
        <v>2</v>
      </c>
      <c r="C129">
        <f>IFERROR(
 --(INDEX('TH_CMI GRADE 10'!$E$7:$E$49,MATCH(LEFT($A129,LEN($A129)-2),'TH_CMI GRADE 10'!$B$7:$B$49,0))="P")+
 --(INDEX('TH_CMI GRADE 10'!$K$7:$K$49,MATCH(LEFT($A129,LEN($A129)-2),'TH_CMI GRADE 10'!$B$7:$B$49,0))="P")+
 --(INDEX('TH_CMI GRADE 10'!$Q$7:$Q$49,MATCH(LEFT($A129,LEN($A129)-2),'TH_CMI GRADE 10'!$B$7:$B$49,0))="P")+
 --(INDEX('TH_CMI GRADE 10'!$W$7:$W$49,MATCH(LEFT($A129,LEN($A129)-2),'TH_CMI GRADE 10'!$B$7:$B$49,0))="P")+
 --(INDEX('TH_CMI GRADE 10'!$AC$7:$AC$49,MATCH(LEFT($A129,LEN($A129)-2),'TH_CMI GRADE 10'!$B$7:$B$49,0))="P")+
 --(INDEX('TH_CMI GRADE 10'!$AI$7:$AI$49,MATCH(LEFT($A129,LEN($A129)-2),'TH_CMI GRADE 10'!$B$7:$B$49,0))="P")+
 --(INDEX('TH_CMI GRADE 10'!$AO$7:$AO$49,MATCH(LEFT($A129,LEN($A129)-2),'TH_CMI GRADE 10'!$B$7:$B$49,0))="P"),
0)</f>
        <v>1</v>
      </c>
      <c r="D129" s="144" t="b" cm="1">
        <f t="array" aca="1" ref="D129" ca="1">_xlfn.LET(_xlpm.k,LEFT(A129,LEN(A129)-2),_xlpm.idx,IFERROR(MATCH(_xlpm.k,'TH_CMI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29" s="25">
        <f t="shared" ca="1" si="4"/>
        <v>0.5</v>
      </c>
      <c r="F129" s="24" t="s">
        <v>334</v>
      </c>
      <c r="G129">
        <v>2</v>
      </c>
      <c r="H129">
        <f>IFERROR(
 --(INDEX('PW_CMI GRADE 10'!$E$7:$E$49,MATCH(LEFT($A129,LEN($A129)-2),'PW_CMI GRADE 10'!$B$7:$B$49,0))="P")+
 --(INDEX('PW_CMI GRADE 10'!$K$7:$K$49,MATCH(LEFT($A129,LEN($A129)-2),'PW_CMI GRADE 10'!$B$7:$B$49,0))="P")+
 --(INDEX('PW_CMI GRADE 10'!$Q$7:$Q$49,MATCH(LEFT($A129,LEN($A129)-2),'PW_CMI GRADE 10'!$B$7:$B$49,0))="P")+
 --(INDEX('PW_CMI GRADE 10'!$W$7:$W$49,MATCH(LEFT($A129,LEN($A129)-2),'PW_CMI GRADE 10'!$B$7:$B$49,0))="P")+
 --(INDEX('PW_CMI GRADE 10'!$AC$7:$AC$49,MATCH(LEFT($A129,LEN($A129)-2),'PW_CMI GRADE 10'!$B$7:$B$49,0))="P")+
 --(INDEX('PW_CMI GRADE 10'!$AI$7:$AI$49,MATCH(LEFT($A129,LEN($A129)-2),'PW_CMI GRADE 10'!$B$7:$B$49,0))="P")+
 --(INDEX('PW_CMI GRADE 10'!$AO$7:$AO$49,MATCH(LEFT($A129,LEN($A129)-2),'PW_CMI GRADE 10'!$B$7:$B$49,0))="P"),
0)</f>
        <v>0</v>
      </c>
      <c r="I129" s="24" t="b" cm="1">
        <f t="array" aca="1" ref="I129" ca="1">_xlfn.LET(_xlpm.k,LEFT($A129,LEN($A129)-2),_xlpm.idx,IFERROR(MATCH(_xlpm.k,'PW_CMI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29" s="25" t="str">
        <f t="shared" ca="1" si="3"/>
        <v/>
      </c>
    </row>
    <row r="130" spans="1:13">
      <c r="A130" s="24" t="s">
        <v>335</v>
      </c>
      <c r="B130">
        <v>2</v>
      </c>
      <c r="C130">
        <f>IFERROR(
 --(INDEX('TH_CMI GRADE 10'!$E$7:$E$49,MATCH(LEFT($A130,LEN($A130)-2),'TH_CMI GRADE 10'!$B$7:$B$49,0))="P")+
 --(INDEX('TH_CMI GRADE 10'!$K$7:$K$49,MATCH(LEFT($A130,LEN($A130)-2),'TH_CMI GRADE 10'!$B$7:$B$49,0))="P")+
 --(INDEX('TH_CMI GRADE 10'!$Q$7:$Q$49,MATCH(LEFT($A130,LEN($A130)-2),'TH_CMI GRADE 10'!$B$7:$B$49,0))="P")+
 --(INDEX('TH_CMI GRADE 10'!$W$7:$W$49,MATCH(LEFT($A130,LEN($A130)-2),'TH_CMI GRADE 10'!$B$7:$B$49,0))="P")+
 --(INDEX('TH_CMI GRADE 10'!$AC$7:$AC$49,MATCH(LEFT($A130,LEN($A130)-2),'TH_CMI GRADE 10'!$B$7:$B$49,0))="P")+
 --(INDEX('TH_CMI GRADE 10'!$AI$7:$AI$49,MATCH(LEFT($A130,LEN($A130)-2),'TH_CMI GRADE 10'!$B$7:$B$49,0))="P")+
 --(INDEX('TH_CMI GRADE 10'!$AO$7:$AO$49,MATCH(LEFT($A130,LEN($A130)-2),'TH_CMI GRADE 10'!$B$7:$B$49,0))="P"),
0)</f>
        <v>1</v>
      </c>
      <c r="D130" s="144" t="b" cm="1">
        <f t="array" aca="1" ref="D130" ca="1">_xlfn.LET(_xlpm.k,LEFT(A130,LEN(A130)-2),_xlpm.idx,IFERROR(MATCH(_xlpm.k,'TH_CMI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30" s="25">
        <f t="shared" ca="1" si="4"/>
        <v>0.5</v>
      </c>
      <c r="F130" s="24" t="s">
        <v>335</v>
      </c>
      <c r="G130">
        <v>2</v>
      </c>
      <c r="H130">
        <f>IFERROR(
 --(INDEX('PW_CMI GRADE 10'!$E$7:$E$49,MATCH(LEFT($A130,LEN($A130)-2),'PW_CMI GRADE 10'!$B$7:$B$49,0))="P")+
 --(INDEX('PW_CMI GRADE 10'!$K$7:$K$49,MATCH(LEFT($A130,LEN($A130)-2),'PW_CMI GRADE 10'!$B$7:$B$49,0))="P")+
 --(INDEX('PW_CMI GRADE 10'!$Q$7:$Q$49,MATCH(LEFT($A130,LEN($A130)-2),'PW_CMI GRADE 10'!$B$7:$B$49,0))="P")+
 --(INDEX('PW_CMI GRADE 10'!$W$7:$W$49,MATCH(LEFT($A130,LEN($A130)-2),'PW_CMI GRADE 10'!$B$7:$B$49,0))="P")+
 --(INDEX('PW_CMI GRADE 10'!$AC$7:$AC$49,MATCH(LEFT($A130,LEN($A130)-2),'PW_CMI GRADE 10'!$B$7:$B$49,0))="P")+
 --(INDEX('PW_CMI GRADE 10'!$AI$7:$AI$49,MATCH(LEFT($A130,LEN($A130)-2),'PW_CMI GRADE 10'!$B$7:$B$49,0))="P")+
 --(INDEX('PW_CMI GRADE 10'!$AO$7:$AO$49,MATCH(LEFT($A130,LEN($A130)-2),'PW_CMI GRADE 10'!$B$7:$B$49,0))="P"),
0)</f>
        <v>0</v>
      </c>
      <c r="I130" s="24" t="b" cm="1">
        <f t="array" aca="1" ref="I130" ca="1">_xlfn.LET(_xlpm.k,LEFT($A130,LEN($A130)-2),_xlpm.idx,IFERROR(MATCH(_xlpm.k,'PW_CMI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30" s="25" t="str">
        <f t="shared" ca="1" si="3"/>
        <v/>
      </c>
    </row>
    <row r="131" spans="1:13">
      <c r="A131" s="24" t="s">
        <v>336</v>
      </c>
      <c r="B131">
        <v>2</v>
      </c>
      <c r="C131">
        <f>IFERROR(
 --(INDEX('TH_CMI GRADE 10'!$E$7:$E$49,MATCH(LEFT($A131,LEN($A131)-2),'TH_CMI GRADE 10'!$B$7:$B$49,0))="P")+
 --(INDEX('TH_CMI GRADE 10'!$K$7:$K$49,MATCH(LEFT($A131,LEN($A131)-2),'TH_CMI GRADE 10'!$B$7:$B$49,0))="P")+
 --(INDEX('TH_CMI GRADE 10'!$Q$7:$Q$49,MATCH(LEFT($A131,LEN($A131)-2),'TH_CMI GRADE 10'!$B$7:$B$49,0))="P")+
 --(INDEX('TH_CMI GRADE 10'!$W$7:$W$49,MATCH(LEFT($A131,LEN($A131)-2),'TH_CMI GRADE 10'!$B$7:$B$49,0))="P")+
 --(INDEX('TH_CMI GRADE 10'!$AC$7:$AC$49,MATCH(LEFT($A131,LEN($A131)-2),'TH_CMI GRADE 10'!$B$7:$B$49,0))="P")+
 --(INDEX('TH_CMI GRADE 10'!$AI$7:$AI$49,MATCH(LEFT($A131,LEN($A131)-2),'TH_CMI GRADE 10'!$B$7:$B$49,0))="P")+
 --(INDEX('TH_CMI GRADE 10'!$AO$7:$AO$49,MATCH(LEFT($A131,LEN($A131)-2),'TH_CMI GRADE 10'!$B$7:$B$49,0))="P"),
0)</f>
        <v>2</v>
      </c>
      <c r="D131" s="144" t="b" cm="1">
        <f t="array" aca="1" ref="D131" ca="1">_xlfn.LET(_xlpm.k,LEFT(A131,LEN(A131)-2),_xlpm.idx,IFERROR(MATCH(_xlpm.k,'TH_CMI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31" s="25">
        <f t="shared" ca="1" si="4"/>
        <v>1</v>
      </c>
      <c r="F131" s="24" t="s">
        <v>336</v>
      </c>
      <c r="G131">
        <v>2</v>
      </c>
      <c r="H131">
        <f>IFERROR(
 --(INDEX('PW_CMI GRADE 10'!$E$7:$E$49,MATCH(LEFT($A131,LEN($A131)-2),'PW_CMI GRADE 10'!$B$7:$B$49,0))="P")+
 --(INDEX('PW_CMI GRADE 10'!$K$7:$K$49,MATCH(LEFT($A131,LEN($A131)-2),'PW_CMI GRADE 10'!$B$7:$B$49,0))="P")+
 --(INDEX('PW_CMI GRADE 10'!$Q$7:$Q$49,MATCH(LEFT($A131,LEN($A131)-2),'PW_CMI GRADE 10'!$B$7:$B$49,0))="P")+
 --(INDEX('PW_CMI GRADE 10'!$W$7:$W$49,MATCH(LEFT($A131,LEN($A131)-2),'PW_CMI GRADE 10'!$B$7:$B$49,0))="P")+
 --(INDEX('PW_CMI GRADE 10'!$AC$7:$AC$49,MATCH(LEFT($A131,LEN($A131)-2),'PW_CMI GRADE 10'!$B$7:$B$49,0))="P")+
 --(INDEX('PW_CMI GRADE 10'!$AI$7:$AI$49,MATCH(LEFT($A131,LEN($A131)-2),'PW_CMI GRADE 10'!$B$7:$B$49,0))="P")+
 --(INDEX('PW_CMI GRADE 10'!$AO$7:$AO$49,MATCH(LEFT($A131,LEN($A131)-2),'PW_CMI GRADE 10'!$B$7:$B$49,0))="P"),
0)</f>
        <v>0</v>
      </c>
      <c r="I131" s="24" t="b" cm="1">
        <f t="array" aca="1" ref="I131" ca="1">_xlfn.LET(_xlpm.k,LEFT($A131,LEN($A131)-2),_xlpm.idx,IFERROR(MATCH(_xlpm.k,'PW_CMI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31" s="25" t="str">
        <f t="shared" ca="1" si="3"/>
        <v/>
      </c>
    </row>
    <row r="132" spans="1:13">
      <c r="A132" s="24" t="s">
        <v>337</v>
      </c>
      <c r="B132">
        <v>2</v>
      </c>
      <c r="C132">
        <f>IFERROR(
 --(INDEX('TH_CMI GRADE 10'!$E$7:$E$49,MATCH(LEFT($A132,LEN($A132)-2),'TH_CMI GRADE 10'!$B$7:$B$49,0))="P")+
 --(INDEX('TH_CMI GRADE 10'!$K$7:$K$49,MATCH(LEFT($A132,LEN($A132)-2),'TH_CMI GRADE 10'!$B$7:$B$49,0))="P")+
 --(INDEX('TH_CMI GRADE 10'!$Q$7:$Q$49,MATCH(LEFT($A132,LEN($A132)-2),'TH_CMI GRADE 10'!$B$7:$B$49,0))="P")+
 --(INDEX('TH_CMI GRADE 10'!$W$7:$W$49,MATCH(LEFT($A132,LEN($A132)-2),'TH_CMI GRADE 10'!$B$7:$B$49,0))="P")+
 --(INDEX('TH_CMI GRADE 10'!$AC$7:$AC$49,MATCH(LEFT($A132,LEN($A132)-2),'TH_CMI GRADE 10'!$B$7:$B$49,0))="P")+
 --(INDEX('TH_CMI GRADE 10'!$AI$7:$AI$49,MATCH(LEFT($A132,LEN($A132)-2),'TH_CMI GRADE 10'!$B$7:$B$49,0))="P")+
 --(INDEX('TH_CMI GRADE 10'!$AO$7:$AO$49,MATCH(LEFT($A132,LEN($A132)-2),'TH_CMI GRADE 10'!$B$7:$B$49,0))="P"),
0)</f>
        <v>3</v>
      </c>
      <c r="D132" s="144" t="b" cm="1">
        <f t="array" aca="1" ref="D132" ca="1">_xlfn.LET(_xlpm.k,LEFT(A132,LEN(A132)-2),_xlpm.idx,IFERROR(MATCH(_xlpm.k,'TH_CMI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32" s="25">
        <f t="shared" ref="E132:E137" ca="1" si="5">IFERROR(IF(AND(D132=TRUE(),C132/B132&lt;=1),C132/B132,IF(AND(D132=TRUE(),C132/B132&gt;1),1,"")),0)</f>
        <v>1</v>
      </c>
      <c r="F132" s="24" t="s">
        <v>337</v>
      </c>
      <c r="G132">
        <v>2</v>
      </c>
      <c r="H132">
        <f>IFERROR(
 --(INDEX('PW_CMI GRADE 10'!$E$7:$E$49,MATCH(LEFT($A132,LEN($A132)-2),'PW_CMI GRADE 10'!$B$7:$B$49,0))="P")+
 --(INDEX('PW_CMI GRADE 10'!$K$7:$K$49,MATCH(LEFT($A132,LEN($A132)-2),'PW_CMI GRADE 10'!$B$7:$B$49,0))="P")+
 --(INDEX('PW_CMI GRADE 10'!$Q$7:$Q$49,MATCH(LEFT($A132,LEN($A132)-2),'PW_CMI GRADE 10'!$B$7:$B$49,0))="P")+
 --(INDEX('PW_CMI GRADE 10'!$W$7:$W$49,MATCH(LEFT($A132,LEN($A132)-2),'PW_CMI GRADE 10'!$B$7:$B$49,0))="P")+
 --(INDEX('PW_CMI GRADE 10'!$AC$7:$AC$49,MATCH(LEFT($A132,LEN($A132)-2),'PW_CMI GRADE 10'!$B$7:$B$49,0))="P")+
 --(INDEX('PW_CMI GRADE 10'!$AI$7:$AI$49,MATCH(LEFT($A132,LEN($A132)-2),'PW_CMI GRADE 10'!$B$7:$B$49,0))="P")+
 --(INDEX('PW_CMI GRADE 10'!$AO$7:$AO$49,MATCH(LEFT($A132,LEN($A132)-2),'PW_CMI GRADE 10'!$B$7:$B$49,0))="P"),
0)</f>
        <v>0</v>
      </c>
      <c r="I132" s="24" t="b" cm="1">
        <f t="array" aca="1" ref="I132" ca="1">_xlfn.LET(_xlpm.k,LEFT($A132,LEN($A132)-2),_xlpm.idx,IFERROR(MATCH(_xlpm.k,'PW_CMI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32" s="25" t="str">
        <f t="shared" ref="J132:J137" ca="1" si="6">IFERROR(IF(AND(I132=TRUE(),H132/G132&lt;=1),H132/G132,IF(AND(I132=TRUE(),H132/G132&gt;1),1,"")),0)</f>
        <v/>
      </c>
    </row>
    <row r="133" spans="1:13">
      <c r="A133" s="24" t="s">
        <v>338</v>
      </c>
      <c r="B133">
        <v>2</v>
      </c>
      <c r="C133">
        <f>IFERROR(
 --(INDEX('TH_CMI GRADE 10'!$E$7:$E$49,MATCH(LEFT($A133,LEN($A133)-2),'TH_CMI GRADE 10'!$B$7:$B$49,0))="P")+
 --(INDEX('TH_CMI GRADE 10'!$K$7:$K$49,MATCH(LEFT($A133,LEN($A133)-2),'TH_CMI GRADE 10'!$B$7:$B$49,0))="P")+
 --(INDEX('TH_CMI GRADE 10'!$Q$7:$Q$49,MATCH(LEFT($A133,LEN($A133)-2),'TH_CMI GRADE 10'!$B$7:$B$49,0))="P")+
 --(INDEX('TH_CMI GRADE 10'!$W$7:$W$49,MATCH(LEFT($A133,LEN($A133)-2),'TH_CMI GRADE 10'!$B$7:$B$49,0))="P")+
 --(INDEX('TH_CMI GRADE 10'!$AC$7:$AC$49,MATCH(LEFT($A133,LEN($A133)-2),'TH_CMI GRADE 10'!$B$7:$B$49,0))="P")+
 --(INDEX('TH_CMI GRADE 10'!$AI$7:$AI$49,MATCH(LEFT($A133,LEN($A133)-2),'TH_CMI GRADE 10'!$B$7:$B$49,0))="P")+
 --(INDEX('TH_CMI GRADE 10'!$AO$7:$AO$49,MATCH(LEFT($A133,LEN($A133)-2),'TH_CMI GRADE 10'!$B$7:$B$49,0))="P"),
0)</f>
        <v>3</v>
      </c>
      <c r="D133" s="144" t="b" cm="1">
        <f t="array" aca="1" ref="D133" ca="1">_xlfn.LET(_xlpm.k,LEFT(A133,LEN(A133)-2),_xlpm.idx,IFERROR(MATCH(_xlpm.k,'TH_CMI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33" s="25">
        <f t="shared" ca="1" si="5"/>
        <v>1</v>
      </c>
      <c r="F133" s="24" t="s">
        <v>338</v>
      </c>
      <c r="G133">
        <v>2</v>
      </c>
      <c r="H133">
        <f>IFERROR(
 --(INDEX('PW_CMI GRADE 10'!$E$7:$E$49,MATCH(LEFT($A133,LEN($A133)-2),'PW_CMI GRADE 10'!$B$7:$B$49,0))="P")+
 --(INDEX('PW_CMI GRADE 10'!$K$7:$K$49,MATCH(LEFT($A133,LEN($A133)-2),'PW_CMI GRADE 10'!$B$7:$B$49,0))="P")+
 --(INDEX('PW_CMI GRADE 10'!$Q$7:$Q$49,MATCH(LEFT($A133,LEN($A133)-2),'PW_CMI GRADE 10'!$B$7:$B$49,0))="P")+
 --(INDEX('PW_CMI GRADE 10'!$W$7:$W$49,MATCH(LEFT($A133,LEN($A133)-2),'PW_CMI GRADE 10'!$B$7:$B$49,0))="P")+
 --(INDEX('PW_CMI GRADE 10'!$AC$7:$AC$49,MATCH(LEFT($A133,LEN($A133)-2),'PW_CMI GRADE 10'!$B$7:$B$49,0))="P")+
 --(INDEX('PW_CMI GRADE 10'!$AI$7:$AI$49,MATCH(LEFT($A133,LEN($A133)-2),'PW_CMI GRADE 10'!$B$7:$B$49,0))="P")+
 --(INDEX('PW_CMI GRADE 10'!$AO$7:$AO$49,MATCH(LEFT($A133,LEN($A133)-2),'PW_CMI GRADE 10'!$B$7:$B$49,0))="P"),
0)</f>
        <v>0</v>
      </c>
      <c r="I133" s="24" t="b" cm="1">
        <f t="array" aca="1" ref="I133" ca="1">_xlfn.LET(_xlpm.k,LEFT($A133,LEN($A133)-2),_xlpm.idx,IFERROR(MATCH(_xlpm.k,'PW_CMI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33" s="25" t="str">
        <f t="shared" ca="1" si="6"/>
        <v/>
      </c>
    </row>
    <row r="134" spans="1:13">
      <c r="A134" s="24" t="s">
        <v>339</v>
      </c>
      <c r="B134">
        <v>2</v>
      </c>
      <c r="C134">
        <f>IFERROR(
 --(INDEX('TH_CMI GRADE 10'!$E$7:$E$49,MATCH(LEFT($A134,LEN($A134)-2),'TH_CMI GRADE 10'!$B$7:$B$49,0))="P")+
 --(INDEX('TH_CMI GRADE 10'!$K$7:$K$49,MATCH(LEFT($A134,LEN($A134)-2),'TH_CMI GRADE 10'!$B$7:$B$49,0))="P")+
 --(INDEX('TH_CMI GRADE 10'!$Q$7:$Q$49,MATCH(LEFT($A134,LEN($A134)-2),'TH_CMI GRADE 10'!$B$7:$B$49,0))="P")+
 --(INDEX('TH_CMI GRADE 10'!$W$7:$W$49,MATCH(LEFT($A134,LEN($A134)-2),'TH_CMI GRADE 10'!$B$7:$B$49,0))="P")+
 --(INDEX('TH_CMI GRADE 10'!$AC$7:$AC$49,MATCH(LEFT($A134,LEN($A134)-2),'TH_CMI GRADE 10'!$B$7:$B$49,0))="P")+
 --(INDEX('TH_CMI GRADE 10'!$AI$7:$AI$49,MATCH(LEFT($A134,LEN($A134)-2),'TH_CMI GRADE 10'!$B$7:$B$49,0))="P")+
 --(INDEX('TH_CMI GRADE 10'!$AO$7:$AO$49,MATCH(LEFT($A134,LEN($A134)-2),'TH_CMI GRADE 10'!$B$7:$B$49,0))="P"),
0)</f>
        <v>3</v>
      </c>
      <c r="D134" s="144" t="b" cm="1">
        <f t="array" aca="1" ref="D134" ca="1">_xlfn.LET(_xlpm.k,LEFT(A134,LEN(A134)-2),_xlpm.idx,IFERROR(MATCH(_xlpm.k,'TH_CMI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34" s="25">
        <f t="shared" ca="1" si="5"/>
        <v>1</v>
      </c>
      <c r="F134" s="24" t="s">
        <v>339</v>
      </c>
      <c r="G134">
        <v>2</v>
      </c>
      <c r="H134">
        <f>IFERROR(
 --(INDEX('PW_CMI GRADE 10'!$E$7:$E$49,MATCH(LEFT($A134,LEN($A134)-2),'PW_CMI GRADE 10'!$B$7:$B$49,0))="P")+
 --(INDEX('PW_CMI GRADE 10'!$K$7:$K$49,MATCH(LEFT($A134,LEN($A134)-2),'PW_CMI GRADE 10'!$B$7:$B$49,0))="P")+
 --(INDEX('PW_CMI GRADE 10'!$Q$7:$Q$49,MATCH(LEFT($A134,LEN($A134)-2),'PW_CMI GRADE 10'!$B$7:$B$49,0))="P")+
 --(INDEX('PW_CMI GRADE 10'!$W$7:$W$49,MATCH(LEFT($A134,LEN($A134)-2),'PW_CMI GRADE 10'!$B$7:$B$49,0))="P")+
 --(INDEX('PW_CMI GRADE 10'!$AC$7:$AC$49,MATCH(LEFT($A134,LEN($A134)-2),'PW_CMI GRADE 10'!$B$7:$B$49,0))="P")+
 --(INDEX('PW_CMI GRADE 10'!$AI$7:$AI$49,MATCH(LEFT($A134,LEN($A134)-2),'PW_CMI GRADE 10'!$B$7:$B$49,0))="P")+
 --(INDEX('PW_CMI GRADE 10'!$AO$7:$AO$49,MATCH(LEFT($A134,LEN($A134)-2),'PW_CMI GRADE 10'!$B$7:$B$49,0))="P"),
0)</f>
        <v>0</v>
      </c>
      <c r="I134" s="24" t="b" cm="1">
        <f t="array" aca="1" ref="I134" ca="1">_xlfn.LET(_xlpm.k,LEFT($A134,LEN($A134)-2),_xlpm.idx,IFERROR(MATCH(_xlpm.k,'PW_CMI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34" s="25" t="str">
        <f t="shared" ca="1" si="6"/>
        <v/>
      </c>
    </row>
    <row r="135" spans="1:13">
      <c r="A135" s="24" t="s">
        <v>340</v>
      </c>
      <c r="B135">
        <v>2</v>
      </c>
      <c r="C135">
        <f>IFERROR(
 --(INDEX('TH_CMI GRADE 10'!$E$7:$E$49,MATCH(LEFT($A135,LEN($A135)-2),'TH_CMI GRADE 10'!$B$7:$B$49,0))="P")+
 --(INDEX('TH_CMI GRADE 10'!$K$7:$K$49,MATCH(LEFT($A135,LEN($A135)-2),'TH_CMI GRADE 10'!$B$7:$B$49,0))="P")+
 --(INDEX('TH_CMI GRADE 10'!$Q$7:$Q$49,MATCH(LEFT($A135,LEN($A135)-2),'TH_CMI GRADE 10'!$B$7:$B$49,0))="P")+
 --(INDEX('TH_CMI GRADE 10'!$W$7:$W$49,MATCH(LEFT($A135,LEN($A135)-2),'TH_CMI GRADE 10'!$B$7:$B$49,0))="P")+
 --(INDEX('TH_CMI GRADE 10'!$AC$7:$AC$49,MATCH(LEFT($A135,LEN($A135)-2),'TH_CMI GRADE 10'!$B$7:$B$49,0))="P")+
 --(INDEX('TH_CMI GRADE 10'!$AI$7:$AI$49,MATCH(LEFT($A135,LEN($A135)-2),'TH_CMI GRADE 10'!$B$7:$B$49,0))="P")+
 --(INDEX('TH_CMI GRADE 10'!$AO$7:$AO$49,MATCH(LEFT($A135,LEN($A135)-2),'TH_CMI GRADE 10'!$B$7:$B$49,0))="P"),
0)</f>
        <v>3</v>
      </c>
      <c r="D135" s="144" t="b" cm="1">
        <f t="array" aca="1" ref="D135" ca="1">_xlfn.LET(_xlpm.k,LEFT(A135,LEN(A135)-2),_xlpm.idx,IFERROR(MATCH(_xlpm.k,'TH_CMI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35" s="25">
        <f t="shared" ca="1" si="5"/>
        <v>1</v>
      </c>
      <c r="F135" s="24" t="s">
        <v>340</v>
      </c>
      <c r="G135">
        <v>2</v>
      </c>
      <c r="H135">
        <f>IFERROR(
 --(INDEX('PW_CMI GRADE 10'!$E$7:$E$49,MATCH(LEFT($A135,LEN($A135)-2),'PW_CMI GRADE 10'!$B$7:$B$49,0))="P")+
 --(INDEX('PW_CMI GRADE 10'!$K$7:$K$49,MATCH(LEFT($A135,LEN($A135)-2),'PW_CMI GRADE 10'!$B$7:$B$49,0))="P")+
 --(INDEX('PW_CMI GRADE 10'!$Q$7:$Q$49,MATCH(LEFT($A135,LEN($A135)-2),'PW_CMI GRADE 10'!$B$7:$B$49,0))="P")+
 --(INDEX('PW_CMI GRADE 10'!$W$7:$W$49,MATCH(LEFT($A135,LEN($A135)-2),'PW_CMI GRADE 10'!$B$7:$B$49,0))="P")+
 --(INDEX('PW_CMI GRADE 10'!$AC$7:$AC$49,MATCH(LEFT($A135,LEN($A135)-2),'PW_CMI GRADE 10'!$B$7:$B$49,0))="P")+
 --(INDEX('PW_CMI GRADE 10'!$AI$7:$AI$49,MATCH(LEFT($A135,LEN($A135)-2),'PW_CMI GRADE 10'!$B$7:$B$49,0))="P")+
 --(INDEX('PW_CMI GRADE 10'!$AO$7:$AO$49,MATCH(LEFT($A135,LEN($A135)-2),'PW_CMI GRADE 10'!$B$7:$B$49,0))="P"),
0)</f>
        <v>0</v>
      </c>
      <c r="I135" s="24" t="b" cm="1">
        <f t="array" aca="1" ref="I135" ca="1">_xlfn.LET(_xlpm.k,LEFT($A135,LEN($A135)-2),_xlpm.idx,IFERROR(MATCH(_xlpm.k,'PW_CMI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35" s="25" t="str">
        <f t="shared" ca="1" si="6"/>
        <v/>
      </c>
    </row>
    <row r="136" spans="1:13">
      <c r="A136" s="24" t="s">
        <v>341</v>
      </c>
      <c r="B136">
        <v>2</v>
      </c>
      <c r="C136">
        <f>IFERROR(
 --(INDEX('TH_CMI GRADE 10'!$E$7:$E$49,MATCH(LEFT($A136,LEN($A136)-2),'TH_CMI GRADE 10'!$B$7:$B$49,0))="P")+
 --(INDEX('TH_CMI GRADE 10'!$K$7:$K$49,MATCH(LEFT($A136,LEN($A136)-2),'TH_CMI GRADE 10'!$B$7:$B$49,0))="P")+
 --(INDEX('TH_CMI GRADE 10'!$Q$7:$Q$49,MATCH(LEFT($A136,LEN($A136)-2),'TH_CMI GRADE 10'!$B$7:$B$49,0))="P")+
 --(INDEX('TH_CMI GRADE 10'!$W$7:$W$49,MATCH(LEFT($A136,LEN($A136)-2),'TH_CMI GRADE 10'!$B$7:$B$49,0))="P")+
 --(INDEX('TH_CMI GRADE 10'!$AC$7:$AC$49,MATCH(LEFT($A136,LEN($A136)-2),'TH_CMI GRADE 10'!$B$7:$B$49,0))="P")+
 --(INDEX('TH_CMI GRADE 10'!$AI$7:$AI$49,MATCH(LEFT($A136,LEN($A136)-2),'TH_CMI GRADE 10'!$B$7:$B$49,0))="P")+
 --(INDEX('TH_CMI GRADE 10'!$AO$7:$AO$49,MATCH(LEFT($A136,LEN($A136)-2),'TH_CMI GRADE 10'!$B$7:$B$49,0))="P"),
0)</f>
        <v>3</v>
      </c>
      <c r="D136" s="144" t="b" cm="1">
        <f t="array" aca="1" ref="D136" ca="1">_xlfn.LET(_xlpm.k,LEFT(A136,LEN(A136)-2),_xlpm.idx,IFERROR(MATCH(_xlpm.k,'TH_CMI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36" s="25">
        <f t="shared" ca="1" si="5"/>
        <v>1</v>
      </c>
      <c r="F136" s="24" t="s">
        <v>341</v>
      </c>
      <c r="G136">
        <v>2</v>
      </c>
      <c r="H136">
        <f>IFERROR(
 --(INDEX('PW_CMI GRADE 10'!$E$7:$E$49,MATCH(LEFT($A136,LEN($A136)-2),'PW_CMI GRADE 10'!$B$7:$B$49,0))="P")+
 --(INDEX('PW_CMI GRADE 10'!$K$7:$K$49,MATCH(LEFT($A136,LEN($A136)-2),'PW_CMI GRADE 10'!$B$7:$B$49,0))="P")+
 --(INDEX('PW_CMI GRADE 10'!$Q$7:$Q$49,MATCH(LEFT($A136,LEN($A136)-2),'PW_CMI GRADE 10'!$B$7:$B$49,0))="P")+
 --(INDEX('PW_CMI GRADE 10'!$W$7:$W$49,MATCH(LEFT($A136,LEN($A136)-2),'PW_CMI GRADE 10'!$B$7:$B$49,0))="P")+
 --(INDEX('PW_CMI GRADE 10'!$AC$7:$AC$49,MATCH(LEFT($A136,LEN($A136)-2),'PW_CMI GRADE 10'!$B$7:$B$49,0))="P")+
 --(INDEX('PW_CMI GRADE 10'!$AI$7:$AI$49,MATCH(LEFT($A136,LEN($A136)-2),'PW_CMI GRADE 10'!$B$7:$B$49,0))="P")+
 --(INDEX('PW_CMI GRADE 10'!$AO$7:$AO$49,MATCH(LEFT($A136,LEN($A136)-2),'PW_CMI GRADE 10'!$B$7:$B$49,0))="P"),
0)</f>
        <v>0</v>
      </c>
      <c r="I136" s="24" t="b" cm="1">
        <f t="array" aca="1" ref="I136" ca="1">_xlfn.LET(_xlpm.k,LEFT($A136,LEN($A136)-2),_xlpm.idx,IFERROR(MATCH(_xlpm.k,'PW_CMI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36" s="25" t="str">
        <f t="shared" ca="1" si="6"/>
        <v/>
      </c>
    </row>
    <row r="137" spans="1:13">
      <c r="A137" s="24" t="s">
        <v>342</v>
      </c>
      <c r="B137">
        <v>2</v>
      </c>
      <c r="C137">
        <f>IFERROR(
 --(INDEX('TH_CMI GRADE 10'!$E$7:$E$49,MATCH(LEFT($A137,LEN($A137)-2),'TH_CMI GRADE 10'!$B$7:$B$49,0))="P")+
 --(INDEX('TH_CMI GRADE 10'!$K$7:$K$49,MATCH(LEFT($A137,LEN($A137)-2),'TH_CMI GRADE 10'!$B$7:$B$49,0))="P")+
 --(INDEX('TH_CMI GRADE 10'!$Q$7:$Q$49,MATCH(LEFT($A137,LEN($A137)-2),'TH_CMI GRADE 10'!$B$7:$B$49,0))="P")+
 --(INDEX('TH_CMI GRADE 10'!$W$7:$W$49,MATCH(LEFT($A137,LEN($A137)-2),'TH_CMI GRADE 10'!$B$7:$B$49,0))="P")+
 --(INDEX('TH_CMI GRADE 10'!$AC$7:$AC$49,MATCH(LEFT($A137,LEN($A137)-2),'TH_CMI GRADE 10'!$B$7:$B$49,0))="P")+
 --(INDEX('TH_CMI GRADE 10'!$AI$7:$AI$49,MATCH(LEFT($A137,LEN($A137)-2),'TH_CMI GRADE 10'!$B$7:$B$49,0))="P")+
 --(INDEX('TH_CMI GRADE 10'!$AO$7:$AO$49,MATCH(LEFT($A137,LEN($A137)-2),'TH_CMI GRADE 10'!$B$7:$B$49,0))="P"),
0)</f>
        <v>3</v>
      </c>
      <c r="D137" s="144" t="b" cm="1">
        <f t="array" aca="1" ref="D137" ca="1">_xlfn.LET(_xlpm.k,LEFT(A137,LEN(A137)-2),_xlpm.idx,IFERROR(MATCH(_xlpm.k,'TH_CMI GRADE 10'!$B$7:$B$49,0),0),IF(_xlpm.idx=0,FALSE,_xlfn.LET(_xlpm.plg,INDEX('TH_CMI GRADE 10'!$AV$7:$BN$49,_xlpm.idx,{1;4;7;10;13;16;19}),_xlpm.dmin,IF(COUNTA(_xlpm.plg)=0,0,MIN(_xlpm.plg)),IF(_xlpm.dmin=0,FALSE,_xlpm.dmin&lt;=TODAY()))))</f>
        <v>1</v>
      </c>
      <c r="E137" s="25">
        <f t="shared" ca="1" si="5"/>
        <v>1</v>
      </c>
      <c r="F137" s="24" t="s">
        <v>342</v>
      </c>
      <c r="G137">
        <v>2</v>
      </c>
      <c r="H137">
        <f>IFERROR(
 --(INDEX('PW_CMI GRADE 10'!$E$7:$E$49,MATCH(LEFT($A137,LEN($A137)-2),'PW_CMI GRADE 10'!$B$7:$B$49,0))="P")+
 --(INDEX('PW_CMI GRADE 10'!$K$7:$K$49,MATCH(LEFT($A137,LEN($A137)-2),'PW_CMI GRADE 10'!$B$7:$B$49,0))="P")+
 --(INDEX('PW_CMI GRADE 10'!$Q$7:$Q$49,MATCH(LEFT($A137,LEN($A137)-2),'PW_CMI GRADE 10'!$B$7:$B$49,0))="P")+
 --(INDEX('PW_CMI GRADE 10'!$W$7:$W$49,MATCH(LEFT($A137,LEN($A137)-2),'PW_CMI GRADE 10'!$B$7:$B$49,0))="P")+
 --(INDEX('PW_CMI GRADE 10'!$AC$7:$AC$49,MATCH(LEFT($A137,LEN($A137)-2),'PW_CMI GRADE 10'!$B$7:$B$49,0))="P")+
 --(INDEX('PW_CMI GRADE 10'!$AI$7:$AI$49,MATCH(LEFT($A137,LEN($A137)-2),'PW_CMI GRADE 10'!$B$7:$B$49,0))="P")+
 --(INDEX('PW_CMI GRADE 10'!$AO$7:$AO$49,MATCH(LEFT($A137,LEN($A137)-2),'PW_CMI GRADE 10'!$B$7:$B$49,0))="P"),
0)</f>
        <v>0</v>
      </c>
      <c r="I137" s="24" t="b" cm="1">
        <f t="array" aca="1" ref="I137" ca="1">_xlfn.LET(_xlpm.k,LEFT($A137,LEN($A137)-2),_xlpm.idx,IFERROR(MATCH(_xlpm.k,'PW_CMI GRADE 10'!$B$7:$B$31,0),0),IF(_xlpm.idx=0,FALSE,_xlfn.LET(_xlpm.plg,INDEX('PW_CMI GRADE 10'!$AV$7:$BN$31,_xlpm.idx,{1;4;7;10;13;16;19}),_xlpm.dmin,IF(COUNTA(_xlpm.plg)=0,0,MIN(_xlpm.plg)),IF(_xlpm.dmin=0,FALSE,_xlpm.dmin&lt;=TODAY()))))</f>
        <v>0</v>
      </c>
      <c r="J137" s="25" t="str">
        <f t="shared" ca="1" si="6"/>
        <v/>
      </c>
    </row>
    <row r="138" spans="1:13">
      <c r="A138" s="140" t="s">
        <v>343</v>
      </c>
      <c r="B138" s="140"/>
      <c r="C138" s="140"/>
      <c r="D138" s="140"/>
      <c r="E138" s="141">
        <f ca="1">IFERROR(AVERAGE(E3:E137),0)</f>
        <v>0.96223958333333326</v>
      </c>
      <c r="F138" s="138" t="s">
        <v>343</v>
      </c>
      <c r="G138" s="138"/>
      <c r="H138" s="138"/>
      <c r="I138" s="138"/>
      <c r="J138" s="139">
        <f ca="1">IFERROR(AVERAGE(J3:J137),0)</f>
        <v>0.97916666666666663</v>
      </c>
      <c r="L138" t="s">
        <v>344</v>
      </c>
      <c r="M138" s="55">
        <f ca="1">AVERAGEIF(E138:J138,"&lt;&gt;0",E138:J138)</f>
        <v>0.970703125</v>
      </c>
    </row>
    <row r="140" spans="1:13">
      <c r="A140" s="24" t="s">
        <v>345</v>
      </c>
      <c r="B140">
        <v>2</v>
      </c>
      <c r="C140">
        <f>IFERROR(
 --(INDEX('TH_CMI GRADE 10'!$H$7:$H$49,MATCH(LEFT($A140,LEN($A140)-2),'TH_CMI GRADE 10'!$B$7:$B$49,0))="P")+
 --(INDEX('TH_CMI GRADE 10'!$N$7:$N$49,MATCH(LEFT($A140,LEN($A140)-2),'TH_CMI GRADE 10'!$B$7:$B$49,0))="P")+
 --(INDEX('TH_CMI GRADE 10'!$T$7:$T$49,MATCH(LEFT($A140,LEN($A140)-2),'TH_CMI GRADE 10'!$B$7:$B$49,0))="P")+
 --(INDEX('TH_CMI GRADE 10'!$Z$7:$Z$49,MATCH(LEFT($A140,LEN($A140)-2),'TH_CMI GRADE 10'!$B$7:$B$49,0))="P")+
 --(INDEX('TH_CMI GRADE 10'!$AF$7:$AF$49,MATCH(LEFT($A140,LEN($A140)-2),'TH_CMI GRADE 10'!$B$7:$B$49,0))="P")+
 --(INDEX('TH_CMI GRADE 10'!$AL$7:$AL$49,MATCH(LEFT($A140,LEN($A140)-2),'TH_CMI GRADE 10'!$B$7:$B$49,0))="P")+
 --(INDEX('TH_CMI GRADE 10'!$AR$7:$AR$49,MATCH(LEFT($A140,LEN($A140)-2),'TH_CMI GRADE 10'!$B$7:$B$49,0))="P"),
0)</f>
        <v>1</v>
      </c>
      <c r="D140" s="24" t="b">
        <f ca="1">IF(IF(_xlfn.XLOOKUP(LEFT(A140,LEN(A140)-2),'TH_CMI GRADE 10'!$B$7:$B$49,'TH_CMI GRADE 10'!$AU$7:$AU$49,"",0,1)=0,"",_xlfn.XLOOKUP(LEFT(A140,LEN(A140)-2),'TH_CMI GRADE 10'!$B$7:$B$49,'TH_CMI GRADE 10'!$AU$7:$AU$49,"",0,1))&lt;=TODAY(),TRUE,FALSE)</f>
        <v>1</v>
      </c>
      <c r="E140" s="25">
        <f t="shared" ref="E140:E184" ca="1" si="7">IFERROR(IF(AND(D140=TRUE(),C140/B140&lt;=1),C140/B140,IF(AND(D140=TRUE(),C140/B140&gt;1),1,"")),0)</f>
        <v>0.5</v>
      </c>
      <c r="F140" s="24" t="s">
        <v>297</v>
      </c>
      <c r="G140">
        <v>2</v>
      </c>
      <c r="H140">
        <f>IFERROR(
 --(INDEX('PW_CMI GRADE 10'!$H$7:$H$31,MATCH(LEFT($A140,LEN($A140)-2),'PW_CMI GRADE 10'!$B$7:$B$31,0))="P")+
 --(INDEX('PW_CMI GRADE 10'!$N$7:$N$31,MATCH(LEFT($A140,LEN($A140)-2),'PW_CMI GRADE 10'!$B$7:$B$31,0))="P")+
 --(INDEX('PW_CMI GRADE 10'!$T$7:$T$31,MATCH(LEFT($A140,LEN($A140)-2),'PW_CMI GRADE 10'!$B$7:$B$31,0))="P")+
 --(INDEX('PW_CMI GRADE 10'!$Z$7:$Z$31,MATCH(LEFT($A140,LEN($A140)-2),'PW_CMI GRADE 10'!$B$7:$B$31,0))="P")+
 --(INDEX('PW_CMI GRADE 10'!$AF$7:$AF$31,MATCH(LEFT($A140,LEN($A140)-2),'PW_CMI GRADE 10'!$B$7:$B$31,0))="P")+
 --(INDEX('PW_CMI GRADE 10'!$AL$7:$AL$31,MATCH(LEFT($A140,LEN($A140)-2),'PW_CMI GRADE 10'!$B$7:$B$31,0))="P")+
 --(INDEX('PW_CMI GRADE 10'!$AR$7:$AR$31,MATCH(LEFT($A140,LEN($A140)-2),'PW_CMI GRADE 10'!$B$7:$B$31,0))="P"),
0)</f>
        <v>0</v>
      </c>
      <c r="I140" s="24" t="b">
        <f ca="1">IF(IF(_xlfn.XLOOKUP(LEFT($A140,LEN($A140)-2),'PW_CMI GRADE 10'!$B$7:$B$31,'PW_CMI GRADE 10'!$AU$7:$AU$31,"",0,1)=0,"",_xlfn.XLOOKUP(LEFT($A140,LEN($A140)-2),'PW_CMI GRADE 10'!$B$7:$B$31,'PW_CMI GRADE 10'!$AU$7:$AU$31,"",0,1))&lt;=TODAY(),TRUE,FALSE)</f>
        <v>0</v>
      </c>
      <c r="J140" s="25" t="str">
        <f t="shared" ref="J140:J184" ca="1" si="8">IFERROR(IF(AND(I140=TRUE(),H140/G140&lt;=1),H140/G140,IF(AND(I140=TRUE(),H140/G140&gt;1),1,"")),0)</f>
        <v/>
      </c>
    </row>
    <row r="141" spans="1:13">
      <c r="A141" s="24" t="s">
        <v>346</v>
      </c>
      <c r="B141">
        <v>2</v>
      </c>
      <c r="C141">
        <f>IFERROR(
 --(INDEX('TH_CMI GRADE 10'!$H$7:$H$49,MATCH(LEFT($A141,LEN($A141)-2),'TH_CMI GRADE 10'!$B$7:$B$49,0))="P")+
 --(INDEX('TH_CMI GRADE 10'!$N$7:$N$49,MATCH(LEFT($A141,LEN($A141)-2),'TH_CMI GRADE 10'!$B$7:$B$49,0))="P")+
 --(INDEX('TH_CMI GRADE 10'!$T$7:$T$49,MATCH(LEFT($A141,LEN($A141)-2),'TH_CMI GRADE 10'!$B$7:$B$49,0))="P")+
 --(INDEX('TH_CMI GRADE 10'!$Z$7:$Z$49,MATCH(LEFT($A141,LEN($A141)-2),'TH_CMI GRADE 10'!$B$7:$B$49,0))="P")+
 --(INDEX('TH_CMI GRADE 10'!$AF$7:$AF$49,MATCH(LEFT($A141,LEN($A141)-2),'TH_CMI GRADE 10'!$B$7:$B$49,0))="P")+
 --(INDEX('TH_CMI GRADE 10'!$AL$7:$AL$49,MATCH(LEFT($A141,LEN($A141)-2),'TH_CMI GRADE 10'!$B$7:$B$49,0))="P")+
 --(INDEX('TH_CMI GRADE 10'!$AR$7:$AR$49,MATCH(LEFT($A141,LEN($A141)-2),'TH_CMI GRADE 10'!$B$7:$B$49,0))="P"),
0)</f>
        <v>0</v>
      </c>
      <c r="D141" s="24" t="b">
        <f ca="1">IF(IF(_xlfn.XLOOKUP(LEFT(A141,LEN(A141)-2),'TH_CMI GRADE 10'!$B$7:$B$49,'TH_CMI GRADE 10'!$AU$7:$AU$49,"",0,1)=0,"",_xlfn.XLOOKUP(LEFT(A141,LEN(A141)-2),'TH_CMI GRADE 10'!$B$7:$B$49,'TH_CMI GRADE 10'!$AU$7:$AU$49,"",0,1))&lt;=TODAY(),TRUE,FALSE)</f>
        <v>0</v>
      </c>
      <c r="E141" s="25" t="str">
        <f t="shared" ca="1" si="7"/>
        <v/>
      </c>
      <c r="F141" s="24" t="s">
        <v>299</v>
      </c>
      <c r="G141">
        <v>2</v>
      </c>
      <c r="H141">
        <f>IFERROR(
 --(INDEX('PW_CMI GRADE 10'!$H$7:$H$31,MATCH(LEFT($A141,LEN($A141)-2),'PW_CMI GRADE 10'!$B$7:$B$31,0))="P")+
 --(INDEX('PW_CMI GRADE 10'!$N$7:$N$31,MATCH(LEFT($A141,LEN($A141)-2),'PW_CMI GRADE 10'!$B$7:$B$31,0))="P")+
 --(INDEX('PW_CMI GRADE 10'!$T$7:$T$31,MATCH(LEFT($A141,LEN($A141)-2),'PW_CMI GRADE 10'!$B$7:$B$31,0))="P")+
 --(INDEX('PW_CMI GRADE 10'!$Z$7:$Z$31,MATCH(LEFT($A141,LEN($A141)-2),'PW_CMI GRADE 10'!$B$7:$B$31,0))="P")+
 --(INDEX('PW_CMI GRADE 10'!$AF$7:$AF$31,MATCH(LEFT($A141,LEN($A141)-2),'PW_CMI GRADE 10'!$B$7:$B$31,0))="P")+
 --(INDEX('PW_CMI GRADE 10'!$AL$7:$AL$31,MATCH(LEFT($A141,LEN($A141)-2),'PW_CMI GRADE 10'!$B$7:$B$31,0))="P")+
 --(INDEX('PW_CMI GRADE 10'!$AR$7:$AR$31,MATCH(LEFT($A141,LEN($A141)-2),'PW_CMI GRADE 10'!$B$7:$B$31,0))="P"),
0)</f>
        <v>0</v>
      </c>
      <c r="I141" s="24" t="b">
        <f ca="1">IF(IF(_xlfn.XLOOKUP(LEFT($A141,LEN($A141)-2),'PW_CMI GRADE 10'!$B$7:$B$31,'PW_CMI GRADE 10'!$AU$7:$AU$31,"",0,1)=0,"",_xlfn.XLOOKUP(LEFT($A141,LEN($A141)-2),'PW_CMI GRADE 10'!$B$7:$B$31,'PW_CMI GRADE 10'!$AU$7:$AU$31,"",0,1))&lt;=TODAY(),TRUE,FALSE)</f>
        <v>0</v>
      </c>
      <c r="J141" s="25" t="str">
        <f t="shared" ca="1" si="8"/>
        <v/>
      </c>
    </row>
    <row r="142" spans="1:13">
      <c r="A142" s="24" t="s">
        <v>347</v>
      </c>
      <c r="B142">
        <v>2</v>
      </c>
      <c r="C142">
        <f>IFERROR(
 --(INDEX('TH_CMI GRADE 10'!$H$7:$H$49,MATCH(LEFT($A142,LEN($A142)-2),'TH_CMI GRADE 10'!$B$7:$B$49,0))="P")+
 --(INDEX('TH_CMI GRADE 10'!$N$7:$N$49,MATCH(LEFT($A142,LEN($A142)-2),'TH_CMI GRADE 10'!$B$7:$B$49,0))="P")+
 --(INDEX('TH_CMI GRADE 10'!$T$7:$T$49,MATCH(LEFT($A142,LEN($A142)-2),'TH_CMI GRADE 10'!$B$7:$B$49,0))="P")+
 --(INDEX('TH_CMI GRADE 10'!$Z$7:$Z$49,MATCH(LEFT($A142,LEN($A142)-2),'TH_CMI GRADE 10'!$B$7:$B$49,0))="P")+
 --(INDEX('TH_CMI GRADE 10'!$AF$7:$AF$49,MATCH(LEFT($A142,LEN($A142)-2),'TH_CMI GRADE 10'!$B$7:$B$49,0))="P")+
 --(INDEX('TH_CMI GRADE 10'!$AL$7:$AL$49,MATCH(LEFT($A142,LEN($A142)-2),'TH_CMI GRADE 10'!$B$7:$B$49,0))="P")+
 --(INDEX('TH_CMI GRADE 10'!$AR$7:$AR$49,MATCH(LEFT($A142,LEN($A142)-2),'TH_CMI GRADE 10'!$B$7:$B$49,0))="P"),
0)</f>
        <v>0</v>
      </c>
      <c r="D142" s="24" t="b">
        <f ca="1">IF(IF(_xlfn.XLOOKUP(LEFT(A142,LEN(A142)-2),'TH_CMI GRADE 10'!$B$7:$B$49,'TH_CMI GRADE 10'!$AU$7:$AU$49,"",0,1)=0,"",_xlfn.XLOOKUP(LEFT(A142,LEN(A142)-2),'TH_CMI GRADE 10'!$B$7:$B$49,'TH_CMI GRADE 10'!$AU$7:$AU$49,"",0,1))&lt;=TODAY(),TRUE,FALSE)</f>
        <v>0</v>
      </c>
      <c r="E142" s="25" t="str">
        <f t="shared" ca="1" si="7"/>
        <v/>
      </c>
      <c r="F142" s="24" t="s">
        <v>300</v>
      </c>
      <c r="G142">
        <v>2</v>
      </c>
      <c r="H142">
        <f>IFERROR(
 --(INDEX('PW_CMI GRADE 10'!$H$7:$H$31,MATCH(LEFT($A142,LEN($A142)-2),'PW_CMI GRADE 10'!$B$7:$B$31,0))="P")+
 --(INDEX('PW_CMI GRADE 10'!$N$7:$N$31,MATCH(LEFT($A142,LEN($A142)-2),'PW_CMI GRADE 10'!$B$7:$B$31,0))="P")+
 --(INDEX('PW_CMI GRADE 10'!$T$7:$T$31,MATCH(LEFT($A142,LEN($A142)-2),'PW_CMI GRADE 10'!$B$7:$B$31,0))="P")+
 --(INDEX('PW_CMI GRADE 10'!$Z$7:$Z$31,MATCH(LEFT($A142,LEN($A142)-2),'PW_CMI GRADE 10'!$B$7:$B$31,0))="P")+
 --(INDEX('PW_CMI GRADE 10'!$AF$7:$AF$31,MATCH(LEFT($A142,LEN($A142)-2),'PW_CMI GRADE 10'!$B$7:$B$31,0))="P")+
 --(INDEX('PW_CMI GRADE 10'!$AL$7:$AL$31,MATCH(LEFT($A142,LEN($A142)-2),'PW_CMI GRADE 10'!$B$7:$B$31,0))="P")+
 --(INDEX('PW_CMI GRADE 10'!$AR$7:$AR$31,MATCH(LEFT($A142,LEN($A142)-2),'PW_CMI GRADE 10'!$B$7:$B$31,0))="P"),
0)</f>
        <v>0</v>
      </c>
      <c r="I142" s="24" t="b">
        <f ca="1">IF(IF(_xlfn.XLOOKUP(LEFT($A142,LEN($A142)-2),'PW_CMI GRADE 10'!$B$7:$B$31,'PW_CMI GRADE 10'!$AU$7:$AU$31,"",0,1)=0,"",_xlfn.XLOOKUP(LEFT($A142,LEN($A142)-2),'PW_CMI GRADE 10'!$B$7:$B$31,'PW_CMI GRADE 10'!$AU$7:$AU$31,"",0,1))&lt;=TODAY(),TRUE,FALSE)</f>
        <v>0</v>
      </c>
      <c r="J142" s="25" t="str">
        <f t="shared" ca="1" si="8"/>
        <v/>
      </c>
    </row>
    <row r="143" spans="1:13">
      <c r="A143" s="24" t="s">
        <v>348</v>
      </c>
      <c r="B143">
        <v>2</v>
      </c>
      <c r="C143">
        <f>IFERROR(
 --(INDEX('TH_CMI GRADE 10'!$H$7:$H$49,MATCH(LEFT($A143,LEN($A143)-2),'TH_CMI GRADE 10'!$B$7:$B$49,0))="P")+
 --(INDEX('TH_CMI GRADE 10'!$N$7:$N$49,MATCH(LEFT($A143,LEN($A143)-2),'TH_CMI GRADE 10'!$B$7:$B$49,0))="P")+
 --(INDEX('TH_CMI GRADE 10'!$T$7:$T$49,MATCH(LEFT($A143,LEN($A143)-2),'TH_CMI GRADE 10'!$B$7:$B$49,0))="P")+
 --(INDEX('TH_CMI GRADE 10'!$Z$7:$Z$49,MATCH(LEFT($A143,LEN($A143)-2),'TH_CMI GRADE 10'!$B$7:$B$49,0))="P")+
 --(INDEX('TH_CMI GRADE 10'!$AF$7:$AF$49,MATCH(LEFT($A143,LEN($A143)-2),'TH_CMI GRADE 10'!$B$7:$B$49,0))="P")+
 --(INDEX('TH_CMI GRADE 10'!$AL$7:$AL$49,MATCH(LEFT($A143,LEN($A143)-2),'TH_CMI GRADE 10'!$B$7:$B$49,0))="P")+
 --(INDEX('TH_CMI GRADE 10'!$AR$7:$AR$49,MATCH(LEFT($A143,LEN($A143)-2),'TH_CMI GRADE 10'!$B$7:$B$49,0))="P"),
0)</f>
        <v>0</v>
      </c>
      <c r="D143" s="24" t="b">
        <f ca="1">IF(IF(_xlfn.XLOOKUP(LEFT(A143,LEN(A143)-2),'TH_CMI GRADE 10'!$B$7:$B$49,'TH_CMI GRADE 10'!$AU$7:$AU$49,"",0,1)=0,"",_xlfn.XLOOKUP(LEFT(A143,LEN(A143)-2),'TH_CMI GRADE 10'!$B$7:$B$49,'TH_CMI GRADE 10'!$AU$7:$AU$49,"",0,1))&lt;=TODAY(),TRUE,FALSE)</f>
        <v>0</v>
      </c>
      <c r="E143" s="25" t="str">
        <f t="shared" ca="1" si="7"/>
        <v/>
      </c>
      <c r="F143" s="24" t="s">
        <v>301</v>
      </c>
      <c r="G143">
        <v>2</v>
      </c>
      <c r="H143">
        <f>IFERROR(
 --(INDEX('PW_CMI GRADE 10'!$H$7:$H$31,MATCH(LEFT($A143,LEN($A143)-2),'PW_CMI GRADE 10'!$B$7:$B$31,0))="P")+
 --(INDEX('PW_CMI GRADE 10'!$N$7:$N$31,MATCH(LEFT($A143,LEN($A143)-2),'PW_CMI GRADE 10'!$B$7:$B$31,0))="P")+
 --(INDEX('PW_CMI GRADE 10'!$T$7:$T$31,MATCH(LEFT($A143,LEN($A143)-2),'PW_CMI GRADE 10'!$B$7:$B$31,0))="P")+
 --(INDEX('PW_CMI GRADE 10'!$Z$7:$Z$31,MATCH(LEFT($A143,LEN($A143)-2),'PW_CMI GRADE 10'!$B$7:$B$31,0))="P")+
 --(INDEX('PW_CMI GRADE 10'!$AF$7:$AF$31,MATCH(LEFT($A143,LEN($A143)-2),'PW_CMI GRADE 10'!$B$7:$B$31,0))="P")+
 --(INDEX('PW_CMI GRADE 10'!$AL$7:$AL$31,MATCH(LEFT($A143,LEN($A143)-2),'PW_CMI GRADE 10'!$B$7:$B$31,0))="P")+
 --(INDEX('PW_CMI GRADE 10'!$AR$7:$AR$31,MATCH(LEFT($A143,LEN($A143)-2),'PW_CMI GRADE 10'!$B$7:$B$31,0))="P"),
0)</f>
        <v>0</v>
      </c>
      <c r="I143" s="24" t="b">
        <f ca="1">IF(IF(_xlfn.XLOOKUP(LEFT($A143,LEN($A143)-2),'PW_CMI GRADE 10'!$B$7:$B$31,'PW_CMI GRADE 10'!$AU$7:$AU$31,"",0,1)=0,"",_xlfn.XLOOKUP(LEFT($A143,LEN($A143)-2),'PW_CMI GRADE 10'!$B$7:$B$31,'PW_CMI GRADE 10'!$AU$7:$AU$31,"",0,1))&lt;=TODAY(),TRUE,FALSE)</f>
        <v>0</v>
      </c>
      <c r="J143" s="25" t="str">
        <f t="shared" ca="1" si="8"/>
        <v/>
      </c>
    </row>
    <row r="144" spans="1:13">
      <c r="A144" s="24" t="s">
        <v>349</v>
      </c>
      <c r="B144">
        <v>2</v>
      </c>
      <c r="C144">
        <f>IFERROR(
 --(INDEX('TH_CMI GRADE 10'!$H$7:$H$49,MATCH(LEFT($A144,LEN($A144)-2),'TH_CMI GRADE 10'!$B$7:$B$49,0))="P")+
 --(INDEX('TH_CMI GRADE 10'!$N$7:$N$49,MATCH(LEFT($A144,LEN($A144)-2),'TH_CMI GRADE 10'!$B$7:$B$49,0))="P")+
 --(INDEX('TH_CMI GRADE 10'!$T$7:$T$49,MATCH(LEFT($A144,LEN($A144)-2),'TH_CMI GRADE 10'!$B$7:$B$49,0))="P")+
 --(INDEX('TH_CMI GRADE 10'!$Z$7:$Z$49,MATCH(LEFT($A144,LEN($A144)-2),'TH_CMI GRADE 10'!$B$7:$B$49,0))="P")+
 --(INDEX('TH_CMI GRADE 10'!$AF$7:$AF$49,MATCH(LEFT($A144,LEN($A144)-2),'TH_CMI GRADE 10'!$B$7:$B$49,0))="P")+
 --(INDEX('TH_CMI GRADE 10'!$AL$7:$AL$49,MATCH(LEFT($A144,LEN($A144)-2),'TH_CMI GRADE 10'!$B$7:$B$49,0))="P")+
 --(INDEX('TH_CMI GRADE 10'!$AR$7:$AR$49,MATCH(LEFT($A144,LEN($A144)-2),'TH_CMI GRADE 10'!$B$7:$B$49,0))="P"),
0)</f>
        <v>0</v>
      </c>
      <c r="D144" s="24" t="b">
        <f ca="1">IF(IF(_xlfn.XLOOKUP(LEFT(A144,LEN(A144)-2),'TH_CMI GRADE 10'!$B$7:$B$49,'TH_CMI GRADE 10'!$AU$7:$AU$49,"",0,1)=0,"",_xlfn.XLOOKUP(LEFT(A144,LEN(A144)-2),'TH_CMI GRADE 10'!$B$7:$B$49,'TH_CMI GRADE 10'!$AU$7:$AU$49,"",0,1))&lt;=TODAY(),TRUE,FALSE)</f>
        <v>0</v>
      </c>
      <c r="E144" s="25" t="str">
        <f t="shared" ca="1" si="7"/>
        <v/>
      </c>
      <c r="F144" s="24" t="s">
        <v>302</v>
      </c>
      <c r="G144">
        <v>2</v>
      </c>
      <c r="H144">
        <f>IFERROR(
 --(INDEX('PW_CMI GRADE 10'!$H$7:$H$31,MATCH(LEFT($A144,LEN($A144)-2),'PW_CMI GRADE 10'!$B$7:$B$31,0))="P")+
 --(INDEX('PW_CMI GRADE 10'!$N$7:$N$31,MATCH(LEFT($A144,LEN($A144)-2),'PW_CMI GRADE 10'!$B$7:$B$31,0))="P")+
 --(INDEX('PW_CMI GRADE 10'!$T$7:$T$31,MATCH(LEFT($A144,LEN($A144)-2),'PW_CMI GRADE 10'!$B$7:$B$31,0))="P")+
 --(INDEX('PW_CMI GRADE 10'!$Z$7:$Z$31,MATCH(LEFT($A144,LEN($A144)-2),'PW_CMI GRADE 10'!$B$7:$B$31,0))="P")+
 --(INDEX('PW_CMI GRADE 10'!$AF$7:$AF$31,MATCH(LEFT($A144,LEN($A144)-2),'PW_CMI GRADE 10'!$B$7:$B$31,0))="P")+
 --(INDEX('PW_CMI GRADE 10'!$AL$7:$AL$31,MATCH(LEFT($A144,LEN($A144)-2),'PW_CMI GRADE 10'!$B$7:$B$31,0))="P")+
 --(INDEX('PW_CMI GRADE 10'!$AR$7:$AR$31,MATCH(LEFT($A144,LEN($A144)-2),'PW_CMI GRADE 10'!$B$7:$B$31,0))="P"),
0)</f>
        <v>0</v>
      </c>
      <c r="I144" s="24" t="b">
        <f ca="1">IF(IF(_xlfn.XLOOKUP(LEFT($A144,LEN($A144)-2),'PW_CMI GRADE 10'!$B$7:$B$31,'PW_CMI GRADE 10'!$AU$7:$AU$31,"",0,1)=0,"",_xlfn.XLOOKUP(LEFT($A144,LEN($A144)-2),'PW_CMI GRADE 10'!$B$7:$B$31,'PW_CMI GRADE 10'!$AU$7:$AU$31,"",0,1))&lt;=TODAY(),TRUE,FALSE)</f>
        <v>0</v>
      </c>
      <c r="J144" s="25" t="str">
        <f t="shared" ca="1" si="8"/>
        <v/>
      </c>
    </row>
    <row r="145" spans="1:10">
      <c r="A145" s="24" t="s">
        <v>350</v>
      </c>
      <c r="B145">
        <v>2</v>
      </c>
      <c r="C145">
        <f>IFERROR(
 --(INDEX('TH_CMI GRADE 10'!$H$7:$H$49,MATCH(LEFT($A145,LEN($A145)-2),'TH_CMI GRADE 10'!$B$7:$B$49,0))="P")+
 --(INDEX('TH_CMI GRADE 10'!$N$7:$N$49,MATCH(LEFT($A145,LEN($A145)-2),'TH_CMI GRADE 10'!$B$7:$B$49,0))="P")+
 --(INDEX('TH_CMI GRADE 10'!$T$7:$T$49,MATCH(LEFT($A145,LEN($A145)-2),'TH_CMI GRADE 10'!$B$7:$B$49,0))="P")+
 --(INDEX('TH_CMI GRADE 10'!$Z$7:$Z$49,MATCH(LEFT($A145,LEN($A145)-2),'TH_CMI GRADE 10'!$B$7:$B$49,0))="P")+
 --(INDEX('TH_CMI GRADE 10'!$AF$7:$AF$49,MATCH(LEFT($A145,LEN($A145)-2),'TH_CMI GRADE 10'!$B$7:$B$49,0))="P")+
 --(INDEX('TH_CMI GRADE 10'!$AL$7:$AL$49,MATCH(LEFT($A145,LEN($A145)-2),'TH_CMI GRADE 10'!$B$7:$B$49,0))="P")+
 --(INDEX('TH_CMI GRADE 10'!$AR$7:$AR$49,MATCH(LEFT($A145,LEN($A145)-2),'TH_CMI GRADE 10'!$B$7:$B$49,0))="P"),
0)</f>
        <v>0</v>
      </c>
      <c r="D145" s="24" t="b">
        <f ca="1">IF(IF(_xlfn.XLOOKUP(LEFT(A145,LEN(A145)-2),'TH_CMI GRADE 10'!$B$7:$B$49,'TH_CMI GRADE 10'!$AU$7:$AU$49,"",0,1)=0,"",_xlfn.XLOOKUP(LEFT(A145,LEN(A145)-2),'TH_CMI GRADE 10'!$B$7:$B$49,'TH_CMI GRADE 10'!$AU$7:$AU$49,"",0,1))&lt;=TODAY(),TRUE,FALSE)</f>
        <v>0</v>
      </c>
      <c r="E145" s="25" t="str">
        <f t="shared" ca="1" si="7"/>
        <v/>
      </c>
      <c r="F145" s="24" t="s">
        <v>303</v>
      </c>
      <c r="G145">
        <v>2</v>
      </c>
      <c r="H145">
        <f>IFERROR(
 --(INDEX('PW_CMI GRADE 10'!$H$7:$H$31,MATCH(LEFT($A145,LEN($A145)-2),'PW_CMI GRADE 10'!$B$7:$B$31,0))="P")+
 --(INDEX('PW_CMI GRADE 10'!$N$7:$N$31,MATCH(LEFT($A145,LEN($A145)-2),'PW_CMI GRADE 10'!$B$7:$B$31,0))="P")+
 --(INDEX('PW_CMI GRADE 10'!$T$7:$T$31,MATCH(LEFT($A145,LEN($A145)-2),'PW_CMI GRADE 10'!$B$7:$B$31,0))="P")+
 --(INDEX('PW_CMI GRADE 10'!$Z$7:$Z$31,MATCH(LEFT($A145,LEN($A145)-2),'PW_CMI GRADE 10'!$B$7:$B$31,0))="P")+
 --(INDEX('PW_CMI GRADE 10'!$AF$7:$AF$31,MATCH(LEFT($A145,LEN($A145)-2),'PW_CMI GRADE 10'!$B$7:$B$31,0))="P")+
 --(INDEX('PW_CMI GRADE 10'!$AL$7:$AL$31,MATCH(LEFT($A145,LEN($A145)-2),'PW_CMI GRADE 10'!$B$7:$B$31,0))="P")+
 --(INDEX('PW_CMI GRADE 10'!$AR$7:$AR$31,MATCH(LEFT($A145,LEN($A145)-2),'PW_CMI GRADE 10'!$B$7:$B$31,0))="P"),
0)</f>
        <v>0</v>
      </c>
      <c r="I145" s="24" t="b">
        <f ca="1">IF(IF(_xlfn.XLOOKUP(LEFT($A145,LEN($A145)-2),'PW_CMI GRADE 10'!$B$7:$B$31,'PW_CMI GRADE 10'!$AU$7:$AU$31,"",0,1)=0,"",_xlfn.XLOOKUP(LEFT($A145,LEN($A145)-2),'PW_CMI GRADE 10'!$B$7:$B$31,'PW_CMI GRADE 10'!$AU$7:$AU$31,"",0,1))&lt;=TODAY(),TRUE,FALSE)</f>
        <v>0</v>
      </c>
      <c r="J145" s="25" t="str">
        <f t="shared" ca="1" si="8"/>
        <v/>
      </c>
    </row>
    <row r="146" spans="1:10">
      <c r="A146" s="24" t="s">
        <v>351</v>
      </c>
      <c r="B146">
        <v>2</v>
      </c>
      <c r="C146">
        <f>IFERROR(
 --(INDEX('TH_CMI GRADE 10'!$H$7:$H$49,MATCH(LEFT($A146,LEN($A146)-2),'TH_CMI GRADE 10'!$B$7:$B$49,0))="P")+
 --(INDEX('TH_CMI GRADE 10'!$N$7:$N$49,MATCH(LEFT($A146,LEN($A146)-2),'TH_CMI GRADE 10'!$B$7:$B$49,0))="P")+
 --(INDEX('TH_CMI GRADE 10'!$T$7:$T$49,MATCH(LEFT($A146,LEN($A146)-2),'TH_CMI GRADE 10'!$B$7:$B$49,0))="P")+
 --(INDEX('TH_CMI GRADE 10'!$Z$7:$Z$49,MATCH(LEFT($A146,LEN($A146)-2),'TH_CMI GRADE 10'!$B$7:$B$49,0))="P")+
 --(INDEX('TH_CMI GRADE 10'!$AF$7:$AF$49,MATCH(LEFT($A146,LEN($A146)-2),'TH_CMI GRADE 10'!$B$7:$B$49,0))="P")+
 --(INDEX('TH_CMI GRADE 10'!$AL$7:$AL$49,MATCH(LEFT($A146,LEN($A146)-2),'TH_CMI GRADE 10'!$B$7:$B$49,0))="P")+
 --(INDEX('TH_CMI GRADE 10'!$AR$7:$AR$49,MATCH(LEFT($A146,LEN($A146)-2),'TH_CMI GRADE 10'!$B$7:$B$49,0))="P"),
0)</f>
        <v>0</v>
      </c>
      <c r="D146" s="24" t="b">
        <f ca="1">IF(IF(_xlfn.XLOOKUP(LEFT(A146,LEN(A146)-2),'TH_CMI GRADE 10'!$B$7:$B$49,'TH_CMI GRADE 10'!$AU$7:$AU$49,"",0,1)=0,"",_xlfn.XLOOKUP(LEFT(A146,LEN(A146)-2),'TH_CMI GRADE 10'!$B$7:$B$49,'TH_CMI GRADE 10'!$AU$7:$AU$49,"",0,1))&lt;=TODAY(),TRUE,FALSE)</f>
        <v>0</v>
      </c>
      <c r="E146" s="25" t="str">
        <f t="shared" ca="1" si="7"/>
        <v/>
      </c>
      <c r="F146" s="24" t="s">
        <v>304</v>
      </c>
      <c r="G146">
        <v>2</v>
      </c>
      <c r="H146">
        <f>IFERROR(
 --(INDEX('PW_CMI GRADE 10'!$H$7:$H$31,MATCH(LEFT($A146,LEN($A146)-2),'PW_CMI GRADE 10'!$B$7:$B$31,0))="P")+
 --(INDEX('PW_CMI GRADE 10'!$N$7:$N$31,MATCH(LEFT($A146,LEN($A146)-2),'PW_CMI GRADE 10'!$B$7:$B$31,0))="P")+
 --(INDEX('PW_CMI GRADE 10'!$T$7:$T$31,MATCH(LEFT($A146,LEN($A146)-2),'PW_CMI GRADE 10'!$B$7:$B$31,0))="P")+
 --(INDEX('PW_CMI GRADE 10'!$Z$7:$Z$31,MATCH(LEFT($A146,LEN($A146)-2),'PW_CMI GRADE 10'!$B$7:$B$31,0))="P")+
 --(INDEX('PW_CMI GRADE 10'!$AF$7:$AF$31,MATCH(LEFT($A146,LEN($A146)-2),'PW_CMI GRADE 10'!$B$7:$B$31,0))="P")+
 --(INDEX('PW_CMI GRADE 10'!$AL$7:$AL$31,MATCH(LEFT($A146,LEN($A146)-2),'PW_CMI GRADE 10'!$B$7:$B$31,0))="P")+
 --(INDEX('PW_CMI GRADE 10'!$AR$7:$AR$31,MATCH(LEFT($A146,LEN($A146)-2),'PW_CMI GRADE 10'!$B$7:$B$31,0))="P"),
0)</f>
        <v>0</v>
      </c>
      <c r="I146" s="24" t="b">
        <f ca="1">IF(IF(_xlfn.XLOOKUP(LEFT($A146,LEN($A146)-2),'PW_CMI GRADE 10'!$B$7:$B$31,'PW_CMI GRADE 10'!$AU$7:$AU$31,"",0,1)=0,"",_xlfn.XLOOKUP(LEFT($A146,LEN($A146)-2),'PW_CMI GRADE 10'!$B$7:$B$31,'PW_CMI GRADE 10'!$AU$7:$AU$31,"",0,1))&lt;=TODAY(),TRUE,FALSE)</f>
        <v>0</v>
      </c>
      <c r="J146" s="25" t="str">
        <f t="shared" ca="1" si="8"/>
        <v/>
      </c>
    </row>
    <row r="147" spans="1:10">
      <c r="A147" s="24" t="s">
        <v>352</v>
      </c>
      <c r="B147">
        <v>2</v>
      </c>
      <c r="C147">
        <f>IFERROR(
 --(INDEX('TH_CMI GRADE 10'!$H$7:$H$49,MATCH(LEFT($A147,LEN($A147)-2),'TH_CMI GRADE 10'!$B$7:$B$49,0))="P")+
 --(INDEX('TH_CMI GRADE 10'!$N$7:$N$49,MATCH(LEFT($A147,LEN($A147)-2),'TH_CMI GRADE 10'!$B$7:$B$49,0))="P")+
 --(INDEX('TH_CMI GRADE 10'!$T$7:$T$49,MATCH(LEFT($A147,LEN($A147)-2),'TH_CMI GRADE 10'!$B$7:$B$49,0))="P")+
 --(INDEX('TH_CMI GRADE 10'!$Z$7:$Z$49,MATCH(LEFT($A147,LEN($A147)-2),'TH_CMI GRADE 10'!$B$7:$B$49,0))="P")+
 --(INDEX('TH_CMI GRADE 10'!$AF$7:$AF$49,MATCH(LEFT($A147,LEN($A147)-2),'TH_CMI GRADE 10'!$B$7:$B$49,0))="P")+
 --(INDEX('TH_CMI GRADE 10'!$AL$7:$AL$49,MATCH(LEFT($A147,LEN($A147)-2),'TH_CMI GRADE 10'!$B$7:$B$49,0))="P")+
 --(INDEX('TH_CMI GRADE 10'!$AR$7:$AR$49,MATCH(LEFT($A147,LEN($A147)-2),'TH_CMI GRADE 10'!$B$7:$B$49,0))="P"),
0)</f>
        <v>0</v>
      </c>
      <c r="D147" s="24" t="b">
        <f ca="1">IF(IF(_xlfn.XLOOKUP(LEFT(A147,LEN(A147)-2),'TH_CMI GRADE 10'!$B$7:$B$49,'TH_CMI GRADE 10'!$AU$7:$AU$49,"",0,1)=0,"",_xlfn.XLOOKUP(LEFT(A147,LEN(A147)-2),'TH_CMI GRADE 10'!$B$7:$B$49,'TH_CMI GRADE 10'!$AU$7:$AU$49,"",0,1))&lt;=TODAY(),TRUE,FALSE)</f>
        <v>0</v>
      </c>
      <c r="E147" s="25" t="str">
        <f t="shared" ca="1" si="7"/>
        <v/>
      </c>
      <c r="F147" s="24" t="s">
        <v>305</v>
      </c>
      <c r="G147">
        <v>2</v>
      </c>
      <c r="H147">
        <f>IFERROR(
 --(INDEX('PW_CMI GRADE 10'!$H$7:$H$31,MATCH(LEFT($A147,LEN($A147)-2),'PW_CMI GRADE 10'!$B$7:$B$31,0))="P")+
 --(INDEX('PW_CMI GRADE 10'!$N$7:$N$31,MATCH(LEFT($A147,LEN($A147)-2),'PW_CMI GRADE 10'!$B$7:$B$31,0))="P")+
 --(INDEX('PW_CMI GRADE 10'!$T$7:$T$31,MATCH(LEFT($A147,LEN($A147)-2),'PW_CMI GRADE 10'!$B$7:$B$31,0))="P")+
 --(INDEX('PW_CMI GRADE 10'!$Z$7:$Z$31,MATCH(LEFT($A147,LEN($A147)-2),'PW_CMI GRADE 10'!$B$7:$B$31,0))="P")+
 --(INDEX('PW_CMI GRADE 10'!$AF$7:$AF$31,MATCH(LEFT($A147,LEN($A147)-2),'PW_CMI GRADE 10'!$B$7:$B$31,0))="P")+
 --(INDEX('PW_CMI GRADE 10'!$AL$7:$AL$31,MATCH(LEFT($A147,LEN($A147)-2),'PW_CMI GRADE 10'!$B$7:$B$31,0))="P")+
 --(INDEX('PW_CMI GRADE 10'!$AR$7:$AR$31,MATCH(LEFT($A147,LEN($A147)-2),'PW_CMI GRADE 10'!$B$7:$B$31,0))="P"),
0)</f>
        <v>0</v>
      </c>
      <c r="I147" s="24" t="b">
        <f ca="1">IF(IF(_xlfn.XLOOKUP(LEFT($A147,LEN($A147)-2),'PW_CMI GRADE 10'!$B$7:$B$31,'PW_CMI GRADE 10'!$AU$7:$AU$31,"",0,1)=0,"",_xlfn.XLOOKUP(LEFT($A147,LEN($A147)-2),'PW_CMI GRADE 10'!$B$7:$B$31,'PW_CMI GRADE 10'!$AU$7:$AU$31,"",0,1))&lt;=TODAY(),TRUE,FALSE)</f>
        <v>0</v>
      </c>
      <c r="J147" s="25" t="str">
        <f t="shared" ca="1" si="8"/>
        <v/>
      </c>
    </row>
    <row r="148" spans="1:10">
      <c r="A148" s="24" t="s">
        <v>353</v>
      </c>
      <c r="B148">
        <v>2</v>
      </c>
      <c r="C148">
        <f>IFERROR(
 --(INDEX('TH_CMI GRADE 10'!$H$7:$H$49,MATCH(LEFT($A148,LEN($A148)-2),'TH_CMI GRADE 10'!$B$7:$B$49,0))="P")+
 --(INDEX('TH_CMI GRADE 10'!$N$7:$N$49,MATCH(LEFT($A148,LEN($A148)-2),'TH_CMI GRADE 10'!$B$7:$B$49,0))="P")+
 --(INDEX('TH_CMI GRADE 10'!$T$7:$T$49,MATCH(LEFT($A148,LEN($A148)-2),'TH_CMI GRADE 10'!$B$7:$B$49,0))="P")+
 --(INDEX('TH_CMI GRADE 10'!$Z$7:$Z$49,MATCH(LEFT($A148,LEN($A148)-2),'TH_CMI GRADE 10'!$B$7:$B$49,0))="P")+
 --(INDEX('TH_CMI GRADE 10'!$AF$7:$AF$49,MATCH(LEFT($A148,LEN($A148)-2),'TH_CMI GRADE 10'!$B$7:$B$49,0))="P")+
 --(INDEX('TH_CMI GRADE 10'!$AL$7:$AL$49,MATCH(LEFT($A148,LEN($A148)-2),'TH_CMI GRADE 10'!$B$7:$B$49,0))="P")+
 --(INDEX('TH_CMI GRADE 10'!$AR$7:$AR$49,MATCH(LEFT($A148,LEN($A148)-2),'TH_CMI GRADE 10'!$B$7:$B$49,0))="P"),
0)</f>
        <v>0</v>
      </c>
      <c r="D148" s="24" t="b">
        <f ca="1">IF(IF(_xlfn.XLOOKUP(LEFT(A148,LEN(A148)-2),'TH_CMI GRADE 10'!$B$7:$B$49,'TH_CMI GRADE 10'!$AU$7:$AU$49,"",0,1)=0,"",_xlfn.XLOOKUP(LEFT(A148,LEN(A148)-2),'TH_CMI GRADE 10'!$B$7:$B$49,'TH_CMI GRADE 10'!$AU$7:$AU$49,"",0,1))&lt;=TODAY(),TRUE,FALSE)</f>
        <v>0</v>
      </c>
      <c r="E148" s="25" t="str">
        <f t="shared" ca="1" si="7"/>
        <v/>
      </c>
      <c r="F148" s="24" t="s">
        <v>306</v>
      </c>
      <c r="G148">
        <v>2</v>
      </c>
      <c r="H148">
        <f>IFERROR(
 --(INDEX('PW_CMI GRADE 10'!$H$7:$H$31,MATCH(LEFT($A148,LEN($A148)-2),'PW_CMI GRADE 10'!$B$7:$B$31,0))="P")+
 --(INDEX('PW_CMI GRADE 10'!$N$7:$N$31,MATCH(LEFT($A148,LEN($A148)-2),'PW_CMI GRADE 10'!$B$7:$B$31,0))="P")+
 --(INDEX('PW_CMI GRADE 10'!$T$7:$T$31,MATCH(LEFT($A148,LEN($A148)-2),'PW_CMI GRADE 10'!$B$7:$B$31,0))="P")+
 --(INDEX('PW_CMI GRADE 10'!$Z$7:$Z$31,MATCH(LEFT($A148,LEN($A148)-2),'PW_CMI GRADE 10'!$B$7:$B$31,0))="P")+
 --(INDEX('PW_CMI GRADE 10'!$AF$7:$AF$31,MATCH(LEFT($A148,LEN($A148)-2),'PW_CMI GRADE 10'!$B$7:$B$31,0))="P")+
 --(INDEX('PW_CMI GRADE 10'!$AL$7:$AL$31,MATCH(LEFT($A148,LEN($A148)-2),'PW_CMI GRADE 10'!$B$7:$B$31,0))="P")+
 --(INDEX('PW_CMI GRADE 10'!$AR$7:$AR$31,MATCH(LEFT($A148,LEN($A148)-2),'PW_CMI GRADE 10'!$B$7:$B$31,0))="P"),
0)</f>
        <v>0</v>
      </c>
      <c r="I148" s="24" t="b">
        <f ca="1">IF(IF(_xlfn.XLOOKUP(LEFT($A148,LEN($A148)-2),'PW_CMI GRADE 10'!$B$7:$B$31,'PW_CMI GRADE 10'!$AU$7:$AU$31,"",0,1)=0,"",_xlfn.XLOOKUP(LEFT($A148,LEN($A148)-2),'PW_CMI GRADE 10'!$B$7:$B$31,'PW_CMI GRADE 10'!$AU$7:$AU$31,"",0,1))&lt;=TODAY(),TRUE,FALSE)</f>
        <v>0</v>
      </c>
      <c r="J148" s="25" t="str">
        <f t="shared" ca="1" si="8"/>
        <v/>
      </c>
    </row>
    <row r="149" spans="1:10">
      <c r="A149" s="24" t="s">
        <v>354</v>
      </c>
      <c r="B149">
        <v>2</v>
      </c>
      <c r="C149">
        <f>IFERROR(
 --(INDEX('TH_CMI GRADE 10'!$H$7:$H$49,MATCH(LEFT($A149,LEN($A149)-2),'TH_CMI GRADE 10'!$B$7:$B$49,0))="P")+
 --(INDEX('TH_CMI GRADE 10'!$N$7:$N$49,MATCH(LEFT($A149,LEN($A149)-2),'TH_CMI GRADE 10'!$B$7:$B$49,0))="P")+
 --(INDEX('TH_CMI GRADE 10'!$T$7:$T$49,MATCH(LEFT($A149,LEN($A149)-2),'TH_CMI GRADE 10'!$B$7:$B$49,0))="P")+
 --(INDEX('TH_CMI GRADE 10'!$Z$7:$Z$49,MATCH(LEFT($A149,LEN($A149)-2),'TH_CMI GRADE 10'!$B$7:$B$49,0))="P")+
 --(INDEX('TH_CMI GRADE 10'!$AF$7:$AF$49,MATCH(LEFT($A149,LEN($A149)-2),'TH_CMI GRADE 10'!$B$7:$B$49,0))="P")+
 --(INDEX('TH_CMI GRADE 10'!$AL$7:$AL$49,MATCH(LEFT($A149,LEN($A149)-2),'TH_CMI GRADE 10'!$B$7:$B$49,0))="P")+
 --(INDEX('TH_CMI GRADE 10'!$AR$7:$AR$49,MATCH(LEFT($A149,LEN($A149)-2),'TH_CMI GRADE 10'!$B$7:$B$49,0))="P"),
0)</f>
        <v>0</v>
      </c>
      <c r="D149" s="24" t="b">
        <f ca="1">IF(IF(_xlfn.XLOOKUP(LEFT(A149,LEN(A149)-2),'TH_CMI GRADE 10'!$B$7:$B$49,'TH_CMI GRADE 10'!$AU$7:$AU$49,"",0,1)=0,"",_xlfn.XLOOKUP(LEFT(A149,LEN(A149)-2),'TH_CMI GRADE 10'!$B$7:$B$49,'TH_CMI GRADE 10'!$AU$7:$AU$49,"",0,1))&lt;=TODAY(),TRUE,FALSE)</f>
        <v>0</v>
      </c>
      <c r="E149" s="25" t="str">
        <f t="shared" ca="1" si="7"/>
        <v/>
      </c>
      <c r="F149" s="24" t="s">
        <v>307</v>
      </c>
      <c r="G149">
        <v>2</v>
      </c>
      <c r="H149">
        <f>IFERROR(
 --(INDEX('PW_CMI GRADE 10'!$H$7:$H$31,MATCH(LEFT($A149,LEN($A149)-2),'PW_CMI GRADE 10'!$B$7:$B$31,0))="P")+
 --(INDEX('PW_CMI GRADE 10'!$N$7:$N$31,MATCH(LEFT($A149,LEN($A149)-2),'PW_CMI GRADE 10'!$B$7:$B$31,0))="P")+
 --(INDEX('PW_CMI GRADE 10'!$T$7:$T$31,MATCH(LEFT($A149,LEN($A149)-2),'PW_CMI GRADE 10'!$B$7:$B$31,0))="P")+
 --(INDEX('PW_CMI GRADE 10'!$Z$7:$Z$31,MATCH(LEFT($A149,LEN($A149)-2),'PW_CMI GRADE 10'!$B$7:$B$31,0))="P")+
 --(INDEX('PW_CMI GRADE 10'!$AF$7:$AF$31,MATCH(LEFT($A149,LEN($A149)-2),'PW_CMI GRADE 10'!$B$7:$B$31,0))="P")+
 --(INDEX('PW_CMI GRADE 10'!$AL$7:$AL$31,MATCH(LEFT($A149,LEN($A149)-2),'PW_CMI GRADE 10'!$B$7:$B$31,0))="P")+
 --(INDEX('PW_CMI GRADE 10'!$AR$7:$AR$31,MATCH(LEFT($A149,LEN($A149)-2),'PW_CMI GRADE 10'!$B$7:$B$31,0))="P"),
0)</f>
        <v>0</v>
      </c>
      <c r="I149" s="24" t="b">
        <f ca="1">IF(IF(_xlfn.XLOOKUP(LEFT($A149,LEN($A149)-2),'PW_CMI GRADE 10'!$B$7:$B$31,'PW_CMI GRADE 10'!$AU$7:$AU$31,"",0,1)=0,"",_xlfn.XLOOKUP(LEFT($A149,LEN($A149)-2),'PW_CMI GRADE 10'!$B$7:$B$31,'PW_CMI GRADE 10'!$AU$7:$AU$31,"",0,1))&lt;=TODAY(),TRUE,FALSE)</f>
        <v>0</v>
      </c>
      <c r="J149" s="25" t="str">
        <f t="shared" ca="1" si="8"/>
        <v/>
      </c>
    </row>
    <row r="150" spans="1:10">
      <c r="A150" s="24" t="s">
        <v>355</v>
      </c>
      <c r="B150">
        <v>2</v>
      </c>
      <c r="C150">
        <f>IFERROR(
 --(INDEX('TH_CMI GRADE 10'!$H$7:$H$49,MATCH(LEFT($A150,LEN($A150)-2),'TH_CMI GRADE 10'!$B$7:$B$49,0))="P")+
 --(INDEX('TH_CMI GRADE 10'!$N$7:$N$49,MATCH(LEFT($A150,LEN($A150)-2),'TH_CMI GRADE 10'!$B$7:$B$49,0))="P")+
 --(INDEX('TH_CMI GRADE 10'!$T$7:$T$49,MATCH(LEFT($A150,LEN($A150)-2),'TH_CMI GRADE 10'!$B$7:$B$49,0))="P")+
 --(INDEX('TH_CMI GRADE 10'!$Z$7:$Z$49,MATCH(LEFT($A150,LEN($A150)-2),'TH_CMI GRADE 10'!$B$7:$B$49,0))="P")+
 --(INDEX('TH_CMI GRADE 10'!$AF$7:$AF$49,MATCH(LEFT($A150,LEN($A150)-2),'TH_CMI GRADE 10'!$B$7:$B$49,0))="P")+
 --(INDEX('TH_CMI GRADE 10'!$AL$7:$AL$49,MATCH(LEFT($A150,LEN($A150)-2),'TH_CMI GRADE 10'!$B$7:$B$49,0))="P")+
 --(INDEX('TH_CMI GRADE 10'!$AR$7:$AR$49,MATCH(LEFT($A150,LEN($A150)-2),'TH_CMI GRADE 10'!$B$7:$B$49,0))="P"),
0)</f>
        <v>0</v>
      </c>
      <c r="D150" s="24" t="b">
        <f ca="1">IF(IF(_xlfn.XLOOKUP(LEFT(A150,LEN(A150)-2),'TH_CMI GRADE 10'!$B$7:$B$49,'TH_CMI GRADE 10'!$AU$7:$AU$49,"",0,1)=0,"",_xlfn.XLOOKUP(LEFT(A150,LEN(A150)-2),'TH_CMI GRADE 10'!$B$7:$B$49,'TH_CMI GRADE 10'!$AU$7:$AU$49,"",0,1))&lt;=TODAY(),TRUE,FALSE)</f>
        <v>0</v>
      </c>
      <c r="E150" s="25" t="str">
        <f t="shared" ca="1" si="7"/>
        <v/>
      </c>
      <c r="F150" s="24" t="s">
        <v>308</v>
      </c>
      <c r="G150">
        <v>2</v>
      </c>
      <c r="H150">
        <f>IFERROR(
 --(INDEX('PW_CMI GRADE 10'!$H$7:$H$31,MATCH(LEFT($A150,LEN($A150)-2),'PW_CMI GRADE 10'!$B$7:$B$31,0))="P")+
 --(INDEX('PW_CMI GRADE 10'!$N$7:$N$31,MATCH(LEFT($A150,LEN($A150)-2),'PW_CMI GRADE 10'!$B$7:$B$31,0))="P")+
 --(INDEX('PW_CMI GRADE 10'!$T$7:$T$31,MATCH(LEFT($A150,LEN($A150)-2),'PW_CMI GRADE 10'!$B$7:$B$31,0))="P")+
 --(INDEX('PW_CMI GRADE 10'!$Z$7:$Z$31,MATCH(LEFT($A150,LEN($A150)-2),'PW_CMI GRADE 10'!$B$7:$B$31,0))="P")+
 --(INDEX('PW_CMI GRADE 10'!$AF$7:$AF$31,MATCH(LEFT($A150,LEN($A150)-2),'PW_CMI GRADE 10'!$B$7:$B$31,0))="P")+
 --(INDEX('PW_CMI GRADE 10'!$AL$7:$AL$31,MATCH(LEFT($A150,LEN($A150)-2),'PW_CMI GRADE 10'!$B$7:$B$31,0))="P")+
 --(INDEX('PW_CMI GRADE 10'!$AR$7:$AR$31,MATCH(LEFT($A150,LEN($A150)-2),'PW_CMI GRADE 10'!$B$7:$B$31,0))="P"),
0)</f>
        <v>0</v>
      </c>
      <c r="I150" s="24" t="b">
        <f ca="1">IF(IF(_xlfn.XLOOKUP(LEFT($A150,LEN($A150)-2),'PW_CMI GRADE 10'!$B$7:$B$31,'PW_CMI GRADE 10'!$AU$7:$AU$31,"",0,1)=0,"",_xlfn.XLOOKUP(LEFT($A150,LEN($A150)-2),'PW_CMI GRADE 10'!$B$7:$B$31,'PW_CMI GRADE 10'!$AU$7:$AU$31,"",0,1))&lt;=TODAY(),TRUE,FALSE)</f>
        <v>0</v>
      </c>
      <c r="J150" s="25" t="str">
        <f t="shared" ca="1" si="8"/>
        <v/>
      </c>
    </row>
    <row r="151" spans="1:10">
      <c r="A151" s="24" t="s">
        <v>356</v>
      </c>
      <c r="B151">
        <v>2</v>
      </c>
      <c r="C151">
        <f>IFERROR(
 --(INDEX('TH_CMI GRADE 10'!$H$7:$H$49,MATCH(LEFT($A151,LEN($A151)-2),'TH_CMI GRADE 10'!$B$7:$B$49,0))="P")+
 --(INDEX('TH_CMI GRADE 10'!$N$7:$N$49,MATCH(LEFT($A151,LEN($A151)-2),'TH_CMI GRADE 10'!$B$7:$B$49,0))="P")+
 --(INDEX('TH_CMI GRADE 10'!$T$7:$T$49,MATCH(LEFT($A151,LEN($A151)-2),'TH_CMI GRADE 10'!$B$7:$B$49,0))="P")+
 --(INDEX('TH_CMI GRADE 10'!$Z$7:$Z$49,MATCH(LEFT($A151,LEN($A151)-2),'TH_CMI GRADE 10'!$B$7:$B$49,0))="P")+
 --(INDEX('TH_CMI GRADE 10'!$AF$7:$AF$49,MATCH(LEFT($A151,LEN($A151)-2),'TH_CMI GRADE 10'!$B$7:$B$49,0))="P")+
 --(INDEX('TH_CMI GRADE 10'!$AL$7:$AL$49,MATCH(LEFT($A151,LEN($A151)-2),'TH_CMI GRADE 10'!$B$7:$B$49,0))="P")+
 --(INDEX('TH_CMI GRADE 10'!$AR$7:$AR$49,MATCH(LEFT($A151,LEN($A151)-2),'TH_CMI GRADE 10'!$B$7:$B$49,0))="P"),
0)</f>
        <v>0</v>
      </c>
      <c r="D151" s="24" t="b">
        <f ca="1">IF(IF(_xlfn.XLOOKUP(LEFT(A151,LEN(A151)-2),'TH_CMI GRADE 10'!$B$7:$B$49,'TH_CMI GRADE 10'!$AU$7:$AU$49,"",0,1)=0,"",_xlfn.XLOOKUP(LEFT(A151,LEN(A151)-2),'TH_CMI GRADE 10'!$B$7:$B$49,'TH_CMI GRADE 10'!$AU$7:$AU$49,"",0,1))&lt;=TODAY(),TRUE,FALSE)</f>
        <v>0</v>
      </c>
      <c r="E151" s="25" t="str">
        <f t="shared" ca="1" si="7"/>
        <v/>
      </c>
      <c r="F151" s="24" t="s">
        <v>309</v>
      </c>
      <c r="G151">
        <v>2</v>
      </c>
      <c r="H151">
        <f>IFERROR(
 --(INDEX('PW_CMI GRADE 10'!$H$7:$H$31,MATCH(LEFT($A151,LEN($A151)-2),'PW_CMI GRADE 10'!$B$7:$B$31,0))="P")+
 --(INDEX('PW_CMI GRADE 10'!$N$7:$N$31,MATCH(LEFT($A151,LEN($A151)-2),'PW_CMI GRADE 10'!$B$7:$B$31,0))="P")+
 --(INDEX('PW_CMI GRADE 10'!$T$7:$T$31,MATCH(LEFT($A151,LEN($A151)-2),'PW_CMI GRADE 10'!$B$7:$B$31,0))="P")+
 --(INDEX('PW_CMI GRADE 10'!$Z$7:$Z$31,MATCH(LEFT($A151,LEN($A151)-2),'PW_CMI GRADE 10'!$B$7:$B$31,0))="P")+
 --(INDEX('PW_CMI GRADE 10'!$AF$7:$AF$31,MATCH(LEFT($A151,LEN($A151)-2),'PW_CMI GRADE 10'!$B$7:$B$31,0))="P")+
 --(INDEX('PW_CMI GRADE 10'!$AL$7:$AL$31,MATCH(LEFT($A151,LEN($A151)-2),'PW_CMI GRADE 10'!$B$7:$B$31,0))="P")+
 --(INDEX('PW_CMI GRADE 10'!$AR$7:$AR$31,MATCH(LEFT($A151,LEN($A151)-2),'PW_CMI GRADE 10'!$B$7:$B$31,0))="P"),
0)</f>
        <v>0</v>
      </c>
      <c r="I151" s="24" t="b">
        <f ca="1">IF(IF(_xlfn.XLOOKUP(LEFT($A151,LEN($A151)-2),'PW_CMI GRADE 10'!$B$7:$B$31,'PW_CMI GRADE 10'!$AU$7:$AU$31,"",0,1)=0,"",_xlfn.XLOOKUP(LEFT($A151,LEN($A151)-2),'PW_CMI GRADE 10'!$B$7:$B$31,'PW_CMI GRADE 10'!$AU$7:$AU$31,"",0,1))&lt;=TODAY(),TRUE,FALSE)</f>
        <v>0</v>
      </c>
      <c r="J151" s="25" t="str">
        <f t="shared" ca="1" si="8"/>
        <v/>
      </c>
    </row>
    <row r="152" spans="1:10">
      <c r="A152" s="24" t="s">
        <v>357</v>
      </c>
      <c r="B152">
        <v>2</v>
      </c>
      <c r="C152">
        <f>IFERROR(
 --(INDEX('TH_CMI GRADE 10'!$H$7:$H$49,MATCH(LEFT($A152,LEN($A152)-2),'TH_CMI GRADE 10'!$B$7:$B$49,0))="P")+
 --(INDEX('TH_CMI GRADE 10'!$N$7:$N$49,MATCH(LEFT($A152,LEN($A152)-2),'TH_CMI GRADE 10'!$B$7:$B$49,0))="P")+
 --(INDEX('TH_CMI GRADE 10'!$T$7:$T$49,MATCH(LEFT($A152,LEN($A152)-2),'TH_CMI GRADE 10'!$B$7:$B$49,0))="P")+
 --(INDEX('TH_CMI GRADE 10'!$Z$7:$Z$49,MATCH(LEFT($A152,LEN($A152)-2),'TH_CMI GRADE 10'!$B$7:$B$49,0))="P")+
 --(INDEX('TH_CMI GRADE 10'!$AF$7:$AF$49,MATCH(LEFT($A152,LEN($A152)-2),'TH_CMI GRADE 10'!$B$7:$B$49,0))="P")+
 --(INDEX('TH_CMI GRADE 10'!$AL$7:$AL$49,MATCH(LEFT($A152,LEN($A152)-2),'TH_CMI GRADE 10'!$B$7:$B$49,0))="P")+
 --(INDEX('TH_CMI GRADE 10'!$AR$7:$AR$49,MATCH(LEFT($A152,LEN($A152)-2),'TH_CMI GRADE 10'!$B$7:$B$49,0))="P"),
0)</f>
        <v>2</v>
      </c>
      <c r="D152" s="24" t="b">
        <f ca="1">IF(IF(_xlfn.XLOOKUP(LEFT(A152,LEN(A152)-2),'TH_CMI GRADE 10'!$B$7:$B$49,'TH_CMI GRADE 10'!$AU$7:$AU$49,"",0,1)=0,"",_xlfn.XLOOKUP(LEFT(A152,LEN(A152)-2),'TH_CMI GRADE 10'!$B$7:$B$49,'TH_CMI GRADE 10'!$AU$7:$AU$49,"",0,1))&lt;=TODAY(),TRUE,FALSE)</f>
        <v>1</v>
      </c>
      <c r="E152" s="25">
        <f t="shared" ca="1" si="7"/>
        <v>1</v>
      </c>
      <c r="F152" s="24" t="s">
        <v>310</v>
      </c>
      <c r="G152">
        <v>2</v>
      </c>
      <c r="H152">
        <f>IFERROR(
 --(INDEX('PW_CMI GRADE 10'!$H$7:$H$31,MATCH(LEFT($A152,LEN($A152)-2),'PW_CMI GRADE 10'!$B$7:$B$31,0))="P")+
 --(INDEX('PW_CMI GRADE 10'!$N$7:$N$31,MATCH(LEFT($A152,LEN($A152)-2),'PW_CMI GRADE 10'!$B$7:$B$31,0))="P")+
 --(INDEX('PW_CMI GRADE 10'!$T$7:$T$31,MATCH(LEFT($A152,LEN($A152)-2),'PW_CMI GRADE 10'!$B$7:$B$31,0))="P")+
 --(INDEX('PW_CMI GRADE 10'!$Z$7:$Z$31,MATCH(LEFT($A152,LEN($A152)-2),'PW_CMI GRADE 10'!$B$7:$B$31,0))="P")+
 --(INDEX('PW_CMI GRADE 10'!$AF$7:$AF$31,MATCH(LEFT($A152,LEN($A152)-2),'PW_CMI GRADE 10'!$B$7:$B$31,0))="P")+
 --(INDEX('PW_CMI GRADE 10'!$AL$7:$AL$31,MATCH(LEFT($A152,LEN($A152)-2),'PW_CMI GRADE 10'!$B$7:$B$31,0))="P")+
 --(INDEX('PW_CMI GRADE 10'!$AR$7:$AR$31,MATCH(LEFT($A152,LEN($A152)-2),'PW_CMI GRADE 10'!$B$7:$B$31,0))="P"),
0)</f>
        <v>0</v>
      </c>
      <c r="I152" s="24" t="b">
        <f ca="1">IF(IF(_xlfn.XLOOKUP(LEFT($A152,LEN($A152)-2),'PW_CMI GRADE 10'!$B$7:$B$31,'PW_CMI GRADE 10'!$AU$7:$AU$31,"",0,1)=0,"",_xlfn.XLOOKUP(LEFT($A152,LEN($A152)-2),'PW_CMI GRADE 10'!$B$7:$B$31,'PW_CMI GRADE 10'!$AU$7:$AU$31,"",0,1))&lt;=TODAY(),TRUE,FALSE)</f>
        <v>0</v>
      </c>
      <c r="J152" s="25" t="str">
        <f t="shared" ca="1" si="8"/>
        <v/>
      </c>
    </row>
    <row r="153" spans="1:10">
      <c r="A153" s="24" t="s">
        <v>358</v>
      </c>
      <c r="B153">
        <v>2</v>
      </c>
      <c r="C153">
        <f>IFERROR(
 --(INDEX('TH_CMI GRADE 10'!$H$7:$H$49,MATCH(LEFT($A153,LEN($A153)-2),'TH_CMI GRADE 10'!$B$7:$B$49,0))="P")+
 --(INDEX('TH_CMI GRADE 10'!$N$7:$N$49,MATCH(LEFT($A153,LEN($A153)-2),'TH_CMI GRADE 10'!$B$7:$B$49,0))="P")+
 --(INDEX('TH_CMI GRADE 10'!$T$7:$T$49,MATCH(LEFT($A153,LEN($A153)-2),'TH_CMI GRADE 10'!$B$7:$B$49,0))="P")+
 --(INDEX('TH_CMI GRADE 10'!$Z$7:$Z$49,MATCH(LEFT($A153,LEN($A153)-2),'TH_CMI GRADE 10'!$B$7:$B$49,0))="P")+
 --(INDEX('TH_CMI GRADE 10'!$AF$7:$AF$49,MATCH(LEFT($A153,LEN($A153)-2),'TH_CMI GRADE 10'!$B$7:$B$49,0))="P")+
 --(INDEX('TH_CMI GRADE 10'!$AL$7:$AL$49,MATCH(LEFT($A153,LEN($A153)-2),'TH_CMI GRADE 10'!$B$7:$B$49,0))="P")+
 --(INDEX('TH_CMI GRADE 10'!$AR$7:$AR$49,MATCH(LEFT($A153,LEN($A153)-2),'TH_CMI GRADE 10'!$B$7:$B$49,0))="P"),
0)</f>
        <v>0</v>
      </c>
      <c r="D153" s="24" t="b">
        <f ca="1">IF(IF(_xlfn.XLOOKUP(LEFT(A153,LEN(A153)-2),'TH_CMI GRADE 10'!$B$7:$B$49,'TH_CMI GRADE 10'!$AU$7:$AU$49,"",0,1)=0,"",_xlfn.XLOOKUP(LEFT(A153,LEN(A153)-2),'TH_CMI GRADE 10'!$B$7:$B$49,'TH_CMI GRADE 10'!$AU$7:$AU$49,"",0,1))&lt;=TODAY(),TRUE,FALSE)</f>
        <v>0</v>
      </c>
      <c r="E153" s="25" t="str">
        <f t="shared" ca="1" si="7"/>
        <v/>
      </c>
      <c r="F153" s="24" t="s">
        <v>311</v>
      </c>
      <c r="G153">
        <v>2</v>
      </c>
      <c r="H153">
        <f>IFERROR(
 --(INDEX('PW_CMI GRADE 10'!$H$7:$H$31,MATCH(LEFT($A153,LEN($A153)-2),'PW_CMI GRADE 10'!$B$7:$B$31,0))="P")+
 --(INDEX('PW_CMI GRADE 10'!$N$7:$N$31,MATCH(LEFT($A153,LEN($A153)-2),'PW_CMI GRADE 10'!$B$7:$B$31,0))="P")+
 --(INDEX('PW_CMI GRADE 10'!$T$7:$T$31,MATCH(LEFT($A153,LEN($A153)-2),'PW_CMI GRADE 10'!$B$7:$B$31,0))="P")+
 --(INDEX('PW_CMI GRADE 10'!$Z$7:$Z$31,MATCH(LEFT($A153,LEN($A153)-2),'PW_CMI GRADE 10'!$B$7:$B$31,0))="P")+
 --(INDEX('PW_CMI GRADE 10'!$AF$7:$AF$31,MATCH(LEFT($A153,LEN($A153)-2),'PW_CMI GRADE 10'!$B$7:$B$31,0))="P")+
 --(INDEX('PW_CMI GRADE 10'!$AL$7:$AL$31,MATCH(LEFT($A153,LEN($A153)-2),'PW_CMI GRADE 10'!$B$7:$B$31,0))="P")+
 --(INDEX('PW_CMI GRADE 10'!$AR$7:$AR$31,MATCH(LEFT($A153,LEN($A153)-2),'PW_CMI GRADE 10'!$B$7:$B$31,0))="P"),
0)</f>
        <v>0</v>
      </c>
      <c r="I153" s="24" t="b">
        <f ca="1">IF(IF(_xlfn.XLOOKUP(LEFT($A153,LEN($A153)-2),'PW_CMI GRADE 10'!$B$7:$B$31,'PW_CMI GRADE 10'!$AU$7:$AU$31,"",0,1)=0,"",_xlfn.XLOOKUP(LEFT($A153,LEN($A153)-2),'PW_CMI GRADE 10'!$B$7:$B$31,'PW_CMI GRADE 10'!$AU$7:$AU$31,"",0,1))&lt;=TODAY(),TRUE,FALSE)</f>
        <v>0</v>
      </c>
      <c r="J153" s="25" t="str">
        <f t="shared" ca="1" si="8"/>
        <v/>
      </c>
    </row>
    <row r="154" spans="1:10">
      <c r="A154" s="24" t="s">
        <v>359</v>
      </c>
      <c r="B154">
        <v>2</v>
      </c>
      <c r="C154">
        <f>IFERROR(
 --(INDEX('TH_CMI GRADE 10'!$H$7:$H$49,MATCH(LEFT($A154,LEN($A154)-2),'TH_CMI GRADE 10'!$B$7:$B$49,0))="P")+
 --(INDEX('TH_CMI GRADE 10'!$N$7:$N$49,MATCH(LEFT($A154,LEN($A154)-2),'TH_CMI GRADE 10'!$B$7:$B$49,0))="P")+
 --(INDEX('TH_CMI GRADE 10'!$T$7:$T$49,MATCH(LEFT($A154,LEN($A154)-2),'TH_CMI GRADE 10'!$B$7:$B$49,0))="P")+
 --(INDEX('TH_CMI GRADE 10'!$Z$7:$Z$49,MATCH(LEFT($A154,LEN($A154)-2),'TH_CMI GRADE 10'!$B$7:$B$49,0))="P")+
 --(INDEX('TH_CMI GRADE 10'!$AF$7:$AF$49,MATCH(LEFT($A154,LEN($A154)-2),'TH_CMI GRADE 10'!$B$7:$B$49,0))="P")+
 --(INDEX('TH_CMI GRADE 10'!$AL$7:$AL$49,MATCH(LEFT($A154,LEN($A154)-2),'TH_CMI GRADE 10'!$B$7:$B$49,0))="P")+
 --(INDEX('TH_CMI GRADE 10'!$AR$7:$AR$49,MATCH(LEFT($A154,LEN($A154)-2),'TH_CMI GRADE 10'!$B$7:$B$49,0))="P"),
0)</f>
        <v>0</v>
      </c>
      <c r="D154" s="24" t="b">
        <f ca="1">IF(IF(_xlfn.XLOOKUP(LEFT(A154,LEN(A154)-2),'TH_CMI GRADE 10'!$B$7:$B$49,'TH_CMI GRADE 10'!$AU$7:$AU$49,"",0,1)=0,"",_xlfn.XLOOKUP(LEFT(A154,LEN(A154)-2),'TH_CMI GRADE 10'!$B$7:$B$49,'TH_CMI GRADE 10'!$AU$7:$AU$49,"",0,1))&lt;=TODAY(),TRUE,FALSE)</f>
        <v>0</v>
      </c>
      <c r="E154" s="25" t="str">
        <f t="shared" ca="1" si="7"/>
        <v/>
      </c>
      <c r="F154" s="24" t="s">
        <v>312</v>
      </c>
      <c r="G154">
        <v>2</v>
      </c>
      <c r="H154">
        <f>IFERROR(
 --(INDEX('PW_CMI GRADE 10'!$H$7:$H$31,MATCH(LEFT($A154,LEN($A154)-2),'PW_CMI GRADE 10'!$B$7:$B$31,0))="P")+
 --(INDEX('PW_CMI GRADE 10'!$N$7:$N$31,MATCH(LEFT($A154,LEN($A154)-2),'PW_CMI GRADE 10'!$B$7:$B$31,0))="P")+
 --(INDEX('PW_CMI GRADE 10'!$T$7:$T$31,MATCH(LEFT($A154,LEN($A154)-2),'PW_CMI GRADE 10'!$B$7:$B$31,0))="P")+
 --(INDEX('PW_CMI GRADE 10'!$Z$7:$Z$31,MATCH(LEFT($A154,LEN($A154)-2),'PW_CMI GRADE 10'!$B$7:$B$31,0))="P")+
 --(INDEX('PW_CMI GRADE 10'!$AF$7:$AF$31,MATCH(LEFT($A154,LEN($A154)-2),'PW_CMI GRADE 10'!$B$7:$B$31,0))="P")+
 --(INDEX('PW_CMI GRADE 10'!$AL$7:$AL$31,MATCH(LEFT($A154,LEN($A154)-2),'PW_CMI GRADE 10'!$B$7:$B$31,0))="P")+
 --(INDEX('PW_CMI GRADE 10'!$AR$7:$AR$31,MATCH(LEFT($A154,LEN($A154)-2),'PW_CMI GRADE 10'!$B$7:$B$31,0))="P"),
0)</f>
        <v>0</v>
      </c>
      <c r="I154" s="24" t="b">
        <f ca="1">IF(IF(_xlfn.XLOOKUP(LEFT($A154,LEN($A154)-2),'PW_CMI GRADE 10'!$B$7:$B$31,'PW_CMI GRADE 10'!$AU$7:$AU$31,"",0,1)=0,"",_xlfn.XLOOKUP(LEFT($A154,LEN($A154)-2),'PW_CMI GRADE 10'!$B$7:$B$31,'PW_CMI GRADE 10'!$AU$7:$AU$31,"",0,1))&lt;=TODAY(),TRUE,FALSE)</f>
        <v>0</v>
      </c>
      <c r="J154" s="25" t="str">
        <f t="shared" ca="1" si="8"/>
        <v/>
      </c>
    </row>
    <row r="155" spans="1:10">
      <c r="A155" s="24" t="s">
        <v>360</v>
      </c>
      <c r="B155">
        <v>2</v>
      </c>
      <c r="C155">
        <f>IFERROR(
 --(INDEX('TH_CMI GRADE 10'!$H$7:$H$49,MATCH(LEFT($A155,LEN($A155)-2),'TH_CMI GRADE 10'!$B$7:$B$49,0))="P")+
 --(INDEX('TH_CMI GRADE 10'!$N$7:$N$49,MATCH(LEFT($A155,LEN($A155)-2),'TH_CMI GRADE 10'!$B$7:$B$49,0))="P")+
 --(INDEX('TH_CMI GRADE 10'!$T$7:$T$49,MATCH(LEFT($A155,LEN($A155)-2),'TH_CMI GRADE 10'!$B$7:$B$49,0))="P")+
 --(INDEX('TH_CMI GRADE 10'!$Z$7:$Z$49,MATCH(LEFT($A155,LEN($A155)-2),'TH_CMI GRADE 10'!$B$7:$B$49,0))="P")+
 --(INDEX('TH_CMI GRADE 10'!$AF$7:$AF$49,MATCH(LEFT($A155,LEN($A155)-2),'TH_CMI GRADE 10'!$B$7:$B$49,0))="P")+
 --(INDEX('TH_CMI GRADE 10'!$AL$7:$AL$49,MATCH(LEFT($A155,LEN($A155)-2),'TH_CMI GRADE 10'!$B$7:$B$49,0))="P")+
 --(INDEX('TH_CMI GRADE 10'!$AR$7:$AR$49,MATCH(LEFT($A155,LEN($A155)-2),'TH_CMI GRADE 10'!$B$7:$B$49,0))="P"),
0)</f>
        <v>0</v>
      </c>
      <c r="D155" s="24" t="b">
        <f ca="1">IF(IF(_xlfn.XLOOKUP(LEFT(A155,LEN(A155)-2),'TH_CMI GRADE 10'!$B$7:$B$49,'TH_CMI GRADE 10'!$AU$7:$AU$49,"",0,1)=0,"",_xlfn.XLOOKUP(LEFT(A155,LEN(A155)-2),'TH_CMI GRADE 10'!$B$7:$B$49,'TH_CMI GRADE 10'!$AU$7:$AU$49,"",0,1))&lt;=TODAY(),TRUE,FALSE)</f>
        <v>0</v>
      </c>
      <c r="E155" s="25" t="str">
        <f t="shared" ca="1" si="7"/>
        <v/>
      </c>
      <c r="F155" s="24" t="s">
        <v>313</v>
      </c>
      <c r="G155">
        <v>2</v>
      </c>
      <c r="H155">
        <f>IFERROR(
 --(INDEX('PW_CMI GRADE 10'!$H$7:$H$31,MATCH(LEFT($A155,LEN($A155)-2),'PW_CMI GRADE 10'!$B$7:$B$31,0))="P")+
 --(INDEX('PW_CMI GRADE 10'!$N$7:$N$31,MATCH(LEFT($A155,LEN($A155)-2),'PW_CMI GRADE 10'!$B$7:$B$31,0))="P")+
 --(INDEX('PW_CMI GRADE 10'!$T$7:$T$31,MATCH(LEFT($A155,LEN($A155)-2),'PW_CMI GRADE 10'!$B$7:$B$31,0))="P")+
 --(INDEX('PW_CMI GRADE 10'!$Z$7:$Z$31,MATCH(LEFT($A155,LEN($A155)-2),'PW_CMI GRADE 10'!$B$7:$B$31,0))="P")+
 --(INDEX('PW_CMI GRADE 10'!$AF$7:$AF$31,MATCH(LEFT($A155,LEN($A155)-2),'PW_CMI GRADE 10'!$B$7:$B$31,0))="P")+
 --(INDEX('PW_CMI GRADE 10'!$AL$7:$AL$31,MATCH(LEFT($A155,LEN($A155)-2),'PW_CMI GRADE 10'!$B$7:$B$31,0))="P")+
 --(INDEX('PW_CMI GRADE 10'!$AR$7:$AR$31,MATCH(LEFT($A155,LEN($A155)-2),'PW_CMI GRADE 10'!$B$7:$B$31,0))="P"),
0)</f>
        <v>0</v>
      </c>
      <c r="I155" s="24" t="b">
        <f ca="1">IF(IF(_xlfn.XLOOKUP(LEFT($A155,LEN($A155)-2),'PW_CMI GRADE 10'!$B$7:$B$31,'PW_CMI GRADE 10'!$AU$7:$AU$31,"",0,1)=0,"",_xlfn.XLOOKUP(LEFT($A155,LEN($A155)-2),'PW_CMI GRADE 10'!$B$7:$B$31,'PW_CMI GRADE 10'!$AU$7:$AU$31,"",0,1))&lt;=TODAY(),TRUE,FALSE)</f>
        <v>0</v>
      </c>
      <c r="J155" s="25" t="str">
        <f t="shared" ca="1" si="8"/>
        <v/>
      </c>
    </row>
    <row r="156" spans="1:10">
      <c r="A156" s="24" t="s">
        <v>361</v>
      </c>
      <c r="B156">
        <v>2</v>
      </c>
      <c r="C156">
        <f>IFERROR(
 --(INDEX('TH_CMI GRADE 10'!$H$7:$H$49,MATCH(LEFT($A156,LEN($A156)-2),'TH_CMI GRADE 10'!$B$7:$B$49,0))="P")+
 --(INDEX('TH_CMI GRADE 10'!$N$7:$N$49,MATCH(LEFT($A156,LEN($A156)-2),'TH_CMI GRADE 10'!$B$7:$B$49,0))="P")+
 --(INDEX('TH_CMI GRADE 10'!$T$7:$T$49,MATCH(LEFT($A156,LEN($A156)-2),'TH_CMI GRADE 10'!$B$7:$B$49,0))="P")+
 --(INDEX('TH_CMI GRADE 10'!$Z$7:$Z$49,MATCH(LEFT($A156,LEN($A156)-2),'TH_CMI GRADE 10'!$B$7:$B$49,0))="P")+
 --(INDEX('TH_CMI GRADE 10'!$AF$7:$AF$49,MATCH(LEFT($A156,LEN($A156)-2),'TH_CMI GRADE 10'!$B$7:$B$49,0))="P")+
 --(INDEX('TH_CMI GRADE 10'!$AL$7:$AL$49,MATCH(LEFT($A156,LEN($A156)-2),'TH_CMI GRADE 10'!$B$7:$B$49,0))="P")+
 --(INDEX('TH_CMI GRADE 10'!$AR$7:$AR$49,MATCH(LEFT($A156,LEN($A156)-2),'TH_CMI GRADE 10'!$B$7:$B$49,0))="P"),
0)</f>
        <v>0</v>
      </c>
      <c r="D156" s="24" t="b">
        <f ca="1">IF(IF(_xlfn.XLOOKUP(LEFT(A156,LEN(A156)-2),'TH_CMI GRADE 10'!$B$7:$B$49,'TH_CMI GRADE 10'!$AU$7:$AU$49,"",0,1)=0,"",_xlfn.XLOOKUP(LEFT(A156,LEN(A156)-2),'TH_CMI GRADE 10'!$B$7:$B$49,'TH_CMI GRADE 10'!$AU$7:$AU$49,"",0,1))&lt;=TODAY(),TRUE,FALSE)</f>
        <v>0</v>
      </c>
      <c r="E156" s="25" t="str">
        <f t="shared" ca="1" si="7"/>
        <v/>
      </c>
      <c r="F156" s="24" t="s">
        <v>314</v>
      </c>
      <c r="G156">
        <v>2</v>
      </c>
      <c r="H156">
        <f>IFERROR(
 --(INDEX('PW_CMI GRADE 10'!$H$7:$H$31,MATCH(LEFT($A156,LEN($A156)-2),'PW_CMI GRADE 10'!$B$7:$B$31,0))="P")+
 --(INDEX('PW_CMI GRADE 10'!$N$7:$N$31,MATCH(LEFT($A156,LEN($A156)-2),'PW_CMI GRADE 10'!$B$7:$B$31,0))="P")+
 --(INDEX('PW_CMI GRADE 10'!$T$7:$T$31,MATCH(LEFT($A156,LEN($A156)-2),'PW_CMI GRADE 10'!$B$7:$B$31,0))="P")+
 --(INDEX('PW_CMI GRADE 10'!$Z$7:$Z$31,MATCH(LEFT($A156,LEN($A156)-2),'PW_CMI GRADE 10'!$B$7:$B$31,0))="P")+
 --(INDEX('PW_CMI GRADE 10'!$AF$7:$AF$31,MATCH(LEFT($A156,LEN($A156)-2),'PW_CMI GRADE 10'!$B$7:$B$31,0))="P")+
 --(INDEX('PW_CMI GRADE 10'!$AL$7:$AL$31,MATCH(LEFT($A156,LEN($A156)-2),'PW_CMI GRADE 10'!$B$7:$B$31,0))="P")+
 --(INDEX('PW_CMI GRADE 10'!$AR$7:$AR$31,MATCH(LEFT($A156,LEN($A156)-2),'PW_CMI GRADE 10'!$B$7:$B$31,0))="P"),
0)</f>
        <v>0</v>
      </c>
      <c r="I156" s="24" t="b">
        <f ca="1">IF(IF(_xlfn.XLOOKUP(LEFT($A156,LEN($A156)-2),'PW_CMI GRADE 10'!$B$7:$B$31,'PW_CMI GRADE 10'!$AU$7:$AU$31,"",0,1)=0,"",_xlfn.XLOOKUP(LEFT($A156,LEN($A156)-2),'PW_CMI GRADE 10'!$B$7:$B$31,'PW_CMI GRADE 10'!$AU$7:$AU$31,"",0,1))&lt;=TODAY(),TRUE,FALSE)</f>
        <v>0</v>
      </c>
      <c r="J156" s="25" t="str">
        <f t="shared" ca="1" si="8"/>
        <v/>
      </c>
    </row>
    <row r="157" spans="1:10">
      <c r="A157" s="24" t="s">
        <v>362</v>
      </c>
      <c r="B157">
        <v>2</v>
      </c>
      <c r="C157">
        <f>IFERROR(
 --(INDEX('TH_CMI GRADE 10'!$H$7:$H$49,MATCH(LEFT($A157,LEN($A157)-2),'TH_CMI GRADE 10'!$B$7:$B$49,0))="P")+
 --(INDEX('TH_CMI GRADE 10'!$N$7:$N$49,MATCH(LEFT($A157,LEN($A157)-2),'TH_CMI GRADE 10'!$B$7:$B$49,0))="P")+
 --(INDEX('TH_CMI GRADE 10'!$T$7:$T$49,MATCH(LEFT($A157,LEN($A157)-2),'TH_CMI GRADE 10'!$B$7:$B$49,0))="P")+
 --(INDEX('TH_CMI GRADE 10'!$Z$7:$Z$49,MATCH(LEFT($A157,LEN($A157)-2),'TH_CMI GRADE 10'!$B$7:$B$49,0))="P")+
 --(INDEX('TH_CMI GRADE 10'!$AF$7:$AF$49,MATCH(LEFT($A157,LEN($A157)-2),'TH_CMI GRADE 10'!$B$7:$B$49,0))="P")+
 --(INDEX('TH_CMI GRADE 10'!$AL$7:$AL$49,MATCH(LEFT($A157,LEN($A157)-2),'TH_CMI GRADE 10'!$B$7:$B$49,0))="P")+
 --(INDEX('TH_CMI GRADE 10'!$AR$7:$AR$49,MATCH(LEFT($A157,LEN($A157)-2),'TH_CMI GRADE 10'!$B$7:$B$49,0))="P"),
0)</f>
        <v>0</v>
      </c>
      <c r="D157" s="24" t="b">
        <f ca="1">IF(IF(_xlfn.XLOOKUP(LEFT(A157,LEN(A157)-2),'TH_CMI GRADE 10'!$B$7:$B$49,'TH_CMI GRADE 10'!$AU$7:$AU$49,"",0,1)=0,"",_xlfn.XLOOKUP(LEFT(A157,LEN(A157)-2),'TH_CMI GRADE 10'!$B$7:$B$49,'TH_CMI GRADE 10'!$AU$7:$AU$49,"",0,1))&lt;=TODAY(),TRUE,FALSE)</f>
        <v>0</v>
      </c>
      <c r="E157" s="25" t="str">
        <f t="shared" ca="1" si="7"/>
        <v/>
      </c>
      <c r="F157" s="24" t="s">
        <v>315</v>
      </c>
      <c r="G157">
        <v>2</v>
      </c>
      <c r="H157">
        <f>IFERROR(
 --(INDEX('PW_CMI GRADE 10'!$H$7:$H$31,MATCH(LEFT($A157,LEN($A157)-2),'PW_CMI GRADE 10'!$B$7:$B$31,0))="P")+
 --(INDEX('PW_CMI GRADE 10'!$N$7:$N$31,MATCH(LEFT($A157,LEN($A157)-2),'PW_CMI GRADE 10'!$B$7:$B$31,0))="P")+
 --(INDEX('PW_CMI GRADE 10'!$T$7:$T$31,MATCH(LEFT($A157,LEN($A157)-2),'PW_CMI GRADE 10'!$B$7:$B$31,0))="P")+
 --(INDEX('PW_CMI GRADE 10'!$Z$7:$Z$31,MATCH(LEFT($A157,LEN($A157)-2),'PW_CMI GRADE 10'!$B$7:$B$31,0))="P")+
 --(INDEX('PW_CMI GRADE 10'!$AF$7:$AF$31,MATCH(LEFT($A157,LEN($A157)-2),'PW_CMI GRADE 10'!$B$7:$B$31,0))="P")+
 --(INDEX('PW_CMI GRADE 10'!$AL$7:$AL$31,MATCH(LEFT($A157,LEN($A157)-2),'PW_CMI GRADE 10'!$B$7:$B$31,0))="P")+
 --(INDEX('PW_CMI GRADE 10'!$AR$7:$AR$31,MATCH(LEFT($A157,LEN($A157)-2),'PW_CMI GRADE 10'!$B$7:$B$31,0))="P"),
0)</f>
        <v>0</v>
      </c>
      <c r="I157" s="24" t="b">
        <f ca="1">IF(IF(_xlfn.XLOOKUP(LEFT($A157,LEN($A157)-2),'PW_CMI GRADE 10'!$B$7:$B$31,'PW_CMI GRADE 10'!$AU$7:$AU$31,"",0,1)=0,"",_xlfn.XLOOKUP(LEFT($A157,LEN($A157)-2),'PW_CMI GRADE 10'!$B$7:$B$31,'PW_CMI GRADE 10'!$AU$7:$AU$31,"",0,1))&lt;=TODAY(),TRUE,FALSE)</f>
        <v>0</v>
      </c>
      <c r="J157" s="25" t="str">
        <f t="shared" ca="1" si="8"/>
        <v/>
      </c>
    </row>
    <row r="158" spans="1:10">
      <c r="A158" s="24" t="s">
        <v>363</v>
      </c>
      <c r="B158">
        <v>2</v>
      </c>
      <c r="C158">
        <f>IFERROR(
 --(INDEX('TH_CMI GRADE 10'!$H$7:$H$49,MATCH(LEFT($A158,LEN($A158)-2),'TH_CMI GRADE 10'!$B$7:$B$49,0))="P")+
 --(INDEX('TH_CMI GRADE 10'!$N$7:$N$49,MATCH(LEFT($A158,LEN($A158)-2),'TH_CMI GRADE 10'!$B$7:$B$49,0))="P")+
 --(INDEX('TH_CMI GRADE 10'!$T$7:$T$49,MATCH(LEFT($A158,LEN($A158)-2),'TH_CMI GRADE 10'!$B$7:$B$49,0))="P")+
 --(INDEX('TH_CMI GRADE 10'!$Z$7:$Z$49,MATCH(LEFT($A158,LEN($A158)-2),'TH_CMI GRADE 10'!$B$7:$B$49,0))="P")+
 --(INDEX('TH_CMI GRADE 10'!$AF$7:$AF$49,MATCH(LEFT($A158,LEN($A158)-2),'TH_CMI GRADE 10'!$B$7:$B$49,0))="P")+
 --(INDEX('TH_CMI GRADE 10'!$AL$7:$AL$49,MATCH(LEFT($A158,LEN($A158)-2),'TH_CMI GRADE 10'!$B$7:$B$49,0))="P")+
 --(INDEX('TH_CMI GRADE 10'!$AR$7:$AR$49,MATCH(LEFT($A158,LEN($A158)-2),'TH_CMI GRADE 10'!$B$7:$B$49,0))="P"),
0)</f>
        <v>2</v>
      </c>
      <c r="D158" s="24" t="b">
        <f ca="1">IF(IF(_xlfn.XLOOKUP(LEFT(A158,LEN(A158)-2),'TH_CMI GRADE 10'!$B$7:$B$49,'TH_CMI GRADE 10'!$AU$7:$AU$49,"",0,1)=0,"",_xlfn.XLOOKUP(LEFT(A158,LEN(A158)-2),'TH_CMI GRADE 10'!$B$7:$B$49,'TH_CMI GRADE 10'!$AU$7:$AU$49,"",0,1))&lt;=TODAY(),TRUE,FALSE)</f>
        <v>1</v>
      </c>
      <c r="E158" s="25">
        <f t="shared" ca="1" si="7"/>
        <v>1</v>
      </c>
      <c r="F158" s="24" t="s">
        <v>316</v>
      </c>
      <c r="G158">
        <v>2</v>
      </c>
      <c r="H158">
        <f>IFERROR(
 --(INDEX('PW_CMI GRADE 10'!$H$7:$H$31,MATCH(LEFT($A158,LEN($A158)-2),'PW_CMI GRADE 10'!$B$7:$B$31,0))="P")+
 --(INDEX('PW_CMI GRADE 10'!$N$7:$N$31,MATCH(LEFT($A158,LEN($A158)-2),'PW_CMI GRADE 10'!$B$7:$B$31,0))="P")+
 --(INDEX('PW_CMI GRADE 10'!$T$7:$T$31,MATCH(LEFT($A158,LEN($A158)-2),'PW_CMI GRADE 10'!$B$7:$B$31,0))="P")+
 --(INDEX('PW_CMI GRADE 10'!$Z$7:$Z$31,MATCH(LEFT($A158,LEN($A158)-2),'PW_CMI GRADE 10'!$B$7:$B$31,0))="P")+
 --(INDEX('PW_CMI GRADE 10'!$AF$7:$AF$31,MATCH(LEFT($A158,LEN($A158)-2),'PW_CMI GRADE 10'!$B$7:$B$31,0))="P")+
 --(INDEX('PW_CMI GRADE 10'!$AL$7:$AL$31,MATCH(LEFT($A158,LEN($A158)-2),'PW_CMI GRADE 10'!$B$7:$B$31,0))="P")+
 --(INDEX('PW_CMI GRADE 10'!$AR$7:$AR$31,MATCH(LEFT($A158,LEN($A158)-2),'PW_CMI GRADE 10'!$B$7:$B$31,0))="P"),
0)</f>
        <v>0</v>
      </c>
      <c r="I158" s="24" t="b">
        <f ca="1">IF(IF(_xlfn.XLOOKUP(LEFT($A158,LEN($A158)-2),'PW_CMI GRADE 10'!$B$7:$B$31,'PW_CMI GRADE 10'!$AU$7:$AU$31,"",0,1)=0,"",_xlfn.XLOOKUP(LEFT($A158,LEN($A158)-2),'PW_CMI GRADE 10'!$B$7:$B$31,'PW_CMI GRADE 10'!$AU$7:$AU$31,"",0,1))&lt;=TODAY(),TRUE,FALSE)</f>
        <v>0</v>
      </c>
      <c r="J158" s="25" t="str">
        <f t="shared" ca="1" si="8"/>
        <v/>
      </c>
    </row>
    <row r="159" spans="1:10">
      <c r="A159" s="24" t="s">
        <v>364</v>
      </c>
      <c r="B159">
        <v>2</v>
      </c>
      <c r="C159">
        <f>IFERROR(
 --(INDEX('TH_CMI GRADE 10'!$H$7:$H$49,MATCH(LEFT($A159,LEN($A159)-2),'TH_CMI GRADE 10'!$B$7:$B$49,0))="P")+
 --(INDEX('TH_CMI GRADE 10'!$N$7:$N$49,MATCH(LEFT($A159,LEN($A159)-2),'TH_CMI GRADE 10'!$B$7:$B$49,0))="P")+
 --(INDEX('TH_CMI GRADE 10'!$T$7:$T$49,MATCH(LEFT($A159,LEN($A159)-2),'TH_CMI GRADE 10'!$B$7:$B$49,0))="P")+
 --(INDEX('TH_CMI GRADE 10'!$Z$7:$Z$49,MATCH(LEFT($A159,LEN($A159)-2),'TH_CMI GRADE 10'!$B$7:$B$49,0))="P")+
 --(INDEX('TH_CMI GRADE 10'!$AF$7:$AF$49,MATCH(LEFT($A159,LEN($A159)-2),'TH_CMI GRADE 10'!$B$7:$B$49,0))="P")+
 --(INDEX('TH_CMI GRADE 10'!$AL$7:$AL$49,MATCH(LEFT($A159,LEN($A159)-2),'TH_CMI GRADE 10'!$B$7:$B$49,0))="P")+
 --(INDEX('TH_CMI GRADE 10'!$AR$7:$AR$49,MATCH(LEFT($A159,LEN($A159)-2),'TH_CMI GRADE 10'!$B$7:$B$49,0))="P"),
0)</f>
        <v>0</v>
      </c>
      <c r="D159" s="24" t="b">
        <f ca="1">IF(IF(_xlfn.XLOOKUP(LEFT(A159,LEN(A159)-2),'TH_CMI GRADE 10'!$B$7:$B$49,'TH_CMI GRADE 10'!$AU$7:$AU$49,"",0,1)=0,"",_xlfn.XLOOKUP(LEFT(A159,LEN(A159)-2),'TH_CMI GRADE 10'!$B$7:$B$49,'TH_CMI GRADE 10'!$AU$7:$AU$49,"",0,1))&lt;=TODAY(),TRUE,FALSE)</f>
        <v>0</v>
      </c>
      <c r="E159" s="25" t="str">
        <f t="shared" ca="1" si="7"/>
        <v/>
      </c>
      <c r="F159" s="24" t="s">
        <v>317</v>
      </c>
      <c r="G159">
        <v>2</v>
      </c>
      <c r="H159">
        <f>IFERROR(
 --(INDEX('PW_CMI GRADE 10'!$H$7:$H$31,MATCH(LEFT($A159,LEN($A159)-2),'PW_CMI GRADE 10'!$B$7:$B$31,0))="P")+
 --(INDEX('PW_CMI GRADE 10'!$N$7:$N$31,MATCH(LEFT($A159,LEN($A159)-2),'PW_CMI GRADE 10'!$B$7:$B$31,0))="P")+
 --(INDEX('PW_CMI GRADE 10'!$T$7:$T$31,MATCH(LEFT($A159,LEN($A159)-2),'PW_CMI GRADE 10'!$B$7:$B$31,0))="P")+
 --(INDEX('PW_CMI GRADE 10'!$Z$7:$Z$31,MATCH(LEFT($A159,LEN($A159)-2),'PW_CMI GRADE 10'!$B$7:$B$31,0))="P")+
 --(INDEX('PW_CMI GRADE 10'!$AF$7:$AF$31,MATCH(LEFT($A159,LEN($A159)-2),'PW_CMI GRADE 10'!$B$7:$B$31,0))="P")+
 --(INDEX('PW_CMI GRADE 10'!$AL$7:$AL$31,MATCH(LEFT($A159,LEN($A159)-2),'PW_CMI GRADE 10'!$B$7:$B$31,0))="P")+
 --(INDEX('PW_CMI GRADE 10'!$AR$7:$AR$31,MATCH(LEFT($A159,LEN($A159)-2),'PW_CMI GRADE 10'!$B$7:$B$31,0))="P"),
0)</f>
        <v>0</v>
      </c>
      <c r="I159" s="24" t="b">
        <f ca="1">IF(IF(_xlfn.XLOOKUP(LEFT($A159,LEN($A159)-2),'PW_CMI GRADE 10'!$B$7:$B$31,'PW_CMI GRADE 10'!$AU$7:$AU$31,"",0,1)=0,"",_xlfn.XLOOKUP(LEFT($A159,LEN($A159)-2),'PW_CMI GRADE 10'!$B$7:$B$31,'PW_CMI GRADE 10'!$AU$7:$AU$31,"",0,1))&lt;=TODAY(),TRUE,FALSE)</f>
        <v>0</v>
      </c>
      <c r="J159" s="25" t="str">
        <f t="shared" ca="1" si="8"/>
        <v/>
      </c>
    </row>
    <row r="160" spans="1:10">
      <c r="A160" s="24" t="s">
        <v>365</v>
      </c>
      <c r="B160">
        <v>2</v>
      </c>
      <c r="C160">
        <f>IFERROR(
 --(INDEX('TH_CMI GRADE 10'!$H$7:$H$49,MATCH(LEFT($A160,LEN($A160)-2),'TH_CMI GRADE 10'!$B$7:$B$49,0))="P")+
 --(INDEX('TH_CMI GRADE 10'!$N$7:$N$49,MATCH(LEFT($A160,LEN($A160)-2),'TH_CMI GRADE 10'!$B$7:$B$49,0))="P")+
 --(INDEX('TH_CMI GRADE 10'!$T$7:$T$49,MATCH(LEFT($A160,LEN($A160)-2),'TH_CMI GRADE 10'!$B$7:$B$49,0))="P")+
 --(INDEX('TH_CMI GRADE 10'!$Z$7:$Z$49,MATCH(LEFT($A160,LEN($A160)-2),'TH_CMI GRADE 10'!$B$7:$B$49,0))="P")+
 --(INDEX('TH_CMI GRADE 10'!$AF$7:$AF$49,MATCH(LEFT($A160,LEN($A160)-2),'TH_CMI GRADE 10'!$B$7:$B$49,0))="P")+
 --(INDEX('TH_CMI GRADE 10'!$AL$7:$AL$49,MATCH(LEFT($A160,LEN($A160)-2),'TH_CMI GRADE 10'!$B$7:$B$49,0))="P")+
 --(INDEX('TH_CMI GRADE 10'!$AR$7:$AR$49,MATCH(LEFT($A160,LEN($A160)-2),'TH_CMI GRADE 10'!$B$7:$B$49,0))="P"),
0)</f>
        <v>0</v>
      </c>
      <c r="D160" s="24" t="b">
        <f ca="1">IF(IF(_xlfn.XLOOKUP(LEFT(A160,LEN(A160)-2),'TH_CMI GRADE 10'!$B$7:$B$49,'TH_CMI GRADE 10'!$AU$7:$AU$49,"",0,1)=0,"",_xlfn.XLOOKUP(LEFT(A160,LEN(A160)-2),'TH_CMI GRADE 10'!$B$7:$B$49,'TH_CMI GRADE 10'!$AU$7:$AU$49,"",0,1))&lt;=TODAY(),TRUE,FALSE)</f>
        <v>0</v>
      </c>
      <c r="E160" s="25" t="str">
        <f t="shared" ca="1" si="7"/>
        <v/>
      </c>
      <c r="F160" s="24" t="s">
        <v>318</v>
      </c>
      <c r="G160">
        <v>2</v>
      </c>
      <c r="H160">
        <f>IFERROR(
 --(INDEX('PW_CMI GRADE 10'!$H$7:$H$31,MATCH(LEFT($A160,LEN($A160)-2),'PW_CMI GRADE 10'!$B$7:$B$31,0))="P")+
 --(INDEX('PW_CMI GRADE 10'!$N$7:$N$31,MATCH(LEFT($A160,LEN($A160)-2),'PW_CMI GRADE 10'!$B$7:$B$31,0))="P")+
 --(INDEX('PW_CMI GRADE 10'!$T$7:$T$31,MATCH(LEFT($A160,LEN($A160)-2),'PW_CMI GRADE 10'!$B$7:$B$31,0))="P")+
 --(INDEX('PW_CMI GRADE 10'!$Z$7:$Z$31,MATCH(LEFT($A160,LEN($A160)-2),'PW_CMI GRADE 10'!$B$7:$B$31,0))="P")+
 --(INDEX('PW_CMI GRADE 10'!$AF$7:$AF$31,MATCH(LEFT($A160,LEN($A160)-2),'PW_CMI GRADE 10'!$B$7:$B$31,0))="P")+
 --(INDEX('PW_CMI GRADE 10'!$AL$7:$AL$31,MATCH(LEFT($A160,LEN($A160)-2),'PW_CMI GRADE 10'!$B$7:$B$31,0))="P")+
 --(INDEX('PW_CMI GRADE 10'!$AR$7:$AR$31,MATCH(LEFT($A160,LEN($A160)-2),'PW_CMI GRADE 10'!$B$7:$B$31,0))="P"),
0)</f>
        <v>0</v>
      </c>
      <c r="I160" s="24" t="b">
        <f ca="1">IF(IF(_xlfn.XLOOKUP(LEFT($A160,LEN($A160)-2),'PW_CMI GRADE 10'!$B$7:$B$31,'PW_CMI GRADE 10'!$AU$7:$AU$31,"",0,1)=0,"",_xlfn.XLOOKUP(LEFT($A160,LEN($A160)-2),'PW_CMI GRADE 10'!$B$7:$B$31,'PW_CMI GRADE 10'!$AU$7:$AU$31,"",0,1))&lt;=TODAY(),TRUE,FALSE)</f>
        <v>0</v>
      </c>
      <c r="J160" s="25" t="str">
        <f t="shared" ca="1" si="8"/>
        <v/>
      </c>
    </row>
    <row r="161" spans="1:10">
      <c r="A161" s="24" t="s">
        <v>366</v>
      </c>
      <c r="B161">
        <v>2</v>
      </c>
      <c r="C161">
        <f>IFERROR(
 --(INDEX('TH_CMI GRADE 10'!$H$7:$H$49,MATCH(LEFT($A161,LEN($A161)-2),'TH_CMI GRADE 10'!$B$7:$B$49,0))="P")+
 --(INDEX('TH_CMI GRADE 10'!$N$7:$N$49,MATCH(LEFT($A161,LEN($A161)-2),'TH_CMI GRADE 10'!$B$7:$B$49,0))="P")+
 --(INDEX('TH_CMI GRADE 10'!$T$7:$T$49,MATCH(LEFT($A161,LEN($A161)-2),'TH_CMI GRADE 10'!$B$7:$B$49,0))="P")+
 --(INDEX('TH_CMI GRADE 10'!$Z$7:$Z$49,MATCH(LEFT($A161,LEN($A161)-2),'TH_CMI GRADE 10'!$B$7:$B$49,0))="P")+
 --(INDEX('TH_CMI GRADE 10'!$AF$7:$AF$49,MATCH(LEFT($A161,LEN($A161)-2),'TH_CMI GRADE 10'!$B$7:$B$49,0))="P")+
 --(INDEX('TH_CMI GRADE 10'!$AL$7:$AL$49,MATCH(LEFT($A161,LEN($A161)-2),'TH_CMI GRADE 10'!$B$7:$B$49,0))="P")+
 --(INDEX('TH_CMI GRADE 10'!$AR$7:$AR$49,MATCH(LEFT($A161,LEN($A161)-2),'TH_CMI GRADE 10'!$B$7:$B$49,0))="P"),
0)</f>
        <v>0</v>
      </c>
      <c r="D161" s="24" t="b">
        <f ca="1">IF(IF(_xlfn.XLOOKUP(LEFT(A161,LEN(A161)-2),'TH_CMI GRADE 10'!$B$7:$B$49,'TH_CMI GRADE 10'!$AU$7:$AU$49,"",0,1)=0,"",_xlfn.XLOOKUP(LEFT(A161,LEN(A161)-2),'TH_CMI GRADE 10'!$B$7:$B$49,'TH_CMI GRADE 10'!$AU$7:$AU$49,"",0,1))&lt;=TODAY(),TRUE,FALSE)</f>
        <v>0</v>
      </c>
      <c r="E161" s="25" t="str">
        <f t="shared" ca="1" si="7"/>
        <v/>
      </c>
      <c r="F161" s="24" t="s">
        <v>319</v>
      </c>
      <c r="G161">
        <v>2</v>
      </c>
      <c r="H161">
        <f>IFERROR(
 --(INDEX('PW_CMI GRADE 10'!$H$7:$H$31,MATCH(LEFT($A161,LEN($A161)-2),'PW_CMI GRADE 10'!$B$7:$B$31,0))="P")+
 --(INDEX('PW_CMI GRADE 10'!$N$7:$N$31,MATCH(LEFT($A161,LEN($A161)-2),'PW_CMI GRADE 10'!$B$7:$B$31,0))="P")+
 --(INDEX('PW_CMI GRADE 10'!$T$7:$T$31,MATCH(LEFT($A161,LEN($A161)-2),'PW_CMI GRADE 10'!$B$7:$B$31,0))="P")+
 --(INDEX('PW_CMI GRADE 10'!$Z$7:$Z$31,MATCH(LEFT($A161,LEN($A161)-2),'PW_CMI GRADE 10'!$B$7:$B$31,0))="P")+
 --(INDEX('PW_CMI GRADE 10'!$AF$7:$AF$31,MATCH(LEFT($A161,LEN($A161)-2),'PW_CMI GRADE 10'!$B$7:$B$31,0))="P")+
 --(INDEX('PW_CMI GRADE 10'!$AL$7:$AL$31,MATCH(LEFT($A161,LEN($A161)-2),'PW_CMI GRADE 10'!$B$7:$B$31,0))="P")+
 --(INDEX('PW_CMI GRADE 10'!$AR$7:$AR$31,MATCH(LEFT($A161,LEN($A161)-2),'PW_CMI GRADE 10'!$B$7:$B$31,0))="P"),
0)</f>
        <v>0</v>
      </c>
      <c r="I161" s="24" t="b">
        <f ca="1">IF(IF(_xlfn.XLOOKUP(LEFT($A161,LEN($A161)-2),'PW_CMI GRADE 10'!$B$7:$B$31,'PW_CMI GRADE 10'!$AU$7:$AU$31,"",0,1)=0,"",_xlfn.XLOOKUP(LEFT($A161,LEN($A161)-2),'PW_CMI GRADE 10'!$B$7:$B$31,'PW_CMI GRADE 10'!$AU$7:$AU$31,"",0,1))&lt;=TODAY(),TRUE,FALSE)</f>
        <v>0</v>
      </c>
      <c r="J161" s="25" t="str">
        <f t="shared" ca="1" si="8"/>
        <v/>
      </c>
    </row>
    <row r="162" spans="1:10">
      <c r="A162" s="24" t="s">
        <v>367</v>
      </c>
      <c r="B162">
        <v>2</v>
      </c>
      <c r="C162">
        <f>IFERROR(
 --(INDEX('TH_CMI GRADE 10'!$H$7:$H$49,MATCH(LEFT($A162,LEN($A162)-2),'TH_CMI GRADE 10'!$B$7:$B$49,0))="P")+
 --(INDEX('TH_CMI GRADE 10'!$N$7:$N$49,MATCH(LEFT($A162,LEN($A162)-2),'TH_CMI GRADE 10'!$B$7:$B$49,0))="P")+
 --(INDEX('TH_CMI GRADE 10'!$T$7:$T$49,MATCH(LEFT($A162,LEN($A162)-2),'TH_CMI GRADE 10'!$B$7:$B$49,0))="P")+
 --(INDEX('TH_CMI GRADE 10'!$Z$7:$Z$49,MATCH(LEFT($A162,LEN($A162)-2),'TH_CMI GRADE 10'!$B$7:$B$49,0))="P")+
 --(INDEX('TH_CMI GRADE 10'!$AF$7:$AF$49,MATCH(LEFT($A162,LEN($A162)-2),'TH_CMI GRADE 10'!$B$7:$B$49,0))="P")+
 --(INDEX('TH_CMI GRADE 10'!$AL$7:$AL$49,MATCH(LEFT($A162,LEN($A162)-2),'TH_CMI GRADE 10'!$B$7:$B$49,0))="P")+
 --(INDEX('TH_CMI GRADE 10'!$AR$7:$AR$49,MATCH(LEFT($A162,LEN($A162)-2),'TH_CMI GRADE 10'!$B$7:$B$49,0))="P"),
0)</f>
        <v>0</v>
      </c>
      <c r="D162" s="24" t="b">
        <f ca="1">IF(IF(_xlfn.XLOOKUP(LEFT(A162,LEN(A162)-2),'TH_CMI GRADE 10'!$B$7:$B$49,'TH_CMI GRADE 10'!$AU$7:$AU$49,"",0,1)=0,"",_xlfn.XLOOKUP(LEFT(A162,LEN(A162)-2),'TH_CMI GRADE 10'!$B$7:$B$49,'TH_CMI GRADE 10'!$AU$7:$AU$49,"",0,1))&lt;=TODAY(),TRUE,FALSE)</f>
        <v>0</v>
      </c>
      <c r="E162" s="25" t="str">
        <f t="shared" ca="1" si="7"/>
        <v/>
      </c>
      <c r="F162" s="24" t="s">
        <v>320</v>
      </c>
      <c r="G162">
        <v>2</v>
      </c>
      <c r="H162">
        <f>IFERROR(
 --(INDEX('PW_CMI GRADE 10'!$H$7:$H$31,MATCH(LEFT($A162,LEN($A162)-2),'PW_CMI GRADE 10'!$B$7:$B$31,0))="P")+
 --(INDEX('PW_CMI GRADE 10'!$N$7:$N$31,MATCH(LEFT($A162,LEN($A162)-2),'PW_CMI GRADE 10'!$B$7:$B$31,0))="P")+
 --(INDEX('PW_CMI GRADE 10'!$T$7:$T$31,MATCH(LEFT($A162,LEN($A162)-2),'PW_CMI GRADE 10'!$B$7:$B$31,0))="P")+
 --(INDEX('PW_CMI GRADE 10'!$Z$7:$Z$31,MATCH(LEFT($A162,LEN($A162)-2),'PW_CMI GRADE 10'!$B$7:$B$31,0))="P")+
 --(INDEX('PW_CMI GRADE 10'!$AF$7:$AF$31,MATCH(LEFT($A162,LEN($A162)-2),'PW_CMI GRADE 10'!$B$7:$B$31,0))="P")+
 --(INDEX('PW_CMI GRADE 10'!$AL$7:$AL$31,MATCH(LEFT($A162,LEN($A162)-2),'PW_CMI GRADE 10'!$B$7:$B$31,0))="P")+
 --(INDEX('PW_CMI GRADE 10'!$AR$7:$AR$31,MATCH(LEFT($A162,LEN($A162)-2),'PW_CMI GRADE 10'!$B$7:$B$31,0))="P"),
0)</f>
        <v>0</v>
      </c>
      <c r="I162" s="24" t="b">
        <f ca="1">IF(IF(_xlfn.XLOOKUP(LEFT($A162,LEN($A162)-2),'PW_CMI GRADE 10'!$B$7:$B$31,'PW_CMI GRADE 10'!$AU$7:$AU$31,"",0,1)=0,"",_xlfn.XLOOKUP(LEFT($A162,LEN($A162)-2),'PW_CMI GRADE 10'!$B$7:$B$31,'PW_CMI GRADE 10'!$AU$7:$AU$31,"",0,1))&lt;=TODAY(),TRUE,FALSE)</f>
        <v>0</v>
      </c>
      <c r="J162" s="25" t="str">
        <f t="shared" ca="1" si="8"/>
        <v/>
      </c>
    </row>
    <row r="163" spans="1:10">
      <c r="A163" s="24" t="s">
        <v>368</v>
      </c>
      <c r="B163">
        <v>2</v>
      </c>
      <c r="C163">
        <f>IFERROR(
 --(INDEX('TH_CMI GRADE 10'!$H$7:$H$49,MATCH(LEFT($A163,LEN($A163)-2),'TH_CMI GRADE 10'!$B$7:$B$49,0))="P")+
 --(INDEX('TH_CMI GRADE 10'!$N$7:$N$49,MATCH(LEFT($A163,LEN($A163)-2),'TH_CMI GRADE 10'!$B$7:$B$49,0))="P")+
 --(INDEX('TH_CMI GRADE 10'!$T$7:$T$49,MATCH(LEFT($A163,LEN($A163)-2),'TH_CMI GRADE 10'!$B$7:$B$49,0))="P")+
 --(INDEX('TH_CMI GRADE 10'!$Z$7:$Z$49,MATCH(LEFT($A163,LEN($A163)-2),'TH_CMI GRADE 10'!$B$7:$B$49,0))="P")+
 --(INDEX('TH_CMI GRADE 10'!$AF$7:$AF$49,MATCH(LEFT($A163,LEN($A163)-2),'TH_CMI GRADE 10'!$B$7:$B$49,0))="P")+
 --(INDEX('TH_CMI GRADE 10'!$AL$7:$AL$49,MATCH(LEFT($A163,LEN($A163)-2),'TH_CMI GRADE 10'!$B$7:$B$49,0))="P")+
 --(INDEX('TH_CMI GRADE 10'!$AR$7:$AR$49,MATCH(LEFT($A163,LEN($A163)-2),'TH_CMI GRADE 10'!$B$7:$B$49,0))="P"),
0)</f>
        <v>0</v>
      </c>
      <c r="D163" s="24" t="b">
        <f ca="1">IF(IF(_xlfn.XLOOKUP(LEFT(A163,LEN(A163)-2),'TH_CMI GRADE 10'!$B$7:$B$49,'TH_CMI GRADE 10'!$AU$7:$AU$49,"",0,1)=0,"",_xlfn.XLOOKUP(LEFT(A163,LEN(A163)-2),'TH_CMI GRADE 10'!$B$7:$B$49,'TH_CMI GRADE 10'!$AU$7:$AU$49,"",0,1))&lt;=TODAY(),TRUE,FALSE)</f>
        <v>0</v>
      </c>
      <c r="E163" s="25" t="str">
        <f t="shared" ca="1" si="7"/>
        <v/>
      </c>
      <c r="F163" s="24" t="s">
        <v>321</v>
      </c>
      <c r="G163">
        <v>2</v>
      </c>
      <c r="H163">
        <f>IFERROR(
 --(INDEX('PW_CMI GRADE 10'!$H$7:$H$31,MATCH(LEFT($A163,LEN($A163)-2),'PW_CMI GRADE 10'!$B$7:$B$31,0))="P")+
 --(INDEX('PW_CMI GRADE 10'!$N$7:$N$31,MATCH(LEFT($A163,LEN($A163)-2),'PW_CMI GRADE 10'!$B$7:$B$31,0))="P")+
 --(INDEX('PW_CMI GRADE 10'!$T$7:$T$31,MATCH(LEFT($A163,LEN($A163)-2),'PW_CMI GRADE 10'!$B$7:$B$31,0))="P")+
 --(INDEX('PW_CMI GRADE 10'!$Z$7:$Z$31,MATCH(LEFT($A163,LEN($A163)-2),'PW_CMI GRADE 10'!$B$7:$B$31,0))="P")+
 --(INDEX('PW_CMI GRADE 10'!$AF$7:$AF$31,MATCH(LEFT($A163,LEN($A163)-2),'PW_CMI GRADE 10'!$B$7:$B$31,0))="P")+
 --(INDEX('PW_CMI GRADE 10'!$AL$7:$AL$31,MATCH(LEFT($A163,LEN($A163)-2),'PW_CMI GRADE 10'!$B$7:$B$31,0))="P")+
 --(INDEX('PW_CMI GRADE 10'!$AR$7:$AR$31,MATCH(LEFT($A163,LEN($A163)-2),'PW_CMI GRADE 10'!$B$7:$B$31,0))="P"),
0)</f>
        <v>0</v>
      </c>
      <c r="I163" s="24" t="b">
        <f ca="1">IF(IF(_xlfn.XLOOKUP(LEFT($A163,LEN($A163)-2),'PW_CMI GRADE 10'!$B$7:$B$31,'PW_CMI GRADE 10'!$AU$7:$AU$31,"",0,1)=0,"",_xlfn.XLOOKUP(LEFT($A163,LEN($A163)-2),'PW_CMI GRADE 10'!$B$7:$B$31,'PW_CMI GRADE 10'!$AU$7:$AU$31,"",0,1))&lt;=TODAY(),TRUE,FALSE)</f>
        <v>0</v>
      </c>
      <c r="J163" s="25" t="str">
        <f t="shared" ca="1" si="8"/>
        <v/>
      </c>
    </row>
    <row r="164" spans="1:10">
      <c r="A164" s="24" t="s">
        <v>369</v>
      </c>
      <c r="B164">
        <v>2</v>
      </c>
      <c r="C164">
        <f>IFERROR(
 --(INDEX('TH_CMI GRADE 10'!$H$7:$H$49,MATCH(LEFT($A164,LEN($A164)-2),'TH_CMI GRADE 10'!$B$7:$B$49,0))="P")+
 --(INDEX('TH_CMI GRADE 10'!$N$7:$N$49,MATCH(LEFT($A164,LEN($A164)-2),'TH_CMI GRADE 10'!$B$7:$B$49,0))="P")+
 --(INDEX('TH_CMI GRADE 10'!$T$7:$T$49,MATCH(LEFT($A164,LEN($A164)-2),'TH_CMI GRADE 10'!$B$7:$B$49,0))="P")+
 --(INDEX('TH_CMI GRADE 10'!$Z$7:$Z$49,MATCH(LEFT($A164,LEN($A164)-2),'TH_CMI GRADE 10'!$B$7:$B$49,0))="P")+
 --(INDEX('TH_CMI GRADE 10'!$AF$7:$AF$49,MATCH(LEFT($A164,LEN($A164)-2),'TH_CMI GRADE 10'!$B$7:$B$49,0))="P")+
 --(INDEX('TH_CMI GRADE 10'!$AL$7:$AL$49,MATCH(LEFT($A164,LEN($A164)-2),'TH_CMI GRADE 10'!$B$7:$B$49,0))="P")+
 --(INDEX('TH_CMI GRADE 10'!$AR$7:$AR$49,MATCH(LEFT($A164,LEN($A164)-2),'TH_CMI GRADE 10'!$B$7:$B$49,0))="P"),
0)</f>
        <v>0</v>
      </c>
      <c r="D164" s="24" t="b">
        <f ca="1">IF(IF(_xlfn.XLOOKUP(LEFT(A164,LEN(A164)-2),'TH_CMI GRADE 10'!$B$7:$B$49,'TH_CMI GRADE 10'!$AU$7:$AU$49,"",0,1)=0,"",_xlfn.XLOOKUP(LEFT(A164,LEN(A164)-2),'TH_CMI GRADE 10'!$B$7:$B$49,'TH_CMI GRADE 10'!$AU$7:$AU$49,"",0,1))&lt;=TODAY(),TRUE,FALSE)</f>
        <v>0</v>
      </c>
      <c r="E164" s="25" t="str">
        <f t="shared" ca="1" si="7"/>
        <v/>
      </c>
      <c r="F164" s="24" t="s">
        <v>322</v>
      </c>
      <c r="G164">
        <v>2</v>
      </c>
      <c r="H164">
        <f>IFERROR(
 --(INDEX('PW_CMI GRADE 10'!$H$7:$H$31,MATCH(LEFT($A164,LEN($A164)-2),'PW_CMI GRADE 10'!$B$7:$B$31,0))="P")+
 --(INDEX('PW_CMI GRADE 10'!$N$7:$N$31,MATCH(LEFT($A164,LEN($A164)-2),'PW_CMI GRADE 10'!$B$7:$B$31,0))="P")+
 --(INDEX('PW_CMI GRADE 10'!$T$7:$T$31,MATCH(LEFT($A164,LEN($A164)-2),'PW_CMI GRADE 10'!$B$7:$B$31,0))="P")+
 --(INDEX('PW_CMI GRADE 10'!$Z$7:$Z$31,MATCH(LEFT($A164,LEN($A164)-2),'PW_CMI GRADE 10'!$B$7:$B$31,0))="P")+
 --(INDEX('PW_CMI GRADE 10'!$AF$7:$AF$31,MATCH(LEFT($A164,LEN($A164)-2),'PW_CMI GRADE 10'!$B$7:$B$31,0))="P")+
 --(INDEX('PW_CMI GRADE 10'!$AL$7:$AL$31,MATCH(LEFT($A164,LEN($A164)-2),'PW_CMI GRADE 10'!$B$7:$B$31,0))="P")+
 --(INDEX('PW_CMI GRADE 10'!$AR$7:$AR$31,MATCH(LEFT($A164,LEN($A164)-2),'PW_CMI GRADE 10'!$B$7:$B$31,0))="P"),
0)</f>
        <v>0</v>
      </c>
      <c r="I164" s="24" t="b">
        <f ca="1">IF(IF(_xlfn.XLOOKUP(LEFT($A164,LEN($A164)-2),'PW_CMI GRADE 10'!$B$7:$B$31,'PW_CMI GRADE 10'!$AU$7:$AU$31,"",0,1)=0,"",_xlfn.XLOOKUP(LEFT($A164,LEN($A164)-2),'PW_CMI GRADE 10'!$B$7:$B$31,'PW_CMI GRADE 10'!$AU$7:$AU$31,"",0,1))&lt;=TODAY(),TRUE,FALSE)</f>
        <v>0</v>
      </c>
      <c r="J164" s="25" t="str">
        <f t="shared" ca="1" si="8"/>
        <v/>
      </c>
    </row>
    <row r="165" spans="1:10">
      <c r="A165" s="24" t="s">
        <v>370</v>
      </c>
      <c r="B165">
        <v>2</v>
      </c>
      <c r="C165">
        <f>IFERROR(
 --(INDEX('TH_CMI GRADE 10'!$H$7:$H$49,MATCH(LEFT($A165,LEN($A165)-2),'TH_CMI GRADE 10'!$B$7:$B$49,0))="P")+
 --(INDEX('TH_CMI GRADE 10'!$N$7:$N$49,MATCH(LEFT($A165,LEN($A165)-2),'TH_CMI GRADE 10'!$B$7:$B$49,0))="P")+
 --(INDEX('TH_CMI GRADE 10'!$T$7:$T$49,MATCH(LEFT($A165,LEN($A165)-2),'TH_CMI GRADE 10'!$B$7:$B$49,0))="P")+
 --(INDEX('TH_CMI GRADE 10'!$Z$7:$Z$49,MATCH(LEFT($A165,LEN($A165)-2),'TH_CMI GRADE 10'!$B$7:$B$49,0))="P")+
 --(INDEX('TH_CMI GRADE 10'!$AF$7:$AF$49,MATCH(LEFT($A165,LEN($A165)-2),'TH_CMI GRADE 10'!$B$7:$B$49,0))="P")+
 --(INDEX('TH_CMI GRADE 10'!$AL$7:$AL$49,MATCH(LEFT($A165,LEN($A165)-2),'TH_CMI GRADE 10'!$B$7:$B$49,0))="P")+
 --(INDEX('TH_CMI GRADE 10'!$AR$7:$AR$49,MATCH(LEFT($A165,LEN($A165)-2),'TH_CMI GRADE 10'!$B$7:$B$49,0))="P"),
0)</f>
        <v>0</v>
      </c>
      <c r="D165" s="24" t="b">
        <f ca="1">IF(IF(_xlfn.XLOOKUP(LEFT(A165,LEN(A165)-2),'TH_CMI GRADE 10'!$B$7:$B$49,'TH_CMI GRADE 10'!$AU$7:$AU$49,"",0,1)=0,"",_xlfn.XLOOKUP(LEFT(A165,LEN(A165)-2),'TH_CMI GRADE 10'!$B$7:$B$49,'TH_CMI GRADE 10'!$AU$7:$AU$49,"",0,1))&lt;=TODAY(),TRUE,FALSE)</f>
        <v>0</v>
      </c>
      <c r="E165" s="25" t="str">
        <f t="shared" ca="1" si="7"/>
        <v/>
      </c>
      <c r="F165" s="24" t="s">
        <v>323</v>
      </c>
      <c r="G165">
        <v>2</v>
      </c>
      <c r="H165">
        <f>IFERROR(
 --(INDEX('PW_CMI GRADE 10'!$H$7:$H$31,MATCH(LEFT($A165,LEN($A165)-2),'PW_CMI GRADE 10'!$B$7:$B$31,0))="P")+
 --(INDEX('PW_CMI GRADE 10'!$N$7:$N$31,MATCH(LEFT($A165,LEN($A165)-2),'PW_CMI GRADE 10'!$B$7:$B$31,0))="P")+
 --(INDEX('PW_CMI GRADE 10'!$T$7:$T$31,MATCH(LEFT($A165,LEN($A165)-2),'PW_CMI GRADE 10'!$B$7:$B$31,0))="P")+
 --(INDEX('PW_CMI GRADE 10'!$Z$7:$Z$31,MATCH(LEFT($A165,LEN($A165)-2),'PW_CMI GRADE 10'!$B$7:$B$31,0))="P")+
 --(INDEX('PW_CMI GRADE 10'!$AF$7:$AF$31,MATCH(LEFT($A165,LEN($A165)-2),'PW_CMI GRADE 10'!$B$7:$B$31,0))="P")+
 --(INDEX('PW_CMI GRADE 10'!$AL$7:$AL$31,MATCH(LEFT($A165,LEN($A165)-2),'PW_CMI GRADE 10'!$B$7:$B$31,0))="P")+
 --(INDEX('PW_CMI GRADE 10'!$AR$7:$AR$31,MATCH(LEFT($A165,LEN($A165)-2),'PW_CMI GRADE 10'!$B$7:$B$31,0))="P"),
0)</f>
        <v>0</v>
      </c>
      <c r="I165" s="24" t="b">
        <f ca="1">IF(IF(_xlfn.XLOOKUP(LEFT($A165,LEN($A165)-2),'PW_CMI GRADE 10'!$B$7:$B$31,'PW_CMI GRADE 10'!$AU$7:$AU$31,"",0,1)=0,"",_xlfn.XLOOKUP(LEFT($A165,LEN($A165)-2),'PW_CMI GRADE 10'!$B$7:$B$31,'PW_CMI GRADE 10'!$AU$7:$AU$31,"",0,1))&lt;=TODAY(),TRUE,FALSE)</f>
        <v>0</v>
      </c>
      <c r="J165" s="25" t="str">
        <f t="shared" ca="1" si="8"/>
        <v/>
      </c>
    </row>
    <row r="166" spans="1:10">
      <c r="A166" s="24" t="s">
        <v>371</v>
      </c>
      <c r="B166">
        <v>2</v>
      </c>
      <c r="C166">
        <f>IFERROR(
 --(INDEX('TH_CMI GRADE 10'!$H$7:$H$49,MATCH(LEFT($A166,LEN($A166)-2),'TH_CMI GRADE 10'!$B$7:$B$49,0))="P")+
 --(INDEX('TH_CMI GRADE 10'!$N$7:$N$49,MATCH(LEFT($A166,LEN($A166)-2),'TH_CMI GRADE 10'!$B$7:$B$49,0))="P")+
 --(INDEX('TH_CMI GRADE 10'!$T$7:$T$49,MATCH(LEFT($A166,LEN($A166)-2),'TH_CMI GRADE 10'!$B$7:$B$49,0))="P")+
 --(INDEX('TH_CMI GRADE 10'!$Z$7:$Z$49,MATCH(LEFT($A166,LEN($A166)-2),'TH_CMI GRADE 10'!$B$7:$B$49,0))="P")+
 --(INDEX('TH_CMI GRADE 10'!$AF$7:$AF$49,MATCH(LEFT($A166,LEN($A166)-2),'TH_CMI GRADE 10'!$B$7:$B$49,0))="P")+
 --(INDEX('TH_CMI GRADE 10'!$AL$7:$AL$49,MATCH(LEFT($A166,LEN($A166)-2),'TH_CMI GRADE 10'!$B$7:$B$49,0))="P")+
 --(INDEX('TH_CMI GRADE 10'!$AR$7:$AR$49,MATCH(LEFT($A166,LEN($A166)-2),'TH_CMI GRADE 10'!$B$7:$B$49,0))="P"),
0)</f>
        <v>0</v>
      </c>
      <c r="D166" s="24" t="b">
        <f ca="1">IF(IF(_xlfn.XLOOKUP(LEFT(A166,LEN(A166)-2),'TH_CMI GRADE 10'!$B$7:$B$49,'TH_CMI GRADE 10'!$AU$7:$AU$49,"",0,1)=0,"",_xlfn.XLOOKUP(LEFT(A166,LEN(A166)-2),'TH_CMI GRADE 10'!$B$7:$B$49,'TH_CMI GRADE 10'!$AU$7:$AU$49,"",0,1))&lt;=TODAY(),TRUE,FALSE)</f>
        <v>0</v>
      </c>
      <c r="E166" s="25" t="str">
        <f t="shared" ca="1" si="7"/>
        <v/>
      </c>
      <c r="F166" s="24" t="s">
        <v>324</v>
      </c>
      <c r="G166">
        <v>2</v>
      </c>
      <c r="H166">
        <f>IFERROR(
 --(INDEX('PW_CMI GRADE 10'!$H$7:$H$31,MATCH(LEFT($A166,LEN($A166)-2),'PW_CMI GRADE 10'!$B$7:$B$31,0))="P")+
 --(INDEX('PW_CMI GRADE 10'!$N$7:$N$31,MATCH(LEFT($A166,LEN($A166)-2),'PW_CMI GRADE 10'!$B$7:$B$31,0))="P")+
 --(INDEX('PW_CMI GRADE 10'!$T$7:$T$31,MATCH(LEFT($A166,LEN($A166)-2),'PW_CMI GRADE 10'!$B$7:$B$31,0))="P")+
 --(INDEX('PW_CMI GRADE 10'!$Z$7:$Z$31,MATCH(LEFT($A166,LEN($A166)-2),'PW_CMI GRADE 10'!$B$7:$B$31,0))="P")+
 --(INDEX('PW_CMI GRADE 10'!$AF$7:$AF$31,MATCH(LEFT($A166,LEN($A166)-2),'PW_CMI GRADE 10'!$B$7:$B$31,0))="P")+
 --(INDEX('PW_CMI GRADE 10'!$AL$7:$AL$31,MATCH(LEFT($A166,LEN($A166)-2),'PW_CMI GRADE 10'!$B$7:$B$31,0))="P")+
 --(INDEX('PW_CMI GRADE 10'!$AR$7:$AR$31,MATCH(LEFT($A166,LEN($A166)-2),'PW_CMI GRADE 10'!$B$7:$B$31,0))="P"),
0)</f>
        <v>0</v>
      </c>
      <c r="I166" s="24" t="b">
        <f ca="1">IF(IF(_xlfn.XLOOKUP(LEFT($A166,LEN($A166)-2),'PW_CMI GRADE 10'!$B$7:$B$31,'PW_CMI GRADE 10'!$AU$7:$AU$31,"",0,1)=0,"",_xlfn.XLOOKUP(LEFT($A166,LEN($A166)-2),'PW_CMI GRADE 10'!$B$7:$B$31,'PW_CMI GRADE 10'!$AU$7:$AU$31,"",0,1))&lt;=TODAY(),TRUE,FALSE)</f>
        <v>0</v>
      </c>
      <c r="J166" s="25" t="str">
        <f t="shared" ca="1" si="8"/>
        <v/>
      </c>
    </row>
    <row r="167" spans="1:10">
      <c r="A167" s="24" t="s">
        <v>372</v>
      </c>
      <c r="B167">
        <v>2</v>
      </c>
      <c r="C167">
        <f>IFERROR(
 --(INDEX('TH_CMI GRADE 10'!$H$7:$H$49,MATCH(LEFT($A167,LEN($A167)-2),'TH_CMI GRADE 10'!$B$7:$B$49,0))="P")+
 --(INDEX('TH_CMI GRADE 10'!$N$7:$N$49,MATCH(LEFT($A167,LEN($A167)-2),'TH_CMI GRADE 10'!$B$7:$B$49,0))="P")+
 --(INDEX('TH_CMI GRADE 10'!$T$7:$T$49,MATCH(LEFT($A167,LEN($A167)-2),'TH_CMI GRADE 10'!$B$7:$B$49,0))="P")+
 --(INDEX('TH_CMI GRADE 10'!$Z$7:$Z$49,MATCH(LEFT($A167,LEN($A167)-2),'TH_CMI GRADE 10'!$B$7:$B$49,0))="P")+
 --(INDEX('TH_CMI GRADE 10'!$AF$7:$AF$49,MATCH(LEFT($A167,LEN($A167)-2),'TH_CMI GRADE 10'!$B$7:$B$49,0))="P")+
 --(INDEX('TH_CMI GRADE 10'!$AL$7:$AL$49,MATCH(LEFT($A167,LEN($A167)-2),'TH_CMI GRADE 10'!$B$7:$B$49,0))="P")+
 --(INDEX('TH_CMI GRADE 10'!$AR$7:$AR$49,MATCH(LEFT($A167,LEN($A167)-2),'TH_CMI GRADE 10'!$B$7:$B$49,0))="P"),
0)</f>
        <v>0</v>
      </c>
      <c r="D167" s="24" t="b">
        <f ca="1">IF(IF(_xlfn.XLOOKUP(LEFT(A167,LEN(A167)-2),'TH_CMI GRADE 10'!$B$7:$B$49,'TH_CMI GRADE 10'!$AU$7:$AU$49,"",0,1)=0,"",_xlfn.XLOOKUP(LEFT(A167,LEN(A167)-2),'TH_CMI GRADE 10'!$B$7:$B$49,'TH_CMI GRADE 10'!$AU$7:$AU$49,"",0,1))&lt;=TODAY(),TRUE,FALSE)</f>
        <v>0</v>
      </c>
      <c r="E167" s="25" t="str">
        <f t="shared" ca="1" si="7"/>
        <v/>
      </c>
      <c r="F167" s="24" t="s">
        <v>325</v>
      </c>
      <c r="G167">
        <v>2</v>
      </c>
      <c r="H167">
        <f>IFERROR(
 --(INDEX('PW_CMI GRADE 10'!$H$7:$H$31,MATCH(LEFT($A167,LEN($A167)-2),'PW_CMI GRADE 10'!$B$7:$B$31,0))="P")+
 --(INDEX('PW_CMI GRADE 10'!$N$7:$N$31,MATCH(LEFT($A167,LEN($A167)-2),'PW_CMI GRADE 10'!$B$7:$B$31,0))="P")+
 --(INDEX('PW_CMI GRADE 10'!$T$7:$T$31,MATCH(LEFT($A167,LEN($A167)-2),'PW_CMI GRADE 10'!$B$7:$B$31,0))="P")+
 --(INDEX('PW_CMI GRADE 10'!$Z$7:$Z$31,MATCH(LEFT($A167,LEN($A167)-2),'PW_CMI GRADE 10'!$B$7:$B$31,0))="P")+
 --(INDEX('PW_CMI GRADE 10'!$AF$7:$AF$31,MATCH(LEFT($A167,LEN($A167)-2),'PW_CMI GRADE 10'!$B$7:$B$31,0))="P")+
 --(INDEX('PW_CMI GRADE 10'!$AL$7:$AL$31,MATCH(LEFT($A167,LEN($A167)-2),'PW_CMI GRADE 10'!$B$7:$B$31,0))="P")+
 --(INDEX('PW_CMI GRADE 10'!$AR$7:$AR$31,MATCH(LEFT($A167,LEN($A167)-2),'PW_CMI GRADE 10'!$B$7:$B$31,0))="P"),
0)</f>
        <v>0</v>
      </c>
      <c r="I167" s="24" t="b">
        <f ca="1">IF(IF(_xlfn.XLOOKUP(LEFT($A167,LEN($A167)-2),'PW_CMI GRADE 10'!$B$7:$B$31,'PW_CMI GRADE 10'!$AU$7:$AU$31,"",0,1)=0,"",_xlfn.XLOOKUP(LEFT($A167,LEN($A167)-2),'PW_CMI GRADE 10'!$B$7:$B$31,'PW_CMI GRADE 10'!$AU$7:$AU$31,"",0,1))&lt;=TODAY(),TRUE,FALSE)</f>
        <v>0</v>
      </c>
      <c r="J167" s="25" t="str">
        <f t="shared" ca="1" si="8"/>
        <v/>
      </c>
    </row>
    <row r="168" spans="1:10">
      <c r="A168" s="24" t="s">
        <v>373</v>
      </c>
      <c r="B168">
        <v>2</v>
      </c>
      <c r="C168">
        <f>IFERROR(
 --(INDEX('TH_CMI GRADE 10'!$H$7:$H$49,MATCH(LEFT($A168,LEN($A168)-2),'TH_CMI GRADE 10'!$B$7:$B$49,0))="P")+
 --(INDEX('TH_CMI GRADE 10'!$N$7:$N$49,MATCH(LEFT($A168,LEN($A168)-2),'TH_CMI GRADE 10'!$B$7:$B$49,0))="P")+
 --(INDEX('TH_CMI GRADE 10'!$T$7:$T$49,MATCH(LEFT($A168,LEN($A168)-2),'TH_CMI GRADE 10'!$B$7:$B$49,0))="P")+
 --(INDEX('TH_CMI GRADE 10'!$Z$7:$Z$49,MATCH(LEFT($A168,LEN($A168)-2),'TH_CMI GRADE 10'!$B$7:$B$49,0))="P")+
 --(INDEX('TH_CMI GRADE 10'!$AF$7:$AF$49,MATCH(LEFT($A168,LEN($A168)-2),'TH_CMI GRADE 10'!$B$7:$B$49,0))="P")+
 --(INDEX('TH_CMI GRADE 10'!$AL$7:$AL$49,MATCH(LEFT($A168,LEN($A168)-2),'TH_CMI GRADE 10'!$B$7:$B$49,0))="P")+
 --(INDEX('TH_CMI GRADE 10'!$AR$7:$AR$49,MATCH(LEFT($A168,LEN($A168)-2),'TH_CMI GRADE 10'!$B$7:$B$49,0))="P"),
0)</f>
        <v>0</v>
      </c>
      <c r="D168" s="24" t="b">
        <f ca="1">IF(IF(_xlfn.XLOOKUP(LEFT(A168,LEN(A168)-2),'TH_CMI GRADE 10'!$B$7:$B$49,'TH_CMI GRADE 10'!$AU$7:$AU$49,"",0,1)=0,"",_xlfn.XLOOKUP(LEFT(A168,LEN(A168)-2),'TH_CMI GRADE 10'!$B$7:$B$49,'TH_CMI GRADE 10'!$AU$7:$AU$49,"",0,1))&lt;=TODAY(),TRUE,FALSE)</f>
        <v>0</v>
      </c>
      <c r="E168" s="25" t="str">
        <f t="shared" ca="1" si="7"/>
        <v/>
      </c>
      <c r="F168" s="24" t="s">
        <v>326</v>
      </c>
      <c r="G168">
        <v>2</v>
      </c>
      <c r="H168">
        <f>IFERROR(
 --(INDEX('PW_CMI GRADE 10'!$H$7:$H$31,MATCH(LEFT($A168,LEN($A168)-2),'PW_CMI GRADE 10'!$B$7:$B$31,0))="P")+
 --(INDEX('PW_CMI GRADE 10'!$N$7:$N$31,MATCH(LEFT($A168,LEN($A168)-2),'PW_CMI GRADE 10'!$B$7:$B$31,0))="P")+
 --(INDEX('PW_CMI GRADE 10'!$T$7:$T$31,MATCH(LEFT($A168,LEN($A168)-2),'PW_CMI GRADE 10'!$B$7:$B$31,0))="P")+
 --(INDEX('PW_CMI GRADE 10'!$Z$7:$Z$31,MATCH(LEFT($A168,LEN($A168)-2),'PW_CMI GRADE 10'!$B$7:$B$31,0))="P")+
 --(INDEX('PW_CMI GRADE 10'!$AF$7:$AF$31,MATCH(LEFT($A168,LEN($A168)-2),'PW_CMI GRADE 10'!$B$7:$B$31,0))="P")+
 --(INDEX('PW_CMI GRADE 10'!$AL$7:$AL$31,MATCH(LEFT($A168,LEN($A168)-2),'PW_CMI GRADE 10'!$B$7:$B$31,0))="P")+
 --(INDEX('PW_CMI GRADE 10'!$AR$7:$AR$31,MATCH(LEFT($A168,LEN($A168)-2),'PW_CMI GRADE 10'!$B$7:$B$31,0))="P"),
0)</f>
        <v>0</v>
      </c>
      <c r="I168" s="24" t="b">
        <f ca="1">IF(IF(_xlfn.XLOOKUP(LEFT($A168,LEN($A168)-2),'PW_CMI GRADE 10'!$B$7:$B$31,'PW_CMI GRADE 10'!$AU$7:$AU$31,"",0,1)=0,"",_xlfn.XLOOKUP(LEFT($A168,LEN($A168)-2),'PW_CMI GRADE 10'!$B$7:$B$31,'PW_CMI GRADE 10'!$AU$7:$AU$31,"",0,1))&lt;=TODAY(),TRUE,FALSE)</f>
        <v>0</v>
      </c>
      <c r="J168" s="25" t="str">
        <f t="shared" ca="1" si="8"/>
        <v/>
      </c>
    </row>
    <row r="169" spans="1:10">
      <c r="A169" s="24" t="s">
        <v>374</v>
      </c>
      <c r="B169">
        <v>2</v>
      </c>
      <c r="C169">
        <f>IFERROR(
 --(INDEX('TH_CMI GRADE 10'!$H$7:$H$49,MATCH(LEFT($A169,LEN($A169)-2),'TH_CMI GRADE 10'!$B$7:$B$49,0))="P")+
 --(INDEX('TH_CMI GRADE 10'!$N$7:$N$49,MATCH(LEFT($A169,LEN($A169)-2),'TH_CMI GRADE 10'!$B$7:$B$49,0))="P")+
 --(INDEX('TH_CMI GRADE 10'!$T$7:$T$49,MATCH(LEFT($A169,LEN($A169)-2),'TH_CMI GRADE 10'!$B$7:$B$49,0))="P")+
 --(INDEX('TH_CMI GRADE 10'!$Z$7:$Z$49,MATCH(LEFT($A169,LEN($A169)-2),'TH_CMI GRADE 10'!$B$7:$B$49,0))="P")+
 --(INDEX('TH_CMI GRADE 10'!$AF$7:$AF$49,MATCH(LEFT($A169,LEN($A169)-2),'TH_CMI GRADE 10'!$B$7:$B$49,0))="P")+
 --(INDEX('TH_CMI GRADE 10'!$AL$7:$AL$49,MATCH(LEFT($A169,LEN($A169)-2),'TH_CMI GRADE 10'!$B$7:$B$49,0))="P")+
 --(INDEX('TH_CMI GRADE 10'!$AR$7:$AR$49,MATCH(LEFT($A169,LEN($A169)-2),'TH_CMI GRADE 10'!$B$7:$B$49,0))="P"),
0)</f>
        <v>0</v>
      </c>
      <c r="D169" s="24" t="b">
        <f ca="1">IF(IF(_xlfn.XLOOKUP(LEFT(A169,LEN(A169)-2),'TH_CMI GRADE 10'!$B$7:$B$49,'TH_CMI GRADE 10'!$AU$7:$AU$49,"",0,1)=0,"",_xlfn.XLOOKUP(LEFT(A169,LEN(A169)-2),'TH_CMI GRADE 10'!$B$7:$B$49,'TH_CMI GRADE 10'!$AU$7:$AU$49,"",0,1))&lt;=TODAY(),TRUE,FALSE)</f>
        <v>0</v>
      </c>
      <c r="E169" s="25" t="str">
        <f t="shared" ca="1" si="7"/>
        <v/>
      </c>
      <c r="F169" s="24" t="s">
        <v>327</v>
      </c>
      <c r="G169">
        <v>2</v>
      </c>
      <c r="H169">
        <f>IFERROR(
 --(INDEX('PW_CMI GRADE 10'!$H$7:$H$31,MATCH(LEFT($A169,LEN($A169)-2),'PW_CMI GRADE 10'!$B$7:$B$31,0))="P")+
 --(INDEX('PW_CMI GRADE 10'!$N$7:$N$31,MATCH(LEFT($A169,LEN($A169)-2),'PW_CMI GRADE 10'!$B$7:$B$31,0))="P")+
 --(INDEX('PW_CMI GRADE 10'!$T$7:$T$31,MATCH(LEFT($A169,LEN($A169)-2),'PW_CMI GRADE 10'!$B$7:$B$31,0))="P")+
 --(INDEX('PW_CMI GRADE 10'!$Z$7:$Z$31,MATCH(LEFT($A169,LEN($A169)-2),'PW_CMI GRADE 10'!$B$7:$B$31,0))="P")+
 --(INDEX('PW_CMI GRADE 10'!$AF$7:$AF$31,MATCH(LEFT($A169,LEN($A169)-2),'PW_CMI GRADE 10'!$B$7:$B$31,0))="P")+
 --(INDEX('PW_CMI GRADE 10'!$AL$7:$AL$31,MATCH(LEFT($A169,LEN($A169)-2),'PW_CMI GRADE 10'!$B$7:$B$31,0))="P")+
 --(INDEX('PW_CMI GRADE 10'!$AR$7:$AR$31,MATCH(LEFT($A169,LEN($A169)-2),'PW_CMI GRADE 10'!$B$7:$B$31,0))="P"),
0)</f>
        <v>0</v>
      </c>
      <c r="I169" s="24" t="b">
        <f ca="1">IF(IF(_xlfn.XLOOKUP(LEFT($A169,LEN($A169)-2),'PW_CMI GRADE 10'!$B$7:$B$31,'PW_CMI GRADE 10'!$AU$7:$AU$31,"",0,1)=0,"",_xlfn.XLOOKUP(LEFT($A169,LEN($A169)-2),'PW_CMI GRADE 10'!$B$7:$B$31,'PW_CMI GRADE 10'!$AU$7:$AU$31,"",0,1))&lt;=TODAY(),TRUE,FALSE)</f>
        <v>0</v>
      </c>
      <c r="J169" s="25" t="str">
        <f t="shared" ca="1" si="8"/>
        <v/>
      </c>
    </row>
    <row r="170" spans="1:10">
      <c r="A170" s="24" t="s">
        <v>375</v>
      </c>
      <c r="B170">
        <v>2</v>
      </c>
      <c r="C170">
        <f>IFERROR(
 --(INDEX('TH_CMI GRADE 10'!$H$7:$H$49,MATCH(LEFT($A170,LEN($A170)-2),'TH_CMI GRADE 10'!$B$7:$B$49,0))="P")+
 --(INDEX('TH_CMI GRADE 10'!$N$7:$N$49,MATCH(LEFT($A170,LEN($A170)-2),'TH_CMI GRADE 10'!$B$7:$B$49,0))="P")+
 --(INDEX('TH_CMI GRADE 10'!$T$7:$T$49,MATCH(LEFT($A170,LEN($A170)-2),'TH_CMI GRADE 10'!$B$7:$B$49,0))="P")+
 --(INDEX('TH_CMI GRADE 10'!$Z$7:$Z$49,MATCH(LEFT($A170,LEN($A170)-2),'TH_CMI GRADE 10'!$B$7:$B$49,0))="P")+
 --(INDEX('TH_CMI GRADE 10'!$AF$7:$AF$49,MATCH(LEFT($A170,LEN($A170)-2),'TH_CMI GRADE 10'!$B$7:$B$49,0))="P")+
 --(INDEX('TH_CMI GRADE 10'!$AL$7:$AL$49,MATCH(LEFT($A170,LEN($A170)-2),'TH_CMI GRADE 10'!$B$7:$B$49,0))="P")+
 --(INDEX('TH_CMI GRADE 10'!$AR$7:$AR$49,MATCH(LEFT($A170,LEN($A170)-2),'TH_CMI GRADE 10'!$B$7:$B$49,0))="P"),
0)</f>
        <v>0</v>
      </c>
      <c r="D170" s="24" t="b">
        <f ca="1">IF(IF(_xlfn.XLOOKUP(LEFT(A170,LEN(A170)-2),'TH_CMI GRADE 10'!$B$7:$B$49,'TH_CMI GRADE 10'!$AU$7:$AU$49,"",0,1)=0,"",_xlfn.XLOOKUP(LEFT(A170,LEN(A170)-2),'TH_CMI GRADE 10'!$B$7:$B$49,'TH_CMI GRADE 10'!$AU$7:$AU$49,"",0,1))&lt;=TODAY(),TRUE,FALSE)</f>
        <v>0</v>
      </c>
      <c r="E170" s="25" t="str">
        <f t="shared" ca="1" si="7"/>
        <v/>
      </c>
      <c r="F170" s="24" t="s">
        <v>328</v>
      </c>
      <c r="G170">
        <v>2</v>
      </c>
      <c r="H170">
        <f>IFERROR(
 --(INDEX('PW_CMI GRADE 10'!$H$7:$H$31,MATCH(LEFT($A170,LEN($A170)-2),'PW_CMI GRADE 10'!$B$7:$B$31,0))="P")+
 --(INDEX('PW_CMI GRADE 10'!$N$7:$N$31,MATCH(LEFT($A170,LEN($A170)-2),'PW_CMI GRADE 10'!$B$7:$B$31,0))="P")+
 --(INDEX('PW_CMI GRADE 10'!$T$7:$T$31,MATCH(LEFT($A170,LEN($A170)-2),'PW_CMI GRADE 10'!$B$7:$B$31,0))="P")+
 --(INDEX('PW_CMI GRADE 10'!$Z$7:$Z$31,MATCH(LEFT($A170,LEN($A170)-2),'PW_CMI GRADE 10'!$B$7:$B$31,0))="P")+
 --(INDEX('PW_CMI GRADE 10'!$AF$7:$AF$31,MATCH(LEFT($A170,LEN($A170)-2),'PW_CMI GRADE 10'!$B$7:$B$31,0))="P")+
 --(INDEX('PW_CMI GRADE 10'!$AL$7:$AL$31,MATCH(LEFT($A170,LEN($A170)-2),'PW_CMI GRADE 10'!$B$7:$B$31,0))="P")+
 --(INDEX('PW_CMI GRADE 10'!$AR$7:$AR$31,MATCH(LEFT($A170,LEN($A170)-2),'PW_CMI GRADE 10'!$B$7:$B$31,0))="P"),
0)</f>
        <v>0</v>
      </c>
      <c r="I170" s="24" t="b">
        <f ca="1">IF(IF(_xlfn.XLOOKUP(LEFT($A170,LEN($A170)-2),'PW_CMI GRADE 10'!$B$7:$B$31,'PW_CMI GRADE 10'!$AU$7:$AU$31,"",0,1)=0,"",_xlfn.XLOOKUP(LEFT($A170,LEN($A170)-2),'PW_CMI GRADE 10'!$B$7:$B$31,'PW_CMI GRADE 10'!$AU$7:$AU$31,"",0,1))&lt;=TODAY(),TRUE,FALSE)</f>
        <v>0</v>
      </c>
      <c r="J170" s="25" t="str">
        <f t="shared" ca="1" si="8"/>
        <v/>
      </c>
    </row>
    <row r="171" spans="1:10">
      <c r="A171" s="24" t="s">
        <v>376</v>
      </c>
      <c r="B171">
        <v>2</v>
      </c>
      <c r="C171">
        <f>IFERROR(
 --(INDEX('TH_CMI GRADE 10'!$H$7:$H$49,MATCH(LEFT($A171,LEN($A171)-2),'TH_CMI GRADE 10'!$B$7:$B$49,0))="P")+
 --(INDEX('TH_CMI GRADE 10'!$N$7:$N$49,MATCH(LEFT($A171,LEN($A171)-2),'TH_CMI GRADE 10'!$B$7:$B$49,0))="P")+
 --(INDEX('TH_CMI GRADE 10'!$T$7:$T$49,MATCH(LEFT($A171,LEN($A171)-2),'TH_CMI GRADE 10'!$B$7:$B$49,0))="P")+
 --(INDEX('TH_CMI GRADE 10'!$Z$7:$Z$49,MATCH(LEFT($A171,LEN($A171)-2),'TH_CMI GRADE 10'!$B$7:$B$49,0))="P")+
 --(INDEX('TH_CMI GRADE 10'!$AF$7:$AF$49,MATCH(LEFT($A171,LEN($A171)-2),'TH_CMI GRADE 10'!$B$7:$B$49,0))="P")+
 --(INDEX('TH_CMI GRADE 10'!$AL$7:$AL$49,MATCH(LEFT($A171,LEN($A171)-2),'TH_CMI GRADE 10'!$B$7:$B$49,0))="P")+
 --(INDEX('TH_CMI GRADE 10'!$AR$7:$AR$49,MATCH(LEFT($A171,LEN($A171)-2),'TH_CMI GRADE 10'!$B$7:$B$49,0))="P"),
0)</f>
        <v>0</v>
      </c>
      <c r="D171" s="24" t="b">
        <f ca="1">IF(IF(_xlfn.XLOOKUP(LEFT(A171,LEN(A171)-2),'TH_CMI GRADE 10'!$B$7:$B$49,'TH_CMI GRADE 10'!$AU$7:$AU$49,"",0,1)=0,"",_xlfn.XLOOKUP(LEFT(A171,LEN(A171)-2),'TH_CMI GRADE 10'!$B$7:$B$49,'TH_CMI GRADE 10'!$AU$7:$AU$49,"",0,1))&lt;=TODAY(),TRUE,FALSE)</f>
        <v>0</v>
      </c>
      <c r="E171" s="25" t="str">
        <f t="shared" ca="1" si="7"/>
        <v/>
      </c>
      <c r="F171" s="24" t="s">
        <v>329</v>
      </c>
      <c r="G171">
        <v>2</v>
      </c>
      <c r="H171">
        <f>IFERROR(
 --(INDEX('PW_CMI GRADE 10'!$H$7:$H$31,MATCH(LEFT($A171,LEN($A171)-2),'PW_CMI GRADE 10'!$B$7:$B$31,0))="P")+
 --(INDEX('PW_CMI GRADE 10'!$N$7:$N$31,MATCH(LEFT($A171,LEN($A171)-2),'PW_CMI GRADE 10'!$B$7:$B$31,0))="P")+
 --(INDEX('PW_CMI GRADE 10'!$T$7:$T$31,MATCH(LEFT($A171,LEN($A171)-2),'PW_CMI GRADE 10'!$B$7:$B$31,0))="P")+
 --(INDEX('PW_CMI GRADE 10'!$Z$7:$Z$31,MATCH(LEFT($A171,LEN($A171)-2),'PW_CMI GRADE 10'!$B$7:$B$31,0))="P")+
 --(INDEX('PW_CMI GRADE 10'!$AF$7:$AF$31,MATCH(LEFT($A171,LEN($A171)-2),'PW_CMI GRADE 10'!$B$7:$B$31,0))="P")+
 --(INDEX('PW_CMI GRADE 10'!$AL$7:$AL$31,MATCH(LEFT($A171,LEN($A171)-2),'PW_CMI GRADE 10'!$B$7:$B$31,0))="P")+
 --(INDEX('PW_CMI GRADE 10'!$AR$7:$AR$31,MATCH(LEFT($A171,LEN($A171)-2),'PW_CMI GRADE 10'!$B$7:$B$31,0))="P"),
0)</f>
        <v>0</v>
      </c>
      <c r="I171" s="24" t="b">
        <f ca="1">IF(IF(_xlfn.XLOOKUP(LEFT($A171,LEN($A171)-2),'PW_CMI GRADE 10'!$B$7:$B$31,'PW_CMI GRADE 10'!$AU$7:$AU$31,"",0,1)=0,"",_xlfn.XLOOKUP(LEFT($A171,LEN($A171)-2),'PW_CMI GRADE 10'!$B$7:$B$31,'PW_CMI GRADE 10'!$AU$7:$AU$31,"",0,1))&lt;=TODAY(),TRUE,FALSE)</f>
        <v>0</v>
      </c>
      <c r="J171" s="25" t="str">
        <f t="shared" ca="1" si="8"/>
        <v/>
      </c>
    </row>
    <row r="172" spans="1:10">
      <c r="A172" s="24" t="s">
        <v>377</v>
      </c>
      <c r="B172">
        <v>2</v>
      </c>
      <c r="C172">
        <f>IFERROR(
 --(INDEX('TH_CMI GRADE 10'!$H$7:$H$49,MATCH(LEFT($A172,LEN($A172)-2),'TH_CMI GRADE 10'!$B$7:$B$49,0))="P")+
 --(INDEX('TH_CMI GRADE 10'!$N$7:$N$49,MATCH(LEFT($A172,LEN($A172)-2),'TH_CMI GRADE 10'!$B$7:$B$49,0))="P")+
 --(INDEX('TH_CMI GRADE 10'!$T$7:$T$49,MATCH(LEFT($A172,LEN($A172)-2),'TH_CMI GRADE 10'!$B$7:$B$49,0))="P")+
 --(INDEX('TH_CMI GRADE 10'!$Z$7:$Z$49,MATCH(LEFT($A172,LEN($A172)-2),'TH_CMI GRADE 10'!$B$7:$B$49,0))="P")+
 --(INDEX('TH_CMI GRADE 10'!$AF$7:$AF$49,MATCH(LEFT($A172,LEN($A172)-2),'TH_CMI GRADE 10'!$B$7:$B$49,0))="P")+
 --(INDEX('TH_CMI GRADE 10'!$AL$7:$AL$49,MATCH(LEFT($A172,LEN($A172)-2),'TH_CMI GRADE 10'!$B$7:$B$49,0))="P")+
 --(INDEX('TH_CMI GRADE 10'!$AR$7:$AR$49,MATCH(LEFT($A172,LEN($A172)-2),'TH_CMI GRADE 10'!$B$7:$B$49,0))="P"),
0)</f>
        <v>0</v>
      </c>
      <c r="D172" s="24" t="b">
        <f ca="1">IF(IF(_xlfn.XLOOKUP(LEFT(A172,LEN(A172)-2),'TH_CMI GRADE 10'!$B$7:$B$49,'TH_CMI GRADE 10'!$AU$7:$AU$49,"",0,1)=0,"",_xlfn.XLOOKUP(LEFT(A172,LEN(A172)-2),'TH_CMI GRADE 10'!$B$7:$B$49,'TH_CMI GRADE 10'!$AU$7:$AU$49,"",0,1))&lt;=TODAY(),TRUE,FALSE)</f>
        <v>0</v>
      </c>
      <c r="E172" s="25" t="str">
        <f t="shared" ca="1" si="7"/>
        <v/>
      </c>
      <c r="F172" s="24" t="s">
        <v>330</v>
      </c>
      <c r="G172">
        <v>2</v>
      </c>
      <c r="H172">
        <f>IFERROR(
 --(INDEX('PW_CMI GRADE 10'!$H$7:$H$31,MATCH(LEFT($A172,LEN($A172)-2),'PW_CMI GRADE 10'!$B$7:$B$31,0))="P")+
 --(INDEX('PW_CMI GRADE 10'!$N$7:$N$31,MATCH(LEFT($A172,LEN($A172)-2),'PW_CMI GRADE 10'!$B$7:$B$31,0))="P")+
 --(INDEX('PW_CMI GRADE 10'!$T$7:$T$31,MATCH(LEFT($A172,LEN($A172)-2),'PW_CMI GRADE 10'!$B$7:$B$31,0))="P")+
 --(INDEX('PW_CMI GRADE 10'!$Z$7:$Z$31,MATCH(LEFT($A172,LEN($A172)-2),'PW_CMI GRADE 10'!$B$7:$B$31,0))="P")+
 --(INDEX('PW_CMI GRADE 10'!$AF$7:$AF$31,MATCH(LEFT($A172,LEN($A172)-2),'PW_CMI GRADE 10'!$B$7:$B$31,0))="P")+
 --(INDEX('PW_CMI GRADE 10'!$AL$7:$AL$31,MATCH(LEFT($A172,LEN($A172)-2),'PW_CMI GRADE 10'!$B$7:$B$31,0))="P")+
 --(INDEX('PW_CMI GRADE 10'!$AR$7:$AR$31,MATCH(LEFT($A172,LEN($A172)-2),'PW_CMI GRADE 10'!$B$7:$B$31,0))="P"),
0)</f>
        <v>0</v>
      </c>
      <c r="I172" s="24" t="b">
        <f ca="1">IF(IF(_xlfn.XLOOKUP(LEFT($A172,LEN($A172)-2),'PW_CMI GRADE 10'!$B$7:$B$31,'PW_CMI GRADE 10'!$AU$7:$AU$31,"",0,1)=0,"",_xlfn.XLOOKUP(LEFT($A172,LEN($A172)-2),'PW_CMI GRADE 10'!$B$7:$B$31,'PW_CMI GRADE 10'!$AU$7:$AU$31,"",0,1))&lt;=TODAY(),TRUE,FALSE)</f>
        <v>0</v>
      </c>
      <c r="J172" s="25" t="str">
        <f t="shared" ca="1" si="8"/>
        <v/>
      </c>
    </row>
    <row r="173" spans="1:10">
      <c r="A173" s="24" t="s">
        <v>378</v>
      </c>
      <c r="B173">
        <v>2</v>
      </c>
      <c r="C173">
        <f>IFERROR(
 --(INDEX('TH_CMI GRADE 10'!$H$7:$H$49,MATCH(LEFT($A173,LEN($A173)-2),'TH_CMI GRADE 10'!$B$7:$B$49,0))="P")+
 --(INDEX('TH_CMI GRADE 10'!$N$7:$N$49,MATCH(LEFT($A173,LEN($A173)-2),'TH_CMI GRADE 10'!$B$7:$B$49,0))="P")+
 --(INDEX('TH_CMI GRADE 10'!$T$7:$T$49,MATCH(LEFT($A173,LEN($A173)-2),'TH_CMI GRADE 10'!$B$7:$B$49,0))="P")+
 --(INDEX('TH_CMI GRADE 10'!$Z$7:$Z$49,MATCH(LEFT($A173,LEN($A173)-2),'TH_CMI GRADE 10'!$B$7:$B$49,0))="P")+
 --(INDEX('TH_CMI GRADE 10'!$AF$7:$AF$49,MATCH(LEFT($A173,LEN($A173)-2),'TH_CMI GRADE 10'!$B$7:$B$49,0))="P")+
 --(INDEX('TH_CMI GRADE 10'!$AL$7:$AL$49,MATCH(LEFT($A173,LEN($A173)-2),'TH_CMI GRADE 10'!$B$7:$B$49,0))="P")+
 --(INDEX('TH_CMI GRADE 10'!$AR$7:$AR$49,MATCH(LEFT($A173,LEN($A173)-2),'TH_CMI GRADE 10'!$B$7:$B$49,0))="P"),
0)</f>
        <v>0</v>
      </c>
      <c r="D173" s="24" t="b">
        <f ca="1">IF(IF(_xlfn.XLOOKUP(LEFT(A173,LEN(A173)-2),'TH_CMI GRADE 10'!$B$7:$B$49,'TH_CMI GRADE 10'!$AU$7:$AU$49,"",0,1)=0,"",_xlfn.XLOOKUP(LEFT(A173,LEN(A173)-2),'TH_CMI GRADE 10'!$B$7:$B$49,'TH_CMI GRADE 10'!$AU$7:$AU$49,"",0,1))&lt;=TODAY(),TRUE,FALSE)</f>
        <v>0</v>
      </c>
      <c r="E173" s="25" t="str">
        <f t="shared" ca="1" si="7"/>
        <v/>
      </c>
      <c r="F173" s="24" t="s">
        <v>331</v>
      </c>
      <c r="G173">
        <v>2</v>
      </c>
      <c r="H173">
        <f>IFERROR(
 --(INDEX('PW_CMI GRADE 10'!$H$7:$H$31,MATCH(LEFT($A173,LEN($A173)-2),'PW_CMI GRADE 10'!$B$7:$B$31,0))="P")+
 --(INDEX('PW_CMI GRADE 10'!$N$7:$N$31,MATCH(LEFT($A173,LEN($A173)-2),'PW_CMI GRADE 10'!$B$7:$B$31,0))="P")+
 --(INDEX('PW_CMI GRADE 10'!$T$7:$T$31,MATCH(LEFT($A173,LEN($A173)-2),'PW_CMI GRADE 10'!$B$7:$B$31,0))="P")+
 --(INDEX('PW_CMI GRADE 10'!$Z$7:$Z$31,MATCH(LEFT($A173,LEN($A173)-2),'PW_CMI GRADE 10'!$B$7:$B$31,0))="P")+
 --(INDEX('PW_CMI GRADE 10'!$AF$7:$AF$31,MATCH(LEFT($A173,LEN($A173)-2),'PW_CMI GRADE 10'!$B$7:$B$31,0))="P")+
 --(INDEX('PW_CMI GRADE 10'!$AL$7:$AL$31,MATCH(LEFT($A173,LEN($A173)-2),'PW_CMI GRADE 10'!$B$7:$B$31,0))="P")+
 --(INDEX('PW_CMI GRADE 10'!$AR$7:$AR$31,MATCH(LEFT($A173,LEN($A173)-2),'PW_CMI GRADE 10'!$B$7:$B$31,0))="P"),
0)</f>
        <v>0</v>
      </c>
      <c r="I173" s="24" t="b">
        <f ca="1">IF(IF(_xlfn.XLOOKUP(LEFT($A173,LEN($A173)-2),'PW_CMI GRADE 10'!$B$7:$B$31,'PW_CMI GRADE 10'!$AU$7:$AU$31,"",0,1)=0,"",_xlfn.XLOOKUP(LEFT($A173,LEN($A173)-2),'PW_CMI GRADE 10'!$B$7:$B$31,'PW_CMI GRADE 10'!$AU$7:$AU$31,"",0,1))&lt;=TODAY(),TRUE,FALSE)</f>
        <v>0</v>
      </c>
      <c r="J173" s="25" t="str">
        <f t="shared" ca="1" si="8"/>
        <v/>
      </c>
    </row>
    <row r="174" spans="1:10">
      <c r="A174" s="24" t="s">
        <v>379</v>
      </c>
      <c r="B174">
        <v>2</v>
      </c>
      <c r="C174">
        <f>IFERROR(
 --(INDEX('TH_CMI GRADE 10'!$H$7:$H$49,MATCH(LEFT($A174,LEN($A174)-2),'TH_CMI GRADE 10'!$B$7:$B$49,0))="P")+
 --(INDEX('TH_CMI GRADE 10'!$N$7:$N$49,MATCH(LEFT($A174,LEN($A174)-2),'TH_CMI GRADE 10'!$B$7:$B$49,0))="P")+
 --(INDEX('TH_CMI GRADE 10'!$T$7:$T$49,MATCH(LEFT($A174,LEN($A174)-2),'TH_CMI GRADE 10'!$B$7:$B$49,0))="P")+
 --(INDEX('TH_CMI GRADE 10'!$Z$7:$Z$49,MATCH(LEFT($A174,LEN($A174)-2),'TH_CMI GRADE 10'!$B$7:$B$49,0))="P")+
 --(INDEX('TH_CMI GRADE 10'!$AF$7:$AF$49,MATCH(LEFT($A174,LEN($A174)-2),'TH_CMI GRADE 10'!$B$7:$B$49,0))="P")+
 --(INDEX('TH_CMI GRADE 10'!$AL$7:$AL$49,MATCH(LEFT($A174,LEN($A174)-2),'TH_CMI GRADE 10'!$B$7:$B$49,0))="P")+
 --(INDEX('TH_CMI GRADE 10'!$AR$7:$AR$49,MATCH(LEFT($A174,LEN($A174)-2),'TH_CMI GRADE 10'!$B$7:$B$49,0))="P"),
0)</f>
        <v>0</v>
      </c>
      <c r="D174" s="24" t="b">
        <f ca="1">IF(IF(_xlfn.XLOOKUP(LEFT(A174,LEN(A174)-2),'TH_CMI GRADE 10'!$B$7:$B$49,'TH_CMI GRADE 10'!$AU$7:$AU$49,"",0,1)=0,"",_xlfn.XLOOKUP(LEFT(A174,LEN(A174)-2),'TH_CMI GRADE 10'!$B$7:$B$49,'TH_CMI GRADE 10'!$AU$7:$AU$49,"",0,1))&lt;=TODAY(),TRUE,FALSE)</f>
        <v>0</v>
      </c>
      <c r="E174" s="25" t="str">
        <f t="shared" ca="1" si="7"/>
        <v/>
      </c>
      <c r="F174" s="24" t="s">
        <v>332</v>
      </c>
      <c r="G174">
        <v>2</v>
      </c>
      <c r="H174">
        <f>IFERROR(
 --(INDEX('PW_CMI GRADE 10'!$H$7:$H$31,MATCH(LEFT($A174,LEN($A174)-2),'PW_CMI GRADE 10'!$B$7:$B$31,0))="P")+
 --(INDEX('PW_CMI GRADE 10'!$N$7:$N$31,MATCH(LEFT($A174,LEN($A174)-2),'PW_CMI GRADE 10'!$B$7:$B$31,0))="P")+
 --(INDEX('PW_CMI GRADE 10'!$T$7:$T$31,MATCH(LEFT($A174,LEN($A174)-2),'PW_CMI GRADE 10'!$B$7:$B$31,0))="P")+
 --(INDEX('PW_CMI GRADE 10'!$Z$7:$Z$31,MATCH(LEFT($A174,LEN($A174)-2),'PW_CMI GRADE 10'!$B$7:$B$31,0))="P")+
 --(INDEX('PW_CMI GRADE 10'!$AF$7:$AF$31,MATCH(LEFT($A174,LEN($A174)-2),'PW_CMI GRADE 10'!$B$7:$B$31,0))="P")+
 --(INDEX('PW_CMI GRADE 10'!$AL$7:$AL$31,MATCH(LEFT($A174,LEN($A174)-2),'PW_CMI GRADE 10'!$B$7:$B$31,0))="P")+
 --(INDEX('PW_CMI GRADE 10'!$AR$7:$AR$31,MATCH(LEFT($A174,LEN($A174)-2),'PW_CMI GRADE 10'!$B$7:$B$31,0))="P"),
0)</f>
        <v>0</v>
      </c>
      <c r="I174" s="24" t="b">
        <f ca="1">IF(IF(_xlfn.XLOOKUP(LEFT($A174,LEN($A174)-2),'PW_CMI GRADE 10'!$B$7:$B$31,'PW_CMI GRADE 10'!$AU$7:$AU$31,"",0,1)=0,"",_xlfn.XLOOKUP(LEFT($A174,LEN($A174)-2),'PW_CMI GRADE 10'!$B$7:$B$31,'PW_CMI GRADE 10'!$AU$7:$AU$31,"",0,1))&lt;=TODAY(),TRUE,FALSE)</f>
        <v>0</v>
      </c>
      <c r="J174" s="25" t="str">
        <f t="shared" ca="1" si="8"/>
        <v/>
      </c>
    </row>
    <row r="175" spans="1:10">
      <c r="A175" s="24" t="s">
        <v>380</v>
      </c>
      <c r="B175">
        <v>2</v>
      </c>
      <c r="C175">
        <f>IFERROR(
 --(INDEX('TH_CMI GRADE 10'!$H$7:$H$49,MATCH(LEFT($A175,LEN($A175)-2),'TH_CMI GRADE 10'!$B$7:$B$49,0))="P")+
 --(INDEX('TH_CMI GRADE 10'!$N$7:$N$49,MATCH(LEFT($A175,LEN($A175)-2),'TH_CMI GRADE 10'!$B$7:$B$49,0))="P")+
 --(INDEX('TH_CMI GRADE 10'!$T$7:$T$49,MATCH(LEFT($A175,LEN($A175)-2),'TH_CMI GRADE 10'!$B$7:$B$49,0))="P")+
 --(INDEX('TH_CMI GRADE 10'!$Z$7:$Z$49,MATCH(LEFT($A175,LEN($A175)-2),'TH_CMI GRADE 10'!$B$7:$B$49,0))="P")+
 --(INDEX('TH_CMI GRADE 10'!$AF$7:$AF$49,MATCH(LEFT($A175,LEN($A175)-2),'TH_CMI GRADE 10'!$B$7:$B$49,0))="P")+
 --(INDEX('TH_CMI GRADE 10'!$AL$7:$AL$49,MATCH(LEFT($A175,LEN($A175)-2),'TH_CMI GRADE 10'!$B$7:$B$49,0))="P")+
 --(INDEX('TH_CMI GRADE 10'!$AR$7:$AR$49,MATCH(LEFT($A175,LEN($A175)-2),'TH_CMI GRADE 10'!$B$7:$B$49,0))="P"),
0)</f>
        <v>0</v>
      </c>
      <c r="D175" s="24" t="b">
        <f ca="1">IF(IF(_xlfn.XLOOKUP(LEFT(A175,LEN(A175)-2),'TH_CMI GRADE 10'!$B$7:$B$49,'TH_CMI GRADE 10'!$AU$7:$AU$49,"",0,1)=0,"",_xlfn.XLOOKUP(LEFT(A175,LEN(A175)-2),'TH_CMI GRADE 10'!$B$7:$B$49,'TH_CMI GRADE 10'!$AU$7:$AU$49,"",0,1))&lt;=TODAY(),TRUE,FALSE)</f>
        <v>0</v>
      </c>
      <c r="E175" s="25" t="str">
        <f t="shared" ca="1" si="7"/>
        <v/>
      </c>
      <c r="F175" s="24" t="s">
        <v>333</v>
      </c>
      <c r="G175">
        <v>2</v>
      </c>
      <c r="H175">
        <f>IFERROR(
 --(INDEX('PW_CMI GRADE 10'!$H$7:$H$31,MATCH(LEFT($A175,LEN($A175)-2),'PW_CMI GRADE 10'!$B$7:$B$31,0))="P")+
 --(INDEX('PW_CMI GRADE 10'!$N$7:$N$31,MATCH(LEFT($A175,LEN($A175)-2),'PW_CMI GRADE 10'!$B$7:$B$31,0))="P")+
 --(INDEX('PW_CMI GRADE 10'!$T$7:$T$31,MATCH(LEFT($A175,LEN($A175)-2),'PW_CMI GRADE 10'!$B$7:$B$31,0))="P")+
 --(INDEX('PW_CMI GRADE 10'!$Z$7:$Z$31,MATCH(LEFT($A175,LEN($A175)-2),'PW_CMI GRADE 10'!$B$7:$B$31,0))="P")+
 --(INDEX('PW_CMI GRADE 10'!$AF$7:$AF$31,MATCH(LEFT($A175,LEN($A175)-2),'PW_CMI GRADE 10'!$B$7:$B$31,0))="P")+
 --(INDEX('PW_CMI GRADE 10'!$AL$7:$AL$31,MATCH(LEFT($A175,LEN($A175)-2),'PW_CMI GRADE 10'!$B$7:$B$31,0))="P")+
 --(INDEX('PW_CMI GRADE 10'!$AR$7:$AR$31,MATCH(LEFT($A175,LEN($A175)-2),'PW_CMI GRADE 10'!$B$7:$B$31,0))="P"),
0)</f>
        <v>0</v>
      </c>
      <c r="I175" s="24" t="b">
        <f ca="1">IF(IF(_xlfn.XLOOKUP(LEFT($A175,LEN($A175)-2),'PW_CMI GRADE 10'!$B$7:$B$31,'PW_CMI GRADE 10'!$AU$7:$AU$31,"",0,1)=0,"",_xlfn.XLOOKUP(LEFT($A175,LEN($A175)-2),'PW_CMI GRADE 10'!$B$7:$B$31,'PW_CMI GRADE 10'!$AU$7:$AU$31,"",0,1))&lt;=TODAY(),TRUE,FALSE)</f>
        <v>0</v>
      </c>
      <c r="J175" s="25" t="str">
        <f t="shared" ca="1" si="8"/>
        <v/>
      </c>
    </row>
    <row r="176" spans="1:10">
      <c r="A176" s="24" t="s">
        <v>381</v>
      </c>
      <c r="B176">
        <v>2</v>
      </c>
      <c r="C176">
        <f>IFERROR(
 --(INDEX('TH_CMI GRADE 10'!$H$7:$H$49,MATCH(LEFT($A176,LEN($A176)-2),'TH_CMI GRADE 10'!$B$7:$B$49,0))="P")+
 --(INDEX('TH_CMI GRADE 10'!$N$7:$N$49,MATCH(LEFT($A176,LEN($A176)-2),'TH_CMI GRADE 10'!$B$7:$B$49,0))="P")+
 --(INDEX('TH_CMI GRADE 10'!$T$7:$T$49,MATCH(LEFT($A176,LEN($A176)-2),'TH_CMI GRADE 10'!$B$7:$B$49,0))="P")+
 --(INDEX('TH_CMI GRADE 10'!$Z$7:$Z$49,MATCH(LEFT($A176,LEN($A176)-2),'TH_CMI GRADE 10'!$B$7:$B$49,0))="P")+
 --(INDEX('TH_CMI GRADE 10'!$AF$7:$AF$49,MATCH(LEFT($A176,LEN($A176)-2),'TH_CMI GRADE 10'!$B$7:$B$49,0))="P")+
 --(INDEX('TH_CMI GRADE 10'!$AL$7:$AL$49,MATCH(LEFT($A176,LEN($A176)-2),'TH_CMI GRADE 10'!$B$7:$B$49,0))="P")+
 --(INDEX('TH_CMI GRADE 10'!$AR$7:$AR$49,MATCH(LEFT($A176,LEN($A176)-2),'TH_CMI GRADE 10'!$B$7:$B$49,0))="P"),
0)</f>
        <v>0</v>
      </c>
      <c r="D176" s="24" t="b">
        <f ca="1">IF(IF(_xlfn.XLOOKUP(LEFT(A176,LEN(A176)-2),'TH_CMI GRADE 10'!$B$7:$B$49,'TH_CMI GRADE 10'!$AU$7:$AU$49,"",0,1)=0,"",_xlfn.XLOOKUP(LEFT(A176,LEN(A176)-2),'TH_CMI GRADE 10'!$B$7:$B$49,'TH_CMI GRADE 10'!$AU$7:$AU$49,"",0,1))&lt;=TODAY(),TRUE,FALSE)</f>
        <v>0</v>
      </c>
      <c r="E176" s="25" t="str">
        <f t="shared" ca="1" si="7"/>
        <v/>
      </c>
      <c r="F176" s="24" t="s">
        <v>334</v>
      </c>
      <c r="G176">
        <v>2</v>
      </c>
      <c r="H176">
        <f>IFERROR(
 --(INDEX('PW_CMI GRADE 10'!$H$7:$H$31,MATCH(LEFT($A176,LEN($A176)-2),'PW_CMI GRADE 10'!$B$7:$B$31,0))="P")+
 --(INDEX('PW_CMI GRADE 10'!$N$7:$N$31,MATCH(LEFT($A176,LEN($A176)-2),'PW_CMI GRADE 10'!$B$7:$B$31,0))="P")+
 --(INDEX('PW_CMI GRADE 10'!$T$7:$T$31,MATCH(LEFT($A176,LEN($A176)-2),'PW_CMI GRADE 10'!$B$7:$B$31,0))="P")+
 --(INDEX('PW_CMI GRADE 10'!$Z$7:$Z$31,MATCH(LEFT($A176,LEN($A176)-2),'PW_CMI GRADE 10'!$B$7:$B$31,0))="P")+
 --(INDEX('PW_CMI GRADE 10'!$AF$7:$AF$31,MATCH(LEFT($A176,LEN($A176)-2),'PW_CMI GRADE 10'!$B$7:$B$31,0))="P")+
 --(INDEX('PW_CMI GRADE 10'!$AL$7:$AL$31,MATCH(LEFT($A176,LEN($A176)-2),'PW_CMI GRADE 10'!$B$7:$B$31,0))="P")+
 --(INDEX('PW_CMI GRADE 10'!$AR$7:$AR$31,MATCH(LEFT($A176,LEN($A176)-2),'PW_CMI GRADE 10'!$B$7:$B$31,0))="P"),
0)</f>
        <v>0</v>
      </c>
      <c r="I176" s="24" t="b">
        <f ca="1">IF(IF(_xlfn.XLOOKUP(LEFT($A176,LEN($A176)-2),'PW_CMI GRADE 10'!$B$7:$B$31,'PW_CMI GRADE 10'!$AU$7:$AU$31,"",0,1)=0,"",_xlfn.XLOOKUP(LEFT($A176,LEN($A176)-2),'PW_CMI GRADE 10'!$B$7:$B$31,'PW_CMI GRADE 10'!$AU$7:$AU$31,"",0,1))&lt;=TODAY(),TRUE,FALSE)</f>
        <v>0</v>
      </c>
      <c r="J176" s="25" t="str">
        <f t="shared" ca="1" si="8"/>
        <v/>
      </c>
    </row>
    <row r="177" spans="1:10">
      <c r="A177" s="24" t="s">
        <v>382</v>
      </c>
      <c r="B177">
        <v>2</v>
      </c>
      <c r="C177">
        <f>IFERROR(
 --(INDEX('TH_CMI GRADE 10'!$H$7:$H$49,MATCH(LEFT($A177,LEN($A177)-2),'TH_CMI GRADE 10'!$B$7:$B$49,0))="P")+
 --(INDEX('TH_CMI GRADE 10'!$N$7:$N$49,MATCH(LEFT($A177,LEN($A177)-2),'TH_CMI GRADE 10'!$B$7:$B$49,0))="P")+
 --(INDEX('TH_CMI GRADE 10'!$T$7:$T$49,MATCH(LEFT($A177,LEN($A177)-2),'TH_CMI GRADE 10'!$B$7:$B$49,0))="P")+
 --(INDEX('TH_CMI GRADE 10'!$Z$7:$Z$49,MATCH(LEFT($A177,LEN($A177)-2),'TH_CMI GRADE 10'!$B$7:$B$49,0))="P")+
 --(INDEX('TH_CMI GRADE 10'!$AF$7:$AF$49,MATCH(LEFT($A177,LEN($A177)-2),'TH_CMI GRADE 10'!$B$7:$B$49,0))="P")+
 --(INDEX('TH_CMI GRADE 10'!$AL$7:$AL$49,MATCH(LEFT($A177,LEN($A177)-2),'TH_CMI GRADE 10'!$B$7:$B$49,0))="P")+
 --(INDEX('TH_CMI GRADE 10'!$AR$7:$AR$49,MATCH(LEFT($A177,LEN($A177)-2),'TH_CMI GRADE 10'!$B$7:$B$49,0))="P"),
0)</f>
        <v>0</v>
      </c>
      <c r="D177" s="24" t="b">
        <f ca="1">IF(IF(_xlfn.XLOOKUP(LEFT(A177,LEN(A177)-2),'TH_CMI GRADE 10'!$B$7:$B$49,'TH_CMI GRADE 10'!$AU$7:$AU$49,"",0,1)=0,"",_xlfn.XLOOKUP(LEFT(A177,LEN(A177)-2),'TH_CMI GRADE 10'!$B$7:$B$49,'TH_CMI GRADE 10'!$AU$7:$AU$49,"",0,1))&lt;=TODAY(),TRUE,FALSE)</f>
        <v>0</v>
      </c>
      <c r="E177" s="25" t="str">
        <f t="shared" ca="1" si="7"/>
        <v/>
      </c>
      <c r="F177" s="24" t="s">
        <v>335</v>
      </c>
      <c r="G177">
        <v>2</v>
      </c>
      <c r="H177">
        <f>IFERROR(
 --(INDEX('PW_CMI GRADE 10'!$H$7:$H$31,MATCH(LEFT($A177,LEN($A177)-2),'PW_CMI GRADE 10'!$B$7:$B$31,0))="P")+
 --(INDEX('PW_CMI GRADE 10'!$N$7:$N$31,MATCH(LEFT($A177,LEN($A177)-2),'PW_CMI GRADE 10'!$B$7:$B$31,0))="P")+
 --(INDEX('PW_CMI GRADE 10'!$T$7:$T$31,MATCH(LEFT($A177,LEN($A177)-2),'PW_CMI GRADE 10'!$B$7:$B$31,0))="P")+
 --(INDEX('PW_CMI GRADE 10'!$Z$7:$Z$31,MATCH(LEFT($A177,LEN($A177)-2),'PW_CMI GRADE 10'!$B$7:$B$31,0))="P")+
 --(INDEX('PW_CMI GRADE 10'!$AF$7:$AF$31,MATCH(LEFT($A177,LEN($A177)-2),'PW_CMI GRADE 10'!$B$7:$B$31,0))="P")+
 --(INDEX('PW_CMI GRADE 10'!$AL$7:$AL$31,MATCH(LEFT($A177,LEN($A177)-2),'PW_CMI GRADE 10'!$B$7:$B$31,0))="P")+
 --(INDEX('PW_CMI GRADE 10'!$AR$7:$AR$31,MATCH(LEFT($A177,LEN($A177)-2),'PW_CMI GRADE 10'!$B$7:$B$31,0))="P"),
0)</f>
        <v>0</v>
      </c>
      <c r="I177" s="24" t="b">
        <f ca="1">IF(IF(_xlfn.XLOOKUP(LEFT($A177,LEN($A177)-2),'PW_CMI GRADE 10'!$B$7:$B$31,'PW_CMI GRADE 10'!$AU$7:$AU$31,"",0,1)=0,"",_xlfn.XLOOKUP(LEFT($A177,LEN($A177)-2),'PW_CMI GRADE 10'!$B$7:$B$31,'PW_CMI GRADE 10'!$AU$7:$AU$31,"",0,1))&lt;=TODAY(),TRUE,FALSE)</f>
        <v>0</v>
      </c>
      <c r="J177" s="25" t="str">
        <f t="shared" ca="1" si="8"/>
        <v/>
      </c>
    </row>
    <row r="178" spans="1:10">
      <c r="A178" s="24" t="s">
        <v>383</v>
      </c>
      <c r="B178">
        <v>2</v>
      </c>
      <c r="C178">
        <f>IFERROR(
 --(INDEX('TH_CMI GRADE 10'!$H$7:$H$49,MATCH(LEFT($A178,LEN($A178)-2),'TH_CMI GRADE 10'!$B$7:$B$49,0))="P")+
 --(INDEX('TH_CMI GRADE 10'!$N$7:$N$49,MATCH(LEFT($A178,LEN($A178)-2),'TH_CMI GRADE 10'!$B$7:$B$49,0))="P")+
 --(INDEX('TH_CMI GRADE 10'!$T$7:$T$49,MATCH(LEFT($A178,LEN($A178)-2),'TH_CMI GRADE 10'!$B$7:$B$49,0))="P")+
 --(INDEX('TH_CMI GRADE 10'!$Z$7:$Z$49,MATCH(LEFT($A178,LEN($A178)-2),'TH_CMI GRADE 10'!$B$7:$B$49,0))="P")+
 --(INDEX('TH_CMI GRADE 10'!$AF$7:$AF$49,MATCH(LEFT($A178,LEN($A178)-2),'TH_CMI GRADE 10'!$B$7:$B$49,0))="P")+
 --(INDEX('TH_CMI GRADE 10'!$AL$7:$AL$49,MATCH(LEFT($A178,LEN($A178)-2),'TH_CMI GRADE 10'!$B$7:$B$49,0))="P")+
 --(INDEX('TH_CMI GRADE 10'!$AR$7:$AR$49,MATCH(LEFT($A178,LEN($A178)-2),'TH_CMI GRADE 10'!$B$7:$B$49,0))="P"),
0)</f>
        <v>0</v>
      </c>
      <c r="D178" s="24" t="b">
        <f ca="1">IF(IF(_xlfn.XLOOKUP(LEFT(A178,LEN(A178)-2),'TH_CMI GRADE 10'!$B$7:$B$49,'TH_CMI GRADE 10'!$AU$7:$AU$49,"",0,1)=0,"",_xlfn.XLOOKUP(LEFT(A178,LEN(A178)-2),'TH_CMI GRADE 10'!$B$7:$B$49,'TH_CMI GRADE 10'!$AU$7:$AU$49,"",0,1))&lt;=TODAY(),TRUE,FALSE)</f>
        <v>0</v>
      </c>
      <c r="E178" s="25" t="str">
        <f t="shared" ca="1" si="7"/>
        <v/>
      </c>
      <c r="F178" s="24" t="s">
        <v>336</v>
      </c>
      <c r="G178">
        <v>2</v>
      </c>
      <c r="H178">
        <f>IFERROR(
 --(INDEX('PW_CMI GRADE 10'!$H$7:$H$31,MATCH(LEFT($A178,LEN($A178)-2),'PW_CMI GRADE 10'!$B$7:$B$31,0))="P")+
 --(INDEX('PW_CMI GRADE 10'!$N$7:$N$31,MATCH(LEFT($A178,LEN($A178)-2),'PW_CMI GRADE 10'!$B$7:$B$31,0))="P")+
 --(INDEX('PW_CMI GRADE 10'!$T$7:$T$31,MATCH(LEFT($A178,LEN($A178)-2),'PW_CMI GRADE 10'!$B$7:$B$31,0))="P")+
 --(INDEX('PW_CMI GRADE 10'!$Z$7:$Z$31,MATCH(LEFT($A178,LEN($A178)-2),'PW_CMI GRADE 10'!$B$7:$B$31,0))="P")+
 --(INDEX('PW_CMI GRADE 10'!$AF$7:$AF$31,MATCH(LEFT($A178,LEN($A178)-2),'PW_CMI GRADE 10'!$B$7:$B$31,0))="P")+
 --(INDEX('PW_CMI GRADE 10'!$AL$7:$AL$31,MATCH(LEFT($A178,LEN($A178)-2),'PW_CMI GRADE 10'!$B$7:$B$31,0))="P")+
 --(INDEX('PW_CMI GRADE 10'!$AR$7:$AR$31,MATCH(LEFT($A178,LEN($A178)-2),'PW_CMI GRADE 10'!$B$7:$B$31,0))="P"),
0)</f>
        <v>0</v>
      </c>
      <c r="I178" s="24" t="b">
        <f ca="1">IF(IF(_xlfn.XLOOKUP(LEFT($A178,LEN($A178)-2),'PW_CMI GRADE 10'!$B$7:$B$31,'PW_CMI GRADE 10'!$AU$7:$AU$31,"",0,1)=0,"",_xlfn.XLOOKUP(LEFT($A178,LEN($A178)-2),'PW_CMI GRADE 10'!$B$7:$B$31,'PW_CMI GRADE 10'!$AU$7:$AU$31,"",0,1))&lt;=TODAY(),TRUE,FALSE)</f>
        <v>0</v>
      </c>
      <c r="J178" s="25" t="str">
        <f t="shared" ca="1" si="8"/>
        <v/>
      </c>
    </row>
    <row r="179" spans="1:10">
      <c r="A179" s="24" t="s">
        <v>384</v>
      </c>
      <c r="B179">
        <v>2</v>
      </c>
      <c r="C179">
        <f>IFERROR(
 --(INDEX('TH_CMI GRADE 10'!$H$7:$H$49,MATCH(LEFT($A179,LEN($A179)-2),'TH_CMI GRADE 10'!$B$7:$B$49,0))="P")+
 --(INDEX('TH_CMI GRADE 10'!$N$7:$N$49,MATCH(LEFT($A179,LEN($A179)-2),'TH_CMI GRADE 10'!$B$7:$B$49,0))="P")+
 --(INDEX('TH_CMI GRADE 10'!$T$7:$T$49,MATCH(LEFT($A179,LEN($A179)-2),'TH_CMI GRADE 10'!$B$7:$B$49,0))="P")+
 --(INDEX('TH_CMI GRADE 10'!$Z$7:$Z$49,MATCH(LEFT($A179,LEN($A179)-2),'TH_CMI GRADE 10'!$B$7:$B$49,0))="P")+
 --(INDEX('TH_CMI GRADE 10'!$AF$7:$AF$49,MATCH(LEFT($A179,LEN($A179)-2),'TH_CMI GRADE 10'!$B$7:$B$49,0))="P")+
 --(INDEX('TH_CMI GRADE 10'!$AL$7:$AL$49,MATCH(LEFT($A179,LEN($A179)-2),'TH_CMI GRADE 10'!$B$7:$B$49,0))="P")+
 --(INDEX('TH_CMI GRADE 10'!$AR$7:$AR$49,MATCH(LEFT($A179,LEN($A179)-2),'TH_CMI GRADE 10'!$B$7:$B$49,0))="P"),
0)</f>
        <v>2</v>
      </c>
      <c r="D179" s="24" t="b">
        <f ca="1">IF(IF(_xlfn.XLOOKUP(LEFT(A179,LEN(A179)-2),'TH_CMI GRADE 10'!$B$7:$B$49,'TH_CMI GRADE 10'!$AU$7:$AU$49,"",0,1)=0,"",_xlfn.XLOOKUP(LEFT(A179,LEN(A179)-2),'TH_CMI GRADE 10'!$B$7:$B$49,'TH_CMI GRADE 10'!$AU$7:$AU$49,"",0,1))&lt;=TODAY(),TRUE,FALSE)</f>
        <v>1</v>
      </c>
      <c r="E179" s="25">
        <f t="shared" ca="1" si="7"/>
        <v>1</v>
      </c>
      <c r="F179" s="24" t="s">
        <v>337</v>
      </c>
      <c r="G179">
        <v>2</v>
      </c>
      <c r="H179">
        <f>IFERROR(
 --(INDEX('PW_CMI GRADE 10'!$H$7:$H$31,MATCH(LEFT($A179,LEN($A179)-2),'PW_CMI GRADE 10'!$B$7:$B$31,0))="P")+
 --(INDEX('PW_CMI GRADE 10'!$N$7:$N$31,MATCH(LEFT($A179,LEN($A179)-2),'PW_CMI GRADE 10'!$B$7:$B$31,0))="P")+
 --(INDEX('PW_CMI GRADE 10'!$T$7:$T$31,MATCH(LEFT($A179,LEN($A179)-2),'PW_CMI GRADE 10'!$B$7:$B$31,0))="P")+
 --(INDEX('PW_CMI GRADE 10'!$Z$7:$Z$31,MATCH(LEFT($A179,LEN($A179)-2),'PW_CMI GRADE 10'!$B$7:$B$31,0))="P")+
 --(INDEX('PW_CMI GRADE 10'!$AF$7:$AF$31,MATCH(LEFT($A179,LEN($A179)-2),'PW_CMI GRADE 10'!$B$7:$B$31,0))="P")+
 --(INDEX('PW_CMI GRADE 10'!$AL$7:$AL$31,MATCH(LEFT($A179,LEN($A179)-2),'PW_CMI GRADE 10'!$B$7:$B$31,0))="P")+
 --(INDEX('PW_CMI GRADE 10'!$AR$7:$AR$31,MATCH(LEFT($A179,LEN($A179)-2),'PW_CMI GRADE 10'!$B$7:$B$31,0))="P"),
0)</f>
        <v>0</v>
      </c>
      <c r="I179" s="24" t="b">
        <f ca="1">IF(IF(_xlfn.XLOOKUP(LEFT($A179,LEN($A179)-2),'PW_CMI GRADE 10'!$B$7:$B$31,'PW_CMI GRADE 10'!$AU$7:$AU$31,"",0,1)=0,"",_xlfn.XLOOKUP(LEFT($A179,LEN($A179)-2),'PW_CMI GRADE 10'!$B$7:$B$31,'PW_CMI GRADE 10'!$AU$7:$AU$31,"",0,1))&lt;=TODAY(),TRUE,FALSE)</f>
        <v>0</v>
      </c>
      <c r="J179" s="25" t="str">
        <f t="shared" ca="1" si="8"/>
        <v/>
      </c>
    </row>
    <row r="180" spans="1:10">
      <c r="A180" s="24" t="s">
        <v>385</v>
      </c>
      <c r="B180">
        <v>2</v>
      </c>
      <c r="C180">
        <f>IFERROR(
 --(INDEX('TH_CMI GRADE 10'!$H$7:$H$49,MATCH(LEFT($A180,LEN($A180)-2),'TH_CMI GRADE 10'!$B$7:$B$49,0))="P")+
 --(INDEX('TH_CMI GRADE 10'!$N$7:$N$49,MATCH(LEFT($A180,LEN($A180)-2),'TH_CMI GRADE 10'!$B$7:$B$49,0))="P")+
 --(INDEX('TH_CMI GRADE 10'!$T$7:$T$49,MATCH(LEFT($A180,LEN($A180)-2),'TH_CMI GRADE 10'!$B$7:$B$49,0))="P")+
 --(INDEX('TH_CMI GRADE 10'!$Z$7:$Z$49,MATCH(LEFT($A180,LEN($A180)-2),'TH_CMI GRADE 10'!$B$7:$B$49,0))="P")+
 --(INDEX('TH_CMI GRADE 10'!$AF$7:$AF$49,MATCH(LEFT($A180,LEN($A180)-2),'TH_CMI GRADE 10'!$B$7:$B$49,0))="P")+
 --(INDEX('TH_CMI GRADE 10'!$AL$7:$AL$49,MATCH(LEFT($A180,LEN($A180)-2),'TH_CMI GRADE 10'!$B$7:$B$49,0))="P")+
 --(INDEX('TH_CMI GRADE 10'!$AR$7:$AR$49,MATCH(LEFT($A180,LEN($A180)-2),'TH_CMI GRADE 10'!$B$7:$B$49,0))="P"),
0)</f>
        <v>2</v>
      </c>
      <c r="D180" s="24" t="b">
        <f ca="1">IF(IF(_xlfn.XLOOKUP(LEFT(A180,LEN(A180)-2),'TH_CMI GRADE 10'!$B$7:$B$49,'TH_CMI GRADE 10'!$AU$7:$AU$49,"",0,1)=0,"",_xlfn.XLOOKUP(LEFT(A180,LEN(A180)-2),'TH_CMI GRADE 10'!$B$7:$B$49,'TH_CMI GRADE 10'!$AU$7:$AU$49,"",0,1))&lt;=TODAY(),TRUE,FALSE)</f>
        <v>1</v>
      </c>
      <c r="E180" s="25">
        <f t="shared" ca="1" si="7"/>
        <v>1</v>
      </c>
      <c r="F180" s="24" t="s">
        <v>338</v>
      </c>
      <c r="G180">
        <v>2</v>
      </c>
      <c r="H180">
        <f>IFERROR(
 --(INDEX('PW_CMI GRADE 10'!$H$7:$H$31,MATCH(LEFT($A180,LEN($A180)-2),'PW_CMI GRADE 10'!$B$7:$B$31,0))="P")+
 --(INDEX('PW_CMI GRADE 10'!$N$7:$N$31,MATCH(LEFT($A180,LEN($A180)-2),'PW_CMI GRADE 10'!$B$7:$B$31,0))="P")+
 --(INDEX('PW_CMI GRADE 10'!$T$7:$T$31,MATCH(LEFT($A180,LEN($A180)-2),'PW_CMI GRADE 10'!$B$7:$B$31,0))="P")+
 --(INDEX('PW_CMI GRADE 10'!$Z$7:$Z$31,MATCH(LEFT($A180,LEN($A180)-2),'PW_CMI GRADE 10'!$B$7:$B$31,0))="P")+
 --(INDEX('PW_CMI GRADE 10'!$AF$7:$AF$31,MATCH(LEFT($A180,LEN($A180)-2),'PW_CMI GRADE 10'!$B$7:$B$31,0))="P")+
 --(INDEX('PW_CMI GRADE 10'!$AL$7:$AL$31,MATCH(LEFT($A180,LEN($A180)-2),'PW_CMI GRADE 10'!$B$7:$B$31,0))="P")+
 --(INDEX('PW_CMI GRADE 10'!$AR$7:$AR$31,MATCH(LEFT($A180,LEN($A180)-2),'PW_CMI GRADE 10'!$B$7:$B$31,0))="P"),
0)</f>
        <v>0</v>
      </c>
      <c r="I180" s="24" t="b">
        <f ca="1">IF(IF(_xlfn.XLOOKUP(LEFT($A180,LEN($A180)-2),'PW_CMI GRADE 10'!$B$7:$B$31,'PW_CMI GRADE 10'!$AU$7:$AU$31,"",0,1)=0,"",_xlfn.XLOOKUP(LEFT($A180,LEN($A180)-2),'PW_CMI GRADE 10'!$B$7:$B$31,'PW_CMI GRADE 10'!$AU$7:$AU$31,"",0,1))&lt;=TODAY(),TRUE,FALSE)</f>
        <v>0</v>
      </c>
      <c r="J180" s="25" t="str">
        <f t="shared" ca="1" si="8"/>
        <v/>
      </c>
    </row>
    <row r="181" spans="1:10">
      <c r="A181" s="24" t="s">
        <v>386</v>
      </c>
      <c r="B181">
        <v>2</v>
      </c>
      <c r="C181">
        <f>IFERROR(
 --(INDEX('TH_CMI GRADE 10'!$H$7:$H$49,MATCH(LEFT($A181,LEN($A181)-2),'TH_CMI GRADE 10'!$B$7:$B$49,0))="P")+
 --(INDEX('TH_CMI GRADE 10'!$N$7:$N$49,MATCH(LEFT($A181,LEN($A181)-2),'TH_CMI GRADE 10'!$B$7:$B$49,0))="P")+
 --(INDEX('TH_CMI GRADE 10'!$T$7:$T$49,MATCH(LEFT($A181,LEN($A181)-2),'TH_CMI GRADE 10'!$B$7:$B$49,0))="P")+
 --(INDEX('TH_CMI GRADE 10'!$Z$7:$Z$49,MATCH(LEFT($A181,LEN($A181)-2),'TH_CMI GRADE 10'!$B$7:$B$49,0))="P")+
 --(INDEX('TH_CMI GRADE 10'!$AF$7:$AF$49,MATCH(LEFT($A181,LEN($A181)-2),'TH_CMI GRADE 10'!$B$7:$B$49,0))="P")+
 --(INDEX('TH_CMI GRADE 10'!$AL$7:$AL$49,MATCH(LEFT($A181,LEN($A181)-2),'TH_CMI GRADE 10'!$B$7:$B$49,0))="P")+
 --(INDEX('TH_CMI GRADE 10'!$AR$7:$AR$49,MATCH(LEFT($A181,LEN($A181)-2),'TH_CMI GRADE 10'!$B$7:$B$49,0))="P"),
0)</f>
        <v>2</v>
      </c>
      <c r="D181" s="24" t="b">
        <f ca="1">IF(IF(_xlfn.XLOOKUP(LEFT(A181,LEN(A181)-2),'TH_CMI GRADE 10'!$B$7:$B$49,'TH_CMI GRADE 10'!$AU$7:$AU$49,"",0,1)=0,"",_xlfn.XLOOKUP(LEFT(A181,LEN(A181)-2),'TH_CMI GRADE 10'!$B$7:$B$49,'TH_CMI GRADE 10'!$AU$7:$AU$49,"",0,1))&lt;=TODAY(),TRUE,FALSE)</f>
        <v>1</v>
      </c>
      <c r="E181" s="25">
        <f t="shared" ca="1" si="7"/>
        <v>1</v>
      </c>
      <c r="F181" s="24" t="s">
        <v>339</v>
      </c>
      <c r="G181">
        <v>2</v>
      </c>
      <c r="H181">
        <f>IFERROR(
 --(INDEX('PW_CMI GRADE 10'!$H$7:$H$31,MATCH(LEFT($A181,LEN($A181)-2),'PW_CMI GRADE 10'!$B$7:$B$31,0))="P")+
 --(INDEX('PW_CMI GRADE 10'!$N$7:$N$31,MATCH(LEFT($A181,LEN($A181)-2),'PW_CMI GRADE 10'!$B$7:$B$31,0))="P")+
 --(INDEX('PW_CMI GRADE 10'!$T$7:$T$31,MATCH(LEFT($A181,LEN($A181)-2),'PW_CMI GRADE 10'!$B$7:$B$31,0))="P")+
 --(INDEX('PW_CMI GRADE 10'!$Z$7:$Z$31,MATCH(LEFT($A181,LEN($A181)-2),'PW_CMI GRADE 10'!$B$7:$B$31,0))="P")+
 --(INDEX('PW_CMI GRADE 10'!$AF$7:$AF$31,MATCH(LEFT($A181,LEN($A181)-2),'PW_CMI GRADE 10'!$B$7:$B$31,0))="P")+
 --(INDEX('PW_CMI GRADE 10'!$AL$7:$AL$31,MATCH(LEFT($A181,LEN($A181)-2),'PW_CMI GRADE 10'!$B$7:$B$31,0))="P")+
 --(INDEX('PW_CMI GRADE 10'!$AR$7:$AR$31,MATCH(LEFT($A181,LEN($A181)-2),'PW_CMI GRADE 10'!$B$7:$B$31,0))="P"),
0)</f>
        <v>0</v>
      </c>
      <c r="I181" s="24" t="b">
        <f ca="1">IF(IF(_xlfn.XLOOKUP(LEFT($A181,LEN($A181)-2),'PW_CMI GRADE 10'!$B$7:$B$31,'PW_CMI GRADE 10'!$AU$7:$AU$31,"",0,1)=0,"",_xlfn.XLOOKUP(LEFT($A181,LEN($A181)-2),'PW_CMI GRADE 10'!$B$7:$B$31,'PW_CMI GRADE 10'!$AU$7:$AU$31,"",0,1))&lt;=TODAY(),TRUE,FALSE)</f>
        <v>0</v>
      </c>
      <c r="J181" s="25" t="str">
        <f t="shared" ca="1" si="8"/>
        <v/>
      </c>
    </row>
    <row r="182" spans="1:10">
      <c r="A182" s="24" t="s">
        <v>387</v>
      </c>
      <c r="B182">
        <v>2</v>
      </c>
      <c r="C182">
        <f>IFERROR(
 --(INDEX('TH_CMI GRADE 10'!$H$7:$H$49,MATCH(LEFT($A182,LEN($A182)-2),'TH_CMI GRADE 10'!$B$7:$B$49,0))="P")+
 --(INDEX('TH_CMI GRADE 10'!$N$7:$N$49,MATCH(LEFT($A182,LEN($A182)-2),'TH_CMI GRADE 10'!$B$7:$B$49,0))="P")+
 --(INDEX('TH_CMI GRADE 10'!$T$7:$T$49,MATCH(LEFT($A182,LEN($A182)-2),'TH_CMI GRADE 10'!$B$7:$B$49,0))="P")+
 --(INDEX('TH_CMI GRADE 10'!$Z$7:$Z$49,MATCH(LEFT($A182,LEN($A182)-2),'TH_CMI GRADE 10'!$B$7:$B$49,0))="P")+
 --(INDEX('TH_CMI GRADE 10'!$AF$7:$AF$49,MATCH(LEFT($A182,LEN($A182)-2),'TH_CMI GRADE 10'!$B$7:$B$49,0))="P")+
 --(INDEX('TH_CMI GRADE 10'!$AL$7:$AL$49,MATCH(LEFT($A182,LEN($A182)-2),'TH_CMI GRADE 10'!$B$7:$B$49,0))="P")+
 --(INDEX('TH_CMI GRADE 10'!$AR$7:$AR$49,MATCH(LEFT($A182,LEN($A182)-2),'TH_CMI GRADE 10'!$B$7:$B$49,0))="P"),
0)</f>
        <v>2</v>
      </c>
      <c r="D182" s="24" t="b">
        <f ca="1">IF(IF(_xlfn.XLOOKUP(LEFT(A182,LEN(A182)-2),'TH_CMI GRADE 10'!$B$7:$B$49,'TH_CMI GRADE 10'!$AU$7:$AU$49,"",0,1)=0,"",_xlfn.XLOOKUP(LEFT(A182,LEN(A182)-2),'TH_CMI GRADE 10'!$B$7:$B$49,'TH_CMI GRADE 10'!$AU$7:$AU$49,"",0,1))&lt;=TODAY(),TRUE,FALSE)</f>
        <v>1</v>
      </c>
      <c r="E182" s="25">
        <f t="shared" ca="1" si="7"/>
        <v>1</v>
      </c>
      <c r="F182" s="24" t="s">
        <v>340</v>
      </c>
      <c r="G182">
        <v>2</v>
      </c>
      <c r="H182">
        <f>IFERROR(
 --(INDEX('PW_CMI GRADE 10'!$H$7:$H$31,MATCH(LEFT($A182,LEN($A182)-2),'PW_CMI GRADE 10'!$B$7:$B$31,0))="P")+
 --(INDEX('PW_CMI GRADE 10'!$N$7:$N$31,MATCH(LEFT($A182,LEN($A182)-2),'PW_CMI GRADE 10'!$B$7:$B$31,0))="P")+
 --(INDEX('PW_CMI GRADE 10'!$T$7:$T$31,MATCH(LEFT($A182,LEN($A182)-2),'PW_CMI GRADE 10'!$B$7:$B$31,0))="P")+
 --(INDEX('PW_CMI GRADE 10'!$Z$7:$Z$31,MATCH(LEFT($A182,LEN($A182)-2),'PW_CMI GRADE 10'!$B$7:$B$31,0))="P")+
 --(INDEX('PW_CMI GRADE 10'!$AF$7:$AF$31,MATCH(LEFT($A182,LEN($A182)-2),'PW_CMI GRADE 10'!$B$7:$B$31,0))="P")+
 --(INDEX('PW_CMI GRADE 10'!$AL$7:$AL$31,MATCH(LEFT($A182,LEN($A182)-2),'PW_CMI GRADE 10'!$B$7:$B$31,0))="P")+
 --(INDEX('PW_CMI GRADE 10'!$AR$7:$AR$31,MATCH(LEFT($A182,LEN($A182)-2),'PW_CMI GRADE 10'!$B$7:$B$31,0))="P"),
0)</f>
        <v>0</v>
      </c>
      <c r="I182" s="24" t="b">
        <f ca="1">IF(IF(_xlfn.XLOOKUP(LEFT($A182,LEN($A182)-2),'PW_CMI GRADE 10'!$B$7:$B$31,'PW_CMI GRADE 10'!$AU$7:$AU$31,"",0,1)=0,"",_xlfn.XLOOKUP(LEFT($A182,LEN($A182)-2),'PW_CMI GRADE 10'!$B$7:$B$31,'PW_CMI GRADE 10'!$AU$7:$AU$31,"",0,1))&lt;=TODAY(),TRUE,FALSE)</f>
        <v>0</v>
      </c>
      <c r="J182" s="25" t="str">
        <f t="shared" ca="1" si="8"/>
        <v/>
      </c>
    </row>
    <row r="183" spans="1:10">
      <c r="A183" s="24" t="s">
        <v>388</v>
      </c>
      <c r="B183">
        <v>2</v>
      </c>
      <c r="C183">
        <f>IFERROR(
 --(INDEX('TH_CMI GRADE 10'!$H$7:$H$49,MATCH(LEFT($A183,LEN($A183)-2),'TH_CMI GRADE 10'!$B$7:$B$49,0))="P")+
 --(INDEX('TH_CMI GRADE 10'!$N$7:$N$49,MATCH(LEFT($A183,LEN($A183)-2),'TH_CMI GRADE 10'!$B$7:$B$49,0))="P")+
 --(INDEX('TH_CMI GRADE 10'!$T$7:$T$49,MATCH(LEFT($A183,LEN($A183)-2),'TH_CMI GRADE 10'!$B$7:$B$49,0))="P")+
 --(INDEX('TH_CMI GRADE 10'!$Z$7:$Z$49,MATCH(LEFT($A183,LEN($A183)-2),'TH_CMI GRADE 10'!$B$7:$B$49,0))="P")+
 --(INDEX('TH_CMI GRADE 10'!$AF$7:$AF$49,MATCH(LEFT($A183,LEN($A183)-2),'TH_CMI GRADE 10'!$B$7:$B$49,0))="P")+
 --(INDEX('TH_CMI GRADE 10'!$AL$7:$AL$49,MATCH(LEFT($A183,LEN($A183)-2),'TH_CMI GRADE 10'!$B$7:$B$49,0))="P")+
 --(INDEX('TH_CMI GRADE 10'!$AR$7:$AR$49,MATCH(LEFT($A183,LEN($A183)-2),'TH_CMI GRADE 10'!$B$7:$B$49,0))="P"),
0)</f>
        <v>2</v>
      </c>
      <c r="D183" s="24" t="b">
        <f ca="1">IF(IF(_xlfn.XLOOKUP(LEFT(A183,LEN(A183)-2),'TH_CMI GRADE 10'!$B$7:$B$49,'TH_CMI GRADE 10'!$AU$7:$AU$49,"",0,1)=0,"",_xlfn.XLOOKUP(LEFT(A183,LEN(A183)-2),'TH_CMI GRADE 10'!$B$7:$B$49,'TH_CMI GRADE 10'!$AU$7:$AU$49,"",0,1))&lt;=TODAY(),TRUE,FALSE)</f>
        <v>1</v>
      </c>
      <c r="E183" s="25">
        <f t="shared" ca="1" si="7"/>
        <v>1</v>
      </c>
      <c r="F183" s="24" t="s">
        <v>341</v>
      </c>
      <c r="G183">
        <v>2</v>
      </c>
      <c r="H183">
        <f>IFERROR(
 --(INDEX('PW_CMI GRADE 10'!$H$7:$H$31,MATCH(LEFT($A183,LEN($A183)-2),'PW_CMI GRADE 10'!$B$7:$B$31,0))="P")+
 --(INDEX('PW_CMI GRADE 10'!$N$7:$N$31,MATCH(LEFT($A183,LEN($A183)-2),'PW_CMI GRADE 10'!$B$7:$B$31,0))="P")+
 --(INDEX('PW_CMI GRADE 10'!$T$7:$T$31,MATCH(LEFT($A183,LEN($A183)-2),'PW_CMI GRADE 10'!$B$7:$B$31,0))="P")+
 --(INDEX('PW_CMI GRADE 10'!$Z$7:$Z$31,MATCH(LEFT($A183,LEN($A183)-2),'PW_CMI GRADE 10'!$B$7:$B$31,0))="P")+
 --(INDEX('PW_CMI GRADE 10'!$AF$7:$AF$31,MATCH(LEFT($A183,LEN($A183)-2),'PW_CMI GRADE 10'!$B$7:$B$31,0))="P")+
 --(INDEX('PW_CMI GRADE 10'!$AL$7:$AL$31,MATCH(LEFT($A183,LEN($A183)-2),'PW_CMI GRADE 10'!$B$7:$B$31,0))="P")+
 --(INDEX('PW_CMI GRADE 10'!$AR$7:$AR$31,MATCH(LEFT($A183,LEN($A183)-2),'PW_CMI GRADE 10'!$B$7:$B$31,0))="P"),
0)</f>
        <v>0</v>
      </c>
      <c r="I183" s="24" t="b">
        <f ca="1">IF(IF(_xlfn.XLOOKUP(LEFT($A183,LEN($A183)-2),'PW_CMI GRADE 10'!$B$7:$B$31,'PW_CMI GRADE 10'!$AU$7:$AU$31,"",0,1)=0,"",_xlfn.XLOOKUP(LEFT($A183,LEN($A183)-2),'PW_CMI GRADE 10'!$B$7:$B$31,'PW_CMI GRADE 10'!$AU$7:$AU$31,"",0,1))&lt;=TODAY(),TRUE,FALSE)</f>
        <v>0</v>
      </c>
      <c r="J183" s="25" t="str">
        <f t="shared" ca="1" si="8"/>
        <v/>
      </c>
    </row>
    <row r="184" spans="1:10">
      <c r="A184" s="24" t="s">
        <v>389</v>
      </c>
      <c r="B184">
        <v>2</v>
      </c>
      <c r="C184">
        <f>IFERROR(
 --(INDEX('TH_CMI GRADE 10'!$H$7:$H$49,MATCH(LEFT($A184,LEN($A184)-2),'TH_CMI GRADE 10'!$B$7:$B$49,0))="P")+
 --(INDEX('TH_CMI GRADE 10'!$N$7:$N$49,MATCH(LEFT($A184,LEN($A184)-2),'TH_CMI GRADE 10'!$B$7:$B$49,0))="P")+
 --(INDEX('TH_CMI GRADE 10'!$T$7:$T$49,MATCH(LEFT($A184,LEN($A184)-2),'TH_CMI GRADE 10'!$B$7:$B$49,0))="P")+
 --(INDEX('TH_CMI GRADE 10'!$Z$7:$Z$49,MATCH(LEFT($A184,LEN($A184)-2),'TH_CMI GRADE 10'!$B$7:$B$49,0))="P")+
 --(INDEX('TH_CMI GRADE 10'!$AF$7:$AF$49,MATCH(LEFT($A184,LEN($A184)-2),'TH_CMI GRADE 10'!$B$7:$B$49,0))="P")+
 --(INDEX('TH_CMI GRADE 10'!$AL$7:$AL$49,MATCH(LEFT($A184,LEN($A184)-2),'TH_CMI GRADE 10'!$B$7:$B$49,0))="P")+
 --(INDEX('TH_CMI GRADE 10'!$AR$7:$AR$49,MATCH(LEFT($A184,LEN($A184)-2),'TH_CMI GRADE 10'!$B$7:$B$49,0))="P"),
0)</f>
        <v>2</v>
      </c>
      <c r="D184" s="24" t="b">
        <f ca="1">IF(IF(_xlfn.XLOOKUP(LEFT(A184,LEN(A184)-2),'TH_CMI GRADE 10'!$B$7:$B$49,'TH_CMI GRADE 10'!$AU$7:$AU$49,"",0,1)=0,"",_xlfn.XLOOKUP(LEFT(A184,LEN(A184)-2),'TH_CMI GRADE 10'!$B$7:$B$49,'TH_CMI GRADE 10'!$AU$7:$AU$49,"",0,1))&lt;=TODAY(),TRUE,FALSE)</f>
        <v>1</v>
      </c>
      <c r="E184" s="25">
        <f t="shared" ca="1" si="7"/>
        <v>1</v>
      </c>
      <c r="F184" s="24" t="s">
        <v>342</v>
      </c>
      <c r="G184">
        <v>2</v>
      </c>
      <c r="H184">
        <f>IFERROR(
 --(INDEX('PW_CMI GRADE 10'!$H$7:$H$31,MATCH(LEFT($A184,LEN($A184)-2),'PW_CMI GRADE 10'!$B$7:$B$31,0))="P")+
 --(INDEX('PW_CMI GRADE 10'!$N$7:$N$31,MATCH(LEFT($A184,LEN($A184)-2),'PW_CMI GRADE 10'!$B$7:$B$31,0))="P")+
 --(INDEX('PW_CMI GRADE 10'!$T$7:$T$31,MATCH(LEFT($A184,LEN($A184)-2),'PW_CMI GRADE 10'!$B$7:$B$31,0))="P")+
 --(INDEX('PW_CMI GRADE 10'!$Z$7:$Z$31,MATCH(LEFT($A184,LEN($A184)-2),'PW_CMI GRADE 10'!$B$7:$B$31,0))="P")+
 --(INDEX('PW_CMI GRADE 10'!$AF$7:$AF$31,MATCH(LEFT($A184,LEN($A184)-2),'PW_CMI GRADE 10'!$B$7:$B$31,0))="P")+
 --(INDEX('PW_CMI GRADE 10'!$AL$7:$AL$31,MATCH(LEFT($A184,LEN($A184)-2),'PW_CMI GRADE 10'!$B$7:$B$31,0))="P")+
 --(INDEX('PW_CMI GRADE 10'!$AR$7:$AR$31,MATCH(LEFT($A184,LEN($A184)-2),'PW_CMI GRADE 10'!$B$7:$B$31,0))="P"),
0)</f>
        <v>0</v>
      </c>
      <c r="I184" s="24" t="b">
        <f ca="1">IF(IF(_xlfn.XLOOKUP(LEFT($A184,LEN($A184)-2),'PW_CMI GRADE 10'!$B$7:$B$31,'PW_CMI GRADE 10'!$AU$7:$AU$31,"",0,1)=0,"",_xlfn.XLOOKUP(LEFT($A184,LEN($A184)-2),'PW_CMI GRADE 10'!$B$7:$B$31,'PW_CMI GRADE 10'!$AU$7:$AU$31,"",0,1))&lt;=TODAY(),TRUE,FALSE)</f>
        <v>0</v>
      </c>
      <c r="J184" s="25" t="str">
        <f t="shared" ca="1" si="8"/>
        <v/>
      </c>
    </row>
    <row r="185" spans="1:10">
      <c r="A185" s="140" t="s">
        <v>390</v>
      </c>
      <c r="B185" s="140"/>
      <c r="C185" s="140"/>
      <c r="D185" s="140"/>
      <c r="E185" s="141">
        <f ca="1">IFERROR(AVERAGE(E140:E184),0)</f>
        <v>0.94444444444444442</v>
      </c>
      <c r="F185" s="138" t="s">
        <v>390</v>
      </c>
      <c r="G185" s="138"/>
      <c r="H185" s="138"/>
      <c r="I185" s="138"/>
      <c r="J185" s="139">
        <f ca="1">IFERROR(AVERAGE(J140:J184),0)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0111-1AAE-4884-B950-6B3E54ED112D}">
  <sheetPr codeName="Feuil13"/>
  <dimension ref="A1:IH116"/>
  <sheetViews>
    <sheetView topLeftCell="A3" zoomScaleNormal="115" workbookViewId="0">
      <pane xSplit="4" topLeftCell="ET1" activePane="topRight" state="frozen"/>
      <selection pane="topRight" activeCell="ET4" sqref="ET4"/>
    </sheetView>
  </sheetViews>
  <sheetFormatPr defaultColWidth="8.5703125" defaultRowHeight="14.45"/>
  <cols>
    <col min="3" max="4" width="3.5703125" customWidth="1"/>
    <col min="5" max="34" width="3.5703125" style="31" customWidth="1"/>
    <col min="35" max="52" width="3.5703125" style="32" customWidth="1"/>
    <col min="53" max="82" width="3.5703125" style="31" customWidth="1"/>
    <col min="83" max="100" width="3.5703125" style="32" customWidth="1"/>
    <col min="101" max="101" width="3.140625" style="31" customWidth="1"/>
    <col min="102" max="130" width="3.5703125" style="31" customWidth="1"/>
    <col min="131" max="148" width="3.5703125" style="32" customWidth="1"/>
    <col min="150" max="150" width="4.5703125" bestFit="1" customWidth="1"/>
    <col min="151" max="151" width="6.42578125" bestFit="1" customWidth="1"/>
    <col min="152" max="152" width="5.140625" bestFit="1" customWidth="1"/>
    <col min="153" max="155" width="5.5703125" bestFit="1" customWidth="1"/>
    <col min="156" max="156" width="6.85546875" bestFit="1" customWidth="1"/>
    <col min="157" max="157" width="5.42578125" bestFit="1" customWidth="1"/>
    <col min="158" max="158" width="6.42578125" bestFit="1" customWidth="1"/>
    <col min="159" max="159" width="6.140625" bestFit="1" customWidth="1"/>
    <col min="160" max="160" width="5.140625" bestFit="1" customWidth="1"/>
    <col min="161" max="161" width="5.5703125" customWidth="1"/>
    <col min="162" max="162" width="4.85546875" bestFit="1" customWidth="1"/>
    <col min="163" max="164" width="5.42578125" bestFit="1" customWidth="1"/>
    <col min="165" max="165" width="6.5703125" bestFit="1" customWidth="1"/>
    <col min="166" max="166" width="7.5703125" bestFit="1" customWidth="1"/>
    <col min="167" max="167" width="10.42578125" bestFit="1" customWidth="1"/>
    <col min="168" max="168" width="11.140625" bestFit="1" customWidth="1"/>
    <col min="169" max="169" width="8.140625" bestFit="1" customWidth="1"/>
    <col min="170" max="170" width="4.85546875" bestFit="1" customWidth="1"/>
    <col min="177" max="177" width="14.42578125" style="51" bestFit="1" customWidth="1"/>
    <col min="178" max="178" width="8.85546875" bestFit="1" customWidth="1"/>
    <col min="179" max="222" width="3.5703125" customWidth="1"/>
    <col min="224" max="241" width="3.5703125" customWidth="1"/>
  </cols>
  <sheetData>
    <row r="1" spans="1:242" ht="66">
      <c r="E1" s="36" t="e" cm="1" vm="1">
        <f t="array" aca="1" ref="E1" ca="1">'TH_MLG GRADE 10'!C5:BJ5</f>
        <v>#VALUE!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 t="e" cm="1" vm="2">
        <f t="array" aca="1" ref="AI1" ca="1">'TH_CMI GRADE 10'!C5:AI5</f>
        <v>#VALUE!</v>
      </c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6" t="e" cm="1" vm="3">
        <f t="array" aca="1" ref="BA1" ca="1">E1:AZ1</f>
        <v>#VALUE!</v>
      </c>
      <c r="BB1" s="36" t="e">
        <f>#N/A</f>
        <v>#N/A</v>
      </c>
      <c r="BC1" s="36" t="e">
        <f>#N/A</f>
        <v>#N/A</v>
      </c>
      <c r="BD1" s="36" t="e">
        <f>#N/A</f>
        <v>#N/A</v>
      </c>
      <c r="BE1" s="36" t="e">
        <f>#N/A</f>
        <v>#N/A</v>
      </c>
      <c r="BF1" s="36" t="e">
        <f>#N/A</f>
        <v>#N/A</v>
      </c>
      <c r="BG1" s="36" t="e">
        <f>#N/A</f>
        <v>#N/A</v>
      </c>
      <c r="BH1" s="36" t="e">
        <f>#N/A</f>
        <v>#N/A</v>
      </c>
      <c r="BI1" s="36" t="e">
        <f>#N/A</f>
        <v>#N/A</v>
      </c>
      <c r="BJ1" s="36" t="e">
        <f>#N/A</f>
        <v>#N/A</v>
      </c>
      <c r="BK1" s="36" t="e">
        <f>#N/A</f>
        <v>#N/A</v>
      </c>
      <c r="BL1" s="36" t="e">
        <f>#N/A</f>
        <v>#N/A</v>
      </c>
      <c r="BM1" s="36" t="e">
        <f>#N/A</f>
        <v>#N/A</v>
      </c>
      <c r="BN1" s="36" t="e">
        <f>#N/A</f>
        <v>#N/A</v>
      </c>
      <c r="BO1" s="36" t="e">
        <f>#N/A</f>
        <v>#N/A</v>
      </c>
      <c r="BP1" s="36" t="e">
        <f>#N/A</f>
        <v>#N/A</v>
      </c>
      <c r="BQ1" s="36" t="e">
        <f>#N/A</f>
        <v>#N/A</v>
      </c>
      <c r="BR1" s="36" t="e">
        <f>#N/A</f>
        <v>#N/A</v>
      </c>
      <c r="BS1" s="36" t="e">
        <f>#N/A</f>
        <v>#N/A</v>
      </c>
      <c r="BT1" s="36" t="e">
        <f>#N/A</f>
        <v>#N/A</v>
      </c>
      <c r="BU1" s="36" t="e">
        <f>#N/A</f>
        <v>#N/A</v>
      </c>
      <c r="BV1" s="36" t="e">
        <f>#N/A</f>
        <v>#N/A</v>
      </c>
      <c r="BW1" s="36" t="e">
        <f>#N/A</f>
        <v>#N/A</v>
      </c>
      <c r="BX1" s="36" t="e">
        <f>#N/A</f>
        <v>#N/A</v>
      </c>
      <c r="BY1" s="36" t="e">
        <f>#N/A</f>
        <v>#N/A</v>
      </c>
      <c r="BZ1" s="36" t="e">
        <f>#N/A</f>
        <v>#N/A</v>
      </c>
      <c r="CA1" s="36" t="e">
        <f>#N/A</f>
        <v>#N/A</v>
      </c>
      <c r="CB1" s="36" t="e">
        <f>#N/A</f>
        <v>#N/A</v>
      </c>
      <c r="CC1" s="36" t="e">
        <f>#N/A</f>
        <v>#N/A</v>
      </c>
      <c r="CD1" s="36" t="e">
        <f>#N/A</f>
        <v>#N/A</v>
      </c>
      <c r="CE1" s="37" t="e">
        <f>#N/A</f>
        <v>#N/A</v>
      </c>
      <c r="CF1" s="37" t="e">
        <f>#N/A</f>
        <v>#N/A</v>
      </c>
      <c r="CG1" s="37" t="e">
        <f>#N/A</f>
        <v>#N/A</v>
      </c>
      <c r="CH1" s="37" t="e">
        <f>#N/A</f>
        <v>#N/A</v>
      </c>
      <c r="CI1" s="37" t="e">
        <f>#N/A</f>
        <v>#N/A</v>
      </c>
      <c r="CJ1" s="37" t="e">
        <f>#N/A</f>
        <v>#N/A</v>
      </c>
      <c r="CK1" s="37" t="e">
        <f>#N/A</f>
        <v>#N/A</v>
      </c>
      <c r="CL1" s="37" t="e">
        <f>#N/A</f>
        <v>#N/A</v>
      </c>
      <c r="CM1" s="37" t="e">
        <f>#N/A</f>
        <v>#N/A</v>
      </c>
      <c r="CN1" s="37" t="e">
        <f>#N/A</f>
        <v>#N/A</v>
      </c>
      <c r="CO1" s="37" t="e">
        <f>#N/A</f>
        <v>#N/A</v>
      </c>
      <c r="CP1" s="37" t="e">
        <f>#N/A</f>
        <v>#N/A</v>
      </c>
      <c r="CQ1" s="37" t="e">
        <f>#N/A</f>
        <v>#N/A</v>
      </c>
      <c r="CR1" s="37" t="e">
        <f>#N/A</f>
        <v>#N/A</v>
      </c>
      <c r="CS1" s="37" t="e">
        <f>#N/A</f>
        <v>#N/A</v>
      </c>
      <c r="CT1" s="37" t="e">
        <f>#N/A</f>
        <v>#N/A</v>
      </c>
      <c r="CU1" s="37" t="e">
        <f>#N/A</f>
        <v>#N/A</v>
      </c>
      <c r="CV1" s="37" t="e">
        <f>#N/A</f>
        <v>#N/A</v>
      </c>
      <c r="CW1" s="36" t="e" cm="1" vm="3">
        <f t="array" aca="1" ref="CW1" ca="1">E1:AZ1</f>
        <v>#VALUE!</v>
      </c>
      <c r="CX1" s="36" t="e">
        <f>#N/A</f>
        <v>#N/A</v>
      </c>
      <c r="CY1" s="36" t="e">
        <f>#N/A</f>
        <v>#N/A</v>
      </c>
      <c r="CZ1" s="36" t="e">
        <f>#N/A</f>
        <v>#N/A</v>
      </c>
      <c r="DA1" s="36" t="e">
        <f>#N/A</f>
        <v>#N/A</v>
      </c>
      <c r="DB1" s="36" t="e">
        <f>#N/A</f>
        <v>#N/A</v>
      </c>
      <c r="DC1" s="36" t="e">
        <f>#N/A</f>
        <v>#N/A</v>
      </c>
      <c r="DD1" s="36" t="e">
        <f>#N/A</f>
        <v>#N/A</v>
      </c>
      <c r="DE1" s="36" t="e">
        <f>#N/A</f>
        <v>#N/A</v>
      </c>
      <c r="DF1" s="36" t="e">
        <f>#N/A</f>
        <v>#N/A</v>
      </c>
      <c r="DG1" s="36" t="e">
        <f>#N/A</f>
        <v>#N/A</v>
      </c>
      <c r="DH1" s="36" t="e">
        <f>#N/A</f>
        <v>#N/A</v>
      </c>
      <c r="DI1" s="36" t="e">
        <f>#N/A</f>
        <v>#N/A</v>
      </c>
      <c r="DJ1" s="36" t="e">
        <f>#N/A</f>
        <v>#N/A</v>
      </c>
      <c r="DK1" s="36" t="e">
        <f>#N/A</f>
        <v>#N/A</v>
      </c>
      <c r="DL1" s="36" t="e">
        <f>#N/A</f>
        <v>#N/A</v>
      </c>
      <c r="DM1" s="36" t="e">
        <f>#N/A</f>
        <v>#N/A</v>
      </c>
      <c r="DN1" s="36" t="e">
        <f>#N/A</f>
        <v>#N/A</v>
      </c>
      <c r="DO1" s="36" t="e">
        <f>#N/A</f>
        <v>#N/A</v>
      </c>
      <c r="DP1" s="36" t="e">
        <f>#N/A</f>
        <v>#N/A</v>
      </c>
      <c r="DQ1" s="36" t="e">
        <f>#N/A</f>
        <v>#N/A</v>
      </c>
      <c r="DR1" s="36" t="e">
        <f>#N/A</f>
        <v>#N/A</v>
      </c>
      <c r="DS1" s="36" t="e">
        <f>#N/A</f>
        <v>#N/A</v>
      </c>
      <c r="DT1" s="36" t="e">
        <f>#N/A</f>
        <v>#N/A</v>
      </c>
      <c r="DU1" s="36" t="e">
        <f>#N/A</f>
        <v>#N/A</v>
      </c>
      <c r="DV1" s="36" t="e">
        <f>#N/A</f>
        <v>#N/A</v>
      </c>
      <c r="DW1" s="36" t="e">
        <f>#N/A</f>
        <v>#N/A</v>
      </c>
      <c r="DX1" s="36" t="e">
        <f>#N/A</f>
        <v>#N/A</v>
      </c>
      <c r="DY1" s="36" t="e">
        <f>#N/A</f>
        <v>#N/A</v>
      </c>
      <c r="DZ1" s="36" t="e">
        <f>#N/A</f>
        <v>#N/A</v>
      </c>
      <c r="EA1" s="37" t="e">
        <f>#N/A</f>
        <v>#N/A</v>
      </c>
      <c r="EB1" s="37" t="e">
        <f>#N/A</f>
        <v>#N/A</v>
      </c>
      <c r="EC1" s="37" t="e">
        <f>#N/A</f>
        <v>#N/A</v>
      </c>
      <c r="ED1" s="37" t="e">
        <f>#N/A</f>
        <v>#N/A</v>
      </c>
      <c r="EE1" s="37" t="e">
        <f>#N/A</f>
        <v>#N/A</v>
      </c>
      <c r="EF1" s="37" t="e">
        <f>#N/A</f>
        <v>#N/A</v>
      </c>
      <c r="EG1" s="37" t="e">
        <f>#N/A</f>
        <v>#N/A</v>
      </c>
      <c r="EH1" s="37" t="e">
        <f>#N/A</f>
        <v>#N/A</v>
      </c>
      <c r="EI1" s="37" t="e">
        <f>#N/A</f>
        <v>#N/A</v>
      </c>
      <c r="EJ1" s="37" t="e">
        <f>#N/A</f>
        <v>#N/A</v>
      </c>
      <c r="EK1" s="37" t="e">
        <f>#N/A</f>
        <v>#N/A</v>
      </c>
      <c r="EL1" s="37" t="e">
        <f>#N/A</f>
        <v>#N/A</v>
      </c>
      <c r="EM1" s="37" t="e">
        <f>#N/A</f>
        <v>#N/A</v>
      </c>
      <c r="EN1" s="37" t="e">
        <f>#N/A</f>
        <v>#N/A</v>
      </c>
      <c r="EO1" s="37" t="e">
        <f>#N/A</f>
        <v>#N/A</v>
      </c>
      <c r="EP1" s="37" t="e">
        <f>#N/A</f>
        <v>#N/A</v>
      </c>
      <c r="EQ1" s="37" t="e">
        <f>#N/A</f>
        <v>#N/A</v>
      </c>
      <c r="ER1" s="37" t="e">
        <f>#N/A</f>
        <v>#N/A</v>
      </c>
    </row>
    <row r="2" spans="1:242">
      <c r="E2" s="31" t="s">
        <v>202</v>
      </c>
      <c r="BA2" s="31" t="s">
        <v>203</v>
      </c>
      <c r="CW2" s="31" t="s">
        <v>391</v>
      </c>
      <c r="FV2" t="s">
        <v>202</v>
      </c>
    </row>
    <row r="3" spans="1:242" ht="60.6">
      <c r="A3" t="s">
        <v>392</v>
      </c>
      <c r="B3" t="s">
        <v>28</v>
      </c>
      <c r="C3" t="s">
        <v>203</v>
      </c>
      <c r="D3" t="s">
        <v>202</v>
      </c>
      <c r="E3" s="31" t="s">
        <v>29</v>
      </c>
      <c r="F3" s="31" t="s">
        <v>30</v>
      </c>
      <c r="G3" s="31" t="s">
        <v>393</v>
      </c>
      <c r="H3" s="31" t="s">
        <v>29</v>
      </c>
      <c r="I3" s="31" t="s">
        <v>30</v>
      </c>
      <c r="J3" s="31" t="s">
        <v>393</v>
      </c>
      <c r="K3" s="31" t="s">
        <v>29</v>
      </c>
      <c r="L3" s="31" t="s">
        <v>30</v>
      </c>
      <c r="M3" s="31" t="s">
        <v>393</v>
      </c>
      <c r="N3" s="31" t="s">
        <v>29</v>
      </c>
      <c r="O3" s="31" t="s">
        <v>30</v>
      </c>
      <c r="P3" s="31" t="s">
        <v>393</v>
      </c>
      <c r="Q3" s="31" t="s">
        <v>29</v>
      </c>
      <c r="R3" s="31" t="s">
        <v>30</v>
      </c>
      <c r="S3" s="31" t="s">
        <v>393</v>
      </c>
      <c r="T3" s="31" t="s">
        <v>29</v>
      </c>
      <c r="U3" s="31" t="s">
        <v>30</v>
      </c>
      <c r="V3" s="31" t="s">
        <v>393</v>
      </c>
      <c r="W3" s="31" t="s">
        <v>29</v>
      </c>
      <c r="X3" s="31" t="s">
        <v>30</v>
      </c>
      <c r="Y3" s="31" t="s">
        <v>393</v>
      </c>
      <c r="Z3" s="31" t="s">
        <v>29</v>
      </c>
      <c r="AA3" s="31" t="s">
        <v>30</v>
      </c>
      <c r="AB3" s="31" t="s">
        <v>393</v>
      </c>
      <c r="AC3" s="31" t="s">
        <v>29</v>
      </c>
      <c r="AD3" s="31" t="s">
        <v>30</v>
      </c>
      <c r="AE3" s="31" t="s">
        <v>393</v>
      </c>
      <c r="AF3" s="31" t="s">
        <v>29</v>
      </c>
      <c r="AG3" s="31" t="s">
        <v>30</v>
      </c>
      <c r="AH3" s="31" t="s">
        <v>393</v>
      </c>
      <c r="AI3" s="32" t="s">
        <v>29</v>
      </c>
      <c r="AJ3" s="32" t="s">
        <v>30</v>
      </c>
      <c r="AK3" s="32" t="s">
        <v>393</v>
      </c>
      <c r="AL3" s="32" t="s">
        <v>29</v>
      </c>
      <c r="AM3" s="32" t="s">
        <v>30</v>
      </c>
      <c r="AN3" s="32" t="s">
        <v>393</v>
      </c>
      <c r="AO3" s="32" t="s">
        <v>29</v>
      </c>
      <c r="AP3" s="32" t="s">
        <v>30</v>
      </c>
      <c r="AQ3" s="32" t="s">
        <v>393</v>
      </c>
      <c r="AR3" s="32" t="s">
        <v>29</v>
      </c>
      <c r="AS3" s="32" t="s">
        <v>30</v>
      </c>
      <c r="AT3" s="32" t="s">
        <v>393</v>
      </c>
      <c r="AU3" s="32" t="s">
        <v>29</v>
      </c>
      <c r="AV3" s="32" t="s">
        <v>30</v>
      </c>
      <c r="AW3" s="32" t="s">
        <v>393</v>
      </c>
      <c r="AX3" s="32" t="s">
        <v>29</v>
      </c>
      <c r="AY3" s="32" t="s">
        <v>30</v>
      </c>
      <c r="AZ3" s="32" t="s">
        <v>393</v>
      </c>
      <c r="BA3" s="31" t="str" cm="1">
        <f t="array" ref="BA3:CV3">E3:AZ3</f>
        <v>A</v>
      </c>
      <c r="BB3" s="31" t="str">
        <v>B</v>
      </c>
      <c r="BC3" s="31" t="str">
        <v>C/D</v>
      </c>
      <c r="BD3" s="31" t="str">
        <v>A</v>
      </c>
      <c r="BE3" s="31" t="str">
        <v>B</v>
      </c>
      <c r="BF3" s="31" t="str">
        <v>C/D</v>
      </c>
      <c r="BG3" s="31" t="str">
        <v>A</v>
      </c>
      <c r="BH3" s="31" t="str">
        <v>B</v>
      </c>
      <c r="BI3" s="31" t="str">
        <v>C/D</v>
      </c>
      <c r="BJ3" s="31" t="str">
        <v>A</v>
      </c>
      <c r="BK3" s="31" t="str">
        <v>B</v>
      </c>
      <c r="BL3" s="31" t="str">
        <v>C/D</v>
      </c>
      <c r="BM3" s="31" t="str">
        <v>A</v>
      </c>
      <c r="BN3" s="31" t="str">
        <v>B</v>
      </c>
      <c r="BO3" s="31" t="str">
        <v>C/D</v>
      </c>
      <c r="BP3" s="31" t="str">
        <v>A</v>
      </c>
      <c r="BQ3" s="31" t="str">
        <v>B</v>
      </c>
      <c r="BR3" s="31" t="str">
        <v>C/D</v>
      </c>
      <c r="BS3" s="31" t="str">
        <v>A</v>
      </c>
      <c r="BT3" s="31" t="str">
        <v>B</v>
      </c>
      <c r="BU3" s="31" t="str">
        <v>C/D</v>
      </c>
      <c r="BV3" s="31" t="str">
        <v>A</v>
      </c>
      <c r="BW3" s="31" t="str">
        <v>B</v>
      </c>
      <c r="BX3" s="31" t="str">
        <v>C/D</v>
      </c>
      <c r="BY3" s="31" t="str">
        <v>A</v>
      </c>
      <c r="BZ3" s="31" t="str">
        <v>B</v>
      </c>
      <c r="CA3" s="31" t="str">
        <v>C/D</v>
      </c>
      <c r="CB3" s="31" t="str">
        <v>A</v>
      </c>
      <c r="CC3" s="31" t="str">
        <v>B</v>
      </c>
      <c r="CD3" s="31" t="str">
        <v>C/D</v>
      </c>
      <c r="CE3" s="32" t="str">
        <v>A</v>
      </c>
      <c r="CF3" s="32" t="str">
        <v>B</v>
      </c>
      <c r="CG3" s="32" t="str">
        <v>C/D</v>
      </c>
      <c r="CH3" s="32" t="str">
        <v>A</v>
      </c>
      <c r="CI3" s="32" t="str">
        <v>B</v>
      </c>
      <c r="CJ3" s="32" t="str">
        <v>C/D</v>
      </c>
      <c r="CK3" s="32" t="str">
        <v>A</v>
      </c>
      <c r="CL3" s="32" t="str">
        <v>B</v>
      </c>
      <c r="CM3" s="32" t="str">
        <v>C/D</v>
      </c>
      <c r="CN3" s="32" t="str">
        <v>A</v>
      </c>
      <c r="CO3" s="32" t="str">
        <v>B</v>
      </c>
      <c r="CP3" s="32" t="str">
        <v>C/D</v>
      </c>
      <c r="CQ3" s="32" t="str">
        <v>A</v>
      </c>
      <c r="CR3" s="32" t="str">
        <v>B</v>
      </c>
      <c r="CS3" s="32" t="str">
        <v>C/D</v>
      </c>
      <c r="CT3" s="32" t="str">
        <v>A</v>
      </c>
      <c r="CU3" s="32" t="str">
        <v>B</v>
      </c>
      <c r="CV3" s="32" t="str">
        <v>C/D</v>
      </c>
      <c r="ET3" t="s">
        <v>394</v>
      </c>
      <c r="EU3" s="34" t="s">
        <v>34</v>
      </c>
      <c r="EV3" s="34" t="s">
        <v>164</v>
      </c>
      <c r="EW3" s="34" t="s">
        <v>165</v>
      </c>
      <c r="EX3" s="34" t="s">
        <v>166</v>
      </c>
      <c r="EY3" s="34" t="s">
        <v>167</v>
      </c>
      <c r="EZ3" s="34" t="s">
        <v>168</v>
      </c>
      <c r="FA3" s="34" t="s">
        <v>169</v>
      </c>
      <c r="FB3" s="34" t="s">
        <v>170</v>
      </c>
      <c r="FC3" s="34" t="s">
        <v>171</v>
      </c>
      <c r="FD3" s="34" t="s">
        <v>172</v>
      </c>
      <c r="FE3" s="34" t="s">
        <v>395</v>
      </c>
      <c r="FF3" s="35" t="s">
        <v>186</v>
      </c>
      <c r="FG3" s="35" t="s">
        <v>187</v>
      </c>
      <c r="FH3" s="35" t="s">
        <v>188</v>
      </c>
      <c r="FI3" s="35" t="s">
        <v>189</v>
      </c>
      <c r="FJ3" s="35" t="s">
        <v>190</v>
      </c>
      <c r="FK3" s="35" t="s">
        <v>191</v>
      </c>
      <c r="FL3" s="35" t="s">
        <v>396</v>
      </c>
      <c r="FM3" s="34" t="s">
        <v>397</v>
      </c>
      <c r="FN3" s="34" t="s">
        <v>398</v>
      </c>
      <c r="FO3" s="35" t="s">
        <v>399</v>
      </c>
      <c r="FP3" s="35" t="s">
        <v>400</v>
      </c>
      <c r="FQ3" s="35" t="s">
        <v>401</v>
      </c>
      <c r="FR3" s="35" t="s">
        <v>402</v>
      </c>
      <c r="FS3" s="35" t="s">
        <v>403</v>
      </c>
      <c r="FT3" s="35" t="s">
        <v>404</v>
      </c>
      <c r="FU3" s="51" t="s">
        <v>28</v>
      </c>
      <c r="FV3" s="52" t="str" cm="1">
        <f t="array" ref="FV3:HN3">TRANSPOSE(B4:B48)</f>
        <v>1.1.1</v>
      </c>
      <c r="FW3" s="52" t="str">
        <v>2.1.1</v>
      </c>
      <c r="FX3" s="52" t="str">
        <v>2.1.2</v>
      </c>
      <c r="FY3" s="52" t="str">
        <v>2.1.3</v>
      </c>
      <c r="FZ3" s="52" t="str">
        <v>2.1.4</v>
      </c>
      <c r="GA3" s="52" t="str">
        <v>2.1.5</v>
      </c>
      <c r="GB3" s="52" t="str">
        <v>2.1.6</v>
      </c>
      <c r="GC3" s="52" t="str">
        <v>2.2.1</v>
      </c>
      <c r="GD3" s="52" t="str">
        <v>2.3.1</v>
      </c>
      <c r="GE3" s="52" t="str">
        <v>2.3.2</v>
      </c>
      <c r="GF3" s="52" t="str">
        <v>2.3.3</v>
      </c>
      <c r="GG3" s="52" t="str">
        <v>2.3.4</v>
      </c>
      <c r="GH3" s="52" t="str">
        <v>2.4.1</v>
      </c>
      <c r="GI3" s="52" t="str">
        <v>2.5.1</v>
      </c>
      <c r="GJ3" s="52" t="str">
        <v>3A.1.1</v>
      </c>
      <c r="GK3" s="52" t="str">
        <v>3A.2.1</v>
      </c>
      <c r="GL3" s="52" t="str">
        <v>3A.3.1</v>
      </c>
      <c r="GM3" s="52" t="str">
        <v>3A.3.2</v>
      </c>
      <c r="GN3" s="52" t="str">
        <v>4A.1.1</v>
      </c>
      <c r="GO3" s="52" t="str">
        <v>4A.1.2</v>
      </c>
      <c r="GP3" s="52" t="str">
        <v>4A.1.3</v>
      </c>
      <c r="GQ3" s="52" t="str">
        <v>4A.1.4</v>
      </c>
      <c r="GR3" s="52" t="str">
        <v>4A.1.5</v>
      </c>
      <c r="GS3" s="52" t="str">
        <v>4A.1.6</v>
      </c>
      <c r="GT3" s="52" t="str">
        <v>4A.2.1</v>
      </c>
      <c r="GU3" s="52" t="str">
        <v>4A.2.2</v>
      </c>
      <c r="GV3" s="52" t="str">
        <v>4A.2.3</v>
      </c>
      <c r="GW3" s="52" t="str">
        <v>4A.3.1</v>
      </c>
      <c r="GX3" s="52" t="str">
        <v>4A.3.2</v>
      </c>
      <c r="GY3" s="52" t="str">
        <v>4A.3.3</v>
      </c>
      <c r="GZ3" s="52" t="str">
        <v>5A.1.1</v>
      </c>
      <c r="HA3" s="52" t="str">
        <v>5A.1.2</v>
      </c>
      <c r="HB3" s="52" t="str">
        <v>5A.2.1</v>
      </c>
      <c r="HC3" s="52" t="str">
        <v>5A.2.2</v>
      </c>
      <c r="HD3" s="52" t="str">
        <v>6A.1.1</v>
      </c>
      <c r="HE3" s="52" t="str">
        <v>6A.1.2</v>
      </c>
      <c r="HF3" s="52" t="str">
        <v>6A.2.1</v>
      </c>
      <c r="HG3" s="52" t="str">
        <v>6A.2.2</v>
      </c>
      <c r="HH3" s="52" t="str">
        <v>6A.2.3</v>
      </c>
      <c r="HI3" s="52" t="str">
        <v>7A.1.1</v>
      </c>
      <c r="HJ3" s="52" t="str">
        <v>7A.1.2</v>
      </c>
      <c r="HK3" s="52" t="str">
        <v>7A.1.3</v>
      </c>
      <c r="HL3" s="52" t="str">
        <v>7A.1.4</v>
      </c>
      <c r="HM3" s="52" t="str">
        <v>7A.1.5</v>
      </c>
      <c r="HN3" s="52" t="str">
        <v>7A.1.6</v>
      </c>
      <c r="HO3" s="52" t="s">
        <v>391</v>
      </c>
      <c r="HP3" s="53" t="str" cm="1">
        <f t="array" ref="HP3:IG3">EU3:FL3</f>
        <v>TASYA</v>
      </c>
      <c r="HQ3" s="53" t="str">
        <v>FAIZ</v>
      </c>
      <c r="HR3" s="53" t="str">
        <v>RIRIS</v>
      </c>
      <c r="HS3" s="34" t="str">
        <v>BIMA</v>
      </c>
      <c r="HT3" s="34" t="str">
        <v>RIFQI</v>
      </c>
      <c r="HU3" s="34" t="str">
        <v>ARIFAH</v>
      </c>
      <c r="HV3" s="34" t="str">
        <v>DEVI</v>
      </c>
      <c r="HW3" s="34" t="str">
        <v>AINUR</v>
      </c>
      <c r="HX3" s="34" t="str">
        <v>FAJAR</v>
      </c>
      <c r="HY3" s="34" t="str">
        <v>ALIF</v>
      </c>
      <c r="HZ3" s="34" t="str">
        <v>MOYENNE MLG</v>
      </c>
      <c r="IA3" s="34" t="str">
        <v>DIKI</v>
      </c>
      <c r="IB3" s="34" t="str">
        <v>RIZKI</v>
      </c>
      <c r="IC3" s="34" t="str">
        <v>GITA</v>
      </c>
      <c r="ID3" s="34" t="str">
        <v>GHATA</v>
      </c>
      <c r="IE3" s="34" t="str">
        <v>RAHMAT</v>
      </c>
      <c r="IF3" s="34" t="str">
        <v>AYUTYASTUTI</v>
      </c>
      <c r="IG3" s="34" t="str">
        <v>MOYENNE CMI</v>
      </c>
      <c r="IH3" s="34"/>
    </row>
    <row r="4" spans="1:242">
      <c r="A4" t="str">
        <f>LEFT(B4,LEN(B4)-2)</f>
        <v>1.1</v>
      </c>
      <c r="B4" t="s">
        <v>35</v>
      </c>
      <c r="C4" s="27">
        <v>0</v>
      </c>
      <c r="D4" s="27">
        <v>3</v>
      </c>
      <c r="E4" s="31">
        <f>IF($D4=0,0,IF(_xlfn.XLOOKUP($B4,'TH_MLG GRADE 10'!$B$7:$B$49,'TH_MLG GRADE 10'!C$7:C$49,"",0,1)="P",1*$D4,0))</f>
        <v>3</v>
      </c>
      <c r="F4" s="31">
        <f>IF($D4=0,0,IF(_xlfn.XLOOKUP($B4,'TH_MLG GRADE 10'!$B$7:$B$49,'TH_MLG GRADE 10'!D$7:D$49,"",0,1)="P",1*$D4,0))</f>
        <v>3</v>
      </c>
      <c r="G4" s="31">
        <f>IF($D4=0,0,IF(_xlfn.XLOOKUP($B4,'TH_MLG GRADE 10'!$B$7:$B$49,'TH_MLG GRADE 10'!E$7:E$49,"",0,1)="P",1*$D4,0))</f>
        <v>0</v>
      </c>
      <c r="H4" s="31">
        <f>IF($D4=0,0,IF(_xlfn.XLOOKUP($B4,'TH_MLG GRADE 10'!$B$7:$B$49,'TH_MLG GRADE 10'!I$7:I$49,"",0,1)="P",1*$D4,0))</f>
        <v>3</v>
      </c>
      <c r="I4" s="31">
        <f>IF($D4=0,0,IF(_xlfn.XLOOKUP($B4,'TH_MLG GRADE 10'!$B$7:$B$49,'TH_MLG GRADE 10'!J$7:J$49,"",0,1)="P",1*$D4,0))</f>
        <v>3</v>
      </c>
      <c r="J4" s="31">
        <f>IF($D4=0,0,IF(_xlfn.XLOOKUP($B4,'TH_MLG GRADE 10'!$B$7:$B$49,'TH_MLG GRADE 10'!K$7:K$49,"",0,1)="P",1*$D4,0))</f>
        <v>3</v>
      </c>
      <c r="K4" s="31">
        <f>IF($D4=0,0,IF(_xlfn.XLOOKUP($B4,'TH_MLG GRADE 10'!$B$7:$B$49,'TH_MLG GRADE 10'!O$7:O$49,"",0,1)="P",1*$D4,0))</f>
        <v>3</v>
      </c>
      <c r="L4" s="31">
        <f>IF($D4=0,0,IF(_xlfn.XLOOKUP($B4,'TH_MLG GRADE 10'!$B$7:$B$49,'TH_MLG GRADE 10'!P$7:P$49,"",0,1)="P",1*$D4,0))</f>
        <v>0</v>
      </c>
      <c r="M4" s="31">
        <f>IF($D4=0,0,IF(_xlfn.XLOOKUP($B4,'TH_MLG GRADE 10'!$B$7:$B$49,'TH_MLG GRADE 10'!Q$7:Q$49,"",0,1)="P",1*$D4,0))</f>
        <v>0</v>
      </c>
      <c r="N4" s="31">
        <f>IF($D4=0,0,IF(_xlfn.XLOOKUP($B4,'TH_MLG GRADE 10'!$B$7:$B$49,'TH_MLG GRADE 10'!AA$7:AA$49,"",0,1)="P",1*$D4,0))</f>
        <v>0</v>
      </c>
      <c r="O4" s="31">
        <f>IF($D4=0,0,IF(_xlfn.XLOOKUP($B4,'TH_MLG GRADE 10'!$B$7:$B$49,'TH_MLG GRADE 10'!AB$7:AB$49,"",0,1)="P",1*$D4,0))</f>
        <v>0</v>
      </c>
      <c r="P4" s="31">
        <f>IF($D4=0,0,IF(_xlfn.XLOOKUP($B4,'TH_MLG GRADE 10'!$B$7:$B$49,'TH_MLG GRADE 10'!AC$7:AC$49,"",0,1)="P",1*$D4,0))</f>
        <v>0</v>
      </c>
      <c r="Q4" s="31">
        <f>IF($D4=0,0,IF(_xlfn.XLOOKUP($B4,'TH_MLG GRADE 10'!$B$7:$B$49,'TH_MLG GRADE 10'!AG$7:AG$49,"",0,1)="P",1*$D4,0))</f>
        <v>0</v>
      </c>
      <c r="R4" s="31">
        <f>IF($D4=0,0,IF(_xlfn.XLOOKUP($B4,'TH_MLG GRADE 10'!$B$7:$B$49,'TH_MLG GRADE 10'!AH$7:AH$49,"",0,1)="P",1*$D4,0))</f>
        <v>0</v>
      </c>
      <c r="S4" s="31">
        <f>IF($D4=0,0,IF(_xlfn.XLOOKUP($B4,'TH_MLG GRADE 10'!$B$7:$B$49,'TH_MLG GRADE 10'!AI$7:AI$49,"",0,1)="P",1*$D4,0))</f>
        <v>0</v>
      </c>
      <c r="T4" s="31">
        <f>IF($D4=0,0,IF(_xlfn.XLOOKUP($B4,'TH_MLG GRADE 10'!$B$7:$B$49,'TH_MLG GRADE 10'!AM$7:AM$49,"",0,1)="P",1*$D4,0))</f>
        <v>0</v>
      </c>
      <c r="U4" s="31">
        <f>IF($D4=0,0,IF(_xlfn.XLOOKUP($B4,'TH_MLG GRADE 10'!$B$7:$B$49,'TH_MLG GRADE 10'!AN$7:AN$49,"",0,1)="P",1*$D4,0))</f>
        <v>0</v>
      </c>
      <c r="V4" s="31">
        <f>IF($D4=0,0,IF(_xlfn.XLOOKUP($B4,'TH_MLG GRADE 10'!$B$7:$B$49,'TH_MLG GRADE 10'!AO$7:AO$49,"",0,1)="P",1*$D4,0))</f>
        <v>0</v>
      </c>
      <c r="W4" s="31">
        <f>IF($D4=0,0,IF(_xlfn.XLOOKUP($B4,'TH_MLG GRADE 10'!$B$7:$B$49,'TH_MLG GRADE 10'!AY$7:AY$49,"",0,1)="P",1*$D4,0))</f>
        <v>0</v>
      </c>
      <c r="X4" s="31">
        <f>IF($D4=0,0,IF(_xlfn.XLOOKUP($B4,'TH_MLG GRADE 10'!$B$7:$B$49,'TH_MLG GRADE 10'!AZ$7:AZ$49,"",0,1)="P",1*$D4,0))</f>
        <v>0</v>
      </c>
      <c r="Y4" s="31">
        <f>IF($D4=0,0,IF(_xlfn.XLOOKUP($B4,'TH_MLG GRADE 10'!$B$7:$B$49,'TH_MLG GRADE 10'!BA$7:BA$49,"",0,1)="P",1*$D4,0))</f>
        <v>0</v>
      </c>
      <c r="Z4" s="31">
        <f>IF($D4=0,0,IF(_xlfn.XLOOKUP($B4,'TH_MLG GRADE 10'!$B$7:$B$49,'TH_MLG GRADE 10'!BE$7:BE$49,"",0,1)="P",1*$D4,0))</f>
        <v>0</v>
      </c>
      <c r="AA4" s="31">
        <f>IF($D4=0,0,IF(_xlfn.XLOOKUP($B4,'TH_MLG GRADE 10'!$B$7:$B$49,'TH_MLG GRADE 10'!BF$7:BF$49,"",0,1)="P",1*$D4,0))</f>
        <v>0</v>
      </c>
      <c r="AB4" s="31">
        <f>IF($D4=0,0,IF(_xlfn.XLOOKUP($B4,'TH_MLG GRADE 10'!$B$7:$B$49,'TH_MLG GRADE 10'!BG$7:BG$49,"",0,1)="P",1*$D4,0))</f>
        <v>0</v>
      </c>
      <c r="AC4" s="31" t="e">
        <f>IF($D4=0,0,IF(_xlfn.XLOOKUP($B4,'TH_MLG GRADE 10'!$B$7:$B$49,'TH_MLG GRADE 10'!#REF!,"",0,1)="P",1*$D4,0))</f>
        <v>#REF!</v>
      </c>
      <c r="AD4" s="31" t="e">
        <f>IF($D4=0,0,IF(_xlfn.XLOOKUP($B4,'TH_MLG GRADE 10'!$B$7:$B$49,'TH_MLG GRADE 10'!#REF!,"",0,1)="P",1*$D4,0))</f>
        <v>#REF!</v>
      </c>
      <c r="AE4" s="31" t="e">
        <f>IF($D4=0,0,IF(_xlfn.XLOOKUP($B4,'TH_MLG GRADE 10'!$B$7:$B$49,'TH_MLG GRADE 10'!#REF!,"",0,1)="P",1*$D4,0))</f>
        <v>#REF!</v>
      </c>
      <c r="AF4" s="31" t="e">
        <f>IF($D4=0,0,IF(_xlfn.XLOOKUP($B4,'TH_MLG GRADE 10'!$B$7:$B$49,'TH_MLG GRADE 10'!#REF!,"",0,1)="P",1*$D4,0))</f>
        <v>#REF!</v>
      </c>
      <c r="AG4" s="31" t="e">
        <f>IF($D4=0,0,IF(_xlfn.XLOOKUP($B4,'TH_MLG GRADE 10'!$B$7:$B$49,'TH_MLG GRADE 10'!#REF!,"",0,1)="P",1*$D4,0))</f>
        <v>#REF!</v>
      </c>
      <c r="AH4" s="31" t="e">
        <f>IF($D4=0,0,IF(_xlfn.XLOOKUP($B4,'TH_MLG GRADE 10'!$B$7:$B$49,'TH_MLG GRADE 10'!#REF!,"",0,1)="P",1*$D4,0))</f>
        <v>#REF!</v>
      </c>
      <c r="AI4" s="32">
        <f>IF($D4=0,0,IF(_xlfn.XLOOKUP($B4,'TH_CMI GRADE 10'!$B$7:$B$49,'TH_CMI GRADE 10'!C$7:C$49,"",0,1)="P",1*$D4,0))</f>
        <v>3</v>
      </c>
      <c r="AJ4" s="32">
        <f>IF($D4=0,0,IF(_xlfn.XLOOKUP($B4,'TH_CMI GRADE 10'!$B$7:$B$49,'TH_CMI GRADE 10'!D$7:D$49,"",0,1)="P",1*$D4,0))</f>
        <v>3</v>
      </c>
      <c r="AK4" s="32">
        <f>IF($D4=0,0,IF(_xlfn.XLOOKUP($B4,'TH_CMI GRADE 10'!$B$7:$B$49,'TH_CMI GRADE 10'!H$7:H$49,"",0,1)="P",1*$D4,0))</f>
        <v>0</v>
      </c>
      <c r="AL4" s="32">
        <f>IF($D4=0,0,IF(_xlfn.XLOOKUP($B4,'TH_CMI GRADE 10'!$B$7:$B$49,'TH_CMI GRADE 10'!I$7:I$49,"",0,1)="P",1*$D4,0))</f>
        <v>0</v>
      </c>
      <c r="AM4" s="32">
        <f>IF($D4=0,0,IF(_xlfn.XLOOKUP($B4,'TH_CMI GRADE 10'!$B$7:$B$49,'TH_CMI GRADE 10'!J$7:J$49,"",0,1)="P",1*$D4,0))</f>
        <v>0</v>
      </c>
      <c r="AN4" s="32">
        <f>IF($D4=0,0,IF(_xlfn.XLOOKUP($B4,'TH_CMI GRADE 10'!$B$7:$B$49,'TH_CMI GRADE 10'!K$7:K$49,"",0,1)="P",1*$D4,0))</f>
        <v>0</v>
      </c>
      <c r="AO4" s="32">
        <f>IF($D4=0,0,IF(_xlfn.XLOOKUP($B4,'TH_CMI GRADE 10'!$B$7:$B$49,'TH_CMI GRADE 10'!O$7:O$49,"",0,1)="P",1*$D4,0))</f>
        <v>0</v>
      </c>
      <c r="AP4" s="32">
        <f>IF($D4=0,0,IF(_xlfn.XLOOKUP($B4,'TH_CMI GRADE 10'!$B$7:$B$49,'TH_CMI GRADE 10'!P$7:P$49,"",0,1)="P",1*$D4,0))</f>
        <v>0</v>
      </c>
      <c r="AQ4" s="32">
        <f>IF($D4=0,0,IF(_xlfn.XLOOKUP($B4,'TH_CMI GRADE 10'!$B$7:$B$49,'TH_CMI GRADE 10'!Q$7:Q$49,"",0,1)="P",1*$D4,0))</f>
        <v>0</v>
      </c>
      <c r="AR4" s="32">
        <f>IF($D4=0,0,IF(_xlfn.XLOOKUP($B4,'TH_CMI GRADE 10'!$B$7:$B$49,'TH_CMI GRADE 10'!U$7:U$49,"",0,1)="P",1*$D4,0))</f>
        <v>3</v>
      </c>
      <c r="AS4" s="32">
        <f>IF($D4=0,0,IF(_xlfn.XLOOKUP($B4,'TH_CMI GRADE 10'!$B$7:$B$49,'TH_CMI GRADE 10'!V$7:V$49,"",0,1)="P",1*$D4,0))</f>
        <v>3</v>
      </c>
      <c r="AT4" s="32">
        <f>IF($D4=0,0,IF(_xlfn.XLOOKUP($B4,'TH_CMI GRADE 10'!$B$7:$B$49,'TH_CMI GRADE 10'!W$7:W$49,"",0,1)="P",1*$D4,0))</f>
        <v>3</v>
      </c>
      <c r="AU4" s="32">
        <f>IF($D4=0,0,IF(_xlfn.XLOOKUP($B4,'TH_CMI GRADE 10'!$B$7:$B$49,'TH_CMI GRADE 10'!AA$7:AA$49,"",0,1)="P",1*$D4,0))</f>
        <v>0</v>
      </c>
      <c r="AV4" s="32">
        <f>IF($D4=0,0,IF(_xlfn.XLOOKUP($B4,'TH_CMI GRADE 10'!$B$7:$B$49,'TH_CMI GRADE 10'!AB$7:AB$49,"",0,1)="P",1*$D4,0))</f>
        <v>0</v>
      </c>
      <c r="AW4" s="32">
        <f>IF($D4=0,0,IF(_xlfn.XLOOKUP($B4,'TH_CMI GRADE 10'!$B$7:$B$49,'TH_CMI GRADE 10'!AC$7:AC$49,"",0,1)="P",1*$D4,0))</f>
        <v>0</v>
      </c>
      <c r="AX4" s="32">
        <f>IF($D4=0,0,IF(_xlfn.XLOOKUP($B4,'TH_CMI GRADE 10'!$B$7:$B$49,'TH_CMI GRADE 10'!AG$7:AG$49,"",0,1)="P",1*$D4,0))</f>
        <v>0</v>
      </c>
      <c r="AY4" s="32">
        <f>IF($D4=0,0,IF(_xlfn.XLOOKUP($B4,'TH_CMI GRADE 10'!$B$7:$B$49,'TH_CMI GRADE 10'!AH$7:AH$49,"",0,1)="P",1*$D4,0))</f>
        <v>0</v>
      </c>
      <c r="AZ4" s="32">
        <f>IF($D4=0,0,IF(_xlfn.XLOOKUP($B4,'TH_CMI GRADE 10'!$B$7:$B$49,'TH_CMI GRADE 10'!AI$7:AI$49,"",0,1)="P",1*$D4,0))</f>
        <v>0</v>
      </c>
      <c r="BA4" s="31">
        <f>IF($C4=0,0,IF(_xlfn.XLOOKUP($B4,'PW_MLG GRADE 10'!$B$7:$B$31,'PW_MLG GRADE 10'!#REF!,"",0,1)="P",1*$C4,0))</f>
        <v>0</v>
      </c>
      <c r="BB4" s="31">
        <f>IF($C4=0,0,IF(_xlfn.XLOOKUP($B4,'PW_MLG GRADE 10'!$B$7:$B$31,'PW_MLG GRADE 10'!#REF!,"",0,1)="P",1*$C4,0))</f>
        <v>0</v>
      </c>
      <c r="BC4" s="31">
        <f>IF($C4=0,0,IF(_xlfn.XLOOKUP($B4,'PW_MLG GRADE 10'!$B$7:$B$31,'PW_MLG GRADE 10'!#REF!,"",0,1)="P",1*$C4,0))</f>
        <v>0</v>
      </c>
      <c r="BD4" s="31">
        <f>IF($C4=0,0,IF(_xlfn.XLOOKUP($B4,'PW_MLG GRADE 10'!$B$7:$B$31,'PW_MLG GRADE 10'!#REF!,"",0,1)="P",1*$C4,0))</f>
        <v>0</v>
      </c>
      <c r="BE4" s="31">
        <f>IF($C4=0,0,IF(_xlfn.XLOOKUP($B4,'PW_MLG GRADE 10'!$B$7:$B$31,'PW_MLG GRADE 10'!#REF!,"",0,1)="P",1*$C4,0))</f>
        <v>0</v>
      </c>
      <c r="BF4" s="31">
        <f>IF($C4=0,0,IF(_xlfn.XLOOKUP($B4,'PW_MLG GRADE 10'!$B$7:$B$31,'PW_MLG GRADE 10'!#REF!,"",0,1)="P",1*$C4,0))</f>
        <v>0</v>
      </c>
      <c r="BG4" s="31">
        <f>IF($C4=0,0,IF(_xlfn.XLOOKUP($B4,'PW_MLG GRADE 10'!$B$7:$B$31,'PW_MLG GRADE 10'!#REF!,"",0,1)="P",1*$C4,0))</f>
        <v>0</v>
      </c>
      <c r="BH4" s="31">
        <f>IF($C4=0,0,IF(_xlfn.XLOOKUP($B4,'PW_MLG GRADE 10'!$B$7:$B$31,'PW_MLG GRADE 10'!#REF!,"",0,1)="P",1*$C4,0))</f>
        <v>0</v>
      </c>
      <c r="BI4" s="31">
        <f>IF($C4=0,0,IF(_xlfn.XLOOKUP($B4,'PW_MLG GRADE 10'!$B$7:$B$31,'PW_MLG GRADE 10'!#REF!,"",0,1)="P",1*$C4,0))</f>
        <v>0</v>
      </c>
      <c r="BJ4" s="31">
        <f>IF($C4=0,0,IF(_xlfn.XLOOKUP($B4,'PW_MLG GRADE 10'!$B$7:$B$31,'PW_MLG GRADE 10'!#REF!,"",0,1)="P",1*$C4,0))</f>
        <v>0</v>
      </c>
      <c r="BK4" s="31">
        <f>IF($C4=0,0,IF(_xlfn.XLOOKUP($B4,'PW_MLG GRADE 10'!$B$7:$B$31,'PW_MLG GRADE 10'!#REF!,"",0,1)="P",1*$C4,0))</f>
        <v>0</v>
      </c>
      <c r="BL4" s="31">
        <f>IF($C4=0,0,IF(_xlfn.XLOOKUP($B4,'PW_MLG GRADE 10'!$B$7:$B$31,'PW_MLG GRADE 10'!#REF!,"",0,1)="P",1*$C4,0))</f>
        <v>0</v>
      </c>
      <c r="BM4" s="31">
        <f>IF($C4=0,0,IF(_xlfn.XLOOKUP($B4,'PW_MLG GRADE 10'!$B$7:$B$31,'PW_MLG GRADE 10'!#REF!,"",0,1)="P",1*$C4,0))</f>
        <v>0</v>
      </c>
      <c r="BN4" s="31">
        <f>IF($C4=0,0,IF(_xlfn.XLOOKUP($B4,'PW_MLG GRADE 10'!$B$7:$B$31,'PW_MLG GRADE 10'!#REF!,"",0,1)="P",1*$C4,0))</f>
        <v>0</v>
      </c>
      <c r="BO4" s="31">
        <f>IF($C4=0,0,IF(_xlfn.XLOOKUP($B4,'PW_MLG GRADE 10'!$B$7:$B$31,'PW_MLG GRADE 10'!#REF!,"",0,1)="P",1*$C4,0))</f>
        <v>0</v>
      </c>
      <c r="BP4" s="31">
        <f>IF($C4=0,0,IF(_xlfn.XLOOKUP($B4,'PW_MLG GRADE 10'!$B$7:$B$31,'PW_MLG GRADE 10'!#REF!,"",0,1)="P",1*$C4,0))</f>
        <v>0</v>
      </c>
      <c r="BQ4" s="31">
        <f>IF($C4=0,0,IF(_xlfn.XLOOKUP($B4,'PW_MLG GRADE 10'!$B$7:$B$31,'PW_MLG GRADE 10'!#REF!,"",0,1)="P",1*$C4,0))</f>
        <v>0</v>
      </c>
      <c r="BR4" s="31">
        <f>IF($C4=0,0,IF(_xlfn.XLOOKUP($B4,'PW_MLG GRADE 10'!$B$7:$B$31,'PW_MLG GRADE 10'!#REF!,"",0,1)="P",1*$C4,0))</f>
        <v>0</v>
      </c>
      <c r="BS4" s="31">
        <f>IF($C4=0,0,IF(_xlfn.XLOOKUP($B4,'PW_MLG GRADE 10'!$B$7:$B$31,'PW_MLG GRADE 10'!#REF!,"",0,1)="P",1*$C4,0))</f>
        <v>0</v>
      </c>
      <c r="BT4" s="31">
        <f>IF($C4=0,0,IF(_xlfn.XLOOKUP($B4,'PW_MLG GRADE 10'!$B$7:$B$31,'PW_MLG GRADE 10'!#REF!,"",0,1)="P",1*$C4,0))</f>
        <v>0</v>
      </c>
      <c r="BU4" s="31">
        <f>IF($C4=0,0,IF(_xlfn.XLOOKUP($B4,'PW_MLG GRADE 10'!$B$7:$B$31,'PW_MLG GRADE 10'!#REF!,"",0,1)="P",1*$C4,0))</f>
        <v>0</v>
      </c>
      <c r="BV4" s="31">
        <f>IF($C4=0,0,IF(_xlfn.XLOOKUP($B4,'PW_MLG GRADE 10'!$B$7:$B$31,'PW_MLG GRADE 10'!#REF!,"",0,1)="P",1*$C4,0))</f>
        <v>0</v>
      </c>
      <c r="BW4" s="31">
        <f>IF($C4=0,0,IF(_xlfn.XLOOKUP($B4,'PW_MLG GRADE 10'!$B$7:$B$31,'PW_MLG GRADE 10'!#REF!,"",0,1)="P",1*$C4,0))</f>
        <v>0</v>
      </c>
      <c r="BX4" s="31">
        <f>IF($C4=0,0,IF(_xlfn.XLOOKUP($B4,'PW_MLG GRADE 10'!$B$7:$B$31,'PW_MLG GRADE 10'!#REF!,"",0,1)="P",1*$C4,0))</f>
        <v>0</v>
      </c>
      <c r="BY4" s="31">
        <f>IF($C4=0,0,IF(_xlfn.XLOOKUP($B4,'PW_MLG GRADE 10'!$B$7:$B$31,'PW_MLG GRADE 10'!#REF!,"",0,1)="P",1*$C4,0))</f>
        <v>0</v>
      </c>
      <c r="BZ4" s="31">
        <f>IF($C4=0,0,IF(_xlfn.XLOOKUP($B4,'PW_MLG GRADE 10'!$B$7:$B$31,'PW_MLG GRADE 10'!#REF!,"",0,1)="P",1*$C4,0))</f>
        <v>0</v>
      </c>
      <c r="CA4" s="31">
        <f>IF($C4=0,0,IF(_xlfn.XLOOKUP($B4,'PW_MLG GRADE 10'!$B$7:$B$31,'PW_MLG GRADE 10'!#REF!,"",0,1)="P",1*$C4,0))</f>
        <v>0</v>
      </c>
      <c r="CB4" s="31">
        <f>IF($C4=0,0,IF(_xlfn.XLOOKUP($B4,'PW_MLG GRADE 10'!$B$7:$B$31,'PW_MLG GRADE 10'!#REF!,"",0,1)="P",1*$C4,0))</f>
        <v>0</v>
      </c>
      <c r="CC4" s="31">
        <f>IF($C4=0,0,IF(_xlfn.XLOOKUP($B4,'PW_MLG GRADE 10'!$B$7:$B$31,'PW_MLG GRADE 10'!#REF!,"",0,1)="P",1*$C4,0))</f>
        <v>0</v>
      </c>
      <c r="CD4" s="31">
        <f>IF($C4=0,0,IF(_xlfn.XLOOKUP($B4,'PW_MLG GRADE 10'!$B$7:$B$31,'PW_MLG GRADE 10'!#REF!,"",0,1)="P",1*$C4,0))</f>
        <v>0</v>
      </c>
      <c r="CE4" s="32">
        <f>IF($C4=0,0,IF(_xlfn.XLOOKUP($B4,'PW_CMI GRADE 10'!$B$7:$B$31,'PW_CMI GRADE 10'!C$7:C$31,"",0,1)="P",1*$C4,0))</f>
        <v>0</v>
      </c>
      <c r="CF4" s="32">
        <f>IF($C4=0,0,IF(_xlfn.XLOOKUP($B4,'PW_CMI GRADE 10'!$B$7:$B$31,'PW_CMI GRADE 10'!D$7:D$31,"",0,1)="P",1*$C4,0))</f>
        <v>0</v>
      </c>
      <c r="CG4" s="32">
        <f>IF($C4=0,0,IF(_xlfn.XLOOKUP($B4,'PW_CMI GRADE 10'!$B$7:$B$31,'PW_CMI GRADE 10'!E$7:E$31,"",0,1)="P",1*$C4,0))</f>
        <v>0</v>
      </c>
      <c r="CH4" s="32">
        <f>IF($C4=0,0,IF(_xlfn.XLOOKUP($B4,'PW_CMI GRADE 10'!$B$7:$B$31,'PW_CMI GRADE 10'!F$7:F$31,"",0,1)="P",1*$C4,0))</f>
        <v>0</v>
      </c>
      <c r="CI4" s="32">
        <f>IF($C4=0,0,IF(_xlfn.XLOOKUP($B4,'PW_CMI GRADE 10'!$B$7:$B$31,'PW_CMI GRADE 10'!G$7:G$31,"",0,1)="P",1*$C4,0))</f>
        <v>0</v>
      </c>
      <c r="CJ4" s="32">
        <f>IF($C4=0,0,IF(_xlfn.XLOOKUP($B4,'PW_CMI GRADE 10'!$B$7:$B$31,'PW_CMI GRADE 10'!H$7:H$31,"",0,1)="P",1*$C4,0))</f>
        <v>0</v>
      </c>
      <c r="CK4" s="32">
        <f>IF($C4=0,0,IF(_xlfn.XLOOKUP($B4,'PW_CMI GRADE 10'!$B$7:$B$31,'PW_CMI GRADE 10'!I$7:I$31,"",0,1)="P",1*$C4,0))</f>
        <v>0</v>
      </c>
      <c r="CL4" s="32">
        <f>IF($C4=0,0,IF(_xlfn.XLOOKUP($B4,'PW_CMI GRADE 10'!$B$7:$B$31,'PW_CMI GRADE 10'!J$7:J$31,"",0,1)="P",1*$C4,0))</f>
        <v>0</v>
      </c>
      <c r="CM4" s="32">
        <f>IF($C4=0,0,IF(_xlfn.XLOOKUP($B4,'PW_CMI GRADE 10'!$B$7:$B$31,'PW_CMI GRADE 10'!K$7:K$31,"",0,1)="P",1*$C4,0))</f>
        <v>0</v>
      </c>
      <c r="CN4" s="32">
        <f>IF($C4=0,0,IF(_xlfn.XLOOKUP($B4,'PW_CMI GRADE 10'!$B$7:$B$31,'PW_CMI GRADE 10'!L$7:L$31,"",0,1)="P",1*$C4,0))</f>
        <v>0</v>
      </c>
      <c r="CO4" s="32">
        <f>IF($C4=0,0,IF(_xlfn.XLOOKUP($B4,'PW_CMI GRADE 10'!$B$7:$B$31,'PW_CMI GRADE 10'!M$7:M$31,"",0,1)="P",1*$C4,0))</f>
        <v>0</v>
      </c>
      <c r="CP4" s="32">
        <f>IF($C4=0,0,IF(_xlfn.XLOOKUP($B4,'PW_CMI GRADE 10'!$B$7:$B$31,'PW_CMI GRADE 10'!N$7:N$31,"",0,1)="P",1*$C4,0))</f>
        <v>0</v>
      </c>
      <c r="CQ4" s="32">
        <f>IF($C4=0,0,IF(_xlfn.XLOOKUP($B4,'PW_CMI GRADE 10'!$B$7:$B$31,'PW_CMI GRADE 10'!O$7:O$31,"",0,1)="P",1*$C4,0))</f>
        <v>0</v>
      </c>
      <c r="CR4" s="32">
        <f>IF($C4=0,0,IF(_xlfn.XLOOKUP($B4,'PW_CMI GRADE 10'!$B$7:$B$31,'PW_CMI GRADE 10'!P$7:P$31,"",0,1)="P",1*$C4,0))</f>
        <v>0</v>
      </c>
      <c r="CS4" s="32">
        <f>IF($C4=0,0,IF(_xlfn.XLOOKUP($B4,'PW_CMI GRADE 10'!$B$7:$B$31,'PW_CMI GRADE 10'!Q$7:Q$31,"",0,1)="P",1*$C4,0))</f>
        <v>0</v>
      </c>
      <c r="CT4" s="32">
        <f>IF($C4=0,0,IF(_xlfn.XLOOKUP($B4,'PW_CMI GRADE 10'!$B$7:$B$31,'PW_CMI GRADE 10'!R$7:R$31,"",0,1)="P",1*$C4,0))</f>
        <v>0</v>
      </c>
      <c r="CU4" s="32">
        <f>IF($C4=0,0,IF(_xlfn.XLOOKUP($B4,'PW_CMI GRADE 10'!$B$7:$B$31,'PW_CMI GRADE 10'!S$7:S$31,"",0,1)="P",1*$C4,0))</f>
        <v>0</v>
      </c>
      <c r="CV4" s="32">
        <f>IF($C4=0,0,IF(_xlfn.XLOOKUP($B4,'PW_CMI GRADE 10'!$B$7:$B$31,'PW_CMI GRADE 10'!T$7:T$31,"",0,1)="P",1*$C4,0))</f>
        <v>0</v>
      </c>
      <c r="CW4" s="62">
        <f>(SUM(E4:G4)+SUM(BA4:BC4))/(IF(OR($C4=0,$D4=0),3,6)*($C4+$D4))</f>
        <v>0.66666666666666663</v>
      </c>
      <c r="CX4" s="62">
        <f t="shared" ref="CX4:DZ4" si="0">(SUM(F4:H4)+SUM(BB4:BD4))/(IF(OR($C4=0,$D4=0),3,6)*($C4+$D4))</f>
        <v>0.66666666666666663</v>
      </c>
      <c r="CY4" s="62">
        <f t="shared" si="0"/>
        <v>0.66666666666666663</v>
      </c>
      <c r="CZ4" s="62">
        <f t="shared" si="0"/>
        <v>1</v>
      </c>
      <c r="DA4" s="62">
        <f t="shared" si="0"/>
        <v>1</v>
      </c>
      <c r="DB4" s="62">
        <f t="shared" si="0"/>
        <v>0.66666666666666663</v>
      </c>
      <c r="DC4" s="62">
        <f t="shared" si="0"/>
        <v>0.33333333333333331</v>
      </c>
      <c r="DD4" s="62">
        <f t="shared" si="0"/>
        <v>0</v>
      </c>
      <c r="DE4" s="62">
        <f t="shared" si="0"/>
        <v>0</v>
      </c>
      <c r="DF4" s="62">
        <f t="shared" si="0"/>
        <v>0</v>
      </c>
      <c r="DG4" s="62">
        <f t="shared" si="0"/>
        <v>0</v>
      </c>
      <c r="DH4" s="62">
        <f t="shared" si="0"/>
        <v>0</v>
      </c>
      <c r="DI4" s="62">
        <f t="shared" si="0"/>
        <v>0</v>
      </c>
      <c r="DJ4" s="62">
        <f t="shared" si="0"/>
        <v>0</v>
      </c>
      <c r="DK4" s="62">
        <f t="shared" si="0"/>
        <v>0</v>
      </c>
      <c r="DL4" s="62">
        <f t="shared" si="0"/>
        <v>0</v>
      </c>
      <c r="DM4" s="62">
        <f t="shared" si="0"/>
        <v>0</v>
      </c>
      <c r="DN4" s="62">
        <f t="shared" si="0"/>
        <v>0</v>
      </c>
      <c r="DO4" s="62">
        <f t="shared" si="0"/>
        <v>0</v>
      </c>
      <c r="DP4" s="62">
        <f t="shared" si="0"/>
        <v>0</v>
      </c>
      <c r="DQ4" s="62">
        <f t="shared" si="0"/>
        <v>0</v>
      </c>
      <c r="DR4" s="62">
        <f t="shared" si="0"/>
        <v>0</v>
      </c>
      <c r="DS4" s="62" t="e">
        <f t="shared" si="0"/>
        <v>#REF!</v>
      </c>
      <c r="DT4" s="62" t="e">
        <f t="shared" si="0"/>
        <v>#REF!</v>
      </c>
      <c r="DU4" s="62" t="e">
        <f t="shared" si="0"/>
        <v>#REF!</v>
      </c>
      <c r="DV4" s="62" t="e">
        <f t="shared" si="0"/>
        <v>#REF!</v>
      </c>
      <c r="DW4" s="62" t="e">
        <f t="shared" si="0"/>
        <v>#REF!</v>
      </c>
      <c r="DX4" s="62" t="e">
        <f t="shared" si="0"/>
        <v>#REF!</v>
      </c>
      <c r="DY4" s="62" t="e">
        <f t="shared" si="0"/>
        <v>#REF!</v>
      </c>
      <c r="DZ4" s="62" t="e">
        <f t="shared" si="0"/>
        <v>#REF!</v>
      </c>
      <c r="EA4" s="63">
        <f t="shared" ref="EA4:EA19" si="1">(SUM(AI4:AK4)+SUM(CE4:CG4))/(IF(OR($C$4=0,$D$4=0),3,6)*($C4+$D4))</f>
        <v>0.66666666666666663</v>
      </c>
      <c r="EB4" s="63">
        <f t="shared" ref="EB4:EB48" si="2">(SUM(AJ4:AL4)+SUM(CF4:CH4))/(IF(OR($C$4=0,$D$4=0),3,6)*($C4+$D4))</f>
        <v>0.33333333333333331</v>
      </c>
      <c r="EC4" s="63">
        <f t="shared" ref="EC4:EC48" si="3">(SUM(AK4:AM4)+SUM(CG4:CI4))/(IF(OR($C$4=0,$D$4=0),3,6)*($C4+$D4))</f>
        <v>0</v>
      </c>
      <c r="ED4" s="63">
        <f t="shared" ref="ED4:ED48" si="4">(SUM(AL4:AN4)+SUM(CH4:CJ4))/(IF(OR($C$4=0,$D$4=0),3,6)*($C4+$D4))</f>
        <v>0</v>
      </c>
      <c r="EE4" s="63">
        <f t="shared" ref="EE4:EE48" si="5">(SUM(AM4:AO4)+SUM(CI4:CK4))/(IF(OR($C$4=0,$D$4=0),3,6)*($C4+$D4))</f>
        <v>0</v>
      </c>
      <c r="EF4" s="63">
        <f t="shared" ref="EF4:EF48" si="6">(SUM(AN4:AP4)+SUM(CJ4:CL4))/(IF(OR($C$4=0,$D$4=0),3,6)*($C4+$D4))</f>
        <v>0</v>
      </c>
      <c r="EG4" s="63">
        <f t="shared" ref="EG4:EG48" si="7">(SUM(AO4:AQ4)+SUM(CK4:CM4))/(IF(OR($C$4=0,$D$4=0),3,6)*($C4+$D4))</f>
        <v>0</v>
      </c>
      <c r="EH4" s="63">
        <f t="shared" ref="EH4:EH48" si="8">(SUM(AP4:AR4)+SUM(CL4:CN4))/(IF(OR($C$4=0,$D$4=0),3,6)*($C4+$D4))</f>
        <v>0.33333333333333331</v>
      </c>
      <c r="EI4" s="63">
        <f t="shared" ref="EI4:EI48" si="9">(SUM(AQ4:AS4)+SUM(CM4:CO4))/(IF(OR($C$4=0,$D$4=0),3,6)*($C4+$D4))</f>
        <v>0.66666666666666663</v>
      </c>
      <c r="EJ4" s="63">
        <f t="shared" ref="EJ4:EJ48" si="10">(SUM(AR4:AT4)+SUM(CN4:CP4))/(IF(OR($C$4=0,$D$4=0),3,6)*($C4+$D4))</f>
        <v>1</v>
      </c>
      <c r="EK4" s="63">
        <f t="shared" ref="EK4:EK48" si="11">(SUM(AS4:AU4)+SUM(CO4:CQ4))/(IF(OR($C$4=0,$D$4=0),3,6)*($C4+$D4))</f>
        <v>0.66666666666666663</v>
      </c>
      <c r="EL4" s="63">
        <f t="shared" ref="EL4:EL48" si="12">(SUM(AT4:AV4)+SUM(CP4:CR4))/(IF(OR($C$4=0,$D$4=0),3,6)*($C4+$D4))</f>
        <v>0.33333333333333331</v>
      </c>
      <c r="EM4" s="63">
        <f t="shared" ref="EM4:EM48" si="13">(SUM(AU4:AW4)+SUM(CQ4:CS4))/(IF(OR($C$4=0,$D$4=0),3,6)*($C4+$D4))</f>
        <v>0</v>
      </c>
      <c r="EN4" s="63">
        <f t="shared" ref="EN4:EN48" si="14">(SUM(AV4:AX4)+SUM(CR4:CT4))/(IF(OR($C$4=0,$D$4=0),3,6)*($C4+$D4))</f>
        <v>0</v>
      </c>
      <c r="EO4" s="63">
        <f t="shared" ref="EO4:EO48" si="15">(SUM(AW4:AY4)+SUM(CS4:CU4))/(IF(OR($C$4=0,$D$4=0),3,6)*($C4+$D4))</f>
        <v>0</v>
      </c>
      <c r="EP4" s="63">
        <f t="shared" ref="EP4:EP48" si="16">(SUM(AX4:AZ4)+SUM(CT4:CV4))/(IF(OR($C$4=0,$D$4=0),3,6)*($C4+$D4))</f>
        <v>0</v>
      </c>
      <c r="EQ4" s="33"/>
      <c r="ER4" s="33"/>
      <c r="ET4" t="str" cm="1">
        <f t="array" ref="ET4:ET20">_xlfn.UNIQUE(Data!A4:A48)</f>
        <v>1.1</v>
      </c>
      <c r="EU4" s="38">
        <f>AVERAGEIF($A$4:$A$48,$ET4,CW$4:CW$48)</f>
        <v>0.66666666666666663</v>
      </c>
      <c r="EV4" s="38">
        <f>AVERAGEIF($A$4:$A$48,$ET4,CZ$4:CZ$48)</f>
        <v>1</v>
      </c>
      <c r="EW4" s="38">
        <f>AVERAGEIF($A$4:$A$48,$ET4,DC$4:DC$48)</f>
        <v>0.33333333333333331</v>
      </c>
      <c r="EX4" s="38">
        <f>AVERAGEIF($A$4:$A$48,$ET4,DF$4:DF$48)</f>
        <v>0</v>
      </c>
      <c r="EY4" s="38">
        <f>AVERAGEIF($A$4:$A$48,$ET4,DI$4:DI$48)</f>
        <v>0</v>
      </c>
      <c r="EZ4" s="38">
        <f>AVERAGEIF($A$4:$A$48,$ET4,DL$4:DL$48)</f>
        <v>0</v>
      </c>
      <c r="FA4" s="38">
        <f>AVERAGEIF($A$4:$A$48,$ET4,DO$4:DO$48)</f>
        <v>0</v>
      </c>
      <c r="FB4" s="38">
        <f>AVERAGEIF($A$4:$A$48,$ET4,DR$4:DR$48)</f>
        <v>0</v>
      </c>
      <c r="FC4" s="38" t="e">
        <f>AVERAGEIF($A$4:$A$48,$ET4,DU$4:DU$48)</f>
        <v>#REF!</v>
      </c>
      <c r="FD4" s="38" t="e">
        <f>AVERAGEIF($A$4:$A$48,$ET4,DX$4:DX$48)</f>
        <v>#REF!</v>
      </c>
      <c r="FE4" s="38">
        <f>IFERROR(AVERAGEIF(EU4:FD4,"&lt;&gt;0",EU4:FD4),0)</f>
        <v>0</v>
      </c>
      <c r="FF4" s="38">
        <f>AVERAGEIF($A$4:$A$48,$ET4,EA$4:EA$48)</f>
        <v>0.66666666666666663</v>
      </c>
      <c r="FG4" s="38">
        <f>AVERAGEIF($A$4:$A$48,$ET4,ED$4:ED$48)</f>
        <v>0</v>
      </c>
      <c r="FH4" s="38">
        <f>AVERAGEIF($A$4:$A$48,$ET4,EG$4:EG$48)</f>
        <v>0</v>
      </c>
      <c r="FI4" s="38">
        <f>AVERAGEIF($A$4:$A$48,$ET4,EJ$4:EJ$48)</f>
        <v>1</v>
      </c>
      <c r="FJ4" s="38">
        <f>AVERAGEIF($A$4:$A$48,$ET4,EM$4:EM$48)</f>
        <v>0</v>
      </c>
      <c r="FK4" s="38">
        <f>AVERAGEIF($A$4:$A$48,$ET4,EP$4:EP$48)</f>
        <v>0</v>
      </c>
      <c r="FL4" s="38">
        <f t="shared" ref="FL4:FL20" si="17">IFERROR(AVERAGEIF(FF4:FK4,"&lt;&gt;0",FF4:FK4),0)</f>
        <v>0.83333333333333326</v>
      </c>
      <c r="FM4" s="38">
        <v>1</v>
      </c>
      <c r="FN4" s="38">
        <f>(($C4+$D4)*2)/(($D4+$C4)*3)</f>
        <v>0.66666666666666663</v>
      </c>
      <c r="FO4" s="38">
        <f>(($D4))/(($D4+$C4)*3)</f>
        <v>0.33333333333333331</v>
      </c>
      <c r="FU4" s="51">
        <v>45839</v>
      </c>
      <c r="FV4" t="e">
        <v>#VALUE!</v>
      </c>
      <c r="FW4" t="s">
        <v>22</v>
      </c>
      <c r="FX4" t="s">
        <v>22</v>
      </c>
      <c r="FY4" t="s">
        <v>22</v>
      </c>
      <c r="FZ4" t="s">
        <v>22</v>
      </c>
      <c r="GA4" t="s">
        <v>22</v>
      </c>
      <c r="GB4" t="s">
        <v>22</v>
      </c>
      <c r="GC4" t="s">
        <v>22</v>
      </c>
      <c r="GD4" t="s">
        <v>22</v>
      </c>
      <c r="GE4" t="s">
        <v>22</v>
      </c>
      <c r="GF4" t="s">
        <v>22</v>
      </c>
      <c r="GG4" t="s">
        <v>22</v>
      </c>
      <c r="GH4" t="s">
        <v>22</v>
      </c>
      <c r="GI4" t="s">
        <v>22</v>
      </c>
      <c r="GJ4" t="s">
        <v>22</v>
      </c>
      <c r="GK4" t="s">
        <v>22</v>
      </c>
      <c r="GL4" t="s">
        <v>22</v>
      </c>
      <c r="GM4" t="s">
        <v>22</v>
      </c>
      <c r="GN4" t="s">
        <v>22</v>
      </c>
      <c r="GO4" t="s">
        <v>22</v>
      </c>
      <c r="GP4" t="s">
        <v>22</v>
      </c>
      <c r="GQ4" t="s">
        <v>22</v>
      </c>
      <c r="GR4" t="s">
        <v>22</v>
      </c>
      <c r="GS4" t="s">
        <v>22</v>
      </c>
      <c r="GT4" t="s">
        <v>22</v>
      </c>
      <c r="GU4" t="s">
        <v>22</v>
      </c>
      <c r="GV4" t="s">
        <v>22</v>
      </c>
      <c r="GW4" t="s">
        <v>22</v>
      </c>
      <c r="GX4" t="s">
        <v>22</v>
      </c>
      <c r="GY4" t="s">
        <v>22</v>
      </c>
      <c r="GZ4" t="s">
        <v>22</v>
      </c>
      <c r="HA4" t="s">
        <v>22</v>
      </c>
      <c r="HB4" t="s">
        <v>22</v>
      </c>
      <c r="HC4" t="s">
        <v>22</v>
      </c>
      <c r="HD4" t="s">
        <v>22</v>
      </c>
      <c r="HE4" t="s">
        <v>22</v>
      </c>
      <c r="HF4" t="s">
        <v>22</v>
      </c>
      <c r="HG4" t="s">
        <v>22</v>
      </c>
      <c r="HH4" t="s">
        <v>22</v>
      </c>
      <c r="HI4" t="s">
        <v>22</v>
      </c>
      <c r="HJ4" t="s">
        <v>22</v>
      </c>
      <c r="HK4" t="s">
        <v>22</v>
      </c>
      <c r="HL4" t="s">
        <v>22</v>
      </c>
      <c r="HM4" t="s">
        <v>22</v>
      </c>
      <c r="HN4" t="s">
        <v>22</v>
      </c>
      <c r="HO4" t="e" cm="1">
        <f t="array" ref="HO4">SUMPRODUCT(--(FV4:HN4&lt;&gt;""))</f>
        <v>#VALUE!</v>
      </c>
      <c r="HP4" s="54" t="s">
        <v>405</v>
      </c>
    </row>
    <row r="5" spans="1:242">
      <c r="A5" t="str">
        <f t="shared" ref="A5:A48" si="18">LEFT(B5,LEN(B5)-2)</f>
        <v>2.1</v>
      </c>
      <c r="B5" t="s">
        <v>36</v>
      </c>
      <c r="C5" s="28">
        <v>1</v>
      </c>
      <c r="D5" s="28">
        <v>2</v>
      </c>
      <c r="E5" s="31">
        <f>IF($D5=0,0,IF(_xlfn.XLOOKUP($B5,'TH_MLG GRADE 10'!$B$7:$B$49,'TH_MLG GRADE 10'!C$7:C$49,"",0,1)="P",1*$D5,0))</f>
        <v>0</v>
      </c>
      <c r="F5" s="31">
        <f>IF($D5=0,0,IF(_xlfn.XLOOKUP($B5,'TH_MLG GRADE 10'!$B$7:$B$49,'TH_MLG GRADE 10'!D$7:D$49,"",0,1)="P",1*$D5,0))</f>
        <v>0</v>
      </c>
      <c r="G5" s="31">
        <f>IF($D5=0,0,IF(_xlfn.XLOOKUP($B5,'TH_MLG GRADE 10'!$B$7:$B$49,'TH_MLG GRADE 10'!E$7:E$49,"",0,1)="P",1*$D5,0))</f>
        <v>0</v>
      </c>
      <c r="H5" s="31">
        <f>IF($D5=0,0,IF(_xlfn.XLOOKUP($B5,'TH_MLG GRADE 10'!$B$7:$B$49,'TH_MLG GRADE 10'!I$7:I$49,"",0,1)="P",1*$D5,0))</f>
        <v>0</v>
      </c>
      <c r="I5" s="31">
        <f>IF($D5=0,0,IF(_xlfn.XLOOKUP($B5,'TH_MLG GRADE 10'!$B$7:$B$49,'TH_MLG GRADE 10'!J$7:J$49,"",0,1)="P",1*$D5,0))</f>
        <v>0</v>
      </c>
      <c r="J5" s="31">
        <f>IF($D5=0,0,IF(_xlfn.XLOOKUP($B5,'TH_MLG GRADE 10'!$B$7:$B$49,'TH_MLG GRADE 10'!K$7:K$49,"",0,1)="P",1*$D5,0))</f>
        <v>0</v>
      </c>
      <c r="K5" s="31">
        <f>IF($D5=0,0,IF(_xlfn.XLOOKUP($B5,'TH_MLG GRADE 10'!$B$7:$B$49,'TH_MLG GRADE 10'!O$7:O$49,"",0,1)="P",1*$D5,0))</f>
        <v>0</v>
      </c>
      <c r="L5" s="31">
        <f>IF($D5=0,0,IF(_xlfn.XLOOKUP($B5,'TH_MLG GRADE 10'!$B$7:$B$49,'TH_MLG GRADE 10'!P$7:P$49,"",0,1)="P",1*$D5,0))</f>
        <v>0</v>
      </c>
      <c r="M5" s="31">
        <f>IF($D5=0,0,IF(_xlfn.XLOOKUP($B5,'TH_MLG GRADE 10'!$B$7:$B$49,'TH_MLG GRADE 10'!Q$7:Q$49,"",0,1)="P",1*$D5,0))</f>
        <v>0</v>
      </c>
      <c r="N5" s="31">
        <f>IF($D5=0,0,IF(_xlfn.XLOOKUP($B5,'TH_MLG GRADE 10'!$B$7:$B$49,'TH_MLG GRADE 10'!AA$7:AA$49,"",0,1)="P",1*$D5,0))</f>
        <v>0</v>
      </c>
      <c r="O5" s="31">
        <f>IF($D5=0,0,IF(_xlfn.XLOOKUP($B5,'TH_MLG GRADE 10'!$B$7:$B$49,'TH_MLG GRADE 10'!AB$7:AB$49,"",0,1)="P",1*$D5,0))</f>
        <v>0</v>
      </c>
      <c r="P5" s="31">
        <f>IF($D5=0,0,IF(_xlfn.XLOOKUP($B5,'TH_MLG GRADE 10'!$B$7:$B$49,'TH_MLG GRADE 10'!AC$7:AC$49,"",0,1)="P",1*$D5,0))</f>
        <v>0</v>
      </c>
      <c r="Q5" s="31">
        <f>IF($D5=0,0,IF(_xlfn.XLOOKUP($B5,'TH_MLG GRADE 10'!$B$7:$B$49,'TH_MLG GRADE 10'!AG$7:AG$49,"",0,1)="P",1*$D5,0))</f>
        <v>0</v>
      </c>
      <c r="R5" s="31">
        <f>IF($D5=0,0,IF(_xlfn.XLOOKUP($B5,'TH_MLG GRADE 10'!$B$7:$B$49,'TH_MLG GRADE 10'!AH$7:AH$49,"",0,1)="P",1*$D5,0))</f>
        <v>0</v>
      </c>
      <c r="S5" s="31">
        <f>IF($D5=0,0,IF(_xlfn.XLOOKUP($B5,'TH_MLG GRADE 10'!$B$7:$B$49,'TH_MLG GRADE 10'!AI$7:AI$49,"",0,1)="P",1*$D5,0))</f>
        <v>0</v>
      </c>
      <c r="T5" s="31">
        <f>IF($D5=0,0,IF(_xlfn.XLOOKUP($B5,'TH_MLG GRADE 10'!$B$7:$B$49,'TH_MLG GRADE 10'!AM$7:AM$49,"",0,1)="P",1*$D5,0))</f>
        <v>2</v>
      </c>
      <c r="U5" s="31">
        <f>IF($D5=0,0,IF(_xlfn.XLOOKUP($B5,'TH_MLG GRADE 10'!$B$7:$B$49,'TH_MLG GRADE 10'!AN$7:AN$49,"",0,1)="P",1*$D5,0))</f>
        <v>2</v>
      </c>
      <c r="V5" s="31">
        <f>IF($D5=0,0,IF(_xlfn.XLOOKUP($B5,'TH_MLG GRADE 10'!$B$7:$B$49,'TH_MLG GRADE 10'!AO$7:AO$49,"",0,1)="P",1*$D5,0))</f>
        <v>0</v>
      </c>
      <c r="W5" s="31">
        <f>IF($D5=0,0,IF(_xlfn.XLOOKUP($B5,'TH_MLG GRADE 10'!$B$7:$B$49,'TH_MLG GRADE 10'!AY$7:AY$49,"",0,1)="P",1*$D5,0))</f>
        <v>2</v>
      </c>
      <c r="X5" s="31">
        <f>IF($D5=0,0,IF(_xlfn.XLOOKUP($B5,'TH_MLG GRADE 10'!$B$7:$B$49,'TH_MLG GRADE 10'!AZ$7:AZ$49,"",0,1)="P",1*$D5,0))</f>
        <v>2</v>
      </c>
      <c r="Y5" s="31">
        <f>IF($D5=0,0,IF(_xlfn.XLOOKUP($B5,'TH_MLG GRADE 10'!$B$7:$B$49,'TH_MLG GRADE 10'!BA$7:BA$49,"",0,1)="P",1*$D5,0))</f>
        <v>2</v>
      </c>
      <c r="Z5" s="31">
        <f>IF($D5=0,0,IF(_xlfn.XLOOKUP($B5,'TH_MLG GRADE 10'!$B$7:$B$49,'TH_MLG GRADE 10'!BE$7:BE$49,"",0,1)="P",1*$D5,0))</f>
        <v>0</v>
      </c>
      <c r="AA5" s="31">
        <f>IF($D5=0,0,IF(_xlfn.XLOOKUP($B5,'TH_MLG GRADE 10'!$B$7:$B$49,'TH_MLG GRADE 10'!BF$7:BF$49,"",0,1)="P",1*$D5,0))</f>
        <v>0</v>
      </c>
      <c r="AB5" s="31">
        <f>IF($D5=0,0,IF(_xlfn.XLOOKUP($B5,'TH_MLG GRADE 10'!$B$7:$B$49,'TH_MLG GRADE 10'!BG$7:BG$49,"",0,1)="P",1*$D5,0))</f>
        <v>0</v>
      </c>
      <c r="AC5" s="31" t="e">
        <f>IF($D5=0,0,IF(_xlfn.XLOOKUP($B5,'TH_MLG GRADE 10'!$B$7:$B$49,'TH_MLG GRADE 10'!#REF!,"",0,1)="P",1*$D5,0))</f>
        <v>#REF!</v>
      </c>
      <c r="AD5" s="31" t="e">
        <f>IF($D5=0,0,IF(_xlfn.XLOOKUP($B5,'TH_MLG GRADE 10'!$B$7:$B$49,'TH_MLG GRADE 10'!#REF!,"",0,1)="P",1*$D5,0))</f>
        <v>#REF!</v>
      </c>
      <c r="AE5" s="31" t="e">
        <f>IF($D5=0,0,IF(_xlfn.XLOOKUP($B5,'TH_MLG GRADE 10'!$B$7:$B$49,'TH_MLG GRADE 10'!#REF!,"",0,1)="P",1*$D5,0))</f>
        <v>#REF!</v>
      </c>
      <c r="AF5" s="31" t="e">
        <f>IF($D5=0,0,IF(_xlfn.XLOOKUP($B5,'TH_MLG GRADE 10'!$B$7:$B$49,'TH_MLG GRADE 10'!#REF!,"",0,1)="P",1*$D5,0))</f>
        <v>#REF!</v>
      </c>
      <c r="AG5" s="31" t="e">
        <f>IF($D5=0,0,IF(_xlfn.XLOOKUP($B5,'TH_MLG GRADE 10'!$B$7:$B$49,'TH_MLG GRADE 10'!#REF!,"",0,1)="P",1*$D5,0))</f>
        <v>#REF!</v>
      </c>
      <c r="AH5" s="31" t="e">
        <f>IF($D5=0,0,IF(_xlfn.XLOOKUP($B5,'TH_MLG GRADE 10'!$B$7:$B$49,'TH_MLG GRADE 10'!#REF!,"",0,1)="P",1*$D5,0))</f>
        <v>#REF!</v>
      </c>
      <c r="AI5" s="32">
        <f>IF($D5=0,0,IF(_xlfn.XLOOKUP($B5,'TH_CMI GRADE 10'!$B$7:$B$49,'TH_CMI GRADE 10'!C$7:C$49,"",0,1)="P",1*$D5,0))</f>
        <v>0</v>
      </c>
      <c r="AJ5" s="32">
        <f>IF($D5=0,0,IF(_xlfn.XLOOKUP($B5,'TH_CMI GRADE 10'!$B$7:$B$49,'TH_CMI GRADE 10'!D$7:D$49,"",0,1)="P",1*$D5,0))</f>
        <v>0</v>
      </c>
      <c r="AK5" s="32">
        <f>IF($D5=0,0,IF(_xlfn.XLOOKUP($B5,'TH_CMI GRADE 10'!$B$7:$B$49,'TH_CMI GRADE 10'!H$7:H$49,"",0,1)="P",1*$D5,0))</f>
        <v>0</v>
      </c>
      <c r="AL5" s="32">
        <f>IF($D5=0,0,IF(_xlfn.XLOOKUP($B5,'TH_CMI GRADE 10'!$B$7:$B$49,'TH_CMI GRADE 10'!I$7:I$49,"",0,1)="P",1*$D5,0))</f>
        <v>0</v>
      </c>
      <c r="AM5" s="32">
        <f>IF($D5=0,0,IF(_xlfn.XLOOKUP($B5,'TH_CMI GRADE 10'!$B$7:$B$49,'TH_CMI GRADE 10'!J$7:J$49,"",0,1)="P",1*$D5,0))</f>
        <v>0</v>
      </c>
      <c r="AN5" s="32">
        <f>IF($D5=0,0,IF(_xlfn.XLOOKUP($B5,'TH_CMI GRADE 10'!$B$7:$B$49,'TH_CMI GRADE 10'!K$7:K$49,"",0,1)="P",1*$D5,0))</f>
        <v>0</v>
      </c>
      <c r="AO5" s="32">
        <f>IF($D5=0,0,IF(_xlfn.XLOOKUP($B5,'TH_CMI GRADE 10'!$B$7:$B$49,'TH_CMI GRADE 10'!O$7:O$49,"",0,1)="P",1*$D5,0))</f>
        <v>0</v>
      </c>
      <c r="AP5" s="32">
        <f>IF($D5=0,0,IF(_xlfn.XLOOKUP($B5,'TH_CMI GRADE 10'!$B$7:$B$49,'TH_CMI GRADE 10'!P$7:P$49,"",0,1)="P",1*$D5,0))</f>
        <v>0</v>
      </c>
      <c r="AQ5" s="32">
        <f>IF($D5=0,0,IF(_xlfn.XLOOKUP($B5,'TH_CMI GRADE 10'!$B$7:$B$49,'TH_CMI GRADE 10'!Q$7:Q$49,"",0,1)="P",1*$D5,0))</f>
        <v>0</v>
      </c>
      <c r="AR5" s="32">
        <f>IF($D5=0,0,IF(_xlfn.XLOOKUP($B5,'TH_CMI GRADE 10'!$B$7:$B$49,'TH_CMI GRADE 10'!U$7:U$49,"",0,1)="P",1*$D5,0))</f>
        <v>0</v>
      </c>
      <c r="AS5" s="32">
        <f>IF($D5=0,0,IF(_xlfn.XLOOKUP($B5,'TH_CMI GRADE 10'!$B$7:$B$49,'TH_CMI GRADE 10'!V$7:V$49,"",0,1)="P",1*$D5,0))</f>
        <v>0</v>
      </c>
      <c r="AT5" s="32">
        <f>IF($D5=0,0,IF(_xlfn.XLOOKUP($B5,'TH_CMI GRADE 10'!$B$7:$B$49,'TH_CMI GRADE 10'!W$7:W$49,"",0,1)="P",1*$D5,0))</f>
        <v>0</v>
      </c>
      <c r="AU5" s="32">
        <f>IF($D5=0,0,IF(_xlfn.XLOOKUP($B5,'TH_CMI GRADE 10'!$B$7:$B$49,'TH_CMI GRADE 10'!AA$7:AA$49,"",0,1)="P",1*$D5,0))</f>
        <v>2</v>
      </c>
      <c r="AV5" s="32">
        <f>IF($D5=0,0,IF(_xlfn.XLOOKUP($B5,'TH_CMI GRADE 10'!$B$7:$B$49,'TH_CMI GRADE 10'!AB$7:AB$49,"",0,1)="P",1*$D5,0))</f>
        <v>2</v>
      </c>
      <c r="AW5" s="32">
        <f>IF($D5=0,0,IF(_xlfn.XLOOKUP($B5,'TH_CMI GRADE 10'!$B$7:$B$49,'TH_CMI GRADE 10'!AC$7:AC$49,"",0,1)="P",1*$D5,0))</f>
        <v>2</v>
      </c>
      <c r="AX5" s="32">
        <f>IF($D5=0,0,IF(_xlfn.XLOOKUP($B5,'TH_CMI GRADE 10'!$B$7:$B$49,'TH_CMI GRADE 10'!AG$7:AG$49,"",0,1)="P",1*$D5,0))</f>
        <v>2</v>
      </c>
      <c r="AY5" s="32">
        <f>IF($D5=0,0,IF(_xlfn.XLOOKUP($B5,'TH_CMI GRADE 10'!$B$7:$B$49,'TH_CMI GRADE 10'!AH$7:AH$49,"",0,1)="P",1*$D5,0))</f>
        <v>2</v>
      </c>
      <c r="AZ5" s="32">
        <f>IF($D5=0,0,IF(_xlfn.XLOOKUP($B5,'TH_CMI GRADE 10'!$B$7:$B$49,'TH_CMI GRADE 10'!AI$7:AI$49,"",0,1)="P",1*$D5,0))</f>
        <v>2</v>
      </c>
      <c r="BA5" s="31" t="e">
        <f>IF($C5=0,0,IF(_xlfn.XLOOKUP($B5,'PW_MLG GRADE 10'!$B$7:$B$31,'PW_MLG GRADE 10'!#REF!,"",0,1)="P",1*$C5,0))</f>
        <v>#REF!</v>
      </c>
      <c r="BB5" s="31" t="e">
        <f>IF($C5=0,0,IF(_xlfn.XLOOKUP($B5,'PW_MLG GRADE 10'!$B$7:$B$31,'PW_MLG GRADE 10'!#REF!,"",0,1)="P",1*$C5,0))</f>
        <v>#REF!</v>
      </c>
      <c r="BC5" s="31" t="e">
        <f>IF($C5=0,0,IF(_xlfn.XLOOKUP($B5,'PW_MLG GRADE 10'!$B$7:$B$31,'PW_MLG GRADE 10'!#REF!,"",0,1)="P",1*$C5,0))</f>
        <v>#REF!</v>
      </c>
      <c r="BD5" s="31" t="e">
        <f>IF($C5=0,0,IF(_xlfn.XLOOKUP($B5,'PW_MLG GRADE 10'!$B$7:$B$31,'PW_MLG GRADE 10'!#REF!,"",0,1)="P",1*$C5,0))</f>
        <v>#REF!</v>
      </c>
      <c r="BE5" s="31" t="e">
        <f>IF($C5=0,0,IF(_xlfn.XLOOKUP($B5,'PW_MLG GRADE 10'!$B$7:$B$31,'PW_MLG GRADE 10'!#REF!,"",0,1)="P",1*$C5,0))</f>
        <v>#REF!</v>
      </c>
      <c r="BF5" s="31" t="e">
        <f>IF($C5=0,0,IF(_xlfn.XLOOKUP($B5,'PW_MLG GRADE 10'!$B$7:$B$31,'PW_MLG GRADE 10'!#REF!,"",0,1)="P",1*$C5,0))</f>
        <v>#REF!</v>
      </c>
      <c r="BG5" s="31" t="e">
        <f>IF($C5=0,0,IF(_xlfn.XLOOKUP($B5,'PW_MLG GRADE 10'!$B$7:$B$31,'PW_MLG GRADE 10'!#REF!,"",0,1)="P",1*$C5,0))</f>
        <v>#REF!</v>
      </c>
      <c r="BH5" s="31" t="e">
        <f>IF($C5=0,0,IF(_xlfn.XLOOKUP($B5,'PW_MLG GRADE 10'!$B$7:$B$31,'PW_MLG GRADE 10'!#REF!,"",0,1)="P",1*$C5,0))</f>
        <v>#REF!</v>
      </c>
      <c r="BI5" s="31" t="e">
        <f>IF($C5=0,0,IF(_xlfn.XLOOKUP($B5,'PW_MLG GRADE 10'!$B$7:$B$31,'PW_MLG GRADE 10'!#REF!,"",0,1)="P",1*$C5,0))</f>
        <v>#REF!</v>
      </c>
      <c r="BJ5" s="31" t="e">
        <f>IF($C5=0,0,IF(_xlfn.XLOOKUP($B5,'PW_MLG GRADE 10'!$B$7:$B$31,'PW_MLG GRADE 10'!#REF!,"",0,1)="P",1*$C5,0))</f>
        <v>#REF!</v>
      </c>
      <c r="BK5" s="31" t="e">
        <f>IF($C5=0,0,IF(_xlfn.XLOOKUP($B5,'PW_MLG GRADE 10'!$B$7:$B$31,'PW_MLG GRADE 10'!#REF!,"",0,1)="P",1*$C5,0))</f>
        <v>#REF!</v>
      </c>
      <c r="BL5" s="31" t="e">
        <f>IF($C5=0,0,IF(_xlfn.XLOOKUP($B5,'PW_MLG GRADE 10'!$B$7:$B$31,'PW_MLG GRADE 10'!#REF!,"",0,1)="P",1*$C5,0))</f>
        <v>#REF!</v>
      </c>
      <c r="BM5" s="31" t="e">
        <f>IF($C5=0,0,IF(_xlfn.XLOOKUP($B5,'PW_MLG GRADE 10'!$B$7:$B$31,'PW_MLG GRADE 10'!#REF!,"",0,1)="P",1*$C5,0))</f>
        <v>#REF!</v>
      </c>
      <c r="BN5" s="31" t="e">
        <f>IF($C5=0,0,IF(_xlfn.XLOOKUP($B5,'PW_MLG GRADE 10'!$B$7:$B$31,'PW_MLG GRADE 10'!#REF!,"",0,1)="P",1*$C5,0))</f>
        <v>#REF!</v>
      </c>
      <c r="BO5" s="31" t="e">
        <f>IF($C5=0,0,IF(_xlfn.XLOOKUP($B5,'PW_MLG GRADE 10'!$B$7:$B$31,'PW_MLG GRADE 10'!#REF!,"",0,1)="P",1*$C5,0))</f>
        <v>#REF!</v>
      </c>
      <c r="BP5" s="31" t="e">
        <f>IF($C5=0,0,IF(_xlfn.XLOOKUP($B5,'PW_MLG GRADE 10'!$B$7:$B$31,'PW_MLG GRADE 10'!#REF!,"",0,1)="P",1*$C5,0))</f>
        <v>#REF!</v>
      </c>
      <c r="BQ5" s="31" t="e">
        <f>IF($C5=0,0,IF(_xlfn.XLOOKUP($B5,'PW_MLG GRADE 10'!$B$7:$B$31,'PW_MLG GRADE 10'!#REF!,"",0,1)="P",1*$C5,0))</f>
        <v>#REF!</v>
      </c>
      <c r="BR5" s="31" t="e">
        <f>IF($C5=0,0,IF(_xlfn.XLOOKUP($B5,'PW_MLG GRADE 10'!$B$7:$B$31,'PW_MLG GRADE 10'!#REF!,"",0,1)="P",1*$C5,0))</f>
        <v>#REF!</v>
      </c>
      <c r="BS5" s="31" t="e">
        <f>IF($C5=0,0,IF(_xlfn.XLOOKUP($B5,'PW_MLG GRADE 10'!$B$7:$B$31,'PW_MLG GRADE 10'!#REF!,"",0,1)="P",1*$C5,0))</f>
        <v>#REF!</v>
      </c>
      <c r="BT5" s="31" t="e">
        <f>IF($C5=0,0,IF(_xlfn.XLOOKUP($B5,'PW_MLG GRADE 10'!$B$7:$B$31,'PW_MLG GRADE 10'!#REF!,"",0,1)="P",1*$C5,0))</f>
        <v>#REF!</v>
      </c>
      <c r="BU5" s="31" t="e">
        <f>IF($C5=0,0,IF(_xlfn.XLOOKUP($B5,'PW_MLG GRADE 10'!$B$7:$B$31,'PW_MLG GRADE 10'!#REF!,"",0,1)="P",1*$C5,0))</f>
        <v>#REF!</v>
      </c>
      <c r="BV5" s="31" t="e">
        <f>IF($C5=0,0,IF(_xlfn.XLOOKUP($B5,'PW_MLG GRADE 10'!$B$7:$B$31,'PW_MLG GRADE 10'!#REF!,"",0,1)="P",1*$C5,0))</f>
        <v>#REF!</v>
      </c>
      <c r="BW5" s="31" t="e">
        <f>IF($C5=0,0,IF(_xlfn.XLOOKUP($B5,'PW_MLG GRADE 10'!$B$7:$B$31,'PW_MLG GRADE 10'!#REF!,"",0,1)="P",1*$C5,0))</f>
        <v>#REF!</v>
      </c>
      <c r="BX5" s="31" t="e">
        <f>IF($C5=0,0,IF(_xlfn.XLOOKUP($B5,'PW_MLG GRADE 10'!$B$7:$B$31,'PW_MLG GRADE 10'!#REF!,"",0,1)="P",1*$C5,0))</f>
        <v>#REF!</v>
      </c>
      <c r="BY5" s="31" t="e">
        <f>IF($C5=0,0,IF(_xlfn.XLOOKUP($B5,'PW_MLG GRADE 10'!$B$7:$B$31,'PW_MLG GRADE 10'!#REF!,"",0,1)="P",1*$C5,0))</f>
        <v>#REF!</v>
      </c>
      <c r="BZ5" s="31" t="e">
        <f>IF($C5=0,0,IF(_xlfn.XLOOKUP($B5,'PW_MLG GRADE 10'!$B$7:$B$31,'PW_MLG GRADE 10'!#REF!,"",0,1)="P",1*$C5,0))</f>
        <v>#REF!</v>
      </c>
      <c r="CA5" s="31" t="e">
        <f>IF($C5=0,0,IF(_xlfn.XLOOKUP($B5,'PW_MLG GRADE 10'!$B$7:$B$31,'PW_MLG GRADE 10'!#REF!,"",0,1)="P",1*$C5,0))</f>
        <v>#REF!</v>
      </c>
      <c r="CB5" s="31" t="e">
        <f>IF($C5=0,0,IF(_xlfn.XLOOKUP($B5,'PW_MLG GRADE 10'!$B$7:$B$31,'PW_MLG GRADE 10'!#REF!,"",0,1)="P",1*$C5,0))</f>
        <v>#REF!</v>
      </c>
      <c r="CC5" s="31" t="e">
        <f>IF($C5=0,0,IF(_xlfn.XLOOKUP($B5,'PW_MLG GRADE 10'!$B$7:$B$31,'PW_MLG GRADE 10'!#REF!,"",0,1)="P",1*$C5,0))</f>
        <v>#REF!</v>
      </c>
      <c r="CD5" s="31" t="e">
        <f>IF($C5=0,0,IF(_xlfn.XLOOKUP($B5,'PW_MLG GRADE 10'!$B$7:$B$31,'PW_MLG GRADE 10'!#REF!,"",0,1)="P",1*$C5,0))</f>
        <v>#REF!</v>
      </c>
      <c r="CE5" s="32">
        <f>IF($C5=0,0,IF(_xlfn.XLOOKUP($B5,'PW_CMI GRADE 10'!$B$7:$B$31,'PW_CMI GRADE 10'!C$7:C$31,"",0,1)="P",1*$C5,0))</f>
        <v>0</v>
      </c>
      <c r="CF5" s="32">
        <f>IF($C5=0,0,IF(_xlfn.XLOOKUP($B5,'PW_CMI GRADE 10'!$B$7:$B$31,'PW_CMI GRADE 10'!D$7:D$31,"",0,1)="P",1*$C5,0))</f>
        <v>0</v>
      </c>
      <c r="CG5" s="32">
        <f>IF($C5=0,0,IF(_xlfn.XLOOKUP($B5,'PW_CMI GRADE 10'!$B$7:$B$31,'PW_CMI GRADE 10'!E$7:E$31,"",0,1)="P",1*$C5,0))</f>
        <v>0</v>
      </c>
      <c r="CH5" s="32">
        <f>IF($C5=0,0,IF(_xlfn.XLOOKUP($B5,'PW_CMI GRADE 10'!$B$7:$B$31,'PW_CMI GRADE 10'!F$7:F$31,"",0,1)="P",1*$C5,0))</f>
        <v>0</v>
      </c>
      <c r="CI5" s="32">
        <f>IF($C5=0,0,IF(_xlfn.XLOOKUP($B5,'PW_CMI GRADE 10'!$B$7:$B$31,'PW_CMI GRADE 10'!G$7:G$31,"",0,1)="P",1*$C5,0))</f>
        <v>0</v>
      </c>
      <c r="CJ5" s="32">
        <f>IF($C5=0,0,IF(_xlfn.XLOOKUP($B5,'PW_CMI GRADE 10'!$B$7:$B$31,'PW_CMI GRADE 10'!H$7:H$31,"",0,1)="P",1*$C5,0))</f>
        <v>0</v>
      </c>
      <c r="CK5" s="32">
        <f>IF($C5=0,0,IF(_xlfn.XLOOKUP($B5,'PW_CMI GRADE 10'!$B$7:$B$31,'PW_CMI GRADE 10'!I$7:I$31,"",0,1)="P",1*$C5,0))</f>
        <v>0</v>
      </c>
      <c r="CL5" s="32">
        <f>IF($C5=0,0,IF(_xlfn.XLOOKUP($B5,'PW_CMI GRADE 10'!$B$7:$B$31,'PW_CMI GRADE 10'!J$7:J$31,"",0,1)="P",1*$C5,0))</f>
        <v>0</v>
      </c>
      <c r="CM5" s="32">
        <f>IF($C5=0,0,IF(_xlfn.XLOOKUP($B5,'PW_CMI GRADE 10'!$B$7:$B$31,'PW_CMI GRADE 10'!K$7:K$31,"",0,1)="P",1*$C5,0))</f>
        <v>0</v>
      </c>
      <c r="CN5" s="32">
        <f>IF($C5=0,0,IF(_xlfn.XLOOKUP($B5,'PW_CMI GRADE 10'!$B$7:$B$31,'PW_CMI GRADE 10'!L$7:L$31,"",0,1)="P",1*$C5,0))</f>
        <v>0</v>
      </c>
      <c r="CO5" s="32">
        <f>IF($C5=0,0,IF(_xlfn.XLOOKUP($B5,'PW_CMI GRADE 10'!$B$7:$B$31,'PW_CMI GRADE 10'!M$7:M$31,"",0,1)="P",1*$C5,0))</f>
        <v>0</v>
      </c>
      <c r="CP5" s="32">
        <f>IF($C5=0,0,IF(_xlfn.XLOOKUP($B5,'PW_CMI GRADE 10'!$B$7:$B$31,'PW_CMI GRADE 10'!N$7:N$31,"",0,1)="P",1*$C5,0))</f>
        <v>0</v>
      </c>
      <c r="CQ5" s="32">
        <f>IF($C5=0,0,IF(_xlfn.XLOOKUP($B5,'PW_CMI GRADE 10'!$B$7:$B$31,'PW_CMI GRADE 10'!O$7:O$31,"",0,1)="P",1*$C5,0))</f>
        <v>0</v>
      </c>
      <c r="CR5" s="32">
        <f>IF($C5=0,0,IF(_xlfn.XLOOKUP($B5,'PW_CMI GRADE 10'!$B$7:$B$31,'PW_CMI GRADE 10'!P$7:P$31,"",0,1)="P",1*$C5,0))</f>
        <v>0</v>
      </c>
      <c r="CS5" s="32">
        <f>IF($C5=0,0,IF(_xlfn.XLOOKUP($B5,'PW_CMI GRADE 10'!$B$7:$B$31,'PW_CMI GRADE 10'!Q$7:Q$31,"",0,1)="P",1*$C5,0))</f>
        <v>0</v>
      </c>
      <c r="CT5" s="32">
        <f>IF($C5=0,0,IF(_xlfn.XLOOKUP($B5,'PW_CMI GRADE 10'!$B$7:$B$31,'PW_CMI GRADE 10'!R$7:R$31,"",0,1)="P",1*$C5,0))</f>
        <v>0</v>
      </c>
      <c r="CU5" s="32">
        <f>IF($C5=0,0,IF(_xlfn.XLOOKUP($B5,'PW_CMI GRADE 10'!$B$7:$B$31,'PW_CMI GRADE 10'!S$7:S$31,"",0,1)="P",1*$C5,0))</f>
        <v>0</v>
      </c>
      <c r="CV5" s="32">
        <f>IF($C5=0,0,IF(_xlfn.XLOOKUP($B5,'PW_CMI GRADE 10'!$B$7:$B$31,'PW_CMI GRADE 10'!T$7:T$31,"",0,1)="P",1*$C5,0))</f>
        <v>0</v>
      </c>
      <c r="CW5" s="62" t="e">
        <f t="shared" ref="CW5:CW48" si="19">(SUM(E5:G5)+SUM(BA5:BC5))/(IF(OR($C5=0,$D5=0),3,6)*($C5+$D5))</f>
        <v>#REF!</v>
      </c>
      <c r="CX5" s="62" t="e">
        <f t="shared" ref="CX5:CX48" si="20">(SUM(F5:H5)+SUM(BB5:BD5))/(IF(OR($C5=0,$D5=0),3,6)*($C5+$D5))</f>
        <v>#REF!</v>
      </c>
      <c r="CY5" s="62" t="e">
        <f t="shared" ref="CY5:CY48" si="21">(SUM(G5:I5)+SUM(BC5:BE5))/(IF(OR($C5=0,$D5=0),3,6)*($C5+$D5))</f>
        <v>#REF!</v>
      </c>
      <c r="CZ5" s="62" t="e">
        <f t="shared" ref="CZ5:CZ48" si="22">(SUM(H5:J5)+SUM(BD5:BF5))/(IF(OR($C5=0,$D5=0),3,6)*($C5+$D5))</f>
        <v>#REF!</v>
      </c>
      <c r="DA5" s="62" t="e">
        <f t="shared" ref="DA5:DA48" si="23">(SUM(I5:K5)+SUM(BE5:BG5))/(IF(OR($C5=0,$D5=0),3,6)*($C5+$D5))</f>
        <v>#REF!</v>
      </c>
      <c r="DB5" s="62" t="e">
        <f t="shared" ref="DB5:DB48" si="24">(SUM(J5:L5)+SUM(BF5:BH5))/(IF(OR($C5=0,$D5=0),3,6)*($C5+$D5))</f>
        <v>#REF!</v>
      </c>
      <c r="DC5" s="62" t="e">
        <f t="shared" ref="DC5:DC48" si="25">(SUM(K5:M5)+SUM(BG5:BI5))/(IF(OR($C5=0,$D5=0),3,6)*($C5+$D5))</f>
        <v>#REF!</v>
      </c>
      <c r="DD5" s="62" t="e">
        <f t="shared" ref="DD5:DD48" si="26">(SUM(L5:N5)+SUM(BH5:BJ5))/(IF(OR($C5=0,$D5=0),3,6)*($C5+$D5))</f>
        <v>#REF!</v>
      </c>
      <c r="DE5" s="62" t="e">
        <f t="shared" ref="DE5:DE48" si="27">(SUM(M5:O5)+SUM(BI5:BK5))/(IF(OR($C5=0,$D5=0),3,6)*($C5+$D5))</f>
        <v>#REF!</v>
      </c>
      <c r="DF5" s="62" t="e">
        <f t="shared" ref="DF5:DF48" si="28">(SUM(N5:P5)+SUM(BJ5:BL5))/(IF(OR($C5=0,$D5=0),3,6)*($C5+$D5))</f>
        <v>#REF!</v>
      </c>
      <c r="DG5" s="62" t="e">
        <f t="shared" ref="DG5:DG48" si="29">(SUM(O5:Q5)+SUM(BK5:BM5))/(IF(OR($C5=0,$D5=0),3,6)*($C5+$D5))</f>
        <v>#REF!</v>
      </c>
      <c r="DH5" s="62" t="e">
        <f t="shared" ref="DH5:DH48" si="30">(SUM(P5:R5)+SUM(BL5:BN5))/(IF(OR($C5=0,$D5=0),3,6)*($C5+$D5))</f>
        <v>#REF!</v>
      </c>
      <c r="DI5" s="62" t="e">
        <f t="shared" ref="DI5:DI48" si="31">(SUM(Q5:S5)+SUM(BM5:BO5))/(IF(OR($C5=0,$D5=0),3,6)*($C5+$D5))</f>
        <v>#REF!</v>
      </c>
      <c r="DJ5" s="62" t="e">
        <f t="shared" ref="DJ5:DJ48" si="32">(SUM(R5:T5)+SUM(BN5:BP5))/(IF(OR($C5=0,$D5=0),3,6)*($C5+$D5))</f>
        <v>#REF!</v>
      </c>
      <c r="DK5" s="62" t="e">
        <f t="shared" ref="DK5:DK48" si="33">(SUM(S5:U5)+SUM(BO5:BQ5))/(IF(OR($C5=0,$D5=0),3,6)*($C5+$D5))</f>
        <v>#REF!</v>
      </c>
      <c r="DL5" s="62" t="e">
        <f t="shared" ref="DL5:DL48" si="34">(SUM(T5:V5)+SUM(BP5:BR5))/(IF(OR($C5=0,$D5=0),3,6)*($C5+$D5))</f>
        <v>#REF!</v>
      </c>
      <c r="DM5" s="62" t="e">
        <f t="shared" ref="DM5:DM48" si="35">(SUM(U5:W5)+SUM(BQ5:BS5))/(IF(OR($C5=0,$D5=0),3,6)*($C5+$D5))</f>
        <v>#REF!</v>
      </c>
      <c r="DN5" s="62" t="e">
        <f t="shared" ref="DN5:DN48" si="36">(SUM(V5:X5)+SUM(BR5:BT5))/(IF(OR($C5=0,$D5=0),3,6)*($C5+$D5))</f>
        <v>#REF!</v>
      </c>
      <c r="DO5" s="62" t="e">
        <f t="shared" ref="DO5:DO48" si="37">(SUM(W5:Y5)+SUM(BS5:BU5))/(IF(OR($C5=0,$D5=0),3,6)*($C5+$D5))</f>
        <v>#REF!</v>
      </c>
      <c r="DP5" s="62" t="e">
        <f t="shared" ref="DP5:DP48" si="38">(SUM(X5:Z5)+SUM(BT5:BV5))/(IF(OR($C5=0,$D5=0),3,6)*($C5+$D5))</f>
        <v>#REF!</v>
      </c>
      <c r="DQ5" s="62" t="e">
        <f t="shared" ref="DQ5:DQ48" si="39">(SUM(Y5:AA5)+SUM(BU5:BW5))/(IF(OR($C5=0,$D5=0),3,6)*($C5+$D5))</f>
        <v>#REF!</v>
      </c>
      <c r="DR5" s="62" t="e">
        <f t="shared" ref="DR5:DR48" si="40">(SUM(Z5:AB5)+SUM(BV5:BX5))/(IF(OR($C5=0,$D5=0),3,6)*($C5+$D5))</f>
        <v>#REF!</v>
      </c>
      <c r="DS5" s="62" t="e">
        <f t="shared" ref="DS5:DS48" si="41">(SUM(AA5:AC5)+SUM(BW5:BY5))/(IF(OR($C5=0,$D5=0),3,6)*($C5+$D5))</f>
        <v>#REF!</v>
      </c>
      <c r="DT5" s="62" t="e">
        <f t="shared" ref="DT5:DT48" si="42">(SUM(AB5:AD5)+SUM(BX5:BZ5))/(IF(OR($C5=0,$D5=0),3,6)*($C5+$D5))</f>
        <v>#REF!</v>
      </c>
      <c r="DU5" s="62" t="e">
        <f t="shared" ref="DU5:DU48" si="43">(SUM(AC5:AE5)+SUM(BY5:CA5))/(IF(OR($C5=0,$D5=0),3,6)*($C5+$D5))</f>
        <v>#REF!</v>
      </c>
      <c r="DV5" s="62" t="e">
        <f t="shared" ref="DV5:DV48" si="44">(SUM(AD5:AF5)+SUM(BZ5:CB5))/(IF(OR($C5=0,$D5=0),3,6)*($C5+$D5))</f>
        <v>#REF!</v>
      </c>
      <c r="DW5" s="62" t="e">
        <f t="shared" ref="DW5:DW48" si="45">(SUM(AE5:AG5)+SUM(CA5:CC5))/(IF(OR($C5=0,$D5=0),3,6)*($C5+$D5))</f>
        <v>#REF!</v>
      </c>
      <c r="DX5" s="62" t="e">
        <f t="shared" ref="DX5:DX48" si="46">(SUM(AF5:AH5)+SUM(CB5:CD5))/(IF(OR($C5=0,$D5=0),3,6)*($C5+$D5))</f>
        <v>#REF!</v>
      </c>
      <c r="DY5" s="62" t="e">
        <f t="shared" ref="DY5:DY48" si="47">(SUM(AG5:AI5)+SUM(CC5:CE5))/(IF(OR($C5=0,$D5=0),3,6)*($C5+$D5))</f>
        <v>#REF!</v>
      </c>
      <c r="DZ5" s="62" t="e">
        <f t="shared" ref="DZ5:DZ48" si="48">(SUM(AH5:AJ5)+SUM(CD5:CF5))/(IF(OR($C5=0,$D5=0),3,6)*($C5+$D5))</f>
        <v>#REF!</v>
      </c>
      <c r="EA5" s="63">
        <f t="shared" si="1"/>
        <v>0</v>
      </c>
      <c r="EB5" s="63">
        <f t="shared" si="2"/>
        <v>0</v>
      </c>
      <c r="EC5" s="63">
        <f t="shared" si="3"/>
        <v>0</v>
      </c>
      <c r="ED5" s="63">
        <f t="shared" si="4"/>
        <v>0</v>
      </c>
      <c r="EE5" s="63">
        <f t="shared" si="5"/>
        <v>0</v>
      </c>
      <c r="EF5" s="63">
        <f t="shared" si="6"/>
        <v>0</v>
      </c>
      <c r="EG5" s="63">
        <f t="shared" si="7"/>
        <v>0</v>
      </c>
      <c r="EH5" s="63">
        <f t="shared" si="8"/>
        <v>0</v>
      </c>
      <c r="EI5" s="63">
        <f t="shared" si="9"/>
        <v>0</v>
      </c>
      <c r="EJ5" s="63">
        <f t="shared" si="10"/>
        <v>0</v>
      </c>
      <c r="EK5" s="63">
        <f t="shared" si="11"/>
        <v>0.22222222222222221</v>
      </c>
      <c r="EL5" s="63">
        <f t="shared" si="12"/>
        <v>0.44444444444444442</v>
      </c>
      <c r="EM5" s="63">
        <f t="shared" si="13"/>
        <v>0.66666666666666663</v>
      </c>
      <c r="EN5" s="63">
        <f t="shared" si="14"/>
        <v>0.66666666666666663</v>
      </c>
      <c r="EO5" s="63">
        <f t="shared" si="15"/>
        <v>0.66666666666666663</v>
      </c>
      <c r="EP5" s="63">
        <f t="shared" si="16"/>
        <v>0.66666666666666663</v>
      </c>
      <c r="ET5" t="str">
        <v>2.1</v>
      </c>
      <c r="EU5" s="38" t="e">
        <f t="shared" ref="EU5:EU20" si="49">AVERAGEIF($A$4:$A$48,$ET5,CW$4:CW$48)</f>
        <v>#REF!</v>
      </c>
      <c r="EV5" s="38" t="e">
        <f t="shared" ref="EV5:EV20" si="50">AVERAGEIF($A$4:$A$48,$ET5,CZ$4:CZ$48)</f>
        <v>#REF!</v>
      </c>
      <c r="EW5" s="38" t="e">
        <f t="shared" ref="EW5:EW20" si="51">AVERAGEIF($A$4:$A$48,$ET5,DC$4:DC$48)</f>
        <v>#REF!</v>
      </c>
      <c r="EX5" s="38" t="e">
        <f t="shared" ref="EX5:EX20" si="52">AVERAGEIF($A$4:$A$48,$ET5,DF$4:DF$48)</f>
        <v>#REF!</v>
      </c>
      <c r="EY5" s="38" t="e">
        <f t="shared" ref="EY5:EY20" si="53">AVERAGEIF($A$4:$A$48,$ET5,DI$4:DI$48)</f>
        <v>#REF!</v>
      </c>
      <c r="EZ5" s="38" t="e">
        <f t="shared" ref="EZ5:EZ20" si="54">AVERAGEIF($A$4:$A$48,$ET5,DL$4:DL$48)</f>
        <v>#REF!</v>
      </c>
      <c r="FA5" s="38" t="e">
        <f t="shared" ref="FA5:FA20" si="55">AVERAGEIF($A$4:$A$48,$ET5,DO$4:DO$48)</f>
        <v>#REF!</v>
      </c>
      <c r="FB5" s="38" t="e">
        <f t="shared" ref="FB5:FB20" si="56">AVERAGEIF($A$4:$A$48,$ET5,DR$4:DR$48)</f>
        <v>#REF!</v>
      </c>
      <c r="FC5" s="38" t="e">
        <f t="shared" ref="FC5:FC20" si="57">AVERAGEIF($A$4:$A$48,$ET5,DU$4:DU$48)</f>
        <v>#REF!</v>
      </c>
      <c r="FD5" s="38" t="e">
        <f t="shared" ref="FD5:FD20" si="58">AVERAGEIF($A$4:$A$48,$ET5,DX$4:DX$48)</f>
        <v>#REF!</v>
      </c>
      <c r="FE5" s="38">
        <f t="shared" ref="FE5:FE20" si="59">IFERROR(AVERAGEIF(EU5:FD5,"&lt;&gt;0",EU5:FD5),0)</f>
        <v>0</v>
      </c>
      <c r="FF5" s="38">
        <f t="shared" ref="FF5:FF20" si="60">AVERAGEIF($A$4:$A$48,$ET5,EA$4:EA$48)</f>
        <v>0</v>
      </c>
      <c r="FG5" s="38">
        <f t="shared" ref="FG5:FG20" si="61">AVERAGEIF($A$4:$A$48,$ET5,ED$4:ED$48)</f>
        <v>0</v>
      </c>
      <c r="FH5" s="38">
        <f t="shared" ref="FH5:FH20" si="62">AVERAGEIF($A$4:$A$48,$ET5,EG$4:EG$48)</f>
        <v>0</v>
      </c>
      <c r="FI5" s="38">
        <f t="shared" ref="FI5:FI20" si="63">AVERAGEIF($A$4:$A$48,$ET5,EJ$4:EJ$48)</f>
        <v>0</v>
      </c>
      <c r="FJ5" s="38">
        <f t="shared" ref="FJ5:FJ20" si="64">AVERAGEIF($A$4:$A$48,$ET5,EM$4:EM$48)</f>
        <v>0.56944444444444442</v>
      </c>
      <c r="FK5" s="38">
        <f t="shared" ref="FK5:FK20" si="65">AVERAGEIF($A$4:$A$48,$ET5,EP$4:EP$48)</f>
        <v>0.56944444444444442</v>
      </c>
      <c r="FL5" s="38">
        <f t="shared" si="17"/>
        <v>0.56944444444444442</v>
      </c>
      <c r="FM5" s="38">
        <v>1</v>
      </c>
      <c r="FN5" s="38">
        <f t="shared" ref="FN5:FN20" si="66">(($C5+$D5)*2)/(($D5+$C5)*3)</f>
        <v>0.66666666666666663</v>
      </c>
      <c r="FO5" s="38">
        <f t="shared" ref="FO5:FO20" si="67">(($D5))/(($D5+$C5)*3)</f>
        <v>0.22222222222222221</v>
      </c>
      <c r="FU5" s="51">
        <v>45870</v>
      </c>
      <c r="FV5" t="s">
        <v>22</v>
      </c>
      <c r="FW5" t="s">
        <v>22</v>
      </c>
      <c r="FX5" t="s">
        <v>22</v>
      </c>
      <c r="FY5" t="s">
        <v>22</v>
      </c>
      <c r="FZ5" t="s">
        <v>22</v>
      </c>
      <c r="GA5" t="s">
        <v>22</v>
      </c>
      <c r="GB5" t="s">
        <v>22</v>
      </c>
      <c r="GC5" t="s">
        <v>22</v>
      </c>
      <c r="GD5" t="s">
        <v>22</v>
      </c>
      <c r="GE5" t="s">
        <v>22</v>
      </c>
      <c r="GF5" t="s">
        <v>22</v>
      </c>
      <c r="GG5" t="s">
        <v>22</v>
      </c>
      <c r="GH5" t="s">
        <v>22</v>
      </c>
      <c r="GI5" t="s">
        <v>22</v>
      </c>
      <c r="GJ5" t="s">
        <v>22</v>
      </c>
      <c r="GK5" t="s">
        <v>22</v>
      </c>
      <c r="GL5" t="s">
        <v>22</v>
      </c>
      <c r="GM5" t="s">
        <v>22</v>
      </c>
      <c r="GN5" t="s">
        <v>22</v>
      </c>
      <c r="GO5" t="s">
        <v>22</v>
      </c>
      <c r="GP5" t="s">
        <v>22</v>
      </c>
      <c r="GQ5" t="s">
        <v>22</v>
      </c>
      <c r="GR5" t="s">
        <v>22</v>
      </c>
      <c r="GS5" t="s">
        <v>22</v>
      </c>
      <c r="GT5" t="s">
        <v>22</v>
      </c>
      <c r="GU5" t="s">
        <v>22</v>
      </c>
      <c r="GV5" t="s">
        <v>22</v>
      </c>
      <c r="GW5" t="s">
        <v>22</v>
      </c>
      <c r="GX5" t="s">
        <v>22</v>
      </c>
      <c r="GY5" t="s">
        <v>22</v>
      </c>
      <c r="GZ5" t="s">
        <v>22</v>
      </c>
      <c r="HA5" t="s">
        <v>22</v>
      </c>
      <c r="HB5" t="s">
        <v>22</v>
      </c>
      <c r="HC5" t="s">
        <v>22</v>
      </c>
      <c r="HD5" t="s">
        <v>22</v>
      </c>
      <c r="HE5" t="s">
        <v>22</v>
      </c>
      <c r="HF5" t="s">
        <v>22</v>
      </c>
      <c r="HG5" t="s">
        <v>22</v>
      </c>
      <c r="HH5" t="s">
        <v>22</v>
      </c>
      <c r="HI5" t="s">
        <v>22</v>
      </c>
      <c r="HJ5" t="s">
        <v>22</v>
      </c>
      <c r="HK5" t="s">
        <v>22</v>
      </c>
      <c r="HL5" t="s">
        <v>22</v>
      </c>
      <c r="HM5" t="s">
        <v>22</v>
      </c>
      <c r="HN5" t="s">
        <v>22</v>
      </c>
      <c r="HO5" cm="1">
        <f t="array" ref="HO5">SUMPRODUCT(--(FV5:HN5&lt;&gt;""))</f>
        <v>0</v>
      </c>
    </row>
    <row r="6" spans="1:242">
      <c r="A6" t="str">
        <f t="shared" si="18"/>
        <v>2.1</v>
      </c>
      <c r="B6" t="s">
        <v>37</v>
      </c>
      <c r="C6" s="28">
        <v>3</v>
      </c>
      <c r="D6" s="28">
        <v>1</v>
      </c>
      <c r="E6" s="31">
        <f>IF($D6=0,0,IF(_xlfn.XLOOKUP($B6,'TH_MLG GRADE 10'!$B$7:$B$49,'TH_MLG GRADE 10'!C$7:C$49,"",0,1)="P",1*$D6,0))</f>
        <v>0</v>
      </c>
      <c r="F6" s="31">
        <f>IF($D6=0,0,IF(_xlfn.XLOOKUP($B6,'TH_MLG GRADE 10'!$B$7:$B$49,'TH_MLG GRADE 10'!D$7:D$49,"",0,1)="P",1*$D6,0))</f>
        <v>0</v>
      </c>
      <c r="G6" s="31">
        <f>IF($D6=0,0,IF(_xlfn.XLOOKUP($B6,'TH_MLG GRADE 10'!$B$7:$B$49,'TH_MLG GRADE 10'!E$7:E$49,"",0,1)="P",1*$D6,0))</f>
        <v>0</v>
      </c>
      <c r="H6" s="31">
        <f>IF($D6=0,0,IF(_xlfn.XLOOKUP($B6,'TH_MLG GRADE 10'!$B$7:$B$49,'TH_MLG GRADE 10'!I$7:I$49,"",0,1)="P",1*$D6,0))</f>
        <v>0</v>
      </c>
      <c r="I6" s="31">
        <f>IF($D6=0,0,IF(_xlfn.XLOOKUP($B6,'TH_MLG GRADE 10'!$B$7:$B$49,'TH_MLG GRADE 10'!J$7:J$49,"",0,1)="P",1*$D6,0))</f>
        <v>0</v>
      </c>
      <c r="J6" s="31">
        <f>IF($D6=0,0,IF(_xlfn.XLOOKUP($B6,'TH_MLG GRADE 10'!$B$7:$B$49,'TH_MLG GRADE 10'!K$7:K$49,"",0,1)="P",1*$D6,0))</f>
        <v>0</v>
      </c>
      <c r="K6" s="31">
        <f>IF($D6=0,0,IF(_xlfn.XLOOKUP($B6,'TH_MLG GRADE 10'!$B$7:$B$49,'TH_MLG GRADE 10'!O$7:O$49,"",0,1)="P",1*$D6,0))</f>
        <v>0</v>
      </c>
      <c r="L6" s="31">
        <f>IF($D6=0,0,IF(_xlfn.XLOOKUP($B6,'TH_MLG GRADE 10'!$B$7:$B$49,'TH_MLG GRADE 10'!P$7:P$49,"",0,1)="P",1*$D6,0))</f>
        <v>0</v>
      </c>
      <c r="M6" s="31">
        <f>IF($D6=0,0,IF(_xlfn.XLOOKUP($B6,'TH_MLG GRADE 10'!$B$7:$B$49,'TH_MLG GRADE 10'!Q$7:Q$49,"",0,1)="P",1*$D6,0))</f>
        <v>0</v>
      </c>
      <c r="N6" s="31">
        <f>IF($D6=0,0,IF(_xlfn.XLOOKUP($B6,'TH_MLG GRADE 10'!$B$7:$B$49,'TH_MLG GRADE 10'!AA$7:AA$49,"",0,1)="P",1*$D6,0))</f>
        <v>0</v>
      </c>
      <c r="O6" s="31">
        <f>IF($D6=0,0,IF(_xlfn.XLOOKUP($B6,'TH_MLG GRADE 10'!$B$7:$B$49,'TH_MLG GRADE 10'!AB$7:AB$49,"",0,1)="P",1*$D6,0))</f>
        <v>0</v>
      </c>
      <c r="P6" s="31">
        <f>IF($D6=0,0,IF(_xlfn.XLOOKUP($B6,'TH_MLG GRADE 10'!$B$7:$B$49,'TH_MLG GRADE 10'!AC$7:AC$49,"",0,1)="P",1*$D6,0))</f>
        <v>0</v>
      </c>
      <c r="Q6" s="31">
        <f>IF($D6=0,0,IF(_xlfn.XLOOKUP($B6,'TH_MLG GRADE 10'!$B$7:$B$49,'TH_MLG GRADE 10'!AG$7:AG$49,"",0,1)="P",1*$D6,0))</f>
        <v>0</v>
      </c>
      <c r="R6" s="31">
        <f>IF($D6=0,0,IF(_xlfn.XLOOKUP($B6,'TH_MLG GRADE 10'!$B$7:$B$49,'TH_MLG GRADE 10'!AH$7:AH$49,"",0,1)="P",1*$D6,0))</f>
        <v>0</v>
      </c>
      <c r="S6" s="31">
        <f>IF($D6=0,0,IF(_xlfn.XLOOKUP($B6,'TH_MLG GRADE 10'!$B$7:$B$49,'TH_MLG GRADE 10'!AI$7:AI$49,"",0,1)="P",1*$D6,0))</f>
        <v>0</v>
      </c>
      <c r="T6" s="31">
        <f>IF($D6=0,0,IF(_xlfn.XLOOKUP($B6,'TH_MLG GRADE 10'!$B$7:$B$49,'TH_MLG GRADE 10'!AM$7:AM$49,"",0,1)="P",1*$D6,0))</f>
        <v>1</v>
      </c>
      <c r="U6" s="31">
        <f>IF($D6=0,0,IF(_xlfn.XLOOKUP($B6,'TH_MLG GRADE 10'!$B$7:$B$49,'TH_MLG GRADE 10'!AN$7:AN$49,"",0,1)="P",1*$D6,0))</f>
        <v>1</v>
      </c>
      <c r="V6" s="31">
        <f>IF($D6=0,0,IF(_xlfn.XLOOKUP($B6,'TH_MLG GRADE 10'!$B$7:$B$49,'TH_MLG GRADE 10'!AO$7:AO$49,"",0,1)="P",1*$D6,0))</f>
        <v>1</v>
      </c>
      <c r="W6" s="31">
        <f>IF($D6=0,0,IF(_xlfn.XLOOKUP($B6,'TH_MLG GRADE 10'!$B$7:$B$49,'TH_MLG GRADE 10'!AY$7:AY$49,"",0,1)="P",1*$D6,0))</f>
        <v>1</v>
      </c>
      <c r="X6" s="31">
        <f>IF($D6=0,0,IF(_xlfn.XLOOKUP($B6,'TH_MLG GRADE 10'!$B$7:$B$49,'TH_MLG GRADE 10'!AZ$7:AZ$49,"",0,1)="P",1*$D6,0))</f>
        <v>1</v>
      </c>
      <c r="Y6" s="31">
        <f>IF($D6=0,0,IF(_xlfn.XLOOKUP($B6,'TH_MLG GRADE 10'!$B$7:$B$49,'TH_MLG GRADE 10'!BA$7:BA$49,"",0,1)="P",1*$D6,0))</f>
        <v>0</v>
      </c>
      <c r="Z6" s="31">
        <f>IF($D6=0,0,IF(_xlfn.XLOOKUP($B6,'TH_MLG GRADE 10'!$B$7:$B$49,'TH_MLG GRADE 10'!BE$7:BE$49,"",0,1)="P",1*$D6,0))</f>
        <v>0</v>
      </c>
      <c r="AA6" s="31">
        <f>IF($D6=0,0,IF(_xlfn.XLOOKUP($B6,'TH_MLG GRADE 10'!$B$7:$B$49,'TH_MLG GRADE 10'!BF$7:BF$49,"",0,1)="P",1*$D6,0))</f>
        <v>0</v>
      </c>
      <c r="AB6" s="31">
        <f>IF($D6=0,0,IF(_xlfn.XLOOKUP($B6,'TH_MLG GRADE 10'!$B$7:$B$49,'TH_MLG GRADE 10'!BG$7:BG$49,"",0,1)="P",1*$D6,0))</f>
        <v>0</v>
      </c>
      <c r="AC6" s="31" t="e">
        <f>IF($D6=0,0,IF(_xlfn.XLOOKUP($B6,'TH_MLG GRADE 10'!$B$7:$B$49,'TH_MLG GRADE 10'!#REF!,"",0,1)="P",1*$D6,0))</f>
        <v>#REF!</v>
      </c>
      <c r="AD6" s="31" t="e">
        <f>IF($D6=0,0,IF(_xlfn.XLOOKUP($B6,'TH_MLG GRADE 10'!$B$7:$B$49,'TH_MLG GRADE 10'!#REF!,"",0,1)="P",1*$D6,0))</f>
        <v>#REF!</v>
      </c>
      <c r="AE6" s="31" t="e">
        <f>IF($D6=0,0,IF(_xlfn.XLOOKUP($B6,'TH_MLG GRADE 10'!$B$7:$B$49,'TH_MLG GRADE 10'!#REF!,"",0,1)="P",1*$D6,0))</f>
        <v>#REF!</v>
      </c>
      <c r="AF6" s="31" t="e">
        <f>IF($D6=0,0,IF(_xlfn.XLOOKUP($B6,'TH_MLG GRADE 10'!$B$7:$B$49,'TH_MLG GRADE 10'!#REF!,"",0,1)="P",1*$D6,0))</f>
        <v>#REF!</v>
      </c>
      <c r="AG6" s="31" t="e">
        <f>IF($D6=0,0,IF(_xlfn.XLOOKUP($B6,'TH_MLG GRADE 10'!$B$7:$B$49,'TH_MLG GRADE 10'!#REF!,"",0,1)="P",1*$D6,0))</f>
        <v>#REF!</v>
      </c>
      <c r="AH6" s="31" t="e">
        <f>IF($D6=0,0,IF(_xlfn.XLOOKUP($B6,'TH_MLG GRADE 10'!$B$7:$B$49,'TH_MLG GRADE 10'!#REF!,"",0,1)="P",1*$D6,0))</f>
        <v>#REF!</v>
      </c>
      <c r="AI6" s="32">
        <f>IF($D6=0,0,IF(_xlfn.XLOOKUP($B6,'TH_CMI GRADE 10'!$B$7:$B$49,'TH_CMI GRADE 10'!C$7:C$49,"",0,1)="P",1*$D6,0))</f>
        <v>0</v>
      </c>
      <c r="AJ6" s="32">
        <f>IF($D6=0,0,IF(_xlfn.XLOOKUP($B6,'TH_CMI GRADE 10'!$B$7:$B$49,'TH_CMI GRADE 10'!D$7:D$49,"",0,1)="P",1*$D6,0))</f>
        <v>0</v>
      </c>
      <c r="AK6" s="32">
        <f>IF($D6=0,0,IF(_xlfn.XLOOKUP($B6,'TH_CMI GRADE 10'!$B$7:$B$49,'TH_CMI GRADE 10'!H$7:H$49,"",0,1)="P",1*$D6,0))</f>
        <v>0</v>
      </c>
      <c r="AL6" s="32">
        <f>IF($D6=0,0,IF(_xlfn.XLOOKUP($B6,'TH_CMI GRADE 10'!$B$7:$B$49,'TH_CMI GRADE 10'!I$7:I$49,"",0,1)="P",1*$D6,0))</f>
        <v>0</v>
      </c>
      <c r="AM6" s="32">
        <f>IF($D6=0,0,IF(_xlfn.XLOOKUP($B6,'TH_CMI GRADE 10'!$B$7:$B$49,'TH_CMI GRADE 10'!J$7:J$49,"",0,1)="P",1*$D6,0))</f>
        <v>0</v>
      </c>
      <c r="AN6" s="32">
        <f>IF($D6=0,0,IF(_xlfn.XLOOKUP($B6,'TH_CMI GRADE 10'!$B$7:$B$49,'TH_CMI GRADE 10'!K$7:K$49,"",0,1)="P",1*$D6,0))</f>
        <v>0</v>
      </c>
      <c r="AO6" s="32">
        <f>IF($D6=0,0,IF(_xlfn.XLOOKUP($B6,'TH_CMI GRADE 10'!$B$7:$B$49,'TH_CMI GRADE 10'!O$7:O$49,"",0,1)="P",1*$D6,0))</f>
        <v>0</v>
      </c>
      <c r="AP6" s="32">
        <f>IF($D6=0,0,IF(_xlfn.XLOOKUP($B6,'TH_CMI GRADE 10'!$B$7:$B$49,'TH_CMI GRADE 10'!P$7:P$49,"",0,1)="P",1*$D6,0))</f>
        <v>0</v>
      </c>
      <c r="AQ6" s="32">
        <f>IF($D6=0,0,IF(_xlfn.XLOOKUP($B6,'TH_CMI GRADE 10'!$B$7:$B$49,'TH_CMI GRADE 10'!Q$7:Q$49,"",0,1)="P",1*$D6,0))</f>
        <v>0</v>
      </c>
      <c r="AR6" s="32">
        <f>IF($D6=0,0,IF(_xlfn.XLOOKUP($B6,'TH_CMI GRADE 10'!$B$7:$B$49,'TH_CMI GRADE 10'!U$7:U$49,"",0,1)="P",1*$D6,0))</f>
        <v>0</v>
      </c>
      <c r="AS6" s="32">
        <f>IF($D6=0,0,IF(_xlfn.XLOOKUP($B6,'TH_CMI GRADE 10'!$B$7:$B$49,'TH_CMI GRADE 10'!V$7:V$49,"",0,1)="P",1*$D6,0))</f>
        <v>0</v>
      </c>
      <c r="AT6" s="32">
        <f>IF($D6=0,0,IF(_xlfn.XLOOKUP($B6,'TH_CMI GRADE 10'!$B$7:$B$49,'TH_CMI GRADE 10'!W$7:W$49,"",0,1)="P",1*$D6,0))</f>
        <v>0</v>
      </c>
      <c r="AU6" s="32">
        <f>IF($D6=0,0,IF(_xlfn.XLOOKUP($B6,'TH_CMI GRADE 10'!$B$7:$B$49,'TH_CMI GRADE 10'!AA$7:AA$49,"",0,1)="P",1*$D6,0))</f>
        <v>1</v>
      </c>
      <c r="AV6" s="32">
        <f>IF($D6=0,0,IF(_xlfn.XLOOKUP($B6,'TH_CMI GRADE 10'!$B$7:$B$49,'TH_CMI GRADE 10'!AB$7:AB$49,"",0,1)="P",1*$D6,0))</f>
        <v>1</v>
      </c>
      <c r="AW6" s="32">
        <f>IF($D6=0,0,IF(_xlfn.XLOOKUP($B6,'TH_CMI GRADE 10'!$B$7:$B$49,'TH_CMI GRADE 10'!AC$7:AC$49,"",0,1)="P",1*$D6,0))</f>
        <v>1</v>
      </c>
      <c r="AX6" s="32">
        <f>IF($D6=0,0,IF(_xlfn.XLOOKUP($B6,'TH_CMI GRADE 10'!$B$7:$B$49,'TH_CMI GRADE 10'!AG$7:AG$49,"",0,1)="P",1*$D6,0))</f>
        <v>1</v>
      </c>
      <c r="AY6" s="32">
        <f>IF($D6=0,0,IF(_xlfn.XLOOKUP($B6,'TH_CMI GRADE 10'!$B$7:$B$49,'TH_CMI GRADE 10'!AH$7:AH$49,"",0,1)="P",1*$D6,0))</f>
        <v>1</v>
      </c>
      <c r="AZ6" s="32">
        <f>IF($D6=0,0,IF(_xlfn.XLOOKUP($B6,'TH_CMI GRADE 10'!$B$7:$B$49,'TH_CMI GRADE 10'!AI$7:AI$49,"",0,1)="P",1*$D6,0))</f>
        <v>1</v>
      </c>
      <c r="BA6" s="31" t="e">
        <f>IF($C6=0,0,IF(_xlfn.XLOOKUP($B6,'PW_MLG GRADE 10'!$B$7:$B$31,'PW_MLG GRADE 10'!#REF!,"",0,1)="P",1*$C6,0))</f>
        <v>#REF!</v>
      </c>
      <c r="BB6" s="31" t="e">
        <f>IF($C6=0,0,IF(_xlfn.XLOOKUP($B6,'PW_MLG GRADE 10'!$B$7:$B$31,'PW_MLG GRADE 10'!#REF!,"",0,1)="P",1*$C6,0))</f>
        <v>#REF!</v>
      </c>
      <c r="BC6" s="31" t="e">
        <f>IF($C6=0,0,IF(_xlfn.XLOOKUP($B6,'PW_MLG GRADE 10'!$B$7:$B$31,'PW_MLG GRADE 10'!#REF!,"",0,1)="P",1*$C6,0))</f>
        <v>#REF!</v>
      </c>
      <c r="BD6" s="31" t="e">
        <f>IF($C6=0,0,IF(_xlfn.XLOOKUP($B6,'PW_MLG GRADE 10'!$B$7:$B$31,'PW_MLG GRADE 10'!#REF!,"",0,1)="P",1*$C6,0))</f>
        <v>#REF!</v>
      </c>
      <c r="BE6" s="31" t="e">
        <f>IF($C6=0,0,IF(_xlfn.XLOOKUP($B6,'PW_MLG GRADE 10'!$B$7:$B$31,'PW_MLG GRADE 10'!#REF!,"",0,1)="P",1*$C6,0))</f>
        <v>#REF!</v>
      </c>
      <c r="BF6" s="31" t="e">
        <f>IF($C6=0,0,IF(_xlfn.XLOOKUP($B6,'PW_MLG GRADE 10'!$B$7:$B$31,'PW_MLG GRADE 10'!#REF!,"",0,1)="P",1*$C6,0))</f>
        <v>#REF!</v>
      </c>
      <c r="BG6" s="31" t="e">
        <f>IF($C6=0,0,IF(_xlfn.XLOOKUP($B6,'PW_MLG GRADE 10'!$B$7:$B$31,'PW_MLG GRADE 10'!#REF!,"",0,1)="P",1*$C6,0))</f>
        <v>#REF!</v>
      </c>
      <c r="BH6" s="31" t="e">
        <f>IF($C6=0,0,IF(_xlfn.XLOOKUP($B6,'PW_MLG GRADE 10'!$B$7:$B$31,'PW_MLG GRADE 10'!#REF!,"",0,1)="P",1*$C6,0))</f>
        <v>#REF!</v>
      </c>
      <c r="BI6" s="31" t="e">
        <f>IF($C6=0,0,IF(_xlfn.XLOOKUP($B6,'PW_MLG GRADE 10'!$B$7:$B$31,'PW_MLG GRADE 10'!#REF!,"",0,1)="P",1*$C6,0))</f>
        <v>#REF!</v>
      </c>
      <c r="BJ6" s="31" t="e">
        <f>IF($C6=0,0,IF(_xlfn.XLOOKUP($B6,'PW_MLG GRADE 10'!$B$7:$B$31,'PW_MLG GRADE 10'!#REF!,"",0,1)="P",1*$C6,0))</f>
        <v>#REF!</v>
      </c>
      <c r="BK6" s="31" t="e">
        <f>IF($C6=0,0,IF(_xlfn.XLOOKUP($B6,'PW_MLG GRADE 10'!$B$7:$B$31,'PW_MLG GRADE 10'!#REF!,"",0,1)="P",1*$C6,0))</f>
        <v>#REF!</v>
      </c>
      <c r="BL6" s="31" t="e">
        <f>IF($C6=0,0,IF(_xlfn.XLOOKUP($B6,'PW_MLG GRADE 10'!$B$7:$B$31,'PW_MLG GRADE 10'!#REF!,"",0,1)="P",1*$C6,0))</f>
        <v>#REF!</v>
      </c>
      <c r="BM6" s="31" t="e">
        <f>IF($C6=0,0,IF(_xlfn.XLOOKUP($B6,'PW_MLG GRADE 10'!$B$7:$B$31,'PW_MLG GRADE 10'!#REF!,"",0,1)="P",1*$C6,0))</f>
        <v>#REF!</v>
      </c>
      <c r="BN6" s="31" t="e">
        <f>IF($C6=0,0,IF(_xlfn.XLOOKUP($B6,'PW_MLG GRADE 10'!$B$7:$B$31,'PW_MLG GRADE 10'!#REF!,"",0,1)="P",1*$C6,0))</f>
        <v>#REF!</v>
      </c>
      <c r="BO6" s="31" t="e">
        <f>IF($C6=0,0,IF(_xlfn.XLOOKUP($B6,'PW_MLG GRADE 10'!$B$7:$B$31,'PW_MLG GRADE 10'!#REF!,"",0,1)="P",1*$C6,0))</f>
        <v>#REF!</v>
      </c>
      <c r="BP6" s="31" t="e">
        <f>IF($C6=0,0,IF(_xlfn.XLOOKUP($B6,'PW_MLG GRADE 10'!$B$7:$B$31,'PW_MLG GRADE 10'!#REF!,"",0,1)="P",1*$C6,0))</f>
        <v>#REF!</v>
      </c>
      <c r="BQ6" s="31" t="e">
        <f>IF($C6=0,0,IF(_xlfn.XLOOKUP($B6,'PW_MLG GRADE 10'!$B$7:$B$31,'PW_MLG GRADE 10'!#REF!,"",0,1)="P",1*$C6,0))</f>
        <v>#REF!</v>
      </c>
      <c r="BR6" s="31" t="e">
        <f>IF($C6=0,0,IF(_xlfn.XLOOKUP($B6,'PW_MLG GRADE 10'!$B$7:$B$31,'PW_MLG GRADE 10'!#REF!,"",0,1)="P",1*$C6,0))</f>
        <v>#REF!</v>
      </c>
      <c r="BS6" s="31" t="e">
        <f>IF($C6=0,0,IF(_xlfn.XLOOKUP($B6,'PW_MLG GRADE 10'!$B$7:$B$31,'PW_MLG GRADE 10'!#REF!,"",0,1)="P",1*$C6,0))</f>
        <v>#REF!</v>
      </c>
      <c r="BT6" s="31" t="e">
        <f>IF($C6=0,0,IF(_xlfn.XLOOKUP($B6,'PW_MLG GRADE 10'!$B$7:$B$31,'PW_MLG GRADE 10'!#REF!,"",0,1)="P",1*$C6,0))</f>
        <v>#REF!</v>
      </c>
      <c r="BU6" s="31" t="e">
        <f>IF($C6=0,0,IF(_xlfn.XLOOKUP($B6,'PW_MLG GRADE 10'!$B$7:$B$31,'PW_MLG GRADE 10'!#REF!,"",0,1)="P",1*$C6,0))</f>
        <v>#REF!</v>
      </c>
      <c r="BV6" s="31" t="e">
        <f>IF($C6=0,0,IF(_xlfn.XLOOKUP($B6,'PW_MLG GRADE 10'!$B$7:$B$31,'PW_MLG GRADE 10'!#REF!,"",0,1)="P",1*$C6,0))</f>
        <v>#REF!</v>
      </c>
      <c r="BW6" s="31" t="e">
        <f>IF($C6=0,0,IF(_xlfn.XLOOKUP($B6,'PW_MLG GRADE 10'!$B$7:$B$31,'PW_MLG GRADE 10'!#REF!,"",0,1)="P",1*$C6,0))</f>
        <v>#REF!</v>
      </c>
      <c r="BX6" s="31" t="e">
        <f>IF($C6=0,0,IF(_xlfn.XLOOKUP($B6,'PW_MLG GRADE 10'!$B$7:$B$31,'PW_MLG GRADE 10'!#REF!,"",0,1)="P",1*$C6,0))</f>
        <v>#REF!</v>
      </c>
      <c r="BY6" s="31" t="e">
        <f>IF($C6=0,0,IF(_xlfn.XLOOKUP($B6,'PW_MLG GRADE 10'!$B$7:$B$31,'PW_MLG GRADE 10'!#REF!,"",0,1)="P",1*$C6,0))</f>
        <v>#REF!</v>
      </c>
      <c r="BZ6" s="31" t="e">
        <f>IF($C6=0,0,IF(_xlfn.XLOOKUP($B6,'PW_MLG GRADE 10'!$B$7:$B$31,'PW_MLG GRADE 10'!#REF!,"",0,1)="P",1*$C6,0))</f>
        <v>#REF!</v>
      </c>
      <c r="CA6" s="31" t="e">
        <f>IF($C6=0,0,IF(_xlfn.XLOOKUP($B6,'PW_MLG GRADE 10'!$B$7:$B$31,'PW_MLG GRADE 10'!#REF!,"",0,1)="P",1*$C6,0))</f>
        <v>#REF!</v>
      </c>
      <c r="CB6" s="31" t="e">
        <f>IF($C6=0,0,IF(_xlfn.XLOOKUP($B6,'PW_MLG GRADE 10'!$B$7:$B$31,'PW_MLG GRADE 10'!#REF!,"",0,1)="P",1*$C6,0))</f>
        <v>#REF!</v>
      </c>
      <c r="CC6" s="31" t="e">
        <f>IF($C6=0,0,IF(_xlfn.XLOOKUP($B6,'PW_MLG GRADE 10'!$B$7:$B$31,'PW_MLG GRADE 10'!#REF!,"",0,1)="P",1*$C6,0))</f>
        <v>#REF!</v>
      </c>
      <c r="CD6" s="31" t="e">
        <f>IF($C6=0,0,IF(_xlfn.XLOOKUP($B6,'PW_MLG GRADE 10'!$B$7:$B$31,'PW_MLG GRADE 10'!#REF!,"",0,1)="P",1*$C6,0))</f>
        <v>#REF!</v>
      </c>
      <c r="CE6" s="32">
        <f>IF($C6=0,0,IF(_xlfn.XLOOKUP($B6,'PW_CMI GRADE 10'!$B$7:$B$31,'PW_CMI GRADE 10'!C$7:C$31,"",0,1)="P",1*$C6,0))</f>
        <v>0</v>
      </c>
      <c r="CF6" s="32">
        <f>IF($C6=0,0,IF(_xlfn.XLOOKUP($B6,'PW_CMI GRADE 10'!$B$7:$B$31,'PW_CMI GRADE 10'!D$7:D$31,"",0,1)="P",1*$C6,0))</f>
        <v>0</v>
      </c>
      <c r="CG6" s="32">
        <f>IF($C6=0,0,IF(_xlfn.XLOOKUP($B6,'PW_CMI GRADE 10'!$B$7:$B$31,'PW_CMI GRADE 10'!E$7:E$31,"",0,1)="P",1*$C6,0))</f>
        <v>0</v>
      </c>
      <c r="CH6" s="32">
        <f>IF($C6=0,0,IF(_xlfn.XLOOKUP($B6,'PW_CMI GRADE 10'!$B$7:$B$31,'PW_CMI GRADE 10'!F$7:F$31,"",0,1)="P",1*$C6,0))</f>
        <v>0</v>
      </c>
      <c r="CI6" s="32">
        <f>IF($C6=0,0,IF(_xlfn.XLOOKUP($B6,'PW_CMI GRADE 10'!$B$7:$B$31,'PW_CMI GRADE 10'!G$7:G$31,"",0,1)="P",1*$C6,0))</f>
        <v>0</v>
      </c>
      <c r="CJ6" s="32">
        <f>IF($C6=0,0,IF(_xlfn.XLOOKUP($B6,'PW_CMI GRADE 10'!$B$7:$B$31,'PW_CMI GRADE 10'!H$7:H$31,"",0,1)="P",1*$C6,0))</f>
        <v>0</v>
      </c>
      <c r="CK6" s="32">
        <f>IF($C6=0,0,IF(_xlfn.XLOOKUP($B6,'PW_CMI GRADE 10'!$B$7:$B$31,'PW_CMI GRADE 10'!I$7:I$31,"",0,1)="P",1*$C6,0))</f>
        <v>0</v>
      </c>
      <c r="CL6" s="32">
        <f>IF($C6=0,0,IF(_xlfn.XLOOKUP($B6,'PW_CMI GRADE 10'!$B$7:$B$31,'PW_CMI GRADE 10'!J$7:J$31,"",0,1)="P",1*$C6,0))</f>
        <v>0</v>
      </c>
      <c r="CM6" s="32">
        <f>IF($C6=0,0,IF(_xlfn.XLOOKUP($B6,'PW_CMI GRADE 10'!$B$7:$B$31,'PW_CMI GRADE 10'!K$7:K$31,"",0,1)="P",1*$C6,0))</f>
        <v>0</v>
      </c>
      <c r="CN6" s="32">
        <f>IF($C6=0,0,IF(_xlfn.XLOOKUP($B6,'PW_CMI GRADE 10'!$B$7:$B$31,'PW_CMI GRADE 10'!L$7:L$31,"",0,1)="P",1*$C6,0))</f>
        <v>0</v>
      </c>
      <c r="CO6" s="32">
        <f>IF($C6=0,0,IF(_xlfn.XLOOKUP($B6,'PW_CMI GRADE 10'!$B$7:$B$31,'PW_CMI GRADE 10'!M$7:M$31,"",0,1)="P",1*$C6,0))</f>
        <v>0</v>
      </c>
      <c r="CP6" s="32">
        <f>IF($C6=0,0,IF(_xlfn.XLOOKUP($B6,'PW_CMI GRADE 10'!$B$7:$B$31,'PW_CMI GRADE 10'!N$7:N$31,"",0,1)="P",1*$C6,0))</f>
        <v>0</v>
      </c>
      <c r="CQ6" s="32">
        <f>IF($C6=0,0,IF(_xlfn.XLOOKUP($B6,'PW_CMI GRADE 10'!$B$7:$B$31,'PW_CMI GRADE 10'!O$7:O$31,"",0,1)="P",1*$C6,0))</f>
        <v>0</v>
      </c>
      <c r="CR6" s="32">
        <f>IF($C6=0,0,IF(_xlfn.XLOOKUP($B6,'PW_CMI GRADE 10'!$B$7:$B$31,'PW_CMI GRADE 10'!P$7:P$31,"",0,1)="P",1*$C6,0))</f>
        <v>0</v>
      </c>
      <c r="CS6" s="32">
        <f>IF($C6=0,0,IF(_xlfn.XLOOKUP($B6,'PW_CMI GRADE 10'!$B$7:$B$31,'PW_CMI GRADE 10'!Q$7:Q$31,"",0,1)="P",1*$C6,0))</f>
        <v>0</v>
      </c>
      <c r="CT6" s="32">
        <f>IF($C6=0,0,IF(_xlfn.XLOOKUP($B6,'PW_CMI GRADE 10'!$B$7:$B$31,'PW_CMI GRADE 10'!R$7:R$31,"",0,1)="P",1*$C6,0))</f>
        <v>0</v>
      </c>
      <c r="CU6" s="32">
        <f>IF($C6=0,0,IF(_xlfn.XLOOKUP($B6,'PW_CMI GRADE 10'!$B$7:$B$31,'PW_CMI GRADE 10'!S$7:S$31,"",0,1)="P",1*$C6,0))</f>
        <v>0</v>
      </c>
      <c r="CV6" s="32">
        <f>IF($C6=0,0,IF(_xlfn.XLOOKUP($B6,'PW_CMI GRADE 10'!$B$7:$B$31,'PW_CMI GRADE 10'!T$7:T$31,"",0,1)="P",1*$C6,0))</f>
        <v>0</v>
      </c>
      <c r="CW6" s="62" t="e">
        <f t="shared" si="19"/>
        <v>#REF!</v>
      </c>
      <c r="CX6" s="62" t="e">
        <f t="shared" si="20"/>
        <v>#REF!</v>
      </c>
      <c r="CY6" s="62" t="e">
        <f t="shared" si="21"/>
        <v>#REF!</v>
      </c>
      <c r="CZ6" s="62" t="e">
        <f t="shared" si="22"/>
        <v>#REF!</v>
      </c>
      <c r="DA6" s="62" t="e">
        <f t="shared" si="23"/>
        <v>#REF!</v>
      </c>
      <c r="DB6" s="62" t="e">
        <f t="shared" si="24"/>
        <v>#REF!</v>
      </c>
      <c r="DC6" s="62" t="e">
        <f t="shared" si="25"/>
        <v>#REF!</v>
      </c>
      <c r="DD6" s="62" t="e">
        <f t="shared" si="26"/>
        <v>#REF!</v>
      </c>
      <c r="DE6" s="62" t="e">
        <f t="shared" si="27"/>
        <v>#REF!</v>
      </c>
      <c r="DF6" s="62" t="e">
        <f t="shared" si="28"/>
        <v>#REF!</v>
      </c>
      <c r="DG6" s="62" t="e">
        <f t="shared" si="29"/>
        <v>#REF!</v>
      </c>
      <c r="DH6" s="62" t="e">
        <f t="shared" si="30"/>
        <v>#REF!</v>
      </c>
      <c r="DI6" s="62" t="e">
        <f t="shared" si="31"/>
        <v>#REF!</v>
      </c>
      <c r="DJ6" s="62" t="e">
        <f t="shared" si="32"/>
        <v>#REF!</v>
      </c>
      <c r="DK6" s="62" t="e">
        <f t="shared" si="33"/>
        <v>#REF!</v>
      </c>
      <c r="DL6" s="62" t="e">
        <f t="shared" si="34"/>
        <v>#REF!</v>
      </c>
      <c r="DM6" s="62" t="e">
        <f t="shared" si="35"/>
        <v>#REF!</v>
      </c>
      <c r="DN6" s="62" t="e">
        <f t="shared" si="36"/>
        <v>#REF!</v>
      </c>
      <c r="DO6" s="62" t="e">
        <f t="shared" si="37"/>
        <v>#REF!</v>
      </c>
      <c r="DP6" s="62" t="e">
        <f t="shared" si="38"/>
        <v>#REF!</v>
      </c>
      <c r="DQ6" s="62" t="e">
        <f t="shared" si="39"/>
        <v>#REF!</v>
      </c>
      <c r="DR6" s="62" t="e">
        <f t="shared" si="40"/>
        <v>#REF!</v>
      </c>
      <c r="DS6" s="62" t="e">
        <f t="shared" si="41"/>
        <v>#REF!</v>
      </c>
      <c r="DT6" s="62" t="e">
        <f t="shared" si="42"/>
        <v>#REF!</v>
      </c>
      <c r="DU6" s="62" t="e">
        <f t="shared" si="43"/>
        <v>#REF!</v>
      </c>
      <c r="DV6" s="62" t="e">
        <f t="shared" si="44"/>
        <v>#REF!</v>
      </c>
      <c r="DW6" s="62" t="e">
        <f t="shared" si="45"/>
        <v>#REF!</v>
      </c>
      <c r="DX6" s="62" t="e">
        <f t="shared" si="46"/>
        <v>#REF!</v>
      </c>
      <c r="DY6" s="62" t="e">
        <f t="shared" si="47"/>
        <v>#REF!</v>
      </c>
      <c r="DZ6" s="62" t="e">
        <f t="shared" si="48"/>
        <v>#REF!</v>
      </c>
      <c r="EA6" s="63">
        <f t="shared" si="1"/>
        <v>0</v>
      </c>
      <c r="EB6" s="63">
        <f t="shared" si="2"/>
        <v>0</v>
      </c>
      <c r="EC6" s="63">
        <f t="shared" si="3"/>
        <v>0</v>
      </c>
      <c r="ED6" s="63">
        <f t="shared" si="4"/>
        <v>0</v>
      </c>
      <c r="EE6" s="63">
        <f t="shared" si="5"/>
        <v>0</v>
      </c>
      <c r="EF6" s="63">
        <f t="shared" si="6"/>
        <v>0</v>
      </c>
      <c r="EG6" s="63">
        <f t="shared" si="7"/>
        <v>0</v>
      </c>
      <c r="EH6" s="63">
        <f t="shared" si="8"/>
        <v>0</v>
      </c>
      <c r="EI6" s="63">
        <f t="shared" si="9"/>
        <v>0</v>
      </c>
      <c r="EJ6" s="63">
        <f t="shared" si="10"/>
        <v>0</v>
      </c>
      <c r="EK6" s="63">
        <f t="shared" si="11"/>
        <v>8.3333333333333329E-2</v>
      </c>
      <c r="EL6" s="63">
        <f t="shared" si="12"/>
        <v>0.16666666666666666</v>
      </c>
      <c r="EM6" s="63">
        <f t="shared" si="13"/>
        <v>0.25</v>
      </c>
      <c r="EN6" s="63">
        <f t="shared" si="14"/>
        <v>0.25</v>
      </c>
      <c r="EO6" s="63">
        <f t="shared" si="15"/>
        <v>0.25</v>
      </c>
      <c r="EP6" s="63">
        <f t="shared" si="16"/>
        <v>0.25</v>
      </c>
      <c r="ET6" t="str">
        <v>2.2</v>
      </c>
      <c r="EU6" s="38">
        <f t="shared" si="49"/>
        <v>0</v>
      </c>
      <c r="EV6" s="38">
        <f t="shared" si="50"/>
        <v>0</v>
      </c>
      <c r="EW6" s="38">
        <f t="shared" si="51"/>
        <v>0</v>
      </c>
      <c r="EX6" s="38">
        <f t="shared" si="52"/>
        <v>0</v>
      </c>
      <c r="EY6" s="38">
        <f t="shared" si="53"/>
        <v>0</v>
      </c>
      <c r="EZ6" s="38">
        <f t="shared" si="54"/>
        <v>1</v>
      </c>
      <c r="FA6" s="38">
        <f t="shared" si="55"/>
        <v>0.66666666666666663</v>
      </c>
      <c r="FB6" s="38">
        <f t="shared" si="56"/>
        <v>0</v>
      </c>
      <c r="FC6" s="38" t="e">
        <f t="shared" si="57"/>
        <v>#REF!</v>
      </c>
      <c r="FD6" s="38" t="e">
        <f t="shared" si="58"/>
        <v>#REF!</v>
      </c>
      <c r="FE6" s="38">
        <f t="shared" si="59"/>
        <v>0</v>
      </c>
      <c r="FF6" s="38">
        <f t="shared" si="60"/>
        <v>0</v>
      </c>
      <c r="FG6" s="38">
        <f t="shared" si="61"/>
        <v>0</v>
      </c>
      <c r="FH6" s="38">
        <f t="shared" si="62"/>
        <v>0</v>
      </c>
      <c r="FI6" s="38">
        <f t="shared" si="63"/>
        <v>0</v>
      </c>
      <c r="FJ6" s="38">
        <f t="shared" si="64"/>
        <v>1</v>
      </c>
      <c r="FK6" s="38">
        <f t="shared" si="65"/>
        <v>1</v>
      </c>
      <c r="FL6" s="38">
        <f t="shared" si="17"/>
        <v>1</v>
      </c>
      <c r="FM6" s="38">
        <v>1</v>
      </c>
      <c r="FN6" s="38">
        <f t="shared" si="66"/>
        <v>0.66666666666666663</v>
      </c>
      <c r="FO6" s="38">
        <f t="shared" si="67"/>
        <v>8.3333333333333329E-2</v>
      </c>
      <c r="FU6" s="51">
        <v>45901</v>
      </c>
      <c r="FV6" t="s">
        <v>22</v>
      </c>
      <c r="FW6" t="s">
        <v>22</v>
      </c>
      <c r="FX6" t="s">
        <v>22</v>
      </c>
      <c r="FY6" t="s">
        <v>22</v>
      </c>
      <c r="FZ6" t="s">
        <v>22</v>
      </c>
      <c r="GA6" t="s">
        <v>22</v>
      </c>
      <c r="GB6" t="s">
        <v>22</v>
      </c>
      <c r="GC6" t="s">
        <v>22</v>
      </c>
      <c r="GD6" t="s">
        <v>22</v>
      </c>
      <c r="GE6" t="s">
        <v>22</v>
      </c>
      <c r="GF6" t="s">
        <v>22</v>
      </c>
      <c r="GG6" t="s">
        <v>22</v>
      </c>
      <c r="GH6" t="s">
        <v>22</v>
      </c>
      <c r="GI6" t="s">
        <v>22</v>
      </c>
      <c r="GJ6" t="s">
        <v>22</v>
      </c>
      <c r="GK6" t="s">
        <v>22</v>
      </c>
      <c r="GL6" t="s">
        <v>22</v>
      </c>
      <c r="GM6" t="s">
        <v>22</v>
      </c>
      <c r="GN6" t="s">
        <v>22</v>
      </c>
      <c r="GO6" t="s">
        <v>22</v>
      </c>
      <c r="GP6" t="s">
        <v>22</v>
      </c>
      <c r="GQ6" t="s">
        <v>22</v>
      </c>
      <c r="GR6" t="s">
        <v>22</v>
      </c>
      <c r="GS6" t="s">
        <v>22</v>
      </c>
      <c r="GT6" t="s">
        <v>22</v>
      </c>
      <c r="GU6" t="s">
        <v>22</v>
      </c>
      <c r="GV6" t="s">
        <v>22</v>
      </c>
      <c r="GW6" t="s">
        <v>22</v>
      </c>
      <c r="GX6" t="s">
        <v>22</v>
      </c>
      <c r="GY6" t="s">
        <v>22</v>
      </c>
      <c r="GZ6" t="s">
        <v>22</v>
      </c>
      <c r="HA6" t="s">
        <v>22</v>
      </c>
      <c r="HB6" t="s">
        <v>22</v>
      </c>
      <c r="HC6" t="s">
        <v>22</v>
      </c>
      <c r="HD6" t="s">
        <v>22</v>
      </c>
      <c r="HE6" t="s">
        <v>22</v>
      </c>
      <c r="HF6" t="s">
        <v>22</v>
      </c>
      <c r="HG6" t="s">
        <v>22</v>
      </c>
      <c r="HH6" t="s">
        <v>22</v>
      </c>
      <c r="HI6" t="s">
        <v>22</v>
      </c>
      <c r="HJ6" t="s">
        <v>22</v>
      </c>
      <c r="HK6" t="s">
        <v>22</v>
      </c>
      <c r="HL6" t="s">
        <v>22</v>
      </c>
      <c r="HM6" t="s">
        <v>22</v>
      </c>
      <c r="HN6" t="s">
        <v>22</v>
      </c>
      <c r="HO6" cm="1">
        <f t="array" ref="HO6">SUMPRODUCT(--(FV6:HN6&lt;&gt;""))</f>
        <v>0</v>
      </c>
    </row>
    <row r="7" spans="1:242">
      <c r="A7" t="str">
        <f t="shared" si="18"/>
        <v>2.1</v>
      </c>
      <c r="B7" t="s">
        <v>38</v>
      </c>
      <c r="C7" s="28">
        <v>0</v>
      </c>
      <c r="D7" s="28">
        <v>1</v>
      </c>
      <c r="E7" s="31">
        <f>IF($D7=0,0,IF(_xlfn.XLOOKUP($B7,'TH_MLG GRADE 10'!$B$7:$B$49,'TH_MLG GRADE 10'!C$7:C$49,"",0,1)="P",1*$D7,0))</f>
        <v>0</v>
      </c>
      <c r="F7" s="31">
        <f>IF($D7=0,0,IF(_xlfn.XLOOKUP($B7,'TH_MLG GRADE 10'!$B$7:$B$49,'TH_MLG GRADE 10'!D$7:D$49,"",0,1)="P",1*$D7,0))</f>
        <v>0</v>
      </c>
      <c r="G7" s="31">
        <f>IF($D7=0,0,IF(_xlfn.XLOOKUP($B7,'TH_MLG GRADE 10'!$B$7:$B$49,'TH_MLG GRADE 10'!E$7:E$49,"",0,1)="P",1*$D7,0))</f>
        <v>0</v>
      </c>
      <c r="H7" s="31">
        <f>IF($D7=0,0,IF(_xlfn.XLOOKUP($B7,'TH_MLG GRADE 10'!$B$7:$B$49,'TH_MLG GRADE 10'!I$7:I$49,"",0,1)="P",1*$D7,0))</f>
        <v>0</v>
      </c>
      <c r="I7" s="31">
        <f>IF($D7=0,0,IF(_xlfn.XLOOKUP($B7,'TH_MLG GRADE 10'!$B$7:$B$49,'TH_MLG GRADE 10'!J$7:J$49,"",0,1)="P",1*$D7,0))</f>
        <v>0</v>
      </c>
      <c r="J7" s="31">
        <f>IF($D7=0,0,IF(_xlfn.XLOOKUP($B7,'TH_MLG GRADE 10'!$B$7:$B$49,'TH_MLG GRADE 10'!K$7:K$49,"",0,1)="P",1*$D7,0))</f>
        <v>0</v>
      </c>
      <c r="K7" s="31">
        <f>IF($D7=0,0,IF(_xlfn.XLOOKUP($B7,'TH_MLG GRADE 10'!$B$7:$B$49,'TH_MLG GRADE 10'!O$7:O$49,"",0,1)="P",1*$D7,0))</f>
        <v>0</v>
      </c>
      <c r="L7" s="31">
        <f>IF($D7=0,0,IF(_xlfn.XLOOKUP($B7,'TH_MLG GRADE 10'!$B$7:$B$49,'TH_MLG GRADE 10'!P$7:P$49,"",0,1)="P",1*$D7,0))</f>
        <v>0</v>
      </c>
      <c r="M7" s="31">
        <f>IF($D7=0,0,IF(_xlfn.XLOOKUP($B7,'TH_MLG GRADE 10'!$B$7:$B$49,'TH_MLG GRADE 10'!Q$7:Q$49,"",0,1)="P",1*$D7,0))</f>
        <v>0</v>
      </c>
      <c r="N7" s="31">
        <f>IF($D7=0,0,IF(_xlfn.XLOOKUP($B7,'TH_MLG GRADE 10'!$B$7:$B$49,'TH_MLG GRADE 10'!AA$7:AA$49,"",0,1)="P",1*$D7,0))</f>
        <v>0</v>
      </c>
      <c r="O7" s="31">
        <f>IF($D7=0,0,IF(_xlfn.XLOOKUP($B7,'TH_MLG GRADE 10'!$B$7:$B$49,'TH_MLG GRADE 10'!AB$7:AB$49,"",0,1)="P",1*$D7,0))</f>
        <v>0</v>
      </c>
      <c r="P7" s="31">
        <f>IF($D7=0,0,IF(_xlfn.XLOOKUP($B7,'TH_MLG GRADE 10'!$B$7:$B$49,'TH_MLG GRADE 10'!AC$7:AC$49,"",0,1)="P",1*$D7,0))</f>
        <v>0</v>
      </c>
      <c r="Q7" s="31">
        <f>IF($D7=0,0,IF(_xlfn.XLOOKUP($B7,'TH_MLG GRADE 10'!$B$7:$B$49,'TH_MLG GRADE 10'!AG$7:AG$49,"",0,1)="P",1*$D7,0))</f>
        <v>0</v>
      </c>
      <c r="R7" s="31">
        <f>IF($D7=0,0,IF(_xlfn.XLOOKUP($B7,'TH_MLG GRADE 10'!$B$7:$B$49,'TH_MLG GRADE 10'!AH$7:AH$49,"",0,1)="P",1*$D7,0))</f>
        <v>0</v>
      </c>
      <c r="S7" s="31">
        <f>IF($D7=0,0,IF(_xlfn.XLOOKUP($B7,'TH_MLG GRADE 10'!$B$7:$B$49,'TH_MLG GRADE 10'!AI$7:AI$49,"",0,1)="P",1*$D7,0))</f>
        <v>0</v>
      </c>
      <c r="T7" s="31">
        <f>IF($D7=0,0,IF(_xlfn.XLOOKUP($B7,'TH_MLG GRADE 10'!$B$7:$B$49,'TH_MLG GRADE 10'!AM$7:AM$49,"",0,1)="P",1*$D7,0))</f>
        <v>1</v>
      </c>
      <c r="U7" s="31">
        <f>IF($D7=0,0,IF(_xlfn.XLOOKUP($B7,'TH_MLG GRADE 10'!$B$7:$B$49,'TH_MLG GRADE 10'!AN$7:AN$49,"",0,1)="P",1*$D7,0))</f>
        <v>1</v>
      </c>
      <c r="V7" s="31">
        <f>IF($D7=0,0,IF(_xlfn.XLOOKUP($B7,'TH_MLG GRADE 10'!$B$7:$B$49,'TH_MLG GRADE 10'!AO$7:AO$49,"",0,1)="P",1*$D7,0))</f>
        <v>1</v>
      </c>
      <c r="W7" s="31">
        <f>IF($D7=0,0,IF(_xlfn.XLOOKUP($B7,'TH_MLG GRADE 10'!$B$7:$B$49,'TH_MLG GRADE 10'!AY$7:AY$49,"",0,1)="P",1*$D7,0))</f>
        <v>1</v>
      </c>
      <c r="X7" s="31">
        <f>IF($D7=0,0,IF(_xlfn.XLOOKUP($B7,'TH_MLG GRADE 10'!$B$7:$B$49,'TH_MLG GRADE 10'!AZ$7:AZ$49,"",0,1)="P",1*$D7,0))</f>
        <v>1</v>
      </c>
      <c r="Y7" s="31">
        <f>IF($D7=0,0,IF(_xlfn.XLOOKUP($B7,'TH_MLG GRADE 10'!$B$7:$B$49,'TH_MLG GRADE 10'!BA$7:BA$49,"",0,1)="P",1*$D7,0))</f>
        <v>0</v>
      </c>
      <c r="Z7" s="31">
        <f>IF($D7=0,0,IF(_xlfn.XLOOKUP($B7,'TH_MLG GRADE 10'!$B$7:$B$49,'TH_MLG GRADE 10'!BE$7:BE$49,"",0,1)="P",1*$D7,0))</f>
        <v>0</v>
      </c>
      <c r="AA7" s="31">
        <f>IF($D7=0,0,IF(_xlfn.XLOOKUP($B7,'TH_MLG GRADE 10'!$B$7:$B$49,'TH_MLG GRADE 10'!BF$7:BF$49,"",0,1)="P",1*$D7,0))</f>
        <v>0</v>
      </c>
      <c r="AB7" s="31">
        <f>IF($D7=0,0,IF(_xlfn.XLOOKUP($B7,'TH_MLG GRADE 10'!$B$7:$B$49,'TH_MLG GRADE 10'!BG$7:BG$49,"",0,1)="P",1*$D7,0))</f>
        <v>0</v>
      </c>
      <c r="AC7" s="31" t="e">
        <f>IF($D7=0,0,IF(_xlfn.XLOOKUP($B7,'TH_MLG GRADE 10'!$B$7:$B$49,'TH_MLG GRADE 10'!#REF!,"",0,1)="P",1*$D7,0))</f>
        <v>#REF!</v>
      </c>
      <c r="AD7" s="31" t="e">
        <f>IF($D7=0,0,IF(_xlfn.XLOOKUP($B7,'TH_MLG GRADE 10'!$B$7:$B$49,'TH_MLG GRADE 10'!#REF!,"",0,1)="P",1*$D7,0))</f>
        <v>#REF!</v>
      </c>
      <c r="AE7" s="31" t="e">
        <f>IF($D7=0,0,IF(_xlfn.XLOOKUP($B7,'TH_MLG GRADE 10'!$B$7:$B$49,'TH_MLG GRADE 10'!#REF!,"",0,1)="P",1*$D7,0))</f>
        <v>#REF!</v>
      </c>
      <c r="AF7" s="31" t="e">
        <f>IF($D7=0,0,IF(_xlfn.XLOOKUP($B7,'TH_MLG GRADE 10'!$B$7:$B$49,'TH_MLG GRADE 10'!#REF!,"",0,1)="P",1*$D7,0))</f>
        <v>#REF!</v>
      </c>
      <c r="AG7" s="31" t="e">
        <f>IF($D7=0,0,IF(_xlfn.XLOOKUP($B7,'TH_MLG GRADE 10'!$B$7:$B$49,'TH_MLG GRADE 10'!#REF!,"",0,1)="P",1*$D7,0))</f>
        <v>#REF!</v>
      </c>
      <c r="AH7" s="31" t="e">
        <f>IF($D7=0,0,IF(_xlfn.XLOOKUP($B7,'TH_MLG GRADE 10'!$B$7:$B$49,'TH_MLG GRADE 10'!#REF!,"",0,1)="P",1*$D7,0))</f>
        <v>#REF!</v>
      </c>
      <c r="AI7" s="32">
        <f>IF($D7=0,0,IF(_xlfn.XLOOKUP($B7,'TH_CMI GRADE 10'!$B$7:$B$49,'TH_CMI GRADE 10'!C$7:C$49,"",0,1)="P",1*$D7,0))</f>
        <v>0</v>
      </c>
      <c r="AJ7" s="32">
        <f>IF($D7=0,0,IF(_xlfn.XLOOKUP($B7,'TH_CMI GRADE 10'!$B$7:$B$49,'TH_CMI GRADE 10'!D$7:D$49,"",0,1)="P",1*$D7,0))</f>
        <v>0</v>
      </c>
      <c r="AK7" s="32">
        <f>IF($D7=0,0,IF(_xlfn.XLOOKUP($B7,'TH_CMI GRADE 10'!$B$7:$B$49,'TH_CMI GRADE 10'!H$7:H$49,"",0,1)="P",1*$D7,0))</f>
        <v>0</v>
      </c>
      <c r="AL7" s="32">
        <f>IF($D7=0,0,IF(_xlfn.XLOOKUP($B7,'TH_CMI GRADE 10'!$B$7:$B$49,'TH_CMI GRADE 10'!I$7:I$49,"",0,1)="P",1*$D7,0))</f>
        <v>0</v>
      </c>
      <c r="AM7" s="32">
        <f>IF($D7=0,0,IF(_xlfn.XLOOKUP($B7,'TH_CMI GRADE 10'!$B$7:$B$49,'TH_CMI GRADE 10'!J$7:J$49,"",0,1)="P",1*$D7,0))</f>
        <v>0</v>
      </c>
      <c r="AN7" s="32">
        <f>IF($D7=0,0,IF(_xlfn.XLOOKUP($B7,'TH_CMI GRADE 10'!$B$7:$B$49,'TH_CMI GRADE 10'!K$7:K$49,"",0,1)="P",1*$D7,0))</f>
        <v>0</v>
      </c>
      <c r="AO7" s="32">
        <f>IF($D7=0,0,IF(_xlfn.XLOOKUP($B7,'TH_CMI GRADE 10'!$B$7:$B$49,'TH_CMI GRADE 10'!O$7:O$49,"",0,1)="P",1*$D7,0))</f>
        <v>0</v>
      </c>
      <c r="AP7" s="32">
        <f>IF($D7=0,0,IF(_xlfn.XLOOKUP($B7,'TH_CMI GRADE 10'!$B$7:$B$49,'TH_CMI GRADE 10'!P$7:P$49,"",0,1)="P",1*$D7,0))</f>
        <v>0</v>
      </c>
      <c r="AQ7" s="32">
        <f>IF($D7=0,0,IF(_xlfn.XLOOKUP($B7,'TH_CMI GRADE 10'!$B$7:$B$49,'TH_CMI GRADE 10'!Q$7:Q$49,"",0,1)="P",1*$D7,0))</f>
        <v>0</v>
      </c>
      <c r="AR7" s="32">
        <f>IF($D7=0,0,IF(_xlfn.XLOOKUP($B7,'TH_CMI GRADE 10'!$B$7:$B$49,'TH_CMI GRADE 10'!U$7:U$49,"",0,1)="P",1*$D7,0))</f>
        <v>0</v>
      </c>
      <c r="AS7" s="32">
        <f>IF($D7=0,0,IF(_xlfn.XLOOKUP($B7,'TH_CMI GRADE 10'!$B$7:$B$49,'TH_CMI GRADE 10'!V$7:V$49,"",0,1)="P",1*$D7,0))</f>
        <v>0</v>
      </c>
      <c r="AT7" s="32">
        <f>IF($D7=0,0,IF(_xlfn.XLOOKUP($B7,'TH_CMI GRADE 10'!$B$7:$B$49,'TH_CMI GRADE 10'!W$7:W$49,"",0,1)="P",1*$D7,0))</f>
        <v>0</v>
      </c>
      <c r="AU7" s="32">
        <f>IF($D7=0,0,IF(_xlfn.XLOOKUP($B7,'TH_CMI GRADE 10'!$B$7:$B$49,'TH_CMI GRADE 10'!AA$7:AA$49,"",0,1)="P",1*$D7,0))</f>
        <v>1</v>
      </c>
      <c r="AV7" s="32">
        <f>IF($D7=0,0,IF(_xlfn.XLOOKUP($B7,'TH_CMI GRADE 10'!$B$7:$B$49,'TH_CMI GRADE 10'!AB$7:AB$49,"",0,1)="P",1*$D7,0))</f>
        <v>1</v>
      </c>
      <c r="AW7" s="32">
        <f>IF($D7=0,0,IF(_xlfn.XLOOKUP($B7,'TH_CMI GRADE 10'!$B$7:$B$49,'TH_CMI GRADE 10'!AC$7:AC$49,"",0,1)="P",1*$D7,0))</f>
        <v>1</v>
      </c>
      <c r="AX7" s="32">
        <f>IF($D7=0,0,IF(_xlfn.XLOOKUP($B7,'TH_CMI GRADE 10'!$B$7:$B$49,'TH_CMI GRADE 10'!AG$7:AG$49,"",0,1)="P",1*$D7,0))</f>
        <v>1</v>
      </c>
      <c r="AY7" s="32">
        <f>IF($D7=0,0,IF(_xlfn.XLOOKUP($B7,'TH_CMI GRADE 10'!$B$7:$B$49,'TH_CMI GRADE 10'!AH$7:AH$49,"",0,1)="P",1*$D7,0))</f>
        <v>1</v>
      </c>
      <c r="AZ7" s="32">
        <f>IF($D7=0,0,IF(_xlfn.XLOOKUP($B7,'TH_CMI GRADE 10'!$B$7:$B$49,'TH_CMI GRADE 10'!AI$7:AI$49,"",0,1)="P",1*$D7,0))</f>
        <v>1</v>
      </c>
      <c r="BA7" s="31">
        <f>IF($C7=0,0,IF(_xlfn.XLOOKUP($B7,'PW_MLG GRADE 10'!$B$7:$B$31,'PW_MLG GRADE 10'!#REF!,"",0,1)="P",1*$C7,0))</f>
        <v>0</v>
      </c>
      <c r="BB7" s="31">
        <f>IF($C7=0,0,IF(_xlfn.XLOOKUP($B7,'PW_MLG GRADE 10'!$B$7:$B$31,'PW_MLG GRADE 10'!#REF!,"",0,1)="P",1*$C7,0))</f>
        <v>0</v>
      </c>
      <c r="BC7" s="31">
        <f>IF($C7=0,0,IF(_xlfn.XLOOKUP($B7,'PW_MLG GRADE 10'!$B$7:$B$31,'PW_MLG GRADE 10'!#REF!,"",0,1)="P",1*$C7,0))</f>
        <v>0</v>
      </c>
      <c r="BD7" s="31">
        <f>IF($C7=0,0,IF(_xlfn.XLOOKUP($B7,'PW_MLG GRADE 10'!$B$7:$B$31,'PW_MLG GRADE 10'!#REF!,"",0,1)="P",1*$C7,0))</f>
        <v>0</v>
      </c>
      <c r="BE7" s="31">
        <f>IF($C7=0,0,IF(_xlfn.XLOOKUP($B7,'PW_MLG GRADE 10'!$B$7:$B$31,'PW_MLG GRADE 10'!#REF!,"",0,1)="P",1*$C7,0))</f>
        <v>0</v>
      </c>
      <c r="BF7" s="31">
        <f>IF($C7=0,0,IF(_xlfn.XLOOKUP($B7,'PW_MLG GRADE 10'!$B$7:$B$31,'PW_MLG GRADE 10'!#REF!,"",0,1)="P",1*$C7,0))</f>
        <v>0</v>
      </c>
      <c r="BG7" s="31">
        <f>IF($C7=0,0,IF(_xlfn.XLOOKUP($B7,'PW_MLG GRADE 10'!$B$7:$B$31,'PW_MLG GRADE 10'!#REF!,"",0,1)="P",1*$C7,0))</f>
        <v>0</v>
      </c>
      <c r="BH7" s="31">
        <f>IF($C7=0,0,IF(_xlfn.XLOOKUP($B7,'PW_MLG GRADE 10'!$B$7:$B$31,'PW_MLG GRADE 10'!#REF!,"",0,1)="P",1*$C7,0))</f>
        <v>0</v>
      </c>
      <c r="BI7" s="31">
        <f>IF($C7=0,0,IF(_xlfn.XLOOKUP($B7,'PW_MLG GRADE 10'!$B$7:$B$31,'PW_MLG GRADE 10'!#REF!,"",0,1)="P",1*$C7,0))</f>
        <v>0</v>
      </c>
      <c r="BJ7" s="31">
        <f>IF($C7=0,0,IF(_xlfn.XLOOKUP($B7,'PW_MLG GRADE 10'!$B$7:$B$31,'PW_MLG GRADE 10'!#REF!,"",0,1)="P",1*$C7,0))</f>
        <v>0</v>
      </c>
      <c r="BK7" s="31">
        <f>IF($C7=0,0,IF(_xlfn.XLOOKUP($B7,'PW_MLG GRADE 10'!$B$7:$B$31,'PW_MLG GRADE 10'!#REF!,"",0,1)="P",1*$C7,0))</f>
        <v>0</v>
      </c>
      <c r="BL7" s="31">
        <f>IF($C7=0,0,IF(_xlfn.XLOOKUP($B7,'PW_MLG GRADE 10'!$B$7:$B$31,'PW_MLG GRADE 10'!#REF!,"",0,1)="P",1*$C7,0))</f>
        <v>0</v>
      </c>
      <c r="BM7" s="31">
        <f>IF($C7=0,0,IF(_xlfn.XLOOKUP($B7,'PW_MLG GRADE 10'!$B$7:$B$31,'PW_MLG GRADE 10'!#REF!,"",0,1)="P",1*$C7,0))</f>
        <v>0</v>
      </c>
      <c r="BN7" s="31">
        <f>IF($C7=0,0,IF(_xlfn.XLOOKUP($B7,'PW_MLG GRADE 10'!$B$7:$B$31,'PW_MLG GRADE 10'!#REF!,"",0,1)="P",1*$C7,0))</f>
        <v>0</v>
      </c>
      <c r="BO7" s="31">
        <f>IF($C7=0,0,IF(_xlfn.XLOOKUP($B7,'PW_MLG GRADE 10'!$B$7:$B$31,'PW_MLG GRADE 10'!#REF!,"",0,1)="P",1*$C7,0))</f>
        <v>0</v>
      </c>
      <c r="BP7" s="31">
        <f>IF($C7=0,0,IF(_xlfn.XLOOKUP($B7,'PW_MLG GRADE 10'!$B$7:$B$31,'PW_MLG GRADE 10'!#REF!,"",0,1)="P",1*$C7,0))</f>
        <v>0</v>
      </c>
      <c r="BQ7" s="31">
        <f>IF($C7=0,0,IF(_xlfn.XLOOKUP($B7,'PW_MLG GRADE 10'!$B$7:$B$31,'PW_MLG GRADE 10'!#REF!,"",0,1)="P",1*$C7,0))</f>
        <v>0</v>
      </c>
      <c r="BR7" s="31">
        <f>IF($C7=0,0,IF(_xlfn.XLOOKUP($B7,'PW_MLG GRADE 10'!$B$7:$B$31,'PW_MLG GRADE 10'!#REF!,"",0,1)="P",1*$C7,0))</f>
        <v>0</v>
      </c>
      <c r="BS7" s="31">
        <f>IF($C7=0,0,IF(_xlfn.XLOOKUP($B7,'PW_MLG GRADE 10'!$B$7:$B$31,'PW_MLG GRADE 10'!#REF!,"",0,1)="P",1*$C7,0))</f>
        <v>0</v>
      </c>
      <c r="BT7" s="31">
        <f>IF($C7=0,0,IF(_xlfn.XLOOKUP($B7,'PW_MLG GRADE 10'!$B$7:$B$31,'PW_MLG GRADE 10'!#REF!,"",0,1)="P",1*$C7,0))</f>
        <v>0</v>
      </c>
      <c r="BU7" s="31">
        <f>IF($C7=0,0,IF(_xlfn.XLOOKUP($B7,'PW_MLG GRADE 10'!$B$7:$B$31,'PW_MLG GRADE 10'!#REF!,"",0,1)="P",1*$C7,0))</f>
        <v>0</v>
      </c>
      <c r="BV7" s="31">
        <f>IF($C7=0,0,IF(_xlfn.XLOOKUP($B7,'PW_MLG GRADE 10'!$B$7:$B$31,'PW_MLG GRADE 10'!#REF!,"",0,1)="P",1*$C7,0))</f>
        <v>0</v>
      </c>
      <c r="BW7" s="31">
        <f>IF($C7=0,0,IF(_xlfn.XLOOKUP($B7,'PW_MLG GRADE 10'!$B$7:$B$31,'PW_MLG GRADE 10'!#REF!,"",0,1)="P",1*$C7,0))</f>
        <v>0</v>
      </c>
      <c r="BX7" s="31">
        <f>IF($C7=0,0,IF(_xlfn.XLOOKUP($B7,'PW_MLG GRADE 10'!$B$7:$B$31,'PW_MLG GRADE 10'!#REF!,"",0,1)="P",1*$C7,0))</f>
        <v>0</v>
      </c>
      <c r="BY7" s="31">
        <f>IF($C7=0,0,IF(_xlfn.XLOOKUP($B7,'PW_MLG GRADE 10'!$B$7:$B$31,'PW_MLG GRADE 10'!#REF!,"",0,1)="P",1*$C7,0))</f>
        <v>0</v>
      </c>
      <c r="BZ7" s="31">
        <f>IF($C7=0,0,IF(_xlfn.XLOOKUP($B7,'PW_MLG GRADE 10'!$B$7:$B$31,'PW_MLG GRADE 10'!#REF!,"",0,1)="P",1*$C7,0))</f>
        <v>0</v>
      </c>
      <c r="CA7" s="31">
        <f>IF($C7=0,0,IF(_xlfn.XLOOKUP($B7,'PW_MLG GRADE 10'!$B$7:$B$31,'PW_MLG GRADE 10'!#REF!,"",0,1)="P",1*$C7,0))</f>
        <v>0</v>
      </c>
      <c r="CB7" s="31">
        <f>IF($C7=0,0,IF(_xlfn.XLOOKUP($B7,'PW_MLG GRADE 10'!$B$7:$B$31,'PW_MLG GRADE 10'!#REF!,"",0,1)="P",1*$C7,0))</f>
        <v>0</v>
      </c>
      <c r="CC7" s="31">
        <f>IF($C7=0,0,IF(_xlfn.XLOOKUP($B7,'PW_MLG GRADE 10'!$B$7:$B$31,'PW_MLG GRADE 10'!#REF!,"",0,1)="P",1*$C7,0))</f>
        <v>0</v>
      </c>
      <c r="CD7" s="31">
        <f>IF($C7=0,0,IF(_xlfn.XLOOKUP($B7,'PW_MLG GRADE 10'!$B$7:$B$31,'PW_MLG GRADE 10'!#REF!,"",0,1)="P",1*$C7,0))</f>
        <v>0</v>
      </c>
      <c r="CE7" s="32">
        <f>IF($C7=0,0,IF(_xlfn.XLOOKUP($B7,'PW_CMI GRADE 10'!$B$7:$B$31,'PW_CMI GRADE 10'!C$7:C$31,"",0,1)="P",1*$C7,0))</f>
        <v>0</v>
      </c>
      <c r="CF7" s="32">
        <f>IF($C7=0,0,IF(_xlfn.XLOOKUP($B7,'PW_CMI GRADE 10'!$B$7:$B$31,'PW_CMI GRADE 10'!D$7:D$31,"",0,1)="P",1*$C7,0))</f>
        <v>0</v>
      </c>
      <c r="CG7" s="32">
        <f>IF($C7=0,0,IF(_xlfn.XLOOKUP($B7,'PW_CMI GRADE 10'!$B$7:$B$31,'PW_CMI GRADE 10'!E$7:E$31,"",0,1)="P",1*$C7,0))</f>
        <v>0</v>
      </c>
      <c r="CH7" s="32">
        <f>IF($C7=0,0,IF(_xlfn.XLOOKUP($B7,'PW_CMI GRADE 10'!$B$7:$B$31,'PW_CMI GRADE 10'!F$7:F$31,"",0,1)="P",1*$C7,0))</f>
        <v>0</v>
      </c>
      <c r="CI7" s="32">
        <f>IF($C7=0,0,IF(_xlfn.XLOOKUP($B7,'PW_CMI GRADE 10'!$B$7:$B$31,'PW_CMI GRADE 10'!G$7:G$31,"",0,1)="P",1*$C7,0))</f>
        <v>0</v>
      </c>
      <c r="CJ7" s="32">
        <f>IF($C7=0,0,IF(_xlfn.XLOOKUP($B7,'PW_CMI GRADE 10'!$B$7:$B$31,'PW_CMI GRADE 10'!H$7:H$31,"",0,1)="P",1*$C7,0))</f>
        <v>0</v>
      </c>
      <c r="CK7" s="32">
        <f>IF($C7=0,0,IF(_xlfn.XLOOKUP($B7,'PW_CMI GRADE 10'!$B$7:$B$31,'PW_CMI GRADE 10'!I$7:I$31,"",0,1)="P",1*$C7,0))</f>
        <v>0</v>
      </c>
      <c r="CL7" s="32">
        <f>IF($C7=0,0,IF(_xlfn.XLOOKUP($B7,'PW_CMI GRADE 10'!$B$7:$B$31,'PW_CMI GRADE 10'!J$7:J$31,"",0,1)="P",1*$C7,0))</f>
        <v>0</v>
      </c>
      <c r="CM7" s="32">
        <f>IF($C7=0,0,IF(_xlfn.XLOOKUP($B7,'PW_CMI GRADE 10'!$B$7:$B$31,'PW_CMI GRADE 10'!K$7:K$31,"",0,1)="P",1*$C7,0))</f>
        <v>0</v>
      </c>
      <c r="CN7" s="32">
        <f>IF($C7=0,0,IF(_xlfn.XLOOKUP($B7,'PW_CMI GRADE 10'!$B$7:$B$31,'PW_CMI GRADE 10'!L$7:L$31,"",0,1)="P",1*$C7,0))</f>
        <v>0</v>
      </c>
      <c r="CO7" s="32">
        <f>IF($C7=0,0,IF(_xlfn.XLOOKUP($B7,'PW_CMI GRADE 10'!$B$7:$B$31,'PW_CMI GRADE 10'!M$7:M$31,"",0,1)="P",1*$C7,0))</f>
        <v>0</v>
      </c>
      <c r="CP7" s="32">
        <f>IF($C7=0,0,IF(_xlfn.XLOOKUP($B7,'PW_CMI GRADE 10'!$B$7:$B$31,'PW_CMI GRADE 10'!N$7:N$31,"",0,1)="P",1*$C7,0))</f>
        <v>0</v>
      </c>
      <c r="CQ7" s="32">
        <f>IF($C7=0,0,IF(_xlfn.XLOOKUP($B7,'PW_CMI GRADE 10'!$B$7:$B$31,'PW_CMI GRADE 10'!O$7:O$31,"",0,1)="P",1*$C7,0))</f>
        <v>0</v>
      </c>
      <c r="CR7" s="32">
        <f>IF($C7=0,0,IF(_xlfn.XLOOKUP($B7,'PW_CMI GRADE 10'!$B$7:$B$31,'PW_CMI GRADE 10'!P$7:P$31,"",0,1)="P",1*$C7,0))</f>
        <v>0</v>
      </c>
      <c r="CS7" s="32">
        <f>IF($C7=0,0,IF(_xlfn.XLOOKUP($B7,'PW_CMI GRADE 10'!$B$7:$B$31,'PW_CMI GRADE 10'!Q$7:Q$31,"",0,1)="P",1*$C7,0))</f>
        <v>0</v>
      </c>
      <c r="CT7" s="32">
        <f>IF($C7=0,0,IF(_xlfn.XLOOKUP($B7,'PW_CMI GRADE 10'!$B$7:$B$31,'PW_CMI GRADE 10'!R$7:R$31,"",0,1)="P",1*$C7,0))</f>
        <v>0</v>
      </c>
      <c r="CU7" s="32">
        <f>IF($C7=0,0,IF(_xlfn.XLOOKUP($B7,'PW_CMI GRADE 10'!$B$7:$B$31,'PW_CMI GRADE 10'!S$7:S$31,"",0,1)="P",1*$C7,0))</f>
        <v>0</v>
      </c>
      <c r="CV7" s="32">
        <f>IF($C7=0,0,IF(_xlfn.XLOOKUP($B7,'PW_CMI GRADE 10'!$B$7:$B$31,'PW_CMI GRADE 10'!T$7:T$31,"",0,1)="P",1*$C7,0))</f>
        <v>0</v>
      </c>
      <c r="CW7" s="62">
        <f t="shared" si="19"/>
        <v>0</v>
      </c>
      <c r="CX7" s="62">
        <f t="shared" si="20"/>
        <v>0</v>
      </c>
      <c r="CY7" s="62">
        <f t="shared" si="21"/>
        <v>0</v>
      </c>
      <c r="CZ7" s="62">
        <f t="shared" si="22"/>
        <v>0</v>
      </c>
      <c r="DA7" s="62">
        <f t="shared" si="23"/>
        <v>0</v>
      </c>
      <c r="DB7" s="62">
        <f t="shared" si="24"/>
        <v>0</v>
      </c>
      <c r="DC7" s="62">
        <f t="shared" si="25"/>
        <v>0</v>
      </c>
      <c r="DD7" s="62">
        <f t="shared" si="26"/>
        <v>0</v>
      </c>
      <c r="DE7" s="62">
        <f t="shared" si="27"/>
        <v>0</v>
      </c>
      <c r="DF7" s="62">
        <f t="shared" si="28"/>
        <v>0</v>
      </c>
      <c r="DG7" s="62">
        <f t="shared" si="29"/>
        <v>0</v>
      </c>
      <c r="DH7" s="62">
        <f t="shared" si="30"/>
        <v>0</v>
      </c>
      <c r="DI7" s="62">
        <f t="shared" si="31"/>
        <v>0</v>
      </c>
      <c r="DJ7" s="62">
        <f t="shared" si="32"/>
        <v>0.33333333333333331</v>
      </c>
      <c r="DK7" s="62">
        <f t="shared" si="33"/>
        <v>0.66666666666666663</v>
      </c>
      <c r="DL7" s="62">
        <f t="shared" si="34"/>
        <v>1</v>
      </c>
      <c r="DM7" s="62">
        <f t="shared" si="35"/>
        <v>1</v>
      </c>
      <c r="DN7" s="62">
        <f t="shared" si="36"/>
        <v>1</v>
      </c>
      <c r="DO7" s="62">
        <f t="shared" si="37"/>
        <v>0.66666666666666663</v>
      </c>
      <c r="DP7" s="62">
        <f t="shared" si="38"/>
        <v>0.33333333333333331</v>
      </c>
      <c r="DQ7" s="62">
        <f t="shared" si="39"/>
        <v>0</v>
      </c>
      <c r="DR7" s="62">
        <f t="shared" si="40"/>
        <v>0</v>
      </c>
      <c r="DS7" s="62" t="e">
        <f t="shared" si="41"/>
        <v>#REF!</v>
      </c>
      <c r="DT7" s="62" t="e">
        <f t="shared" si="42"/>
        <v>#REF!</v>
      </c>
      <c r="DU7" s="62" t="e">
        <f t="shared" si="43"/>
        <v>#REF!</v>
      </c>
      <c r="DV7" s="62" t="e">
        <f t="shared" si="44"/>
        <v>#REF!</v>
      </c>
      <c r="DW7" s="62" t="e">
        <f t="shared" si="45"/>
        <v>#REF!</v>
      </c>
      <c r="DX7" s="62" t="e">
        <f t="shared" si="46"/>
        <v>#REF!</v>
      </c>
      <c r="DY7" s="62" t="e">
        <f t="shared" si="47"/>
        <v>#REF!</v>
      </c>
      <c r="DZ7" s="62" t="e">
        <f t="shared" si="48"/>
        <v>#REF!</v>
      </c>
      <c r="EA7" s="63">
        <f t="shared" si="1"/>
        <v>0</v>
      </c>
      <c r="EB7" s="63">
        <f t="shared" si="2"/>
        <v>0</v>
      </c>
      <c r="EC7" s="63">
        <f t="shared" si="3"/>
        <v>0</v>
      </c>
      <c r="ED7" s="63">
        <f t="shared" si="4"/>
        <v>0</v>
      </c>
      <c r="EE7" s="63">
        <f t="shared" si="5"/>
        <v>0</v>
      </c>
      <c r="EF7" s="63">
        <f t="shared" si="6"/>
        <v>0</v>
      </c>
      <c r="EG7" s="63">
        <f t="shared" si="7"/>
        <v>0</v>
      </c>
      <c r="EH7" s="63">
        <f t="shared" si="8"/>
        <v>0</v>
      </c>
      <c r="EI7" s="63">
        <f t="shared" si="9"/>
        <v>0</v>
      </c>
      <c r="EJ7" s="63">
        <f t="shared" si="10"/>
        <v>0</v>
      </c>
      <c r="EK7" s="63">
        <f t="shared" si="11"/>
        <v>0.33333333333333331</v>
      </c>
      <c r="EL7" s="63">
        <f t="shared" si="12"/>
        <v>0.66666666666666663</v>
      </c>
      <c r="EM7" s="63">
        <f t="shared" si="13"/>
        <v>1</v>
      </c>
      <c r="EN7" s="63">
        <f t="shared" si="14"/>
        <v>1</v>
      </c>
      <c r="EO7" s="63">
        <f t="shared" si="15"/>
        <v>1</v>
      </c>
      <c r="EP7" s="63">
        <f t="shared" si="16"/>
        <v>1</v>
      </c>
      <c r="ET7" t="str">
        <v>2.3</v>
      </c>
      <c r="EU7" s="38" t="e">
        <f t="shared" si="49"/>
        <v>#REF!</v>
      </c>
      <c r="EV7" s="38" t="e">
        <f t="shared" si="50"/>
        <v>#REF!</v>
      </c>
      <c r="EW7" s="38" t="e">
        <f t="shared" si="51"/>
        <v>#REF!</v>
      </c>
      <c r="EX7" s="38" t="e">
        <f t="shared" si="52"/>
        <v>#REF!</v>
      </c>
      <c r="EY7" s="38" t="e">
        <f t="shared" si="53"/>
        <v>#REF!</v>
      </c>
      <c r="EZ7" s="38" t="e">
        <f t="shared" si="54"/>
        <v>#REF!</v>
      </c>
      <c r="FA7" s="38" t="e">
        <f t="shared" si="55"/>
        <v>#REF!</v>
      </c>
      <c r="FB7" s="38" t="e">
        <f t="shared" si="56"/>
        <v>#REF!</v>
      </c>
      <c r="FC7" s="38" t="e">
        <f t="shared" si="57"/>
        <v>#REF!</v>
      </c>
      <c r="FD7" s="38" t="e">
        <f t="shared" si="58"/>
        <v>#REF!</v>
      </c>
      <c r="FE7" s="38">
        <f t="shared" si="59"/>
        <v>0</v>
      </c>
      <c r="FF7" s="38">
        <f t="shared" si="60"/>
        <v>0</v>
      </c>
      <c r="FG7" s="38">
        <f t="shared" si="61"/>
        <v>0</v>
      </c>
      <c r="FH7" s="38">
        <f t="shared" si="62"/>
        <v>0</v>
      </c>
      <c r="FI7" s="38">
        <f t="shared" si="63"/>
        <v>0</v>
      </c>
      <c r="FJ7" s="38">
        <f t="shared" si="64"/>
        <v>0.58333333333333326</v>
      </c>
      <c r="FK7" s="38">
        <f t="shared" si="65"/>
        <v>0.58333333333333326</v>
      </c>
      <c r="FL7" s="38">
        <f t="shared" si="17"/>
        <v>0.58333333333333326</v>
      </c>
      <c r="FM7" s="38">
        <v>1</v>
      </c>
      <c r="FN7" s="38">
        <f t="shared" si="66"/>
        <v>0.66666666666666663</v>
      </c>
      <c r="FO7" s="38">
        <f t="shared" si="67"/>
        <v>0.33333333333333331</v>
      </c>
      <c r="FU7" s="51">
        <v>45931</v>
      </c>
      <c r="FV7" t="s">
        <v>22</v>
      </c>
      <c r="FW7" t="s">
        <v>22</v>
      </c>
      <c r="FX7" t="s">
        <v>22</v>
      </c>
      <c r="FY7" t="s">
        <v>22</v>
      </c>
      <c r="FZ7" t="s">
        <v>22</v>
      </c>
      <c r="GA7" t="s">
        <v>22</v>
      </c>
      <c r="GB7" t="s">
        <v>22</v>
      </c>
      <c r="GC7" t="s">
        <v>22</v>
      </c>
      <c r="GD7" t="s">
        <v>22</v>
      </c>
      <c r="GE7" t="s">
        <v>22</v>
      </c>
      <c r="GF7" t="s">
        <v>22</v>
      </c>
      <c r="GG7" t="s">
        <v>22</v>
      </c>
      <c r="GH7" t="s">
        <v>22</v>
      </c>
      <c r="GI7" t="s">
        <v>22</v>
      </c>
      <c r="GJ7" t="s">
        <v>22</v>
      </c>
      <c r="GK7" t="s">
        <v>22</v>
      </c>
      <c r="GL7" t="s">
        <v>22</v>
      </c>
      <c r="GM7" t="s">
        <v>22</v>
      </c>
      <c r="GN7" t="s">
        <v>22</v>
      </c>
      <c r="GO7" t="s">
        <v>22</v>
      </c>
      <c r="GP7" t="s">
        <v>22</v>
      </c>
      <c r="GQ7" t="s">
        <v>22</v>
      </c>
      <c r="GR7" t="s">
        <v>22</v>
      </c>
      <c r="GS7" t="s">
        <v>22</v>
      </c>
      <c r="GT7" t="s">
        <v>22</v>
      </c>
      <c r="GU7" t="s">
        <v>22</v>
      </c>
      <c r="GV7" t="s">
        <v>22</v>
      </c>
      <c r="GW7" t="s">
        <v>22</v>
      </c>
      <c r="GX7" t="s">
        <v>22</v>
      </c>
      <c r="GY7" t="s">
        <v>22</v>
      </c>
      <c r="GZ7" t="s">
        <v>22</v>
      </c>
      <c r="HA7" t="s">
        <v>22</v>
      </c>
      <c r="HB7" t="s">
        <v>22</v>
      </c>
      <c r="HC7" t="s">
        <v>22</v>
      </c>
      <c r="HD7" t="s">
        <v>22</v>
      </c>
      <c r="HE7" t="s">
        <v>22</v>
      </c>
      <c r="HF7" t="s">
        <v>22</v>
      </c>
      <c r="HG7" t="s">
        <v>22</v>
      </c>
      <c r="HH7" t="s">
        <v>22</v>
      </c>
      <c r="HI7" t="s">
        <v>22</v>
      </c>
      <c r="HJ7" t="s">
        <v>22</v>
      </c>
      <c r="HK7" t="s">
        <v>22</v>
      </c>
      <c r="HL7" t="s">
        <v>22</v>
      </c>
      <c r="HM7" t="s">
        <v>22</v>
      </c>
      <c r="HN7" t="s">
        <v>22</v>
      </c>
      <c r="HO7" cm="1">
        <f t="array" ref="HO7">SUMPRODUCT(--(FV7:HN7&lt;&gt;""))</f>
        <v>0</v>
      </c>
    </row>
    <row r="8" spans="1:242">
      <c r="A8" t="str">
        <f t="shared" si="18"/>
        <v>2.1</v>
      </c>
      <c r="B8" t="s">
        <v>39</v>
      </c>
      <c r="C8" s="27">
        <v>1</v>
      </c>
      <c r="D8" s="27">
        <v>1</v>
      </c>
      <c r="E8" s="31">
        <f>IF($D8=0,0,IF(_xlfn.XLOOKUP($B8,'TH_MLG GRADE 10'!$B$7:$B$49,'TH_MLG GRADE 10'!C$7:C$49,"",0,1)="P",1*$D8,0))</f>
        <v>0</v>
      </c>
      <c r="F8" s="31">
        <f>IF($D8=0,0,IF(_xlfn.XLOOKUP($B8,'TH_MLG GRADE 10'!$B$7:$B$49,'TH_MLG GRADE 10'!D$7:D$49,"",0,1)="P",1*$D8,0))</f>
        <v>0</v>
      </c>
      <c r="G8" s="31">
        <f>IF($D8=0,0,IF(_xlfn.XLOOKUP($B8,'TH_MLG GRADE 10'!$B$7:$B$49,'TH_MLG GRADE 10'!E$7:E$49,"",0,1)="P",1*$D8,0))</f>
        <v>0</v>
      </c>
      <c r="H8" s="31">
        <f>IF($D8=0,0,IF(_xlfn.XLOOKUP($B8,'TH_MLG GRADE 10'!$B$7:$B$49,'TH_MLG GRADE 10'!I$7:I$49,"",0,1)="P",1*$D8,0))</f>
        <v>0</v>
      </c>
      <c r="I8" s="31">
        <f>IF($D8=0,0,IF(_xlfn.XLOOKUP($B8,'TH_MLG GRADE 10'!$B$7:$B$49,'TH_MLG GRADE 10'!J$7:J$49,"",0,1)="P",1*$D8,0))</f>
        <v>0</v>
      </c>
      <c r="J8" s="31">
        <f>IF($D8=0,0,IF(_xlfn.XLOOKUP($B8,'TH_MLG GRADE 10'!$B$7:$B$49,'TH_MLG GRADE 10'!K$7:K$49,"",0,1)="P",1*$D8,0))</f>
        <v>0</v>
      </c>
      <c r="K8" s="31">
        <f>IF($D8=0,0,IF(_xlfn.XLOOKUP($B8,'TH_MLG GRADE 10'!$B$7:$B$49,'TH_MLG GRADE 10'!O$7:O$49,"",0,1)="P",1*$D8,0))</f>
        <v>0</v>
      </c>
      <c r="L8" s="31">
        <f>IF($D8=0,0,IF(_xlfn.XLOOKUP($B8,'TH_MLG GRADE 10'!$B$7:$B$49,'TH_MLG GRADE 10'!P$7:P$49,"",0,1)="P",1*$D8,0))</f>
        <v>0</v>
      </c>
      <c r="M8" s="31">
        <f>IF($D8=0,0,IF(_xlfn.XLOOKUP($B8,'TH_MLG GRADE 10'!$B$7:$B$49,'TH_MLG GRADE 10'!Q$7:Q$49,"",0,1)="P",1*$D8,0))</f>
        <v>0</v>
      </c>
      <c r="N8" s="31">
        <f>IF($D8=0,0,IF(_xlfn.XLOOKUP($B8,'TH_MLG GRADE 10'!$B$7:$B$49,'TH_MLG GRADE 10'!AA$7:AA$49,"",0,1)="P",1*$D8,0))</f>
        <v>0</v>
      </c>
      <c r="O8" s="31">
        <f>IF($D8=0,0,IF(_xlfn.XLOOKUP($B8,'TH_MLG GRADE 10'!$B$7:$B$49,'TH_MLG GRADE 10'!AB$7:AB$49,"",0,1)="P",1*$D8,0))</f>
        <v>0</v>
      </c>
      <c r="P8" s="31">
        <f>IF($D8=0,0,IF(_xlfn.XLOOKUP($B8,'TH_MLG GRADE 10'!$B$7:$B$49,'TH_MLG GRADE 10'!AC$7:AC$49,"",0,1)="P",1*$D8,0))</f>
        <v>0</v>
      </c>
      <c r="Q8" s="31">
        <f>IF($D8=0,0,IF(_xlfn.XLOOKUP($B8,'TH_MLG GRADE 10'!$B$7:$B$49,'TH_MLG GRADE 10'!AG$7:AG$49,"",0,1)="P",1*$D8,0))</f>
        <v>0</v>
      </c>
      <c r="R8" s="31">
        <f>IF($D8=0,0,IF(_xlfn.XLOOKUP($B8,'TH_MLG GRADE 10'!$B$7:$B$49,'TH_MLG GRADE 10'!AH$7:AH$49,"",0,1)="P",1*$D8,0))</f>
        <v>0</v>
      </c>
      <c r="S8" s="31">
        <f>IF($D8=0,0,IF(_xlfn.XLOOKUP($B8,'TH_MLG GRADE 10'!$B$7:$B$49,'TH_MLG GRADE 10'!AI$7:AI$49,"",0,1)="P",1*$D8,0))</f>
        <v>0</v>
      </c>
      <c r="T8" s="31">
        <f>IF($D8=0,0,IF(_xlfn.XLOOKUP($B8,'TH_MLG GRADE 10'!$B$7:$B$49,'TH_MLG GRADE 10'!AM$7:AM$49,"",0,1)="P",1*$D8,0))</f>
        <v>1</v>
      </c>
      <c r="U8" s="31">
        <f>IF($D8=0,0,IF(_xlfn.XLOOKUP($B8,'TH_MLG GRADE 10'!$B$7:$B$49,'TH_MLG GRADE 10'!AN$7:AN$49,"",0,1)="P",1*$D8,0))</f>
        <v>1</v>
      </c>
      <c r="V8" s="31">
        <f>IF($D8=0,0,IF(_xlfn.XLOOKUP($B8,'TH_MLG GRADE 10'!$B$7:$B$49,'TH_MLG GRADE 10'!AO$7:AO$49,"",0,1)="P",1*$D8,0))</f>
        <v>1</v>
      </c>
      <c r="W8" s="31">
        <f>IF($D8=0,0,IF(_xlfn.XLOOKUP($B8,'TH_MLG GRADE 10'!$B$7:$B$49,'TH_MLG GRADE 10'!AY$7:AY$49,"",0,1)="P",1*$D8,0))</f>
        <v>1</v>
      </c>
      <c r="X8" s="31">
        <f>IF($D8=0,0,IF(_xlfn.XLOOKUP($B8,'TH_MLG GRADE 10'!$B$7:$B$49,'TH_MLG GRADE 10'!AZ$7:AZ$49,"",0,1)="P",1*$D8,0))</f>
        <v>1</v>
      </c>
      <c r="Y8" s="31">
        <f>IF($D8=0,0,IF(_xlfn.XLOOKUP($B8,'TH_MLG GRADE 10'!$B$7:$B$49,'TH_MLG GRADE 10'!BA$7:BA$49,"",0,1)="P",1*$D8,0))</f>
        <v>0</v>
      </c>
      <c r="Z8" s="31">
        <f>IF($D8=0,0,IF(_xlfn.XLOOKUP($B8,'TH_MLG GRADE 10'!$B$7:$B$49,'TH_MLG GRADE 10'!BE$7:BE$49,"",0,1)="P",1*$D8,0))</f>
        <v>0</v>
      </c>
      <c r="AA8" s="31">
        <f>IF($D8=0,0,IF(_xlfn.XLOOKUP($B8,'TH_MLG GRADE 10'!$B$7:$B$49,'TH_MLG GRADE 10'!BF$7:BF$49,"",0,1)="P",1*$D8,0))</f>
        <v>0</v>
      </c>
      <c r="AB8" s="31">
        <f>IF($D8=0,0,IF(_xlfn.XLOOKUP($B8,'TH_MLG GRADE 10'!$B$7:$B$49,'TH_MLG GRADE 10'!BG$7:BG$49,"",0,1)="P",1*$D8,0))</f>
        <v>0</v>
      </c>
      <c r="AC8" s="31" t="e">
        <f>IF($D8=0,0,IF(_xlfn.XLOOKUP($B8,'TH_MLG GRADE 10'!$B$7:$B$49,'TH_MLG GRADE 10'!#REF!,"",0,1)="P",1*$D8,0))</f>
        <v>#REF!</v>
      </c>
      <c r="AD8" s="31" t="e">
        <f>IF($D8=0,0,IF(_xlfn.XLOOKUP($B8,'TH_MLG GRADE 10'!$B$7:$B$49,'TH_MLG GRADE 10'!#REF!,"",0,1)="P",1*$D8,0))</f>
        <v>#REF!</v>
      </c>
      <c r="AE8" s="31" t="e">
        <f>IF($D8=0,0,IF(_xlfn.XLOOKUP($B8,'TH_MLG GRADE 10'!$B$7:$B$49,'TH_MLG GRADE 10'!#REF!,"",0,1)="P",1*$D8,0))</f>
        <v>#REF!</v>
      </c>
      <c r="AF8" s="31" t="e">
        <f>IF($D8=0,0,IF(_xlfn.XLOOKUP($B8,'TH_MLG GRADE 10'!$B$7:$B$49,'TH_MLG GRADE 10'!#REF!,"",0,1)="P",1*$D8,0))</f>
        <v>#REF!</v>
      </c>
      <c r="AG8" s="31" t="e">
        <f>IF($D8=0,0,IF(_xlfn.XLOOKUP($B8,'TH_MLG GRADE 10'!$B$7:$B$49,'TH_MLG GRADE 10'!#REF!,"",0,1)="P",1*$D8,0))</f>
        <v>#REF!</v>
      </c>
      <c r="AH8" s="31" t="e">
        <f>IF($D8=0,0,IF(_xlfn.XLOOKUP($B8,'TH_MLG GRADE 10'!$B$7:$B$49,'TH_MLG GRADE 10'!#REF!,"",0,1)="P",1*$D8,0))</f>
        <v>#REF!</v>
      </c>
      <c r="AI8" s="32">
        <f>IF($D8=0,0,IF(_xlfn.XLOOKUP($B8,'TH_CMI GRADE 10'!$B$7:$B$49,'TH_CMI GRADE 10'!C$7:C$49,"",0,1)="P",1*$D8,0))</f>
        <v>0</v>
      </c>
      <c r="AJ8" s="32">
        <f>IF($D8=0,0,IF(_xlfn.XLOOKUP($B8,'TH_CMI GRADE 10'!$B$7:$B$49,'TH_CMI GRADE 10'!D$7:D$49,"",0,1)="P",1*$D8,0))</f>
        <v>0</v>
      </c>
      <c r="AK8" s="32">
        <f>IF($D8=0,0,IF(_xlfn.XLOOKUP($B8,'TH_CMI GRADE 10'!$B$7:$B$49,'TH_CMI GRADE 10'!H$7:H$49,"",0,1)="P",1*$D8,0))</f>
        <v>0</v>
      </c>
      <c r="AL8" s="32">
        <f>IF($D8=0,0,IF(_xlfn.XLOOKUP($B8,'TH_CMI GRADE 10'!$B$7:$B$49,'TH_CMI GRADE 10'!I$7:I$49,"",0,1)="P",1*$D8,0))</f>
        <v>0</v>
      </c>
      <c r="AM8" s="32">
        <f>IF($D8=0,0,IF(_xlfn.XLOOKUP($B8,'TH_CMI GRADE 10'!$B$7:$B$49,'TH_CMI GRADE 10'!J$7:J$49,"",0,1)="P",1*$D8,0))</f>
        <v>0</v>
      </c>
      <c r="AN8" s="32">
        <f>IF($D8=0,0,IF(_xlfn.XLOOKUP($B8,'TH_CMI GRADE 10'!$B$7:$B$49,'TH_CMI GRADE 10'!K$7:K$49,"",0,1)="P",1*$D8,0))</f>
        <v>0</v>
      </c>
      <c r="AO8" s="32">
        <f>IF($D8=0,0,IF(_xlfn.XLOOKUP($B8,'TH_CMI GRADE 10'!$B$7:$B$49,'TH_CMI GRADE 10'!O$7:O$49,"",0,1)="P",1*$D8,0))</f>
        <v>0</v>
      </c>
      <c r="AP8" s="32">
        <f>IF($D8=0,0,IF(_xlfn.XLOOKUP($B8,'TH_CMI GRADE 10'!$B$7:$B$49,'TH_CMI GRADE 10'!P$7:P$49,"",0,1)="P",1*$D8,0))</f>
        <v>0</v>
      </c>
      <c r="AQ8" s="32">
        <f>IF($D8=0,0,IF(_xlfn.XLOOKUP($B8,'TH_CMI GRADE 10'!$B$7:$B$49,'TH_CMI GRADE 10'!Q$7:Q$49,"",0,1)="P",1*$D8,0))</f>
        <v>0</v>
      </c>
      <c r="AR8" s="32">
        <f>IF($D8=0,0,IF(_xlfn.XLOOKUP($B8,'TH_CMI GRADE 10'!$B$7:$B$49,'TH_CMI GRADE 10'!U$7:U$49,"",0,1)="P",1*$D8,0))</f>
        <v>0</v>
      </c>
      <c r="AS8" s="32">
        <f>IF($D8=0,0,IF(_xlfn.XLOOKUP($B8,'TH_CMI GRADE 10'!$B$7:$B$49,'TH_CMI GRADE 10'!V$7:V$49,"",0,1)="P",1*$D8,0))</f>
        <v>0</v>
      </c>
      <c r="AT8" s="32">
        <f>IF($D8=0,0,IF(_xlfn.XLOOKUP($B8,'TH_CMI GRADE 10'!$B$7:$B$49,'TH_CMI GRADE 10'!W$7:W$49,"",0,1)="P",1*$D8,0))</f>
        <v>0</v>
      </c>
      <c r="AU8" s="32">
        <f>IF($D8=0,0,IF(_xlfn.XLOOKUP($B8,'TH_CMI GRADE 10'!$B$7:$B$49,'TH_CMI GRADE 10'!AA$7:AA$49,"",0,1)="P",1*$D8,0))</f>
        <v>1</v>
      </c>
      <c r="AV8" s="32">
        <f>IF($D8=0,0,IF(_xlfn.XLOOKUP($B8,'TH_CMI GRADE 10'!$B$7:$B$49,'TH_CMI GRADE 10'!AB$7:AB$49,"",0,1)="P",1*$D8,0))</f>
        <v>1</v>
      </c>
      <c r="AW8" s="32">
        <f>IF($D8=0,0,IF(_xlfn.XLOOKUP($B8,'TH_CMI GRADE 10'!$B$7:$B$49,'TH_CMI GRADE 10'!AC$7:AC$49,"",0,1)="P",1*$D8,0))</f>
        <v>1</v>
      </c>
      <c r="AX8" s="32">
        <f>IF($D8=0,0,IF(_xlfn.XLOOKUP($B8,'TH_CMI GRADE 10'!$B$7:$B$49,'TH_CMI GRADE 10'!AG$7:AG$49,"",0,1)="P",1*$D8,0))</f>
        <v>1</v>
      </c>
      <c r="AY8" s="32">
        <f>IF($D8=0,0,IF(_xlfn.XLOOKUP($B8,'TH_CMI GRADE 10'!$B$7:$B$49,'TH_CMI GRADE 10'!AH$7:AH$49,"",0,1)="P",1*$D8,0))</f>
        <v>1</v>
      </c>
      <c r="AZ8" s="32">
        <f>IF($D8=0,0,IF(_xlfn.XLOOKUP($B8,'TH_CMI GRADE 10'!$B$7:$B$49,'TH_CMI GRADE 10'!AI$7:AI$49,"",0,1)="P",1*$D8,0))</f>
        <v>1</v>
      </c>
      <c r="BA8" s="31" t="e">
        <f>IF($C8=0,0,IF(_xlfn.XLOOKUP($B8,'PW_MLG GRADE 10'!$B$7:$B$31,'PW_MLG GRADE 10'!#REF!,"",0,1)="P",1*$C8,0))</f>
        <v>#REF!</v>
      </c>
      <c r="BB8" s="31" t="e">
        <f>IF($C8=0,0,IF(_xlfn.XLOOKUP($B8,'PW_MLG GRADE 10'!$B$7:$B$31,'PW_MLG GRADE 10'!#REF!,"",0,1)="P",1*$C8,0))</f>
        <v>#REF!</v>
      </c>
      <c r="BC8" s="31" t="e">
        <f>IF($C8=0,0,IF(_xlfn.XLOOKUP($B8,'PW_MLG GRADE 10'!$B$7:$B$31,'PW_MLG GRADE 10'!#REF!,"",0,1)="P",1*$C8,0))</f>
        <v>#REF!</v>
      </c>
      <c r="BD8" s="31" t="e">
        <f>IF($C8=0,0,IF(_xlfn.XLOOKUP($B8,'PW_MLG GRADE 10'!$B$7:$B$31,'PW_MLG GRADE 10'!#REF!,"",0,1)="P",1*$C8,0))</f>
        <v>#REF!</v>
      </c>
      <c r="BE8" s="31" t="e">
        <f>IF($C8=0,0,IF(_xlfn.XLOOKUP($B8,'PW_MLG GRADE 10'!$B$7:$B$31,'PW_MLG GRADE 10'!#REF!,"",0,1)="P",1*$C8,0))</f>
        <v>#REF!</v>
      </c>
      <c r="BF8" s="31" t="e">
        <f>IF($C8=0,0,IF(_xlfn.XLOOKUP($B8,'PW_MLG GRADE 10'!$B$7:$B$31,'PW_MLG GRADE 10'!#REF!,"",0,1)="P",1*$C8,0))</f>
        <v>#REF!</v>
      </c>
      <c r="BG8" s="31" t="e">
        <f>IF($C8=0,0,IF(_xlfn.XLOOKUP($B8,'PW_MLG GRADE 10'!$B$7:$B$31,'PW_MLG GRADE 10'!#REF!,"",0,1)="P",1*$C8,0))</f>
        <v>#REF!</v>
      </c>
      <c r="BH8" s="31" t="e">
        <f>IF($C8=0,0,IF(_xlfn.XLOOKUP($B8,'PW_MLG GRADE 10'!$B$7:$B$31,'PW_MLG GRADE 10'!#REF!,"",0,1)="P",1*$C8,0))</f>
        <v>#REF!</v>
      </c>
      <c r="BI8" s="31" t="e">
        <f>IF($C8=0,0,IF(_xlfn.XLOOKUP($B8,'PW_MLG GRADE 10'!$B$7:$B$31,'PW_MLG GRADE 10'!#REF!,"",0,1)="P",1*$C8,0))</f>
        <v>#REF!</v>
      </c>
      <c r="BJ8" s="31" t="e">
        <f>IF($C8=0,0,IF(_xlfn.XLOOKUP($B8,'PW_MLG GRADE 10'!$B$7:$B$31,'PW_MLG GRADE 10'!#REF!,"",0,1)="P",1*$C8,0))</f>
        <v>#REF!</v>
      </c>
      <c r="BK8" s="31" t="e">
        <f>IF($C8=0,0,IF(_xlfn.XLOOKUP($B8,'PW_MLG GRADE 10'!$B$7:$B$31,'PW_MLG GRADE 10'!#REF!,"",0,1)="P",1*$C8,0))</f>
        <v>#REF!</v>
      </c>
      <c r="BL8" s="31" t="e">
        <f>IF($C8=0,0,IF(_xlfn.XLOOKUP($B8,'PW_MLG GRADE 10'!$B$7:$B$31,'PW_MLG GRADE 10'!#REF!,"",0,1)="P",1*$C8,0))</f>
        <v>#REF!</v>
      </c>
      <c r="BM8" s="31" t="e">
        <f>IF($C8=0,0,IF(_xlfn.XLOOKUP($B8,'PW_MLG GRADE 10'!$B$7:$B$31,'PW_MLG GRADE 10'!#REF!,"",0,1)="P",1*$C8,0))</f>
        <v>#REF!</v>
      </c>
      <c r="BN8" s="31" t="e">
        <f>IF($C8=0,0,IF(_xlfn.XLOOKUP($B8,'PW_MLG GRADE 10'!$B$7:$B$31,'PW_MLG GRADE 10'!#REF!,"",0,1)="P",1*$C8,0))</f>
        <v>#REF!</v>
      </c>
      <c r="BO8" s="31" t="e">
        <f>IF($C8=0,0,IF(_xlfn.XLOOKUP($B8,'PW_MLG GRADE 10'!$B$7:$B$31,'PW_MLG GRADE 10'!#REF!,"",0,1)="P",1*$C8,0))</f>
        <v>#REF!</v>
      </c>
      <c r="BP8" s="31" t="e">
        <f>IF($C8=0,0,IF(_xlfn.XLOOKUP($B8,'PW_MLG GRADE 10'!$B$7:$B$31,'PW_MLG GRADE 10'!#REF!,"",0,1)="P",1*$C8,0))</f>
        <v>#REF!</v>
      </c>
      <c r="BQ8" s="31" t="e">
        <f>IF($C8=0,0,IF(_xlfn.XLOOKUP($B8,'PW_MLG GRADE 10'!$B$7:$B$31,'PW_MLG GRADE 10'!#REF!,"",0,1)="P",1*$C8,0))</f>
        <v>#REF!</v>
      </c>
      <c r="BR8" s="31" t="e">
        <f>IF($C8=0,0,IF(_xlfn.XLOOKUP($B8,'PW_MLG GRADE 10'!$B$7:$B$31,'PW_MLG GRADE 10'!#REF!,"",0,1)="P",1*$C8,0))</f>
        <v>#REF!</v>
      </c>
      <c r="BS8" s="31" t="e">
        <f>IF($C8=0,0,IF(_xlfn.XLOOKUP($B8,'PW_MLG GRADE 10'!$B$7:$B$31,'PW_MLG GRADE 10'!#REF!,"",0,1)="P",1*$C8,0))</f>
        <v>#REF!</v>
      </c>
      <c r="BT8" s="31" t="e">
        <f>IF($C8=0,0,IF(_xlfn.XLOOKUP($B8,'PW_MLG GRADE 10'!$B$7:$B$31,'PW_MLG GRADE 10'!#REF!,"",0,1)="P",1*$C8,0))</f>
        <v>#REF!</v>
      </c>
      <c r="BU8" s="31" t="e">
        <f>IF($C8=0,0,IF(_xlfn.XLOOKUP($B8,'PW_MLG GRADE 10'!$B$7:$B$31,'PW_MLG GRADE 10'!#REF!,"",0,1)="P",1*$C8,0))</f>
        <v>#REF!</v>
      </c>
      <c r="BV8" s="31" t="e">
        <f>IF($C8=0,0,IF(_xlfn.XLOOKUP($B8,'PW_MLG GRADE 10'!$B$7:$B$31,'PW_MLG GRADE 10'!#REF!,"",0,1)="P",1*$C8,0))</f>
        <v>#REF!</v>
      </c>
      <c r="BW8" s="31" t="e">
        <f>IF($C8=0,0,IF(_xlfn.XLOOKUP($B8,'PW_MLG GRADE 10'!$B$7:$B$31,'PW_MLG GRADE 10'!#REF!,"",0,1)="P",1*$C8,0))</f>
        <v>#REF!</v>
      </c>
      <c r="BX8" s="31" t="e">
        <f>IF($C8=0,0,IF(_xlfn.XLOOKUP($B8,'PW_MLG GRADE 10'!$B$7:$B$31,'PW_MLG GRADE 10'!#REF!,"",0,1)="P",1*$C8,0))</f>
        <v>#REF!</v>
      </c>
      <c r="BY8" s="31" t="e">
        <f>IF($C8=0,0,IF(_xlfn.XLOOKUP($B8,'PW_MLG GRADE 10'!$B$7:$B$31,'PW_MLG GRADE 10'!#REF!,"",0,1)="P",1*$C8,0))</f>
        <v>#REF!</v>
      </c>
      <c r="BZ8" s="31" t="e">
        <f>IF($C8=0,0,IF(_xlfn.XLOOKUP($B8,'PW_MLG GRADE 10'!$B$7:$B$31,'PW_MLG GRADE 10'!#REF!,"",0,1)="P",1*$C8,0))</f>
        <v>#REF!</v>
      </c>
      <c r="CA8" s="31" t="e">
        <f>IF($C8=0,0,IF(_xlfn.XLOOKUP($B8,'PW_MLG GRADE 10'!$B$7:$B$31,'PW_MLG GRADE 10'!#REF!,"",0,1)="P",1*$C8,0))</f>
        <v>#REF!</v>
      </c>
      <c r="CB8" s="31" t="e">
        <f>IF($C8=0,0,IF(_xlfn.XLOOKUP($B8,'PW_MLG GRADE 10'!$B$7:$B$31,'PW_MLG GRADE 10'!#REF!,"",0,1)="P",1*$C8,0))</f>
        <v>#REF!</v>
      </c>
      <c r="CC8" s="31" t="e">
        <f>IF($C8=0,0,IF(_xlfn.XLOOKUP($B8,'PW_MLG GRADE 10'!$B$7:$B$31,'PW_MLG GRADE 10'!#REF!,"",0,1)="P",1*$C8,0))</f>
        <v>#REF!</v>
      </c>
      <c r="CD8" s="31" t="e">
        <f>IF($C8=0,0,IF(_xlfn.XLOOKUP($B8,'PW_MLG GRADE 10'!$B$7:$B$31,'PW_MLG GRADE 10'!#REF!,"",0,1)="P",1*$C8,0))</f>
        <v>#REF!</v>
      </c>
      <c r="CE8" s="32">
        <f>IF($C8=0,0,IF(_xlfn.XLOOKUP($B8,'PW_CMI GRADE 10'!$B$7:$B$31,'PW_CMI GRADE 10'!C$7:C$31,"",0,1)="P",1*$C8,0))</f>
        <v>0</v>
      </c>
      <c r="CF8" s="32">
        <f>IF($C8=0,0,IF(_xlfn.XLOOKUP($B8,'PW_CMI GRADE 10'!$B$7:$B$31,'PW_CMI GRADE 10'!D$7:D$31,"",0,1)="P",1*$C8,0))</f>
        <v>0</v>
      </c>
      <c r="CG8" s="32">
        <f>IF($C8=0,0,IF(_xlfn.XLOOKUP($B8,'PW_CMI GRADE 10'!$B$7:$B$31,'PW_CMI GRADE 10'!E$7:E$31,"",0,1)="P",1*$C8,0))</f>
        <v>0</v>
      </c>
      <c r="CH8" s="32">
        <f>IF($C8=0,0,IF(_xlfn.XLOOKUP($B8,'PW_CMI GRADE 10'!$B$7:$B$31,'PW_CMI GRADE 10'!F$7:F$31,"",0,1)="P",1*$C8,0))</f>
        <v>0</v>
      </c>
      <c r="CI8" s="32">
        <f>IF($C8=0,0,IF(_xlfn.XLOOKUP($B8,'PW_CMI GRADE 10'!$B$7:$B$31,'PW_CMI GRADE 10'!G$7:G$31,"",0,1)="P",1*$C8,0))</f>
        <v>0</v>
      </c>
      <c r="CJ8" s="32">
        <f>IF($C8=0,0,IF(_xlfn.XLOOKUP($B8,'PW_CMI GRADE 10'!$B$7:$B$31,'PW_CMI GRADE 10'!H$7:H$31,"",0,1)="P",1*$C8,0))</f>
        <v>0</v>
      </c>
      <c r="CK8" s="32">
        <f>IF($C8=0,0,IF(_xlfn.XLOOKUP($B8,'PW_CMI GRADE 10'!$B$7:$B$31,'PW_CMI GRADE 10'!I$7:I$31,"",0,1)="P",1*$C8,0))</f>
        <v>0</v>
      </c>
      <c r="CL8" s="32">
        <f>IF($C8=0,0,IF(_xlfn.XLOOKUP($B8,'PW_CMI GRADE 10'!$B$7:$B$31,'PW_CMI GRADE 10'!J$7:J$31,"",0,1)="P",1*$C8,0))</f>
        <v>0</v>
      </c>
      <c r="CM8" s="32">
        <f>IF($C8=0,0,IF(_xlfn.XLOOKUP($B8,'PW_CMI GRADE 10'!$B$7:$B$31,'PW_CMI GRADE 10'!K$7:K$31,"",0,1)="P",1*$C8,0))</f>
        <v>0</v>
      </c>
      <c r="CN8" s="32">
        <f>IF($C8=0,0,IF(_xlfn.XLOOKUP($B8,'PW_CMI GRADE 10'!$B$7:$B$31,'PW_CMI GRADE 10'!L$7:L$31,"",0,1)="P",1*$C8,0))</f>
        <v>0</v>
      </c>
      <c r="CO8" s="32">
        <f>IF($C8=0,0,IF(_xlfn.XLOOKUP($B8,'PW_CMI GRADE 10'!$B$7:$B$31,'PW_CMI GRADE 10'!M$7:M$31,"",0,1)="P",1*$C8,0))</f>
        <v>0</v>
      </c>
      <c r="CP8" s="32">
        <f>IF($C8=0,0,IF(_xlfn.XLOOKUP($B8,'PW_CMI GRADE 10'!$B$7:$B$31,'PW_CMI GRADE 10'!N$7:N$31,"",0,1)="P",1*$C8,0))</f>
        <v>0</v>
      </c>
      <c r="CQ8" s="32">
        <f>IF($C8=0,0,IF(_xlfn.XLOOKUP($B8,'PW_CMI GRADE 10'!$B$7:$B$31,'PW_CMI GRADE 10'!O$7:O$31,"",0,1)="P",1*$C8,0))</f>
        <v>0</v>
      </c>
      <c r="CR8" s="32">
        <f>IF($C8=0,0,IF(_xlfn.XLOOKUP($B8,'PW_CMI GRADE 10'!$B$7:$B$31,'PW_CMI GRADE 10'!P$7:P$31,"",0,1)="P",1*$C8,0))</f>
        <v>0</v>
      </c>
      <c r="CS8" s="32">
        <f>IF($C8=0,0,IF(_xlfn.XLOOKUP($B8,'PW_CMI GRADE 10'!$B$7:$B$31,'PW_CMI GRADE 10'!Q$7:Q$31,"",0,1)="P",1*$C8,0))</f>
        <v>0</v>
      </c>
      <c r="CT8" s="32">
        <f>IF($C8=0,0,IF(_xlfn.XLOOKUP($B8,'PW_CMI GRADE 10'!$B$7:$B$31,'PW_CMI GRADE 10'!R$7:R$31,"",0,1)="P",1*$C8,0))</f>
        <v>0</v>
      </c>
      <c r="CU8" s="32">
        <f>IF($C8=0,0,IF(_xlfn.XLOOKUP($B8,'PW_CMI GRADE 10'!$B$7:$B$31,'PW_CMI GRADE 10'!S$7:S$31,"",0,1)="P",1*$C8,0))</f>
        <v>0</v>
      </c>
      <c r="CV8" s="32">
        <f>IF($C8=0,0,IF(_xlfn.XLOOKUP($B8,'PW_CMI GRADE 10'!$B$7:$B$31,'PW_CMI GRADE 10'!T$7:T$31,"",0,1)="P",1*$C8,0))</f>
        <v>0</v>
      </c>
      <c r="CW8" s="62" t="e">
        <f t="shared" si="19"/>
        <v>#REF!</v>
      </c>
      <c r="CX8" s="62" t="e">
        <f t="shared" si="20"/>
        <v>#REF!</v>
      </c>
      <c r="CY8" s="62" t="e">
        <f t="shared" si="21"/>
        <v>#REF!</v>
      </c>
      <c r="CZ8" s="62" t="e">
        <f t="shared" si="22"/>
        <v>#REF!</v>
      </c>
      <c r="DA8" s="62" t="e">
        <f t="shared" si="23"/>
        <v>#REF!</v>
      </c>
      <c r="DB8" s="62" t="e">
        <f t="shared" si="24"/>
        <v>#REF!</v>
      </c>
      <c r="DC8" s="62" t="e">
        <f t="shared" si="25"/>
        <v>#REF!</v>
      </c>
      <c r="DD8" s="62" t="e">
        <f t="shared" si="26"/>
        <v>#REF!</v>
      </c>
      <c r="DE8" s="62" t="e">
        <f t="shared" si="27"/>
        <v>#REF!</v>
      </c>
      <c r="DF8" s="62" t="e">
        <f t="shared" si="28"/>
        <v>#REF!</v>
      </c>
      <c r="DG8" s="62" t="e">
        <f t="shared" si="29"/>
        <v>#REF!</v>
      </c>
      <c r="DH8" s="62" t="e">
        <f t="shared" si="30"/>
        <v>#REF!</v>
      </c>
      <c r="DI8" s="62" t="e">
        <f t="shared" si="31"/>
        <v>#REF!</v>
      </c>
      <c r="DJ8" s="62" t="e">
        <f t="shared" si="32"/>
        <v>#REF!</v>
      </c>
      <c r="DK8" s="62" t="e">
        <f t="shared" si="33"/>
        <v>#REF!</v>
      </c>
      <c r="DL8" s="62" t="e">
        <f t="shared" si="34"/>
        <v>#REF!</v>
      </c>
      <c r="DM8" s="62" t="e">
        <f t="shared" si="35"/>
        <v>#REF!</v>
      </c>
      <c r="DN8" s="62" t="e">
        <f t="shared" si="36"/>
        <v>#REF!</v>
      </c>
      <c r="DO8" s="62" t="e">
        <f t="shared" si="37"/>
        <v>#REF!</v>
      </c>
      <c r="DP8" s="62" t="e">
        <f t="shared" si="38"/>
        <v>#REF!</v>
      </c>
      <c r="DQ8" s="62" t="e">
        <f t="shared" si="39"/>
        <v>#REF!</v>
      </c>
      <c r="DR8" s="62" t="e">
        <f t="shared" si="40"/>
        <v>#REF!</v>
      </c>
      <c r="DS8" s="62" t="e">
        <f t="shared" si="41"/>
        <v>#REF!</v>
      </c>
      <c r="DT8" s="62" t="e">
        <f t="shared" si="42"/>
        <v>#REF!</v>
      </c>
      <c r="DU8" s="62" t="e">
        <f t="shared" si="43"/>
        <v>#REF!</v>
      </c>
      <c r="DV8" s="62" t="e">
        <f t="shared" si="44"/>
        <v>#REF!</v>
      </c>
      <c r="DW8" s="62" t="e">
        <f t="shared" si="45"/>
        <v>#REF!</v>
      </c>
      <c r="DX8" s="62" t="e">
        <f t="shared" si="46"/>
        <v>#REF!</v>
      </c>
      <c r="DY8" s="62" t="e">
        <f t="shared" si="47"/>
        <v>#REF!</v>
      </c>
      <c r="DZ8" s="62" t="e">
        <f t="shared" si="48"/>
        <v>#REF!</v>
      </c>
      <c r="EA8" s="63">
        <f t="shared" si="1"/>
        <v>0</v>
      </c>
      <c r="EB8" s="63">
        <f t="shared" si="2"/>
        <v>0</v>
      </c>
      <c r="EC8" s="63">
        <f t="shared" si="3"/>
        <v>0</v>
      </c>
      <c r="ED8" s="63">
        <f t="shared" si="4"/>
        <v>0</v>
      </c>
      <c r="EE8" s="63">
        <f t="shared" si="5"/>
        <v>0</v>
      </c>
      <c r="EF8" s="63">
        <f t="shared" si="6"/>
        <v>0</v>
      </c>
      <c r="EG8" s="63">
        <f t="shared" si="7"/>
        <v>0</v>
      </c>
      <c r="EH8" s="63">
        <f t="shared" si="8"/>
        <v>0</v>
      </c>
      <c r="EI8" s="63">
        <f t="shared" si="9"/>
        <v>0</v>
      </c>
      <c r="EJ8" s="63">
        <f t="shared" si="10"/>
        <v>0</v>
      </c>
      <c r="EK8" s="63">
        <f t="shared" si="11"/>
        <v>0.16666666666666666</v>
      </c>
      <c r="EL8" s="63">
        <f t="shared" si="12"/>
        <v>0.33333333333333331</v>
      </c>
      <c r="EM8" s="63">
        <f t="shared" si="13"/>
        <v>0.5</v>
      </c>
      <c r="EN8" s="63">
        <f t="shared" si="14"/>
        <v>0.5</v>
      </c>
      <c r="EO8" s="63">
        <f t="shared" si="15"/>
        <v>0.5</v>
      </c>
      <c r="EP8" s="63">
        <f t="shared" si="16"/>
        <v>0.5</v>
      </c>
      <c r="ET8" t="str">
        <v>2.4</v>
      </c>
      <c r="EU8" s="38">
        <f t="shared" si="49"/>
        <v>1</v>
      </c>
      <c r="EV8" s="38">
        <f t="shared" si="50"/>
        <v>1</v>
      </c>
      <c r="EW8" s="38">
        <f t="shared" si="51"/>
        <v>0.66666666666666663</v>
      </c>
      <c r="EX8" s="38">
        <f t="shared" si="52"/>
        <v>0</v>
      </c>
      <c r="EY8" s="38">
        <f t="shared" si="53"/>
        <v>0</v>
      </c>
      <c r="EZ8" s="38">
        <f t="shared" si="54"/>
        <v>1</v>
      </c>
      <c r="FA8" s="38">
        <f t="shared" si="55"/>
        <v>0.66666666666666663</v>
      </c>
      <c r="FB8" s="38">
        <f t="shared" si="56"/>
        <v>0</v>
      </c>
      <c r="FC8" s="38" t="e">
        <f t="shared" si="57"/>
        <v>#REF!</v>
      </c>
      <c r="FD8" s="38" t="e">
        <f t="shared" si="58"/>
        <v>#REF!</v>
      </c>
      <c r="FE8" s="38">
        <f t="shared" si="59"/>
        <v>0</v>
      </c>
      <c r="FF8" s="38">
        <f t="shared" si="60"/>
        <v>0</v>
      </c>
      <c r="FG8" s="38">
        <f t="shared" si="61"/>
        <v>0</v>
      </c>
      <c r="FH8" s="38">
        <f t="shared" si="62"/>
        <v>0</v>
      </c>
      <c r="FI8" s="38">
        <f t="shared" si="63"/>
        <v>0</v>
      </c>
      <c r="FJ8" s="38">
        <f t="shared" si="64"/>
        <v>1</v>
      </c>
      <c r="FK8" s="38">
        <f t="shared" si="65"/>
        <v>1</v>
      </c>
      <c r="FL8" s="38">
        <f t="shared" si="17"/>
        <v>1</v>
      </c>
      <c r="FM8" s="38">
        <v>1</v>
      </c>
      <c r="FN8" s="38">
        <f t="shared" si="66"/>
        <v>0.66666666666666663</v>
      </c>
      <c r="FO8" s="38">
        <f t="shared" si="67"/>
        <v>0.16666666666666666</v>
      </c>
      <c r="FU8" s="51">
        <v>45962</v>
      </c>
      <c r="FV8" t="s">
        <v>22</v>
      </c>
      <c r="FW8" t="s">
        <v>22</v>
      </c>
      <c r="FX8" t="s">
        <v>22</v>
      </c>
      <c r="FY8" t="s">
        <v>22</v>
      </c>
      <c r="FZ8" t="s">
        <v>22</v>
      </c>
      <c r="GA8" t="s">
        <v>22</v>
      </c>
      <c r="GB8" t="s">
        <v>22</v>
      </c>
      <c r="GC8" t="s">
        <v>22</v>
      </c>
      <c r="GD8" t="s">
        <v>22</v>
      </c>
      <c r="GE8" t="s">
        <v>22</v>
      </c>
      <c r="GF8" t="s">
        <v>22</v>
      </c>
      <c r="GG8" t="s">
        <v>22</v>
      </c>
      <c r="GH8" t="s">
        <v>22</v>
      </c>
      <c r="GI8" t="s">
        <v>22</v>
      </c>
      <c r="GJ8" t="s">
        <v>22</v>
      </c>
      <c r="GK8" t="s">
        <v>22</v>
      </c>
      <c r="GL8" t="s">
        <v>22</v>
      </c>
      <c r="GM8" t="s">
        <v>22</v>
      </c>
      <c r="GN8" t="s">
        <v>22</v>
      </c>
      <c r="GO8" t="s">
        <v>22</v>
      </c>
      <c r="GP8" t="s">
        <v>22</v>
      </c>
      <c r="GQ8" t="s">
        <v>22</v>
      </c>
      <c r="GR8" t="s">
        <v>22</v>
      </c>
      <c r="GS8" t="s">
        <v>22</v>
      </c>
      <c r="GT8" t="s">
        <v>22</v>
      </c>
      <c r="GU8" t="s">
        <v>22</v>
      </c>
      <c r="GV8" t="s">
        <v>22</v>
      </c>
      <c r="GW8" t="s">
        <v>22</v>
      </c>
      <c r="GX8" t="s">
        <v>22</v>
      </c>
      <c r="GY8" t="s">
        <v>22</v>
      </c>
      <c r="GZ8" t="s">
        <v>22</v>
      </c>
      <c r="HA8" t="s">
        <v>22</v>
      </c>
      <c r="HB8" t="s">
        <v>22</v>
      </c>
      <c r="HC8" t="s">
        <v>22</v>
      </c>
      <c r="HD8" t="s">
        <v>22</v>
      </c>
      <c r="HE8" t="s">
        <v>22</v>
      </c>
      <c r="HF8" t="s">
        <v>22</v>
      </c>
      <c r="HG8" t="s">
        <v>22</v>
      </c>
      <c r="HH8" t="s">
        <v>22</v>
      </c>
      <c r="HI8" t="s">
        <v>22</v>
      </c>
      <c r="HJ8" t="s">
        <v>22</v>
      </c>
      <c r="HK8" t="s">
        <v>22</v>
      </c>
      <c r="HL8" t="s">
        <v>22</v>
      </c>
      <c r="HM8" t="s">
        <v>22</v>
      </c>
      <c r="HN8" t="s">
        <v>22</v>
      </c>
      <c r="HO8" cm="1">
        <f t="array" ref="HO8">SUMPRODUCT(--(FV8:HN8&lt;&gt;""))</f>
        <v>0</v>
      </c>
    </row>
    <row r="9" spans="1:242">
      <c r="A9" t="str">
        <f t="shared" si="18"/>
        <v>2.1</v>
      </c>
      <c r="B9" t="s">
        <v>40</v>
      </c>
      <c r="C9" s="27">
        <v>1</v>
      </c>
      <c r="D9" s="27">
        <v>1</v>
      </c>
      <c r="E9" s="31">
        <f>IF($D9=0,0,IF(_xlfn.XLOOKUP($B9,'TH_MLG GRADE 10'!$B$7:$B$49,'TH_MLG GRADE 10'!C$7:C$49,"",0,1)="P",1*$D9,0))</f>
        <v>0</v>
      </c>
      <c r="F9" s="31">
        <f>IF($D9=0,0,IF(_xlfn.XLOOKUP($B9,'TH_MLG GRADE 10'!$B$7:$B$49,'TH_MLG GRADE 10'!D$7:D$49,"",0,1)="P",1*$D9,0))</f>
        <v>0</v>
      </c>
      <c r="G9" s="31">
        <f>IF($D9=0,0,IF(_xlfn.XLOOKUP($B9,'TH_MLG GRADE 10'!$B$7:$B$49,'TH_MLG GRADE 10'!E$7:E$49,"",0,1)="P",1*$D9,0))</f>
        <v>0</v>
      </c>
      <c r="H9" s="31">
        <f>IF($D9=0,0,IF(_xlfn.XLOOKUP($B9,'TH_MLG GRADE 10'!$B$7:$B$49,'TH_MLG GRADE 10'!I$7:I$49,"",0,1)="P",1*$D9,0))</f>
        <v>0</v>
      </c>
      <c r="I9" s="31">
        <f>IF($D9=0,0,IF(_xlfn.XLOOKUP($B9,'TH_MLG GRADE 10'!$B$7:$B$49,'TH_MLG GRADE 10'!J$7:J$49,"",0,1)="P",1*$D9,0))</f>
        <v>0</v>
      </c>
      <c r="J9" s="31">
        <f>IF($D9=0,0,IF(_xlfn.XLOOKUP($B9,'TH_MLG GRADE 10'!$B$7:$B$49,'TH_MLG GRADE 10'!K$7:K$49,"",0,1)="P",1*$D9,0))</f>
        <v>0</v>
      </c>
      <c r="K9" s="31">
        <f>IF($D9=0,0,IF(_xlfn.XLOOKUP($B9,'TH_MLG GRADE 10'!$B$7:$B$49,'TH_MLG GRADE 10'!O$7:O$49,"",0,1)="P",1*$D9,0))</f>
        <v>0</v>
      </c>
      <c r="L9" s="31">
        <f>IF($D9=0,0,IF(_xlfn.XLOOKUP($B9,'TH_MLG GRADE 10'!$B$7:$B$49,'TH_MLG GRADE 10'!P$7:P$49,"",0,1)="P",1*$D9,0))</f>
        <v>0</v>
      </c>
      <c r="M9" s="31">
        <f>IF($D9=0,0,IF(_xlfn.XLOOKUP($B9,'TH_MLG GRADE 10'!$B$7:$B$49,'TH_MLG GRADE 10'!Q$7:Q$49,"",0,1)="P",1*$D9,0))</f>
        <v>0</v>
      </c>
      <c r="N9" s="31">
        <f>IF($D9=0,0,IF(_xlfn.XLOOKUP($B9,'TH_MLG GRADE 10'!$B$7:$B$49,'TH_MLG GRADE 10'!AA$7:AA$49,"",0,1)="P",1*$D9,0))</f>
        <v>0</v>
      </c>
      <c r="O9" s="31">
        <f>IF($D9=0,0,IF(_xlfn.XLOOKUP($B9,'TH_MLG GRADE 10'!$B$7:$B$49,'TH_MLG GRADE 10'!AB$7:AB$49,"",0,1)="P",1*$D9,0))</f>
        <v>0</v>
      </c>
      <c r="P9" s="31">
        <f>IF($D9=0,0,IF(_xlfn.XLOOKUP($B9,'TH_MLG GRADE 10'!$B$7:$B$49,'TH_MLG GRADE 10'!AC$7:AC$49,"",0,1)="P",1*$D9,0))</f>
        <v>0</v>
      </c>
      <c r="Q9" s="31">
        <f>IF($D9=0,0,IF(_xlfn.XLOOKUP($B9,'TH_MLG GRADE 10'!$B$7:$B$49,'TH_MLG GRADE 10'!AG$7:AG$49,"",0,1)="P",1*$D9,0))</f>
        <v>0</v>
      </c>
      <c r="R9" s="31">
        <f>IF($D9=0,0,IF(_xlfn.XLOOKUP($B9,'TH_MLG GRADE 10'!$B$7:$B$49,'TH_MLG GRADE 10'!AH$7:AH$49,"",0,1)="P",1*$D9,0))</f>
        <v>0</v>
      </c>
      <c r="S9" s="31">
        <f>IF($D9=0,0,IF(_xlfn.XLOOKUP($B9,'TH_MLG GRADE 10'!$B$7:$B$49,'TH_MLG GRADE 10'!AI$7:AI$49,"",0,1)="P",1*$D9,0))</f>
        <v>0</v>
      </c>
      <c r="T9" s="31">
        <f>IF($D9=0,0,IF(_xlfn.XLOOKUP($B9,'TH_MLG GRADE 10'!$B$7:$B$49,'TH_MLG GRADE 10'!AM$7:AM$49,"",0,1)="P",1*$D9,0))</f>
        <v>1</v>
      </c>
      <c r="U9" s="31">
        <f>IF($D9=0,0,IF(_xlfn.XLOOKUP($B9,'TH_MLG GRADE 10'!$B$7:$B$49,'TH_MLG GRADE 10'!AN$7:AN$49,"",0,1)="P",1*$D9,0))</f>
        <v>1</v>
      </c>
      <c r="V9" s="31">
        <f>IF($D9=0,0,IF(_xlfn.XLOOKUP($B9,'TH_MLG GRADE 10'!$B$7:$B$49,'TH_MLG GRADE 10'!AO$7:AO$49,"",0,1)="P",1*$D9,0))</f>
        <v>1</v>
      </c>
      <c r="W9" s="31">
        <f>IF($D9=0,0,IF(_xlfn.XLOOKUP($B9,'TH_MLG GRADE 10'!$B$7:$B$49,'TH_MLG GRADE 10'!AY$7:AY$49,"",0,1)="P",1*$D9,0))</f>
        <v>1</v>
      </c>
      <c r="X9" s="31">
        <f>IF($D9=0,0,IF(_xlfn.XLOOKUP($B9,'TH_MLG GRADE 10'!$B$7:$B$49,'TH_MLG GRADE 10'!AZ$7:AZ$49,"",0,1)="P",1*$D9,0))</f>
        <v>1</v>
      </c>
      <c r="Y9" s="31">
        <f>IF($D9=0,0,IF(_xlfn.XLOOKUP($B9,'TH_MLG GRADE 10'!$B$7:$B$49,'TH_MLG GRADE 10'!BA$7:BA$49,"",0,1)="P",1*$D9,0))</f>
        <v>0</v>
      </c>
      <c r="Z9" s="31">
        <f>IF($D9=0,0,IF(_xlfn.XLOOKUP($B9,'TH_MLG GRADE 10'!$B$7:$B$49,'TH_MLG GRADE 10'!BE$7:BE$49,"",0,1)="P",1*$D9,0))</f>
        <v>0</v>
      </c>
      <c r="AA9" s="31">
        <f>IF($D9=0,0,IF(_xlfn.XLOOKUP($B9,'TH_MLG GRADE 10'!$B$7:$B$49,'TH_MLG GRADE 10'!BF$7:BF$49,"",0,1)="P",1*$D9,0))</f>
        <v>0</v>
      </c>
      <c r="AB9" s="31">
        <f>IF($D9=0,0,IF(_xlfn.XLOOKUP($B9,'TH_MLG GRADE 10'!$B$7:$B$49,'TH_MLG GRADE 10'!BG$7:BG$49,"",0,1)="P",1*$D9,0))</f>
        <v>0</v>
      </c>
      <c r="AC9" s="31" t="e">
        <f>IF($D9=0,0,IF(_xlfn.XLOOKUP($B9,'TH_MLG GRADE 10'!$B$7:$B$49,'TH_MLG GRADE 10'!#REF!,"",0,1)="P",1*$D9,0))</f>
        <v>#REF!</v>
      </c>
      <c r="AD9" s="31" t="e">
        <f>IF($D9=0,0,IF(_xlfn.XLOOKUP($B9,'TH_MLG GRADE 10'!$B$7:$B$49,'TH_MLG GRADE 10'!#REF!,"",0,1)="P",1*$D9,0))</f>
        <v>#REF!</v>
      </c>
      <c r="AE9" s="31" t="e">
        <f>IF($D9=0,0,IF(_xlfn.XLOOKUP($B9,'TH_MLG GRADE 10'!$B$7:$B$49,'TH_MLG GRADE 10'!#REF!,"",0,1)="P",1*$D9,0))</f>
        <v>#REF!</v>
      </c>
      <c r="AF9" s="31" t="e">
        <f>IF($D9=0,0,IF(_xlfn.XLOOKUP($B9,'TH_MLG GRADE 10'!$B$7:$B$49,'TH_MLG GRADE 10'!#REF!,"",0,1)="P",1*$D9,0))</f>
        <v>#REF!</v>
      </c>
      <c r="AG9" s="31" t="e">
        <f>IF($D9=0,0,IF(_xlfn.XLOOKUP($B9,'TH_MLG GRADE 10'!$B$7:$B$49,'TH_MLG GRADE 10'!#REF!,"",0,1)="P",1*$D9,0))</f>
        <v>#REF!</v>
      </c>
      <c r="AH9" s="31" t="e">
        <f>IF($D9=0,0,IF(_xlfn.XLOOKUP($B9,'TH_MLG GRADE 10'!$B$7:$B$49,'TH_MLG GRADE 10'!#REF!,"",0,1)="P",1*$D9,0))</f>
        <v>#REF!</v>
      </c>
      <c r="AI9" s="32">
        <f>IF($D9=0,0,IF(_xlfn.XLOOKUP($B9,'TH_CMI GRADE 10'!$B$7:$B$49,'TH_CMI GRADE 10'!C$7:C$49,"",0,1)="P",1*$D9,0))</f>
        <v>0</v>
      </c>
      <c r="AJ9" s="32">
        <f>IF($D9=0,0,IF(_xlfn.XLOOKUP($B9,'TH_CMI GRADE 10'!$B$7:$B$49,'TH_CMI GRADE 10'!D$7:D$49,"",0,1)="P",1*$D9,0))</f>
        <v>0</v>
      </c>
      <c r="AK9" s="32">
        <f>IF($D9=0,0,IF(_xlfn.XLOOKUP($B9,'TH_CMI GRADE 10'!$B$7:$B$49,'TH_CMI GRADE 10'!H$7:H$49,"",0,1)="P",1*$D9,0))</f>
        <v>0</v>
      </c>
      <c r="AL9" s="32">
        <f>IF($D9=0,0,IF(_xlfn.XLOOKUP($B9,'TH_CMI GRADE 10'!$B$7:$B$49,'TH_CMI GRADE 10'!I$7:I$49,"",0,1)="P",1*$D9,0))</f>
        <v>0</v>
      </c>
      <c r="AM9" s="32">
        <f>IF($D9=0,0,IF(_xlfn.XLOOKUP($B9,'TH_CMI GRADE 10'!$B$7:$B$49,'TH_CMI GRADE 10'!J$7:J$49,"",0,1)="P",1*$D9,0))</f>
        <v>0</v>
      </c>
      <c r="AN9" s="32">
        <f>IF($D9=0,0,IF(_xlfn.XLOOKUP($B9,'TH_CMI GRADE 10'!$B$7:$B$49,'TH_CMI GRADE 10'!K$7:K$49,"",0,1)="P",1*$D9,0))</f>
        <v>0</v>
      </c>
      <c r="AO9" s="32">
        <f>IF($D9=0,0,IF(_xlfn.XLOOKUP($B9,'TH_CMI GRADE 10'!$B$7:$B$49,'TH_CMI GRADE 10'!O$7:O$49,"",0,1)="P",1*$D9,0))</f>
        <v>0</v>
      </c>
      <c r="AP9" s="32">
        <f>IF($D9=0,0,IF(_xlfn.XLOOKUP($B9,'TH_CMI GRADE 10'!$B$7:$B$49,'TH_CMI GRADE 10'!P$7:P$49,"",0,1)="P",1*$D9,0))</f>
        <v>0</v>
      </c>
      <c r="AQ9" s="32">
        <f>IF($D9=0,0,IF(_xlfn.XLOOKUP($B9,'TH_CMI GRADE 10'!$B$7:$B$49,'TH_CMI GRADE 10'!Q$7:Q$49,"",0,1)="P",1*$D9,0))</f>
        <v>0</v>
      </c>
      <c r="AR9" s="32">
        <f>IF($D9=0,0,IF(_xlfn.XLOOKUP($B9,'TH_CMI GRADE 10'!$B$7:$B$49,'TH_CMI GRADE 10'!U$7:U$49,"",0,1)="P",1*$D9,0))</f>
        <v>0</v>
      </c>
      <c r="AS9" s="32">
        <f>IF($D9=0,0,IF(_xlfn.XLOOKUP($B9,'TH_CMI GRADE 10'!$B$7:$B$49,'TH_CMI GRADE 10'!V$7:V$49,"",0,1)="P",1*$D9,0))</f>
        <v>0</v>
      </c>
      <c r="AT9" s="32">
        <f>IF($D9=0,0,IF(_xlfn.XLOOKUP($B9,'TH_CMI GRADE 10'!$B$7:$B$49,'TH_CMI GRADE 10'!W$7:W$49,"",0,1)="P",1*$D9,0))</f>
        <v>0</v>
      </c>
      <c r="AU9" s="32">
        <f>IF($D9=0,0,IF(_xlfn.XLOOKUP($B9,'TH_CMI GRADE 10'!$B$7:$B$49,'TH_CMI GRADE 10'!AA$7:AA$49,"",0,1)="P",1*$D9,0))</f>
        <v>1</v>
      </c>
      <c r="AV9" s="32">
        <f>IF($D9=0,0,IF(_xlfn.XLOOKUP($B9,'TH_CMI GRADE 10'!$B$7:$B$49,'TH_CMI GRADE 10'!AB$7:AB$49,"",0,1)="P",1*$D9,0))</f>
        <v>1</v>
      </c>
      <c r="AW9" s="32">
        <f>IF($D9=0,0,IF(_xlfn.XLOOKUP($B9,'TH_CMI GRADE 10'!$B$7:$B$49,'TH_CMI GRADE 10'!AC$7:AC$49,"",0,1)="P",1*$D9,0))</f>
        <v>1</v>
      </c>
      <c r="AX9" s="32">
        <f>IF($D9=0,0,IF(_xlfn.XLOOKUP($B9,'TH_CMI GRADE 10'!$B$7:$B$49,'TH_CMI GRADE 10'!AG$7:AG$49,"",0,1)="P",1*$D9,0))</f>
        <v>1</v>
      </c>
      <c r="AY9" s="32">
        <f>IF($D9=0,0,IF(_xlfn.XLOOKUP($B9,'TH_CMI GRADE 10'!$B$7:$B$49,'TH_CMI GRADE 10'!AH$7:AH$49,"",0,1)="P",1*$D9,0))</f>
        <v>1</v>
      </c>
      <c r="AZ9" s="32">
        <f>IF($D9=0,0,IF(_xlfn.XLOOKUP($B9,'TH_CMI GRADE 10'!$B$7:$B$49,'TH_CMI GRADE 10'!AI$7:AI$49,"",0,1)="P",1*$D9,0))</f>
        <v>1</v>
      </c>
      <c r="BA9" s="31" t="e">
        <f>IF($C9=0,0,IF(_xlfn.XLOOKUP($B9,'PW_MLG GRADE 10'!$B$7:$B$31,'PW_MLG GRADE 10'!#REF!,"",0,1)="P",1*$C9,0))</f>
        <v>#REF!</v>
      </c>
      <c r="BB9" s="31" t="e">
        <f>IF($C9=0,0,IF(_xlfn.XLOOKUP($B9,'PW_MLG GRADE 10'!$B$7:$B$31,'PW_MLG GRADE 10'!#REF!,"",0,1)="P",1*$C9,0))</f>
        <v>#REF!</v>
      </c>
      <c r="BC9" s="31" t="e">
        <f>IF($C9=0,0,IF(_xlfn.XLOOKUP($B9,'PW_MLG GRADE 10'!$B$7:$B$31,'PW_MLG GRADE 10'!#REF!,"",0,1)="P",1*$C9,0))</f>
        <v>#REF!</v>
      </c>
      <c r="BD9" s="31" t="e">
        <f>IF($C9=0,0,IF(_xlfn.XLOOKUP($B9,'PW_MLG GRADE 10'!$B$7:$B$31,'PW_MLG GRADE 10'!#REF!,"",0,1)="P",1*$C9,0))</f>
        <v>#REF!</v>
      </c>
      <c r="BE9" s="31" t="e">
        <f>IF($C9=0,0,IF(_xlfn.XLOOKUP($B9,'PW_MLG GRADE 10'!$B$7:$B$31,'PW_MLG GRADE 10'!#REF!,"",0,1)="P",1*$C9,0))</f>
        <v>#REF!</v>
      </c>
      <c r="BF9" s="31" t="e">
        <f>IF($C9=0,0,IF(_xlfn.XLOOKUP($B9,'PW_MLG GRADE 10'!$B$7:$B$31,'PW_MLG GRADE 10'!#REF!,"",0,1)="P",1*$C9,0))</f>
        <v>#REF!</v>
      </c>
      <c r="BG9" s="31" t="e">
        <f>IF($C9=0,0,IF(_xlfn.XLOOKUP($B9,'PW_MLG GRADE 10'!$B$7:$B$31,'PW_MLG GRADE 10'!#REF!,"",0,1)="P",1*$C9,0))</f>
        <v>#REF!</v>
      </c>
      <c r="BH9" s="31" t="e">
        <f>IF($C9=0,0,IF(_xlfn.XLOOKUP($B9,'PW_MLG GRADE 10'!$B$7:$B$31,'PW_MLG GRADE 10'!#REF!,"",0,1)="P",1*$C9,0))</f>
        <v>#REF!</v>
      </c>
      <c r="BI9" s="31" t="e">
        <f>IF($C9=0,0,IF(_xlfn.XLOOKUP($B9,'PW_MLG GRADE 10'!$B$7:$B$31,'PW_MLG GRADE 10'!#REF!,"",0,1)="P",1*$C9,0))</f>
        <v>#REF!</v>
      </c>
      <c r="BJ9" s="31" t="e">
        <f>IF($C9=0,0,IF(_xlfn.XLOOKUP($B9,'PW_MLG GRADE 10'!$B$7:$B$31,'PW_MLG GRADE 10'!#REF!,"",0,1)="P",1*$C9,0))</f>
        <v>#REF!</v>
      </c>
      <c r="BK9" s="31" t="e">
        <f>IF($C9=0,0,IF(_xlfn.XLOOKUP($B9,'PW_MLG GRADE 10'!$B$7:$B$31,'PW_MLG GRADE 10'!#REF!,"",0,1)="P",1*$C9,0))</f>
        <v>#REF!</v>
      </c>
      <c r="BL9" s="31" t="e">
        <f>IF($C9=0,0,IF(_xlfn.XLOOKUP($B9,'PW_MLG GRADE 10'!$B$7:$B$31,'PW_MLG GRADE 10'!#REF!,"",0,1)="P",1*$C9,0))</f>
        <v>#REF!</v>
      </c>
      <c r="BM9" s="31" t="e">
        <f>IF($C9=0,0,IF(_xlfn.XLOOKUP($B9,'PW_MLG GRADE 10'!$B$7:$B$31,'PW_MLG GRADE 10'!#REF!,"",0,1)="P",1*$C9,0))</f>
        <v>#REF!</v>
      </c>
      <c r="BN9" s="31" t="e">
        <f>IF($C9=0,0,IF(_xlfn.XLOOKUP($B9,'PW_MLG GRADE 10'!$B$7:$B$31,'PW_MLG GRADE 10'!#REF!,"",0,1)="P",1*$C9,0))</f>
        <v>#REF!</v>
      </c>
      <c r="BO9" s="31" t="e">
        <f>IF($C9=0,0,IF(_xlfn.XLOOKUP($B9,'PW_MLG GRADE 10'!$B$7:$B$31,'PW_MLG GRADE 10'!#REF!,"",0,1)="P",1*$C9,0))</f>
        <v>#REF!</v>
      </c>
      <c r="BP9" s="31" t="e">
        <f>IF($C9=0,0,IF(_xlfn.XLOOKUP($B9,'PW_MLG GRADE 10'!$B$7:$B$31,'PW_MLG GRADE 10'!#REF!,"",0,1)="P",1*$C9,0))</f>
        <v>#REF!</v>
      </c>
      <c r="BQ9" s="31" t="e">
        <f>IF($C9=0,0,IF(_xlfn.XLOOKUP($B9,'PW_MLG GRADE 10'!$B$7:$B$31,'PW_MLG GRADE 10'!#REF!,"",0,1)="P",1*$C9,0))</f>
        <v>#REF!</v>
      </c>
      <c r="BR9" s="31" t="e">
        <f>IF($C9=0,0,IF(_xlfn.XLOOKUP($B9,'PW_MLG GRADE 10'!$B$7:$B$31,'PW_MLG GRADE 10'!#REF!,"",0,1)="P",1*$C9,0))</f>
        <v>#REF!</v>
      </c>
      <c r="BS9" s="31" t="e">
        <f>IF($C9=0,0,IF(_xlfn.XLOOKUP($B9,'PW_MLG GRADE 10'!$B$7:$B$31,'PW_MLG GRADE 10'!#REF!,"",0,1)="P",1*$C9,0))</f>
        <v>#REF!</v>
      </c>
      <c r="BT9" s="31" t="e">
        <f>IF($C9=0,0,IF(_xlfn.XLOOKUP($B9,'PW_MLG GRADE 10'!$B$7:$B$31,'PW_MLG GRADE 10'!#REF!,"",0,1)="P",1*$C9,0))</f>
        <v>#REF!</v>
      </c>
      <c r="BU9" s="31" t="e">
        <f>IF($C9=0,0,IF(_xlfn.XLOOKUP($B9,'PW_MLG GRADE 10'!$B$7:$B$31,'PW_MLG GRADE 10'!#REF!,"",0,1)="P",1*$C9,0))</f>
        <v>#REF!</v>
      </c>
      <c r="BV9" s="31" t="e">
        <f>IF($C9=0,0,IF(_xlfn.XLOOKUP($B9,'PW_MLG GRADE 10'!$B$7:$B$31,'PW_MLG GRADE 10'!#REF!,"",0,1)="P",1*$C9,0))</f>
        <v>#REF!</v>
      </c>
      <c r="BW9" s="31" t="e">
        <f>IF($C9=0,0,IF(_xlfn.XLOOKUP($B9,'PW_MLG GRADE 10'!$B$7:$B$31,'PW_MLG GRADE 10'!#REF!,"",0,1)="P",1*$C9,0))</f>
        <v>#REF!</v>
      </c>
      <c r="BX9" s="31" t="e">
        <f>IF($C9=0,0,IF(_xlfn.XLOOKUP($B9,'PW_MLG GRADE 10'!$B$7:$B$31,'PW_MLG GRADE 10'!#REF!,"",0,1)="P",1*$C9,0))</f>
        <v>#REF!</v>
      </c>
      <c r="BY9" s="31" t="e">
        <f>IF($C9=0,0,IF(_xlfn.XLOOKUP($B9,'PW_MLG GRADE 10'!$B$7:$B$31,'PW_MLG GRADE 10'!#REF!,"",0,1)="P",1*$C9,0))</f>
        <v>#REF!</v>
      </c>
      <c r="BZ9" s="31" t="e">
        <f>IF($C9=0,0,IF(_xlfn.XLOOKUP($B9,'PW_MLG GRADE 10'!$B$7:$B$31,'PW_MLG GRADE 10'!#REF!,"",0,1)="P",1*$C9,0))</f>
        <v>#REF!</v>
      </c>
      <c r="CA9" s="31" t="e">
        <f>IF($C9=0,0,IF(_xlfn.XLOOKUP($B9,'PW_MLG GRADE 10'!$B$7:$B$31,'PW_MLG GRADE 10'!#REF!,"",0,1)="P",1*$C9,0))</f>
        <v>#REF!</v>
      </c>
      <c r="CB9" s="31" t="e">
        <f>IF($C9=0,0,IF(_xlfn.XLOOKUP($B9,'PW_MLG GRADE 10'!$B$7:$B$31,'PW_MLG GRADE 10'!#REF!,"",0,1)="P",1*$C9,0))</f>
        <v>#REF!</v>
      </c>
      <c r="CC9" s="31" t="e">
        <f>IF($C9=0,0,IF(_xlfn.XLOOKUP($B9,'PW_MLG GRADE 10'!$B$7:$B$31,'PW_MLG GRADE 10'!#REF!,"",0,1)="P",1*$C9,0))</f>
        <v>#REF!</v>
      </c>
      <c r="CD9" s="31" t="e">
        <f>IF($C9=0,0,IF(_xlfn.XLOOKUP($B9,'PW_MLG GRADE 10'!$B$7:$B$31,'PW_MLG GRADE 10'!#REF!,"",0,1)="P",1*$C9,0))</f>
        <v>#REF!</v>
      </c>
      <c r="CE9" s="32">
        <f>IF($C9=0,0,IF(_xlfn.XLOOKUP($B9,'PW_CMI GRADE 10'!$B$7:$B$31,'PW_CMI GRADE 10'!C$7:C$31,"",0,1)="P",1*$C9,0))</f>
        <v>0</v>
      </c>
      <c r="CF9" s="32">
        <f>IF($C9=0,0,IF(_xlfn.XLOOKUP($B9,'PW_CMI GRADE 10'!$B$7:$B$31,'PW_CMI GRADE 10'!D$7:D$31,"",0,1)="P",1*$C9,0))</f>
        <v>0</v>
      </c>
      <c r="CG9" s="32">
        <f>IF($C9=0,0,IF(_xlfn.XLOOKUP($B9,'PW_CMI GRADE 10'!$B$7:$B$31,'PW_CMI GRADE 10'!E$7:E$31,"",0,1)="P",1*$C9,0))</f>
        <v>0</v>
      </c>
      <c r="CH9" s="32">
        <f>IF($C9=0,0,IF(_xlfn.XLOOKUP($B9,'PW_CMI GRADE 10'!$B$7:$B$31,'PW_CMI GRADE 10'!F$7:F$31,"",0,1)="P",1*$C9,0))</f>
        <v>0</v>
      </c>
      <c r="CI9" s="32">
        <f>IF($C9=0,0,IF(_xlfn.XLOOKUP($B9,'PW_CMI GRADE 10'!$B$7:$B$31,'PW_CMI GRADE 10'!G$7:G$31,"",0,1)="P",1*$C9,0))</f>
        <v>0</v>
      </c>
      <c r="CJ9" s="32">
        <f>IF($C9=0,0,IF(_xlfn.XLOOKUP($B9,'PW_CMI GRADE 10'!$B$7:$B$31,'PW_CMI GRADE 10'!H$7:H$31,"",0,1)="P",1*$C9,0))</f>
        <v>0</v>
      </c>
      <c r="CK9" s="32">
        <f>IF($C9=0,0,IF(_xlfn.XLOOKUP($B9,'PW_CMI GRADE 10'!$B$7:$B$31,'PW_CMI GRADE 10'!I$7:I$31,"",0,1)="P",1*$C9,0))</f>
        <v>0</v>
      </c>
      <c r="CL9" s="32">
        <f>IF($C9=0,0,IF(_xlfn.XLOOKUP($B9,'PW_CMI GRADE 10'!$B$7:$B$31,'PW_CMI GRADE 10'!J$7:J$31,"",0,1)="P",1*$C9,0))</f>
        <v>0</v>
      </c>
      <c r="CM9" s="32">
        <f>IF($C9=0,0,IF(_xlfn.XLOOKUP($B9,'PW_CMI GRADE 10'!$B$7:$B$31,'PW_CMI GRADE 10'!K$7:K$31,"",0,1)="P",1*$C9,0))</f>
        <v>0</v>
      </c>
      <c r="CN9" s="32">
        <f>IF($C9=0,0,IF(_xlfn.XLOOKUP($B9,'PW_CMI GRADE 10'!$B$7:$B$31,'PW_CMI GRADE 10'!L$7:L$31,"",0,1)="P",1*$C9,0))</f>
        <v>0</v>
      </c>
      <c r="CO9" s="32">
        <f>IF($C9=0,0,IF(_xlfn.XLOOKUP($B9,'PW_CMI GRADE 10'!$B$7:$B$31,'PW_CMI GRADE 10'!M$7:M$31,"",0,1)="P",1*$C9,0))</f>
        <v>0</v>
      </c>
      <c r="CP9" s="32">
        <f>IF($C9=0,0,IF(_xlfn.XLOOKUP($B9,'PW_CMI GRADE 10'!$B$7:$B$31,'PW_CMI GRADE 10'!N$7:N$31,"",0,1)="P",1*$C9,0))</f>
        <v>0</v>
      </c>
      <c r="CQ9" s="32">
        <f>IF($C9=0,0,IF(_xlfn.XLOOKUP($B9,'PW_CMI GRADE 10'!$B$7:$B$31,'PW_CMI GRADE 10'!O$7:O$31,"",0,1)="P",1*$C9,0))</f>
        <v>0</v>
      </c>
      <c r="CR9" s="32">
        <f>IF($C9=0,0,IF(_xlfn.XLOOKUP($B9,'PW_CMI GRADE 10'!$B$7:$B$31,'PW_CMI GRADE 10'!P$7:P$31,"",0,1)="P",1*$C9,0))</f>
        <v>0</v>
      </c>
      <c r="CS9" s="32">
        <f>IF($C9=0,0,IF(_xlfn.XLOOKUP($B9,'PW_CMI GRADE 10'!$B$7:$B$31,'PW_CMI GRADE 10'!Q$7:Q$31,"",0,1)="P",1*$C9,0))</f>
        <v>0</v>
      </c>
      <c r="CT9" s="32">
        <f>IF($C9=0,0,IF(_xlfn.XLOOKUP($B9,'PW_CMI GRADE 10'!$B$7:$B$31,'PW_CMI GRADE 10'!R$7:R$31,"",0,1)="P",1*$C9,0))</f>
        <v>0</v>
      </c>
      <c r="CU9" s="32">
        <f>IF($C9=0,0,IF(_xlfn.XLOOKUP($B9,'PW_CMI GRADE 10'!$B$7:$B$31,'PW_CMI GRADE 10'!S$7:S$31,"",0,1)="P",1*$C9,0))</f>
        <v>0</v>
      </c>
      <c r="CV9" s="32">
        <f>IF($C9=0,0,IF(_xlfn.XLOOKUP($B9,'PW_CMI GRADE 10'!$B$7:$B$31,'PW_CMI GRADE 10'!T$7:T$31,"",0,1)="P",1*$C9,0))</f>
        <v>0</v>
      </c>
      <c r="CW9" s="62" t="e">
        <f t="shared" si="19"/>
        <v>#REF!</v>
      </c>
      <c r="CX9" s="62" t="e">
        <f t="shared" si="20"/>
        <v>#REF!</v>
      </c>
      <c r="CY9" s="62" t="e">
        <f t="shared" si="21"/>
        <v>#REF!</v>
      </c>
      <c r="CZ9" s="62" t="e">
        <f t="shared" si="22"/>
        <v>#REF!</v>
      </c>
      <c r="DA9" s="62" t="e">
        <f t="shared" si="23"/>
        <v>#REF!</v>
      </c>
      <c r="DB9" s="62" t="e">
        <f t="shared" si="24"/>
        <v>#REF!</v>
      </c>
      <c r="DC9" s="62" t="e">
        <f t="shared" si="25"/>
        <v>#REF!</v>
      </c>
      <c r="DD9" s="62" t="e">
        <f t="shared" si="26"/>
        <v>#REF!</v>
      </c>
      <c r="DE9" s="62" t="e">
        <f t="shared" si="27"/>
        <v>#REF!</v>
      </c>
      <c r="DF9" s="62" t="e">
        <f t="shared" si="28"/>
        <v>#REF!</v>
      </c>
      <c r="DG9" s="62" t="e">
        <f t="shared" si="29"/>
        <v>#REF!</v>
      </c>
      <c r="DH9" s="62" t="e">
        <f t="shared" si="30"/>
        <v>#REF!</v>
      </c>
      <c r="DI9" s="62" t="e">
        <f t="shared" si="31"/>
        <v>#REF!</v>
      </c>
      <c r="DJ9" s="62" t="e">
        <f t="shared" si="32"/>
        <v>#REF!</v>
      </c>
      <c r="DK9" s="62" t="e">
        <f t="shared" si="33"/>
        <v>#REF!</v>
      </c>
      <c r="DL9" s="62" t="e">
        <f t="shared" si="34"/>
        <v>#REF!</v>
      </c>
      <c r="DM9" s="62" t="e">
        <f t="shared" si="35"/>
        <v>#REF!</v>
      </c>
      <c r="DN9" s="62" t="e">
        <f t="shared" si="36"/>
        <v>#REF!</v>
      </c>
      <c r="DO9" s="62" t="e">
        <f t="shared" si="37"/>
        <v>#REF!</v>
      </c>
      <c r="DP9" s="62" t="e">
        <f t="shared" si="38"/>
        <v>#REF!</v>
      </c>
      <c r="DQ9" s="62" t="e">
        <f t="shared" si="39"/>
        <v>#REF!</v>
      </c>
      <c r="DR9" s="62" t="e">
        <f t="shared" si="40"/>
        <v>#REF!</v>
      </c>
      <c r="DS9" s="62" t="e">
        <f t="shared" si="41"/>
        <v>#REF!</v>
      </c>
      <c r="DT9" s="62" t="e">
        <f t="shared" si="42"/>
        <v>#REF!</v>
      </c>
      <c r="DU9" s="62" t="e">
        <f t="shared" si="43"/>
        <v>#REF!</v>
      </c>
      <c r="DV9" s="62" t="e">
        <f t="shared" si="44"/>
        <v>#REF!</v>
      </c>
      <c r="DW9" s="62" t="e">
        <f t="shared" si="45"/>
        <v>#REF!</v>
      </c>
      <c r="DX9" s="62" t="e">
        <f t="shared" si="46"/>
        <v>#REF!</v>
      </c>
      <c r="DY9" s="62" t="e">
        <f t="shared" si="47"/>
        <v>#REF!</v>
      </c>
      <c r="DZ9" s="62" t="e">
        <f t="shared" si="48"/>
        <v>#REF!</v>
      </c>
      <c r="EA9" s="63">
        <f t="shared" si="1"/>
        <v>0</v>
      </c>
      <c r="EB9" s="63">
        <f t="shared" si="2"/>
        <v>0</v>
      </c>
      <c r="EC9" s="63">
        <f t="shared" si="3"/>
        <v>0</v>
      </c>
      <c r="ED9" s="63">
        <f t="shared" si="4"/>
        <v>0</v>
      </c>
      <c r="EE9" s="63">
        <f t="shared" si="5"/>
        <v>0</v>
      </c>
      <c r="EF9" s="63">
        <f t="shared" si="6"/>
        <v>0</v>
      </c>
      <c r="EG9" s="63">
        <f t="shared" si="7"/>
        <v>0</v>
      </c>
      <c r="EH9" s="63">
        <f t="shared" si="8"/>
        <v>0</v>
      </c>
      <c r="EI9" s="63">
        <f t="shared" si="9"/>
        <v>0</v>
      </c>
      <c r="EJ9" s="63">
        <f t="shared" si="10"/>
        <v>0</v>
      </c>
      <c r="EK9" s="63">
        <f t="shared" si="11"/>
        <v>0.16666666666666666</v>
      </c>
      <c r="EL9" s="63">
        <f t="shared" si="12"/>
        <v>0.33333333333333331</v>
      </c>
      <c r="EM9" s="63">
        <f t="shared" si="13"/>
        <v>0.5</v>
      </c>
      <c r="EN9" s="63">
        <f t="shared" si="14"/>
        <v>0.5</v>
      </c>
      <c r="EO9" s="63">
        <f t="shared" si="15"/>
        <v>0.5</v>
      </c>
      <c r="EP9" s="63">
        <f t="shared" si="16"/>
        <v>0.5</v>
      </c>
      <c r="ET9" t="str">
        <v>2.5</v>
      </c>
      <c r="EU9" s="38" t="e">
        <f t="shared" si="49"/>
        <v>#REF!</v>
      </c>
      <c r="EV9" s="38" t="e">
        <f t="shared" si="50"/>
        <v>#REF!</v>
      </c>
      <c r="EW9" s="38" t="e">
        <f t="shared" si="51"/>
        <v>#REF!</v>
      </c>
      <c r="EX9" s="38" t="e">
        <f t="shared" si="52"/>
        <v>#REF!</v>
      </c>
      <c r="EY9" s="38" t="e">
        <f t="shared" si="53"/>
        <v>#REF!</v>
      </c>
      <c r="EZ9" s="38" t="e">
        <f t="shared" si="54"/>
        <v>#REF!</v>
      </c>
      <c r="FA9" s="38" t="e">
        <f t="shared" si="55"/>
        <v>#REF!</v>
      </c>
      <c r="FB9" s="38" t="e">
        <f t="shared" si="56"/>
        <v>#REF!</v>
      </c>
      <c r="FC9" s="38" t="e">
        <f t="shared" si="57"/>
        <v>#REF!</v>
      </c>
      <c r="FD9" s="38" t="e">
        <f t="shared" si="58"/>
        <v>#REF!</v>
      </c>
      <c r="FE9" s="38">
        <f t="shared" si="59"/>
        <v>0</v>
      </c>
      <c r="FF9" s="38">
        <f t="shared" si="60"/>
        <v>0</v>
      </c>
      <c r="FG9" s="38">
        <f t="shared" si="61"/>
        <v>0</v>
      </c>
      <c r="FH9" s="38">
        <f t="shared" si="62"/>
        <v>0</v>
      </c>
      <c r="FI9" s="38">
        <f t="shared" si="63"/>
        <v>0</v>
      </c>
      <c r="FJ9" s="38">
        <f t="shared" si="64"/>
        <v>0.5</v>
      </c>
      <c r="FK9" s="38">
        <f t="shared" si="65"/>
        <v>0.5</v>
      </c>
      <c r="FL9" s="38">
        <f t="shared" si="17"/>
        <v>0.5</v>
      </c>
      <c r="FM9" s="38">
        <v>1</v>
      </c>
      <c r="FN9" s="38">
        <f t="shared" si="66"/>
        <v>0.66666666666666663</v>
      </c>
      <c r="FO9" s="38">
        <f t="shared" si="67"/>
        <v>0.16666666666666666</v>
      </c>
      <c r="FU9" s="51">
        <v>45992</v>
      </c>
      <c r="FV9" t="s">
        <v>22</v>
      </c>
      <c r="FW9" t="s">
        <v>22</v>
      </c>
      <c r="FX9" t="s">
        <v>22</v>
      </c>
      <c r="FY9" t="s">
        <v>22</v>
      </c>
      <c r="FZ9" t="s">
        <v>22</v>
      </c>
      <c r="GA9" t="s">
        <v>22</v>
      </c>
      <c r="GB9" t="s">
        <v>22</v>
      </c>
      <c r="GC9" t="s">
        <v>22</v>
      </c>
      <c r="GD9" t="s">
        <v>22</v>
      </c>
      <c r="GE9" t="s">
        <v>22</v>
      </c>
      <c r="GF9" t="s">
        <v>22</v>
      </c>
      <c r="GG9" t="s">
        <v>22</v>
      </c>
      <c r="GH9" t="s">
        <v>22</v>
      </c>
      <c r="GI9" t="s">
        <v>22</v>
      </c>
      <c r="GJ9" t="s">
        <v>22</v>
      </c>
      <c r="GK9" t="s">
        <v>22</v>
      </c>
      <c r="GL9" t="s">
        <v>22</v>
      </c>
      <c r="GM9" t="s">
        <v>22</v>
      </c>
      <c r="GN9" t="s">
        <v>22</v>
      </c>
      <c r="GO9" t="s">
        <v>22</v>
      </c>
      <c r="GP9" t="s">
        <v>22</v>
      </c>
      <c r="GQ9" t="s">
        <v>22</v>
      </c>
      <c r="GR9" t="s">
        <v>22</v>
      </c>
      <c r="GS9" t="s">
        <v>22</v>
      </c>
      <c r="GT9" t="s">
        <v>22</v>
      </c>
      <c r="GU9" t="s">
        <v>22</v>
      </c>
      <c r="GV9" t="s">
        <v>22</v>
      </c>
      <c r="GW9" t="s">
        <v>22</v>
      </c>
      <c r="GX9" t="s">
        <v>22</v>
      </c>
      <c r="GY9" t="s">
        <v>22</v>
      </c>
      <c r="GZ9" t="s">
        <v>22</v>
      </c>
      <c r="HA9" t="s">
        <v>22</v>
      </c>
      <c r="HB9" t="s">
        <v>22</v>
      </c>
      <c r="HC9" t="s">
        <v>22</v>
      </c>
      <c r="HD9" t="s">
        <v>22</v>
      </c>
      <c r="HE9" t="s">
        <v>22</v>
      </c>
      <c r="HF9" t="s">
        <v>22</v>
      </c>
      <c r="HG9" t="s">
        <v>22</v>
      </c>
      <c r="HH9" t="s">
        <v>22</v>
      </c>
      <c r="HI9" t="s">
        <v>22</v>
      </c>
      <c r="HJ9" t="s">
        <v>22</v>
      </c>
      <c r="HK9" t="s">
        <v>22</v>
      </c>
      <c r="HL9" t="s">
        <v>22</v>
      </c>
      <c r="HM9" t="s">
        <v>22</v>
      </c>
      <c r="HN9" t="s">
        <v>22</v>
      </c>
      <c r="HO9" cm="1">
        <f t="array" ref="HO9">SUMPRODUCT(--(FV9:HN9&lt;&gt;""))</f>
        <v>0</v>
      </c>
    </row>
    <row r="10" spans="1:242">
      <c r="A10" t="str">
        <f t="shared" si="18"/>
        <v>2.1</v>
      </c>
      <c r="B10" t="s">
        <v>41</v>
      </c>
      <c r="C10" s="27">
        <v>1</v>
      </c>
      <c r="D10" s="27">
        <v>1</v>
      </c>
      <c r="E10" s="31">
        <f>IF($D10=0,0,IF(_xlfn.XLOOKUP($B10,'TH_MLG GRADE 10'!$B$7:$B$49,'TH_MLG GRADE 10'!C$7:C$49,"",0,1)="P",1*$D10,0))</f>
        <v>0</v>
      </c>
      <c r="F10" s="31">
        <f>IF($D10=0,0,IF(_xlfn.XLOOKUP($B10,'TH_MLG GRADE 10'!$B$7:$B$49,'TH_MLG GRADE 10'!D$7:D$49,"",0,1)="P",1*$D10,0))</f>
        <v>0</v>
      </c>
      <c r="G10" s="31">
        <f>IF($D10=0,0,IF(_xlfn.XLOOKUP($B10,'TH_MLG GRADE 10'!$B$7:$B$49,'TH_MLG GRADE 10'!E$7:E$49,"",0,1)="P",1*$D10,0))</f>
        <v>0</v>
      </c>
      <c r="H10" s="31">
        <f>IF($D10=0,0,IF(_xlfn.XLOOKUP($B10,'TH_MLG GRADE 10'!$B$7:$B$49,'TH_MLG GRADE 10'!I$7:I$49,"",0,1)="P",1*$D10,0))</f>
        <v>0</v>
      </c>
      <c r="I10" s="31">
        <f>IF($D10=0,0,IF(_xlfn.XLOOKUP($B10,'TH_MLG GRADE 10'!$B$7:$B$49,'TH_MLG GRADE 10'!J$7:J$49,"",0,1)="P",1*$D10,0))</f>
        <v>0</v>
      </c>
      <c r="J10" s="31">
        <f>IF($D10=0,0,IF(_xlfn.XLOOKUP($B10,'TH_MLG GRADE 10'!$B$7:$B$49,'TH_MLG GRADE 10'!K$7:K$49,"",0,1)="P",1*$D10,0))</f>
        <v>0</v>
      </c>
      <c r="K10" s="31">
        <f>IF($D10=0,0,IF(_xlfn.XLOOKUP($B10,'TH_MLG GRADE 10'!$B$7:$B$49,'TH_MLG GRADE 10'!O$7:O$49,"",0,1)="P",1*$D10,0))</f>
        <v>0</v>
      </c>
      <c r="L10" s="31">
        <f>IF($D10=0,0,IF(_xlfn.XLOOKUP($B10,'TH_MLG GRADE 10'!$B$7:$B$49,'TH_MLG GRADE 10'!P$7:P$49,"",0,1)="P",1*$D10,0))</f>
        <v>0</v>
      </c>
      <c r="M10" s="31">
        <f>IF($D10=0,0,IF(_xlfn.XLOOKUP($B10,'TH_MLG GRADE 10'!$B$7:$B$49,'TH_MLG GRADE 10'!Q$7:Q$49,"",0,1)="P",1*$D10,0))</f>
        <v>0</v>
      </c>
      <c r="N10" s="31">
        <f>IF($D10=0,0,IF(_xlfn.XLOOKUP($B10,'TH_MLG GRADE 10'!$B$7:$B$49,'TH_MLG GRADE 10'!AA$7:AA$49,"",0,1)="P",1*$D10,0))</f>
        <v>0</v>
      </c>
      <c r="O10" s="31">
        <f>IF($D10=0,0,IF(_xlfn.XLOOKUP($B10,'TH_MLG GRADE 10'!$B$7:$B$49,'TH_MLG GRADE 10'!AB$7:AB$49,"",0,1)="P",1*$D10,0))</f>
        <v>0</v>
      </c>
      <c r="P10" s="31">
        <f>IF($D10=0,0,IF(_xlfn.XLOOKUP($B10,'TH_MLG GRADE 10'!$B$7:$B$49,'TH_MLG GRADE 10'!AC$7:AC$49,"",0,1)="P",1*$D10,0))</f>
        <v>0</v>
      </c>
      <c r="Q10" s="31">
        <f>IF($D10=0,0,IF(_xlfn.XLOOKUP($B10,'TH_MLG GRADE 10'!$B$7:$B$49,'TH_MLG GRADE 10'!AG$7:AG$49,"",0,1)="P",1*$D10,0))</f>
        <v>0</v>
      </c>
      <c r="R10" s="31">
        <f>IF($D10=0,0,IF(_xlfn.XLOOKUP($B10,'TH_MLG GRADE 10'!$B$7:$B$49,'TH_MLG GRADE 10'!AH$7:AH$49,"",0,1)="P",1*$D10,0))</f>
        <v>0</v>
      </c>
      <c r="S10" s="31">
        <f>IF($D10=0,0,IF(_xlfn.XLOOKUP($B10,'TH_MLG GRADE 10'!$B$7:$B$49,'TH_MLG GRADE 10'!AI$7:AI$49,"",0,1)="P",1*$D10,0))</f>
        <v>0</v>
      </c>
      <c r="T10" s="31">
        <f>IF($D10=0,0,IF(_xlfn.XLOOKUP($B10,'TH_MLG GRADE 10'!$B$7:$B$49,'TH_MLG GRADE 10'!AM$7:AM$49,"",0,1)="P",1*$D10,0))</f>
        <v>1</v>
      </c>
      <c r="U10" s="31">
        <f>IF($D10=0,0,IF(_xlfn.XLOOKUP($B10,'TH_MLG GRADE 10'!$B$7:$B$49,'TH_MLG GRADE 10'!AN$7:AN$49,"",0,1)="P",1*$D10,0))</f>
        <v>1</v>
      </c>
      <c r="V10" s="31">
        <f>IF($D10=0,0,IF(_xlfn.XLOOKUP($B10,'TH_MLG GRADE 10'!$B$7:$B$49,'TH_MLG GRADE 10'!AO$7:AO$49,"",0,1)="P",1*$D10,0))</f>
        <v>1</v>
      </c>
      <c r="W10" s="31">
        <f>IF($D10=0,0,IF(_xlfn.XLOOKUP($B10,'TH_MLG GRADE 10'!$B$7:$B$49,'TH_MLG GRADE 10'!AY$7:AY$49,"",0,1)="P",1*$D10,0))</f>
        <v>1</v>
      </c>
      <c r="X10" s="31">
        <f>IF($D10=0,0,IF(_xlfn.XLOOKUP($B10,'TH_MLG GRADE 10'!$B$7:$B$49,'TH_MLG GRADE 10'!AZ$7:AZ$49,"",0,1)="P",1*$D10,0))</f>
        <v>1</v>
      </c>
      <c r="Y10" s="31">
        <f>IF($D10=0,0,IF(_xlfn.XLOOKUP($B10,'TH_MLG GRADE 10'!$B$7:$B$49,'TH_MLG GRADE 10'!BA$7:BA$49,"",0,1)="P",1*$D10,0))</f>
        <v>0</v>
      </c>
      <c r="Z10" s="31">
        <f>IF($D10=0,0,IF(_xlfn.XLOOKUP($B10,'TH_MLG GRADE 10'!$B$7:$B$49,'TH_MLG GRADE 10'!BE$7:BE$49,"",0,1)="P",1*$D10,0))</f>
        <v>0</v>
      </c>
      <c r="AA10" s="31">
        <f>IF($D10=0,0,IF(_xlfn.XLOOKUP($B10,'TH_MLG GRADE 10'!$B$7:$B$49,'TH_MLG GRADE 10'!BF$7:BF$49,"",0,1)="P",1*$D10,0))</f>
        <v>0</v>
      </c>
      <c r="AB10" s="31">
        <f>IF($D10=0,0,IF(_xlfn.XLOOKUP($B10,'TH_MLG GRADE 10'!$B$7:$B$49,'TH_MLG GRADE 10'!BG$7:BG$49,"",0,1)="P",1*$D10,0))</f>
        <v>0</v>
      </c>
      <c r="AC10" s="31" t="e">
        <f>IF($D10=0,0,IF(_xlfn.XLOOKUP($B10,'TH_MLG GRADE 10'!$B$7:$B$49,'TH_MLG GRADE 10'!#REF!,"",0,1)="P",1*$D10,0))</f>
        <v>#REF!</v>
      </c>
      <c r="AD10" s="31" t="e">
        <f>IF($D10=0,0,IF(_xlfn.XLOOKUP($B10,'TH_MLG GRADE 10'!$B$7:$B$49,'TH_MLG GRADE 10'!#REF!,"",0,1)="P",1*$D10,0))</f>
        <v>#REF!</v>
      </c>
      <c r="AE10" s="31" t="e">
        <f>IF($D10=0,0,IF(_xlfn.XLOOKUP($B10,'TH_MLG GRADE 10'!$B$7:$B$49,'TH_MLG GRADE 10'!#REF!,"",0,1)="P",1*$D10,0))</f>
        <v>#REF!</v>
      </c>
      <c r="AF10" s="31" t="e">
        <f>IF($D10=0,0,IF(_xlfn.XLOOKUP($B10,'TH_MLG GRADE 10'!$B$7:$B$49,'TH_MLG GRADE 10'!#REF!,"",0,1)="P",1*$D10,0))</f>
        <v>#REF!</v>
      </c>
      <c r="AG10" s="31" t="e">
        <f>IF($D10=0,0,IF(_xlfn.XLOOKUP($B10,'TH_MLG GRADE 10'!$B$7:$B$49,'TH_MLG GRADE 10'!#REF!,"",0,1)="P",1*$D10,0))</f>
        <v>#REF!</v>
      </c>
      <c r="AH10" s="31" t="e">
        <f>IF($D10=0,0,IF(_xlfn.XLOOKUP($B10,'TH_MLG GRADE 10'!$B$7:$B$49,'TH_MLG GRADE 10'!#REF!,"",0,1)="P",1*$D10,0))</f>
        <v>#REF!</v>
      </c>
      <c r="AI10" s="32">
        <f>IF($D10=0,0,IF(_xlfn.XLOOKUP($B10,'TH_CMI GRADE 10'!$B$7:$B$49,'TH_CMI GRADE 10'!C$7:C$49,"",0,1)="P",1*$D10,0))</f>
        <v>0</v>
      </c>
      <c r="AJ10" s="32">
        <f>IF($D10=0,0,IF(_xlfn.XLOOKUP($B10,'TH_CMI GRADE 10'!$B$7:$B$49,'TH_CMI GRADE 10'!D$7:D$49,"",0,1)="P",1*$D10,0))</f>
        <v>0</v>
      </c>
      <c r="AK10" s="32">
        <f>IF($D10=0,0,IF(_xlfn.XLOOKUP($B10,'TH_CMI GRADE 10'!$B$7:$B$49,'TH_CMI GRADE 10'!H$7:H$49,"",0,1)="P",1*$D10,0))</f>
        <v>0</v>
      </c>
      <c r="AL10" s="32">
        <f>IF($D10=0,0,IF(_xlfn.XLOOKUP($B10,'TH_CMI GRADE 10'!$B$7:$B$49,'TH_CMI GRADE 10'!I$7:I$49,"",0,1)="P",1*$D10,0))</f>
        <v>0</v>
      </c>
      <c r="AM10" s="32">
        <f>IF($D10=0,0,IF(_xlfn.XLOOKUP($B10,'TH_CMI GRADE 10'!$B$7:$B$49,'TH_CMI GRADE 10'!J$7:J$49,"",0,1)="P",1*$D10,0))</f>
        <v>0</v>
      </c>
      <c r="AN10" s="32">
        <f>IF($D10=0,0,IF(_xlfn.XLOOKUP($B10,'TH_CMI GRADE 10'!$B$7:$B$49,'TH_CMI GRADE 10'!K$7:K$49,"",0,1)="P",1*$D10,0))</f>
        <v>0</v>
      </c>
      <c r="AO10" s="32">
        <f>IF($D10=0,0,IF(_xlfn.XLOOKUP($B10,'TH_CMI GRADE 10'!$B$7:$B$49,'TH_CMI GRADE 10'!O$7:O$49,"",0,1)="P",1*$D10,0))</f>
        <v>0</v>
      </c>
      <c r="AP10" s="32">
        <f>IF($D10=0,0,IF(_xlfn.XLOOKUP($B10,'TH_CMI GRADE 10'!$B$7:$B$49,'TH_CMI GRADE 10'!P$7:P$49,"",0,1)="P",1*$D10,0))</f>
        <v>0</v>
      </c>
      <c r="AQ10" s="32">
        <f>IF($D10=0,0,IF(_xlfn.XLOOKUP($B10,'TH_CMI GRADE 10'!$B$7:$B$49,'TH_CMI GRADE 10'!Q$7:Q$49,"",0,1)="P",1*$D10,0))</f>
        <v>0</v>
      </c>
      <c r="AR10" s="32">
        <f>IF($D10=0,0,IF(_xlfn.XLOOKUP($B10,'TH_CMI GRADE 10'!$B$7:$B$49,'TH_CMI GRADE 10'!U$7:U$49,"",0,1)="P",1*$D10,0))</f>
        <v>0</v>
      </c>
      <c r="AS10" s="32">
        <f>IF($D10=0,0,IF(_xlfn.XLOOKUP($B10,'TH_CMI GRADE 10'!$B$7:$B$49,'TH_CMI GRADE 10'!V$7:V$49,"",0,1)="P",1*$D10,0))</f>
        <v>0</v>
      </c>
      <c r="AT10" s="32">
        <f>IF($D10=0,0,IF(_xlfn.XLOOKUP($B10,'TH_CMI GRADE 10'!$B$7:$B$49,'TH_CMI GRADE 10'!W$7:W$49,"",0,1)="P",1*$D10,0))</f>
        <v>0</v>
      </c>
      <c r="AU10" s="32">
        <f>IF($D10=0,0,IF(_xlfn.XLOOKUP($B10,'TH_CMI GRADE 10'!$B$7:$B$49,'TH_CMI GRADE 10'!AA$7:AA$49,"",0,1)="P",1*$D10,0))</f>
        <v>1</v>
      </c>
      <c r="AV10" s="32">
        <f>IF($D10=0,0,IF(_xlfn.XLOOKUP($B10,'TH_CMI GRADE 10'!$B$7:$B$49,'TH_CMI GRADE 10'!AB$7:AB$49,"",0,1)="P",1*$D10,0))</f>
        <v>1</v>
      </c>
      <c r="AW10" s="32">
        <f>IF($D10=0,0,IF(_xlfn.XLOOKUP($B10,'TH_CMI GRADE 10'!$B$7:$B$49,'TH_CMI GRADE 10'!AC$7:AC$49,"",0,1)="P",1*$D10,0))</f>
        <v>1</v>
      </c>
      <c r="AX10" s="32">
        <f>IF($D10=0,0,IF(_xlfn.XLOOKUP($B10,'TH_CMI GRADE 10'!$B$7:$B$49,'TH_CMI GRADE 10'!AG$7:AG$49,"",0,1)="P",1*$D10,0))</f>
        <v>1</v>
      </c>
      <c r="AY10" s="32">
        <f>IF($D10=0,0,IF(_xlfn.XLOOKUP($B10,'TH_CMI GRADE 10'!$B$7:$B$49,'TH_CMI GRADE 10'!AH$7:AH$49,"",0,1)="P",1*$D10,0))</f>
        <v>1</v>
      </c>
      <c r="AZ10" s="32">
        <f>IF($D10=0,0,IF(_xlfn.XLOOKUP($B10,'TH_CMI GRADE 10'!$B$7:$B$49,'TH_CMI GRADE 10'!AI$7:AI$49,"",0,1)="P",1*$D10,0))</f>
        <v>1</v>
      </c>
      <c r="BA10" s="31" t="e">
        <f>IF($C10=0,0,IF(_xlfn.XLOOKUP($B10,'PW_MLG GRADE 10'!$B$7:$B$31,'PW_MLG GRADE 10'!#REF!,"",0,1)="P",1*$C10,0))</f>
        <v>#REF!</v>
      </c>
      <c r="BB10" s="31" t="e">
        <f>IF($C10=0,0,IF(_xlfn.XLOOKUP($B10,'PW_MLG GRADE 10'!$B$7:$B$31,'PW_MLG GRADE 10'!#REF!,"",0,1)="P",1*$C10,0))</f>
        <v>#REF!</v>
      </c>
      <c r="BC10" s="31" t="e">
        <f>IF($C10=0,0,IF(_xlfn.XLOOKUP($B10,'PW_MLG GRADE 10'!$B$7:$B$31,'PW_MLG GRADE 10'!#REF!,"",0,1)="P",1*$C10,0))</f>
        <v>#REF!</v>
      </c>
      <c r="BD10" s="31" t="e">
        <f>IF($C10=0,0,IF(_xlfn.XLOOKUP($B10,'PW_MLG GRADE 10'!$B$7:$B$31,'PW_MLG GRADE 10'!#REF!,"",0,1)="P",1*$C10,0))</f>
        <v>#REF!</v>
      </c>
      <c r="BE10" s="31" t="e">
        <f>IF($C10=0,0,IF(_xlfn.XLOOKUP($B10,'PW_MLG GRADE 10'!$B$7:$B$31,'PW_MLG GRADE 10'!#REF!,"",0,1)="P",1*$C10,0))</f>
        <v>#REF!</v>
      </c>
      <c r="BF10" s="31" t="e">
        <f>IF($C10=0,0,IF(_xlfn.XLOOKUP($B10,'PW_MLG GRADE 10'!$B$7:$B$31,'PW_MLG GRADE 10'!#REF!,"",0,1)="P",1*$C10,0))</f>
        <v>#REF!</v>
      </c>
      <c r="BG10" s="31" t="e">
        <f>IF($C10=0,0,IF(_xlfn.XLOOKUP($B10,'PW_MLG GRADE 10'!$B$7:$B$31,'PW_MLG GRADE 10'!#REF!,"",0,1)="P",1*$C10,0))</f>
        <v>#REF!</v>
      </c>
      <c r="BH10" s="31" t="e">
        <f>IF($C10=0,0,IF(_xlfn.XLOOKUP($B10,'PW_MLG GRADE 10'!$B$7:$B$31,'PW_MLG GRADE 10'!#REF!,"",0,1)="P",1*$C10,0))</f>
        <v>#REF!</v>
      </c>
      <c r="BI10" s="31" t="e">
        <f>IF($C10=0,0,IF(_xlfn.XLOOKUP($B10,'PW_MLG GRADE 10'!$B$7:$B$31,'PW_MLG GRADE 10'!#REF!,"",0,1)="P",1*$C10,0))</f>
        <v>#REF!</v>
      </c>
      <c r="BJ10" s="31" t="e">
        <f>IF($C10=0,0,IF(_xlfn.XLOOKUP($B10,'PW_MLG GRADE 10'!$B$7:$B$31,'PW_MLG GRADE 10'!#REF!,"",0,1)="P",1*$C10,0))</f>
        <v>#REF!</v>
      </c>
      <c r="BK10" s="31" t="e">
        <f>IF($C10=0,0,IF(_xlfn.XLOOKUP($B10,'PW_MLG GRADE 10'!$B$7:$B$31,'PW_MLG GRADE 10'!#REF!,"",0,1)="P",1*$C10,0))</f>
        <v>#REF!</v>
      </c>
      <c r="BL10" s="31" t="e">
        <f>IF($C10=0,0,IF(_xlfn.XLOOKUP($B10,'PW_MLG GRADE 10'!$B$7:$B$31,'PW_MLG GRADE 10'!#REF!,"",0,1)="P",1*$C10,0))</f>
        <v>#REF!</v>
      </c>
      <c r="BM10" s="31" t="e">
        <f>IF($C10=0,0,IF(_xlfn.XLOOKUP($B10,'PW_MLG GRADE 10'!$B$7:$B$31,'PW_MLG GRADE 10'!#REF!,"",0,1)="P",1*$C10,0))</f>
        <v>#REF!</v>
      </c>
      <c r="BN10" s="31" t="e">
        <f>IF($C10=0,0,IF(_xlfn.XLOOKUP($B10,'PW_MLG GRADE 10'!$B$7:$B$31,'PW_MLG GRADE 10'!#REF!,"",0,1)="P",1*$C10,0))</f>
        <v>#REF!</v>
      </c>
      <c r="BO10" s="31" t="e">
        <f>IF($C10=0,0,IF(_xlfn.XLOOKUP($B10,'PW_MLG GRADE 10'!$B$7:$B$31,'PW_MLG GRADE 10'!#REF!,"",0,1)="P",1*$C10,0))</f>
        <v>#REF!</v>
      </c>
      <c r="BP10" s="31" t="e">
        <f>IF($C10=0,0,IF(_xlfn.XLOOKUP($B10,'PW_MLG GRADE 10'!$B$7:$B$31,'PW_MLG GRADE 10'!#REF!,"",0,1)="P",1*$C10,0))</f>
        <v>#REF!</v>
      </c>
      <c r="BQ10" s="31" t="e">
        <f>IF($C10=0,0,IF(_xlfn.XLOOKUP($B10,'PW_MLG GRADE 10'!$B$7:$B$31,'PW_MLG GRADE 10'!#REF!,"",0,1)="P",1*$C10,0))</f>
        <v>#REF!</v>
      </c>
      <c r="BR10" s="31" t="e">
        <f>IF($C10=0,0,IF(_xlfn.XLOOKUP($B10,'PW_MLG GRADE 10'!$B$7:$B$31,'PW_MLG GRADE 10'!#REF!,"",0,1)="P",1*$C10,0))</f>
        <v>#REF!</v>
      </c>
      <c r="BS10" s="31" t="e">
        <f>IF($C10=0,0,IF(_xlfn.XLOOKUP($B10,'PW_MLG GRADE 10'!$B$7:$B$31,'PW_MLG GRADE 10'!#REF!,"",0,1)="P",1*$C10,0))</f>
        <v>#REF!</v>
      </c>
      <c r="BT10" s="31" t="e">
        <f>IF($C10=0,0,IF(_xlfn.XLOOKUP($B10,'PW_MLG GRADE 10'!$B$7:$B$31,'PW_MLG GRADE 10'!#REF!,"",0,1)="P",1*$C10,0))</f>
        <v>#REF!</v>
      </c>
      <c r="BU10" s="31" t="e">
        <f>IF($C10=0,0,IF(_xlfn.XLOOKUP($B10,'PW_MLG GRADE 10'!$B$7:$B$31,'PW_MLG GRADE 10'!#REF!,"",0,1)="P",1*$C10,0))</f>
        <v>#REF!</v>
      </c>
      <c r="BV10" s="31" t="e">
        <f>IF($C10=0,0,IF(_xlfn.XLOOKUP($B10,'PW_MLG GRADE 10'!$B$7:$B$31,'PW_MLG GRADE 10'!#REF!,"",0,1)="P",1*$C10,0))</f>
        <v>#REF!</v>
      </c>
      <c r="BW10" s="31" t="e">
        <f>IF($C10=0,0,IF(_xlfn.XLOOKUP($B10,'PW_MLG GRADE 10'!$B$7:$B$31,'PW_MLG GRADE 10'!#REF!,"",0,1)="P",1*$C10,0))</f>
        <v>#REF!</v>
      </c>
      <c r="BX10" s="31" t="e">
        <f>IF($C10=0,0,IF(_xlfn.XLOOKUP($B10,'PW_MLG GRADE 10'!$B$7:$B$31,'PW_MLG GRADE 10'!#REF!,"",0,1)="P",1*$C10,0))</f>
        <v>#REF!</v>
      </c>
      <c r="BY10" s="31" t="e">
        <f>IF($C10=0,0,IF(_xlfn.XLOOKUP($B10,'PW_MLG GRADE 10'!$B$7:$B$31,'PW_MLG GRADE 10'!#REF!,"",0,1)="P",1*$C10,0))</f>
        <v>#REF!</v>
      </c>
      <c r="BZ10" s="31" t="e">
        <f>IF($C10=0,0,IF(_xlfn.XLOOKUP($B10,'PW_MLG GRADE 10'!$B$7:$B$31,'PW_MLG GRADE 10'!#REF!,"",0,1)="P",1*$C10,0))</f>
        <v>#REF!</v>
      </c>
      <c r="CA10" s="31" t="e">
        <f>IF($C10=0,0,IF(_xlfn.XLOOKUP($B10,'PW_MLG GRADE 10'!$B$7:$B$31,'PW_MLG GRADE 10'!#REF!,"",0,1)="P",1*$C10,0))</f>
        <v>#REF!</v>
      </c>
      <c r="CB10" s="31" t="e">
        <f>IF($C10=0,0,IF(_xlfn.XLOOKUP($B10,'PW_MLG GRADE 10'!$B$7:$B$31,'PW_MLG GRADE 10'!#REF!,"",0,1)="P",1*$C10,0))</f>
        <v>#REF!</v>
      </c>
      <c r="CC10" s="31" t="e">
        <f>IF($C10=0,0,IF(_xlfn.XLOOKUP($B10,'PW_MLG GRADE 10'!$B$7:$B$31,'PW_MLG GRADE 10'!#REF!,"",0,1)="P",1*$C10,0))</f>
        <v>#REF!</v>
      </c>
      <c r="CD10" s="31" t="e">
        <f>IF($C10=0,0,IF(_xlfn.XLOOKUP($B10,'PW_MLG GRADE 10'!$B$7:$B$31,'PW_MLG GRADE 10'!#REF!,"",0,1)="P",1*$C10,0))</f>
        <v>#REF!</v>
      </c>
      <c r="CE10" s="32">
        <f>IF($C10=0,0,IF(_xlfn.XLOOKUP($B10,'PW_CMI GRADE 10'!$B$7:$B$31,'PW_CMI GRADE 10'!C$7:C$31,"",0,1)="P",1*$C10,0))</f>
        <v>0</v>
      </c>
      <c r="CF10" s="32">
        <f>IF($C10=0,0,IF(_xlfn.XLOOKUP($B10,'PW_CMI GRADE 10'!$B$7:$B$31,'PW_CMI GRADE 10'!D$7:D$31,"",0,1)="P",1*$C10,0))</f>
        <v>0</v>
      </c>
      <c r="CG10" s="32">
        <f>IF($C10=0,0,IF(_xlfn.XLOOKUP($B10,'PW_CMI GRADE 10'!$B$7:$B$31,'PW_CMI GRADE 10'!E$7:E$31,"",0,1)="P",1*$C10,0))</f>
        <v>0</v>
      </c>
      <c r="CH10" s="32">
        <f>IF($C10=0,0,IF(_xlfn.XLOOKUP($B10,'PW_CMI GRADE 10'!$B$7:$B$31,'PW_CMI GRADE 10'!F$7:F$31,"",0,1)="P",1*$C10,0))</f>
        <v>0</v>
      </c>
      <c r="CI10" s="32">
        <f>IF($C10=0,0,IF(_xlfn.XLOOKUP($B10,'PW_CMI GRADE 10'!$B$7:$B$31,'PW_CMI GRADE 10'!G$7:G$31,"",0,1)="P",1*$C10,0))</f>
        <v>0</v>
      </c>
      <c r="CJ10" s="32">
        <f>IF($C10=0,0,IF(_xlfn.XLOOKUP($B10,'PW_CMI GRADE 10'!$B$7:$B$31,'PW_CMI GRADE 10'!H$7:H$31,"",0,1)="P",1*$C10,0))</f>
        <v>0</v>
      </c>
      <c r="CK10" s="32">
        <f>IF($C10=0,0,IF(_xlfn.XLOOKUP($B10,'PW_CMI GRADE 10'!$B$7:$B$31,'PW_CMI GRADE 10'!I$7:I$31,"",0,1)="P",1*$C10,0))</f>
        <v>0</v>
      </c>
      <c r="CL10" s="32">
        <f>IF($C10=0,0,IF(_xlfn.XLOOKUP($B10,'PW_CMI GRADE 10'!$B$7:$B$31,'PW_CMI GRADE 10'!J$7:J$31,"",0,1)="P",1*$C10,0))</f>
        <v>0</v>
      </c>
      <c r="CM10" s="32">
        <f>IF($C10=0,0,IF(_xlfn.XLOOKUP($B10,'PW_CMI GRADE 10'!$B$7:$B$31,'PW_CMI GRADE 10'!K$7:K$31,"",0,1)="P",1*$C10,0))</f>
        <v>0</v>
      </c>
      <c r="CN10" s="32">
        <f>IF($C10=0,0,IF(_xlfn.XLOOKUP($B10,'PW_CMI GRADE 10'!$B$7:$B$31,'PW_CMI GRADE 10'!L$7:L$31,"",0,1)="P",1*$C10,0))</f>
        <v>0</v>
      </c>
      <c r="CO10" s="32">
        <f>IF($C10=0,0,IF(_xlfn.XLOOKUP($B10,'PW_CMI GRADE 10'!$B$7:$B$31,'PW_CMI GRADE 10'!M$7:M$31,"",0,1)="P",1*$C10,0))</f>
        <v>0</v>
      </c>
      <c r="CP10" s="32">
        <f>IF($C10=0,0,IF(_xlfn.XLOOKUP($B10,'PW_CMI GRADE 10'!$B$7:$B$31,'PW_CMI GRADE 10'!N$7:N$31,"",0,1)="P",1*$C10,0))</f>
        <v>0</v>
      </c>
      <c r="CQ10" s="32">
        <f>IF($C10=0,0,IF(_xlfn.XLOOKUP($B10,'PW_CMI GRADE 10'!$B$7:$B$31,'PW_CMI GRADE 10'!O$7:O$31,"",0,1)="P",1*$C10,0))</f>
        <v>0</v>
      </c>
      <c r="CR10" s="32">
        <f>IF($C10=0,0,IF(_xlfn.XLOOKUP($B10,'PW_CMI GRADE 10'!$B$7:$B$31,'PW_CMI GRADE 10'!P$7:P$31,"",0,1)="P",1*$C10,0))</f>
        <v>0</v>
      </c>
      <c r="CS10" s="32">
        <f>IF($C10=0,0,IF(_xlfn.XLOOKUP($B10,'PW_CMI GRADE 10'!$B$7:$B$31,'PW_CMI GRADE 10'!Q$7:Q$31,"",0,1)="P",1*$C10,0))</f>
        <v>0</v>
      </c>
      <c r="CT10" s="32">
        <f>IF($C10=0,0,IF(_xlfn.XLOOKUP($B10,'PW_CMI GRADE 10'!$B$7:$B$31,'PW_CMI GRADE 10'!R$7:R$31,"",0,1)="P",1*$C10,0))</f>
        <v>0</v>
      </c>
      <c r="CU10" s="32">
        <f>IF($C10=0,0,IF(_xlfn.XLOOKUP($B10,'PW_CMI GRADE 10'!$B$7:$B$31,'PW_CMI GRADE 10'!S$7:S$31,"",0,1)="P",1*$C10,0))</f>
        <v>0</v>
      </c>
      <c r="CV10" s="32">
        <f>IF($C10=0,0,IF(_xlfn.XLOOKUP($B10,'PW_CMI GRADE 10'!$B$7:$B$31,'PW_CMI GRADE 10'!T$7:T$31,"",0,1)="P",1*$C10,0))</f>
        <v>0</v>
      </c>
      <c r="CW10" s="62" t="e">
        <f t="shared" si="19"/>
        <v>#REF!</v>
      </c>
      <c r="CX10" s="62" t="e">
        <f t="shared" si="20"/>
        <v>#REF!</v>
      </c>
      <c r="CY10" s="62" t="e">
        <f t="shared" si="21"/>
        <v>#REF!</v>
      </c>
      <c r="CZ10" s="62" t="e">
        <f t="shared" si="22"/>
        <v>#REF!</v>
      </c>
      <c r="DA10" s="62" t="e">
        <f t="shared" si="23"/>
        <v>#REF!</v>
      </c>
      <c r="DB10" s="62" t="e">
        <f t="shared" si="24"/>
        <v>#REF!</v>
      </c>
      <c r="DC10" s="62" t="e">
        <f t="shared" si="25"/>
        <v>#REF!</v>
      </c>
      <c r="DD10" s="62" t="e">
        <f t="shared" si="26"/>
        <v>#REF!</v>
      </c>
      <c r="DE10" s="62" t="e">
        <f t="shared" si="27"/>
        <v>#REF!</v>
      </c>
      <c r="DF10" s="62" t="e">
        <f t="shared" si="28"/>
        <v>#REF!</v>
      </c>
      <c r="DG10" s="62" t="e">
        <f t="shared" si="29"/>
        <v>#REF!</v>
      </c>
      <c r="DH10" s="62" t="e">
        <f t="shared" si="30"/>
        <v>#REF!</v>
      </c>
      <c r="DI10" s="62" t="e">
        <f t="shared" si="31"/>
        <v>#REF!</v>
      </c>
      <c r="DJ10" s="62" t="e">
        <f t="shared" si="32"/>
        <v>#REF!</v>
      </c>
      <c r="DK10" s="62" t="e">
        <f t="shared" si="33"/>
        <v>#REF!</v>
      </c>
      <c r="DL10" s="62" t="e">
        <f t="shared" si="34"/>
        <v>#REF!</v>
      </c>
      <c r="DM10" s="62" t="e">
        <f t="shared" si="35"/>
        <v>#REF!</v>
      </c>
      <c r="DN10" s="62" t="e">
        <f t="shared" si="36"/>
        <v>#REF!</v>
      </c>
      <c r="DO10" s="62" t="e">
        <f t="shared" si="37"/>
        <v>#REF!</v>
      </c>
      <c r="DP10" s="62" t="e">
        <f t="shared" si="38"/>
        <v>#REF!</v>
      </c>
      <c r="DQ10" s="62" t="e">
        <f t="shared" si="39"/>
        <v>#REF!</v>
      </c>
      <c r="DR10" s="62" t="e">
        <f t="shared" si="40"/>
        <v>#REF!</v>
      </c>
      <c r="DS10" s="62" t="e">
        <f t="shared" si="41"/>
        <v>#REF!</v>
      </c>
      <c r="DT10" s="62" t="e">
        <f t="shared" si="42"/>
        <v>#REF!</v>
      </c>
      <c r="DU10" s="62" t="e">
        <f t="shared" si="43"/>
        <v>#REF!</v>
      </c>
      <c r="DV10" s="62" t="e">
        <f t="shared" si="44"/>
        <v>#REF!</v>
      </c>
      <c r="DW10" s="62" t="e">
        <f t="shared" si="45"/>
        <v>#REF!</v>
      </c>
      <c r="DX10" s="62" t="e">
        <f t="shared" si="46"/>
        <v>#REF!</v>
      </c>
      <c r="DY10" s="62" t="e">
        <f t="shared" si="47"/>
        <v>#REF!</v>
      </c>
      <c r="DZ10" s="62" t="e">
        <f t="shared" si="48"/>
        <v>#REF!</v>
      </c>
      <c r="EA10" s="63">
        <f t="shared" si="1"/>
        <v>0</v>
      </c>
      <c r="EB10" s="63">
        <f t="shared" si="2"/>
        <v>0</v>
      </c>
      <c r="EC10" s="63">
        <f t="shared" si="3"/>
        <v>0</v>
      </c>
      <c r="ED10" s="63">
        <f t="shared" si="4"/>
        <v>0</v>
      </c>
      <c r="EE10" s="63">
        <f t="shared" si="5"/>
        <v>0</v>
      </c>
      <c r="EF10" s="63">
        <f t="shared" si="6"/>
        <v>0</v>
      </c>
      <c r="EG10" s="63">
        <f t="shared" si="7"/>
        <v>0</v>
      </c>
      <c r="EH10" s="63">
        <f t="shared" si="8"/>
        <v>0</v>
      </c>
      <c r="EI10" s="63">
        <f t="shared" si="9"/>
        <v>0</v>
      </c>
      <c r="EJ10" s="63">
        <f t="shared" si="10"/>
        <v>0</v>
      </c>
      <c r="EK10" s="63">
        <f t="shared" si="11"/>
        <v>0.16666666666666666</v>
      </c>
      <c r="EL10" s="63">
        <f t="shared" si="12"/>
        <v>0.33333333333333331</v>
      </c>
      <c r="EM10" s="63">
        <f t="shared" si="13"/>
        <v>0.5</v>
      </c>
      <c r="EN10" s="63">
        <f t="shared" si="14"/>
        <v>0.5</v>
      </c>
      <c r="EO10" s="63">
        <f t="shared" si="15"/>
        <v>0.5</v>
      </c>
      <c r="EP10" s="63">
        <f t="shared" si="16"/>
        <v>0.5</v>
      </c>
      <c r="ET10" t="str">
        <v>3A.1</v>
      </c>
      <c r="EU10" s="38">
        <f t="shared" si="49"/>
        <v>0</v>
      </c>
      <c r="EV10" s="38">
        <f t="shared" si="50"/>
        <v>0</v>
      </c>
      <c r="EW10" s="38">
        <f t="shared" si="51"/>
        <v>0</v>
      </c>
      <c r="EX10" s="38">
        <f t="shared" si="52"/>
        <v>0.66666666666666663</v>
      </c>
      <c r="EY10" s="38">
        <f t="shared" si="53"/>
        <v>1</v>
      </c>
      <c r="EZ10" s="38">
        <f t="shared" si="54"/>
        <v>0.66666666666666663</v>
      </c>
      <c r="FA10" s="38">
        <f t="shared" si="55"/>
        <v>0.66666666666666663</v>
      </c>
      <c r="FB10" s="38">
        <f t="shared" si="56"/>
        <v>0</v>
      </c>
      <c r="FC10" s="38" t="e">
        <f t="shared" si="57"/>
        <v>#REF!</v>
      </c>
      <c r="FD10" s="38" t="e">
        <f t="shared" si="58"/>
        <v>#REF!</v>
      </c>
      <c r="FE10" s="38">
        <f t="shared" si="59"/>
        <v>0</v>
      </c>
      <c r="FF10" s="38">
        <f t="shared" si="60"/>
        <v>0</v>
      </c>
      <c r="FG10" s="38">
        <f t="shared" si="61"/>
        <v>1</v>
      </c>
      <c r="FH10" s="38">
        <f t="shared" si="62"/>
        <v>1</v>
      </c>
      <c r="FI10" s="38">
        <f t="shared" si="63"/>
        <v>0</v>
      </c>
      <c r="FJ10" s="38">
        <f t="shared" si="64"/>
        <v>0</v>
      </c>
      <c r="FK10" s="38">
        <f t="shared" si="65"/>
        <v>0</v>
      </c>
      <c r="FL10" s="38">
        <f t="shared" si="17"/>
        <v>1</v>
      </c>
      <c r="FM10" s="38">
        <v>1</v>
      </c>
      <c r="FN10" s="38">
        <f t="shared" si="66"/>
        <v>0.66666666666666663</v>
      </c>
      <c r="FO10" s="38">
        <f t="shared" si="67"/>
        <v>0.16666666666666666</v>
      </c>
      <c r="FU10" s="51">
        <v>46023</v>
      </c>
      <c r="FV10" t="s">
        <v>22</v>
      </c>
      <c r="FW10" t="s">
        <v>22</v>
      </c>
      <c r="FX10" t="s">
        <v>22</v>
      </c>
      <c r="FY10" t="s">
        <v>22</v>
      </c>
      <c r="FZ10" t="s">
        <v>22</v>
      </c>
      <c r="GA10" t="s">
        <v>22</v>
      </c>
      <c r="GB10" t="s">
        <v>22</v>
      </c>
      <c r="GC10" t="s">
        <v>22</v>
      </c>
      <c r="GD10" t="s">
        <v>22</v>
      </c>
      <c r="GE10" t="s">
        <v>22</v>
      </c>
      <c r="GF10" t="s">
        <v>22</v>
      </c>
      <c r="GG10" t="s">
        <v>22</v>
      </c>
      <c r="GH10" t="s">
        <v>22</v>
      </c>
      <c r="GI10" t="s">
        <v>22</v>
      </c>
      <c r="GJ10" t="s">
        <v>22</v>
      </c>
      <c r="GK10" t="s">
        <v>22</v>
      </c>
      <c r="GL10" t="s">
        <v>22</v>
      </c>
      <c r="GM10" t="s">
        <v>22</v>
      </c>
      <c r="GN10" t="s">
        <v>22</v>
      </c>
      <c r="GO10" t="s">
        <v>22</v>
      </c>
      <c r="GP10" t="s">
        <v>22</v>
      </c>
      <c r="GQ10" t="s">
        <v>22</v>
      </c>
      <c r="GR10" t="s">
        <v>22</v>
      </c>
      <c r="GS10" t="s">
        <v>22</v>
      </c>
      <c r="GT10" t="s">
        <v>22</v>
      </c>
      <c r="GU10" t="s">
        <v>22</v>
      </c>
      <c r="GV10" t="s">
        <v>22</v>
      </c>
      <c r="GW10" t="s">
        <v>22</v>
      </c>
      <c r="GX10" t="s">
        <v>22</v>
      </c>
      <c r="GY10" t="s">
        <v>22</v>
      </c>
      <c r="GZ10" t="s">
        <v>22</v>
      </c>
      <c r="HA10" t="s">
        <v>22</v>
      </c>
      <c r="HB10" t="s">
        <v>22</v>
      </c>
      <c r="HC10" t="s">
        <v>22</v>
      </c>
      <c r="HD10" t="s">
        <v>22</v>
      </c>
      <c r="HE10" t="s">
        <v>22</v>
      </c>
      <c r="HF10" t="s">
        <v>22</v>
      </c>
      <c r="HG10" t="s">
        <v>22</v>
      </c>
      <c r="HH10" t="s">
        <v>22</v>
      </c>
      <c r="HI10" t="s">
        <v>22</v>
      </c>
      <c r="HJ10" t="s">
        <v>22</v>
      </c>
      <c r="HK10" t="s">
        <v>22</v>
      </c>
      <c r="HL10" t="s">
        <v>22</v>
      </c>
      <c r="HM10" t="s">
        <v>22</v>
      </c>
      <c r="HN10" t="s">
        <v>22</v>
      </c>
      <c r="HO10" cm="1">
        <f t="array" ref="HO10">SUMPRODUCT(--(FV10:HN10&lt;&gt;""))</f>
        <v>0</v>
      </c>
    </row>
    <row r="11" spans="1:242">
      <c r="A11" t="str">
        <f t="shared" si="18"/>
        <v>2.2</v>
      </c>
      <c r="B11" t="s">
        <v>42</v>
      </c>
      <c r="C11" s="27">
        <v>0</v>
      </c>
      <c r="D11" s="27">
        <v>1</v>
      </c>
      <c r="E11" s="31">
        <f>IF($D11=0,0,IF(_xlfn.XLOOKUP($B11,'TH_MLG GRADE 10'!$B$7:$B$49,'TH_MLG GRADE 10'!C$7:C$49,"",0,1)="P",1*$D11,0))</f>
        <v>0</v>
      </c>
      <c r="F11" s="31">
        <f>IF($D11=0,0,IF(_xlfn.XLOOKUP($B11,'TH_MLG GRADE 10'!$B$7:$B$49,'TH_MLG GRADE 10'!D$7:D$49,"",0,1)="P",1*$D11,0))</f>
        <v>0</v>
      </c>
      <c r="G11" s="31">
        <f>IF($D11=0,0,IF(_xlfn.XLOOKUP($B11,'TH_MLG GRADE 10'!$B$7:$B$49,'TH_MLG GRADE 10'!E$7:E$49,"",0,1)="P",1*$D11,0))</f>
        <v>0</v>
      </c>
      <c r="H11" s="31">
        <f>IF($D11=0,0,IF(_xlfn.XLOOKUP($B11,'TH_MLG GRADE 10'!$B$7:$B$49,'TH_MLG GRADE 10'!I$7:I$49,"",0,1)="P",1*$D11,0))</f>
        <v>0</v>
      </c>
      <c r="I11" s="31">
        <f>IF($D11=0,0,IF(_xlfn.XLOOKUP($B11,'TH_MLG GRADE 10'!$B$7:$B$49,'TH_MLG GRADE 10'!J$7:J$49,"",0,1)="P",1*$D11,0))</f>
        <v>0</v>
      </c>
      <c r="J11" s="31">
        <f>IF($D11=0,0,IF(_xlfn.XLOOKUP($B11,'TH_MLG GRADE 10'!$B$7:$B$49,'TH_MLG GRADE 10'!K$7:K$49,"",0,1)="P",1*$D11,0))</f>
        <v>0</v>
      </c>
      <c r="K11" s="31">
        <f>IF($D11=0,0,IF(_xlfn.XLOOKUP($B11,'TH_MLG GRADE 10'!$B$7:$B$49,'TH_MLG GRADE 10'!O$7:O$49,"",0,1)="P",1*$D11,0))</f>
        <v>0</v>
      </c>
      <c r="L11" s="31">
        <f>IF($D11=0,0,IF(_xlfn.XLOOKUP($B11,'TH_MLG GRADE 10'!$B$7:$B$49,'TH_MLG GRADE 10'!P$7:P$49,"",0,1)="P",1*$D11,0))</f>
        <v>0</v>
      </c>
      <c r="M11" s="31">
        <f>IF($D11=0,0,IF(_xlfn.XLOOKUP($B11,'TH_MLG GRADE 10'!$B$7:$B$49,'TH_MLG GRADE 10'!Q$7:Q$49,"",0,1)="P",1*$D11,0))</f>
        <v>0</v>
      </c>
      <c r="N11" s="31">
        <f>IF($D11=0,0,IF(_xlfn.XLOOKUP($B11,'TH_MLG GRADE 10'!$B$7:$B$49,'TH_MLG GRADE 10'!AA$7:AA$49,"",0,1)="P",1*$D11,0))</f>
        <v>0</v>
      </c>
      <c r="O11" s="31">
        <f>IF($D11=0,0,IF(_xlfn.XLOOKUP($B11,'TH_MLG GRADE 10'!$B$7:$B$49,'TH_MLG GRADE 10'!AB$7:AB$49,"",0,1)="P",1*$D11,0))</f>
        <v>0</v>
      </c>
      <c r="P11" s="31">
        <f>IF($D11=0,0,IF(_xlfn.XLOOKUP($B11,'TH_MLG GRADE 10'!$B$7:$B$49,'TH_MLG GRADE 10'!AC$7:AC$49,"",0,1)="P",1*$D11,0))</f>
        <v>0</v>
      </c>
      <c r="Q11" s="31">
        <f>IF($D11=0,0,IF(_xlfn.XLOOKUP($B11,'TH_MLG GRADE 10'!$B$7:$B$49,'TH_MLG GRADE 10'!AG$7:AG$49,"",0,1)="P",1*$D11,0))</f>
        <v>0</v>
      </c>
      <c r="R11" s="31">
        <f>IF($D11=0,0,IF(_xlfn.XLOOKUP($B11,'TH_MLG GRADE 10'!$B$7:$B$49,'TH_MLG GRADE 10'!AH$7:AH$49,"",0,1)="P",1*$D11,0))</f>
        <v>0</v>
      </c>
      <c r="S11" s="31">
        <f>IF($D11=0,0,IF(_xlfn.XLOOKUP($B11,'TH_MLG GRADE 10'!$B$7:$B$49,'TH_MLG GRADE 10'!AI$7:AI$49,"",0,1)="P",1*$D11,0))</f>
        <v>0</v>
      </c>
      <c r="T11" s="31">
        <f>IF($D11=0,0,IF(_xlfn.XLOOKUP($B11,'TH_MLG GRADE 10'!$B$7:$B$49,'TH_MLG GRADE 10'!AM$7:AM$49,"",0,1)="P",1*$D11,0))</f>
        <v>1</v>
      </c>
      <c r="U11" s="31">
        <f>IF($D11=0,0,IF(_xlfn.XLOOKUP($B11,'TH_MLG GRADE 10'!$B$7:$B$49,'TH_MLG GRADE 10'!AN$7:AN$49,"",0,1)="P",1*$D11,0))</f>
        <v>1</v>
      </c>
      <c r="V11" s="31">
        <f>IF($D11=0,0,IF(_xlfn.XLOOKUP($B11,'TH_MLG GRADE 10'!$B$7:$B$49,'TH_MLG GRADE 10'!AO$7:AO$49,"",0,1)="P",1*$D11,0))</f>
        <v>1</v>
      </c>
      <c r="W11" s="31">
        <f>IF($D11=0,0,IF(_xlfn.XLOOKUP($B11,'TH_MLG GRADE 10'!$B$7:$B$49,'TH_MLG GRADE 10'!AY$7:AY$49,"",0,1)="P",1*$D11,0))</f>
        <v>1</v>
      </c>
      <c r="X11" s="31">
        <f>IF($D11=0,0,IF(_xlfn.XLOOKUP($B11,'TH_MLG GRADE 10'!$B$7:$B$49,'TH_MLG GRADE 10'!AZ$7:AZ$49,"",0,1)="P",1*$D11,0))</f>
        <v>1</v>
      </c>
      <c r="Y11" s="31">
        <f>IF($D11=0,0,IF(_xlfn.XLOOKUP($B11,'TH_MLG GRADE 10'!$B$7:$B$49,'TH_MLG GRADE 10'!BA$7:BA$49,"",0,1)="P",1*$D11,0))</f>
        <v>0</v>
      </c>
      <c r="Z11" s="31">
        <f>IF($D11=0,0,IF(_xlfn.XLOOKUP($B11,'TH_MLG GRADE 10'!$B$7:$B$49,'TH_MLG GRADE 10'!BE$7:BE$49,"",0,1)="P",1*$D11,0))</f>
        <v>0</v>
      </c>
      <c r="AA11" s="31">
        <f>IF($D11=0,0,IF(_xlfn.XLOOKUP($B11,'TH_MLG GRADE 10'!$B$7:$B$49,'TH_MLG GRADE 10'!BF$7:BF$49,"",0,1)="P",1*$D11,0))</f>
        <v>0</v>
      </c>
      <c r="AB11" s="31">
        <f>IF($D11=0,0,IF(_xlfn.XLOOKUP($B11,'TH_MLG GRADE 10'!$B$7:$B$49,'TH_MLG GRADE 10'!BG$7:BG$49,"",0,1)="P",1*$D11,0))</f>
        <v>0</v>
      </c>
      <c r="AC11" s="31" t="e">
        <f>IF($D11=0,0,IF(_xlfn.XLOOKUP($B11,'TH_MLG GRADE 10'!$B$7:$B$49,'TH_MLG GRADE 10'!#REF!,"",0,1)="P",1*$D11,0))</f>
        <v>#REF!</v>
      </c>
      <c r="AD11" s="31" t="e">
        <f>IF($D11=0,0,IF(_xlfn.XLOOKUP($B11,'TH_MLG GRADE 10'!$B$7:$B$49,'TH_MLG GRADE 10'!#REF!,"",0,1)="P",1*$D11,0))</f>
        <v>#REF!</v>
      </c>
      <c r="AE11" s="31" t="e">
        <f>IF($D11=0,0,IF(_xlfn.XLOOKUP($B11,'TH_MLG GRADE 10'!$B$7:$B$49,'TH_MLG GRADE 10'!#REF!,"",0,1)="P",1*$D11,0))</f>
        <v>#REF!</v>
      </c>
      <c r="AF11" s="31" t="e">
        <f>IF($D11=0,0,IF(_xlfn.XLOOKUP($B11,'TH_MLG GRADE 10'!$B$7:$B$49,'TH_MLG GRADE 10'!#REF!,"",0,1)="P",1*$D11,0))</f>
        <v>#REF!</v>
      </c>
      <c r="AG11" s="31" t="e">
        <f>IF($D11=0,0,IF(_xlfn.XLOOKUP($B11,'TH_MLG GRADE 10'!$B$7:$B$49,'TH_MLG GRADE 10'!#REF!,"",0,1)="P",1*$D11,0))</f>
        <v>#REF!</v>
      </c>
      <c r="AH11" s="31" t="e">
        <f>IF($D11=0,0,IF(_xlfn.XLOOKUP($B11,'TH_MLG GRADE 10'!$B$7:$B$49,'TH_MLG GRADE 10'!#REF!,"",0,1)="P",1*$D11,0))</f>
        <v>#REF!</v>
      </c>
      <c r="AI11" s="32">
        <f>IF($D11=0,0,IF(_xlfn.XLOOKUP($B11,'TH_CMI GRADE 10'!$B$7:$B$49,'TH_CMI GRADE 10'!C$7:C$49,"",0,1)="P",1*$D11,0))</f>
        <v>0</v>
      </c>
      <c r="AJ11" s="32">
        <f>IF($D11=0,0,IF(_xlfn.XLOOKUP($B11,'TH_CMI GRADE 10'!$B$7:$B$49,'TH_CMI GRADE 10'!D$7:D$49,"",0,1)="P",1*$D11,0))</f>
        <v>0</v>
      </c>
      <c r="AK11" s="32">
        <f>IF($D11=0,0,IF(_xlfn.XLOOKUP($B11,'TH_CMI GRADE 10'!$B$7:$B$49,'TH_CMI GRADE 10'!H$7:H$49,"",0,1)="P",1*$D11,0))</f>
        <v>0</v>
      </c>
      <c r="AL11" s="32">
        <f>IF($D11=0,0,IF(_xlfn.XLOOKUP($B11,'TH_CMI GRADE 10'!$B$7:$B$49,'TH_CMI GRADE 10'!I$7:I$49,"",0,1)="P",1*$D11,0))</f>
        <v>0</v>
      </c>
      <c r="AM11" s="32">
        <f>IF($D11=0,0,IF(_xlfn.XLOOKUP($B11,'TH_CMI GRADE 10'!$B$7:$B$49,'TH_CMI GRADE 10'!J$7:J$49,"",0,1)="P",1*$D11,0))</f>
        <v>0</v>
      </c>
      <c r="AN11" s="32">
        <f>IF($D11=0,0,IF(_xlfn.XLOOKUP($B11,'TH_CMI GRADE 10'!$B$7:$B$49,'TH_CMI GRADE 10'!K$7:K$49,"",0,1)="P",1*$D11,0))</f>
        <v>0</v>
      </c>
      <c r="AO11" s="32">
        <f>IF($D11=0,0,IF(_xlfn.XLOOKUP($B11,'TH_CMI GRADE 10'!$B$7:$B$49,'TH_CMI GRADE 10'!O$7:O$49,"",0,1)="P",1*$D11,0))</f>
        <v>0</v>
      </c>
      <c r="AP11" s="32">
        <f>IF($D11=0,0,IF(_xlfn.XLOOKUP($B11,'TH_CMI GRADE 10'!$B$7:$B$49,'TH_CMI GRADE 10'!P$7:P$49,"",0,1)="P",1*$D11,0))</f>
        <v>0</v>
      </c>
      <c r="AQ11" s="32">
        <f>IF($D11=0,0,IF(_xlfn.XLOOKUP($B11,'TH_CMI GRADE 10'!$B$7:$B$49,'TH_CMI GRADE 10'!Q$7:Q$49,"",0,1)="P",1*$D11,0))</f>
        <v>0</v>
      </c>
      <c r="AR11" s="32">
        <f>IF($D11=0,0,IF(_xlfn.XLOOKUP($B11,'TH_CMI GRADE 10'!$B$7:$B$49,'TH_CMI GRADE 10'!U$7:U$49,"",0,1)="P",1*$D11,0))</f>
        <v>0</v>
      </c>
      <c r="AS11" s="32">
        <f>IF($D11=0,0,IF(_xlfn.XLOOKUP($B11,'TH_CMI GRADE 10'!$B$7:$B$49,'TH_CMI GRADE 10'!V$7:V$49,"",0,1)="P",1*$D11,0))</f>
        <v>0</v>
      </c>
      <c r="AT11" s="32">
        <f>IF($D11=0,0,IF(_xlfn.XLOOKUP($B11,'TH_CMI GRADE 10'!$B$7:$B$49,'TH_CMI GRADE 10'!W$7:W$49,"",0,1)="P",1*$D11,0))</f>
        <v>0</v>
      </c>
      <c r="AU11" s="32">
        <f>IF($D11=0,0,IF(_xlfn.XLOOKUP($B11,'TH_CMI GRADE 10'!$B$7:$B$49,'TH_CMI GRADE 10'!AA$7:AA$49,"",0,1)="P",1*$D11,0))</f>
        <v>1</v>
      </c>
      <c r="AV11" s="32">
        <f>IF($D11=0,0,IF(_xlfn.XLOOKUP($B11,'TH_CMI GRADE 10'!$B$7:$B$49,'TH_CMI GRADE 10'!AB$7:AB$49,"",0,1)="P",1*$D11,0))</f>
        <v>1</v>
      </c>
      <c r="AW11" s="32">
        <f>IF($D11=0,0,IF(_xlfn.XLOOKUP($B11,'TH_CMI GRADE 10'!$B$7:$B$49,'TH_CMI GRADE 10'!AC$7:AC$49,"",0,1)="P",1*$D11,0))</f>
        <v>1</v>
      </c>
      <c r="AX11" s="32">
        <f>IF($D11=0,0,IF(_xlfn.XLOOKUP($B11,'TH_CMI GRADE 10'!$B$7:$B$49,'TH_CMI GRADE 10'!AG$7:AG$49,"",0,1)="P",1*$D11,0))</f>
        <v>1</v>
      </c>
      <c r="AY11" s="32">
        <f>IF($D11=0,0,IF(_xlfn.XLOOKUP($B11,'TH_CMI GRADE 10'!$B$7:$B$49,'TH_CMI GRADE 10'!AH$7:AH$49,"",0,1)="P",1*$D11,0))</f>
        <v>1</v>
      </c>
      <c r="AZ11" s="32">
        <f>IF($D11=0,0,IF(_xlfn.XLOOKUP($B11,'TH_CMI GRADE 10'!$B$7:$B$49,'TH_CMI GRADE 10'!AI$7:AI$49,"",0,1)="P",1*$D11,0))</f>
        <v>1</v>
      </c>
      <c r="BA11" s="31">
        <f>IF($C11=0,0,IF(_xlfn.XLOOKUP($B11,'PW_MLG GRADE 10'!$B$7:$B$31,'PW_MLG GRADE 10'!#REF!,"",0,1)="P",1*$C11,0))</f>
        <v>0</v>
      </c>
      <c r="BB11" s="31">
        <f>IF($C11=0,0,IF(_xlfn.XLOOKUP($B11,'PW_MLG GRADE 10'!$B$7:$B$31,'PW_MLG GRADE 10'!#REF!,"",0,1)="P",1*$C11,0))</f>
        <v>0</v>
      </c>
      <c r="BC11" s="31">
        <f>IF($C11=0,0,IF(_xlfn.XLOOKUP($B11,'PW_MLG GRADE 10'!$B$7:$B$31,'PW_MLG GRADE 10'!#REF!,"",0,1)="P",1*$C11,0))</f>
        <v>0</v>
      </c>
      <c r="BD11" s="31">
        <f>IF($C11=0,0,IF(_xlfn.XLOOKUP($B11,'PW_MLG GRADE 10'!$B$7:$B$31,'PW_MLG GRADE 10'!#REF!,"",0,1)="P",1*$C11,0))</f>
        <v>0</v>
      </c>
      <c r="BE11" s="31">
        <f>IF($C11=0,0,IF(_xlfn.XLOOKUP($B11,'PW_MLG GRADE 10'!$B$7:$B$31,'PW_MLG GRADE 10'!#REF!,"",0,1)="P",1*$C11,0))</f>
        <v>0</v>
      </c>
      <c r="BF11" s="31">
        <f>IF($C11=0,0,IF(_xlfn.XLOOKUP($B11,'PW_MLG GRADE 10'!$B$7:$B$31,'PW_MLG GRADE 10'!#REF!,"",0,1)="P",1*$C11,0))</f>
        <v>0</v>
      </c>
      <c r="BG11" s="31">
        <f>IF($C11=0,0,IF(_xlfn.XLOOKUP($B11,'PW_MLG GRADE 10'!$B$7:$B$31,'PW_MLG GRADE 10'!#REF!,"",0,1)="P",1*$C11,0))</f>
        <v>0</v>
      </c>
      <c r="BH11" s="31">
        <f>IF($C11=0,0,IF(_xlfn.XLOOKUP($B11,'PW_MLG GRADE 10'!$B$7:$B$31,'PW_MLG GRADE 10'!#REF!,"",0,1)="P",1*$C11,0))</f>
        <v>0</v>
      </c>
      <c r="BI11" s="31">
        <f>IF($C11=0,0,IF(_xlfn.XLOOKUP($B11,'PW_MLG GRADE 10'!$B$7:$B$31,'PW_MLG GRADE 10'!#REF!,"",0,1)="P",1*$C11,0))</f>
        <v>0</v>
      </c>
      <c r="BJ11" s="31">
        <f>IF($C11=0,0,IF(_xlfn.XLOOKUP($B11,'PW_MLG GRADE 10'!$B$7:$B$31,'PW_MLG GRADE 10'!#REF!,"",0,1)="P",1*$C11,0))</f>
        <v>0</v>
      </c>
      <c r="BK11" s="31">
        <f>IF($C11=0,0,IF(_xlfn.XLOOKUP($B11,'PW_MLG GRADE 10'!$B$7:$B$31,'PW_MLG GRADE 10'!#REF!,"",0,1)="P",1*$C11,0))</f>
        <v>0</v>
      </c>
      <c r="BL11" s="31">
        <f>IF($C11=0,0,IF(_xlfn.XLOOKUP($B11,'PW_MLG GRADE 10'!$B$7:$B$31,'PW_MLG GRADE 10'!#REF!,"",0,1)="P",1*$C11,0))</f>
        <v>0</v>
      </c>
      <c r="BM11" s="31">
        <f>IF($C11=0,0,IF(_xlfn.XLOOKUP($B11,'PW_MLG GRADE 10'!$B$7:$B$31,'PW_MLG GRADE 10'!#REF!,"",0,1)="P",1*$C11,0))</f>
        <v>0</v>
      </c>
      <c r="BN11" s="31">
        <f>IF($C11=0,0,IF(_xlfn.XLOOKUP($B11,'PW_MLG GRADE 10'!$B$7:$B$31,'PW_MLG GRADE 10'!#REF!,"",0,1)="P",1*$C11,0))</f>
        <v>0</v>
      </c>
      <c r="BO11" s="31">
        <f>IF($C11=0,0,IF(_xlfn.XLOOKUP($B11,'PW_MLG GRADE 10'!$B$7:$B$31,'PW_MLG GRADE 10'!#REF!,"",0,1)="P",1*$C11,0))</f>
        <v>0</v>
      </c>
      <c r="BP11" s="31">
        <f>IF($C11=0,0,IF(_xlfn.XLOOKUP($B11,'PW_MLG GRADE 10'!$B$7:$B$31,'PW_MLG GRADE 10'!#REF!,"",0,1)="P",1*$C11,0))</f>
        <v>0</v>
      </c>
      <c r="BQ11" s="31">
        <f>IF($C11=0,0,IF(_xlfn.XLOOKUP($B11,'PW_MLG GRADE 10'!$B$7:$B$31,'PW_MLG GRADE 10'!#REF!,"",0,1)="P",1*$C11,0))</f>
        <v>0</v>
      </c>
      <c r="BR11" s="31">
        <f>IF($C11=0,0,IF(_xlfn.XLOOKUP($B11,'PW_MLG GRADE 10'!$B$7:$B$31,'PW_MLG GRADE 10'!#REF!,"",0,1)="P",1*$C11,0))</f>
        <v>0</v>
      </c>
      <c r="BS11" s="31">
        <f>IF($C11=0,0,IF(_xlfn.XLOOKUP($B11,'PW_MLG GRADE 10'!$B$7:$B$31,'PW_MLG GRADE 10'!#REF!,"",0,1)="P",1*$C11,0))</f>
        <v>0</v>
      </c>
      <c r="BT11" s="31">
        <f>IF($C11=0,0,IF(_xlfn.XLOOKUP($B11,'PW_MLG GRADE 10'!$B$7:$B$31,'PW_MLG GRADE 10'!#REF!,"",0,1)="P",1*$C11,0))</f>
        <v>0</v>
      </c>
      <c r="BU11" s="31">
        <f>IF($C11=0,0,IF(_xlfn.XLOOKUP($B11,'PW_MLG GRADE 10'!$B$7:$B$31,'PW_MLG GRADE 10'!#REF!,"",0,1)="P",1*$C11,0))</f>
        <v>0</v>
      </c>
      <c r="BV11" s="31">
        <f>IF($C11=0,0,IF(_xlfn.XLOOKUP($B11,'PW_MLG GRADE 10'!$B$7:$B$31,'PW_MLG GRADE 10'!#REF!,"",0,1)="P",1*$C11,0))</f>
        <v>0</v>
      </c>
      <c r="BW11" s="31">
        <f>IF($C11=0,0,IF(_xlfn.XLOOKUP($B11,'PW_MLG GRADE 10'!$B$7:$B$31,'PW_MLG GRADE 10'!#REF!,"",0,1)="P",1*$C11,0))</f>
        <v>0</v>
      </c>
      <c r="BX11" s="31">
        <f>IF($C11=0,0,IF(_xlfn.XLOOKUP($B11,'PW_MLG GRADE 10'!$B$7:$B$31,'PW_MLG GRADE 10'!#REF!,"",0,1)="P",1*$C11,0))</f>
        <v>0</v>
      </c>
      <c r="BY11" s="31">
        <f>IF($C11=0,0,IF(_xlfn.XLOOKUP($B11,'PW_MLG GRADE 10'!$B$7:$B$31,'PW_MLG GRADE 10'!#REF!,"",0,1)="P",1*$C11,0))</f>
        <v>0</v>
      </c>
      <c r="BZ11" s="31">
        <f>IF($C11=0,0,IF(_xlfn.XLOOKUP($B11,'PW_MLG GRADE 10'!$B$7:$B$31,'PW_MLG GRADE 10'!#REF!,"",0,1)="P",1*$C11,0))</f>
        <v>0</v>
      </c>
      <c r="CA11" s="31">
        <f>IF($C11=0,0,IF(_xlfn.XLOOKUP($B11,'PW_MLG GRADE 10'!$B$7:$B$31,'PW_MLG GRADE 10'!#REF!,"",0,1)="P",1*$C11,0))</f>
        <v>0</v>
      </c>
      <c r="CB11" s="31">
        <f>IF($C11=0,0,IF(_xlfn.XLOOKUP($B11,'PW_MLG GRADE 10'!$B$7:$B$31,'PW_MLG GRADE 10'!#REF!,"",0,1)="P",1*$C11,0))</f>
        <v>0</v>
      </c>
      <c r="CC11" s="31">
        <f>IF($C11=0,0,IF(_xlfn.XLOOKUP($B11,'PW_MLG GRADE 10'!$B$7:$B$31,'PW_MLG GRADE 10'!#REF!,"",0,1)="P",1*$C11,0))</f>
        <v>0</v>
      </c>
      <c r="CD11" s="31">
        <f>IF($C11=0,0,IF(_xlfn.XLOOKUP($B11,'PW_MLG GRADE 10'!$B$7:$B$31,'PW_MLG GRADE 10'!#REF!,"",0,1)="P",1*$C11,0))</f>
        <v>0</v>
      </c>
      <c r="CE11" s="32">
        <f>IF($C11=0,0,IF(_xlfn.XLOOKUP($B11,'PW_CMI GRADE 10'!$B$7:$B$31,'PW_CMI GRADE 10'!C$7:C$31,"",0,1)="P",1*$C11,0))</f>
        <v>0</v>
      </c>
      <c r="CF11" s="32">
        <f>IF($C11=0,0,IF(_xlfn.XLOOKUP($B11,'PW_CMI GRADE 10'!$B$7:$B$31,'PW_CMI GRADE 10'!D$7:D$31,"",0,1)="P",1*$C11,0))</f>
        <v>0</v>
      </c>
      <c r="CG11" s="32">
        <f>IF($C11=0,0,IF(_xlfn.XLOOKUP($B11,'PW_CMI GRADE 10'!$B$7:$B$31,'PW_CMI GRADE 10'!E$7:E$31,"",0,1)="P",1*$C11,0))</f>
        <v>0</v>
      </c>
      <c r="CH11" s="32">
        <f>IF($C11=0,0,IF(_xlfn.XLOOKUP($B11,'PW_CMI GRADE 10'!$B$7:$B$31,'PW_CMI GRADE 10'!F$7:F$31,"",0,1)="P",1*$C11,0))</f>
        <v>0</v>
      </c>
      <c r="CI11" s="32">
        <f>IF($C11=0,0,IF(_xlfn.XLOOKUP($B11,'PW_CMI GRADE 10'!$B$7:$B$31,'PW_CMI GRADE 10'!G$7:G$31,"",0,1)="P",1*$C11,0))</f>
        <v>0</v>
      </c>
      <c r="CJ11" s="32">
        <f>IF($C11=0,0,IF(_xlfn.XLOOKUP($B11,'PW_CMI GRADE 10'!$B$7:$B$31,'PW_CMI GRADE 10'!H$7:H$31,"",0,1)="P",1*$C11,0))</f>
        <v>0</v>
      </c>
      <c r="CK11" s="32">
        <f>IF($C11=0,0,IF(_xlfn.XLOOKUP($B11,'PW_CMI GRADE 10'!$B$7:$B$31,'PW_CMI GRADE 10'!I$7:I$31,"",0,1)="P",1*$C11,0))</f>
        <v>0</v>
      </c>
      <c r="CL11" s="32">
        <f>IF($C11=0,0,IF(_xlfn.XLOOKUP($B11,'PW_CMI GRADE 10'!$B$7:$B$31,'PW_CMI GRADE 10'!J$7:J$31,"",0,1)="P",1*$C11,0))</f>
        <v>0</v>
      </c>
      <c r="CM11" s="32">
        <f>IF($C11=0,0,IF(_xlfn.XLOOKUP($B11,'PW_CMI GRADE 10'!$B$7:$B$31,'PW_CMI GRADE 10'!K$7:K$31,"",0,1)="P",1*$C11,0))</f>
        <v>0</v>
      </c>
      <c r="CN11" s="32">
        <f>IF($C11=0,0,IF(_xlfn.XLOOKUP($B11,'PW_CMI GRADE 10'!$B$7:$B$31,'PW_CMI GRADE 10'!L$7:L$31,"",0,1)="P",1*$C11,0))</f>
        <v>0</v>
      </c>
      <c r="CO11" s="32">
        <f>IF($C11=0,0,IF(_xlfn.XLOOKUP($B11,'PW_CMI GRADE 10'!$B$7:$B$31,'PW_CMI GRADE 10'!M$7:M$31,"",0,1)="P",1*$C11,0))</f>
        <v>0</v>
      </c>
      <c r="CP11" s="32">
        <f>IF($C11=0,0,IF(_xlfn.XLOOKUP($B11,'PW_CMI GRADE 10'!$B$7:$B$31,'PW_CMI GRADE 10'!N$7:N$31,"",0,1)="P",1*$C11,0))</f>
        <v>0</v>
      </c>
      <c r="CQ11" s="32">
        <f>IF($C11=0,0,IF(_xlfn.XLOOKUP($B11,'PW_CMI GRADE 10'!$B$7:$B$31,'PW_CMI GRADE 10'!O$7:O$31,"",0,1)="P",1*$C11,0))</f>
        <v>0</v>
      </c>
      <c r="CR11" s="32">
        <f>IF($C11=0,0,IF(_xlfn.XLOOKUP($B11,'PW_CMI GRADE 10'!$B$7:$B$31,'PW_CMI GRADE 10'!P$7:P$31,"",0,1)="P",1*$C11,0))</f>
        <v>0</v>
      </c>
      <c r="CS11" s="32">
        <f>IF($C11=0,0,IF(_xlfn.XLOOKUP($B11,'PW_CMI GRADE 10'!$B$7:$B$31,'PW_CMI GRADE 10'!Q$7:Q$31,"",0,1)="P",1*$C11,0))</f>
        <v>0</v>
      </c>
      <c r="CT11" s="32">
        <f>IF($C11=0,0,IF(_xlfn.XLOOKUP($B11,'PW_CMI GRADE 10'!$B$7:$B$31,'PW_CMI GRADE 10'!R$7:R$31,"",0,1)="P",1*$C11,0))</f>
        <v>0</v>
      </c>
      <c r="CU11" s="32">
        <f>IF($C11=0,0,IF(_xlfn.XLOOKUP($B11,'PW_CMI GRADE 10'!$B$7:$B$31,'PW_CMI GRADE 10'!S$7:S$31,"",0,1)="P",1*$C11,0))</f>
        <v>0</v>
      </c>
      <c r="CV11" s="32">
        <f>IF($C11=0,0,IF(_xlfn.XLOOKUP($B11,'PW_CMI GRADE 10'!$B$7:$B$31,'PW_CMI GRADE 10'!T$7:T$31,"",0,1)="P",1*$C11,0))</f>
        <v>0</v>
      </c>
      <c r="CW11" s="62">
        <f t="shared" si="19"/>
        <v>0</v>
      </c>
      <c r="CX11" s="62">
        <f t="shared" si="20"/>
        <v>0</v>
      </c>
      <c r="CY11" s="62">
        <f t="shared" si="21"/>
        <v>0</v>
      </c>
      <c r="CZ11" s="62">
        <f t="shared" si="22"/>
        <v>0</v>
      </c>
      <c r="DA11" s="62">
        <f t="shared" si="23"/>
        <v>0</v>
      </c>
      <c r="DB11" s="62">
        <f t="shared" si="24"/>
        <v>0</v>
      </c>
      <c r="DC11" s="62">
        <f t="shared" si="25"/>
        <v>0</v>
      </c>
      <c r="DD11" s="62">
        <f t="shared" si="26"/>
        <v>0</v>
      </c>
      <c r="DE11" s="62">
        <f t="shared" si="27"/>
        <v>0</v>
      </c>
      <c r="DF11" s="62">
        <f t="shared" si="28"/>
        <v>0</v>
      </c>
      <c r="DG11" s="62">
        <f t="shared" si="29"/>
        <v>0</v>
      </c>
      <c r="DH11" s="62">
        <f t="shared" si="30"/>
        <v>0</v>
      </c>
      <c r="DI11" s="62">
        <f t="shared" si="31"/>
        <v>0</v>
      </c>
      <c r="DJ11" s="62">
        <f t="shared" si="32"/>
        <v>0.33333333333333331</v>
      </c>
      <c r="DK11" s="62">
        <f t="shared" si="33"/>
        <v>0.66666666666666663</v>
      </c>
      <c r="DL11" s="62">
        <f t="shared" si="34"/>
        <v>1</v>
      </c>
      <c r="DM11" s="62">
        <f t="shared" si="35"/>
        <v>1</v>
      </c>
      <c r="DN11" s="62">
        <f t="shared" si="36"/>
        <v>1</v>
      </c>
      <c r="DO11" s="62">
        <f t="shared" si="37"/>
        <v>0.66666666666666663</v>
      </c>
      <c r="DP11" s="62">
        <f t="shared" si="38"/>
        <v>0.33333333333333331</v>
      </c>
      <c r="DQ11" s="62">
        <f t="shared" si="39"/>
        <v>0</v>
      </c>
      <c r="DR11" s="62">
        <f t="shared" si="40"/>
        <v>0</v>
      </c>
      <c r="DS11" s="62" t="e">
        <f t="shared" si="41"/>
        <v>#REF!</v>
      </c>
      <c r="DT11" s="62" t="e">
        <f t="shared" si="42"/>
        <v>#REF!</v>
      </c>
      <c r="DU11" s="62" t="e">
        <f t="shared" si="43"/>
        <v>#REF!</v>
      </c>
      <c r="DV11" s="62" t="e">
        <f t="shared" si="44"/>
        <v>#REF!</v>
      </c>
      <c r="DW11" s="62" t="e">
        <f t="shared" si="45"/>
        <v>#REF!</v>
      </c>
      <c r="DX11" s="62" t="e">
        <f t="shared" si="46"/>
        <v>#REF!</v>
      </c>
      <c r="DY11" s="62" t="e">
        <f t="shared" si="47"/>
        <v>#REF!</v>
      </c>
      <c r="DZ11" s="62" t="e">
        <f t="shared" si="48"/>
        <v>#REF!</v>
      </c>
      <c r="EA11" s="63">
        <f t="shared" si="1"/>
        <v>0</v>
      </c>
      <c r="EB11" s="63">
        <f t="shared" si="2"/>
        <v>0</v>
      </c>
      <c r="EC11" s="63">
        <f t="shared" si="3"/>
        <v>0</v>
      </c>
      <c r="ED11" s="63">
        <f t="shared" si="4"/>
        <v>0</v>
      </c>
      <c r="EE11" s="63">
        <f t="shared" si="5"/>
        <v>0</v>
      </c>
      <c r="EF11" s="63">
        <f t="shared" si="6"/>
        <v>0</v>
      </c>
      <c r="EG11" s="63">
        <f t="shared" si="7"/>
        <v>0</v>
      </c>
      <c r="EH11" s="63">
        <f t="shared" si="8"/>
        <v>0</v>
      </c>
      <c r="EI11" s="63">
        <f t="shared" si="9"/>
        <v>0</v>
      </c>
      <c r="EJ11" s="63">
        <f t="shared" si="10"/>
        <v>0</v>
      </c>
      <c r="EK11" s="63">
        <f t="shared" si="11"/>
        <v>0.33333333333333331</v>
      </c>
      <c r="EL11" s="63">
        <f t="shared" si="12"/>
        <v>0.66666666666666663</v>
      </c>
      <c r="EM11" s="63">
        <f t="shared" si="13"/>
        <v>1</v>
      </c>
      <c r="EN11" s="63">
        <f t="shared" si="14"/>
        <v>1</v>
      </c>
      <c r="EO11" s="63">
        <f t="shared" si="15"/>
        <v>1</v>
      </c>
      <c r="EP11" s="63">
        <f t="shared" si="16"/>
        <v>1</v>
      </c>
      <c r="ET11" t="str">
        <v>3A.2</v>
      </c>
      <c r="EU11" s="38">
        <f t="shared" si="49"/>
        <v>0</v>
      </c>
      <c r="EV11" s="38">
        <f t="shared" si="50"/>
        <v>0</v>
      </c>
      <c r="EW11" s="38">
        <f t="shared" si="51"/>
        <v>0</v>
      </c>
      <c r="EX11" s="38">
        <f t="shared" si="52"/>
        <v>0</v>
      </c>
      <c r="EY11" s="38">
        <f t="shared" si="53"/>
        <v>1</v>
      </c>
      <c r="EZ11" s="38">
        <f t="shared" si="54"/>
        <v>0</v>
      </c>
      <c r="FA11" s="38">
        <f t="shared" si="55"/>
        <v>0</v>
      </c>
      <c r="FB11" s="38">
        <f t="shared" si="56"/>
        <v>0</v>
      </c>
      <c r="FC11" s="38" t="e">
        <f t="shared" si="57"/>
        <v>#REF!</v>
      </c>
      <c r="FD11" s="38" t="e">
        <f t="shared" si="58"/>
        <v>#REF!</v>
      </c>
      <c r="FE11" s="38">
        <f t="shared" si="59"/>
        <v>0</v>
      </c>
      <c r="FF11" s="38">
        <f t="shared" si="60"/>
        <v>0</v>
      </c>
      <c r="FG11" s="38">
        <f t="shared" si="61"/>
        <v>1</v>
      </c>
      <c r="FH11" s="38">
        <f t="shared" si="62"/>
        <v>1</v>
      </c>
      <c r="FI11" s="38">
        <f t="shared" si="63"/>
        <v>0</v>
      </c>
      <c r="FJ11" s="38">
        <f t="shared" si="64"/>
        <v>0</v>
      </c>
      <c r="FK11" s="38">
        <f t="shared" si="65"/>
        <v>0</v>
      </c>
      <c r="FL11" s="38">
        <f t="shared" si="17"/>
        <v>1</v>
      </c>
      <c r="FM11" s="38">
        <v>1</v>
      </c>
      <c r="FN11" s="38">
        <f t="shared" si="66"/>
        <v>0.66666666666666663</v>
      </c>
      <c r="FO11" s="38">
        <f t="shared" si="67"/>
        <v>0.33333333333333331</v>
      </c>
      <c r="FU11" s="51">
        <v>46054</v>
      </c>
      <c r="FV11" t="s">
        <v>22</v>
      </c>
      <c r="FW11" t="s">
        <v>22</v>
      </c>
      <c r="FX11" t="s">
        <v>22</v>
      </c>
      <c r="FY11" t="s">
        <v>22</v>
      </c>
      <c r="FZ11" t="s">
        <v>22</v>
      </c>
      <c r="GA11" t="s">
        <v>22</v>
      </c>
      <c r="GB11" t="s">
        <v>22</v>
      </c>
      <c r="GC11" t="s">
        <v>22</v>
      </c>
      <c r="GD11" t="s">
        <v>22</v>
      </c>
      <c r="GE11" t="s">
        <v>22</v>
      </c>
      <c r="GF11" t="s">
        <v>22</v>
      </c>
      <c r="GG11" t="s">
        <v>22</v>
      </c>
      <c r="GH11" t="s">
        <v>22</v>
      </c>
      <c r="GI11" t="s">
        <v>22</v>
      </c>
      <c r="GJ11" t="s">
        <v>22</v>
      </c>
      <c r="GK11" t="s">
        <v>22</v>
      </c>
      <c r="GL11" t="s">
        <v>22</v>
      </c>
      <c r="GM11" t="s">
        <v>22</v>
      </c>
      <c r="GN11" t="s">
        <v>22</v>
      </c>
      <c r="GO11" t="s">
        <v>22</v>
      </c>
      <c r="GP11" t="s">
        <v>22</v>
      </c>
      <c r="GQ11" t="s">
        <v>22</v>
      </c>
      <c r="GR11" t="s">
        <v>22</v>
      </c>
      <c r="GS11" t="s">
        <v>22</v>
      </c>
      <c r="GT11" t="s">
        <v>22</v>
      </c>
      <c r="GU11" t="s">
        <v>22</v>
      </c>
      <c r="GV11" t="s">
        <v>22</v>
      </c>
      <c r="GW11" t="s">
        <v>22</v>
      </c>
      <c r="GX11" t="s">
        <v>22</v>
      </c>
      <c r="GY11" t="s">
        <v>22</v>
      </c>
      <c r="GZ11" t="s">
        <v>22</v>
      </c>
      <c r="HA11" t="s">
        <v>22</v>
      </c>
      <c r="HB11" t="s">
        <v>22</v>
      </c>
      <c r="HC11" t="s">
        <v>22</v>
      </c>
      <c r="HD11" t="s">
        <v>22</v>
      </c>
      <c r="HE11" t="s">
        <v>22</v>
      </c>
      <c r="HF11" t="s">
        <v>22</v>
      </c>
      <c r="HG11" t="s">
        <v>22</v>
      </c>
      <c r="HH11" t="s">
        <v>22</v>
      </c>
      <c r="HI11" t="s">
        <v>22</v>
      </c>
      <c r="HJ11" t="s">
        <v>22</v>
      </c>
      <c r="HK11" t="s">
        <v>22</v>
      </c>
      <c r="HL11" t="s">
        <v>22</v>
      </c>
      <c r="HM11" t="s">
        <v>22</v>
      </c>
      <c r="HN11" t="s">
        <v>22</v>
      </c>
      <c r="HO11" cm="1">
        <f t="array" ref="HO11">SUMPRODUCT(--(FV11:HN11&lt;&gt;""))</f>
        <v>0</v>
      </c>
    </row>
    <row r="12" spans="1:242">
      <c r="A12" t="str">
        <f t="shared" si="18"/>
        <v>2.3</v>
      </c>
      <c r="B12" t="s">
        <v>43</v>
      </c>
      <c r="C12" s="27">
        <v>0</v>
      </c>
      <c r="D12" s="27">
        <v>1</v>
      </c>
      <c r="E12" s="31">
        <f>IF($D12=0,0,IF(_xlfn.XLOOKUP($B12,'TH_MLG GRADE 10'!$B$7:$B$49,'TH_MLG GRADE 10'!C$7:C$49,"",0,1)="P",1*$D12,0))</f>
        <v>0</v>
      </c>
      <c r="F12" s="31">
        <f>IF($D12=0,0,IF(_xlfn.XLOOKUP($B12,'TH_MLG GRADE 10'!$B$7:$B$49,'TH_MLG GRADE 10'!D$7:D$49,"",0,1)="P",1*$D12,0))</f>
        <v>0</v>
      </c>
      <c r="G12" s="31">
        <f>IF($D12=0,0,IF(_xlfn.XLOOKUP($B12,'TH_MLG GRADE 10'!$B$7:$B$49,'TH_MLG GRADE 10'!E$7:E$49,"",0,1)="P",1*$D12,0))</f>
        <v>0</v>
      </c>
      <c r="H12" s="31">
        <f>IF($D12=0,0,IF(_xlfn.XLOOKUP($B12,'TH_MLG GRADE 10'!$B$7:$B$49,'TH_MLG GRADE 10'!I$7:I$49,"",0,1)="P",1*$D12,0))</f>
        <v>0</v>
      </c>
      <c r="I12" s="31">
        <f>IF($D12=0,0,IF(_xlfn.XLOOKUP($B12,'TH_MLG GRADE 10'!$B$7:$B$49,'TH_MLG GRADE 10'!J$7:J$49,"",0,1)="P",1*$D12,0))</f>
        <v>0</v>
      </c>
      <c r="J12" s="31">
        <f>IF($D12=0,0,IF(_xlfn.XLOOKUP($B12,'TH_MLG GRADE 10'!$B$7:$B$49,'TH_MLG GRADE 10'!K$7:K$49,"",0,1)="P",1*$D12,0))</f>
        <v>0</v>
      </c>
      <c r="K12" s="31">
        <f>IF($D12=0,0,IF(_xlfn.XLOOKUP($B12,'TH_MLG GRADE 10'!$B$7:$B$49,'TH_MLG GRADE 10'!O$7:O$49,"",0,1)="P",1*$D12,0))</f>
        <v>0</v>
      </c>
      <c r="L12" s="31">
        <f>IF($D12=0,0,IF(_xlfn.XLOOKUP($B12,'TH_MLG GRADE 10'!$B$7:$B$49,'TH_MLG GRADE 10'!P$7:P$49,"",0,1)="P",1*$D12,0))</f>
        <v>0</v>
      </c>
      <c r="M12" s="31">
        <f>IF($D12=0,0,IF(_xlfn.XLOOKUP($B12,'TH_MLG GRADE 10'!$B$7:$B$49,'TH_MLG GRADE 10'!Q$7:Q$49,"",0,1)="P",1*$D12,0))</f>
        <v>0</v>
      </c>
      <c r="N12" s="31">
        <f>IF($D12=0,0,IF(_xlfn.XLOOKUP($B12,'TH_MLG GRADE 10'!$B$7:$B$49,'TH_MLG GRADE 10'!AA$7:AA$49,"",0,1)="P",1*$D12,0))</f>
        <v>0</v>
      </c>
      <c r="O12" s="31">
        <f>IF($D12=0,0,IF(_xlfn.XLOOKUP($B12,'TH_MLG GRADE 10'!$B$7:$B$49,'TH_MLG GRADE 10'!AB$7:AB$49,"",0,1)="P",1*$D12,0))</f>
        <v>0</v>
      </c>
      <c r="P12" s="31">
        <f>IF($D12=0,0,IF(_xlfn.XLOOKUP($B12,'TH_MLG GRADE 10'!$B$7:$B$49,'TH_MLG GRADE 10'!AC$7:AC$49,"",0,1)="P",1*$D12,0))</f>
        <v>0</v>
      </c>
      <c r="Q12" s="31">
        <f>IF($D12=0,0,IF(_xlfn.XLOOKUP($B12,'TH_MLG GRADE 10'!$B$7:$B$49,'TH_MLG GRADE 10'!AG$7:AG$49,"",0,1)="P",1*$D12,0))</f>
        <v>0</v>
      </c>
      <c r="R12" s="31">
        <f>IF($D12=0,0,IF(_xlfn.XLOOKUP($B12,'TH_MLG GRADE 10'!$B$7:$B$49,'TH_MLG GRADE 10'!AH$7:AH$49,"",0,1)="P",1*$D12,0))</f>
        <v>0</v>
      </c>
      <c r="S12" s="31">
        <f>IF($D12=0,0,IF(_xlfn.XLOOKUP($B12,'TH_MLG GRADE 10'!$B$7:$B$49,'TH_MLG GRADE 10'!AI$7:AI$49,"",0,1)="P",1*$D12,0))</f>
        <v>0</v>
      </c>
      <c r="T12" s="31">
        <f>IF($D12=0,0,IF(_xlfn.XLOOKUP($B12,'TH_MLG GRADE 10'!$B$7:$B$49,'TH_MLG GRADE 10'!AM$7:AM$49,"",0,1)="P",1*$D12,0))</f>
        <v>1</v>
      </c>
      <c r="U12" s="31">
        <f>IF($D12=0,0,IF(_xlfn.XLOOKUP($B12,'TH_MLG GRADE 10'!$B$7:$B$49,'TH_MLG GRADE 10'!AN$7:AN$49,"",0,1)="P",1*$D12,0))</f>
        <v>1</v>
      </c>
      <c r="V12" s="31">
        <f>IF($D12=0,0,IF(_xlfn.XLOOKUP($B12,'TH_MLG GRADE 10'!$B$7:$B$49,'TH_MLG GRADE 10'!AO$7:AO$49,"",0,1)="P",1*$D12,0))</f>
        <v>1</v>
      </c>
      <c r="W12" s="31">
        <f>IF($D12=0,0,IF(_xlfn.XLOOKUP($B12,'TH_MLG GRADE 10'!$B$7:$B$49,'TH_MLG GRADE 10'!AY$7:AY$49,"",0,1)="P",1*$D12,0))</f>
        <v>1</v>
      </c>
      <c r="X12" s="31">
        <f>IF($D12=0,0,IF(_xlfn.XLOOKUP($B12,'TH_MLG GRADE 10'!$B$7:$B$49,'TH_MLG GRADE 10'!AZ$7:AZ$49,"",0,1)="P",1*$D12,0))</f>
        <v>1</v>
      </c>
      <c r="Y12" s="31">
        <f>IF($D12=0,0,IF(_xlfn.XLOOKUP($B12,'TH_MLG GRADE 10'!$B$7:$B$49,'TH_MLG GRADE 10'!BA$7:BA$49,"",0,1)="P",1*$D12,0))</f>
        <v>0</v>
      </c>
      <c r="Z12" s="31">
        <f>IF($D12=0,0,IF(_xlfn.XLOOKUP($B12,'TH_MLG GRADE 10'!$B$7:$B$49,'TH_MLG GRADE 10'!BE$7:BE$49,"",0,1)="P",1*$D12,0))</f>
        <v>0</v>
      </c>
      <c r="AA12" s="31">
        <f>IF($D12=0,0,IF(_xlfn.XLOOKUP($B12,'TH_MLG GRADE 10'!$B$7:$B$49,'TH_MLG GRADE 10'!BF$7:BF$49,"",0,1)="P",1*$D12,0))</f>
        <v>0</v>
      </c>
      <c r="AB12" s="31">
        <f>IF($D12=0,0,IF(_xlfn.XLOOKUP($B12,'TH_MLG GRADE 10'!$B$7:$B$49,'TH_MLG GRADE 10'!BG$7:BG$49,"",0,1)="P",1*$D12,0))</f>
        <v>0</v>
      </c>
      <c r="AC12" s="31" t="e">
        <f>IF($D12=0,0,IF(_xlfn.XLOOKUP($B12,'TH_MLG GRADE 10'!$B$7:$B$49,'TH_MLG GRADE 10'!#REF!,"",0,1)="P",1*$D12,0))</f>
        <v>#REF!</v>
      </c>
      <c r="AD12" s="31" t="e">
        <f>IF($D12=0,0,IF(_xlfn.XLOOKUP($B12,'TH_MLG GRADE 10'!$B$7:$B$49,'TH_MLG GRADE 10'!#REF!,"",0,1)="P",1*$D12,0))</f>
        <v>#REF!</v>
      </c>
      <c r="AE12" s="31" t="e">
        <f>IF($D12=0,0,IF(_xlfn.XLOOKUP($B12,'TH_MLG GRADE 10'!$B$7:$B$49,'TH_MLG GRADE 10'!#REF!,"",0,1)="P",1*$D12,0))</f>
        <v>#REF!</v>
      </c>
      <c r="AF12" s="31" t="e">
        <f>IF($D12=0,0,IF(_xlfn.XLOOKUP($B12,'TH_MLG GRADE 10'!$B$7:$B$49,'TH_MLG GRADE 10'!#REF!,"",0,1)="P",1*$D12,0))</f>
        <v>#REF!</v>
      </c>
      <c r="AG12" s="31" t="e">
        <f>IF($D12=0,0,IF(_xlfn.XLOOKUP($B12,'TH_MLG GRADE 10'!$B$7:$B$49,'TH_MLG GRADE 10'!#REF!,"",0,1)="P",1*$D12,0))</f>
        <v>#REF!</v>
      </c>
      <c r="AH12" s="31" t="e">
        <f>IF($D12=0,0,IF(_xlfn.XLOOKUP($B12,'TH_MLG GRADE 10'!$B$7:$B$49,'TH_MLG GRADE 10'!#REF!,"",0,1)="P",1*$D12,0))</f>
        <v>#REF!</v>
      </c>
      <c r="AI12" s="32">
        <f>IF($D12=0,0,IF(_xlfn.XLOOKUP($B12,'TH_CMI GRADE 10'!$B$7:$B$49,'TH_CMI GRADE 10'!C$7:C$49,"",0,1)="P",1*$D12,0))</f>
        <v>0</v>
      </c>
      <c r="AJ12" s="32">
        <f>IF($D12=0,0,IF(_xlfn.XLOOKUP($B12,'TH_CMI GRADE 10'!$B$7:$B$49,'TH_CMI GRADE 10'!D$7:D$49,"",0,1)="P",1*$D12,0))</f>
        <v>0</v>
      </c>
      <c r="AK12" s="32">
        <f>IF($D12=0,0,IF(_xlfn.XLOOKUP($B12,'TH_CMI GRADE 10'!$B$7:$B$49,'TH_CMI GRADE 10'!H$7:H$49,"",0,1)="P",1*$D12,0))</f>
        <v>0</v>
      </c>
      <c r="AL12" s="32">
        <f>IF($D12=0,0,IF(_xlfn.XLOOKUP($B12,'TH_CMI GRADE 10'!$B$7:$B$49,'TH_CMI GRADE 10'!I$7:I$49,"",0,1)="P",1*$D12,0))</f>
        <v>0</v>
      </c>
      <c r="AM12" s="32">
        <f>IF($D12=0,0,IF(_xlfn.XLOOKUP($B12,'TH_CMI GRADE 10'!$B$7:$B$49,'TH_CMI GRADE 10'!J$7:J$49,"",0,1)="P",1*$D12,0))</f>
        <v>0</v>
      </c>
      <c r="AN12" s="32">
        <f>IF($D12=0,0,IF(_xlfn.XLOOKUP($B12,'TH_CMI GRADE 10'!$B$7:$B$49,'TH_CMI GRADE 10'!K$7:K$49,"",0,1)="P",1*$D12,0))</f>
        <v>0</v>
      </c>
      <c r="AO12" s="32">
        <f>IF($D12=0,0,IF(_xlfn.XLOOKUP($B12,'TH_CMI GRADE 10'!$B$7:$B$49,'TH_CMI GRADE 10'!O$7:O$49,"",0,1)="P",1*$D12,0))</f>
        <v>0</v>
      </c>
      <c r="AP12" s="32">
        <f>IF($D12=0,0,IF(_xlfn.XLOOKUP($B12,'TH_CMI GRADE 10'!$B$7:$B$49,'TH_CMI GRADE 10'!P$7:P$49,"",0,1)="P",1*$D12,0))</f>
        <v>0</v>
      </c>
      <c r="AQ12" s="32">
        <f>IF($D12=0,0,IF(_xlfn.XLOOKUP($B12,'TH_CMI GRADE 10'!$B$7:$B$49,'TH_CMI GRADE 10'!Q$7:Q$49,"",0,1)="P",1*$D12,0))</f>
        <v>0</v>
      </c>
      <c r="AR12" s="32">
        <f>IF($D12=0,0,IF(_xlfn.XLOOKUP($B12,'TH_CMI GRADE 10'!$B$7:$B$49,'TH_CMI GRADE 10'!U$7:U$49,"",0,1)="P",1*$D12,0))</f>
        <v>0</v>
      </c>
      <c r="AS12" s="32">
        <f>IF($D12=0,0,IF(_xlfn.XLOOKUP($B12,'TH_CMI GRADE 10'!$B$7:$B$49,'TH_CMI GRADE 10'!V$7:V$49,"",0,1)="P",1*$D12,0))</f>
        <v>0</v>
      </c>
      <c r="AT12" s="32">
        <f>IF($D12=0,0,IF(_xlfn.XLOOKUP($B12,'TH_CMI GRADE 10'!$B$7:$B$49,'TH_CMI GRADE 10'!W$7:W$49,"",0,1)="P",1*$D12,0))</f>
        <v>0</v>
      </c>
      <c r="AU12" s="32">
        <f>IF($D12=0,0,IF(_xlfn.XLOOKUP($B12,'TH_CMI GRADE 10'!$B$7:$B$49,'TH_CMI GRADE 10'!AA$7:AA$49,"",0,1)="P",1*$D12,0))</f>
        <v>1</v>
      </c>
      <c r="AV12" s="32">
        <f>IF($D12=0,0,IF(_xlfn.XLOOKUP($B12,'TH_CMI GRADE 10'!$B$7:$B$49,'TH_CMI GRADE 10'!AB$7:AB$49,"",0,1)="P",1*$D12,0))</f>
        <v>1</v>
      </c>
      <c r="AW12" s="32">
        <f>IF($D12=0,0,IF(_xlfn.XLOOKUP($B12,'TH_CMI GRADE 10'!$B$7:$B$49,'TH_CMI GRADE 10'!AC$7:AC$49,"",0,1)="P",1*$D12,0))</f>
        <v>1</v>
      </c>
      <c r="AX12" s="32">
        <f>IF($D12=0,0,IF(_xlfn.XLOOKUP($B12,'TH_CMI GRADE 10'!$B$7:$B$49,'TH_CMI GRADE 10'!AG$7:AG$49,"",0,1)="P",1*$D12,0))</f>
        <v>1</v>
      </c>
      <c r="AY12" s="32">
        <f>IF($D12=0,0,IF(_xlfn.XLOOKUP($B12,'TH_CMI GRADE 10'!$B$7:$B$49,'TH_CMI GRADE 10'!AH$7:AH$49,"",0,1)="P",1*$D12,0))</f>
        <v>1</v>
      </c>
      <c r="AZ12" s="32">
        <f>IF($D12=0,0,IF(_xlfn.XLOOKUP($B12,'TH_CMI GRADE 10'!$B$7:$B$49,'TH_CMI GRADE 10'!AI$7:AI$49,"",0,1)="P",1*$D12,0))</f>
        <v>1</v>
      </c>
      <c r="BA12" s="31">
        <f>IF($C12=0,0,IF(_xlfn.XLOOKUP($B12,'PW_MLG GRADE 10'!$B$7:$B$31,'PW_MLG GRADE 10'!#REF!,"",0,1)="P",1*$C12,0))</f>
        <v>0</v>
      </c>
      <c r="BB12" s="31">
        <f>IF($C12=0,0,IF(_xlfn.XLOOKUP($B12,'PW_MLG GRADE 10'!$B$7:$B$31,'PW_MLG GRADE 10'!#REF!,"",0,1)="P",1*$C12,0))</f>
        <v>0</v>
      </c>
      <c r="BC12" s="31">
        <f>IF($C12=0,0,IF(_xlfn.XLOOKUP($B12,'PW_MLG GRADE 10'!$B$7:$B$31,'PW_MLG GRADE 10'!#REF!,"",0,1)="P",1*$C12,0))</f>
        <v>0</v>
      </c>
      <c r="BD12" s="31">
        <f>IF($C12=0,0,IF(_xlfn.XLOOKUP($B12,'PW_MLG GRADE 10'!$B$7:$B$31,'PW_MLG GRADE 10'!#REF!,"",0,1)="P",1*$C12,0))</f>
        <v>0</v>
      </c>
      <c r="BE12" s="31">
        <f>IF($C12=0,0,IF(_xlfn.XLOOKUP($B12,'PW_MLG GRADE 10'!$B$7:$B$31,'PW_MLG GRADE 10'!#REF!,"",0,1)="P",1*$C12,0))</f>
        <v>0</v>
      </c>
      <c r="BF12" s="31">
        <f>IF($C12=0,0,IF(_xlfn.XLOOKUP($B12,'PW_MLG GRADE 10'!$B$7:$B$31,'PW_MLG GRADE 10'!#REF!,"",0,1)="P",1*$C12,0))</f>
        <v>0</v>
      </c>
      <c r="BG12" s="31">
        <f>IF($C12=0,0,IF(_xlfn.XLOOKUP($B12,'PW_MLG GRADE 10'!$B$7:$B$31,'PW_MLG GRADE 10'!#REF!,"",0,1)="P",1*$C12,0))</f>
        <v>0</v>
      </c>
      <c r="BH12" s="31">
        <f>IF($C12=0,0,IF(_xlfn.XLOOKUP($B12,'PW_MLG GRADE 10'!$B$7:$B$31,'PW_MLG GRADE 10'!#REF!,"",0,1)="P",1*$C12,0))</f>
        <v>0</v>
      </c>
      <c r="BI12" s="31">
        <f>IF($C12=0,0,IF(_xlfn.XLOOKUP($B12,'PW_MLG GRADE 10'!$B$7:$B$31,'PW_MLG GRADE 10'!#REF!,"",0,1)="P",1*$C12,0))</f>
        <v>0</v>
      </c>
      <c r="BJ12" s="31">
        <f>IF($C12=0,0,IF(_xlfn.XLOOKUP($B12,'PW_MLG GRADE 10'!$B$7:$B$31,'PW_MLG GRADE 10'!#REF!,"",0,1)="P",1*$C12,0))</f>
        <v>0</v>
      </c>
      <c r="BK12" s="31">
        <f>IF($C12=0,0,IF(_xlfn.XLOOKUP($B12,'PW_MLG GRADE 10'!$B$7:$B$31,'PW_MLG GRADE 10'!#REF!,"",0,1)="P",1*$C12,0))</f>
        <v>0</v>
      </c>
      <c r="BL12" s="31">
        <f>IF($C12=0,0,IF(_xlfn.XLOOKUP($B12,'PW_MLG GRADE 10'!$B$7:$B$31,'PW_MLG GRADE 10'!#REF!,"",0,1)="P",1*$C12,0))</f>
        <v>0</v>
      </c>
      <c r="BM12" s="31">
        <f>IF($C12=0,0,IF(_xlfn.XLOOKUP($B12,'PW_MLG GRADE 10'!$B$7:$B$31,'PW_MLG GRADE 10'!#REF!,"",0,1)="P",1*$C12,0))</f>
        <v>0</v>
      </c>
      <c r="BN12" s="31">
        <f>IF($C12=0,0,IF(_xlfn.XLOOKUP($B12,'PW_MLG GRADE 10'!$B$7:$B$31,'PW_MLG GRADE 10'!#REF!,"",0,1)="P",1*$C12,0))</f>
        <v>0</v>
      </c>
      <c r="BO12" s="31">
        <f>IF($C12=0,0,IF(_xlfn.XLOOKUP($B12,'PW_MLG GRADE 10'!$B$7:$B$31,'PW_MLG GRADE 10'!#REF!,"",0,1)="P",1*$C12,0))</f>
        <v>0</v>
      </c>
      <c r="BP12" s="31">
        <f>IF($C12=0,0,IF(_xlfn.XLOOKUP($B12,'PW_MLG GRADE 10'!$B$7:$B$31,'PW_MLG GRADE 10'!#REF!,"",0,1)="P",1*$C12,0))</f>
        <v>0</v>
      </c>
      <c r="BQ12" s="31">
        <f>IF($C12=0,0,IF(_xlfn.XLOOKUP($B12,'PW_MLG GRADE 10'!$B$7:$B$31,'PW_MLG GRADE 10'!#REF!,"",0,1)="P",1*$C12,0))</f>
        <v>0</v>
      </c>
      <c r="BR12" s="31">
        <f>IF($C12=0,0,IF(_xlfn.XLOOKUP($B12,'PW_MLG GRADE 10'!$B$7:$B$31,'PW_MLG GRADE 10'!#REF!,"",0,1)="P",1*$C12,0))</f>
        <v>0</v>
      </c>
      <c r="BS12" s="31">
        <f>IF($C12=0,0,IF(_xlfn.XLOOKUP($B12,'PW_MLG GRADE 10'!$B$7:$B$31,'PW_MLG GRADE 10'!#REF!,"",0,1)="P",1*$C12,0))</f>
        <v>0</v>
      </c>
      <c r="BT12" s="31">
        <f>IF($C12=0,0,IF(_xlfn.XLOOKUP($B12,'PW_MLG GRADE 10'!$B$7:$B$31,'PW_MLG GRADE 10'!#REF!,"",0,1)="P",1*$C12,0))</f>
        <v>0</v>
      </c>
      <c r="BU12" s="31">
        <f>IF($C12=0,0,IF(_xlfn.XLOOKUP($B12,'PW_MLG GRADE 10'!$B$7:$B$31,'PW_MLG GRADE 10'!#REF!,"",0,1)="P",1*$C12,0))</f>
        <v>0</v>
      </c>
      <c r="BV12" s="31">
        <f>IF($C12=0,0,IF(_xlfn.XLOOKUP($B12,'PW_MLG GRADE 10'!$B$7:$B$31,'PW_MLG GRADE 10'!#REF!,"",0,1)="P",1*$C12,0))</f>
        <v>0</v>
      </c>
      <c r="BW12" s="31">
        <f>IF($C12=0,0,IF(_xlfn.XLOOKUP($B12,'PW_MLG GRADE 10'!$B$7:$B$31,'PW_MLG GRADE 10'!#REF!,"",0,1)="P",1*$C12,0))</f>
        <v>0</v>
      </c>
      <c r="BX12" s="31">
        <f>IF($C12=0,0,IF(_xlfn.XLOOKUP($B12,'PW_MLG GRADE 10'!$B$7:$B$31,'PW_MLG GRADE 10'!#REF!,"",0,1)="P",1*$C12,0))</f>
        <v>0</v>
      </c>
      <c r="BY12" s="31">
        <f>IF($C12=0,0,IF(_xlfn.XLOOKUP($B12,'PW_MLG GRADE 10'!$B$7:$B$31,'PW_MLG GRADE 10'!#REF!,"",0,1)="P",1*$C12,0))</f>
        <v>0</v>
      </c>
      <c r="BZ12" s="31">
        <f>IF($C12=0,0,IF(_xlfn.XLOOKUP($B12,'PW_MLG GRADE 10'!$B$7:$B$31,'PW_MLG GRADE 10'!#REF!,"",0,1)="P",1*$C12,0))</f>
        <v>0</v>
      </c>
      <c r="CA12" s="31">
        <f>IF($C12=0,0,IF(_xlfn.XLOOKUP($B12,'PW_MLG GRADE 10'!$B$7:$B$31,'PW_MLG GRADE 10'!#REF!,"",0,1)="P",1*$C12,0))</f>
        <v>0</v>
      </c>
      <c r="CB12" s="31">
        <f>IF($C12=0,0,IF(_xlfn.XLOOKUP($B12,'PW_MLG GRADE 10'!$B$7:$B$31,'PW_MLG GRADE 10'!#REF!,"",0,1)="P",1*$C12,0))</f>
        <v>0</v>
      </c>
      <c r="CC12" s="31">
        <f>IF($C12=0,0,IF(_xlfn.XLOOKUP($B12,'PW_MLG GRADE 10'!$B$7:$B$31,'PW_MLG GRADE 10'!#REF!,"",0,1)="P",1*$C12,0))</f>
        <v>0</v>
      </c>
      <c r="CD12" s="31">
        <f>IF($C12=0,0,IF(_xlfn.XLOOKUP($B12,'PW_MLG GRADE 10'!$B$7:$B$31,'PW_MLG GRADE 10'!#REF!,"",0,1)="P",1*$C12,0))</f>
        <v>0</v>
      </c>
      <c r="CE12" s="32">
        <f>IF($C12=0,0,IF(_xlfn.XLOOKUP($B12,'PW_CMI GRADE 10'!$B$7:$B$31,'PW_CMI GRADE 10'!C$7:C$31,"",0,1)="P",1*$C12,0))</f>
        <v>0</v>
      </c>
      <c r="CF12" s="32">
        <f>IF($C12=0,0,IF(_xlfn.XLOOKUP($B12,'PW_CMI GRADE 10'!$B$7:$B$31,'PW_CMI GRADE 10'!D$7:D$31,"",0,1)="P",1*$C12,0))</f>
        <v>0</v>
      </c>
      <c r="CG12" s="32">
        <f>IF($C12=0,0,IF(_xlfn.XLOOKUP($B12,'PW_CMI GRADE 10'!$B$7:$B$31,'PW_CMI GRADE 10'!E$7:E$31,"",0,1)="P",1*$C12,0))</f>
        <v>0</v>
      </c>
      <c r="CH12" s="32">
        <f>IF($C12=0,0,IF(_xlfn.XLOOKUP($B12,'PW_CMI GRADE 10'!$B$7:$B$31,'PW_CMI GRADE 10'!F$7:F$31,"",0,1)="P",1*$C12,0))</f>
        <v>0</v>
      </c>
      <c r="CI12" s="32">
        <f>IF($C12=0,0,IF(_xlfn.XLOOKUP($B12,'PW_CMI GRADE 10'!$B$7:$B$31,'PW_CMI GRADE 10'!G$7:G$31,"",0,1)="P",1*$C12,0))</f>
        <v>0</v>
      </c>
      <c r="CJ12" s="32">
        <f>IF($C12=0,0,IF(_xlfn.XLOOKUP($B12,'PW_CMI GRADE 10'!$B$7:$B$31,'PW_CMI GRADE 10'!H$7:H$31,"",0,1)="P",1*$C12,0))</f>
        <v>0</v>
      </c>
      <c r="CK12" s="32">
        <f>IF($C12=0,0,IF(_xlfn.XLOOKUP($B12,'PW_CMI GRADE 10'!$B$7:$B$31,'PW_CMI GRADE 10'!I$7:I$31,"",0,1)="P",1*$C12,0))</f>
        <v>0</v>
      </c>
      <c r="CL12" s="32">
        <f>IF($C12=0,0,IF(_xlfn.XLOOKUP($B12,'PW_CMI GRADE 10'!$B$7:$B$31,'PW_CMI GRADE 10'!J$7:J$31,"",0,1)="P",1*$C12,0))</f>
        <v>0</v>
      </c>
      <c r="CM12" s="32">
        <f>IF($C12=0,0,IF(_xlfn.XLOOKUP($B12,'PW_CMI GRADE 10'!$B$7:$B$31,'PW_CMI GRADE 10'!K$7:K$31,"",0,1)="P",1*$C12,0))</f>
        <v>0</v>
      </c>
      <c r="CN12" s="32">
        <f>IF($C12=0,0,IF(_xlfn.XLOOKUP($B12,'PW_CMI GRADE 10'!$B$7:$B$31,'PW_CMI GRADE 10'!L$7:L$31,"",0,1)="P",1*$C12,0))</f>
        <v>0</v>
      </c>
      <c r="CO12" s="32">
        <f>IF($C12=0,0,IF(_xlfn.XLOOKUP($B12,'PW_CMI GRADE 10'!$B$7:$B$31,'PW_CMI GRADE 10'!M$7:M$31,"",0,1)="P",1*$C12,0))</f>
        <v>0</v>
      </c>
      <c r="CP12" s="32">
        <f>IF($C12=0,0,IF(_xlfn.XLOOKUP($B12,'PW_CMI GRADE 10'!$B$7:$B$31,'PW_CMI GRADE 10'!N$7:N$31,"",0,1)="P",1*$C12,0))</f>
        <v>0</v>
      </c>
      <c r="CQ12" s="32">
        <f>IF($C12=0,0,IF(_xlfn.XLOOKUP($B12,'PW_CMI GRADE 10'!$B$7:$B$31,'PW_CMI GRADE 10'!O$7:O$31,"",0,1)="P",1*$C12,0))</f>
        <v>0</v>
      </c>
      <c r="CR12" s="32">
        <f>IF($C12=0,0,IF(_xlfn.XLOOKUP($B12,'PW_CMI GRADE 10'!$B$7:$B$31,'PW_CMI GRADE 10'!P$7:P$31,"",0,1)="P",1*$C12,0))</f>
        <v>0</v>
      </c>
      <c r="CS12" s="32">
        <f>IF($C12=0,0,IF(_xlfn.XLOOKUP($B12,'PW_CMI GRADE 10'!$B$7:$B$31,'PW_CMI GRADE 10'!Q$7:Q$31,"",0,1)="P",1*$C12,0))</f>
        <v>0</v>
      </c>
      <c r="CT12" s="32">
        <f>IF($C12=0,0,IF(_xlfn.XLOOKUP($B12,'PW_CMI GRADE 10'!$B$7:$B$31,'PW_CMI GRADE 10'!R$7:R$31,"",0,1)="P",1*$C12,0))</f>
        <v>0</v>
      </c>
      <c r="CU12" s="32">
        <f>IF($C12=0,0,IF(_xlfn.XLOOKUP($B12,'PW_CMI GRADE 10'!$B$7:$B$31,'PW_CMI GRADE 10'!S$7:S$31,"",0,1)="P",1*$C12,0))</f>
        <v>0</v>
      </c>
      <c r="CV12" s="32">
        <f>IF($C12=0,0,IF(_xlfn.XLOOKUP($B12,'PW_CMI GRADE 10'!$B$7:$B$31,'PW_CMI GRADE 10'!T$7:T$31,"",0,1)="P",1*$C12,0))</f>
        <v>0</v>
      </c>
      <c r="CW12" s="62">
        <f t="shared" si="19"/>
        <v>0</v>
      </c>
      <c r="CX12" s="62">
        <f t="shared" si="20"/>
        <v>0</v>
      </c>
      <c r="CY12" s="62">
        <f t="shared" si="21"/>
        <v>0</v>
      </c>
      <c r="CZ12" s="62">
        <f t="shared" si="22"/>
        <v>0</v>
      </c>
      <c r="DA12" s="62">
        <f t="shared" si="23"/>
        <v>0</v>
      </c>
      <c r="DB12" s="62">
        <f t="shared" si="24"/>
        <v>0</v>
      </c>
      <c r="DC12" s="62">
        <f t="shared" si="25"/>
        <v>0</v>
      </c>
      <c r="DD12" s="62">
        <f t="shared" si="26"/>
        <v>0</v>
      </c>
      <c r="DE12" s="62">
        <f t="shared" si="27"/>
        <v>0</v>
      </c>
      <c r="DF12" s="62">
        <f t="shared" si="28"/>
        <v>0</v>
      </c>
      <c r="DG12" s="62">
        <f t="shared" si="29"/>
        <v>0</v>
      </c>
      <c r="DH12" s="62">
        <f t="shared" si="30"/>
        <v>0</v>
      </c>
      <c r="DI12" s="62">
        <f t="shared" si="31"/>
        <v>0</v>
      </c>
      <c r="DJ12" s="62">
        <f t="shared" si="32"/>
        <v>0.33333333333333331</v>
      </c>
      <c r="DK12" s="62">
        <f t="shared" si="33"/>
        <v>0.66666666666666663</v>
      </c>
      <c r="DL12" s="62">
        <f t="shared" si="34"/>
        <v>1</v>
      </c>
      <c r="DM12" s="62">
        <f t="shared" si="35"/>
        <v>1</v>
      </c>
      <c r="DN12" s="62">
        <f t="shared" si="36"/>
        <v>1</v>
      </c>
      <c r="DO12" s="62">
        <f t="shared" si="37"/>
        <v>0.66666666666666663</v>
      </c>
      <c r="DP12" s="62">
        <f t="shared" si="38"/>
        <v>0.33333333333333331</v>
      </c>
      <c r="DQ12" s="62">
        <f t="shared" si="39"/>
        <v>0</v>
      </c>
      <c r="DR12" s="62">
        <f t="shared" si="40"/>
        <v>0</v>
      </c>
      <c r="DS12" s="62" t="e">
        <f t="shared" si="41"/>
        <v>#REF!</v>
      </c>
      <c r="DT12" s="62" t="e">
        <f t="shared" si="42"/>
        <v>#REF!</v>
      </c>
      <c r="DU12" s="62" t="e">
        <f t="shared" si="43"/>
        <v>#REF!</v>
      </c>
      <c r="DV12" s="62" t="e">
        <f t="shared" si="44"/>
        <v>#REF!</v>
      </c>
      <c r="DW12" s="62" t="e">
        <f t="shared" si="45"/>
        <v>#REF!</v>
      </c>
      <c r="DX12" s="62" t="e">
        <f t="shared" si="46"/>
        <v>#REF!</v>
      </c>
      <c r="DY12" s="62" t="e">
        <f t="shared" si="47"/>
        <v>#REF!</v>
      </c>
      <c r="DZ12" s="62" t="e">
        <f t="shared" si="48"/>
        <v>#REF!</v>
      </c>
      <c r="EA12" s="63">
        <f t="shared" si="1"/>
        <v>0</v>
      </c>
      <c r="EB12" s="63">
        <f t="shared" si="2"/>
        <v>0</v>
      </c>
      <c r="EC12" s="63">
        <f t="shared" si="3"/>
        <v>0</v>
      </c>
      <c r="ED12" s="63">
        <f t="shared" si="4"/>
        <v>0</v>
      </c>
      <c r="EE12" s="63">
        <f t="shared" si="5"/>
        <v>0</v>
      </c>
      <c r="EF12" s="63">
        <f t="shared" si="6"/>
        <v>0</v>
      </c>
      <c r="EG12" s="63">
        <f t="shared" si="7"/>
        <v>0</v>
      </c>
      <c r="EH12" s="63">
        <f t="shared" si="8"/>
        <v>0</v>
      </c>
      <c r="EI12" s="63">
        <f t="shared" si="9"/>
        <v>0</v>
      </c>
      <c r="EJ12" s="63">
        <f t="shared" si="10"/>
        <v>0</v>
      </c>
      <c r="EK12" s="63">
        <f t="shared" si="11"/>
        <v>0.33333333333333331</v>
      </c>
      <c r="EL12" s="63">
        <f t="shared" si="12"/>
        <v>0.66666666666666663</v>
      </c>
      <c r="EM12" s="63">
        <f t="shared" si="13"/>
        <v>1</v>
      </c>
      <c r="EN12" s="63">
        <f t="shared" si="14"/>
        <v>1</v>
      </c>
      <c r="EO12" s="63">
        <f t="shared" si="15"/>
        <v>1</v>
      </c>
      <c r="EP12" s="63">
        <f t="shared" si="16"/>
        <v>1</v>
      </c>
      <c r="ET12" t="str">
        <v>3A.3</v>
      </c>
      <c r="EU12" s="38" t="e">
        <f t="shared" si="49"/>
        <v>#REF!</v>
      </c>
      <c r="EV12" s="38" t="e">
        <f t="shared" si="50"/>
        <v>#REF!</v>
      </c>
      <c r="EW12" s="38" t="e">
        <f t="shared" si="51"/>
        <v>#REF!</v>
      </c>
      <c r="EX12" s="38" t="e">
        <f t="shared" si="52"/>
        <v>#REF!</v>
      </c>
      <c r="EY12" s="38" t="e">
        <f t="shared" si="53"/>
        <v>#REF!</v>
      </c>
      <c r="EZ12" s="38" t="e">
        <f t="shared" si="54"/>
        <v>#REF!</v>
      </c>
      <c r="FA12" s="38" t="e">
        <f t="shared" si="55"/>
        <v>#REF!</v>
      </c>
      <c r="FB12" s="38" t="e">
        <f t="shared" si="56"/>
        <v>#REF!</v>
      </c>
      <c r="FC12" s="38" t="e">
        <f t="shared" si="57"/>
        <v>#REF!</v>
      </c>
      <c r="FD12" s="38" t="e">
        <f t="shared" si="58"/>
        <v>#REF!</v>
      </c>
      <c r="FE12" s="38">
        <f t="shared" si="59"/>
        <v>0</v>
      </c>
      <c r="FF12" s="38">
        <f t="shared" si="60"/>
        <v>0</v>
      </c>
      <c r="FG12" s="38">
        <f t="shared" si="61"/>
        <v>0</v>
      </c>
      <c r="FH12" s="38">
        <f t="shared" si="62"/>
        <v>1</v>
      </c>
      <c r="FI12" s="38">
        <f t="shared" si="63"/>
        <v>0</v>
      </c>
      <c r="FJ12" s="38">
        <f t="shared" si="64"/>
        <v>1</v>
      </c>
      <c r="FK12" s="38">
        <f t="shared" si="65"/>
        <v>0</v>
      </c>
      <c r="FL12" s="38">
        <f t="shared" si="17"/>
        <v>1</v>
      </c>
      <c r="FM12" s="38">
        <v>1</v>
      </c>
      <c r="FN12" s="38">
        <f t="shared" si="66"/>
        <v>0.66666666666666663</v>
      </c>
      <c r="FO12" s="38">
        <f t="shared" si="67"/>
        <v>0.33333333333333331</v>
      </c>
      <c r="FU12" s="51">
        <v>46082</v>
      </c>
      <c r="FV12" t="s">
        <v>22</v>
      </c>
      <c r="FW12" t="s">
        <v>22</v>
      </c>
      <c r="FX12" t="s">
        <v>22</v>
      </c>
      <c r="FY12" t="s">
        <v>22</v>
      </c>
      <c r="FZ12" t="s">
        <v>22</v>
      </c>
      <c r="GA12" t="s">
        <v>22</v>
      </c>
      <c r="GB12" t="s">
        <v>22</v>
      </c>
      <c r="GC12" t="s">
        <v>22</v>
      </c>
      <c r="GD12" t="s">
        <v>22</v>
      </c>
      <c r="GE12" t="s">
        <v>22</v>
      </c>
      <c r="GF12" t="s">
        <v>22</v>
      </c>
      <c r="GG12" t="s">
        <v>22</v>
      </c>
      <c r="GH12" t="s">
        <v>22</v>
      </c>
      <c r="GI12" t="s">
        <v>22</v>
      </c>
      <c r="GJ12" t="s">
        <v>22</v>
      </c>
      <c r="GK12" t="s">
        <v>22</v>
      </c>
      <c r="GL12" t="s">
        <v>22</v>
      </c>
      <c r="GM12" t="s">
        <v>22</v>
      </c>
      <c r="GN12" t="s">
        <v>22</v>
      </c>
      <c r="GO12" t="s">
        <v>22</v>
      </c>
      <c r="GP12" t="s">
        <v>22</v>
      </c>
      <c r="GQ12" t="s">
        <v>22</v>
      </c>
      <c r="GR12" t="s">
        <v>22</v>
      </c>
      <c r="GS12" t="s">
        <v>22</v>
      </c>
      <c r="GT12" t="s">
        <v>22</v>
      </c>
      <c r="GU12" t="s">
        <v>22</v>
      </c>
      <c r="GV12" t="s">
        <v>22</v>
      </c>
      <c r="GW12" t="s">
        <v>22</v>
      </c>
      <c r="GX12" t="s">
        <v>22</v>
      </c>
      <c r="GY12" t="s">
        <v>22</v>
      </c>
      <c r="GZ12" t="s">
        <v>22</v>
      </c>
      <c r="HA12" t="s">
        <v>22</v>
      </c>
      <c r="HB12" t="s">
        <v>22</v>
      </c>
      <c r="HC12" t="s">
        <v>22</v>
      </c>
      <c r="HD12" t="s">
        <v>22</v>
      </c>
      <c r="HE12" t="s">
        <v>22</v>
      </c>
      <c r="HF12" t="s">
        <v>22</v>
      </c>
      <c r="HG12" t="s">
        <v>22</v>
      </c>
      <c r="HH12" t="s">
        <v>22</v>
      </c>
      <c r="HI12" t="s">
        <v>22</v>
      </c>
      <c r="HJ12" t="s">
        <v>22</v>
      </c>
      <c r="HK12" t="s">
        <v>22</v>
      </c>
      <c r="HL12" t="s">
        <v>22</v>
      </c>
      <c r="HM12" t="s">
        <v>22</v>
      </c>
      <c r="HN12" t="s">
        <v>22</v>
      </c>
      <c r="HO12" cm="1">
        <f t="array" ref="HO12">SUMPRODUCT(--(FV12:HN12&lt;&gt;""))</f>
        <v>0</v>
      </c>
    </row>
    <row r="13" spans="1:242">
      <c r="A13" t="str">
        <f t="shared" si="18"/>
        <v>2.3</v>
      </c>
      <c r="B13" t="s">
        <v>44</v>
      </c>
      <c r="C13" s="27">
        <v>2</v>
      </c>
      <c r="D13" s="27">
        <v>1</v>
      </c>
      <c r="E13" s="31">
        <f>IF($D13=0,0,IF(_xlfn.XLOOKUP($B13,'TH_MLG GRADE 10'!$B$7:$B$49,'TH_MLG GRADE 10'!C$7:C$49,"",0,1)="P",1*$D13,0))</f>
        <v>0</v>
      </c>
      <c r="F13" s="31">
        <f>IF($D13=0,0,IF(_xlfn.XLOOKUP($B13,'TH_MLG GRADE 10'!$B$7:$B$49,'TH_MLG GRADE 10'!D$7:D$49,"",0,1)="P",1*$D13,0))</f>
        <v>0</v>
      </c>
      <c r="G13" s="31">
        <f>IF($D13=0,0,IF(_xlfn.XLOOKUP($B13,'TH_MLG GRADE 10'!$B$7:$B$49,'TH_MLG GRADE 10'!E$7:E$49,"",0,1)="P",1*$D13,0))</f>
        <v>0</v>
      </c>
      <c r="H13" s="31">
        <f>IF($D13=0,0,IF(_xlfn.XLOOKUP($B13,'TH_MLG GRADE 10'!$B$7:$B$49,'TH_MLG GRADE 10'!I$7:I$49,"",0,1)="P",1*$D13,0))</f>
        <v>0</v>
      </c>
      <c r="I13" s="31">
        <f>IF($D13=0,0,IF(_xlfn.XLOOKUP($B13,'TH_MLG GRADE 10'!$B$7:$B$49,'TH_MLG GRADE 10'!J$7:J$49,"",0,1)="P",1*$D13,0))</f>
        <v>0</v>
      </c>
      <c r="J13" s="31">
        <f>IF($D13=0,0,IF(_xlfn.XLOOKUP($B13,'TH_MLG GRADE 10'!$B$7:$B$49,'TH_MLG GRADE 10'!K$7:K$49,"",0,1)="P",1*$D13,0))</f>
        <v>0</v>
      </c>
      <c r="K13" s="31">
        <f>IF($D13=0,0,IF(_xlfn.XLOOKUP($B13,'TH_MLG GRADE 10'!$B$7:$B$49,'TH_MLG GRADE 10'!O$7:O$49,"",0,1)="P",1*$D13,0))</f>
        <v>0</v>
      </c>
      <c r="L13" s="31">
        <f>IF($D13=0,0,IF(_xlfn.XLOOKUP($B13,'TH_MLG GRADE 10'!$B$7:$B$49,'TH_MLG GRADE 10'!P$7:P$49,"",0,1)="P",1*$D13,0))</f>
        <v>0</v>
      </c>
      <c r="M13" s="31">
        <f>IF($D13=0,0,IF(_xlfn.XLOOKUP($B13,'TH_MLG GRADE 10'!$B$7:$B$49,'TH_MLG GRADE 10'!Q$7:Q$49,"",0,1)="P",1*$D13,0))</f>
        <v>0</v>
      </c>
      <c r="N13" s="31">
        <f>IF($D13=0,0,IF(_xlfn.XLOOKUP($B13,'TH_MLG GRADE 10'!$B$7:$B$49,'TH_MLG GRADE 10'!AA$7:AA$49,"",0,1)="P",1*$D13,0))</f>
        <v>0</v>
      </c>
      <c r="O13" s="31">
        <f>IF($D13=0,0,IF(_xlfn.XLOOKUP($B13,'TH_MLG GRADE 10'!$B$7:$B$49,'TH_MLG GRADE 10'!AB$7:AB$49,"",0,1)="P",1*$D13,0))</f>
        <v>0</v>
      </c>
      <c r="P13" s="31">
        <f>IF($D13=0,0,IF(_xlfn.XLOOKUP($B13,'TH_MLG GRADE 10'!$B$7:$B$49,'TH_MLG GRADE 10'!AC$7:AC$49,"",0,1)="P",1*$D13,0))</f>
        <v>0</v>
      </c>
      <c r="Q13" s="31">
        <f>IF($D13=0,0,IF(_xlfn.XLOOKUP($B13,'TH_MLG GRADE 10'!$B$7:$B$49,'TH_MLG GRADE 10'!AG$7:AG$49,"",0,1)="P",1*$D13,0))</f>
        <v>0</v>
      </c>
      <c r="R13" s="31">
        <f>IF($D13=0,0,IF(_xlfn.XLOOKUP($B13,'TH_MLG GRADE 10'!$B$7:$B$49,'TH_MLG GRADE 10'!AH$7:AH$49,"",0,1)="P",1*$D13,0))</f>
        <v>0</v>
      </c>
      <c r="S13" s="31">
        <f>IF($D13=0,0,IF(_xlfn.XLOOKUP($B13,'TH_MLG GRADE 10'!$B$7:$B$49,'TH_MLG GRADE 10'!AI$7:AI$49,"",0,1)="P",1*$D13,0))</f>
        <v>0</v>
      </c>
      <c r="T13" s="31">
        <f>IF($D13=0,0,IF(_xlfn.XLOOKUP($B13,'TH_MLG GRADE 10'!$B$7:$B$49,'TH_MLG GRADE 10'!AM$7:AM$49,"",0,1)="P",1*$D13,0))</f>
        <v>0</v>
      </c>
      <c r="U13" s="31">
        <f>IF($D13=0,0,IF(_xlfn.XLOOKUP($B13,'TH_MLG GRADE 10'!$B$7:$B$49,'TH_MLG GRADE 10'!AN$7:AN$49,"",0,1)="P",1*$D13,0))</f>
        <v>1</v>
      </c>
      <c r="V13" s="31">
        <f>IF($D13=0,0,IF(_xlfn.XLOOKUP($B13,'TH_MLG GRADE 10'!$B$7:$B$49,'TH_MLG GRADE 10'!AO$7:AO$49,"",0,1)="P",1*$D13,0))</f>
        <v>1</v>
      </c>
      <c r="W13" s="31">
        <f>IF($D13=0,0,IF(_xlfn.XLOOKUP($B13,'TH_MLG GRADE 10'!$B$7:$B$49,'TH_MLG GRADE 10'!AY$7:AY$49,"",0,1)="P",1*$D13,0))</f>
        <v>1</v>
      </c>
      <c r="X13" s="31">
        <f>IF($D13=0,0,IF(_xlfn.XLOOKUP($B13,'TH_MLG GRADE 10'!$B$7:$B$49,'TH_MLG GRADE 10'!AZ$7:AZ$49,"",0,1)="P",1*$D13,0))</f>
        <v>1</v>
      </c>
      <c r="Y13" s="31">
        <f>IF($D13=0,0,IF(_xlfn.XLOOKUP($B13,'TH_MLG GRADE 10'!$B$7:$B$49,'TH_MLG GRADE 10'!BA$7:BA$49,"",0,1)="P",1*$D13,0))</f>
        <v>0</v>
      </c>
      <c r="Z13" s="31">
        <f>IF($D13=0,0,IF(_xlfn.XLOOKUP($B13,'TH_MLG GRADE 10'!$B$7:$B$49,'TH_MLG GRADE 10'!BE$7:BE$49,"",0,1)="P",1*$D13,0))</f>
        <v>0</v>
      </c>
      <c r="AA13" s="31">
        <f>IF($D13=0,0,IF(_xlfn.XLOOKUP($B13,'TH_MLG GRADE 10'!$B$7:$B$49,'TH_MLG GRADE 10'!BF$7:BF$49,"",0,1)="P",1*$D13,0))</f>
        <v>0</v>
      </c>
      <c r="AB13" s="31">
        <f>IF($D13=0,0,IF(_xlfn.XLOOKUP($B13,'TH_MLG GRADE 10'!$B$7:$B$49,'TH_MLG GRADE 10'!BG$7:BG$49,"",0,1)="P",1*$D13,0))</f>
        <v>0</v>
      </c>
      <c r="AC13" s="31" t="e">
        <f>IF($D13=0,0,IF(_xlfn.XLOOKUP($B13,'TH_MLG GRADE 10'!$B$7:$B$49,'TH_MLG GRADE 10'!#REF!,"",0,1)="P",1*$D13,0))</f>
        <v>#REF!</v>
      </c>
      <c r="AD13" s="31" t="e">
        <f>IF($D13=0,0,IF(_xlfn.XLOOKUP($B13,'TH_MLG GRADE 10'!$B$7:$B$49,'TH_MLG GRADE 10'!#REF!,"",0,1)="P",1*$D13,0))</f>
        <v>#REF!</v>
      </c>
      <c r="AE13" s="31" t="e">
        <f>IF($D13=0,0,IF(_xlfn.XLOOKUP($B13,'TH_MLG GRADE 10'!$B$7:$B$49,'TH_MLG GRADE 10'!#REF!,"",0,1)="P",1*$D13,0))</f>
        <v>#REF!</v>
      </c>
      <c r="AF13" s="31" t="e">
        <f>IF($D13=0,0,IF(_xlfn.XLOOKUP($B13,'TH_MLG GRADE 10'!$B$7:$B$49,'TH_MLG GRADE 10'!#REF!,"",0,1)="P",1*$D13,0))</f>
        <v>#REF!</v>
      </c>
      <c r="AG13" s="31" t="e">
        <f>IF($D13=0,0,IF(_xlfn.XLOOKUP($B13,'TH_MLG GRADE 10'!$B$7:$B$49,'TH_MLG GRADE 10'!#REF!,"",0,1)="P",1*$D13,0))</f>
        <v>#REF!</v>
      </c>
      <c r="AH13" s="31" t="e">
        <f>IF($D13=0,0,IF(_xlfn.XLOOKUP($B13,'TH_MLG GRADE 10'!$B$7:$B$49,'TH_MLG GRADE 10'!#REF!,"",0,1)="P",1*$D13,0))</f>
        <v>#REF!</v>
      </c>
      <c r="AI13" s="32">
        <f>IF($D13=0,0,IF(_xlfn.XLOOKUP($B13,'TH_CMI GRADE 10'!$B$7:$B$49,'TH_CMI GRADE 10'!C$7:C$49,"",0,1)="P",1*$D13,0))</f>
        <v>0</v>
      </c>
      <c r="AJ13" s="32">
        <f>IF($D13=0,0,IF(_xlfn.XLOOKUP($B13,'TH_CMI GRADE 10'!$B$7:$B$49,'TH_CMI GRADE 10'!D$7:D$49,"",0,1)="P",1*$D13,0))</f>
        <v>0</v>
      </c>
      <c r="AK13" s="32">
        <f>IF($D13=0,0,IF(_xlfn.XLOOKUP($B13,'TH_CMI GRADE 10'!$B$7:$B$49,'TH_CMI GRADE 10'!H$7:H$49,"",0,1)="P",1*$D13,0))</f>
        <v>0</v>
      </c>
      <c r="AL13" s="32">
        <f>IF($D13=0,0,IF(_xlfn.XLOOKUP($B13,'TH_CMI GRADE 10'!$B$7:$B$49,'TH_CMI GRADE 10'!I$7:I$49,"",0,1)="P",1*$D13,0))</f>
        <v>0</v>
      </c>
      <c r="AM13" s="32">
        <f>IF($D13=0,0,IF(_xlfn.XLOOKUP($B13,'TH_CMI GRADE 10'!$B$7:$B$49,'TH_CMI GRADE 10'!J$7:J$49,"",0,1)="P",1*$D13,0))</f>
        <v>0</v>
      </c>
      <c r="AN13" s="32">
        <f>IF($D13=0,0,IF(_xlfn.XLOOKUP($B13,'TH_CMI GRADE 10'!$B$7:$B$49,'TH_CMI GRADE 10'!K$7:K$49,"",0,1)="P",1*$D13,0))</f>
        <v>0</v>
      </c>
      <c r="AO13" s="32">
        <f>IF($D13=0,0,IF(_xlfn.XLOOKUP($B13,'TH_CMI GRADE 10'!$B$7:$B$49,'TH_CMI GRADE 10'!O$7:O$49,"",0,1)="P",1*$D13,0))</f>
        <v>0</v>
      </c>
      <c r="AP13" s="32">
        <f>IF($D13=0,0,IF(_xlfn.XLOOKUP($B13,'TH_CMI GRADE 10'!$B$7:$B$49,'TH_CMI GRADE 10'!P$7:P$49,"",0,1)="P",1*$D13,0))</f>
        <v>0</v>
      </c>
      <c r="AQ13" s="32">
        <f>IF($D13=0,0,IF(_xlfn.XLOOKUP($B13,'TH_CMI GRADE 10'!$B$7:$B$49,'TH_CMI GRADE 10'!Q$7:Q$49,"",0,1)="P",1*$D13,0))</f>
        <v>0</v>
      </c>
      <c r="AR13" s="32">
        <f>IF($D13=0,0,IF(_xlfn.XLOOKUP($B13,'TH_CMI GRADE 10'!$B$7:$B$49,'TH_CMI GRADE 10'!U$7:U$49,"",0,1)="P",1*$D13,0))</f>
        <v>0</v>
      </c>
      <c r="AS13" s="32">
        <f>IF($D13=0,0,IF(_xlfn.XLOOKUP($B13,'TH_CMI GRADE 10'!$B$7:$B$49,'TH_CMI GRADE 10'!V$7:V$49,"",0,1)="P",1*$D13,0))</f>
        <v>0</v>
      </c>
      <c r="AT13" s="32">
        <f>IF($D13=0,0,IF(_xlfn.XLOOKUP($B13,'TH_CMI GRADE 10'!$B$7:$B$49,'TH_CMI GRADE 10'!W$7:W$49,"",0,1)="P",1*$D13,0))</f>
        <v>0</v>
      </c>
      <c r="AU13" s="32">
        <f>IF($D13=0,0,IF(_xlfn.XLOOKUP($B13,'TH_CMI GRADE 10'!$B$7:$B$49,'TH_CMI GRADE 10'!AA$7:AA$49,"",0,1)="P",1*$D13,0))</f>
        <v>1</v>
      </c>
      <c r="AV13" s="32">
        <f>IF($D13=0,0,IF(_xlfn.XLOOKUP($B13,'TH_CMI GRADE 10'!$B$7:$B$49,'TH_CMI GRADE 10'!AB$7:AB$49,"",0,1)="P",1*$D13,0))</f>
        <v>1</v>
      </c>
      <c r="AW13" s="32">
        <f>IF($D13=0,0,IF(_xlfn.XLOOKUP($B13,'TH_CMI GRADE 10'!$B$7:$B$49,'TH_CMI GRADE 10'!AC$7:AC$49,"",0,1)="P",1*$D13,0))</f>
        <v>1</v>
      </c>
      <c r="AX13" s="32">
        <f>IF($D13=0,0,IF(_xlfn.XLOOKUP($B13,'TH_CMI GRADE 10'!$B$7:$B$49,'TH_CMI GRADE 10'!AG$7:AG$49,"",0,1)="P",1*$D13,0))</f>
        <v>1</v>
      </c>
      <c r="AY13" s="32">
        <f>IF($D13=0,0,IF(_xlfn.XLOOKUP($B13,'TH_CMI GRADE 10'!$B$7:$B$49,'TH_CMI GRADE 10'!AH$7:AH$49,"",0,1)="P",1*$D13,0))</f>
        <v>1</v>
      </c>
      <c r="AZ13" s="32">
        <f>IF($D13=0,0,IF(_xlfn.XLOOKUP($B13,'TH_CMI GRADE 10'!$B$7:$B$49,'TH_CMI GRADE 10'!AI$7:AI$49,"",0,1)="P",1*$D13,0))</f>
        <v>1</v>
      </c>
      <c r="BA13" s="31" t="e">
        <f>IF($C13=0,0,IF(_xlfn.XLOOKUP($B13,'PW_MLG GRADE 10'!$B$7:$B$31,'PW_MLG GRADE 10'!#REF!,"",0,1)="P",1*$C13,0))</f>
        <v>#REF!</v>
      </c>
      <c r="BB13" s="31" t="e">
        <f>IF($C13=0,0,IF(_xlfn.XLOOKUP($B13,'PW_MLG GRADE 10'!$B$7:$B$31,'PW_MLG GRADE 10'!#REF!,"",0,1)="P",1*$C13,0))</f>
        <v>#REF!</v>
      </c>
      <c r="BC13" s="31" t="e">
        <f>IF($C13=0,0,IF(_xlfn.XLOOKUP($B13,'PW_MLG GRADE 10'!$B$7:$B$31,'PW_MLG GRADE 10'!#REF!,"",0,1)="P",1*$C13,0))</f>
        <v>#REF!</v>
      </c>
      <c r="BD13" s="31" t="e">
        <f>IF($C13=0,0,IF(_xlfn.XLOOKUP($B13,'PW_MLG GRADE 10'!$B$7:$B$31,'PW_MLG GRADE 10'!#REF!,"",0,1)="P",1*$C13,0))</f>
        <v>#REF!</v>
      </c>
      <c r="BE13" s="31" t="e">
        <f>IF($C13=0,0,IF(_xlfn.XLOOKUP($B13,'PW_MLG GRADE 10'!$B$7:$B$31,'PW_MLG GRADE 10'!#REF!,"",0,1)="P",1*$C13,0))</f>
        <v>#REF!</v>
      </c>
      <c r="BF13" s="31" t="e">
        <f>IF($C13=0,0,IF(_xlfn.XLOOKUP($B13,'PW_MLG GRADE 10'!$B$7:$B$31,'PW_MLG GRADE 10'!#REF!,"",0,1)="P",1*$C13,0))</f>
        <v>#REF!</v>
      </c>
      <c r="BG13" s="31" t="e">
        <f>IF($C13=0,0,IF(_xlfn.XLOOKUP($B13,'PW_MLG GRADE 10'!$B$7:$B$31,'PW_MLG GRADE 10'!#REF!,"",0,1)="P",1*$C13,0))</f>
        <v>#REF!</v>
      </c>
      <c r="BH13" s="31" t="e">
        <f>IF($C13=0,0,IF(_xlfn.XLOOKUP($B13,'PW_MLG GRADE 10'!$B$7:$B$31,'PW_MLG GRADE 10'!#REF!,"",0,1)="P",1*$C13,0))</f>
        <v>#REF!</v>
      </c>
      <c r="BI13" s="31" t="e">
        <f>IF($C13=0,0,IF(_xlfn.XLOOKUP($B13,'PW_MLG GRADE 10'!$B$7:$B$31,'PW_MLG GRADE 10'!#REF!,"",0,1)="P",1*$C13,0))</f>
        <v>#REF!</v>
      </c>
      <c r="BJ13" s="31" t="e">
        <f>IF($C13=0,0,IF(_xlfn.XLOOKUP($B13,'PW_MLG GRADE 10'!$B$7:$B$31,'PW_MLG GRADE 10'!#REF!,"",0,1)="P",1*$C13,0))</f>
        <v>#REF!</v>
      </c>
      <c r="BK13" s="31" t="e">
        <f>IF($C13=0,0,IF(_xlfn.XLOOKUP($B13,'PW_MLG GRADE 10'!$B$7:$B$31,'PW_MLG GRADE 10'!#REF!,"",0,1)="P",1*$C13,0))</f>
        <v>#REF!</v>
      </c>
      <c r="BL13" s="31" t="e">
        <f>IF($C13=0,0,IF(_xlfn.XLOOKUP($B13,'PW_MLG GRADE 10'!$B$7:$B$31,'PW_MLG GRADE 10'!#REF!,"",0,1)="P",1*$C13,0))</f>
        <v>#REF!</v>
      </c>
      <c r="BM13" s="31" t="e">
        <f>IF($C13=0,0,IF(_xlfn.XLOOKUP($B13,'PW_MLG GRADE 10'!$B$7:$B$31,'PW_MLG GRADE 10'!#REF!,"",0,1)="P",1*$C13,0))</f>
        <v>#REF!</v>
      </c>
      <c r="BN13" s="31" t="e">
        <f>IF($C13=0,0,IF(_xlfn.XLOOKUP($B13,'PW_MLG GRADE 10'!$B$7:$B$31,'PW_MLG GRADE 10'!#REF!,"",0,1)="P",1*$C13,0))</f>
        <v>#REF!</v>
      </c>
      <c r="BO13" s="31" t="e">
        <f>IF($C13=0,0,IF(_xlfn.XLOOKUP($B13,'PW_MLG GRADE 10'!$B$7:$B$31,'PW_MLG GRADE 10'!#REF!,"",0,1)="P",1*$C13,0))</f>
        <v>#REF!</v>
      </c>
      <c r="BP13" s="31" t="e">
        <f>IF($C13=0,0,IF(_xlfn.XLOOKUP($B13,'PW_MLG GRADE 10'!$B$7:$B$31,'PW_MLG GRADE 10'!#REF!,"",0,1)="P",1*$C13,0))</f>
        <v>#REF!</v>
      </c>
      <c r="BQ13" s="31" t="e">
        <f>IF($C13=0,0,IF(_xlfn.XLOOKUP($B13,'PW_MLG GRADE 10'!$B$7:$B$31,'PW_MLG GRADE 10'!#REF!,"",0,1)="P",1*$C13,0))</f>
        <v>#REF!</v>
      </c>
      <c r="BR13" s="31" t="e">
        <f>IF($C13=0,0,IF(_xlfn.XLOOKUP($B13,'PW_MLG GRADE 10'!$B$7:$B$31,'PW_MLG GRADE 10'!#REF!,"",0,1)="P",1*$C13,0))</f>
        <v>#REF!</v>
      </c>
      <c r="BS13" s="31" t="e">
        <f>IF($C13=0,0,IF(_xlfn.XLOOKUP($B13,'PW_MLG GRADE 10'!$B$7:$B$31,'PW_MLG GRADE 10'!#REF!,"",0,1)="P",1*$C13,0))</f>
        <v>#REF!</v>
      </c>
      <c r="BT13" s="31" t="e">
        <f>IF($C13=0,0,IF(_xlfn.XLOOKUP($B13,'PW_MLG GRADE 10'!$B$7:$B$31,'PW_MLG GRADE 10'!#REF!,"",0,1)="P",1*$C13,0))</f>
        <v>#REF!</v>
      </c>
      <c r="BU13" s="31" t="e">
        <f>IF($C13=0,0,IF(_xlfn.XLOOKUP($B13,'PW_MLG GRADE 10'!$B$7:$B$31,'PW_MLG GRADE 10'!#REF!,"",0,1)="P",1*$C13,0))</f>
        <v>#REF!</v>
      </c>
      <c r="BV13" s="31" t="e">
        <f>IF($C13=0,0,IF(_xlfn.XLOOKUP($B13,'PW_MLG GRADE 10'!$B$7:$B$31,'PW_MLG GRADE 10'!#REF!,"",0,1)="P",1*$C13,0))</f>
        <v>#REF!</v>
      </c>
      <c r="BW13" s="31" t="e">
        <f>IF($C13=0,0,IF(_xlfn.XLOOKUP($B13,'PW_MLG GRADE 10'!$B$7:$B$31,'PW_MLG GRADE 10'!#REF!,"",0,1)="P",1*$C13,0))</f>
        <v>#REF!</v>
      </c>
      <c r="BX13" s="31" t="e">
        <f>IF($C13=0,0,IF(_xlfn.XLOOKUP($B13,'PW_MLG GRADE 10'!$B$7:$B$31,'PW_MLG GRADE 10'!#REF!,"",0,1)="P",1*$C13,0))</f>
        <v>#REF!</v>
      </c>
      <c r="BY13" s="31" t="e">
        <f>IF($C13=0,0,IF(_xlfn.XLOOKUP($B13,'PW_MLG GRADE 10'!$B$7:$B$31,'PW_MLG GRADE 10'!#REF!,"",0,1)="P",1*$C13,0))</f>
        <v>#REF!</v>
      </c>
      <c r="BZ13" s="31" t="e">
        <f>IF($C13=0,0,IF(_xlfn.XLOOKUP($B13,'PW_MLG GRADE 10'!$B$7:$B$31,'PW_MLG GRADE 10'!#REF!,"",0,1)="P",1*$C13,0))</f>
        <v>#REF!</v>
      </c>
      <c r="CA13" s="31" t="e">
        <f>IF($C13=0,0,IF(_xlfn.XLOOKUP($B13,'PW_MLG GRADE 10'!$B$7:$B$31,'PW_MLG GRADE 10'!#REF!,"",0,1)="P",1*$C13,0))</f>
        <v>#REF!</v>
      </c>
      <c r="CB13" s="31" t="e">
        <f>IF($C13=0,0,IF(_xlfn.XLOOKUP($B13,'PW_MLG GRADE 10'!$B$7:$B$31,'PW_MLG GRADE 10'!#REF!,"",0,1)="P",1*$C13,0))</f>
        <v>#REF!</v>
      </c>
      <c r="CC13" s="31" t="e">
        <f>IF($C13=0,0,IF(_xlfn.XLOOKUP($B13,'PW_MLG GRADE 10'!$B$7:$B$31,'PW_MLG GRADE 10'!#REF!,"",0,1)="P",1*$C13,0))</f>
        <v>#REF!</v>
      </c>
      <c r="CD13" s="31" t="e">
        <f>IF($C13=0,0,IF(_xlfn.XLOOKUP($B13,'PW_MLG GRADE 10'!$B$7:$B$31,'PW_MLG GRADE 10'!#REF!,"",0,1)="P",1*$C13,0))</f>
        <v>#REF!</v>
      </c>
      <c r="CE13" s="32">
        <f>IF($C13=0,0,IF(_xlfn.XLOOKUP($B13,'PW_CMI GRADE 10'!$B$7:$B$31,'PW_CMI GRADE 10'!C$7:C$31,"",0,1)="P",1*$C13,0))</f>
        <v>0</v>
      </c>
      <c r="CF13" s="32">
        <f>IF($C13=0,0,IF(_xlfn.XLOOKUP($B13,'PW_CMI GRADE 10'!$B$7:$B$31,'PW_CMI GRADE 10'!D$7:D$31,"",0,1)="P",1*$C13,0))</f>
        <v>0</v>
      </c>
      <c r="CG13" s="32">
        <f>IF($C13=0,0,IF(_xlfn.XLOOKUP($B13,'PW_CMI GRADE 10'!$B$7:$B$31,'PW_CMI GRADE 10'!E$7:E$31,"",0,1)="P",1*$C13,0))</f>
        <v>0</v>
      </c>
      <c r="CH13" s="32">
        <f>IF($C13=0,0,IF(_xlfn.XLOOKUP($B13,'PW_CMI GRADE 10'!$B$7:$B$31,'PW_CMI GRADE 10'!F$7:F$31,"",0,1)="P",1*$C13,0))</f>
        <v>0</v>
      </c>
      <c r="CI13" s="32">
        <f>IF($C13=0,0,IF(_xlfn.XLOOKUP($B13,'PW_CMI GRADE 10'!$B$7:$B$31,'PW_CMI GRADE 10'!G$7:G$31,"",0,1)="P",1*$C13,0))</f>
        <v>0</v>
      </c>
      <c r="CJ13" s="32">
        <f>IF($C13=0,0,IF(_xlfn.XLOOKUP($B13,'PW_CMI GRADE 10'!$B$7:$B$31,'PW_CMI GRADE 10'!H$7:H$31,"",0,1)="P",1*$C13,0))</f>
        <v>0</v>
      </c>
      <c r="CK13" s="32">
        <f>IF($C13=0,0,IF(_xlfn.XLOOKUP($B13,'PW_CMI GRADE 10'!$B$7:$B$31,'PW_CMI GRADE 10'!I$7:I$31,"",0,1)="P",1*$C13,0))</f>
        <v>0</v>
      </c>
      <c r="CL13" s="32">
        <f>IF($C13=0,0,IF(_xlfn.XLOOKUP($B13,'PW_CMI GRADE 10'!$B$7:$B$31,'PW_CMI GRADE 10'!J$7:J$31,"",0,1)="P",1*$C13,0))</f>
        <v>0</v>
      </c>
      <c r="CM13" s="32">
        <f>IF($C13=0,0,IF(_xlfn.XLOOKUP($B13,'PW_CMI GRADE 10'!$B$7:$B$31,'PW_CMI GRADE 10'!K$7:K$31,"",0,1)="P",1*$C13,0))</f>
        <v>0</v>
      </c>
      <c r="CN13" s="32">
        <f>IF($C13=0,0,IF(_xlfn.XLOOKUP($B13,'PW_CMI GRADE 10'!$B$7:$B$31,'PW_CMI GRADE 10'!L$7:L$31,"",0,1)="P",1*$C13,0))</f>
        <v>0</v>
      </c>
      <c r="CO13" s="32">
        <f>IF($C13=0,0,IF(_xlfn.XLOOKUP($B13,'PW_CMI GRADE 10'!$B$7:$B$31,'PW_CMI GRADE 10'!M$7:M$31,"",0,1)="P",1*$C13,0))</f>
        <v>0</v>
      </c>
      <c r="CP13" s="32">
        <f>IF($C13=0,0,IF(_xlfn.XLOOKUP($B13,'PW_CMI GRADE 10'!$B$7:$B$31,'PW_CMI GRADE 10'!N$7:N$31,"",0,1)="P",1*$C13,0))</f>
        <v>0</v>
      </c>
      <c r="CQ13" s="32">
        <f>IF($C13=0,0,IF(_xlfn.XLOOKUP($B13,'PW_CMI GRADE 10'!$B$7:$B$31,'PW_CMI GRADE 10'!O$7:O$31,"",0,1)="P",1*$C13,0))</f>
        <v>0</v>
      </c>
      <c r="CR13" s="32">
        <f>IF($C13=0,0,IF(_xlfn.XLOOKUP($B13,'PW_CMI GRADE 10'!$B$7:$B$31,'PW_CMI GRADE 10'!P$7:P$31,"",0,1)="P",1*$C13,0))</f>
        <v>0</v>
      </c>
      <c r="CS13" s="32">
        <f>IF($C13=0,0,IF(_xlfn.XLOOKUP($B13,'PW_CMI GRADE 10'!$B$7:$B$31,'PW_CMI GRADE 10'!Q$7:Q$31,"",0,1)="P",1*$C13,0))</f>
        <v>0</v>
      </c>
      <c r="CT13" s="32">
        <f>IF($C13=0,0,IF(_xlfn.XLOOKUP($B13,'PW_CMI GRADE 10'!$B$7:$B$31,'PW_CMI GRADE 10'!R$7:R$31,"",0,1)="P",1*$C13,0))</f>
        <v>0</v>
      </c>
      <c r="CU13" s="32">
        <f>IF($C13=0,0,IF(_xlfn.XLOOKUP($B13,'PW_CMI GRADE 10'!$B$7:$B$31,'PW_CMI GRADE 10'!S$7:S$31,"",0,1)="P",1*$C13,0))</f>
        <v>0</v>
      </c>
      <c r="CV13" s="32">
        <f>IF($C13=0,0,IF(_xlfn.XLOOKUP($B13,'PW_CMI GRADE 10'!$B$7:$B$31,'PW_CMI GRADE 10'!T$7:T$31,"",0,1)="P",1*$C13,0))</f>
        <v>0</v>
      </c>
      <c r="CW13" s="62" t="e">
        <f t="shared" si="19"/>
        <v>#REF!</v>
      </c>
      <c r="CX13" s="62" t="e">
        <f t="shared" si="20"/>
        <v>#REF!</v>
      </c>
      <c r="CY13" s="62" t="e">
        <f t="shared" si="21"/>
        <v>#REF!</v>
      </c>
      <c r="CZ13" s="62" t="e">
        <f t="shared" si="22"/>
        <v>#REF!</v>
      </c>
      <c r="DA13" s="62" t="e">
        <f t="shared" si="23"/>
        <v>#REF!</v>
      </c>
      <c r="DB13" s="62" t="e">
        <f t="shared" si="24"/>
        <v>#REF!</v>
      </c>
      <c r="DC13" s="62" t="e">
        <f t="shared" si="25"/>
        <v>#REF!</v>
      </c>
      <c r="DD13" s="62" t="e">
        <f t="shared" si="26"/>
        <v>#REF!</v>
      </c>
      <c r="DE13" s="62" t="e">
        <f t="shared" si="27"/>
        <v>#REF!</v>
      </c>
      <c r="DF13" s="62" t="e">
        <f t="shared" si="28"/>
        <v>#REF!</v>
      </c>
      <c r="DG13" s="62" t="e">
        <f t="shared" si="29"/>
        <v>#REF!</v>
      </c>
      <c r="DH13" s="62" t="e">
        <f t="shared" si="30"/>
        <v>#REF!</v>
      </c>
      <c r="DI13" s="62" t="e">
        <f t="shared" si="31"/>
        <v>#REF!</v>
      </c>
      <c r="DJ13" s="62" t="e">
        <f t="shared" si="32"/>
        <v>#REF!</v>
      </c>
      <c r="DK13" s="62" t="e">
        <f t="shared" si="33"/>
        <v>#REF!</v>
      </c>
      <c r="DL13" s="62" t="e">
        <f t="shared" si="34"/>
        <v>#REF!</v>
      </c>
      <c r="DM13" s="62" t="e">
        <f t="shared" si="35"/>
        <v>#REF!</v>
      </c>
      <c r="DN13" s="62" t="e">
        <f t="shared" si="36"/>
        <v>#REF!</v>
      </c>
      <c r="DO13" s="62" t="e">
        <f t="shared" si="37"/>
        <v>#REF!</v>
      </c>
      <c r="DP13" s="62" t="e">
        <f t="shared" si="38"/>
        <v>#REF!</v>
      </c>
      <c r="DQ13" s="62" t="e">
        <f t="shared" si="39"/>
        <v>#REF!</v>
      </c>
      <c r="DR13" s="62" t="e">
        <f t="shared" si="40"/>
        <v>#REF!</v>
      </c>
      <c r="DS13" s="62" t="e">
        <f t="shared" si="41"/>
        <v>#REF!</v>
      </c>
      <c r="DT13" s="62" t="e">
        <f t="shared" si="42"/>
        <v>#REF!</v>
      </c>
      <c r="DU13" s="62" t="e">
        <f t="shared" si="43"/>
        <v>#REF!</v>
      </c>
      <c r="DV13" s="62" t="e">
        <f t="shared" si="44"/>
        <v>#REF!</v>
      </c>
      <c r="DW13" s="62" t="e">
        <f t="shared" si="45"/>
        <v>#REF!</v>
      </c>
      <c r="DX13" s="62" t="e">
        <f t="shared" si="46"/>
        <v>#REF!</v>
      </c>
      <c r="DY13" s="62" t="e">
        <f t="shared" si="47"/>
        <v>#REF!</v>
      </c>
      <c r="DZ13" s="62" t="e">
        <f t="shared" si="48"/>
        <v>#REF!</v>
      </c>
      <c r="EA13" s="63">
        <f t="shared" si="1"/>
        <v>0</v>
      </c>
      <c r="EB13" s="63">
        <f t="shared" si="2"/>
        <v>0</v>
      </c>
      <c r="EC13" s="63">
        <f t="shared" si="3"/>
        <v>0</v>
      </c>
      <c r="ED13" s="63">
        <f t="shared" si="4"/>
        <v>0</v>
      </c>
      <c r="EE13" s="63">
        <f t="shared" si="5"/>
        <v>0</v>
      </c>
      <c r="EF13" s="63">
        <f t="shared" si="6"/>
        <v>0</v>
      </c>
      <c r="EG13" s="63">
        <f t="shared" si="7"/>
        <v>0</v>
      </c>
      <c r="EH13" s="63">
        <f t="shared" si="8"/>
        <v>0</v>
      </c>
      <c r="EI13" s="63">
        <f t="shared" si="9"/>
        <v>0</v>
      </c>
      <c r="EJ13" s="63">
        <f t="shared" si="10"/>
        <v>0</v>
      </c>
      <c r="EK13" s="63">
        <f t="shared" si="11"/>
        <v>0.1111111111111111</v>
      </c>
      <c r="EL13" s="63">
        <f t="shared" si="12"/>
        <v>0.22222222222222221</v>
      </c>
      <c r="EM13" s="63">
        <f t="shared" si="13"/>
        <v>0.33333333333333331</v>
      </c>
      <c r="EN13" s="63">
        <f t="shared" si="14"/>
        <v>0.33333333333333331</v>
      </c>
      <c r="EO13" s="63">
        <f t="shared" si="15"/>
        <v>0.33333333333333331</v>
      </c>
      <c r="EP13" s="63">
        <f t="shared" si="16"/>
        <v>0.33333333333333331</v>
      </c>
      <c r="ET13" t="str">
        <v>4A.1</v>
      </c>
      <c r="EU13" s="38" t="e">
        <f t="shared" si="49"/>
        <v>#REF!</v>
      </c>
      <c r="EV13" s="38" t="e">
        <f t="shared" si="50"/>
        <v>#REF!</v>
      </c>
      <c r="EW13" s="38" t="e">
        <f t="shared" si="51"/>
        <v>#REF!</v>
      </c>
      <c r="EX13" s="38" t="e">
        <f t="shared" si="52"/>
        <v>#REF!</v>
      </c>
      <c r="EY13" s="38" t="e">
        <f t="shared" si="53"/>
        <v>#REF!</v>
      </c>
      <c r="EZ13" s="38" t="e">
        <f t="shared" si="54"/>
        <v>#REF!</v>
      </c>
      <c r="FA13" s="38" t="e">
        <f t="shared" si="55"/>
        <v>#REF!</v>
      </c>
      <c r="FB13" s="38" t="e">
        <f t="shared" si="56"/>
        <v>#REF!</v>
      </c>
      <c r="FC13" s="38" t="e">
        <f t="shared" si="57"/>
        <v>#REF!</v>
      </c>
      <c r="FD13" s="38" t="e">
        <f t="shared" si="58"/>
        <v>#REF!</v>
      </c>
      <c r="FE13" s="38">
        <f t="shared" si="59"/>
        <v>0</v>
      </c>
      <c r="FF13" s="38">
        <f t="shared" si="60"/>
        <v>0</v>
      </c>
      <c r="FG13" s="38">
        <f t="shared" si="61"/>
        <v>0</v>
      </c>
      <c r="FH13" s="38">
        <f t="shared" si="62"/>
        <v>0</v>
      </c>
      <c r="FI13" s="38">
        <f t="shared" si="63"/>
        <v>0</v>
      </c>
      <c r="FJ13" s="38">
        <f t="shared" si="64"/>
        <v>0.61111111111111105</v>
      </c>
      <c r="FK13" s="38">
        <f t="shared" si="65"/>
        <v>0.61111111111111105</v>
      </c>
      <c r="FL13" s="38">
        <f t="shared" si="17"/>
        <v>0.61111111111111105</v>
      </c>
      <c r="FM13" s="38">
        <v>1</v>
      </c>
      <c r="FN13" s="38">
        <f t="shared" si="66"/>
        <v>0.66666666666666663</v>
      </c>
      <c r="FO13" s="38">
        <f t="shared" si="67"/>
        <v>0.1111111111111111</v>
      </c>
      <c r="FU13" s="51">
        <v>46113</v>
      </c>
      <c r="FV13" t="s">
        <v>22</v>
      </c>
      <c r="FW13" t="s">
        <v>22</v>
      </c>
      <c r="FX13" t="s">
        <v>22</v>
      </c>
      <c r="FY13" t="s">
        <v>22</v>
      </c>
      <c r="FZ13" t="s">
        <v>22</v>
      </c>
      <c r="GA13" t="s">
        <v>22</v>
      </c>
      <c r="GB13" t="s">
        <v>22</v>
      </c>
      <c r="GC13" t="s">
        <v>22</v>
      </c>
      <c r="GD13" t="s">
        <v>22</v>
      </c>
      <c r="GE13" t="s">
        <v>22</v>
      </c>
      <c r="GF13" t="s">
        <v>22</v>
      </c>
      <c r="GG13" t="s">
        <v>22</v>
      </c>
      <c r="GH13" t="s">
        <v>22</v>
      </c>
      <c r="GI13" t="s">
        <v>22</v>
      </c>
      <c r="GJ13" t="s">
        <v>22</v>
      </c>
      <c r="GK13" t="s">
        <v>22</v>
      </c>
      <c r="GL13" t="s">
        <v>22</v>
      </c>
      <c r="GM13" t="s">
        <v>22</v>
      </c>
      <c r="GN13" t="s">
        <v>22</v>
      </c>
      <c r="GO13" t="s">
        <v>22</v>
      </c>
      <c r="GP13" t="s">
        <v>22</v>
      </c>
      <c r="GQ13" t="s">
        <v>22</v>
      </c>
      <c r="GR13" t="s">
        <v>22</v>
      </c>
      <c r="GS13" t="s">
        <v>22</v>
      </c>
      <c r="GT13" t="s">
        <v>22</v>
      </c>
      <c r="GU13" t="s">
        <v>22</v>
      </c>
      <c r="GV13" t="s">
        <v>22</v>
      </c>
      <c r="GW13" t="s">
        <v>22</v>
      </c>
      <c r="GX13" t="s">
        <v>22</v>
      </c>
      <c r="GY13" t="s">
        <v>22</v>
      </c>
      <c r="GZ13" t="s">
        <v>22</v>
      </c>
      <c r="HA13" t="s">
        <v>22</v>
      </c>
      <c r="HB13" t="s">
        <v>22</v>
      </c>
      <c r="HC13" t="s">
        <v>22</v>
      </c>
      <c r="HD13" t="s">
        <v>22</v>
      </c>
      <c r="HE13" t="s">
        <v>22</v>
      </c>
      <c r="HF13" t="s">
        <v>22</v>
      </c>
      <c r="HG13" t="s">
        <v>22</v>
      </c>
      <c r="HH13" t="s">
        <v>22</v>
      </c>
      <c r="HI13" t="s">
        <v>22</v>
      </c>
      <c r="HJ13" t="s">
        <v>22</v>
      </c>
      <c r="HK13" t="s">
        <v>22</v>
      </c>
      <c r="HL13" t="s">
        <v>22</v>
      </c>
      <c r="HM13" t="s">
        <v>22</v>
      </c>
      <c r="HN13" t="s">
        <v>22</v>
      </c>
      <c r="HO13" cm="1">
        <f t="array" ref="HO13">SUMPRODUCT(--(FV13:HN13&lt;&gt;""))</f>
        <v>0</v>
      </c>
    </row>
    <row r="14" spans="1:242">
      <c r="A14" t="str">
        <f t="shared" si="18"/>
        <v>2.3</v>
      </c>
      <c r="B14" t="s">
        <v>45</v>
      </c>
      <c r="C14" s="27">
        <v>1</v>
      </c>
      <c r="D14" s="27">
        <v>1</v>
      </c>
      <c r="E14" s="31">
        <f>IF($D14=0,0,IF(_xlfn.XLOOKUP($B14,'TH_MLG GRADE 10'!$B$7:$B$49,'TH_MLG GRADE 10'!C$7:C$49,"",0,1)="P",1*$D14,0))</f>
        <v>0</v>
      </c>
      <c r="F14" s="31">
        <f>IF($D14=0,0,IF(_xlfn.XLOOKUP($B14,'TH_MLG GRADE 10'!$B$7:$B$49,'TH_MLG GRADE 10'!D$7:D$49,"",0,1)="P",1*$D14,0))</f>
        <v>0</v>
      </c>
      <c r="G14" s="31">
        <f>IF($D14=0,0,IF(_xlfn.XLOOKUP($B14,'TH_MLG GRADE 10'!$B$7:$B$49,'TH_MLG GRADE 10'!E$7:E$49,"",0,1)="P",1*$D14,0))</f>
        <v>0</v>
      </c>
      <c r="H14" s="31">
        <f>IF($D14=0,0,IF(_xlfn.XLOOKUP($B14,'TH_MLG GRADE 10'!$B$7:$B$49,'TH_MLG GRADE 10'!I$7:I$49,"",0,1)="P",1*$D14,0))</f>
        <v>0</v>
      </c>
      <c r="I14" s="31">
        <f>IF($D14=0,0,IF(_xlfn.XLOOKUP($B14,'TH_MLG GRADE 10'!$B$7:$B$49,'TH_MLG GRADE 10'!J$7:J$49,"",0,1)="P",1*$D14,0))</f>
        <v>0</v>
      </c>
      <c r="J14" s="31">
        <f>IF($D14=0,0,IF(_xlfn.XLOOKUP($B14,'TH_MLG GRADE 10'!$B$7:$B$49,'TH_MLG GRADE 10'!K$7:K$49,"",0,1)="P",1*$D14,0))</f>
        <v>0</v>
      </c>
      <c r="K14" s="31">
        <f>IF($D14=0,0,IF(_xlfn.XLOOKUP($B14,'TH_MLG GRADE 10'!$B$7:$B$49,'TH_MLG GRADE 10'!O$7:O$49,"",0,1)="P",1*$D14,0))</f>
        <v>0</v>
      </c>
      <c r="L14" s="31">
        <f>IF($D14=0,0,IF(_xlfn.XLOOKUP($B14,'TH_MLG GRADE 10'!$B$7:$B$49,'TH_MLG GRADE 10'!P$7:P$49,"",0,1)="P",1*$D14,0))</f>
        <v>0</v>
      </c>
      <c r="M14" s="31">
        <f>IF($D14=0,0,IF(_xlfn.XLOOKUP($B14,'TH_MLG GRADE 10'!$B$7:$B$49,'TH_MLG GRADE 10'!Q$7:Q$49,"",0,1)="P",1*$D14,0))</f>
        <v>0</v>
      </c>
      <c r="N14" s="31">
        <f>IF($D14=0,0,IF(_xlfn.XLOOKUP($B14,'TH_MLG GRADE 10'!$B$7:$B$49,'TH_MLG GRADE 10'!AA$7:AA$49,"",0,1)="P",1*$D14,0))</f>
        <v>0</v>
      </c>
      <c r="O14" s="31">
        <f>IF($D14=0,0,IF(_xlfn.XLOOKUP($B14,'TH_MLG GRADE 10'!$B$7:$B$49,'TH_MLG GRADE 10'!AB$7:AB$49,"",0,1)="P",1*$D14,0))</f>
        <v>0</v>
      </c>
      <c r="P14" s="31">
        <f>IF($D14=0,0,IF(_xlfn.XLOOKUP($B14,'TH_MLG GRADE 10'!$B$7:$B$49,'TH_MLG GRADE 10'!AC$7:AC$49,"",0,1)="P",1*$D14,0))</f>
        <v>0</v>
      </c>
      <c r="Q14" s="31">
        <f>IF($D14=0,0,IF(_xlfn.XLOOKUP($B14,'TH_MLG GRADE 10'!$B$7:$B$49,'TH_MLG GRADE 10'!AG$7:AG$49,"",0,1)="P",1*$D14,0))</f>
        <v>0</v>
      </c>
      <c r="R14" s="31">
        <f>IF($D14=0,0,IF(_xlfn.XLOOKUP($B14,'TH_MLG GRADE 10'!$B$7:$B$49,'TH_MLG GRADE 10'!AH$7:AH$49,"",0,1)="P",1*$D14,0))</f>
        <v>0</v>
      </c>
      <c r="S14" s="31">
        <f>IF($D14=0,0,IF(_xlfn.XLOOKUP($B14,'TH_MLG GRADE 10'!$B$7:$B$49,'TH_MLG GRADE 10'!AI$7:AI$49,"",0,1)="P",1*$D14,0))</f>
        <v>0</v>
      </c>
      <c r="T14" s="31">
        <f>IF($D14=0,0,IF(_xlfn.XLOOKUP($B14,'TH_MLG GRADE 10'!$B$7:$B$49,'TH_MLG GRADE 10'!AM$7:AM$49,"",0,1)="P",1*$D14,0))</f>
        <v>1</v>
      </c>
      <c r="U14" s="31">
        <f>IF($D14=0,0,IF(_xlfn.XLOOKUP($B14,'TH_MLG GRADE 10'!$B$7:$B$49,'TH_MLG GRADE 10'!AN$7:AN$49,"",0,1)="P",1*$D14,0))</f>
        <v>1</v>
      </c>
      <c r="V14" s="31">
        <f>IF($D14=0,0,IF(_xlfn.XLOOKUP($B14,'TH_MLG GRADE 10'!$B$7:$B$49,'TH_MLG GRADE 10'!AO$7:AO$49,"",0,1)="P",1*$D14,0))</f>
        <v>1</v>
      </c>
      <c r="W14" s="31">
        <f>IF($D14=0,0,IF(_xlfn.XLOOKUP($B14,'TH_MLG GRADE 10'!$B$7:$B$49,'TH_MLG GRADE 10'!AY$7:AY$49,"",0,1)="P",1*$D14,0))</f>
        <v>1</v>
      </c>
      <c r="X14" s="31">
        <f>IF($D14=0,0,IF(_xlfn.XLOOKUP($B14,'TH_MLG GRADE 10'!$B$7:$B$49,'TH_MLG GRADE 10'!AZ$7:AZ$49,"",0,1)="P",1*$D14,0))</f>
        <v>1</v>
      </c>
      <c r="Y14" s="31">
        <f>IF($D14=0,0,IF(_xlfn.XLOOKUP($B14,'TH_MLG GRADE 10'!$B$7:$B$49,'TH_MLG GRADE 10'!BA$7:BA$49,"",0,1)="P",1*$D14,0))</f>
        <v>0</v>
      </c>
      <c r="Z14" s="31">
        <f>IF($D14=0,0,IF(_xlfn.XLOOKUP($B14,'TH_MLG GRADE 10'!$B$7:$B$49,'TH_MLG GRADE 10'!BE$7:BE$49,"",0,1)="P",1*$D14,0))</f>
        <v>0</v>
      </c>
      <c r="AA14" s="31">
        <f>IF($D14=0,0,IF(_xlfn.XLOOKUP($B14,'TH_MLG GRADE 10'!$B$7:$B$49,'TH_MLG GRADE 10'!BF$7:BF$49,"",0,1)="P",1*$D14,0))</f>
        <v>0</v>
      </c>
      <c r="AB14" s="31">
        <f>IF($D14=0,0,IF(_xlfn.XLOOKUP($B14,'TH_MLG GRADE 10'!$B$7:$B$49,'TH_MLG GRADE 10'!BG$7:BG$49,"",0,1)="P",1*$D14,0))</f>
        <v>0</v>
      </c>
      <c r="AC14" s="31" t="e">
        <f>IF($D14=0,0,IF(_xlfn.XLOOKUP($B14,'TH_MLG GRADE 10'!$B$7:$B$49,'TH_MLG GRADE 10'!#REF!,"",0,1)="P",1*$D14,0))</f>
        <v>#REF!</v>
      </c>
      <c r="AD14" s="31" t="e">
        <f>IF($D14=0,0,IF(_xlfn.XLOOKUP($B14,'TH_MLG GRADE 10'!$B$7:$B$49,'TH_MLG GRADE 10'!#REF!,"",0,1)="P",1*$D14,0))</f>
        <v>#REF!</v>
      </c>
      <c r="AE14" s="31" t="e">
        <f>IF($D14=0,0,IF(_xlfn.XLOOKUP($B14,'TH_MLG GRADE 10'!$B$7:$B$49,'TH_MLG GRADE 10'!#REF!,"",0,1)="P",1*$D14,0))</f>
        <v>#REF!</v>
      </c>
      <c r="AF14" s="31" t="e">
        <f>IF($D14=0,0,IF(_xlfn.XLOOKUP($B14,'TH_MLG GRADE 10'!$B$7:$B$49,'TH_MLG GRADE 10'!#REF!,"",0,1)="P",1*$D14,0))</f>
        <v>#REF!</v>
      </c>
      <c r="AG14" s="31" t="e">
        <f>IF($D14=0,0,IF(_xlfn.XLOOKUP($B14,'TH_MLG GRADE 10'!$B$7:$B$49,'TH_MLG GRADE 10'!#REF!,"",0,1)="P",1*$D14,0))</f>
        <v>#REF!</v>
      </c>
      <c r="AH14" s="31" t="e">
        <f>IF($D14=0,0,IF(_xlfn.XLOOKUP($B14,'TH_MLG GRADE 10'!$B$7:$B$49,'TH_MLG GRADE 10'!#REF!,"",0,1)="P",1*$D14,0))</f>
        <v>#REF!</v>
      </c>
      <c r="AI14" s="32">
        <f>IF($D14=0,0,IF(_xlfn.XLOOKUP($B14,'TH_CMI GRADE 10'!$B$7:$B$49,'TH_CMI GRADE 10'!C$7:C$49,"",0,1)="P",1*$D14,0))</f>
        <v>0</v>
      </c>
      <c r="AJ14" s="32">
        <f>IF($D14=0,0,IF(_xlfn.XLOOKUP($B14,'TH_CMI GRADE 10'!$B$7:$B$49,'TH_CMI GRADE 10'!D$7:D$49,"",0,1)="P",1*$D14,0))</f>
        <v>0</v>
      </c>
      <c r="AK14" s="32">
        <f>IF($D14=0,0,IF(_xlfn.XLOOKUP($B14,'TH_CMI GRADE 10'!$B$7:$B$49,'TH_CMI GRADE 10'!H$7:H$49,"",0,1)="P",1*$D14,0))</f>
        <v>0</v>
      </c>
      <c r="AL14" s="32">
        <f>IF($D14=0,0,IF(_xlfn.XLOOKUP($B14,'TH_CMI GRADE 10'!$B$7:$B$49,'TH_CMI GRADE 10'!I$7:I$49,"",0,1)="P",1*$D14,0))</f>
        <v>0</v>
      </c>
      <c r="AM14" s="32">
        <f>IF($D14=0,0,IF(_xlfn.XLOOKUP($B14,'TH_CMI GRADE 10'!$B$7:$B$49,'TH_CMI GRADE 10'!J$7:J$49,"",0,1)="P",1*$D14,0))</f>
        <v>0</v>
      </c>
      <c r="AN14" s="32">
        <f>IF($D14=0,0,IF(_xlfn.XLOOKUP($B14,'TH_CMI GRADE 10'!$B$7:$B$49,'TH_CMI GRADE 10'!K$7:K$49,"",0,1)="P",1*$D14,0))</f>
        <v>0</v>
      </c>
      <c r="AO14" s="32">
        <f>IF($D14=0,0,IF(_xlfn.XLOOKUP($B14,'TH_CMI GRADE 10'!$B$7:$B$49,'TH_CMI GRADE 10'!O$7:O$49,"",0,1)="P",1*$D14,0))</f>
        <v>0</v>
      </c>
      <c r="AP14" s="32">
        <f>IF($D14=0,0,IF(_xlfn.XLOOKUP($B14,'TH_CMI GRADE 10'!$B$7:$B$49,'TH_CMI GRADE 10'!P$7:P$49,"",0,1)="P",1*$D14,0))</f>
        <v>0</v>
      </c>
      <c r="AQ14" s="32">
        <f>IF($D14=0,0,IF(_xlfn.XLOOKUP($B14,'TH_CMI GRADE 10'!$B$7:$B$49,'TH_CMI GRADE 10'!Q$7:Q$49,"",0,1)="P",1*$D14,0))</f>
        <v>0</v>
      </c>
      <c r="AR14" s="32">
        <f>IF($D14=0,0,IF(_xlfn.XLOOKUP($B14,'TH_CMI GRADE 10'!$B$7:$B$49,'TH_CMI GRADE 10'!U$7:U$49,"",0,1)="P",1*$D14,0))</f>
        <v>0</v>
      </c>
      <c r="AS14" s="32">
        <f>IF($D14=0,0,IF(_xlfn.XLOOKUP($B14,'TH_CMI GRADE 10'!$B$7:$B$49,'TH_CMI GRADE 10'!V$7:V$49,"",0,1)="P",1*$D14,0))</f>
        <v>0</v>
      </c>
      <c r="AT14" s="32">
        <f>IF($D14=0,0,IF(_xlfn.XLOOKUP($B14,'TH_CMI GRADE 10'!$B$7:$B$49,'TH_CMI GRADE 10'!W$7:W$49,"",0,1)="P",1*$D14,0))</f>
        <v>0</v>
      </c>
      <c r="AU14" s="32">
        <f>IF($D14=0,0,IF(_xlfn.XLOOKUP($B14,'TH_CMI GRADE 10'!$B$7:$B$49,'TH_CMI GRADE 10'!AA$7:AA$49,"",0,1)="P",1*$D14,0))</f>
        <v>1</v>
      </c>
      <c r="AV14" s="32">
        <f>IF($D14=0,0,IF(_xlfn.XLOOKUP($B14,'TH_CMI GRADE 10'!$B$7:$B$49,'TH_CMI GRADE 10'!AB$7:AB$49,"",0,1)="P",1*$D14,0))</f>
        <v>1</v>
      </c>
      <c r="AW14" s="32">
        <f>IF($D14=0,0,IF(_xlfn.XLOOKUP($B14,'TH_CMI GRADE 10'!$B$7:$B$49,'TH_CMI GRADE 10'!AC$7:AC$49,"",0,1)="P",1*$D14,0))</f>
        <v>1</v>
      </c>
      <c r="AX14" s="32">
        <f>IF($D14=0,0,IF(_xlfn.XLOOKUP($B14,'TH_CMI GRADE 10'!$B$7:$B$49,'TH_CMI GRADE 10'!AG$7:AG$49,"",0,1)="P",1*$D14,0))</f>
        <v>1</v>
      </c>
      <c r="AY14" s="32">
        <f>IF($D14=0,0,IF(_xlfn.XLOOKUP($B14,'TH_CMI GRADE 10'!$B$7:$B$49,'TH_CMI GRADE 10'!AH$7:AH$49,"",0,1)="P",1*$D14,0))</f>
        <v>1</v>
      </c>
      <c r="AZ14" s="32">
        <f>IF($D14=0,0,IF(_xlfn.XLOOKUP($B14,'TH_CMI GRADE 10'!$B$7:$B$49,'TH_CMI GRADE 10'!AI$7:AI$49,"",0,1)="P",1*$D14,0))</f>
        <v>1</v>
      </c>
      <c r="BA14" s="31" t="e">
        <f>IF($C14=0,0,IF(_xlfn.XLOOKUP($B14,'PW_MLG GRADE 10'!$B$7:$B$31,'PW_MLG GRADE 10'!#REF!,"",0,1)="P",1*$C14,0))</f>
        <v>#REF!</v>
      </c>
      <c r="BB14" s="31" t="e">
        <f>IF($C14=0,0,IF(_xlfn.XLOOKUP($B14,'PW_MLG GRADE 10'!$B$7:$B$31,'PW_MLG GRADE 10'!#REF!,"",0,1)="P",1*$C14,0))</f>
        <v>#REF!</v>
      </c>
      <c r="BC14" s="31" t="e">
        <f>IF($C14=0,0,IF(_xlfn.XLOOKUP($B14,'PW_MLG GRADE 10'!$B$7:$B$31,'PW_MLG GRADE 10'!#REF!,"",0,1)="P",1*$C14,0))</f>
        <v>#REF!</v>
      </c>
      <c r="BD14" s="31" t="e">
        <f>IF($C14=0,0,IF(_xlfn.XLOOKUP($B14,'PW_MLG GRADE 10'!$B$7:$B$31,'PW_MLG GRADE 10'!#REF!,"",0,1)="P",1*$C14,0))</f>
        <v>#REF!</v>
      </c>
      <c r="BE14" s="31" t="e">
        <f>IF($C14=0,0,IF(_xlfn.XLOOKUP($B14,'PW_MLG GRADE 10'!$B$7:$B$31,'PW_MLG GRADE 10'!#REF!,"",0,1)="P",1*$C14,0))</f>
        <v>#REF!</v>
      </c>
      <c r="BF14" s="31" t="e">
        <f>IF($C14=0,0,IF(_xlfn.XLOOKUP($B14,'PW_MLG GRADE 10'!$B$7:$B$31,'PW_MLG GRADE 10'!#REF!,"",0,1)="P",1*$C14,0))</f>
        <v>#REF!</v>
      </c>
      <c r="BG14" s="31" t="e">
        <f>IF($C14=0,0,IF(_xlfn.XLOOKUP($B14,'PW_MLG GRADE 10'!$B$7:$B$31,'PW_MLG GRADE 10'!#REF!,"",0,1)="P",1*$C14,0))</f>
        <v>#REF!</v>
      </c>
      <c r="BH14" s="31" t="e">
        <f>IF($C14=0,0,IF(_xlfn.XLOOKUP($B14,'PW_MLG GRADE 10'!$B$7:$B$31,'PW_MLG GRADE 10'!#REF!,"",0,1)="P",1*$C14,0))</f>
        <v>#REF!</v>
      </c>
      <c r="BI14" s="31" t="e">
        <f>IF($C14=0,0,IF(_xlfn.XLOOKUP($B14,'PW_MLG GRADE 10'!$B$7:$B$31,'PW_MLG GRADE 10'!#REF!,"",0,1)="P",1*$C14,0))</f>
        <v>#REF!</v>
      </c>
      <c r="BJ14" s="31" t="e">
        <f>IF($C14=0,0,IF(_xlfn.XLOOKUP($B14,'PW_MLG GRADE 10'!$B$7:$B$31,'PW_MLG GRADE 10'!#REF!,"",0,1)="P",1*$C14,0))</f>
        <v>#REF!</v>
      </c>
      <c r="BK14" s="31" t="e">
        <f>IF($C14=0,0,IF(_xlfn.XLOOKUP($B14,'PW_MLG GRADE 10'!$B$7:$B$31,'PW_MLG GRADE 10'!#REF!,"",0,1)="P",1*$C14,0))</f>
        <v>#REF!</v>
      </c>
      <c r="BL14" s="31" t="e">
        <f>IF($C14=0,0,IF(_xlfn.XLOOKUP($B14,'PW_MLG GRADE 10'!$B$7:$B$31,'PW_MLG GRADE 10'!#REF!,"",0,1)="P",1*$C14,0))</f>
        <v>#REF!</v>
      </c>
      <c r="BM14" s="31" t="e">
        <f>IF($C14=0,0,IF(_xlfn.XLOOKUP($B14,'PW_MLG GRADE 10'!$B$7:$B$31,'PW_MLG GRADE 10'!#REF!,"",0,1)="P",1*$C14,0))</f>
        <v>#REF!</v>
      </c>
      <c r="BN14" s="31" t="e">
        <f>IF($C14=0,0,IF(_xlfn.XLOOKUP($B14,'PW_MLG GRADE 10'!$B$7:$B$31,'PW_MLG GRADE 10'!#REF!,"",0,1)="P",1*$C14,0))</f>
        <v>#REF!</v>
      </c>
      <c r="BO14" s="31" t="e">
        <f>IF($C14=0,0,IF(_xlfn.XLOOKUP($B14,'PW_MLG GRADE 10'!$B$7:$B$31,'PW_MLG GRADE 10'!#REF!,"",0,1)="P",1*$C14,0))</f>
        <v>#REF!</v>
      </c>
      <c r="BP14" s="31" t="e">
        <f>IF($C14=0,0,IF(_xlfn.XLOOKUP($B14,'PW_MLG GRADE 10'!$B$7:$B$31,'PW_MLG GRADE 10'!#REF!,"",0,1)="P",1*$C14,0))</f>
        <v>#REF!</v>
      </c>
      <c r="BQ14" s="31" t="e">
        <f>IF($C14=0,0,IF(_xlfn.XLOOKUP($B14,'PW_MLG GRADE 10'!$B$7:$B$31,'PW_MLG GRADE 10'!#REF!,"",0,1)="P",1*$C14,0))</f>
        <v>#REF!</v>
      </c>
      <c r="BR14" s="31" t="e">
        <f>IF($C14=0,0,IF(_xlfn.XLOOKUP($B14,'PW_MLG GRADE 10'!$B$7:$B$31,'PW_MLG GRADE 10'!#REF!,"",0,1)="P",1*$C14,0))</f>
        <v>#REF!</v>
      </c>
      <c r="BS14" s="31" t="e">
        <f>IF($C14=0,0,IF(_xlfn.XLOOKUP($B14,'PW_MLG GRADE 10'!$B$7:$B$31,'PW_MLG GRADE 10'!#REF!,"",0,1)="P",1*$C14,0))</f>
        <v>#REF!</v>
      </c>
      <c r="BT14" s="31" t="e">
        <f>IF($C14=0,0,IF(_xlfn.XLOOKUP($B14,'PW_MLG GRADE 10'!$B$7:$B$31,'PW_MLG GRADE 10'!#REF!,"",0,1)="P",1*$C14,0))</f>
        <v>#REF!</v>
      </c>
      <c r="BU14" s="31" t="e">
        <f>IF($C14=0,0,IF(_xlfn.XLOOKUP($B14,'PW_MLG GRADE 10'!$B$7:$B$31,'PW_MLG GRADE 10'!#REF!,"",0,1)="P",1*$C14,0))</f>
        <v>#REF!</v>
      </c>
      <c r="BV14" s="31" t="e">
        <f>IF($C14=0,0,IF(_xlfn.XLOOKUP($B14,'PW_MLG GRADE 10'!$B$7:$B$31,'PW_MLG GRADE 10'!#REF!,"",0,1)="P",1*$C14,0))</f>
        <v>#REF!</v>
      </c>
      <c r="BW14" s="31" t="e">
        <f>IF($C14=0,0,IF(_xlfn.XLOOKUP($B14,'PW_MLG GRADE 10'!$B$7:$B$31,'PW_MLG GRADE 10'!#REF!,"",0,1)="P",1*$C14,0))</f>
        <v>#REF!</v>
      </c>
      <c r="BX14" s="31" t="e">
        <f>IF($C14=0,0,IF(_xlfn.XLOOKUP($B14,'PW_MLG GRADE 10'!$B$7:$B$31,'PW_MLG GRADE 10'!#REF!,"",0,1)="P",1*$C14,0))</f>
        <v>#REF!</v>
      </c>
      <c r="BY14" s="31" t="e">
        <f>IF($C14=0,0,IF(_xlfn.XLOOKUP($B14,'PW_MLG GRADE 10'!$B$7:$B$31,'PW_MLG GRADE 10'!#REF!,"",0,1)="P",1*$C14,0))</f>
        <v>#REF!</v>
      </c>
      <c r="BZ14" s="31" t="e">
        <f>IF($C14=0,0,IF(_xlfn.XLOOKUP($B14,'PW_MLG GRADE 10'!$B$7:$B$31,'PW_MLG GRADE 10'!#REF!,"",0,1)="P",1*$C14,0))</f>
        <v>#REF!</v>
      </c>
      <c r="CA14" s="31" t="e">
        <f>IF($C14=0,0,IF(_xlfn.XLOOKUP($B14,'PW_MLG GRADE 10'!$B$7:$B$31,'PW_MLG GRADE 10'!#REF!,"",0,1)="P",1*$C14,0))</f>
        <v>#REF!</v>
      </c>
      <c r="CB14" s="31" t="e">
        <f>IF($C14=0,0,IF(_xlfn.XLOOKUP($B14,'PW_MLG GRADE 10'!$B$7:$B$31,'PW_MLG GRADE 10'!#REF!,"",0,1)="P",1*$C14,0))</f>
        <v>#REF!</v>
      </c>
      <c r="CC14" s="31" t="e">
        <f>IF($C14=0,0,IF(_xlfn.XLOOKUP($B14,'PW_MLG GRADE 10'!$B$7:$B$31,'PW_MLG GRADE 10'!#REF!,"",0,1)="P",1*$C14,0))</f>
        <v>#REF!</v>
      </c>
      <c r="CD14" s="31" t="e">
        <f>IF($C14=0,0,IF(_xlfn.XLOOKUP($B14,'PW_MLG GRADE 10'!$B$7:$B$31,'PW_MLG GRADE 10'!#REF!,"",0,1)="P",1*$C14,0))</f>
        <v>#REF!</v>
      </c>
      <c r="CE14" s="32">
        <f>IF($C14=0,0,IF(_xlfn.XLOOKUP($B14,'PW_CMI GRADE 10'!$B$7:$B$31,'PW_CMI GRADE 10'!C$7:C$31,"",0,1)="P",1*$C14,0))</f>
        <v>0</v>
      </c>
      <c r="CF14" s="32">
        <f>IF($C14=0,0,IF(_xlfn.XLOOKUP($B14,'PW_CMI GRADE 10'!$B$7:$B$31,'PW_CMI GRADE 10'!D$7:D$31,"",0,1)="P",1*$C14,0))</f>
        <v>0</v>
      </c>
      <c r="CG14" s="32">
        <f>IF($C14=0,0,IF(_xlfn.XLOOKUP($B14,'PW_CMI GRADE 10'!$B$7:$B$31,'PW_CMI GRADE 10'!E$7:E$31,"",0,1)="P",1*$C14,0))</f>
        <v>0</v>
      </c>
      <c r="CH14" s="32">
        <f>IF($C14=0,0,IF(_xlfn.XLOOKUP($B14,'PW_CMI GRADE 10'!$B$7:$B$31,'PW_CMI GRADE 10'!F$7:F$31,"",0,1)="P",1*$C14,0))</f>
        <v>0</v>
      </c>
      <c r="CI14" s="32">
        <f>IF($C14=0,0,IF(_xlfn.XLOOKUP($B14,'PW_CMI GRADE 10'!$B$7:$B$31,'PW_CMI GRADE 10'!G$7:G$31,"",0,1)="P",1*$C14,0))</f>
        <v>0</v>
      </c>
      <c r="CJ14" s="32">
        <f>IF($C14=0,0,IF(_xlfn.XLOOKUP($B14,'PW_CMI GRADE 10'!$B$7:$B$31,'PW_CMI GRADE 10'!H$7:H$31,"",0,1)="P",1*$C14,0))</f>
        <v>0</v>
      </c>
      <c r="CK14" s="32">
        <f>IF($C14=0,0,IF(_xlfn.XLOOKUP($B14,'PW_CMI GRADE 10'!$B$7:$B$31,'PW_CMI GRADE 10'!I$7:I$31,"",0,1)="P",1*$C14,0))</f>
        <v>0</v>
      </c>
      <c r="CL14" s="32">
        <f>IF($C14=0,0,IF(_xlfn.XLOOKUP($B14,'PW_CMI GRADE 10'!$B$7:$B$31,'PW_CMI GRADE 10'!J$7:J$31,"",0,1)="P",1*$C14,0))</f>
        <v>0</v>
      </c>
      <c r="CM14" s="32">
        <f>IF($C14=0,0,IF(_xlfn.XLOOKUP($B14,'PW_CMI GRADE 10'!$B$7:$B$31,'PW_CMI GRADE 10'!K$7:K$31,"",0,1)="P",1*$C14,0))</f>
        <v>0</v>
      </c>
      <c r="CN14" s="32">
        <f>IF($C14=0,0,IF(_xlfn.XLOOKUP($B14,'PW_CMI GRADE 10'!$B$7:$B$31,'PW_CMI GRADE 10'!L$7:L$31,"",0,1)="P",1*$C14,0))</f>
        <v>0</v>
      </c>
      <c r="CO14" s="32">
        <f>IF($C14=0,0,IF(_xlfn.XLOOKUP($B14,'PW_CMI GRADE 10'!$B$7:$B$31,'PW_CMI GRADE 10'!M$7:M$31,"",0,1)="P",1*$C14,0))</f>
        <v>0</v>
      </c>
      <c r="CP14" s="32">
        <f>IF($C14=0,0,IF(_xlfn.XLOOKUP($B14,'PW_CMI GRADE 10'!$B$7:$B$31,'PW_CMI GRADE 10'!N$7:N$31,"",0,1)="P",1*$C14,0))</f>
        <v>0</v>
      </c>
      <c r="CQ14" s="32">
        <f>IF($C14=0,0,IF(_xlfn.XLOOKUP($B14,'PW_CMI GRADE 10'!$B$7:$B$31,'PW_CMI GRADE 10'!O$7:O$31,"",0,1)="P",1*$C14,0))</f>
        <v>0</v>
      </c>
      <c r="CR14" s="32">
        <f>IF($C14=0,0,IF(_xlfn.XLOOKUP($B14,'PW_CMI GRADE 10'!$B$7:$B$31,'PW_CMI GRADE 10'!P$7:P$31,"",0,1)="P",1*$C14,0))</f>
        <v>0</v>
      </c>
      <c r="CS14" s="32">
        <f>IF($C14=0,0,IF(_xlfn.XLOOKUP($B14,'PW_CMI GRADE 10'!$B$7:$B$31,'PW_CMI GRADE 10'!Q$7:Q$31,"",0,1)="P",1*$C14,0))</f>
        <v>0</v>
      </c>
      <c r="CT14" s="32">
        <f>IF($C14=0,0,IF(_xlfn.XLOOKUP($B14,'PW_CMI GRADE 10'!$B$7:$B$31,'PW_CMI GRADE 10'!R$7:R$31,"",0,1)="P",1*$C14,0))</f>
        <v>0</v>
      </c>
      <c r="CU14" s="32">
        <f>IF($C14=0,0,IF(_xlfn.XLOOKUP($B14,'PW_CMI GRADE 10'!$B$7:$B$31,'PW_CMI GRADE 10'!S$7:S$31,"",0,1)="P",1*$C14,0))</f>
        <v>0</v>
      </c>
      <c r="CV14" s="32">
        <f>IF($C14=0,0,IF(_xlfn.XLOOKUP($B14,'PW_CMI GRADE 10'!$B$7:$B$31,'PW_CMI GRADE 10'!T$7:T$31,"",0,1)="P",1*$C14,0))</f>
        <v>0</v>
      </c>
      <c r="CW14" s="62" t="e">
        <f t="shared" si="19"/>
        <v>#REF!</v>
      </c>
      <c r="CX14" s="62" t="e">
        <f t="shared" si="20"/>
        <v>#REF!</v>
      </c>
      <c r="CY14" s="62" t="e">
        <f t="shared" si="21"/>
        <v>#REF!</v>
      </c>
      <c r="CZ14" s="62" t="e">
        <f t="shared" si="22"/>
        <v>#REF!</v>
      </c>
      <c r="DA14" s="62" t="e">
        <f t="shared" si="23"/>
        <v>#REF!</v>
      </c>
      <c r="DB14" s="62" t="e">
        <f t="shared" si="24"/>
        <v>#REF!</v>
      </c>
      <c r="DC14" s="62" t="e">
        <f t="shared" si="25"/>
        <v>#REF!</v>
      </c>
      <c r="DD14" s="62" t="e">
        <f t="shared" si="26"/>
        <v>#REF!</v>
      </c>
      <c r="DE14" s="62" t="e">
        <f t="shared" si="27"/>
        <v>#REF!</v>
      </c>
      <c r="DF14" s="62" t="e">
        <f t="shared" si="28"/>
        <v>#REF!</v>
      </c>
      <c r="DG14" s="62" t="e">
        <f t="shared" si="29"/>
        <v>#REF!</v>
      </c>
      <c r="DH14" s="62" t="e">
        <f t="shared" si="30"/>
        <v>#REF!</v>
      </c>
      <c r="DI14" s="62" t="e">
        <f t="shared" si="31"/>
        <v>#REF!</v>
      </c>
      <c r="DJ14" s="62" t="e">
        <f t="shared" si="32"/>
        <v>#REF!</v>
      </c>
      <c r="DK14" s="62" t="e">
        <f t="shared" si="33"/>
        <v>#REF!</v>
      </c>
      <c r="DL14" s="62" t="e">
        <f t="shared" si="34"/>
        <v>#REF!</v>
      </c>
      <c r="DM14" s="62" t="e">
        <f t="shared" si="35"/>
        <v>#REF!</v>
      </c>
      <c r="DN14" s="62" t="e">
        <f t="shared" si="36"/>
        <v>#REF!</v>
      </c>
      <c r="DO14" s="62" t="e">
        <f t="shared" si="37"/>
        <v>#REF!</v>
      </c>
      <c r="DP14" s="62" t="e">
        <f t="shared" si="38"/>
        <v>#REF!</v>
      </c>
      <c r="DQ14" s="62" t="e">
        <f t="shared" si="39"/>
        <v>#REF!</v>
      </c>
      <c r="DR14" s="62" t="e">
        <f t="shared" si="40"/>
        <v>#REF!</v>
      </c>
      <c r="DS14" s="62" t="e">
        <f t="shared" si="41"/>
        <v>#REF!</v>
      </c>
      <c r="DT14" s="62" t="e">
        <f t="shared" si="42"/>
        <v>#REF!</v>
      </c>
      <c r="DU14" s="62" t="e">
        <f t="shared" si="43"/>
        <v>#REF!</v>
      </c>
      <c r="DV14" s="62" t="e">
        <f t="shared" si="44"/>
        <v>#REF!</v>
      </c>
      <c r="DW14" s="62" t="e">
        <f t="shared" si="45"/>
        <v>#REF!</v>
      </c>
      <c r="DX14" s="62" t="e">
        <f t="shared" si="46"/>
        <v>#REF!</v>
      </c>
      <c r="DY14" s="62" t="e">
        <f t="shared" si="47"/>
        <v>#REF!</v>
      </c>
      <c r="DZ14" s="62" t="e">
        <f t="shared" si="48"/>
        <v>#REF!</v>
      </c>
      <c r="EA14" s="63">
        <f t="shared" si="1"/>
        <v>0</v>
      </c>
      <c r="EB14" s="63">
        <f t="shared" si="2"/>
        <v>0</v>
      </c>
      <c r="EC14" s="63">
        <f t="shared" si="3"/>
        <v>0</v>
      </c>
      <c r="ED14" s="63">
        <f t="shared" si="4"/>
        <v>0</v>
      </c>
      <c r="EE14" s="63">
        <f t="shared" si="5"/>
        <v>0</v>
      </c>
      <c r="EF14" s="63">
        <f t="shared" si="6"/>
        <v>0</v>
      </c>
      <c r="EG14" s="63">
        <f t="shared" si="7"/>
        <v>0</v>
      </c>
      <c r="EH14" s="63">
        <f t="shared" si="8"/>
        <v>0</v>
      </c>
      <c r="EI14" s="63">
        <f t="shared" si="9"/>
        <v>0</v>
      </c>
      <c r="EJ14" s="63">
        <f t="shared" si="10"/>
        <v>0</v>
      </c>
      <c r="EK14" s="63">
        <f t="shared" si="11"/>
        <v>0.16666666666666666</v>
      </c>
      <c r="EL14" s="63">
        <f t="shared" si="12"/>
        <v>0.33333333333333331</v>
      </c>
      <c r="EM14" s="63">
        <f t="shared" si="13"/>
        <v>0.5</v>
      </c>
      <c r="EN14" s="63">
        <f t="shared" si="14"/>
        <v>0.5</v>
      </c>
      <c r="EO14" s="63">
        <f t="shared" si="15"/>
        <v>0.5</v>
      </c>
      <c r="EP14" s="63">
        <f t="shared" si="16"/>
        <v>0.5</v>
      </c>
      <c r="ET14" t="str">
        <v>4A.2</v>
      </c>
      <c r="EU14" s="38" t="e">
        <f t="shared" si="49"/>
        <v>#REF!</v>
      </c>
      <c r="EV14" s="38" t="e">
        <f t="shared" si="50"/>
        <v>#REF!</v>
      </c>
      <c r="EW14" s="38" t="e">
        <f t="shared" si="51"/>
        <v>#REF!</v>
      </c>
      <c r="EX14" s="38" t="e">
        <f t="shared" si="52"/>
        <v>#REF!</v>
      </c>
      <c r="EY14" s="38" t="e">
        <f t="shared" si="53"/>
        <v>#REF!</v>
      </c>
      <c r="EZ14" s="38" t="e">
        <f t="shared" si="54"/>
        <v>#REF!</v>
      </c>
      <c r="FA14" s="38" t="e">
        <f t="shared" si="55"/>
        <v>#REF!</v>
      </c>
      <c r="FB14" s="38" t="e">
        <f t="shared" si="56"/>
        <v>#REF!</v>
      </c>
      <c r="FC14" s="38" t="e">
        <f t="shared" si="57"/>
        <v>#REF!</v>
      </c>
      <c r="FD14" s="38" t="e">
        <f t="shared" si="58"/>
        <v>#REF!</v>
      </c>
      <c r="FE14" s="38">
        <f t="shared" si="59"/>
        <v>0</v>
      </c>
      <c r="FF14" s="38">
        <f t="shared" si="60"/>
        <v>0</v>
      </c>
      <c r="FG14" s="38">
        <f t="shared" si="61"/>
        <v>0</v>
      </c>
      <c r="FH14" s="38">
        <f t="shared" si="62"/>
        <v>0</v>
      </c>
      <c r="FI14" s="38">
        <f t="shared" si="63"/>
        <v>0</v>
      </c>
      <c r="FJ14" s="38">
        <f t="shared" si="64"/>
        <v>0.44444444444444442</v>
      </c>
      <c r="FK14" s="38">
        <f t="shared" si="65"/>
        <v>0.44444444444444442</v>
      </c>
      <c r="FL14" s="38">
        <f t="shared" si="17"/>
        <v>0.44444444444444442</v>
      </c>
      <c r="FM14" s="38">
        <v>1</v>
      </c>
      <c r="FN14" s="38">
        <f t="shared" si="66"/>
        <v>0.66666666666666663</v>
      </c>
      <c r="FO14" s="38">
        <f t="shared" si="67"/>
        <v>0.16666666666666666</v>
      </c>
      <c r="FU14" s="51">
        <v>46143</v>
      </c>
      <c r="FV14" t="s">
        <v>22</v>
      </c>
      <c r="FW14" t="s">
        <v>22</v>
      </c>
      <c r="FX14" t="s">
        <v>22</v>
      </c>
      <c r="FY14" t="s">
        <v>22</v>
      </c>
      <c r="FZ14" t="s">
        <v>22</v>
      </c>
      <c r="GA14" t="s">
        <v>22</v>
      </c>
      <c r="GB14" t="s">
        <v>22</v>
      </c>
      <c r="GC14" t="s">
        <v>22</v>
      </c>
      <c r="GD14" t="s">
        <v>22</v>
      </c>
      <c r="GE14" t="s">
        <v>22</v>
      </c>
      <c r="GF14" t="s">
        <v>22</v>
      </c>
      <c r="GG14" t="s">
        <v>22</v>
      </c>
      <c r="GH14" t="s">
        <v>22</v>
      </c>
      <c r="GI14" t="s">
        <v>22</v>
      </c>
      <c r="GJ14" t="s">
        <v>22</v>
      </c>
      <c r="GK14" t="s">
        <v>22</v>
      </c>
      <c r="GL14" t="s">
        <v>22</v>
      </c>
      <c r="GM14" t="s">
        <v>22</v>
      </c>
      <c r="GN14" t="s">
        <v>22</v>
      </c>
      <c r="GO14" t="s">
        <v>22</v>
      </c>
      <c r="GP14" t="s">
        <v>22</v>
      </c>
      <c r="GQ14" t="s">
        <v>22</v>
      </c>
      <c r="GR14" t="s">
        <v>22</v>
      </c>
      <c r="GS14" t="s">
        <v>22</v>
      </c>
      <c r="GT14" t="s">
        <v>22</v>
      </c>
      <c r="GU14" t="s">
        <v>22</v>
      </c>
      <c r="GV14" t="s">
        <v>22</v>
      </c>
      <c r="GW14" t="s">
        <v>22</v>
      </c>
      <c r="GX14" t="s">
        <v>22</v>
      </c>
      <c r="GY14" t="s">
        <v>22</v>
      </c>
      <c r="GZ14" t="s">
        <v>22</v>
      </c>
      <c r="HA14" t="s">
        <v>22</v>
      </c>
      <c r="HB14" t="s">
        <v>22</v>
      </c>
      <c r="HC14" t="s">
        <v>22</v>
      </c>
      <c r="HD14" t="s">
        <v>22</v>
      </c>
      <c r="HE14" t="s">
        <v>22</v>
      </c>
      <c r="HF14" t="s">
        <v>22</v>
      </c>
      <c r="HG14" t="s">
        <v>22</v>
      </c>
      <c r="HH14" t="s">
        <v>22</v>
      </c>
      <c r="HI14" t="s">
        <v>22</v>
      </c>
      <c r="HJ14" t="s">
        <v>22</v>
      </c>
      <c r="HK14" t="s">
        <v>22</v>
      </c>
      <c r="HL14" t="s">
        <v>22</v>
      </c>
      <c r="HM14" t="s">
        <v>22</v>
      </c>
      <c r="HN14" t="s">
        <v>22</v>
      </c>
      <c r="HO14" cm="1">
        <f t="array" ref="HO14">SUMPRODUCT(--(FV14:HN14&lt;&gt;""))</f>
        <v>0</v>
      </c>
    </row>
    <row r="15" spans="1:242">
      <c r="A15" t="str">
        <f t="shared" si="18"/>
        <v>2.3</v>
      </c>
      <c r="B15" t="s">
        <v>46</v>
      </c>
      <c r="C15" s="27">
        <v>1</v>
      </c>
      <c r="D15" s="27">
        <v>1</v>
      </c>
      <c r="E15" s="31">
        <f>IF($D15=0,0,IF(_xlfn.XLOOKUP($B15,'TH_MLG GRADE 10'!$B$7:$B$49,'TH_MLG GRADE 10'!C$7:C$49,"",0,1)="P",1*$D15,0))</f>
        <v>0</v>
      </c>
      <c r="F15" s="31">
        <f>IF($D15=0,0,IF(_xlfn.XLOOKUP($B15,'TH_MLG GRADE 10'!$B$7:$B$49,'TH_MLG GRADE 10'!D$7:D$49,"",0,1)="P",1*$D15,0))</f>
        <v>0</v>
      </c>
      <c r="G15" s="31">
        <f>IF($D15=0,0,IF(_xlfn.XLOOKUP($B15,'TH_MLG GRADE 10'!$B$7:$B$49,'TH_MLG GRADE 10'!E$7:E$49,"",0,1)="P",1*$D15,0))</f>
        <v>0</v>
      </c>
      <c r="H15" s="31">
        <f>IF($D15=0,0,IF(_xlfn.XLOOKUP($B15,'TH_MLG GRADE 10'!$B$7:$B$49,'TH_MLG GRADE 10'!I$7:I$49,"",0,1)="P",1*$D15,0))</f>
        <v>0</v>
      </c>
      <c r="I15" s="31">
        <f>IF($D15=0,0,IF(_xlfn.XLOOKUP($B15,'TH_MLG GRADE 10'!$B$7:$B$49,'TH_MLG GRADE 10'!J$7:J$49,"",0,1)="P",1*$D15,0))</f>
        <v>0</v>
      </c>
      <c r="J15" s="31">
        <f>IF($D15=0,0,IF(_xlfn.XLOOKUP($B15,'TH_MLG GRADE 10'!$B$7:$B$49,'TH_MLG GRADE 10'!K$7:K$49,"",0,1)="P",1*$D15,0))</f>
        <v>0</v>
      </c>
      <c r="K15" s="31">
        <f>IF($D15=0,0,IF(_xlfn.XLOOKUP($B15,'TH_MLG GRADE 10'!$B$7:$B$49,'TH_MLG GRADE 10'!O$7:O$49,"",0,1)="P",1*$D15,0))</f>
        <v>0</v>
      </c>
      <c r="L15" s="31">
        <f>IF($D15=0,0,IF(_xlfn.XLOOKUP($B15,'TH_MLG GRADE 10'!$B$7:$B$49,'TH_MLG GRADE 10'!P$7:P$49,"",0,1)="P",1*$D15,0))</f>
        <v>0</v>
      </c>
      <c r="M15" s="31">
        <f>IF($D15=0,0,IF(_xlfn.XLOOKUP($B15,'TH_MLG GRADE 10'!$B$7:$B$49,'TH_MLG GRADE 10'!Q$7:Q$49,"",0,1)="P",1*$D15,0))</f>
        <v>0</v>
      </c>
      <c r="N15" s="31">
        <f>IF($D15=0,0,IF(_xlfn.XLOOKUP($B15,'TH_MLG GRADE 10'!$B$7:$B$49,'TH_MLG GRADE 10'!AA$7:AA$49,"",0,1)="P",1*$D15,0))</f>
        <v>0</v>
      </c>
      <c r="O15" s="31">
        <f>IF($D15=0,0,IF(_xlfn.XLOOKUP($B15,'TH_MLG GRADE 10'!$B$7:$B$49,'TH_MLG GRADE 10'!AB$7:AB$49,"",0,1)="P",1*$D15,0))</f>
        <v>0</v>
      </c>
      <c r="P15" s="31">
        <f>IF($D15=0,0,IF(_xlfn.XLOOKUP($B15,'TH_MLG GRADE 10'!$B$7:$B$49,'TH_MLG GRADE 10'!AC$7:AC$49,"",0,1)="P",1*$D15,0))</f>
        <v>0</v>
      </c>
      <c r="Q15" s="31">
        <f>IF($D15=0,0,IF(_xlfn.XLOOKUP($B15,'TH_MLG GRADE 10'!$B$7:$B$49,'TH_MLG GRADE 10'!AG$7:AG$49,"",0,1)="P",1*$D15,0))</f>
        <v>0</v>
      </c>
      <c r="R15" s="31">
        <f>IF($D15=0,0,IF(_xlfn.XLOOKUP($B15,'TH_MLG GRADE 10'!$B$7:$B$49,'TH_MLG GRADE 10'!AH$7:AH$49,"",0,1)="P",1*$D15,0))</f>
        <v>0</v>
      </c>
      <c r="S15" s="31">
        <f>IF($D15=0,0,IF(_xlfn.XLOOKUP($B15,'TH_MLG GRADE 10'!$B$7:$B$49,'TH_MLG GRADE 10'!AI$7:AI$49,"",0,1)="P",1*$D15,0))</f>
        <v>0</v>
      </c>
      <c r="T15" s="31">
        <f>IF($D15=0,0,IF(_xlfn.XLOOKUP($B15,'TH_MLG GRADE 10'!$B$7:$B$49,'TH_MLG GRADE 10'!AM$7:AM$49,"",0,1)="P",1*$D15,0))</f>
        <v>1</v>
      </c>
      <c r="U15" s="31">
        <f>IF($D15=0,0,IF(_xlfn.XLOOKUP($B15,'TH_MLG GRADE 10'!$B$7:$B$49,'TH_MLG GRADE 10'!AN$7:AN$49,"",0,1)="P",1*$D15,0))</f>
        <v>1</v>
      </c>
      <c r="V15" s="31">
        <f>IF($D15=0,0,IF(_xlfn.XLOOKUP($B15,'TH_MLG GRADE 10'!$B$7:$B$49,'TH_MLG GRADE 10'!AO$7:AO$49,"",0,1)="P",1*$D15,0))</f>
        <v>1</v>
      </c>
      <c r="W15" s="31">
        <f>IF($D15=0,0,IF(_xlfn.XLOOKUP($B15,'TH_MLG GRADE 10'!$B$7:$B$49,'TH_MLG GRADE 10'!AY$7:AY$49,"",0,1)="P",1*$D15,0))</f>
        <v>1</v>
      </c>
      <c r="X15" s="31">
        <f>IF($D15=0,0,IF(_xlfn.XLOOKUP($B15,'TH_MLG GRADE 10'!$B$7:$B$49,'TH_MLG GRADE 10'!AZ$7:AZ$49,"",0,1)="P",1*$D15,0))</f>
        <v>1</v>
      </c>
      <c r="Y15" s="31">
        <f>IF($D15=0,0,IF(_xlfn.XLOOKUP($B15,'TH_MLG GRADE 10'!$B$7:$B$49,'TH_MLG GRADE 10'!BA$7:BA$49,"",0,1)="P",1*$D15,0))</f>
        <v>0</v>
      </c>
      <c r="Z15" s="31">
        <f>IF($D15=0,0,IF(_xlfn.XLOOKUP($B15,'TH_MLG GRADE 10'!$B$7:$B$49,'TH_MLG GRADE 10'!BE$7:BE$49,"",0,1)="P",1*$D15,0))</f>
        <v>0</v>
      </c>
      <c r="AA15" s="31">
        <f>IF($D15=0,0,IF(_xlfn.XLOOKUP($B15,'TH_MLG GRADE 10'!$B$7:$B$49,'TH_MLG GRADE 10'!BF$7:BF$49,"",0,1)="P",1*$D15,0))</f>
        <v>0</v>
      </c>
      <c r="AB15" s="31">
        <f>IF($D15=0,0,IF(_xlfn.XLOOKUP($B15,'TH_MLG GRADE 10'!$B$7:$B$49,'TH_MLG GRADE 10'!BG$7:BG$49,"",0,1)="P",1*$D15,0))</f>
        <v>0</v>
      </c>
      <c r="AC15" s="31" t="e">
        <f>IF($D15=0,0,IF(_xlfn.XLOOKUP($B15,'TH_MLG GRADE 10'!$B$7:$B$49,'TH_MLG GRADE 10'!#REF!,"",0,1)="P",1*$D15,0))</f>
        <v>#REF!</v>
      </c>
      <c r="AD15" s="31" t="e">
        <f>IF($D15=0,0,IF(_xlfn.XLOOKUP($B15,'TH_MLG GRADE 10'!$B$7:$B$49,'TH_MLG GRADE 10'!#REF!,"",0,1)="P",1*$D15,0))</f>
        <v>#REF!</v>
      </c>
      <c r="AE15" s="31" t="e">
        <f>IF($D15=0,0,IF(_xlfn.XLOOKUP($B15,'TH_MLG GRADE 10'!$B$7:$B$49,'TH_MLG GRADE 10'!#REF!,"",0,1)="P",1*$D15,0))</f>
        <v>#REF!</v>
      </c>
      <c r="AF15" s="31" t="e">
        <f>IF($D15=0,0,IF(_xlfn.XLOOKUP($B15,'TH_MLG GRADE 10'!$B$7:$B$49,'TH_MLG GRADE 10'!#REF!,"",0,1)="P",1*$D15,0))</f>
        <v>#REF!</v>
      </c>
      <c r="AG15" s="31" t="e">
        <f>IF($D15=0,0,IF(_xlfn.XLOOKUP($B15,'TH_MLG GRADE 10'!$B$7:$B$49,'TH_MLG GRADE 10'!#REF!,"",0,1)="P",1*$D15,0))</f>
        <v>#REF!</v>
      </c>
      <c r="AH15" s="31" t="e">
        <f>IF($D15=0,0,IF(_xlfn.XLOOKUP($B15,'TH_MLG GRADE 10'!$B$7:$B$49,'TH_MLG GRADE 10'!#REF!,"",0,1)="P",1*$D15,0))</f>
        <v>#REF!</v>
      </c>
      <c r="AI15" s="32">
        <f>IF($D15=0,0,IF(_xlfn.XLOOKUP($B15,'TH_CMI GRADE 10'!$B$7:$B$49,'TH_CMI GRADE 10'!C$7:C$49,"",0,1)="P",1*$D15,0))</f>
        <v>0</v>
      </c>
      <c r="AJ15" s="32">
        <f>IF($D15=0,0,IF(_xlfn.XLOOKUP($B15,'TH_CMI GRADE 10'!$B$7:$B$49,'TH_CMI GRADE 10'!D$7:D$49,"",0,1)="P",1*$D15,0))</f>
        <v>0</v>
      </c>
      <c r="AK15" s="32">
        <f>IF($D15=0,0,IF(_xlfn.XLOOKUP($B15,'TH_CMI GRADE 10'!$B$7:$B$49,'TH_CMI GRADE 10'!H$7:H$49,"",0,1)="P",1*$D15,0))</f>
        <v>0</v>
      </c>
      <c r="AL15" s="32">
        <f>IF($D15=0,0,IF(_xlfn.XLOOKUP($B15,'TH_CMI GRADE 10'!$B$7:$B$49,'TH_CMI GRADE 10'!I$7:I$49,"",0,1)="P",1*$D15,0))</f>
        <v>0</v>
      </c>
      <c r="AM15" s="32">
        <f>IF($D15=0,0,IF(_xlfn.XLOOKUP($B15,'TH_CMI GRADE 10'!$B$7:$B$49,'TH_CMI GRADE 10'!J$7:J$49,"",0,1)="P",1*$D15,0))</f>
        <v>0</v>
      </c>
      <c r="AN15" s="32">
        <f>IF($D15=0,0,IF(_xlfn.XLOOKUP($B15,'TH_CMI GRADE 10'!$B$7:$B$49,'TH_CMI GRADE 10'!K$7:K$49,"",0,1)="P",1*$D15,0))</f>
        <v>0</v>
      </c>
      <c r="AO15" s="32">
        <f>IF($D15=0,0,IF(_xlfn.XLOOKUP($B15,'TH_CMI GRADE 10'!$B$7:$B$49,'TH_CMI GRADE 10'!O$7:O$49,"",0,1)="P",1*$D15,0))</f>
        <v>0</v>
      </c>
      <c r="AP15" s="32">
        <f>IF($D15=0,0,IF(_xlfn.XLOOKUP($B15,'TH_CMI GRADE 10'!$B$7:$B$49,'TH_CMI GRADE 10'!P$7:P$49,"",0,1)="P",1*$D15,0))</f>
        <v>0</v>
      </c>
      <c r="AQ15" s="32">
        <f>IF($D15=0,0,IF(_xlfn.XLOOKUP($B15,'TH_CMI GRADE 10'!$B$7:$B$49,'TH_CMI GRADE 10'!Q$7:Q$49,"",0,1)="P",1*$D15,0))</f>
        <v>0</v>
      </c>
      <c r="AR15" s="32">
        <f>IF($D15=0,0,IF(_xlfn.XLOOKUP($B15,'TH_CMI GRADE 10'!$B$7:$B$49,'TH_CMI GRADE 10'!U$7:U$49,"",0,1)="P",1*$D15,0))</f>
        <v>0</v>
      </c>
      <c r="AS15" s="32">
        <f>IF($D15=0,0,IF(_xlfn.XLOOKUP($B15,'TH_CMI GRADE 10'!$B$7:$B$49,'TH_CMI GRADE 10'!V$7:V$49,"",0,1)="P",1*$D15,0))</f>
        <v>0</v>
      </c>
      <c r="AT15" s="32">
        <f>IF($D15=0,0,IF(_xlfn.XLOOKUP($B15,'TH_CMI GRADE 10'!$B$7:$B$49,'TH_CMI GRADE 10'!W$7:W$49,"",0,1)="P",1*$D15,0))</f>
        <v>0</v>
      </c>
      <c r="AU15" s="32">
        <f>IF($D15=0,0,IF(_xlfn.XLOOKUP($B15,'TH_CMI GRADE 10'!$B$7:$B$49,'TH_CMI GRADE 10'!AA$7:AA$49,"",0,1)="P",1*$D15,0))</f>
        <v>1</v>
      </c>
      <c r="AV15" s="32">
        <f>IF($D15=0,0,IF(_xlfn.XLOOKUP($B15,'TH_CMI GRADE 10'!$B$7:$B$49,'TH_CMI GRADE 10'!AB$7:AB$49,"",0,1)="P",1*$D15,0))</f>
        <v>1</v>
      </c>
      <c r="AW15" s="32">
        <f>IF($D15=0,0,IF(_xlfn.XLOOKUP($B15,'TH_CMI GRADE 10'!$B$7:$B$49,'TH_CMI GRADE 10'!AC$7:AC$49,"",0,1)="P",1*$D15,0))</f>
        <v>1</v>
      </c>
      <c r="AX15" s="32">
        <f>IF($D15=0,0,IF(_xlfn.XLOOKUP($B15,'TH_CMI GRADE 10'!$B$7:$B$49,'TH_CMI GRADE 10'!AG$7:AG$49,"",0,1)="P",1*$D15,0))</f>
        <v>1</v>
      </c>
      <c r="AY15" s="32">
        <f>IF($D15=0,0,IF(_xlfn.XLOOKUP($B15,'TH_CMI GRADE 10'!$B$7:$B$49,'TH_CMI GRADE 10'!AH$7:AH$49,"",0,1)="P",1*$D15,0))</f>
        <v>1</v>
      </c>
      <c r="AZ15" s="32">
        <f>IF($D15=0,0,IF(_xlfn.XLOOKUP($B15,'TH_CMI GRADE 10'!$B$7:$B$49,'TH_CMI GRADE 10'!AI$7:AI$49,"",0,1)="P",1*$D15,0))</f>
        <v>1</v>
      </c>
      <c r="BA15" s="31" t="e">
        <f>IF($C15=0,0,IF(_xlfn.XLOOKUP($B15,'PW_MLG GRADE 10'!$B$7:$B$31,'PW_MLG GRADE 10'!#REF!,"",0,1)="P",1*$C15,0))</f>
        <v>#REF!</v>
      </c>
      <c r="BB15" s="31" t="e">
        <f>IF($C15=0,0,IF(_xlfn.XLOOKUP($B15,'PW_MLG GRADE 10'!$B$7:$B$31,'PW_MLG GRADE 10'!#REF!,"",0,1)="P",1*$C15,0))</f>
        <v>#REF!</v>
      </c>
      <c r="BC15" s="31" t="e">
        <f>IF($C15=0,0,IF(_xlfn.XLOOKUP($B15,'PW_MLG GRADE 10'!$B$7:$B$31,'PW_MLG GRADE 10'!#REF!,"",0,1)="P",1*$C15,0))</f>
        <v>#REF!</v>
      </c>
      <c r="BD15" s="31" t="e">
        <f>IF($C15=0,0,IF(_xlfn.XLOOKUP($B15,'PW_MLG GRADE 10'!$B$7:$B$31,'PW_MLG GRADE 10'!#REF!,"",0,1)="P",1*$C15,0))</f>
        <v>#REF!</v>
      </c>
      <c r="BE15" s="31" t="e">
        <f>IF($C15=0,0,IF(_xlfn.XLOOKUP($B15,'PW_MLG GRADE 10'!$B$7:$B$31,'PW_MLG GRADE 10'!#REF!,"",0,1)="P",1*$C15,0))</f>
        <v>#REF!</v>
      </c>
      <c r="BF15" s="31" t="e">
        <f>IF($C15=0,0,IF(_xlfn.XLOOKUP($B15,'PW_MLG GRADE 10'!$B$7:$B$31,'PW_MLG GRADE 10'!#REF!,"",0,1)="P",1*$C15,0))</f>
        <v>#REF!</v>
      </c>
      <c r="BG15" s="31" t="e">
        <f>IF($C15=0,0,IF(_xlfn.XLOOKUP($B15,'PW_MLG GRADE 10'!$B$7:$B$31,'PW_MLG GRADE 10'!#REF!,"",0,1)="P",1*$C15,0))</f>
        <v>#REF!</v>
      </c>
      <c r="BH15" s="31" t="e">
        <f>IF($C15=0,0,IF(_xlfn.XLOOKUP($B15,'PW_MLG GRADE 10'!$B$7:$B$31,'PW_MLG GRADE 10'!#REF!,"",0,1)="P",1*$C15,0))</f>
        <v>#REF!</v>
      </c>
      <c r="BI15" s="31" t="e">
        <f>IF($C15=0,0,IF(_xlfn.XLOOKUP($B15,'PW_MLG GRADE 10'!$B$7:$B$31,'PW_MLG GRADE 10'!#REF!,"",0,1)="P",1*$C15,0))</f>
        <v>#REF!</v>
      </c>
      <c r="BJ15" s="31" t="e">
        <f>IF($C15=0,0,IF(_xlfn.XLOOKUP($B15,'PW_MLG GRADE 10'!$B$7:$B$31,'PW_MLG GRADE 10'!#REF!,"",0,1)="P",1*$C15,0))</f>
        <v>#REF!</v>
      </c>
      <c r="BK15" s="31" t="e">
        <f>IF($C15=0,0,IF(_xlfn.XLOOKUP($B15,'PW_MLG GRADE 10'!$B$7:$B$31,'PW_MLG GRADE 10'!#REF!,"",0,1)="P",1*$C15,0))</f>
        <v>#REF!</v>
      </c>
      <c r="BL15" s="31" t="e">
        <f>IF($C15=0,0,IF(_xlfn.XLOOKUP($B15,'PW_MLG GRADE 10'!$B$7:$B$31,'PW_MLG GRADE 10'!#REF!,"",0,1)="P",1*$C15,0))</f>
        <v>#REF!</v>
      </c>
      <c r="BM15" s="31" t="e">
        <f>IF($C15=0,0,IF(_xlfn.XLOOKUP($B15,'PW_MLG GRADE 10'!$B$7:$B$31,'PW_MLG GRADE 10'!#REF!,"",0,1)="P",1*$C15,0))</f>
        <v>#REF!</v>
      </c>
      <c r="BN15" s="31" t="e">
        <f>IF($C15=0,0,IF(_xlfn.XLOOKUP($B15,'PW_MLG GRADE 10'!$B$7:$B$31,'PW_MLG GRADE 10'!#REF!,"",0,1)="P",1*$C15,0))</f>
        <v>#REF!</v>
      </c>
      <c r="BO15" s="31" t="e">
        <f>IF($C15=0,0,IF(_xlfn.XLOOKUP($B15,'PW_MLG GRADE 10'!$B$7:$B$31,'PW_MLG GRADE 10'!#REF!,"",0,1)="P",1*$C15,0))</f>
        <v>#REF!</v>
      </c>
      <c r="BP15" s="31" t="e">
        <f>IF($C15=0,0,IF(_xlfn.XLOOKUP($B15,'PW_MLG GRADE 10'!$B$7:$B$31,'PW_MLG GRADE 10'!#REF!,"",0,1)="P",1*$C15,0))</f>
        <v>#REF!</v>
      </c>
      <c r="BQ15" s="31" t="e">
        <f>IF($C15=0,0,IF(_xlfn.XLOOKUP($B15,'PW_MLG GRADE 10'!$B$7:$B$31,'PW_MLG GRADE 10'!#REF!,"",0,1)="P",1*$C15,0))</f>
        <v>#REF!</v>
      </c>
      <c r="BR15" s="31" t="e">
        <f>IF($C15=0,0,IF(_xlfn.XLOOKUP($B15,'PW_MLG GRADE 10'!$B$7:$B$31,'PW_MLG GRADE 10'!#REF!,"",0,1)="P",1*$C15,0))</f>
        <v>#REF!</v>
      </c>
      <c r="BS15" s="31" t="e">
        <f>IF($C15=0,0,IF(_xlfn.XLOOKUP($B15,'PW_MLG GRADE 10'!$B$7:$B$31,'PW_MLG GRADE 10'!#REF!,"",0,1)="P",1*$C15,0))</f>
        <v>#REF!</v>
      </c>
      <c r="BT15" s="31" t="e">
        <f>IF($C15=0,0,IF(_xlfn.XLOOKUP($B15,'PW_MLG GRADE 10'!$B$7:$B$31,'PW_MLG GRADE 10'!#REF!,"",0,1)="P",1*$C15,0))</f>
        <v>#REF!</v>
      </c>
      <c r="BU15" s="31" t="e">
        <f>IF($C15=0,0,IF(_xlfn.XLOOKUP($B15,'PW_MLG GRADE 10'!$B$7:$B$31,'PW_MLG GRADE 10'!#REF!,"",0,1)="P",1*$C15,0))</f>
        <v>#REF!</v>
      </c>
      <c r="BV15" s="31" t="e">
        <f>IF($C15=0,0,IF(_xlfn.XLOOKUP($B15,'PW_MLG GRADE 10'!$B$7:$B$31,'PW_MLG GRADE 10'!#REF!,"",0,1)="P",1*$C15,0))</f>
        <v>#REF!</v>
      </c>
      <c r="BW15" s="31" t="e">
        <f>IF($C15=0,0,IF(_xlfn.XLOOKUP($B15,'PW_MLG GRADE 10'!$B$7:$B$31,'PW_MLG GRADE 10'!#REF!,"",0,1)="P",1*$C15,0))</f>
        <v>#REF!</v>
      </c>
      <c r="BX15" s="31" t="e">
        <f>IF($C15=0,0,IF(_xlfn.XLOOKUP($B15,'PW_MLG GRADE 10'!$B$7:$B$31,'PW_MLG GRADE 10'!#REF!,"",0,1)="P",1*$C15,0))</f>
        <v>#REF!</v>
      </c>
      <c r="BY15" s="31" t="e">
        <f>IF($C15=0,0,IF(_xlfn.XLOOKUP($B15,'PW_MLG GRADE 10'!$B$7:$B$31,'PW_MLG GRADE 10'!#REF!,"",0,1)="P",1*$C15,0))</f>
        <v>#REF!</v>
      </c>
      <c r="BZ15" s="31" t="e">
        <f>IF($C15=0,0,IF(_xlfn.XLOOKUP($B15,'PW_MLG GRADE 10'!$B$7:$B$31,'PW_MLG GRADE 10'!#REF!,"",0,1)="P",1*$C15,0))</f>
        <v>#REF!</v>
      </c>
      <c r="CA15" s="31" t="e">
        <f>IF($C15=0,0,IF(_xlfn.XLOOKUP($B15,'PW_MLG GRADE 10'!$B$7:$B$31,'PW_MLG GRADE 10'!#REF!,"",0,1)="P",1*$C15,0))</f>
        <v>#REF!</v>
      </c>
      <c r="CB15" s="31" t="e">
        <f>IF($C15=0,0,IF(_xlfn.XLOOKUP($B15,'PW_MLG GRADE 10'!$B$7:$B$31,'PW_MLG GRADE 10'!#REF!,"",0,1)="P",1*$C15,0))</f>
        <v>#REF!</v>
      </c>
      <c r="CC15" s="31" t="e">
        <f>IF($C15=0,0,IF(_xlfn.XLOOKUP($B15,'PW_MLG GRADE 10'!$B$7:$B$31,'PW_MLG GRADE 10'!#REF!,"",0,1)="P",1*$C15,0))</f>
        <v>#REF!</v>
      </c>
      <c r="CD15" s="31" t="e">
        <f>IF($C15=0,0,IF(_xlfn.XLOOKUP($B15,'PW_MLG GRADE 10'!$B$7:$B$31,'PW_MLG GRADE 10'!#REF!,"",0,1)="P",1*$C15,0))</f>
        <v>#REF!</v>
      </c>
      <c r="CE15" s="32">
        <f>IF($C15=0,0,IF(_xlfn.XLOOKUP($B15,'PW_CMI GRADE 10'!$B$7:$B$31,'PW_CMI GRADE 10'!C$7:C$31,"",0,1)="P",1*$C15,0))</f>
        <v>0</v>
      </c>
      <c r="CF15" s="32">
        <f>IF($C15=0,0,IF(_xlfn.XLOOKUP($B15,'PW_CMI GRADE 10'!$B$7:$B$31,'PW_CMI GRADE 10'!D$7:D$31,"",0,1)="P",1*$C15,0))</f>
        <v>0</v>
      </c>
      <c r="CG15" s="32">
        <f>IF($C15=0,0,IF(_xlfn.XLOOKUP($B15,'PW_CMI GRADE 10'!$B$7:$B$31,'PW_CMI GRADE 10'!E$7:E$31,"",0,1)="P",1*$C15,0))</f>
        <v>0</v>
      </c>
      <c r="CH15" s="32">
        <f>IF($C15=0,0,IF(_xlfn.XLOOKUP($B15,'PW_CMI GRADE 10'!$B$7:$B$31,'PW_CMI GRADE 10'!F$7:F$31,"",0,1)="P",1*$C15,0))</f>
        <v>0</v>
      </c>
      <c r="CI15" s="32">
        <f>IF($C15=0,0,IF(_xlfn.XLOOKUP($B15,'PW_CMI GRADE 10'!$B$7:$B$31,'PW_CMI GRADE 10'!G$7:G$31,"",0,1)="P",1*$C15,0))</f>
        <v>0</v>
      </c>
      <c r="CJ15" s="32">
        <f>IF($C15=0,0,IF(_xlfn.XLOOKUP($B15,'PW_CMI GRADE 10'!$B$7:$B$31,'PW_CMI GRADE 10'!H$7:H$31,"",0,1)="P",1*$C15,0))</f>
        <v>0</v>
      </c>
      <c r="CK15" s="32">
        <f>IF($C15=0,0,IF(_xlfn.XLOOKUP($B15,'PW_CMI GRADE 10'!$B$7:$B$31,'PW_CMI GRADE 10'!I$7:I$31,"",0,1)="P",1*$C15,0))</f>
        <v>0</v>
      </c>
      <c r="CL15" s="32">
        <f>IF($C15=0,0,IF(_xlfn.XLOOKUP($B15,'PW_CMI GRADE 10'!$B$7:$B$31,'PW_CMI GRADE 10'!J$7:J$31,"",0,1)="P",1*$C15,0))</f>
        <v>0</v>
      </c>
      <c r="CM15" s="32">
        <f>IF($C15=0,0,IF(_xlfn.XLOOKUP($B15,'PW_CMI GRADE 10'!$B$7:$B$31,'PW_CMI GRADE 10'!K$7:K$31,"",0,1)="P",1*$C15,0))</f>
        <v>0</v>
      </c>
      <c r="CN15" s="32">
        <f>IF($C15=0,0,IF(_xlfn.XLOOKUP($B15,'PW_CMI GRADE 10'!$B$7:$B$31,'PW_CMI GRADE 10'!L$7:L$31,"",0,1)="P",1*$C15,0))</f>
        <v>0</v>
      </c>
      <c r="CO15" s="32">
        <f>IF($C15=0,0,IF(_xlfn.XLOOKUP($B15,'PW_CMI GRADE 10'!$B$7:$B$31,'PW_CMI GRADE 10'!M$7:M$31,"",0,1)="P",1*$C15,0))</f>
        <v>0</v>
      </c>
      <c r="CP15" s="32">
        <f>IF($C15=0,0,IF(_xlfn.XLOOKUP($B15,'PW_CMI GRADE 10'!$B$7:$B$31,'PW_CMI GRADE 10'!N$7:N$31,"",0,1)="P",1*$C15,0))</f>
        <v>0</v>
      </c>
      <c r="CQ15" s="32">
        <f>IF($C15=0,0,IF(_xlfn.XLOOKUP($B15,'PW_CMI GRADE 10'!$B$7:$B$31,'PW_CMI GRADE 10'!O$7:O$31,"",0,1)="P",1*$C15,0))</f>
        <v>0</v>
      </c>
      <c r="CR15" s="32">
        <f>IF($C15=0,0,IF(_xlfn.XLOOKUP($B15,'PW_CMI GRADE 10'!$B$7:$B$31,'PW_CMI GRADE 10'!P$7:P$31,"",0,1)="P",1*$C15,0))</f>
        <v>0</v>
      </c>
      <c r="CS15" s="32">
        <f>IF($C15=0,0,IF(_xlfn.XLOOKUP($B15,'PW_CMI GRADE 10'!$B$7:$B$31,'PW_CMI GRADE 10'!Q$7:Q$31,"",0,1)="P",1*$C15,0))</f>
        <v>0</v>
      </c>
      <c r="CT15" s="32">
        <f>IF($C15=0,0,IF(_xlfn.XLOOKUP($B15,'PW_CMI GRADE 10'!$B$7:$B$31,'PW_CMI GRADE 10'!R$7:R$31,"",0,1)="P",1*$C15,0))</f>
        <v>0</v>
      </c>
      <c r="CU15" s="32">
        <f>IF($C15=0,0,IF(_xlfn.XLOOKUP($B15,'PW_CMI GRADE 10'!$B$7:$B$31,'PW_CMI GRADE 10'!S$7:S$31,"",0,1)="P",1*$C15,0))</f>
        <v>0</v>
      </c>
      <c r="CV15" s="32">
        <f>IF($C15=0,0,IF(_xlfn.XLOOKUP($B15,'PW_CMI GRADE 10'!$B$7:$B$31,'PW_CMI GRADE 10'!T$7:T$31,"",0,1)="P",1*$C15,0))</f>
        <v>0</v>
      </c>
      <c r="CW15" s="62" t="e">
        <f t="shared" si="19"/>
        <v>#REF!</v>
      </c>
      <c r="CX15" s="62" t="e">
        <f t="shared" si="20"/>
        <v>#REF!</v>
      </c>
      <c r="CY15" s="62" t="e">
        <f t="shared" si="21"/>
        <v>#REF!</v>
      </c>
      <c r="CZ15" s="62" t="e">
        <f t="shared" si="22"/>
        <v>#REF!</v>
      </c>
      <c r="DA15" s="62" t="e">
        <f t="shared" si="23"/>
        <v>#REF!</v>
      </c>
      <c r="DB15" s="62" t="e">
        <f t="shared" si="24"/>
        <v>#REF!</v>
      </c>
      <c r="DC15" s="62" t="e">
        <f t="shared" si="25"/>
        <v>#REF!</v>
      </c>
      <c r="DD15" s="62" t="e">
        <f t="shared" si="26"/>
        <v>#REF!</v>
      </c>
      <c r="DE15" s="62" t="e">
        <f t="shared" si="27"/>
        <v>#REF!</v>
      </c>
      <c r="DF15" s="62" t="e">
        <f t="shared" si="28"/>
        <v>#REF!</v>
      </c>
      <c r="DG15" s="62" t="e">
        <f t="shared" si="29"/>
        <v>#REF!</v>
      </c>
      <c r="DH15" s="62" t="e">
        <f t="shared" si="30"/>
        <v>#REF!</v>
      </c>
      <c r="DI15" s="62" t="e">
        <f t="shared" si="31"/>
        <v>#REF!</v>
      </c>
      <c r="DJ15" s="62" t="e">
        <f t="shared" si="32"/>
        <v>#REF!</v>
      </c>
      <c r="DK15" s="62" t="e">
        <f t="shared" si="33"/>
        <v>#REF!</v>
      </c>
      <c r="DL15" s="62" t="e">
        <f t="shared" si="34"/>
        <v>#REF!</v>
      </c>
      <c r="DM15" s="62" t="e">
        <f t="shared" si="35"/>
        <v>#REF!</v>
      </c>
      <c r="DN15" s="62" t="e">
        <f t="shared" si="36"/>
        <v>#REF!</v>
      </c>
      <c r="DO15" s="62" t="e">
        <f t="shared" si="37"/>
        <v>#REF!</v>
      </c>
      <c r="DP15" s="62" t="e">
        <f t="shared" si="38"/>
        <v>#REF!</v>
      </c>
      <c r="DQ15" s="62" t="e">
        <f t="shared" si="39"/>
        <v>#REF!</v>
      </c>
      <c r="DR15" s="62" t="e">
        <f t="shared" si="40"/>
        <v>#REF!</v>
      </c>
      <c r="DS15" s="62" t="e">
        <f t="shared" si="41"/>
        <v>#REF!</v>
      </c>
      <c r="DT15" s="62" t="e">
        <f t="shared" si="42"/>
        <v>#REF!</v>
      </c>
      <c r="DU15" s="62" t="e">
        <f t="shared" si="43"/>
        <v>#REF!</v>
      </c>
      <c r="DV15" s="62" t="e">
        <f t="shared" si="44"/>
        <v>#REF!</v>
      </c>
      <c r="DW15" s="62" t="e">
        <f t="shared" si="45"/>
        <v>#REF!</v>
      </c>
      <c r="DX15" s="62" t="e">
        <f t="shared" si="46"/>
        <v>#REF!</v>
      </c>
      <c r="DY15" s="62" t="e">
        <f t="shared" si="47"/>
        <v>#REF!</v>
      </c>
      <c r="DZ15" s="62" t="e">
        <f t="shared" si="48"/>
        <v>#REF!</v>
      </c>
      <c r="EA15" s="63">
        <f t="shared" si="1"/>
        <v>0</v>
      </c>
      <c r="EB15" s="63">
        <f t="shared" si="2"/>
        <v>0</v>
      </c>
      <c r="EC15" s="63">
        <f t="shared" si="3"/>
        <v>0</v>
      </c>
      <c r="ED15" s="63">
        <f t="shared" si="4"/>
        <v>0</v>
      </c>
      <c r="EE15" s="63">
        <f t="shared" si="5"/>
        <v>0</v>
      </c>
      <c r="EF15" s="63">
        <f t="shared" si="6"/>
        <v>0</v>
      </c>
      <c r="EG15" s="63">
        <f t="shared" si="7"/>
        <v>0</v>
      </c>
      <c r="EH15" s="63">
        <f t="shared" si="8"/>
        <v>0</v>
      </c>
      <c r="EI15" s="63">
        <f t="shared" si="9"/>
        <v>0</v>
      </c>
      <c r="EJ15" s="63">
        <f t="shared" si="10"/>
        <v>0</v>
      </c>
      <c r="EK15" s="63">
        <f t="shared" si="11"/>
        <v>0.16666666666666666</v>
      </c>
      <c r="EL15" s="63">
        <f t="shared" si="12"/>
        <v>0.33333333333333331</v>
      </c>
      <c r="EM15" s="63">
        <f t="shared" si="13"/>
        <v>0.5</v>
      </c>
      <c r="EN15" s="63">
        <f t="shared" si="14"/>
        <v>0.5</v>
      </c>
      <c r="EO15" s="63">
        <f t="shared" si="15"/>
        <v>0.5</v>
      </c>
      <c r="EP15" s="63">
        <f t="shared" si="16"/>
        <v>0.5</v>
      </c>
      <c r="ET15" t="str">
        <v>4A.3</v>
      </c>
      <c r="EU15" s="38" t="e">
        <f t="shared" si="49"/>
        <v>#REF!</v>
      </c>
      <c r="EV15" s="38" t="e">
        <f t="shared" si="50"/>
        <v>#REF!</v>
      </c>
      <c r="EW15" s="38" t="e">
        <f t="shared" si="51"/>
        <v>#REF!</v>
      </c>
      <c r="EX15" s="38" t="e">
        <f t="shared" si="52"/>
        <v>#REF!</v>
      </c>
      <c r="EY15" s="38" t="e">
        <f t="shared" si="53"/>
        <v>#REF!</v>
      </c>
      <c r="EZ15" s="38" t="e">
        <f t="shared" si="54"/>
        <v>#REF!</v>
      </c>
      <c r="FA15" s="38" t="e">
        <f t="shared" si="55"/>
        <v>#REF!</v>
      </c>
      <c r="FB15" s="38" t="e">
        <f t="shared" si="56"/>
        <v>#REF!</v>
      </c>
      <c r="FC15" s="38" t="e">
        <f t="shared" si="57"/>
        <v>#REF!</v>
      </c>
      <c r="FD15" s="38" t="e">
        <f t="shared" si="58"/>
        <v>#REF!</v>
      </c>
      <c r="FE15" s="38">
        <f t="shared" si="59"/>
        <v>0</v>
      </c>
      <c r="FF15" s="38">
        <f t="shared" si="60"/>
        <v>0</v>
      </c>
      <c r="FG15" s="38">
        <f t="shared" si="61"/>
        <v>0</v>
      </c>
      <c r="FH15" s="38">
        <f t="shared" si="62"/>
        <v>0</v>
      </c>
      <c r="FI15" s="38">
        <f t="shared" si="63"/>
        <v>0</v>
      </c>
      <c r="FJ15" s="38">
        <f t="shared" si="64"/>
        <v>0.52777777777777779</v>
      </c>
      <c r="FK15" s="38">
        <f t="shared" si="65"/>
        <v>0.52777777777777779</v>
      </c>
      <c r="FL15" s="38">
        <f t="shared" si="17"/>
        <v>0.52777777777777779</v>
      </c>
      <c r="FM15" s="38">
        <v>1</v>
      </c>
      <c r="FN15" s="38">
        <f t="shared" si="66"/>
        <v>0.66666666666666663</v>
      </c>
      <c r="FO15" s="38">
        <f t="shared" si="67"/>
        <v>0.16666666666666666</v>
      </c>
      <c r="FU15" s="51">
        <v>46174</v>
      </c>
      <c r="FV15" t="s">
        <v>22</v>
      </c>
      <c r="FW15" t="s">
        <v>22</v>
      </c>
      <c r="FX15" t="s">
        <v>22</v>
      </c>
      <c r="FY15" t="s">
        <v>22</v>
      </c>
      <c r="FZ15" t="s">
        <v>22</v>
      </c>
      <c r="GA15" t="s">
        <v>22</v>
      </c>
      <c r="GB15" t="s">
        <v>22</v>
      </c>
      <c r="GC15" t="s">
        <v>22</v>
      </c>
      <c r="GD15" t="s">
        <v>22</v>
      </c>
      <c r="GE15" t="s">
        <v>22</v>
      </c>
      <c r="GF15" t="s">
        <v>22</v>
      </c>
      <c r="GG15" t="s">
        <v>22</v>
      </c>
      <c r="GH15" t="s">
        <v>22</v>
      </c>
      <c r="GI15" t="s">
        <v>22</v>
      </c>
      <c r="GJ15" t="s">
        <v>22</v>
      </c>
      <c r="GK15" t="s">
        <v>22</v>
      </c>
      <c r="GL15" t="s">
        <v>22</v>
      </c>
      <c r="GM15" t="s">
        <v>22</v>
      </c>
      <c r="GN15" t="s">
        <v>22</v>
      </c>
      <c r="GO15" t="s">
        <v>22</v>
      </c>
      <c r="GP15" t="s">
        <v>22</v>
      </c>
      <c r="GQ15" t="s">
        <v>22</v>
      </c>
      <c r="GR15" t="s">
        <v>22</v>
      </c>
      <c r="GS15" t="s">
        <v>22</v>
      </c>
      <c r="GT15" t="s">
        <v>22</v>
      </c>
      <c r="GU15" t="s">
        <v>22</v>
      </c>
      <c r="GV15" t="s">
        <v>22</v>
      </c>
      <c r="GW15" t="s">
        <v>22</v>
      </c>
      <c r="GX15" t="s">
        <v>22</v>
      </c>
      <c r="GY15" t="s">
        <v>22</v>
      </c>
      <c r="GZ15" t="s">
        <v>22</v>
      </c>
      <c r="HA15" t="s">
        <v>22</v>
      </c>
      <c r="HB15" t="s">
        <v>22</v>
      </c>
      <c r="HC15" t="s">
        <v>22</v>
      </c>
      <c r="HD15" t="s">
        <v>22</v>
      </c>
      <c r="HE15" t="s">
        <v>22</v>
      </c>
      <c r="HF15" t="s">
        <v>22</v>
      </c>
      <c r="HG15" t="s">
        <v>22</v>
      </c>
      <c r="HH15" t="s">
        <v>22</v>
      </c>
      <c r="HI15" t="s">
        <v>22</v>
      </c>
      <c r="HJ15" t="s">
        <v>22</v>
      </c>
      <c r="HK15" t="s">
        <v>22</v>
      </c>
      <c r="HL15" t="s">
        <v>22</v>
      </c>
      <c r="HM15" t="s">
        <v>22</v>
      </c>
      <c r="HN15" t="s">
        <v>22</v>
      </c>
      <c r="HO15" cm="1">
        <f t="array" ref="HO15">SUMPRODUCT(--(FV15:HN15&lt;&gt;""))</f>
        <v>0</v>
      </c>
    </row>
    <row r="16" spans="1:242">
      <c r="A16" t="str">
        <f t="shared" si="18"/>
        <v>2.4</v>
      </c>
      <c r="B16" t="s">
        <v>47</v>
      </c>
      <c r="C16" s="28">
        <v>0</v>
      </c>
      <c r="D16" s="28">
        <v>3</v>
      </c>
      <c r="E16" s="31">
        <f>IF($D16=0,0,IF(_xlfn.XLOOKUP($B16,'TH_MLG GRADE 10'!$B$7:$B$49,'TH_MLG GRADE 10'!C$7:C$49,"",0,1)="P",1*$D16,0))</f>
        <v>3</v>
      </c>
      <c r="F16" s="31">
        <f>IF($D16=0,0,IF(_xlfn.XLOOKUP($B16,'TH_MLG GRADE 10'!$B$7:$B$49,'TH_MLG GRADE 10'!D$7:D$49,"",0,1)="P",1*$D16,0))</f>
        <v>3</v>
      </c>
      <c r="G16" s="31">
        <f>IF($D16=0,0,IF(_xlfn.XLOOKUP($B16,'TH_MLG GRADE 10'!$B$7:$B$49,'TH_MLG GRADE 10'!E$7:E$49,"",0,1)="P",1*$D16,0))</f>
        <v>3</v>
      </c>
      <c r="H16" s="31">
        <f>IF($D16=0,0,IF(_xlfn.XLOOKUP($B16,'TH_MLG GRADE 10'!$B$7:$B$49,'TH_MLG GRADE 10'!I$7:I$49,"",0,1)="P",1*$D16,0))</f>
        <v>3</v>
      </c>
      <c r="I16" s="31">
        <f>IF($D16=0,0,IF(_xlfn.XLOOKUP($B16,'TH_MLG GRADE 10'!$B$7:$B$49,'TH_MLG GRADE 10'!J$7:J$49,"",0,1)="P",1*$D16,0))</f>
        <v>3</v>
      </c>
      <c r="J16" s="31">
        <f>IF($D16=0,0,IF(_xlfn.XLOOKUP($B16,'TH_MLG GRADE 10'!$B$7:$B$49,'TH_MLG GRADE 10'!K$7:K$49,"",0,1)="P",1*$D16,0))</f>
        <v>3</v>
      </c>
      <c r="K16" s="31">
        <f>IF($D16=0,0,IF(_xlfn.XLOOKUP($B16,'TH_MLG GRADE 10'!$B$7:$B$49,'TH_MLG GRADE 10'!O$7:O$49,"",0,1)="P",1*$D16,0))</f>
        <v>3</v>
      </c>
      <c r="L16" s="31">
        <f>IF($D16=0,0,IF(_xlfn.XLOOKUP($B16,'TH_MLG GRADE 10'!$B$7:$B$49,'TH_MLG GRADE 10'!P$7:P$49,"",0,1)="P",1*$D16,0))</f>
        <v>0</v>
      </c>
      <c r="M16" s="31">
        <f>IF($D16=0,0,IF(_xlfn.XLOOKUP($B16,'TH_MLG GRADE 10'!$B$7:$B$49,'TH_MLG GRADE 10'!Q$7:Q$49,"",0,1)="P",1*$D16,0))</f>
        <v>3</v>
      </c>
      <c r="N16" s="31">
        <f>IF($D16=0,0,IF(_xlfn.XLOOKUP($B16,'TH_MLG GRADE 10'!$B$7:$B$49,'TH_MLG GRADE 10'!AA$7:AA$49,"",0,1)="P",1*$D16,0))</f>
        <v>0</v>
      </c>
      <c r="O16" s="31">
        <f>IF($D16=0,0,IF(_xlfn.XLOOKUP($B16,'TH_MLG GRADE 10'!$B$7:$B$49,'TH_MLG GRADE 10'!AB$7:AB$49,"",0,1)="P",1*$D16,0))</f>
        <v>0</v>
      </c>
      <c r="P16" s="31">
        <f>IF($D16=0,0,IF(_xlfn.XLOOKUP($B16,'TH_MLG GRADE 10'!$B$7:$B$49,'TH_MLG GRADE 10'!AC$7:AC$49,"",0,1)="P",1*$D16,0))</f>
        <v>0</v>
      </c>
      <c r="Q16" s="31">
        <f>IF($D16=0,0,IF(_xlfn.XLOOKUP($B16,'TH_MLG GRADE 10'!$B$7:$B$49,'TH_MLG GRADE 10'!AG$7:AG$49,"",0,1)="P",1*$D16,0))</f>
        <v>0</v>
      </c>
      <c r="R16" s="31">
        <f>IF($D16=0,0,IF(_xlfn.XLOOKUP($B16,'TH_MLG GRADE 10'!$B$7:$B$49,'TH_MLG GRADE 10'!AH$7:AH$49,"",0,1)="P",1*$D16,0))</f>
        <v>0</v>
      </c>
      <c r="S16" s="31">
        <f>IF($D16=0,0,IF(_xlfn.XLOOKUP($B16,'TH_MLG GRADE 10'!$B$7:$B$49,'TH_MLG GRADE 10'!AI$7:AI$49,"",0,1)="P",1*$D16,0))</f>
        <v>0</v>
      </c>
      <c r="T16" s="31">
        <f>IF($D16=0,0,IF(_xlfn.XLOOKUP($B16,'TH_MLG GRADE 10'!$B$7:$B$49,'TH_MLG GRADE 10'!AM$7:AM$49,"",0,1)="P",1*$D16,0))</f>
        <v>3</v>
      </c>
      <c r="U16" s="31">
        <f>IF($D16=0,0,IF(_xlfn.XLOOKUP($B16,'TH_MLG GRADE 10'!$B$7:$B$49,'TH_MLG GRADE 10'!AN$7:AN$49,"",0,1)="P",1*$D16,0))</f>
        <v>3</v>
      </c>
      <c r="V16" s="31">
        <f>IF($D16=0,0,IF(_xlfn.XLOOKUP($B16,'TH_MLG GRADE 10'!$B$7:$B$49,'TH_MLG GRADE 10'!AO$7:AO$49,"",0,1)="P",1*$D16,0))</f>
        <v>3</v>
      </c>
      <c r="W16" s="31">
        <f>IF($D16=0,0,IF(_xlfn.XLOOKUP($B16,'TH_MLG GRADE 10'!$B$7:$B$49,'TH_MLG GRADE 10'!AY$7:AY$49,"",0,1)="P",1*$D16,0))</f>
        <v>3</v>
      </c>
      <c r="X16" s="31">
        <f>IF($D16=0,0,IF(_xlfn.XLOOKUP($B16,'TH_MLG GRADE 10'!$B$7:$B$49,'TH_MLG GRADE 10'!AZ$7:AZ$49,"",0,1)="P",1*$D16,0))</f>
        <v>3</v>
      </c>
      <c r="Y16" s="31">
        <f>IF($D16=0,0,IF(_xlfn.XLOOKUP($B16,'TH_MLG GRADE 10'!$B$7:$B$49,'TH_MLG GRADE 10'!BA$7:BA$49,"",0,1)="P",1*$D16,0))</f>
        <v>0</v>
      </c>
      <c r="Z16" s="31">
        <f>IF($D16=0,0,IF(_xlfn.XLOOKUP($B16,'TH_MLG GRADE 10'!$B$7:$B$49,'TH_MLG GRADE 10'!BE$7:BE$49,"",0,1)="P",1*$D16,0))</f>
        <v>0</v>
      </c>
      <c r="AA16" s="31">
        <f>IF($D16=0,0,IF(_xlfn.XLOOKUP($B16,'TH_MLG GRADE 10'!$B$7:$B$49,'TH_MLG GRADE 10'!BF$7:BF$49,"",0,1)="P",1*$D16,0))</f>
        <v>0</v>
      </c>
      <c r="AB16" s="31">
        <f>IF($D16=0,0,IF(_xlfn.XLOOKUP($B16,'TH_MLG GRADE 10'!$B$7:$B$49,'TH_MLG GRADE 10'!BG$7:BG$49,"",0,1)="P",1*$D16,0))</f>
        <v>0</v>
      </c>
      <c r="AC16" s="31" t="e">
        <f>IF($D16=0,0,IF(_xlfn.XLOOKUP($B16,'TH_MLG GRADE 10'!$B$7:$B$49,'TH_MLG GRADE 10'!#REF!,"",0,1)="P",1*$D16,0))</f>
        <v>#REF!</v>
      </c>
      <c r="AD16" s="31" t="e">
        <f>IF($D16=0,0,IF(_xlfn.XLOOKUP($B16,'TH_MLG GRADE 10'!$B$7:$B$49,'TH_MLG GRADE 10'!#REF!,"",0,1)="P",1*$D16,0))</f>
        <v>#REF!</v>
      </c>
      <c r="AE16" s="31" t="e">
        <f>IF($D16=0,0,IF(_xlfn.XLOOKUP($B16,'TH_MLG GRADE 10'!$B$7:$B$49,'TH_MLG GRADE 10'!#REF!,"",0,1)="P",1*$D16,0))</f>
        <v>#REF!</v>
      </c>
      <c r="AF16" s="31" t="e">
        <f>IF($D16=0,0,IF(_xlfn.XLOOKUP($B16,'TH_MLG GRADE 10'!$B$7:$B$49,'TH_MLG GRADE 10'!#REF!,"",0,1)="P",1*$D16,0))</f>
        <v>#REF!</v>
      </c>
      <c r="AG16" s="31" t="e">
        <f>IF($D16=0,0,IF(_xlfn.XLOOKUP($B16,'TH_MLG GRADE 10'!$B$7:$B$49,'TH_MLG GRADE 10'!#REF!,"",0,1)="P",1*$D16,0))</f>
        <v>#REF!</v>
      </c>
      <c r="AH16" s="31" t="e">
        <f>IF($D16=0,0,IF(_xlfn.XLOOKUP($B16,'TH_MLG GRADE 10'!$B$7:$B$49,'TH_MLG GRADE 10'!#REF!,"",0,1)="P",1*$D16,0))</f>
        <v>#REF!</v>
      </c>
      <c r="AI16" s="32">
        <f>IF($D16=0,0,IF(_xlfn.XLOOKUP($B16,'TH_CMI GRADE 10'!$B$7:$B$49,'TH_CMI GRADE 10'!C$7:C$49,"",0,1)="P",1*$D16,0))</f>
        <v>0</v>
      </c>
      <c r="AJ16" s="32">
        <f>IF($D16=0,0,IF(_xlfn.XLOOKUP($B16,'TH_CMI GRADE 10'!$B$7:$B$49,'TH_CMI GRADE 10'!D$7:D$49,"",0,1)="P",1*$D16,0))</f>
        <v>0</v>
      </c>
      <c r="AK16" s="32">
        <f>IF($D16=0,0,IF(_xlfn.XLOOKUP($B16,'TH_CMI GRADE 10'!$B$7:$B$49,'TH_CMI GRADE 10'!H$7:H$49,"",0,1)="P",1*$D16,0))</f>
        <v>0</v>
      </c>
      <c r="AL16" s="32">
        <f>IF($D16=0,0,IF(_xlfn.XLOOKUP($B16,'TH_CMI GRADE 10'!$B$7:$B$49,'TH_CMI GRADE 10'!I$7:I$49,"",0,1)="P",1*$D16,0))</f>
        <v>0</v>
      </c>
      <c r="AM16" s="32">
        <f>IF($D16=0,0,IF(_xlfn.XLOOKUP($B16,'TH_CMI GRADE 10'!$B$7:$B$49,'TH_CMI GRADE 10'!J$7:J$49,"",0,1)="P",1*$D16,0))</f>
        <v>0</v>
      </c>
      <c r="AN16" s="32">
        <f>IF($D16=0,0,IF(_xlfn.XLOOKUP($B16,'TH_CMI GRADE 10'!$B$7:$B$49,'TH_CMI GRADE 10'!K$7:K$49,"",0,1)="P",1*$D16,0))</f>
        <v>0</v>
      </c>
      <c r="AO16" s="32">
        <f>IF($D16=0,0,IF(_xlfn.XLOOKUP($B16,'TH_CMI GRADE 10'!$B$7:$B$49,'TH_CMI GRADE 10'!O$7:O$49,"",0,1)="P",1*$D16,0))</f>
        <v>0</v>
      </c>
      <c r="AP16" s="32">
        <f>IF($D16=0,0,IF(_xlfn.XLOOKUP($B16,'TH_CMI GRADE 10'!$B$7:$B$49,'TH_CMI GRADE 10'!P$7:P$49,"",0,1)="P",1*$D16,0))</f>
        <v>0</v>
      </c>
      <c r="AQ16" s="32">
        <f>IF($D16=0,0,IF(_xlfn.XLOOKUP($B16,'TH_CMI GRADE 10'!$B$7:$B$49,'TH_CMI GRADE 10'!Q$7:Q$49,"",0,1)="P",1*$D16,0))</f>
        <v>0</v>
      </c>
      <c r="AR16" s="32">
        <f>IF($D16=0,0,IF(_xlfn.XLOOKUP($B16,'TH_CMI GRADE 10'!$B$7:$B$49,'TH_CMI GRADE 10'!U$7:U$49,"",0,1)="P",1*$D16,0))</f>
        <v>0</v>
      </c>
      <c r="AS16" s="32">
        <f>IF($D16=0,0,IF(_xlfn.XLOOKUP($B16,'TH_CMI GRADE 10'!$B$7:$B$49,'TH_CMI GRADE 10'!V$7:V$49,"",0,1)="P",1*$D16,0))</f>
        <v>0</v>
      </c>
      <c r="AT16" s="32">
        <f>IF($D16=0,0,IF(_xlfn.XLOOKUP($B16,'TH_CMI GRADE 10'!$B$7:$B$49,'TH_CMI GRADE 10'!W$7:W$49,"",0,1)="P",1*$D16,0))</f>
        <v>0</v>
      </c>
      <c r="AU16" s="32">
        <f>IF($D16=0,0,IF(_xlfn.XLOOKUP($B16,'TH_CMI GRADE 10'!$B$7:$B$49,'TH_CMI GRADE 10'!AA$7:AA$49,"",0,1)="P",1*$D16,0))</f>
        <v>3</v>
      </c>
      <c r="AV16" s="32">
        <f>IF($D16=0,0,IF(_xlfn.XLOOKUP($B16,'TH_CMI GRADE 10'!$B$7:$B$49,'TH_CMI GRADE 10'!AB$7:AB$49,"",0,1)="P",1*$D16,0))</f>
        <v>3</v>
      </c>
      <c r="AW16" s="32">
        <f>IF($D16=0,0,IF(_xlfn.XLOOKUP($B16,'TH_CMI GRADE 10'!$B$7:$B$49,'TH_CMI GRADE 10'!AC$7:AC$49,"",0,1)="P",1*$D16,0))</f>
        <v>3</v>
      </c>
      <c r="AX16" s="32">
        <f>IF($D16=0,0,IF(_xlfn.XLOOKUP($B16,'TH_CMI GRADE 10'!$B$7:$B$49,'TH_CMI GRADE 10'!AG$7:AG$49,"",0,1)="P",1*$D16,0))</f>
        <v>3</v>
      </c>
      <c r="AY16" s="32">
        <f>IF($D16=0,0,IF(_xlfn.XLOOKUP($B16,'TH_CMI GRADE 10'!$B$7:$B$49,'TH_CMI GRADE 10'!AH$7:AH$49,"",0,1)="P",1*$D16,0))</f>
        <v>3</v>
      </c>
      <c r="AZ16" s="32">
        <f>IF($D16=0,0,IF(_xlfn.XLOOKUP($B16,'TH_CMI GRADE 10'!$B$7:$B$49,'TH_CMI GRADE 10'!AI$7:AI$49,"",0,1)="P",1*$D16,0))</f>
        <v>3</v>
      </c>
      <c r="BA16" s="31">
        <f>IF($C16=0,0,IF(_xlfn.XLOOKUP($B16,'PW_MLG GRADE 10'!$B$7:$B$31,'PW_MLG GRADE 10'!#REF!,"",0,1)="P",1*$C16,0))</f>
        <v>0</v>
      </c>
      <c r="BB16" s="31">
        <f>IF($C16=0,0,IF(_xlfn.XLOOKUP($B16,'PW_MLG GRADE 10'!$B$7:$B$31,'PW_MLG GRADE 10'!#REF!,"",0,1)="P",1*$C16,0))</f>
        <v>0</v>
      </c>
      <c r="BC16" s="31">
        <f>IF($C16=0,0,IF(_xlfn.XLOOKUP($B16,'PW_MLG GRADE 10'!$B$7:$B$31,'PW_MLG GRADE 10'!#REF!,"",0,1)="P",1*$C16,0))</f>
        <v>0</v>
      </c>
      <c r="BD16" s="31">
        <f>IF($C16=0,0,IF(_xlfn.XLOOKUP($B16,'PW_MLG GRADE 10'!$B$7:$B$31,'PW_MLG GRADE 10'!#REF!,"",0,1)="P",1*$C16,0))</f>
        <v>0</v>
      </c>
      <c r="BE16" s="31">
        <f>IF($C16=0,0,IF(_xlfn.XLOOKUP($B16,'PW_MLG GRADE 10'!$B$7:$B$31,'PW_MLG GRADE 10'!#REF!,"",0,1)="P",1*$C16,0))</f>
        <v>0</v>
      </c>
      <c r="BF16" s="31">
        <f>IF($C16=0,0,IF(_xlfn.XLOOKUP($B16,'PW_MLG GRADE 10'!$B$7:$B$31,'PW_MLG GRADE 10'!#REF!,"",0,1)="P",1*$C16,0))</f>
        <v>0</v>
      </c>
      <c r="BG16" s="31">
        <f>IF($C16=0,0,IF(_xlfn.XLOOKUP($B16,'PW_MLG GRADE 10'!$B$7:$B$31,'PW_MLG GRADE 10'!#REF!,"",0,1)="P",1*$C16,0))</f>
        <v>0</v>
      </c>
      <c r="BH16" s="31">
        <f>IF($C16=0,0,IF(_xlfn.XLOOKUP($B16,'PW_MLG GRADE 10'!$B$7:$B$31,'PW_MLG GRADE 10'!#REF!,"",0,1)="P",1*$C16,0))</f>
        <v>0</v>
      </c>
      <c r="BI16" s="31">
        <f>IF($C16=0,0,IF(_xlfn.XLOOKUP($B16,'PW_MLG GRADE 10'!$B$7:$B$31,'PW_MLG GRADE 10'!#REF!,"",0,1)="P",1*$C16,0))</f>
        <v>0</v>
      </c>
      <c r="BJ16" s="31">
        <f>IF($C16=0,0,IF(_xlfn.XLOOKUP($B16,'PW_MLG GRADE 10'!$B$7:$B$31,'PW_MLG GRADE 10'!#REF!,"",0,1)="P",1*$C16,0))</f>
        <v>0</v>
      </c>
      <c r="BK16" s="31">
        <f>IF($C16=0,0,IF(_xlfn.XLOOKUP($B16,'PW_MLG GRADE 10'!$B$7:$B$31,'PW_MLG GRADE 10'!#REF!,"",0,1)="P",1*$C16,0))</f>
        <v>0</v>
      </c>
      <c r="BL16" s="31">
        <f>IF($C16=0,0,IF(_xlfn.XLOOKUP($B16,'PW_MLG GRADE 10'!$B$7:$B$31,'PW_MLG GRADE 10'!#REF!,"",0,1)="P",1*$C16,0))</f>
        <v>0</v>
      </c>
      <c r="BM16" s="31">
        <f>IF($C16=0,0,IF(_xlfn.XLOOKUP($B16,'PW_MLG GRADE 10'!$B$7:$B$31,'PW_MLG GRADE 10'!#REF!,"",0,1)="P",1*$C16,0))</f>
        <v>0</v>
      </c>
      <c r="BN16" s="31">
        <f>IF($C16=0,0,IF(_xlfn.XLOOKUP($B16,'PW_MLG GRADE 10'!$B$7:$B$31,'PW_MLG GRADE 10'!#REF!,"",0,1)="P",1*$C16,0))</f>
        <v>0</v>
      </c>
      <c r="BO16" s="31">
        <f>IF($C16=0,0,IF(_xlfn.XLOOKUP($B16,'PW_MLG GRADE 10'!$B$7:$B$31,'PW_MLG GRADE 10'!#REF!,"",0,1)="P",1*$C16,0))</f>
        <v>0</v>
      </c>
      <c r="BP16" s="31">
        <f>IF($C16=0,0,IF(_xlfn.XLOOKUP($B16,'PW_MLG GRADE 10'!$B$7:$B$31,'PW_MLG GRADE 10'!#REF!,"",0,1)="P",1*$C16,0))</f>
        <v>0</v>
      </c>
      <c r="BQ16" s="31">
        <f>IF($C16=0,0,IF(_xlfn.XLOOKUP($B16,'PW_MLG GRADE 10'!$B$7:$B$31,'PW_MLG GRADE 10'!#REF!,"",0,1)="P",1*$C16,0))</f>
        <v>0</v>
      </c>
      <c r="BR16" s="31">
        <f>IF($C16=0,0,IF(_xlfn.XLOOKUP($B16,'PW_MLG GRADE 10'!$B$7:$B$31,'PW_MLG GRADE 10'!#REF!,"",0,1)="P",1*$C16,0))</f>
        <v>0</v>
      </c>
      <c r="BS16" s="31">
        <f>IF($C16=0,0,IF(_xlfn.XLOOKUP($B16,'PW_MLG GRADE 10'!$B$7:$B$31,'PW_MLG GRADE 10'!#REF!,"",0,1)="P",1*$C16,0))</f>
        <v>0</v>
      </c>
      <c r="BT16" s="31">
        <f>IF($C16=0,0,IF(_xlfn.XLOOKUP($B16,'PW_MLG GRADE 10'!$B$7:$B$31,'PW_MLG GRADE 10'!#REF!,"",0,1)="P",1*$C16,0))</f>
        <v>0</v>
      </c>
      <c r="BU16" s="31">
        <f>IF($C16=0,0,IF(_xlfn.XLOOKUP($B16,'PW_MLG GRADE 10'!$B$7:$B$31,'PW_MLG GRADE 10'!#REF!,"",0,1)="P",1*$C16,0))</f>
        <v>0</v>
      </c>
      <c r="BV16" s="31">
        <f>IF($C16=0,0,IF(_xlfn.XLOOKUP($B16,'PW_MLG GRADE 10'!$B$7:$B$31,'PW_MLG GRADE 10'!#REF!,"",0,1)="P",1*$C16,0))</f>
        <v>0</v>
      </c>
      <c r="BW16" s="31">
        <f>IF($C16=0,0,IF(_xlfn.XLOOKUP($B16,'PW_MLG GRADE 10'!$B$7:$B$31,'PW_MLG GRADE 10'!#REF!,"",0,1)="P",1*$C16,0))</f>
        <v>0</v>
      </c>
      <c r="BX16" s="31">
        <f>IF($C16=0,0,IF(_xlfn.XLOOKUP($B16,'PW_MLG GRADE 10'!$B$7:$B$31,'PW_MLG GRADE 10'!#REF!,"",0,1)="P",1*$C16,0))</f>
        <v>0</v>
      </c>
      <c r="BY16" s="31">
        <f>IF($C16=0,0,IF(_xlfn.XLOOKUP($B16,'PW_MLG GRADE 10'!$B$7:$B$31,'PW_MLG GRADE 10'!#REF!,"",0,1)="P",1*$C16,0))</f>
        <v>0</v>
      </c>
      <c r="BZ16" s="31">
        <f>IF($C16=0,0,IF(_xlfn.XLOOKUP($B16,'PW_MLG GRADE 10'!$B$7:$B$31,'PW_MLG GRADE 10'!#REF!,"",0,1)="P",1*$C16,0))</f>
        <v>0</v>
      </c>
      <c r="CA16" s="31">
        <f>IF($C16=0,0,IF(_xlfn.XLOOKUP($B16,'PW_MLG GRADE 10'!$B$7:$B$31,'PW_MLG GRADE 10'!#REF!,"",0,1)="P",1*$C16,0))</f>
        <v>0</v>
      </c>
      <c r="CB16" s="31">
        <f>IF($C16=0,0,IF(_xlfn.XLOOKUP($B16,'PW_MLG GRADE 10'!$B$7:$B$31,'PW_MLG GRADE 10'!#REF!,"",0,1)="P",1*$C16,0))</f>
        <v>0</v>
      </c>
      <c r="CC16" s="31">
        <f>IF($C16=0,0,IF(_xlfn.XLOOKUP($B16,'PW_MLG GRADE 10'!$B$7:$B$31,'PW_MLG GRADE 10'!#REF!,"",0,1)="P",1*$C16,0))</f>
        <v>0</v>
      </c>
      <c r="CD16" s="31">
        <f>IF($C16=0,0,IF(_xlfn.XLOOKUP($B16,'PW_MLG GRADE 10'!$B$7:$B$31,'PW_MLG GRADE 10'!#REF!,"",0,1)="P",1*$C16,0))</f>
        <v>0</v>
      </c>
      <c r="CE16" s="32">
        <f>IF($C16=0,0,IF(_xlfn.XLOOKUP($B16,'PW_CMI GRADE 10'!$B$7:$B$31,'PW_CMI GRADE 10'!C$7:C$31,"",0,1)="P",1*$C16,0))</f>
        <v>0</v>
      </c>
      <c r="CF16" s="32">
        <f>IF($C16=0,0,IF(_xlfn.XLOOKUP($B16,'PW_CMI GRADE 10'!$B$7:$B$31,'PW_CMI GRADE 10'!D$7:D$31,"",0,1)="P",1*$C16,0))</f>
        <v>0</v>
      </c>
      <c r="CG16" s="32">
        <f>IF($C16=0,0,IF(_xlfn.XLOOKUP($B16,'PW_CMI GRADE 10'!$B$7:$B$31,'PW_CMI GRADE 10'!E$7:E$31,"",0,1)="P",1*$C16,0))</f>
        <v>0</v>
      </c>
      <c r="CH16" s="32">
        <f>IF($C16=0,0,IF(_xlfn.XLOOKUP($B16,'PW_CMI GRADE 10'!$B$7:$B$31,'PW_CMI GRADE 10'!F$7:F$31,"",0,1)="P",1*$C16,0))</f>
        <v>0</v>
      </c>
      <c r="CI16" s="32">
        <f>IF($C16=0,0,IF(_xlfn.XLOOKUP($B16,'PW_CMI GRADE 10'!$B$7:$B$31,'PW_CMI GRADE 10'!G$7:G$31,"",0,1)="P",1*$C16,0))</f>
        <v>0</v>
      </c>
      <c r="CJ16" s="32">
        <f>IF($C16=0,0,IF(_xlfn.XLOOKUP($B16,'PW_CMI GRADE 10'!$B$7:$B$31,'PW_CMI GRADE 10'!H$7:H$31,"",0,1)="P",1*$C16,0))</f>
        <v>0</v>
      </c>
      <c r="CK16" s="32">
        <f>IF($C16=0,0,IF(_xlfn.XLOOKUP($B16,'PW_CMI GRADE 10'!$B$7:$B$31,'PW_CMI GRADE 10'!I$7:I$31,"",0,1)="P",1*$C16,0))</f>
        <v>0</v>
      </c>
      <c r="CL16" s="32">
        <f>IF($C16=0,0,IF(_xlfn.XLOOKUP($B16,'PW_CMI GRADE 10'!$B$7:$B$31,'PW_CMI GRADE 10'!J$7:J$31,"",0,1)="P",1*$C16,0))</f>
        <v>0</v>
      </c>
      <c r="CM16" s="32">
        <f>IF($C16=0,0,IF(_xlfn.XLOOKUP($B16,'PW_CMI GRADE 10'!$B$7:$B$31,'PW_CMI GRADE 10'!K$7:K$31,"",0,1)="P",1*$C16,0))</f>
        <v>0</v>
      </c>
      <c r="CN16" s="32">
        <f>IF($C16=0,0,IF(_xlfn.XLOOKUP($B16,'PW_CMI GRADE 10'!$B$7:$B$31,'PW_CMI GRADE 10'!L$7:L$31,"",0,1)="P",1*$C16,0))</f>
        <v>0</v>
      </c>
      <c r="CO16" s="32">
        <f>IF($C16=0,0,IF(_xlfn.XLOOKUP($B16,'PW_CMI GRADE 10'!$B$7:$B$31,'PW_CMI GRADE 10'!M$7:M$31,"",0,1)="P",1*$C16,0))</f>
        <v>0</v>
      </c>
      <c r="CP16" s="32">
        <f>IF($C16=0,0,IF(_xlfn.XLOOKUP($B16,'PW_CMI GRADE 10'!$B$7:$B$31,'PW_CMI GRADE 10'!N$7:N$31,"",0,1)="P",1*$C16,0))</f>
        <v>0</v>
      </c>
      <c r="CQ16" s="32">
        <f>IF($C16=0,0,IF(_xlfn.XLOOKUP($B16,'PW_CMI GRADE 10'!$B$7:$B$31,'PW_CMI GRADE 10'!O$7:O$31,"",0,1)="P",1*$C16,0))</f>
        <v>0</v>
      </c>
      <c r="CR16" s="32">
        <f>IF($C16=0,0,IF(_xlfn.XLOOKUP($B16,'PW_CMI GRADE 10'!$B$7:$B$31,'PW_CMI GRADE 10'!P$7:P$31,"",0,1)="P",1*$C16,0))</f>
        <v>0</v>
      </c>
      <c r="CS16" s="32">
        <f>IF($C16=0,0,IF(_xlfn.XLOOKUP($B16,'PW_CMI GRADE 10'!$B$7:$B$31,'PW_CMI GRADE 10'!Q$7:Q$31,"",0,1)="P",1*$C16,0))</f>
        <v>0</v>
      </c>
      <c r="CT16" s="32">
        <f>IF($C16=0,0,IF(_xlfn.XLOOKUP($B16,'PW_CMI GRADE 10'!$B$7:$B$31,'PW_CMI GRADE 10'!R$7:R$31,"",0,1)="P",1*$C16,0))</f>
        <v>0</v>
      </c>
      <c r="CU16" s="32">
        <f>IF($C16=0,0,IF(_xlfn.XLOOKUP($B16,'PW_CMI GRADE 10'!$B$7:$B$31,'PW_CMI GRADE 10'!S$7:S$31,"",0,1)="P",1*$C16,0))</f>
        <v>0</v>
      </c>
      <c r="CV16" s="32">
        <f>IF($C16=0,0,IF(_xlfn.XLOOKUP($B16,'PW_CMI GRADE 10'!$B$7:$B$31,'PW_CMI GRADE 10'!T$7:T$31,"",0,1)="P",1*$C16,0))</f>
        <v>0</v>
      </c>
      <c r="CW16" s="62">
        <f t="shared" si="19"/>
        <v>1</v>
      </c>
      <c r="CX16" s="62">
        <f t="shared" si="20"/>
        <v>1</v>
      </c>
      <c r="CY16" s="62">
        <f t="shared" si="21"/>
        <v>1</v>
      </c>
      <c r="CZ16" s="62">
        <f t="shared" si="22"/>
        <v>1</v>
      </c>
      <c r="DA16" s="62">
        <f t="shared" si="23"/>
        <v>1</v>
      </c>
      <c r="DB16" s="62">
        <f t="shared" si="24"/>
        <v>0.66666666666666663</v>
      </c>
      <c r="DC16" s="62">
        <f t="shared" si="25"/>
        <v>0.66666666666666663</v>
      </c>
      <c r="DD16" s="62">
        <f t="shared" si="26"/>
        <v>0.33333333333333331</v>
      </c>
      <c r="DE16" s="62">
        <f t="shared" si="27"/>
        <v>0.33333333333333331</v>
      </c>
      <c r="DF16" s="62">
        <f t="shared" si="28"/>
        <v>0</v>
      </c>
      <c r="DG16" s="62">
        <f t="shared" si="29"/>
        <v>0</v>
      </c>
      <c r="DH16" s="62">
        <f t="shared" si="30"/>
        <v>0</v>
      </c>
      <c r="DI16" s="62">
        <f t="shared" si="31"/>
        <v>0</v>
      </c>
      <c r="DJ16" s="62">
        <f t="shared" si="32"/>
        <v>0.33333333333333331</v>
      </c>
      <c r="DK16" s="62">
        <f t="shared" si="33"/>
        <v>0.66666666666666663</v>
      </c>
      <c r="DL16" s="62">
        <f t="shared" si="34"/>
        <v>1</v>
      </c>
      <c r="DM16" s="62">
        <f t="shared" si="35"/>
        <v>1</v>
      </c>
      <c r="DN16" s="62">
        <f t="shared" si="36"/>
        <v>1</v>
      </c>
      <c r="DO16" s="62">
        <f t="shared" si="37"/>
        <v>0.66666666666666663</v>
      </c>
      <c r="DP16" s="62">
        <f t="shared" si="38"/>
        <v>0.33333333333333331</v>
      </c>
      <c r="DQ16" s="62">
        <f t="shared" si="39"/>
        <v>0</v>
      </c>
      <c r="DR16" s="62">
        <f t="shared" si="40"/>
        <v>0</v>
      </c>
      <c r="DS16" s="62" t="e">
        <f t="shared" si="41"/>
        <v>#REF!</v>
      </c>
      <c r="DT16" s="62" t="e">
        <f t="shared" si="42"/>
        <v>#REF!</v>
      </c>
      <c r="DU16" s="62" t="e">
        <f t="shared" si="43"/>
        <v>#REF!</v>
      </c>
      <c r="DV16" s="62" t="e">
        <f t="shared" si="44"/>
        <v>#REF!</v>
      </c>
      <c r="DW16" s="62" t="e">
        <f t="shared" si="45"/>
        <v>#REF!</v>
      </c>
      <c r="DX16" s="62" t="e">
        <f t="shared" si="46"/>
        <v>#REF!</v>
      </c>
      <c r="DY16" s="62" t="e">
        <f t="shared" si="47"/>
        <v>#REF!</v>
      </c>
      <c r="DZ16" s="62" t="e">
        <f t="shared" si="48"/>
        <v>#REF!</v>
      </c>
      <c r="EA16" s="63">
        <f t="shared" si="1"/>
        <v>0</v>
      </c>
      <c r="EB16" s="63">
        <f t="shared" si="2"/>
        <v>0</v>
      </c>
      <c r="EC16" s="63">
        <f t="shared" si="3"/>
        <v>0</v>
      </c>
      <c r="ED16" s="63">
        <f t="shared" si="4"/>
        <v>0</v>
      </c>
      <c r="EE16" s="63">
        <f t="shared" si="5"/>
        <v>0</v>
      </c>
      <c r="EF16" s="63">
        <f t="shared" si="6"/>
        <v>0</v>
      </c>
      <c r="EG16" s="63">
        <f t="shared" si="7"/>
        <v>0</v>
      </c>
      <c r="EH16" s="63">
        <f t="shared" si="8"/>
        <v>0</v>
      </c>
      <c r="EI16" s="63">
        <f t="shared" si="9"/>
        <v>0</v>
      </c>
      <c r="EJ16" s="63">
        <f t="shared" si="10"/>
        <v>0</v>
      </c>
      <c r="EK16" s="63">
        <f t="shared" si="11"/>
        <v>0.33333333333333331</v>
      </c>
      <c r="EL16" s="63">
        <f t="shared" si="12"/>
        <v>0.66666666666666663</v>
      </c>
      <c r="EM16" s="63">
        <f t="shared" si="13"/>
        <v>1</v>
      </c>
      <c r="EN16" s="63">
        <f t="shared" si="14"/>
        <v>1</v>
      </c>
      <c r="EO16" s="63">
        <f t="shared" si="15"/>
        <v>1</v>
      </c>
      <c r="EP16" s="63">
        <f t="shared" si="16"/>
        <v>1</v>
      </c>
      <c r="ET16" t="str">
        <v>5A.1</v>
      </c>
      <c r="EU16" s="38" t="e">
        <f t="shared" si="49"/>
        <v>#REF!</v>
      </c>
      <c r="EV16" s="38" t="e">
        <f t="shared" si="50"/>
        <v>#REF!</v>
      </c>
      <c r="EW16" s="38" t="e">
        <f t="shared" si="51"/>
        <v>#REF!</v>
      </c>
      <c r="EX16" s="38" t="e">
        <f t="shared" si="52"/>
        <v>#REF!</v>
      </c>
      <c r="EY16" s="38" t="e">
        <f t="shared" si="53"/>
        <v>#REF!</v>
      </c>
      <c r="EZ16" s="38" t="e">
        <f t="shared" si="54"/>
        <v>#REF!</v>
      </c>
      <c r="FA16" s="38" t="e">
        <f t="shared" si="55"/>
        <v>#REF!</v>
      </c>
      <c r="FB16" s="38" t="e">
        <f t="shared" si="56"/>
        <v>#REF!</v>
      </c>
      <c r="FC16" s="38" t="e">
        <f t="shared" si="57"/>
        <v>#REF!</v>
      </c>
      <c r="FD16" s="38" t="e">
        <f t="shared" si="58"/>
        <v>#REF!</v>
      </c>
      <c r="FE16" s="38">
        <f t="shared" si="59"/>
        <v>0</v>
      </c>
      <c r="FF16" s="38">
        <f t="shared" si="60"/>
        <v>0</v>
      </c>
      <c r="FG16" s="38">
        <f t="shared" si="61"/>
        <v>0.66666666666666663</v>
      </c>
      <c r="FH16" s="38">
        <f t="shared" si="62"/>
        <v>0.16666666666666666</v>
      </c>
      <c r="FI16" s="38">
        <f t="shared" si="63"/>
        <v>0.66666666666666663</v>
      </c>
      <c r="FJ16" s="38">
        <f t="shared" si="64"/>
        <v>0</v>
      </c>
      <c r="FK16" s="38">
        <f t="shared" si="65"/>
        <v>0</v>
      </c>
      <c r="FL16" s="38">
        <f t="shared" si="17"/>
        <v>0.5</v>
      </c>
      <c r="FM16" s="38">
        <v>1</v>
      </c>
      <c r="FN16" s="38">
        <f t="shared" si="66"/>
        <v>0.66666666666666663</v>
      </c>
      <c r="FO16" s="38">
        <f t="shared" si="67"/>
        <v>0.33333333333333331</v>
      </c>
      <c r="FU16" s="51">
        <v>46204</v>
      </c>
      <c r="FV16" t="s">
        <v>22</v>
      </c>
      <c r="FW16" t="s">
        <v>22</v>
      </c>
      <c r="FX16" t="s">
        <v>22</v>
      </c>
      <c r="FY16" t="s">
        <v>22</v>
      </c>
      <c r="FZ16" t="s">
        <v>22</v>
      </c>
      <c r="GA16" t="s">
        <v>22</v>
      </c>
      <c r="GB16" t="s">
        <v>22</v>
      </c>
      <c r="GC16" t="s">
        <v>22</v>
      </c>
      <c r="GD16" t="s">
        <v>22</v>
      </c>
      <c r="GE16" t="s">
        <v>22</v>
      </c>
      <c r="GF16" t="s">
        <v>22</v>
      </c>
      <c r="GG16" t="s">
        <v>22</v>
      </c>
      <c r="GH16" t="s">
        <v>22</v>
      </c>
      <c r="GI16" t="s">
        <v>22</v>
      </c>
      <c r="GJ16" t="s">
        <v>22</v>
      </c>
      <c r="GK16" t="s">
        <v>22</v>
      </c>
      <c r="GL16" t="s">
        <v>22</v>
      </c>
      <c r="GM16" t="s">
        <v>22</v>
      </c>
      <c r="GN16" t="s">
        <v>22</v>
      </c>
      <c r="GO16" t="s">
        <v>22</v>
      </c>
      <c r="GP16" t="s">
        <v>22</v>
      </c>
      <c r="GQ16" t="s">
        <v>22</v>
      </c>
      <c r="GR16" t="s">
        <v>22</v>
      </c>
      <c r="GS16" t="s">
        <v>22</v>
      </c>
      <c r="GT16" t="s">
        <v>22</v>
      </c>
      <c r="GU16" t="s">
        <v>22</v>
      </c>
      <c r="GV16" t="s">
        <v>22</v>
      </c>
      <c r="GW16" t="s">
        <v>22</v>
      </c>
      <c r="GX16" t="s">
        <v>22</v>
      </c>
      <c r="GY16" t="s">
        <v>22</v>
      </c>
      <c r="GZ16" t="s">
        <v>22</v>
      </c>
      <c r="HA16" t="s">
        <v>22</v>
      </c>
      <c r="HB16" t="s">
        <v>22</v>
      </c>
      <c r="HC16" t="s">
        <v>22</v>
      </c>
      <c r="HD16" t="s">
        <v>22</v>
      </c>
      <c r="HE16" t="s">
        <v>22</v>
      </c>
      <c r="HF16" t="s">
        <v>22</v>
      </c>
      <c r="HG16" t="s">
        <v>22</v>
      </c>
      <c r="HH16" t="s">
        <v>22</v>
      </c>
      <c r="HI16" t="s">
        <v>22</v>
      </c>
      <c r="HJ16" t="s">
        <v>22</v>
      </c>
      <c r="HK16" t="s">
        <v>22</v>
      </c>
      <c r="HL16" t="s">
        <v>22</v>
      </c>
      <c r="HM16" t="s">
        <v>22</v>
      </c>
      <c r="HN16" t="s">
        <v>22</v>
      </c>
      <c r="HO16" cm="1">
        <f t="array" ref="HO16">SUMPRODUCT(--(FV16:HN16&lt;&gt;""))</f>
        <v>0</v>
      </c>
    </row>
    <row r="17" spans="1:223">
      <c r="A17" t="str">
        <f t="shared" si="18"/>
        <v>2.5</v>
      </c>
      <c r="B17" t="s">
        <v>48</v>
      </c>
      <c r="C17" s="27">
        <v>2</v>
      </c>
      <c r="D17" s="27">
        <v>2</v>
      </c>
      <c r="E17" s="31">
        <f>IF($D17=0,0,IF(_xlfn.XLOOKUP($B17,'TH_MLG GRADE 10'!$B$7:$B$49,'TH_MLG GRADE 10'!C$7:C$49,"",0,1)="P",1*$D17,0))</f>
        <v>0</v>
      </c>
      <c r="F17" s="31">
        <f>IF($D17=0,0,IF(_xlfn.XLOOKUP($B17,'TH_MLG GRADE 10'!$B$7:$B$49,'TH_MLG GRADE 10'!D$7:D$49,"",0,1)="P",1*$D17,0))</f>
        <v>0</v>
      </c>
      <c r="G17" s="31">
        <f>IF($D17=0,0,IF(_xlfn.XLOOKUP($B17,'TH_MLG GRADE 10'!$B$7:$B$49,'TH_MLG GRADE 10'!E$7:E$49,"",0,1)="P",1*$D17,0))</f>
        <v>0</v>
      </c>
      <c r="H17" s="31">
        <f>IF($D17=0,0,IF(_xlfn.XLOOKUP($B17,'TH_MLG GRADE 10'!$B$7:$B$49,'TH_MLG GRADE 10'!I$7:I$49,"",0,1)="P",1*$D17,0))</f>
        <v>0</v>
      </c>
      <c r="I17" s="31">
        <f>IF($D17=0,0,IF(_xlfn.XLOOKUP($B17,'TH_MLG GRADE 10'!$B$7:$B$49,'TH_MLG GRADE 10'!J$7:J$49,"",0,1)="P",1*$D17,0))</f>
        <v>0</v>
      </c>
      <c r="J17" s="31">
        <f>IF($D17=0,0,IF(_xlfn.XLOOKUP($B17,'TH_MLG GRADE 10'!$B$7:$B$49,'TH_MLG GRADE 10'!K$7:K$49,"",0,1)="P",1*$D17,0))</f>
        <v>0</v>
      </c>
      <c r="K17" s="31">
        <f>IF($D17=0,0,IF(_xlfn.XLOOKUP($B17,'TH_MLG GRADE 10'!$B$7:$B$49,'TH_MLG GRADE 10'!O$7:O$49,"",0,1)="P",1*$D17,0))</f>
        <v>0</v>
      </c>
      <c r="L17" s="31">
        <f>IF($D17=0,0,IF(_xlfn.XLOOKUP($B17,'TH_MLG GRADE 10'!$B$7:$B$49,'TH_MLG GRADE 10'!P$7:P$49,"",0,1)="P",1*$D17,0))</f>
        <v>0</v>
      </c>
      <c r="M17" s="31">
        <f>IF($D17=0,0,IF(_xlfn.XLOOKUP($B17,'TH_MLG GRADE 10'!$B$7:$B$49,'TH_MLG GRADE 10'!Q$7:Q$49,"",0,1)="P",1*$D17,0))</f>
        <v>0</v>
      </c>
      <c r="N17" s="31">
        <f>IF($D17=0,0,IF(_xlfn.XLOOKUP($B17,'TH_MLG GRADE 10'!$B$7:$B$49,'TH_MLG GRADE 10'!AA$7:AA$49,"",0,1)="P",1*$D17,0))</f>
        <v>0</v>
      </c>
      <c r="O17" s="31">
        <f>IF($D17=0,0,IF(_xlfn.XLOOKUP($B17,'TH_MLG GRADE 10'!$B$7:$B$49,'TH_MLG GRADE 10'!AB$7:AB$49,"",0,1)="P",1*$D17,0))</f>
        <v>0</v>
      </c>
      <c r="P17" s="31">
        <f>IF($D17=0,0,IF(_xlfn.XLOOKUP($B17,'TH_MLG GRADE 10'!$B$7:$B$49,'TH_MLG GRADE 10'!AC$7:AC$49,"",0,1)="P",1*$D17,0))</f>
        <v>0</v>
      </c>
      <c r="Q17" s="31">
        <f>IF($D17=0,0,IF(_xlfn.XLOOKUP($B17,'TH_MLG GRADE 10'!$B$7:$B$49,'TH_MLG GRADE 10'!AG$7:AG$49,"",0,1)="P",1*$D17,0))</f>
        <v>0</v>
      </c>
      <c r="R17" s="31">
        <f>IF($D17=0,0,IF(_xlfn.XLOOKUP($B17,'TH_MLG GRADE 10'!$B$7:$B$49,'TH_MLG GRADE 10'!AH$7:AH$49,"",0,1)="P",1*$D17,0))</f>
        <v>0</v>
      </c>
      <c r="S17" s="31">
        <f>IF($D17=0,0,IF(_xlfn.XLOOKUP($B17,'TH_MLG GRADE 10'!$B$7:$B$49,'TH_MLG GRADE 10'!AI$7:AI$49,"",0,1)="P",1*$D17,0))</f>
        <v>0</v>
      </c>
      <c r="T17" s="31">
        <f>IF($D17=0,0,IF(_xlfn.XLOOKUP($B17,'TH_MLG GRADE 10'!$B$7:$B$49,'TH_MLG GRADE 10'!AM$7:AM$49,"",0,1)="P",1*$D17,0))</f>
        <v>2</v>
      </c>
      <c r="U17" s="31">
        <f>IF($D17=0,0,IF(_xlfn.XLOOKUP($B17,'TH_MLG GRADE 10'!$B$7:$B$49,'TH_MLG GRADE 10'!AN$7:AN$49,"",0,1)="P",1*$D17,0))</f>
        <v>2</v>
      </c>
      <c r="V17" s="31">
        <f>IF($D17=0,0,IF(_xlfn.XLOOKUP($B17,'TH_MLG GRADE 10'!$B$7:$B$49,'TH_MLG GRADE 10'!AO$7:AO$49,"",0,1)="P",1*$D17,0))</f>
        <v>2</v>
      </c>
      <c r="W17" s="31">
        <f>IF($D17=0,0,IF(_xlfn.XLOOKUP($B17,'TH_MLG GRADE 10'!$B$7:$B$49,'TH_MLG GRADE 10'!AY$7:AY$49,"",0,1)="P",1*$D17,0))</f>
        <v>2</v>
      </c>
      <c r="X17" s="31">
        <f>IF($D17=0,0,IF(_xlfn.XLOOKUP($B17,'TH_MLG GRADE 10'!$B$7:$B$49,'TH_MLG GRADE 10'!AZ$7:AZ$49,"",0,1)="P",1*$D17,0))</f>
        <v>2</v>
      </c>
      <c r="Y17" s="31">
        <f>IF($D17=0,0,IF(_xlfn.XLOOKUP($B17,'TH_MLG GRADE 10'!$B$7:$B$49,'TH_MLG GRADE 10'!BA$7:BA$49,"",0,1)="P",1*$D17,0))</f>
        <v>0</v>
      </c>
      <c r="Z17" s="31">
        <f>IF($D17=0,0,IF(_xlfn.XLOOKUP($B17,'TH_MLG GRADE 10'!$B$7:$B$49,'TH_MLG GRADE 10'!BE$7:BE$49,"",0,1)="P",1*$D17,0))</f>
        <v>0</v>
      </c>
      <c r="AA17" s="31">
        <f>IF($D17=0,0,IF(_xlfn.XLOOKUP($B17,'TH_MLG GRADE 10'!$B$7:$B$49,'TH_MLG GRADE 10'!BF$7:BF$49,"",0,1)="P",1*$D17,0))</f>
        <v>0</v>
      </c>
      <c r="AB17" s="31">
        <f>IF($D17=0,0,IF(_xlfn.XLOOKUP($B17,'TH_MLG GRADE 10'!$B$7:$B$49,'TH_MLG GRADE 10'!BG$7:BG$49,"",0,1)="P",1*$D17,0))</f>
        <v>0</v>
      </c>
      <c r="AC17" s="31" t="e">
        <f>IF($D17=0,0,IF(_xlfn.XLOOKUP($B17,'TH_MLG GRADE 10'!$B$7:$B$49,'TH_MLG GRADE 10'!#REF!,"",0,1)="P",1*$D17,0))</f>
        <v>#REF!</v>
      </c>
      <c r="AD17" s="31" t="e">
        <f>IF($D17=0,0,IF(_xlfn.XLOOKUP($B17,'TH_MLG GRADE 10'!$B$7:$B$49,'TH_MLG GRADE 10'!#REF!,"",0,1)="P",1*$D17,0))</f>
        <v>#REF!</v>
      </c>
      <c r="AE17" s="31" t="e">
        <f>IF($D17=0,0,IF(_xlfn.XLOOKUP($B17,'TH_MLG GRADE 10'!$B$7:$B$49,'TH_MLG GRADE 10'!#REF!,"",0,1)="P",1*$D17,0))</f>
        <v>#REF!</v>
      </c>
      <c r="AF17" s="31" t="e">
        <f>IF($D17=0,0,IF(_xlfn.XLOOKUP($B17,'TH_MLG GRADE 10'!$B$7:$B$49,'TH_MLG GRADE 10'!#REF!,"",0,1)="P",1*$D17,0))</f>
        <v>#REF!</v>
      </c>
      <c r="AG17" s="31" t="e">
        <f>IF($D17=0,0,IF(_xlfn.XLOOKUP($B17,'TH_MLG GRADE 10'!$B$7:$B$49,'TH_MLG GRADE 10'!#REF!,"",0,1)="P",1*$D17,0))</f>
        <v>#REF!</v>
      </c>
      <c r="AH17" s="31" t="e">
        <f>IF($D17=0,0,IF(_xlfn.XLOOKUP($B17,'TH_MLG GRADE 10'!$B$7:$B$49,'TH_MLG GRADE 10'!#REF!,"",0,1)="P",1*$D17,0))</f>
        <v>#REF!</v>
      </c>
      <c r="AI17" s="32">
        <f>IF($D17=0,0,IF(_xlfn.XLOOKUP($B17,'TH_CMI GRADE 10'!$B$7:$B$49,'TH_CMI GRADE 10'!C$7:C$49,"",0,1)="P",1*$D17,0))</f>
        <v>0</v>
      </c>
      <c r="AJ17" s="32">
        <f>IF($D17=0,0,IF(_xlfn.XLOOKUP($B17,'TH_CMI GRADE 10'!$B$7:$B$49,'TH_CMI GRADE 10'!D$7:D$49,"",0,1)="P",1*$D17,0))</f>
        <v>0</v>
      </c>
      <c r="AK17" s="32">
        <f>IF($D17=0,0,IF(_xlfn.XLOOKUP($B17,'TH_CMI GRADE 10'!$B$7:$B$49,'TH_CMI GRADE 10'!H$7:H$49,"",0,1)="P",1*$D17,0))</f>
        <v>0</v>
      </c>
      <c r="AL17" s="32">
        <f>IF($D17=0,0,IF(_xlfn.XLOOKUP($B17,'TH_CMI GRADE 10'!$B$7:$B$49,'TH_CMI GRADE 10'!I$7:I$49,"",0,1)="P",1*$D17,0))</f>
        <v>0</v>
      </c>
      <c r="AM17" s="32">
        <f>IF($D17=0,0,IF(_xlfn.XLOOKUP($B17,'TH_CMI GRADE 10'!$B$7:$B$49,'TH_CMI GRADE 10'!J$7:J$49,"",0,1)="P",1*$D17,0))</f>
        <v>0</v>
      </c>
      <c r="AN17" s="32">
        <f>IF($D17=0,0,IF(_xlfn.XLOOKUP($B17,'TH_CMI GRADE 10'!$B$7:$B$49,'TH_CMI GRADE 10'!K$7:K$49,"",0,1)="P",1*$D17,0))</f>
        <v>0</v>
      </c>
      <c r="AO17" s="32">
        <f>IF($D17=0,0,IF(_xlfn.XLOOKUP($B17,'TH_CMI GRADE 10'!$B$7:$B$49,'TH_CMI GRADE 10'!O$7:O$49,"",0,1)="P",1*$D17,0))</f>
        <v>0</v>
      </c>
      <c r="AP17" s="32">
        <f>IF($D17=0,0,IF(_xlfn.XLOOKUP($B17,'TH_CMI GRADE 10'!$B$7:$B$49,'TH_CMI GRADE 10'!P$7:P$49,"",0,1)="P",1*$D17,0))</f>
        <v>0</v>
      </c>
      <c r="AQ17" s="32">
        <f>IF($D17=0,0,IF(_xlfn.XLOOKUP($B17,'TH_CMI GRADE 10'!$B$7:$B$49,'TH_CMI GRADE 10'!Q$7:Q$49,"",0,1)="P",1*$D17,0))</f>
        <v>0</v>
      </c>
      <c r="AR17" s="32">
        <f>IF($D17=0,0,IF(_xlfn.XLOOKUP($B17,'TH_CMI GRADE 10'!$B$7:$B$49,'TH_CMI GRADE 10'!U$7:U$49,"",0,1)="P",1*$D17,0))</f>
        <v>0</v>
      </c>
      <c r="AS17" s="32">
        <f>IF($D17=0,0,IF(_xlfn.XLOOKUP($B17,'TH_CMI GRADE 10'!$B$7:$B$49,'TH_CMI GRADE 10'!V$7:V$49,"",0,1)="P",1*$D17,0))</f>
        <v>0</v>
      </c>
      <c r="AT17" s="32">
        <f>IF($D17=0,0,IF(_xlfn.XLOOKUP($B17,'TH_CMI GRADE 10'!$B$7:$B$49,'TH_CMI GRADE 10'!W$7:W$49,"",0,1)="P",1*$D17,0))</f>
        <v>0</v>
      </c>
      <c r="AU17" s="32">
        <f>IF($D17=0,0,IF(_xlfn.XLOOKUP($B17,'TH_CMI GRADE 10'!$B$7:$B$49,'TH_CMI GRADE 10'!AA$7:AA$49,"",0,1)="P",1*$D17,0))</f>
        <v>2</v>
      </c>
      <c r="AV17" s="32">
        <f>IF($D17=0,0,IF(_xlfn.XLOOKUP($B17,'TH_CMI GRADE 10'!$B$7:$B$49,'TH_CMI GRADE 10'!AB$7:AB$49,"",0,1)="P",1*$D17,0))</f>
        <v>2</v>
      </c>
      <c r="AW17" s="32">
        <f>IF($D17=0,0,IF(_xlfn.XLOOKUP($B17,'TH_CMI GRADE 10'!$B$7:$B$49,'TH_CMI GRADE 10'!AC$7:AC$49,"",0,1)="P",1*$D17,0))</f>
        <v>2</v>
      </c>
      <c r="AX17" s="32">
        <f>IF($D17=0,0,IF(_xlfn.XLOOKUP($B17,'TH_CMI GRADE 10'!$B$7:$B$49,'TH_CMI GRADE 10'!AG$7:AG$49,"",0,1)="P",1*$D17,0))</f>
        <v>2</v>
      </c>
      <c r="AY17" s="32">
        <f>IF($D17=0,0,IF(_xlfn.XLOOKUP($B17,'TH_CMI GRADE 10'!$B$7:$B$49,'TH_CMI GRADE 10'!AH$7:AH$49,"",0,1)="P",1*$D17,0))</f>
        <v>2</v>
      </c>
      <c r="AZ17" s="32">
        <f>IF($D17=0,0,IF(_xlfn.XLOOKUP($B17,'TH_CMI GRADE 10'!$B$7:$B$49,'TH_CMI GRADE 10'!AI$7:AI$49,"",0,1)="P",1*$D17,0))</f>
        <v>2</v>
      </c>
      <c r="BA17" s="31" t="e">
        <f>IF($C17=0,0,IF(_xlfn.XLOOKUP($B17,'PW_MLG GRADE 10'!$B$7:$B$31,'PW_MLG GRADE 10'!#REF!,"",0,1)="P",1*$C17,0))</f>
        <v>#REF!</v>
      </c>
      <c r="BB17" s="31" t="e">
        <f>IF($C17=0,0,IF(_xlfn.XLOOKUP($B17,'PW_MLG GRADE 10'!$B$7:$B$31,'PW_MLG GRADE 10'!#REF!,"",0,1)="P",1*$C17,0))</f>
        <v>#REF!</v>
      </c>
      <c r="BC17" s="31" t="e">
        <f>IF($C17=0,0,IF(_xlfn.XLOOKUP($B17,'PW_MLG GRADE 10'!$B$7:$B$31,'PW_MLG GRADE 10'!#REF!,"",0,1)="P",1*$C17,0))</f>
        <v>#REF!</v>
      </c>
      <c r="BD17" s="31" t="e">
        <f>IF($C17=0,0,IF(_xlfn.XLOOKUP($B17,'PW_MLG GRADE 10'!$B$7:$B$31,'PW_MLG GRADE 10'!#REF!,"",0,1)="P",1*$C17,0))</f>
        <v>#REF!</v>
      </c>
      <c r="BE17" s="31" t="e">
        <f>IF($C17=0,0,IF(_xlfn.XLOOKUP($B17,'PW_MLG GRADE 10'!$B$7:$B$31,'PW_MLG GRADE 10'!#REF!,"",0,1)="P",1*$C17,0))</f>
        <v>#REF!</v>
      </c>
      <c r="BF17" s="31" t="e">
        <f>IF($C17=0,0,IF(_xlfn.XLOOKUP($B17,'PW_MLG GRADE 10'!$B$7:$B$31,'PW_MLG GRADE 10'!#REF!,"",0,1)="P",1*$C17,0))</f>
        <v>#REF!</v>
      </c>
      <c r="BG17" s="31" t="e">
        <f>IF($C17=0,0,IF(_xlfn.XLOOKUP($B17,'PW_MLG GRADE 10'!$B$7:$B$31,'PW_MLG GRADE 10'!#REF!,"",0,1)="P",1*$C17,0))</f>
        <v>#REF!</v>
      </c>
      <c r="BH17" s="31" t="e">
        <f>IF($C17=0,0,IF(_xlfn.XLOOKUP($B17,'PW_MLG GRADE 10'!$B$7:$B$31,'PW_MLG GRADE 10'!#REF!,"",0,1)="P",1*$C17,0))</f>
        <v>#REF!</v>
      </c>
      <c r="BI17" s="31" t="e">
        <f>IF($C17=0,0,IF(_xlfn.XLOOKUP($B17,'PW_MLG GRADE 10'!$B$7:$B$31,'PW_MLG GRADE 10'!#REF!,"",0,1)="P",1*$C17,0))</f>
        <v>#REF!</v>
      </c>
      <c r="BJ17" s="31" t="e">
        <f>IF($C17=0,0,IF(_xlfn.XLOOKUP($B17,'PW_MLG GRADE 10'!$B$7:$B$31,'PW_MLG GRADE 10'!#REF!,"",0,1)="P",1*$C17,0))</f>
        <v>#REF!</v>
      </c>
      <c r="BK17" s="31" t="e">
        <f>IF($C17=0,0,IF(_xlfn.XLOOKUP($B17,'PW_MLG GRADE 10'!$B$7:$B$31,'PW_MLG GRADE 10'!#REF!,"",0,1)="P",1*$C17,0))</f>
        <v>#REF!</v>
      </c>
      <c r="BL17" s="31" t="e">
        <f>IF($C17=0,0,IF(_xlfn.XLOOKUP($B17,'PW_MLG GRADE 10'!$B$7:$B$31,'PW_MLG GRADE 10'!#REF!,"",0,1)="P",1*$C17,0))</f>
        <v>#REF!</v>
      </c>
      <c r="BM17" s="31" t="e">
        <f>IF($C17=0,0,IF(_xlfn.XLOOKUP($B17,'PW_MLG GRADE 10'!$B$7:$B$31,'PW_MLG GRADE 10'!#REF!,"",0,1)="P",1*$C17,0))</f>
        <v>#REF!</v>
      </c>
      <c r="BN17" s="31" t="e">
        <f>IF($C17=0,0,IF(_xlfn.XLOOKUP($B17,'PW_MLG GRADE 10'!$B$7:$B$31,'PW_MLG GRADE 10'!#REF!,"",0,1)="P",1*$C17,0))</f>
        <v>#REF!</v>
      </c>
      <c r="BO17" s="31" t="e">
        <f>IF($C17=0,0,IF(_xlfn.XLOOKUP($B17,'PW_MLG GRADE 10'!$B$7:$B$31,'PW_MLG GRADE 10'!#REF!,"",0,1)="P",1*$C17,0))</f>
        <v>#REF!</v>
      </c>
      <c r="BP17" s="31" t="e">
        <f>IF($C17=0,0,IF(_xlfn.XLOOKUP($B17,'PW_MLG GRADE 10'!$B$7:$B$31,'PW_MLG GRADE 10'!#REF!,"",0,1)="P",1*$C17,0))</f>
        <v>#REF!</v>
      </c>
      <c r="BQ17" s="31" t="e">
        <f>IF($C17=0,0,IF(_xlfn.XLOOKUP($B17,'PW_MLG GRADE 10'!$B$7:$B$31,'PW_MLG GRADE 10'!#REF!,"",0,1)="P",1*$C17,0))</f>
        <v>#REF!</v>
      </c>
      <c r="BR17" s="31" t="e">
        <f>IF($C17=0,0,IF(_xlfn.XLOOKUP($B17,'PW_MLG GRADE 10'!$B$7:$B$31,'PW_MLG GRADE 10'!#REF!,"",0,1)="P",1*$C17,0))</f>
        <v>#REF!</v>
      </c>
      <c r="BS17" s="31" t="e">
        <f>IF($C17=0,0,IF(_xlfn.XLOOKUP($B17,'PW_MLG GRADE 10'!$B$7:$B$31,'PW_MLG GRADE 10'!#REF!,"",0,1)="P",1*$C17,0))</f>
        <v>#REF!</v>
      </c>
      <c r="BT17" s="31" t="e">
        <f>IF($C17=0,0,IF(_xlfn.XLOOKUP($B17,'PW_MLG GRADE 10'!$B$7:$B$31,'PW_MLG GRADE 10'!#REF!,"",0,1)="P",1*$C17,0))</f>
        <v>#REF!</v>
      </c>
      <c r="BU17" s="31" t="e">
        <f>IF($C17=0,0,IF(_xlfn.XLOOKUP($B17,'PW_MLG GRADE 10'!$B$7:$B$31,'PW_MLG GRADE 10'!#REF!,"",0,1)="P",1*$C17,0))</f>
        <v>#REF!</v>
      </c>
      <c r="BV17" s="31" t="e">
        <f>IF($C17=0,0,IF(_xlfn.XLOOKUP($B17,'PW_MLG GRADE 10'!$B$7:$B$31,'PW_MLG GRADE 10'!#REF!,"",0,1)="P",1*$C17,0))</f>
        <v>#REF!</v>
      </c>
      <c r="BW17" s="31" t="e">
        <f>IF($C17=0,0,IF(_xlfn.XLOOKUP($B17,'PW_MLG GRADE 10'!$B$7:$B$31,'PW_MLG GRADE 10'!#REF!,"",0,1)="P",1*$C17,0))</f>
        <v>#REF!</v>
      </c>
      <c r="BX17" s="31" t="e">
        <f>IF($C17=0,0,IF(_xlfn.XLOOKUP($B17,'PW_MLG GRADE 10'!$B$7:$B$31,'PW_MLG GRADE 10'!#REF!,"",0,1)="P",1*$C17,0))</f>
        <v>#REF!</v>
      </c>
      <c r="BY17" s="31" t="e">
        <f>IF($C17=0,0,IF(_xlfn.XLOOKUP($B17,'PW_MLG GRADE 10'!$B$7:$B$31,'PW_MLG GRADE 10'!#REF!,"",0,1)="P",1*$C17,0))</f>
        <v>#REF!</v>
      </c>
      <c r="BZ17" s="31" t="e">
        <f>IF($C17=0,0,IF(_xlfn.XLOOKUP($B17,'PW_MLG GRADE 10'!$B$7:$B$31,'PW_MLG GRADE 10'!#REF!,"",0,1)="P",1*$C17,0))</f>
        <v>#REF!</v>
      </c>
      <c r="CA17" s="31" t="e">
        <f>IF($C17=0,0,IF(_xlfn.XLOOKUP($B17,'PW_MLG GRADE 10'!$B$7:$B$31,'PW_MLG GRADE 10'!#REF!,"",0,1)="P",1*$C17,0))</f>
        <v>#REF!</v>
      </c>
      <c r="CB17" s="31" t="e">
        <f>IF($C17=0,0,IF(_xlfn.XLOOKUP($B17,'PW_MLG GRADE 10'!$B$7:$B$31,'PW_MLG GRADE 10'!#REF!,"",0,1)="P",1*$C17,0))</f>
        <v>#REF!</v>
      </c>
      <c r="CC17" s="31" t="e">
        <f>IF($C17=0,0,IF(_xlfn.XLOOKUP($B17,'PW_MLG GRADE 10'!$B$7:$B$31,'PW_MLG GRADE 10'!#REF!,"",0,1)="P",1*$C17,0))</f>
        <v>#REF!</v>
      </c>
      <c r="CD17" s="31" t="e">
        <f>IF($C17=0,0,IF(_xlfn.XLOOKUP($B17,'PW_MLG GRADE 10'!$B$7:$B$31,'PW_MLG GRADE 10'!#REF!,"",0,1)="P",1*$C17,0))</f>
        <v>#REF!</v>
      </c>
      <c r="CE17" s="32">
        <f>IF($C17=0,0,IF(_xlfn.XLOOKUP($B17,'PW_CMI GRADE 10'!$B$7:$B$31,'PW_CMI GRADE 10'!C$7:C$31,"",0,1)="P",1*$C17,0))</f>
        <v>0</v>
      </c>
      <c r="CF17" s="32">
        <f>IF($C17=0,0,IF(_xlfn.XLOOKUP($B17,'PW_CMI GRADE 10'!$B$7:$B$31,'PW_CMI GRADE 10'!D$7:D$31,"",0,1)="P",1*$C17,0))</f>
        <v>0</v>
      </c>
      <c r="CG17" s="32">
        <f>IF($C17=0,0,IF(_xlfn.XLOOKUP($B17,'PW_CMI GRADE 10'!$B$7:$B$31,'PW_CMI GRADE 10'!E$7:E$31,"",0,1)="P",1*$C17,0))</f>
        <v>0</v>
      </c>
      <c r="CH17" s="32">
        <f>IF($C17=0,0,IF(_xlfn.XLOOKUP($B17,'PW_CMI GRADE 10'!$B$7:$B$31,'PW_CMI GRADE 10'!F$7:F$31,"",0,1)="P",1*$C17,0))</f>
        <v>0</v>
      </c>
      <c r="CI17" s="32">
        <f>IF($C17=0,0,IF(_xlfn.XLOOKUP($B17,'PW_CMI GRADE 10'!$B$7:$B$31,'PW_CMI GRADE 10'!G$7:G$31,"",0,1)="P",1*$C17,0))</f>
        <v>0</v>
      </c>
      <c r="CJ17" s="32">
        <f>IF($C17=0,0,IF(_xlfn.XLOOKUP($B17,'PW_CMI GRADE 10'!$B$7:$B$31,'PW_CMI GRADE 10'!H$7:H$31,"",0,1)="P",1*$C17,0))</f>
        <v>0</v>
      </c>
      <c r="CK17" s="32">
        <f>IF($C17=0,0,IF(_xlfn.XLOOKUP($B17,'PW_CMI GRADE 10'!$B$7:$B$31,'PW_CMI GRADE 10'!I$7:I$31,"",0,1)="P",1*$C17,0))</f>
        <v>0</v>
      </c>
      <c r="CL17" s="32">
        <f>IF($C17=0,0,IF(_xlfn.XLOOKUP($B17,'PW_CMI GRADE 10'!$B$7:$B$31,'PW_CMI GRADE 10'!J$7:J$31,"",0,1)="P",1*$C17,0))</f>
        <v>0</v>
      </c>
      <c r="CM17" s="32">
        <f>IF($C17=0,0,IF(_xlfn.XLOOKUP($B17,'PW_CMI GRADE 10'!$B$7:$B$31,'PW_CMI GRADE 10'!K$7:K$31,"",0,1)="P",1*$C17,0))</f>
        <v>0</v>
      </c>
      <c r="CN17" s="32">
        <f>IF($C17=0,0,IF(_xlfn.XLOOKUP($B17,'PW_CMI GRADE 10'!$B$7:$B$31,'PW_CMI GRADE 10'!L$7:L$31,"",0,1)="P",1*$C17,0))</f>
        <v>0</v>
      </c>
      <c r="CO17" s="32">
        <f>IF($C17=0,0,IF(_xlfn.XLOOKUP($B17,'PW_CMI GRADE 10'!$B$7:$B$31,'PW_CMI GRADE 10'!M$7:M$31,"",0,1)="P",1*$C17,0))</f>
        <v>0</v>
      </c>
      <c r="CP17" s="32">
        <f>IF($C17=0,0,IF(_xlfn.XLOOKUP($B17,'PW_CMI GRADE 10'!$B$7:$B$31,'PW_CMI GRADE 10'!N$7:N$31,"",0,1)="P",1*$C17,0))</f>
        <v>0</v>
      </c>
      <c r="CQ17" s="32">
        <f>IF($C17=0,0,IF(_xlfn.XLOOKUP($B17,'PW_CMI GRADE 10'!$B$7:$B$31,'PW_CMI GRADE 10'!O$7:O$31,"",0,1)="P",1*$C17,0))</f>
        <v>0</v>
      </c>
      <c r="CR17" s="32">
        <f>IF($C17=0,0,IF(_xlfn.XLOOKUP($B17,'PW_CMI GRADE 10'!$B$7:$B$31,'PW_CMI GRADE 10'!P$7:P$31,"",0,1)="P",1*$C17,0))</f>
        <v>0</v>
      </c>
      <c r="CS17" s="32">
        <f>IF($C17=0,0,IF(_xlfn.XLOOKUP($B17,'PW_CMI GRADE 10'!$B$7:$B$31,'PW_CMI GRADE 10'!Q$7:Q$31,"",0,1)="P",1*$C17,0))</f>
        <v>0</v>
      </c>
      <c r="CT17" s="32">
        <f>IF($C17=0,0,IF(_xlfn.XLOOKUP($B17,'PW_CMI GRADE 10'!$B$7:$B$31,'PW_CMI GRADE 10'!R$7:R$31,"",0,1)="P",1*$C17,0))</f>
        <v>0</v>
      </c>
      <c r="CU17" s="32">
        <f>IF($C17=0,0,IF(_xlfn.XLOOKUP($B17,'PW_CMI GRADE 10'!$B$7:$B$31,'PW_CMI GRADE 10'!S$7:S$31,"",0,1)="P",1*$C17,0))</f>
        <v>0</v>
      </c>
      <c r="CV17" s="32">
        <f>IF($C17=0,0,IF(_xlfn.XLOOKUP($B17,'PW_CMI GRADE 10'!$B$7:$B$31,'PW_CMI GRADE 10'!T$7:T$31,"",0,1)="P",1*$C17,0))</f>
        <v>0</v>
      </c>
      <c r="CW17" s="62" t="e">
        <f t="shared" si="19"/>
        <v>#REF!</v>
      </c>
      <c r="CX17" s="62" t="e">
        <f t="shared" si="20"/>
        <v>#REF!</v>
      </c>
      <c r="CY17" s="62" t="e">
        <f t="shared" si="21"/>
        <v>#REF!</v>
      </c>
      <c r="CZ17" s="62" t="e">
        <f t="shared" si="22"/>
        <v>#REF!</v>
      </c>
      <c r="DA17" s="62" t="e">
        <f t="shared" si="23"/>
        <v>#REF!</v>
      </c>
      <c r="DB17" s="62" t="e">
        <f t="shared" si="24"/>
        <v>#REF!</v>
      </c>
      <c r="DC17" s="62" t="e">
        <f t="shared" si="25"/>
        <v>#REF!</v>
      </c>
      <c r="DD17" s="62" t="e">
        <f t="shared" si="26"/>
        <v>#REF!</v>
      </c>
      <c r="DE17" s="62" t="e">
        <f t="shared" si="27"/>
        <v>#REF!</v>
      </c>
      <c r="DF17" s="62" t="e">
        <f t="shared" si="28"/>
        <v>#REF!</v>
      </c>
      <c r="DG17" s="62" t="e">
        <f t="shared" si="29"/>
        <v>#REF!</v>
      </c>
      <c r="DH17" s="62" t="e">
        <f t="shared" si="30"/>
        <v>#REF!</v>
      </c>
      <c r="DI17" s="62" t="e">
        <f t="shared" si="31"/>
        <v>#REF!</v>
      </c>
      <c r="DJ17" s="62" t="e">
        <f t="shared" si="32"/>
        <v>#REF!</v>
      </c>
      <c r="DK17" s="62" t="e">
        <f t="shared" si="33"/>
        <v>#REF!</v>
      </c>
      <c r="DL17" s="62" t="e">
        <f t="shared" si="34"/>
        <v>#REF!</v>
      </c>
      <c r="DM17" s="62" t="e">
        <f t="shared" si="35"/>
        <v>#REF!</v>
      </c>
      <c r="DN17" s="62" t="e">
        <f t="shared" si="36"/>
        <v>#REF!</v>
      </c>
      <c r="DO17" s="62" t="e">
        <f t="shared" si="37"/>
        <v>#REF!</v>
      </c>
      <c r="DP17" s="62" t="e">
        <f t="shared" si="38"/>
        <v>#REF!</v>
      </c>
      <c r="DQ17" s="62" t="e">
        <f t="shared" si="39"/>
        <v>#REF!</v>
      </c>
      <c r="DR17" s="62" t="e">
        <f t="shared" si="40"/>
        <v>#REF!</v>
      </c>
      <c r="DS17" s="62" t="e">
        <f t="shared" si="41"/>
        <v>#REF!</v>
      </c>
      <c r="DT17" s="62" t="e">
        <f t="shared" si="42"/>
        <v>#REF!</v>
      </c>
      <c r="DU17" s="62" t="e">
        <f t="shared" si="43"/>
        <v>#REF!</v>
      </c>
      <c r="DV17" s="62" t="e">
        <f t="shared" si="44"/>
        <v>#REF!</v>
      </c>
      <c r="DW17" s="62" t="e">
        <f t="shared" si="45"/>
        <v>#REF!</v>
      </c>
      <c r="DX17" s="62" t="e">
        <f t="shared" si="46"/>
        <v>#REF!</v>
      </c>
      <c r="DY17" s="62" t="e">
        <f t="shared" si="47"/>
        <v>#REF!</v>
      </c>
      <c r="DZ17" s="62" t="e">
        <f t="shared" si="48"/>
        <v>#REF!</v>
      </c>
      <c r="EA17" s="63">
        <f t="shared" si="1"/>
        <v>0</v>
      </c>
      <c r="EB17" s="63">
        <f t="shared" si="2"/>
        <v>0</v>
      </c>
      <c r="EC17" s="63">
        <f t="shared" si="3"/>
        <v>0</v>
      </c>
      <c r="ED17" s="63">
        <f t="shared" si="4"/>
        <v>0</v>
      </c>
      <c r="EE17" s="63">
        <f t="shared" si="5"/>
        <v>0</v>
      </c>
      <c r="EF17" s="63">
        <f t="shared" si="6"/>
        <v>0</v>
      </c>
      <c r="EG17" s="63">
        <f t="shared" si="7"/>
        <v>0</v>
      </c>
      <c r="EH17" s="63">
        <f t="shared" si="8"/>
        <v>0</v>
      </c>
      <c r="EI17" s="63">
        <f t="shared" si="9"/>
        <v>0</v>
      </c>
      <c r="EJ17" s="63">
        <f t="shared" si="10"/>
        <v>0</v>
      </c>
      <c r="EK17" s="63">
        <f t="shared" si="11"/>
        <v>0.16666666666666666</v>
      </c>
      <c r="EL17" s="63">
        <f t="shared" si="12"/>
        <v>0.33333333333333331</v>
      </c>
      <c r="EM17" s="63">
        <f t="shared" si="13"/>
        <v>0.5</v>
      </c>
      <c r="EN17" s="63">
        <f t="shared" si="14"/>
        <v>0.5</v>
      </c>
      <c r="EO17" s="63">
        <f t="shared" si="15"/>
        <v>0.5</v>
      </c>
      <c r="EP17" s="63">
        <f t="shared" si="16"/>
        <v>0.5</v>
      </c>
      <c r="ET17" t="str">
        <v>5A.2</v>
      </c>
      <c r="EU17" s="38" t="e">
        <f t="shared" si="49"/>
        <v>#REF!</v>
      </c>
      <c r="EV17" s="38" t="e">
        <f t="shared" si="50"/>
        <v>#REF!</v>
      </c>
      <c r="EW17" s="38" t="e">
        <f t="shared" si="51"/>
        <v>#REF!</v>
      </c>
      <c r="EX17" s="38" t="e">
        <f t="shared" si="52"/>
        <v>#REF!</v>
      </c>
      <c r="EY17" s="38" t="e">
        <f t="shared" si="53"/>
        <v>#REF!</v>
      </c>
      <c r="EZ17" s="38" t="e">
        <f t="shared" si="54"/>
        <v>#REF!</v>
      </c>
      <c r="FA17" s="38" t="e">
        <f t="shared" si="55"/>
        <v>#REF!</v>
      </c>
      <c r="FB17" s="38" t="e">
        <f t="shared" si="56"/>
        <v>#REF!</v>
      </c>
      <c r="FC17" s="38" t="e">
        <f t="shared" si="57"/>
        <v>#REF!</v>
      </c>
      <c r="FD17" s="38" t="e">
        <f t="shared" si="58"/>
        <v>#REF!</v>
      </c>
      <c r="FE17" s="38">
        <f t="shared" si="59"/>
        <v>0</v>
      </c>
      <c r="FF17" s="38">
        <f t="shared" si="60"/>
        <v>0</v>
      </c>
      <c r="FG17" s="38">
        <f t="shared" si="61"/>
        <v>0.41666666666666663</v>
      </c>
      <c r="FH17" s="38">
        <f t="shared" si="62"/>
        <v>0.1111111111111111</v>
      </c>
      <c r="FI17" s="38">
        <f t="shared" si="63"/>
        <v>0.41666666666666663</v>
      </c>
      <c r="FJ17" s="38">
        <f t="shared" si="64"/>
        <v>0</v>
      </c>
      <c r="FK17" s="38">
        <f t="shared" si="65"/>
        <v>0</v>
      </c>
      <c r="FL17" s="38">
        <f t="shared" si="17"/>
        <v>0.31481481481481477</v>
      </c>
      <c r="FM17" s="38">
        <v>1</v>
      </c>
      <c r="FN17" s="38">
        <f t="shared" si="66"/>
        <v>0.66666666666666663</v>
      </c>
      <c r="FO17" s="38">
        <f t="shared" si="67"/>
        <v>0.16666666666666666</v>
      </c>
      <c r="FU17" s="51">
        <v>46235</v>
      </c>
      <c r="FV17" t="s">
        <v>22</v>
      </c>
      <c r="FW17" t="s">
        <v>22</v>
      </c>
      <c r="FX17" t="s">
        <v>22</v>
      </c>
      <c r="FY17" t="s">
        <v>22</v>
      </c>
      <c r="FZ17" t="s">
        <v>22</v>
      </c>
      <c r="GA17" t="s">
        <v>22</v>
      </c>
      <c r="GB17" t="s">
        <v>22</v>
      </c>
      <c r="GC17" t="s">
        <v>22</v>
      </c>
      <c r="GD17" t="s">
        <v>22</v>
      </c>
      <c r="GE17" t="s">
        <v>22</v>
      </c>
      <c r="GF17" t="s">
        <v>22</v>
      </c>
      <c r="GG17" t="s">
        <v>22</v>
      </c>
      <c r="GH17" t="s">
        <v>22</v>
      </c>
      <c r="GI17" t="s">
        <v>22</v>
      </c>
      <c r="GJ17" t="s">
        <v>22</v>
      </c>
      <c r="GK17" t="s">
        <v>22</v>
      </c>
      <c r="GL17" t="s">
        <v>22</v>
      </c>
      <c r="GM17" t="s">
        <v>22</v>
      </c>
      <c r="GN17" t="s">
        <v>22</v>
      </c>
      <c r="GO17" t="s">
        <v>22</v>
      </c>
      <c r="GP17" t="s">
        <v>22</v>
      </c>
      <c r="GQ17" t="s">
        <v>22</v>
      </c>
      <c r="GR17" t="s">
        <v>22</v>
      </c>
      <c r="GS17" t="s">
        <v>22</v>
      </c>
      <c r="GT17" t="s">
        <v>22</v>
      </c>
      <c r="GU17" t="s">
        <v>22</v>
      </c>
      <c r="GV17" t="s">
        <v>22</v>
      </c>
      <c r="GW17" t="s">
        <v>22</v>
      </c>
      <c r="GX17" t="s">
        <v>22</v>
      </c>
      <c r="GY17" t="s">
        <v>22</v>
      </c>
      <c r="GZ17" t="s">
        <v>22</v>
      </c>
      <c r="HA17" t="s">
        <v>22</v>
      </c>
      <c r="HB17" t="s">
        <v>22</v>
      </c>
      <c r="HC17" t="s">
        <v>22</v>
      </c>
      <c r="HD17" t="s">
        <v>22</v>
      </c>
      <c r="HE17" t="s">
        <v>22</v>
      </c>
      <c r="HF17" t="s">
        <v>22</v>
      </c>
      <c r="HG17" t="s">
        <v>22</v>
      </c>
      <c r="HH17" t="s">
        <v>22</v>
      </c>
      <c r="HI17" t="s">
        <v>22</v>
      </c>
      <c r="HJ17" t="s">
        <v>22</v>
      </c>
      <c r="HK17" t="s">
        <v>22</v>
      </c>
      <c r="HL17" t="s">
        <v>22</v>
      </c>
      <c r="HM17" t="s">
        <v>22</v>
      </c>
      <c r="HN17" t="s">
        <v>22</v>
      </c>
      <c r="HO17" cm="1">
        <f t="array" ref="HO17">SUMPRODUCT(--(FV17:HN17&lt;&gt;""))</f>
        <v>0</v>
      </c>
    </row>
    <row r="18" spans="1:223">
      <c r="A18" t="str">
        <f t="shared" si="18"/>
        <v>3A.1</v>
      </c>
      <c r="B18" t="s">
        <v>49</v>
      </c>
      <c r="C18" s="28">
        <v>0</v>
      </c>
      <c r="D18" s="28">
        <v>4</v>
      </c>
      <c r="E18" s="31">
        <f>IF($D18=0,0,IF(_xlfn.XLOOKUP($B18,'TH_MLG GRADE 10'!$B$7:$B$49,'TH_MLG GRADE 10'!C$7:C$49,"",0,1)="P",1*$D18,0))</f>
        <v>0</v>
      </c>
      <c r="F18" s="31">
        <f>IF($D18=0,0,IF(_xlfn.XLOOKUP($B18,'TH_MLG GRADE 10'!$B$7:$B$49,'TH_MLG GRADE 10'!D$7:D$49,"",0,1)="P",1*$D18,0))</f>
        <v>0</v>
      </c>
      <c r="G18" s="31">
        <f>IF($D18=0,0,IF(_xlfn.XLOOKUP($B18,'TH_MLG GRADE 10'!$B$7:$B$49,'TH_MLG GRADE 10'!E$7:E$49,"",0,1)="P",1*$D18,0))</f>
        <v>0</v>
      </c>
      <c r="H18" s="31">
        <f>IF($D18=0,0,IF(_xlfn.XLOOKUP($B18,'TH_MLG GRADE 10'!$B$7:$B$49,'TH_MLG GRADE 10'!I$7:I$49,"",0,1)="P",1*$D18,0))</f>
        <v>0</v>
      </c>
      <c r="I18" s="31">
        <f>IF($D18=0,0,IF(_xlfn.XLOOKUP($B18,'TH_MLG GRADE 10'!$B$7:$B$49,'TH_MLG GRADE 10'!J$7:J$49,"",0,1)="P",1*$D18,0))</f>
        <v>0</v>
      </c>
      <c r="J18" s="31">
        <f>IF($D18=0,0,IF(_xlfn.XLOOKUP($B18,'TH_MLG GRADE 10'!$B$7:$B$49,'TH_MLG GRADE 10'!K$7:K$49,"",0,1)="P",1*$D18,0))</f>
        <v>0</v>
      </c>
      <c r="K18" s="31">
        <f>IF($D18=0,0,IF(_xlfn.XLOOKUP($B18,'TH_MLG GRADE 10'!$B$7:$B$49,'TH_MLG GRADE 10'!O$7:O$49,"",0,1)="P",1*$D18,0))</f>
        <v>0</v>
      </c>
      <c r="L18" s="31">
        <f>IF($D18=0,0,IF(_xlfn.XLOOKUP($B18,'TH_MLG GRADE 10'!$B$7:$B$49,'TH_MLG GRADE 10'!P$7:P$49,"",0,1)="P",1*$D18,0))</f>
        <v>0</v>
      </c>
      <c r="M18" s="31">
        <f>IF($D18=0,0,IF(_xlfn.XLOOKUP($B18,'TH_MLG GRADE 10'!$B$7:$B$49,'TH_MLG GRADE 10'!Q$7:Q$49,"",0,1)="P",1*$D18,0))</f>
        <v>0</v>
      </c>
      <c r="N18" s="31">
        <f>IF($D18=0,0,IF(_xlfn.XLOOKUP($B18,'TH_MLG GRADE 10'!$B$7:$B$49,'TH_MLG GRADE 10'!AA$7:AA$49,"",0,1)="P",1*$D18,0))</f>
        <v>4</v>
      </c>
      <c r="O18" s="31">
        <f>IF($D18=0,0,IF(_xlfn.XLOOKUP($B18,'TH_MLG GRADE 10'!$B$7:$B$49,'TH_MLG GRADE 10'!AB$7:AB$49,"",0,1)="P",1*$D18,0))</f>
        <v>4</v>
      </c>
      <c r="P18" s="31">
        <f>IF($D18=0,0,IF(_xlfn.XLOOKUP($B18,'TH_MLG GRADE 10'!$B$7:$B$49,'TH_MLG GRADE 10'!AC$7:AC$49,"",0,1)="P",1*$D18,0))</f>
        <v>0</v>
      </c>
      <c r="Q18" s="31">
        <f>IF($D18=0,0,IF(_xlfn.XLOOKUP($B18,'TH_MLG GRADE 10'!$B$7:$B$49,'TH_MLG GRADE 10'!AG$7:AG$49,"",0,1)="P",1*$D18,0))</f>
        <v>4</v>
      </c>
      <c r="R18" s="31">
        <f>IF($D18=0,0,IF(_xlfn.XLOOKUP($B18,'TH_MLG GRADE 10'!$B$7:$B$49,'TH_MLG GRADE 10'!AH$7:AH$49,"",0,1)="P",1*$D18,0))</f>
        <v>4</v>
      </c>
      <c r="S18" s="31">
        <f>IF($D18=0,0,IF(_xlfn.XLOOKUP($B18,'TH_MLG GRADE 10'!$B$7:$B$49,'TH_MLG GRADE 10'!AI$7:AI$49,"",0,1)="P",1*$D18,0))</f>
        <v>4</v>
      </c>
      <c r="T18" s="31">
        <f>IF($D18=0,0,IF(_xlfn.XLOOKUP($B18,'TH_MLG GRADE 10'!$B$7:$B$49,'TH_MLG GRADE 10'!AM$7:AM$49,"",0,1)="P",1*$D18,0))</f>
        <v>4</v>
      </c>
      <c r="U18" s="31">
        <f>IF($D18=0,0,IF(_xlfn.XLOOKUP($B18,'TH_MLG GRADE 10'!$B$7:$B$49,'TH_MLG GRADE 10'!AN$7:AN$49,"",0,1)="P",1*$D18,0))</f>
        <v>4</v>
      </c>
      <c r="V18" s="31">
        <f>IF($D18=0,0,IF(_xlfn.XLOOKUP($B18,'TH_MLG GRADE 10'!$B$7:$B$49,'TH_MLG GRADE 10'!AO$7:AO$49,"",0,1)="P",1*$D18,0))</f>
        <v>0</v>
      </c>
      <c r="W18" s="31">
        <f>IF($D18=0,0,IF(_xlfn.XLOOKUP($B18,'TH_MLG GRADE 10'!$B$7:$B$49,'TH_MLG GRADE 10'!AY$7:AY$49,"",0,1)="P",1*$D18,0))</f>
        <v>4</v>
      </c>
      <c r="X18" s="31">
        <f>IF($D18=0,0,IF(_xlfn.XLOOKUP($B18,'TH_MLG GRADE 10'!$B$7:$B$49,'TH_MLG GRADE 10'!AZ$7:AZ$49,"",0,1)="P",1*$D18,0))</f>
        <v>4</v>
      </c>
      <c r="Y18" s="31">
        <f>IF($D18=0,0,IF(_xlfn.XLOOKUP($B18,'TH_MLG GRADE 10'!$B$7:$B$49,'TH_MLG GRADE 10'!BA$7:BA$49,"",0,1)="P",1*$D18,0))</f>
        <v>0</v>
      </c>
      <c r="Z18" s="31">
        <f>IF($D18=0,0,IF(_xlfn.XLOOKUP($B18,'TH_MLG GRADE 10'!$B$7:$B$49,'TH_MLG GRADE 10'!BE$7:BE$49,"",0,1)="P",1*$D18,0))</f>
        <v>0</v>
      </c>
      <c r="AA18" s="31">
        <f>IF($D18=0,0,IF(_xlfn.XLOOKUP($B18,'TH_MLG GRADE 10'!$B$7:$B$49,'TH_MLG GRADE 10'!BF$7:BF$49,"",0,1)="P",1*$D18,0))</f>
        <v>0</v>
      </c>
      <c r="AB18" s="31">
        <f>IF($D18=0,0,IF(_xlfn.XLOOKUP($B18,'TH_MLG GRADE 10'!$B$7:$B$49,'TH_MLG GRADE 10'!BG$7:BG$49,"",0,1)="P",1*$D18,0))</f>
        <v>0</v>
      </c>
      <c r="AC18" s="31" t="e">
        <f>IF($D18=0,0,IF(_xlfn.XLOOKUP($B18,'TH_MLG GRADE 10'!$B$7:$B$49,'TH_MLG GRADE 10'!#REF!,"",0,1)="P",1*$D18,0))</f>
        <v>#REF!</v>
      </c>
      <c r="AD18" s="31" t="e">
        <f>IF($D18=0,0,IF(_xlfn.XLOOKUP($B18,'TH_MLG GRADE 10'!$B$7:$B$49,'TH_MLG GRADE 10'!#REF!,"",0,1)="P",1*$D18,0))</f>
        <v>#REF!</v>
      </c>
      <c r="AE18" s="31" t="e">
        <f>IF($D18=0,0,IF(_xlfn.XLOOKUP($B18,'TH_MLG GRADE 10'!$B$7:$B$49,'TH_MLG GRADE 10'!#REF!,"",0,1)="P",1*$D18,0))</f>
        <v>#REF!</v>
      </c>
      <c r="AF18" s="31" t="e">
        <f>IF($D18=0,0,IF(_xlfn.XLOOKUP($B18,'TH_MLG GRADE 10'!$B$7:$B$49,'TH_MLG GRADE 10'!#REF!,"",0,1)="P",1*$D18,0))</f>
        <v>#REF!</v>
      </c>
      <c r="AG18" s="31" t="e">
        <f>IF($D18=0,0,IF(_xlfn.XLOOKUP($B18,'TH_MLG GRADE 10'!$B$7:$B$49,'TH_MLG GRADE 10'!#REF!,"",0,1)="P",1*$D18,0))</f>
        <v>#REF!</v>
      </c>
      <c r="AH18" s="31" t="e">
        <f>IF($D18=0,0,IF(_xlfn.XLOOKUP($B18,'TH_MLG GRADE 10'!$B$7:$B$49,'TH_MLG GRADE 10'!#REF!,"",0,1)="P",1*$D18,0))</f>
        <v>#REF!</v>
      </c>
      <c r="AI18" s="32">
        <f>IF($D18=0,0,IF(_xlfn.XLOOKUP($B18,'TH_CMI GRADE 10'!$B$7:$B$49,'TH_CMI GRADE 10'!C$7:C$49,"",0,1)="P",1*$D18,0))</f>
        <v>0</v>
      </c>
      <c r="AJ18" s="32">
        <f>IF($D18=0,0,IF(_xlfn.XLOOKUP($B18,'TH_CMI GRADE 10'!$B$7:$B$49,'TH_CMI GRADE 10'!D$7:D$49,"",0,1)="P",1*$D18,0))</f>
        <v>0</v>
      </c>
      <c r="AK18" s="32">
        <f>IF($D18=0,0,IF(_xlfn.XLOOKUP($B18,'TH_CMI GRADE 10'!$B$7:$B$49,'TH_CMI GRADE 10'!H$7:H$49,"",0,1)="P",1*$D18,0))</f>
        <v>0</v>
      </c>
      <c r="AL18" s="32">
        <f>IF($D18=0,0,IF(_xlfn.XLOOKUP($B18,'TH_CMI GRADE 10'!$B$7:$B$49,'TH_CMI GRADE 10'!I$7:I$49,"",0,1)="P",1*$D18,0))</f>
        <v>4</v>
      </c>
      <c r="AM18" s="32">
        <f>IF($D18=0,0,IF(_xlfn.XLOOKUP($B18,'TH_CMI GRADE 10'!$B$7:$B$49,'TH_CMI GRADE 10'!J$7:J$49,"",0,1)="P",1*$D18,0))</f>
        <v>4</v>
      </c>
      <c r="AN18" s="32">
        <f>IF($D18=0,0,IF(_xlfn.XLOOKUP($B18,'TH_CMI GRADE 10'!$B$7:$B$49,'TH_CMI GRADE 10'!K$7:K$49,"",0,1)="P",1*$D18,0))</f>
        <v>4</v>
      </c>
      <c r="AO18" s="32">
        <f>IF($D18=0,0,IF(_xlfn.XLOOKUP($B18,'TH_CMI GRADE 10'!$B$7:$B$49,'TH_CMI GRADE 10'!O$7:O$49,"",0,1)="P",1*$D18,0))</f>
        <v>4</v>
      </c>
      <c r="AP18" s="32">
        <f>IF($D18=0,0,IF(_xlfn.XLOOKUP($B18,'TH_CMI GRADE 10'!$B$7:$B$49,'TH_CMI GRADE 10'!P$7:P$49,"",0,1)="P",1*$D18,0))</f>
        <v>4</v>
      </c>
      <c r="AQ18" s="32">
        <f>IF($D18=0,0,IF(_xlfn.XLOOKUP($B18,'TH_CMI GRADE 10'!$B$7:$B$49,'TH_CMI GRADE 10'!Q$7:Q$49,"",0,1)="P",1*$D18,0))</f>
        <v>4</v>
      </c>
      <c r="AR18" s="32">
        <f>IF($D18=0,0,IF(_xlfn.XLOOKUP($B18,'TH_CMI GRADE 10'!$B$7:$B$49,'TH_CMI GRADE 10'!U$7:U$49,"",0,1)="P",1*$D18,0))</f>
        <v>0</v>
      </c>
      <c r="AS18" s="32">
        <f>IF($D18=0,0,IF(_xlfn.XLOOKUP($B18,'TH_CMI GRADE 10'!$B$7:$B$49,'TH_CMI GRADE 10'!V$7:V$49,"",0,1)="P",1*$D18,0))</f>
        <v>0</v>
      </c>
      <c r="AT18" s="32">
        <f>IF($D18=0,0,IF(_xlfn.XLOOKUP($B18,'TH_CMI GRADE 10'!$B$7:$B$49,'TH_CMI GRADE 10'!W$7:W$49,"",0,1)="P",1*$D18,0))</f>
        <v>0</v>
      </c>
      <c r="AU18" s="32">
        <f>IF($D18=0,0,IF(_xlfn.XLOOKUP($B18,'TH_CMI GRADE 10'!$B$7:$B$49,'TH_CMI GRADE 10'!AA$7:AA$49,"",0,1)="P",1*$D18,0))</f>
        <v>0</v>
      </c>
      <c r="AV18" s="32">
        <f>IF($D18=0,0,IF(_xlfn.XLOOKUP($B18,'TH_CMI GRADE 10'!$B$7:$B$49,'TH_CMI GRADE 10'!AB$7:AB$49,"",0,1)="P",1*$D18,0))</f>
        <v>0</v>
      </c>
      <c r="AW18" s="32">
        <f>IF($D18=0,0,IF(_xlfn.XLOOKUP($B18,'TH_CMI GRADE 10'!$B$7:$B$49,'TH_CMI GRADE 10'!AC$7:AC$49,"",0,1)="P",1*$D18,0))</f>
        <v>0</v>
      </c>
      <c r="AX18" s="32">
        <f>IF($D18=0,0,IF(_xlfn.XLOOKUP($B18,'TH_CMI GRADE 10'!$B$7:$B$49,'TH_CMI GRADE 10'!AG$7:AG$49,"",0,1)="P",1*$D18,0))</f>
        <v>0</v>
      </c>
      <c r="AY18" s="32">
        <f>IF($D18=0,0,IF(_xlfn.XLOOKUP($B18,'TH_CMI GRADE 10'!$B$7:$B$49,'TH_CMI GRADE 10'!AH$7:AH$49,"",0,1)="P",1*$D18,0))</f>
        <v>0</v>
      </c>
      <c r="AZ18" s="32">
        <f>IF($D18=0,0,IF(_xlfn.XLOOKUP($B18,'TH_CMI GRADE 10'!$B$7:$B$49,'TH_CMI GRADE 10'!AI$7:AI$49,"",0,1)="P",1*$D18,0))</f>
        <v>0</v>
      </c>
      <c r="BA18" s="31">
        <f>IF($C18=0,0,IF(_xlfn.XLOOKUP($B18,'PW_MLG GRADE 10'!$B$7:$B$31,'PW_MLG GRADE 10'!#REF!,"",0,1)="P",1*$C18,0))</f>
        <v>0</v>
      </c>
      <c r="BB18" s="31">
        <f>IF($C18=0,0,IF(_xlfn.XLOOKUP($B18,'PW_MLG GRADE 10'!$B$7:$B$31,'PW_MLG GRADE 10'!#REF!,"",0,1)="P",1*$C18,0))</f>
        <v>0</v>
      </c>
      <c r="BC18" s="31">
        <f>IF($C18=0,0,IF(_xlfn.XLOOKUP($B18,'PW_MLG GRADE 10'!$B$7:$B$31,'PW_MLG GRADE 10'!#REF!,"",0,1)="P",1*$C18,0))</f>
        <v>0</v>
      </c>
      <c r="BD18" s="31">
        <f>IF($C18=0,0,IF(_xlfn.XLOOKUP($B18,'PW_MLG GRADE 10'!$B$7:$B$31,'PW_MLG GRADE 10'!#REF!,"",0,1)="P",1*$C18,0))</f>
        <v>0</v>
      </c>
      <c r="BE18" s="31">
        <f>IF($C18=0,0,IF(_xlfn.XLOOKUP($B18,'PW_MLG GRADE 10'!$B$7:$B$31,'PW_MLG GRADE 10'!#REF!,"",0,1)="P",1*$C18,0))</f>
        <v>0</v>
      </c>
      <c r="BF18" s="31">
        <f>IF($C18=0,0,IF(_xlfn.XLOOKUP($B18,'PW_MLG GRADE 10'!$B$7:$B$31,'PW_MLG GRADE 10'!#REF!,"",0,1)="P",1*$C18,0))</f>
        <v>0</v>
      </c>
      <c r="BG18" s="31">
        <f>IF($C18=0,0,IF(_xlfn.XLOOKUP($B18,'PW_MLG GRADE 10'!$B$7:$B$31,'PW_MLG GRADE 10'!#REF!,"",0,1)="P",1*$C18,0))</f>
        <v>0</v>
      </c>
      <c r="BH18" s="31">
        <f>IF($C18=0,0,IF(_xlfn.XLOOKUP($B18,'PW_MLG GRADE 10'!$B$7:$B$31,'PW_MLG GRADE 10'!#REF!,"",0,1)="P",1*$C18,0))</f>
        <v>0</v>
      </c>
      <c r="BI18" s="31">
        <f>IF($C18=0,0,IF(_xlfn.XLOOKUP($B18,'PW_MLG GRADE 10'!$B$7:$B$31,'PW_MLG GRADE 10'!#REF!,"",0,1)="P",1*$C18,0))</f>
        <v>0</v>
      </c>
      <c r="BJ18" s="31">
        <f>IF($C18=0,0,IF(_xlfn.XLOOKUP($B18,'PW_MLG GRADE 10'!$B$7:$B$31,'PW_MLG GRADE 10'!#REF!,"",0,1)="P",1*$C18,0))</f>
        <v>0</v>
      </c>
      <c r="BK18" s="31">
        <f>IF($C18=0,0,IF(_xlfn.XLOOKUP($B18,'PW_MLG GRADE 10'!$B$7:$B$31,'PW_MLG GRADE 10'!#REF!,"",0,1)="P",1*$C18,0))</f>
        <v>0</v>
      </c>
      <c r="BL18" s="31">
        <f>IF($C18=0,0,IF(_xlfn.XLOOKUP($B18,'PW_MLG GRADE 10'!$B$7:$B$31,'PW_MLG GRADE 10'!#REF!,"",0,1)="P",1*$C18,0))</f>
        <v>0</v>
      </c>
      <c r="BM18" s="31">
        <f>IF($C18=0,0,IF(_xlfn.XLOOKUP($B18,'PW_MLG GRADE 10'!$B$7:$B$31,'PW_MLG GRADE 10'!#REF!,"",0,1)="P",1*$C18,0))</f>
        <v>0</v>
      </c>
      <c r="BN18" s="31">
        <f>IF($C18=0,0,IF(_xlfn.XLOOKUP($B18,'PW_MLG GRADE 10'!$B$7:$B$31,'PW_MLG GRADE 10'!#REF!,"",0,1)="P",1*$C18,0))</f>
        <v>0</v>
      </c>
      <c r="BO18" s="31">
        <f>IF($C18=0,0,IF(_xlfn.XLOOKUP($B18,'PW_MLG GRADE 10'!$B$7:$B$31,'PW_MLG GRADE 10'!#REF!,"",0,1)="P",1*$C18,0))</f>
        <v>0</v>
      </c>
      <c r="BP18" s="31">
        <f>IF($C18=0,0,IF(_xlfn.XLOOKUP($B18,'PW_MLG GRADE 10'!$B$7:$B$31,'PW_MLG GRADE 10'!#REF!,"",0,1)="P",1*$C18,0))</f>
        <v>0</v>
      </c>
      <c r="BQ18" s="31">
        <f>IF($C18=0,0,IF(_xlfn.XLOOKUP($B18,'PW_MLG GRADE 10'!$B$7:$B$31,'PW_MLG GRADE 10'!#REF!,"",0,1)="P",1*$C18,0))</f>
        <v>0</v>
      </c>
      <c r="BR18" s="31">
        <f>IF($C18=0,0,IF(_xlfn.XLOOKUP($B18,'PW_MLG GRADE 10'!$B$7:$B$31,'PW_MLG GRADE 10'!#REF!,"",0,1)="P",1*$C18,0))</f>
        <v>0</v>
      </c>
      <c r="BS18" s="31">
        <f>IF($C18=0,0,IF(_xlfn.XLOOKUP($B18,'PW_MLG GRADE 10'!$B$7:$B$31,'PW_MLG GRADE 10'!#REF!,"",0,1)="P",1*$C18,0))</f>
        <v>0</v>
      </c>
      <c r="BT18" s="31">
        <f>IF($C18=0,0,IF(_xlfn.XLOOKUP($B18,'PW_MLG GRADE 10'!$B$7:$B$31,'PW_MLG GRADE 10'!#REF!,"",0,1)="P",1*$C18,0))</f>
        <v>0</v>
      </c>
      <c r="BU18" s="31">
        <f>IF($C18=0,0,IF(_xlfn.XLOOKUP($B18,'PW_MLG GRADE 10'!$B$7:$B$31,'PW_MLG GRADE 10'!#REF!,"",0,1)="P",1*$C18,0))</f>
        <v>0</v>
      </c>
      <c r="BV18" s="31">
        <f>IF($C18=0,0,IF(_xlfn.XLOOKUP($B18,'PW_MLG GRADE 10'!$B$7:$B$31,'PW_MLG GRADE 10'!#REF!,"",0,1)="P",1*$C18,0))</f>
        <v>0</v>
      </c>
      <c r="BW18" s="31">
        <f>IF($C18=0,0,IF(_xlfn.XLOOKUP($B18,'PW_MLG GRADE 10'!$B$7:$B$31,'PW_MLG GRADE 10'!#REF!,"",0,1)="P",1*$C18,0))</f>
        <v>0</v>
      </c>
      <c r="BX18" s="31">
        <f>IF($C18=0,0,IF(_xlfn.XLOOKUP($B18,'PW_MLG GRADE 10'!$B$7:$B$31,'PW_MLG GRADE 10'!#REF!,"",0,1)="P",1*$C18,0))</f>
        <v>0</v>
      </c>
      <c r="BY18" s="31">
        <f>IF($C18=0,0,IF(_xlfn.XLOOKUP($B18,'PW_MLG GRADE 10'!$B$7:$B$31,'PW_MLG GRADE 10'!#REF!,"",0,1)="P",1*$C18,0))</f>
        <v>0</v>
      </c>
      <c r="BZ18" s="31">
        <f>IF($C18=0,0,IF(_xlfn.XLOOKUP($B18,'PW_MLG GRADE 10'!$B$7:$B$31,'PW_MLG GRADE 10'!#REF!,"",0,1)="P",1*$C18,0))</f>
        <v>0</v>
      </c>
      <c r="CA18" s="31">
        <f>IF($C18=0,0,IF(_xlfn.XLOOKUP($B18,'PW_MLG GRADE 10'!$B$7:$B$31,'PW_MLG GRADE 10'!#REF!,"",0,1)="P",1*$C18,0))</f>
        <v>0</v>
      </c>
      <c r="CB18" s="31">
        <f>IF($C18=0,0,IF(_xlfn.XLOOKUP($B18,'PW_MLG GRADE 10'!$B$7:$B$31,'PW_MLG GRADE 10'!#REF!,"",0,1)="P",1*$C18,0))</f>
        <v>0</v>
      </c>
      <c r="CC18" s="31">
        <f>IF($C18=0,0,IF(_xlfn.XLOOKUP($B18,'PW_MLG GRADE 10'!$B$7:$B$31,'PW_MLG GRADE 10'!#REF!,"",0,1)="P",1*$C18,0))</f>
        <v>0</v>
      </c>
      <c r="CD18" s="31">
        <f>IF($C18=0,0,IF(_xlfn.XLOOKUP($B18,'PW_MLG GRADE 10'!$B$7:$B$31,'PW_MLG GRADE 10'!#REF!,"",0,1)="P",1*$C18,0))</f>
        <v>0</v>
      </c>
      <c r="CE18" s="32">
        <f>IF($C18=0,0,IF(_xlfn.XLOOKUP($B18,'PW_CMI GRADE 10'!$B$7:$B$31,'PW_CMI GRADE 10'!C$7:C$31,"",0,1)="P",1*$C18,0))</f>
        <v>0</v>
      </c>
      <c r="CF18" s="32">
        <f>IF($C18=0,0,IF(_xlfn.XLOOKUP($B18,'PW_CMI GRADE 10'!$B$7:$B$31,'PW_CMI GRADE 10'!D$7:D$31,"",0,1)="P",1*$C18,0))</f>
        <v>0</v>
      </c>
      <c r="CG18" s="32">
        <f>IF($C18=0,0,IF(_xlfn.XLOOKUP($B18,'PW_CMI GRADE 10'!$B$7:$B$31,'PW_CMI GRADE 10'!E$7:E$31,"",0,1)="P",1*$C18,0))</f>
        <v>0</v>
      </c>
      <c r="CH18" s="32">
        <f>IF($C18=0,0,IF(_xlfn.XLOOKUP($B18,'PW_CMI GRADE 10'!$B$7:$B$31,'PW_CMI GRADE 10'!F$7:F$31,"",0,1)="P",1*$C18,0))</f>
        <v>0</v>
      </c>
      <c r="CI18" s="32">
        <f>IF($C18=0,0,IF(_xlfn.XLOOKUP($B18,'PW_CMI GRADE 10'!$B$7:$B$31,'PW_CMI GRADE 10'!G$7:G$31,"",0,1)="P",1*$C18,0))</f>
        <v>0</v>
      </c>
      <c r="CJ18" s="32">
        <f>IF($C18=0,0,IF(_xlfn.XLOOKUP($B18,'PW_CMI GRADE 10'!$B$7:$B$31,'PW_CMI GRADE 10'!H$7:H$31,"",0,1)="P",1*$C18,0))</f>
        <v>0</v>
      </c>
      <c r="CK18" s="32">
        <f>IF($C18=0,0,IF(_xlfn.XLOOKUP($B18,'PW_CMI GRADE 10'!$B$7:$B$31,'PW_CMI GRADE 10'!I$7:I$31,"",0,1)="P",1*$C18,0))</f>
        <v>0</v>
      </c>
      <c r="CL18" s="32">
        <f>IF($C18=0,0,IF(_xlfn.XLOOKUP($B18,'PW_CMI GRADE 10'!$B$7:$B$31,'PW_CMI GRADE 10'!J$7:J$31,"",0,1)="P",1*$C18,0))</f>
        <v>0</v>
      </c>
      <c r="CM18" s="32">
        <f>IF($C18=0,0,IF(_xlfn.XLOOKUP($B18,'PW_CMI GRADE 10'!$B$7:$B$31,'PW_CMI GRADE 10'!K$7:K$31,"",0,1)="P",1*$C18,0))</f>
        <v>0</v>
      </c>
      <c r="CN18" s="32">
        <f>IF($C18=0,0,IF(_xlfn.XLOOKUP($B18,'PW_CMI GRADE 10'!$B$7:$B$31,'PW_CMI GRADE 10'!L$7:L$31,"",0,1)="P",1*$C18,0))</f>
        <v>0</v>
      </c>
      <c r="CO18" s="32">
        <f>IF($C18=0,0,IF(_xlfn.XLOOKUP($B18,'PW_CMI GRADE 10'!$B$7:$B$31,'PW_CMI GRADE 10'!M$7:M$31,"",0,1)="P",1*$C18,0))</f>
        <v>0</v>
      </c>
      <c r="CP18" s="32">
        <f>IF($C18=0,0,IF(_xlfn.XLOOKUP($B18,'PW_CMI GRADE 10'!$B$7:$B$31,'PW_CMI GRADE 10'!N$7:N$31,"",0,1)="P",1*$C18,0))</f>
        <v>0</v>
      </c>
      <c r="CQ18" s="32">
        <f>IF($C18=0,0,IF(_xlfn.XLOOKUP($B18,'PW_CMI GRADE 10'!$B$7:$B$31,'PW_CMI GRADE 10'!O$7:O$31,"",0,1)="P",1*$C18,0))</f>
        <v>0</v>
      </c>
      <c r="CR18" s="32">
        <f>IF($C18=0,0,IF(_xlfn.XLOOKUP($B18,'PW_CMI GRADE 10'!$B$7:$B$31,'PW_CMI GRADE 10'!P$7:P$31,"",0,1)="P",1*$C18,0))</f>
        <v>0</v>
      </c>
      <c r="CS18" s="32">
        <f>IF($C18=0,0,IF(_xlfn.XLOOKUP($B18,'PW_CMI GRADE 10'!$B$7:$B$31,'PW_CMI GRADE 10'!Q$7:Q$31,"",0,1)="P",1*$C18,0))</f>
        <v>0</v>
      </c>
      <c r="CT18" s="32">
        <f>IF($C18=0,0,IF(_xlfn.XLOOKUP($B18,'PW_CMI GRADE 10'!$B$7:$B$31,'PW_CMI GRADE 10'!R$7:R$31,"",0,1)="P",1*$C18,0))</f>
        <v>0</v>
      </c>
      <c r="CU18" s="32">
        <f>IF($C18=0,0,IF(_xlfn.XLOOKUP($B18,'PW_CMI GRADE 10'!$B$7:$B$31,'PW_CMI GRADE 10'!S$7:S$31,"",0,1)="P",1*$C18,0))</f>
        <v>0</v>
      </c>
      <c r="CV18" s="32">
        <f>IF($C18=0,0,IF(_xlfn.XLOOKUP($B18,'PW_CMI GRADE 10'!$B$7:$B$31,'PW_CMI GRADE 10'!T$7:T$31,"",0,1)="P",1*$C18,0))</f>
        <v>0</v>
      </c>
      <c r="CW18" s="62">
        <f t="shared" si="19"/>
        <v>0</v>
      </c>
      <c r="CX18" s="62">
        <f t="shared" si="20"/>
        <v>0</v>
      </c>
      <c r="CY18" s="62">
        <f t="shared" si="21"/>
        <v>0</v>
      </c>
      <c r="CZ18" s="62">
        <f t="shared" si="22"/>
        <v>0</v>
      </c>
      <c r="DA18" s="62">
        <f t="shared" si="23"/>
        <v>0</v>
      </c>
      <c r="DB18" s="62">
        <f t="shared" si="24"/>
        <v>0</v>
      </c>
      <c r="DC18" s="62">
        <f t="shared" si="25"/>
        <v>0</v>
      </c>
      <c r="DD18" s="62">
        <f t="shared" si="26"/>
        <v>0.33333333333333331</v>
      </c>
      <c r="DE18" s="62">
        <f t="shared" si="27"/>
        <v>0.66666666666666663</v>
      </c>
      <c r="DF18" s="62">
        <f t="shared" si="28"/>
        <v>0.66666666666666663</v>
      </c>
      <c r="DG18" s="62">
        <f t="shared" si="29"/>
        <v>0.66666666666666663</v>
      </c>
      <c r="DH18" s="62">
        <f t="shared" si="30"/>
        <v>0.66666666666666663</v>
      </c>
      <c r="DI18" s="62">
        <f t="shared" si="31"/>
        <v>1</v>
      </c>
      <c r="DJ18" s="62">
        <f t="shared" si="32"/>
        <v>1</v>
      </c>
      <c r="DK18" s="62">
        <f t="shared" si="33"/>
        <v>1</v>
      </c>
      <c r="DL18" s="62">
        <f t="shared" si="34"/>
        <v>0.66666666666666663</v>
      </c>
      <c r="DM18" s="62">
        <f t="shared" si="35"/>
        <v>0.66666666666666663</v>
      </c>
      <c r="DN18" s="62">
        <f t="shared" si="36"/>
        <v>0.66666666666666663</v>
      </c>
      <c r="DO18" s="62">
        <f t="shared" si="37"/>
        <v>0.66666666666666663</v>
      </c>
      <c r="DP18" s="62">
        <f t="shared" si="38"/>
        <v>0.33333333333333331</v>
      </c>
      <c r="DQ18" s="62">
        <f t="shared" si="39"/>
        <v>0</v>
      </c>
      <c r="DR18" s="62">
        <f t="shared" si="40"/>
        <v>0</v>
      </c>
      <c r="DS18" s="62" t="e">
        <f t="shared" si="41"/>
        <v>#REF!</v>
      </c>
      <c r="DT18" s="62" t="e">
        <f t="shared" si="42"/>
        <v>#REF!</v>
      </c>
      <c r="DU18" s="62" t="e">
        <f t="shared" si="43"/>
        <v>#REF!</v>
      </c>
      <c r="DV18" s="62" t="e">
        <f t="shared" si="44"/>
        <v>#REF!</v>
      </c>
      <c r="DW18" s="62" t="e">
        <f t="shared" si="45"/>
        <v>#REF!</v>
      </c>
      <c r="DX18" s="62" t="e">
        <f t="shared" si="46"/>
        <v>#REF!</v>
      </c>
      <c r="DY18" s="62" t="e">
        <f t="shared" si="47"/>
        <v>#REF!</v>
      </c>
      <c r="DZ18" s="62" t="e">
        <f t="shared" si="48"/>
        <v>#REF!</v>
      </c>
      <c r="EA18" s="63">
        <f t="shared" si="1"/>
        <v>0</v>
      </c>
      <c r="EB18" s="63">
        <f t="shared" si="2"/>
        <v>0.33333333333333331</v>
      </c>
      <c r="EC18" s="63">
        <f t="shared" si="3"/>
        <v>0.66666666666666663</v>
      </c>
      <c r="ED18" s="63">
        <f t="shared" si="4"/>
        <v>1</v>
      </c>
      <c r="EE18" s="63">
        <f t="shared" si="5"/>
        <v>1</v>
      </c>
      <c r="EF18" s="63">
        <f t="shared" si="6"/>
        <v>1</v>
      </c>
      <c r="EG18" s="63">
        <f t="shared" si="7"/>
        <v>1</v>
      </c>
      <c r="EH18" s="63">
        <f t="shared" si="8"/>
        <v>0.66666666666666663</v>
      </c>
      <c r="EI18" s="63">
        <f t="shared" si="9"/>
        <v>0.33333333333333331</v>
      </c>
      <c r="EJ18" s="63">
        <f t="shared" si="10"/>
        <v>0</v>
      </c>
      <c r="EK18" s="63">
        <f t="shared" si="11"/>
        <v>0</v>
      </c>
      <c r="EL18" s="63">
        <f t="shared" si="12"/>
        <v>0</v>
      </c>
      <c r="EM18" s="63">
        <f t="shared" si="13"/>
        <v>0</v>
      </c>
      <c r="EN18" s="63">
        <f t="shared" si="14"/>
        <v>0</v>
      </c>
      <c r="EO18" s="63">
        <f t="shared" si="15"/>
        <v>0</v>
      </c>
      <c r="EP18" s="63">
        <f t="shared" si="16"/>
        <v>0</v>
      </c>
      <c r="ET18" t="str">
        <v>6A.1</v>
      </c>
      <c r="EU18" s="38" t="e">
        <f t="shared" si="49"/>
        <v>#REF!</v>
      </c>
      <c r="EV18" s="38" t="e">
        <f t="shared" si="50"/>
        <v>#REF!</v>
      </c>
      <c r="EW18" s="38" t="e">
        <f t="shared" si="51"/>
        <v>#REF!</v>
      </c>
      <c r="EX18" s="38" t="e">
        <f t="shared" si="52"/>
        <v>#REF!</v>
      </c>
      <c r="EY18" s="38" t="e">
        <f t="shared" si="53"/>
        <v>#REF!</v>
      </c>
      <c r="EZ18" s="38" t="e">
        <f t="shared" si="54"/>
        <v>#REF!</v>
      </c>
      <c r="FA18" s="38" t="e">
        <f t="shared" si="55"/>
        <v>#REF!</v>
      </c>
      <c r="FB18" s="38" t="e">
        <f t="shared" si="56"/>
        <v>#REF!</v>
      </c>
      <c r="FC18" s="38" t="e">
        <f t="shared" si="57"/>
        <v>#REF!</v>
      </c>
      <c r="FD18" s="38" t="e">
        <f t="shared" si="58"/>
        <v>#REF!</v>
      </c>
      <c r="FE18" s="38">
        <f t="shared" si="59"/>
        <v>0</v>
      </c>
      <c r="FF18" s="38">
        <f t="shared" si="60"/>
        <v>0</v>
      </c>
      <c r="FG18" s="38">
        <f t="shared" si="61"/>
        <v>0</v>
      </c>
      <c r="FH18" s="38">
        <f t="shared" si="62"/>
        <v>0.45</v>
      </c>
      <c r="FI18" s="38">
        <f t="shared" si="63"/>
        <v>0.45</v>
      </c>
      <c r="FJ18" s="38">
        <f t="shared" si="64"/>
        <v>0.25</v>
      </c>
      <c r="FK18" s="38">
        <f t="shared" si="65"/>
        <v>0</v>
      </c>
      <c r="FL18" s="38">
        <f t="shared" si="17"/>
        <v>0.3833333333333333</v>
      </c>
      <c r="FM18" s="38">
        <v>1</v>
      </c>
      <c r="FN18" s="38">
        <f t="shared" si="66"/>
        <v>0.66666666666666663</v>
      </c>
      <c r="FO18" s="38">
        <f t="shared" si="67"/>
        <v>0.33333333333333331</v>
      </c>
      <c r="FU18" s="51">
        <v>46266</v>
      </c>
      <c r="FV18" t="s">
        <v>22</v>
      </c>
      <c r="FW18" t="s">
        <v>22</v>
      </c>
      <c r="FX18" t="s">
        <v>22</v>
      </c>
      <c r="FY18" t="s">
        <v>22</v>
      </c>
      <c r="FZ18" t="s">
        <v>22</v>
      </c>
      <c r="GA18" t="s">
        <v>22</v>
      </c>
      <c r="GB18" t="s">
        <v>22</v>
      </c>
      <c r="GC18" t="s">
        <v>22</v>
      </c>
      <c r="GD18" t="s">
        <v>22</v>
      </c>
      <c r="GE18" t="s">
        <v>22</v>
      </c>
      <c r="GF18" t="s">
        <v>22</v>
      </c>
      <c r="GG18" t="s">
        <v>22</v>
      </c>
      <c r="GH18" t="s">
        <v>22</v>
      </c>
      <c r="GI18" t="s">
        <v>22</v>
      </c>
      <c r="GJ18" t="s">
        <v>22</v>
      </c>
      <c r="GK18" t="s">
        <v>22</v>
      </c>
      <c r="GL18" t="s">
        <v>22</v>
      </c>
      <c r="GM18" t="s">
        <v>22</v>
      </c>
      <c r="GN18" t="s">
        <v>22</v>
      </c>
      <c r="GO18" t="s">
        <v>22</v>
      </c>
      <c r="GP18" t="s">
        <v>22</v>
      </c>
      <c r="GQ18" t="s">
        <v>22</v>
      </c>
      <c r="GR18" t="s">
        <v>22</v>
      </c>
      <c r="GS18" t="s">
        <v>22</v>
      </c>
      <c r="GT18" t="s">
        <v>22</v>
      </c>
      <c r="GU18" t="s">
        <v>22</v>
      </c>
      <c r="GV18" t="s">
        <v>22</v>
      </c>
      <c r="GW18" t="s">
        <v>22</v>
      </c>
      <c r="GX18" t="s">
        <v>22</v>
      </c>
      <c r="GY18" t="s">
        <v>22</v>
      </c>
      <c r="GZ18" t="s">
        <v>22</v>
      </c>
      <c r="HA18" t="s">
        <v>22</v>
      </c>
      <c r="HB18" t="s">
        <v>22</v>
      </c>
      <c r="HC18" t="s">
        <v>22</v>
      </c>
      <c r="HD18" t="s">
        <v>22</v>
      </c>
      <c r="HE18" t="s">
        <v>22</v>
      </c>
      <c r="HF18" t="s">
        <v>22</v>
      </c>
      <c r="HG18" t="s">
        <v>22</v>
      </c>
      <c r="HH18" t="s">
        <v>22</v>
      </c>
      <c r="HI18" t="s">
        <v>22</v>
      </c>
      <c r="HJ18" t="s">
        <v>22</v>
      </c>
      <c r="HK18" t="s">
        <v>22</v>
      </c>
      <c r="HL18" t="s">
        <v>22</v>
      </c>
      <c r="HM18" t="s">
        <v>22</v>
      </c>
      <c r="HN18" t="s">
        <v>22</v>
      </c>
      <c r="HO18" cm="1">
        <f t="array" ref="HO18">SUMPRODUCT(--(FV18:HN18&lt;&gt;""))</f>
        <v>0</v>
      </c>
    </row>
    <row r="19" spans="1:223">
      <c r="A19" t="str">
        <f t="shared" si="18"/>
        <v>3A.2</v>
      </c>
      <c r="B19" t="s">
        <v>50</v>
      </c>
      <c r="C19" s="27">
        <v>0</v>
      </c>
      <c r="D19" s="27">
        <v>2</v>
      </c>
      <c r="E19" s="31">
        <f>IF($D19=0,0,IF(_xlfn.XLOOKUP($B19,'TH_MLG GRADE 10'!$B$7:$B$49,'TH_MLG GRADE 10'!C$7:C$49,"",0,1)="P",1*$D19,0))</f>
        <v>0</v>
      </c>
      <c r="F19" s="31">
        <f>IF($D19=0,0,IF(_xlfn.XLOOKUP($B19,'TH_MLG GRADE 10'!$B$7:$B$49,'TH_MLG GRADE 10'!D$7:D$49,"",0,1)="P",1*$D19,0))</f>
        <v>0</v>
      </c>
      <c r="G19" s="31">
        <f>IF($D19=0,0,IF(_xlfn.XLOOKUP($B19,'TH_MLG GRADE 10'!$B$7:$B$49,'TH_MLG GRADE 10'!E$7:E$49,"",0,1)="P",1*$D19,0))</f>
        <v>0</v>
      </c>
      <c r="H19" s="31">
        <f>IF($D19=0,0,IF(_xlfn.XLOOKUP($B19,'TH_MLG GRADE 10'!$B$7:$B$49,'TH_MLG GRADE 10'!I$7:I$49,"",0,1)="P",1*$D19,0))</f>
        <v>0</v>
      </c>
      <c r="I19" s="31">
        <f>IF($D19=0,0,IF(_xlfn.XLOOKUP($B19,'TH_MLG GRADE 10'!$B$7:$B$49,'TH_MLG GRADE 10'!J$7:J$49,"",0,1)="P",1*$D19,0))</f>
        <v>0</v>
      </c>
      <c r="J19" s="31">
        <f>IF($D19=0,0,IF(_xlfn.XLOOKUP($B19,'TH_MLG GRADE 10'!$B$7:$B$49,'TH_MLG GRADE 10'!K$7:K$49,"",0,1)="P",1*$D19,0))</f>
        <v>0</v>
      </c>
      <c r="K19" s="31">
        <f>IF($D19=0,0,IF(_xlfn.XLOOKUP($B19,'TH_MLG GRADE 10'!$B$7:$B$49,'TH_MLG GRADE 10'!O$7:O$49,"",0,1)="P",1*$D19,0))</f>
        <v>0</v>
      </c>
      <c r="L19" s="31">
        <f>IF($D19=0,0,IF(_xlfn.XLOOKUP($B19,'TH_MLG GRADE 10'!$B$7:$B$49,'TH_MLG GRADE 10'!P$7:P$49,"",0,1)="P",1*$D19,0))</f>
        <v>0</v>
      </c>
      <c r="M19" s="31">
        <f>IF($D19=0,0,IF(_xlfn.XLOOKUP($B19,'TH_MLG GRADE 10'!$B$7:$B$49,'TH_MLG GRADE 10'!Q$7:Q$49,"",0,1)="P",1*$D19,0))</f>
        <v>0</v>
      </c>
      <c r="N19" s="31">
        <f>IF($D19=0,0,IF(_xlfn.XLOOKUP($B19,'TH_MLG GRADE 10'!$B$7:$B$49,'TH_MLG GRADE 10'!AA$7:AA$49,"",0,1)="P",1*$D19,0))</f>
        <v>0</v>
      </c>
      <c r="O19" s="31">
        <f>IF($D19=0,0,IF(_xlfn.XLOOKUP($B19,'TH_MLG GRADE 10'!$B$7:$B$49,'TH_MLG GRADE 10'!AB$7:AB$49,"",0,1)="P",1*$D19,0))</f>
        <v>0</v>
      </c>
      <c r="P19" s="31">
        <f>IF($D19=0,0,IF(_xlfn.XLOOKUP($B19,'TH_MLG GRADE 10'!$B$7:$B$49,'TH_MLG GRADE 10'!AC$7:AC$49,"",0,1)="P",1*$D19,0))</f>
        <v>0</v>
      </c>
      <c r="Q19" s="31">
        <f>IF($D19=0,0,IF(_xlfn.XLOOKUP($B19,'TH_MLG GRADE 10'!$B$7:$B$49,'TH_MLG GRADE 10'!AG$7:AG$49,"",0,1)="P",1*$D19,0))</f>
        <v>2</v>
      </c>
      <c r="R19" s="31">
        <f>IF($D19=0,0,IF(_xlfn.XLOOKUP($B19,'TH_MLG GRADE 10'!$B$7:$B$49,'TH_MLG GRADE 10'!AH$7:AH$49,"",0,1)="P",1*$D19,0))</f>
        <v>2</v>
      </c>
      <c r="S19" s="31">
        <f>IF($D19=0,0,IF(_xlfn.XLOOKUP($B19,'TH_MLG GRADE 10'!$B$7:$B$49,'TH_MLG GRADE 10'!AI$7:AI$49,"",0,1)="P",1*$D19,0))</f>
        <v>2</v>
      </c>
      <c r="T19" s="31">
        <f>IF($D19=0,0,IF(_xlfn.XLOOKUP($B19,'TH_MLG GRADE 10'!$B$7:$B$49,'TH_MLG GRADE 10'!AM$7:AM$49,"",0,1)="P",1*$D19,0))</f>
        <v>0</v>
      </c>
      <c r="U19" s="31">
        <f>IF($D19=0,0,IF(_xlfn.XLOOKUP($B19,'TH_MLG GRADE 10'!$B$7:$B$49,'TH_MLG GRADE 10'!AN$7:AN$49,"",0,1)="P",1*$D19,0))</f>
        <v>0</v>
      </c>
      <c r="V19" s="31">
        <f>IF($D19=0,0,IF(_xlfn.XLOOKUP($B19,'TH_MLG GRADE 10'!$B$7:$B$49,'TH_MLG GRADE 10'!AO$7:AO$49,"",0,1)="P",1*$D19,0))</f>
        <v>0</v>
      </c>
      <c r="W19" s="31">
        <f>IF($D19=0,0,IF(_xlfn.XLOOKUP($B19,'TH_MLG GRADE 10'!$B$7:$B$49,'TH_MLG GRADE 10'!AY$7:AY$49,"",0,1)="P",1*$D19,0))</f>
        <v>0</v>
      </c>
      <c r="X19" s="31">
        <f>IF($D19=0,0,IF(_xlfn.XLOOKUP($B19,'TH_MLG GRADE 10'!$B$7:$B$49,'TH_MLG GRADE 10'!AZ$7:AZ$49,"",0,1)="P",1*$D19,0))</f>
        <v>0</v>
      </c>
      <c r="Y19" s="31">
        <f>IF($D19=0,0,IF(_xlfn.XLOOKUP($B19,'TH_MLG GRADE 10'!$B$7:$B$49,'TH_MLG GRADE 10'!BA$7:BA$49,"",0,1)="P",1*$D19,0))</f>
        <v>0</v>
      </c>
      <c r="Z19" s="31">
        <f>IF($D19=0,0,IF(_xlfn.XLOOKUP($B19,'TH_MLG GRADE 10'!$B$7:$B$49,'TH_MLG GRADE 10'!BE$7:BE$49,"",0,1)="P",1*$D19,0))</f>
        <v>0</v>
      </c>
      <c r="AA19" s="31">
        <f>IF($D19=0,0,IF(_xlfn.XLOOKUP($B19,'TH_MLG GRADE 10'!$B$7:$B$49,'TH_MLG GRADE 10'!BF$7:BF$49,"",0,1)="P",1*$D19,0))</f>
        <v>0</v>
      </c>
      <c r="AB19" s="31">
        <f>IF($D19=0,0,IF(_xlfn.XLOOKUP($B19,'TH_MLG GRADE 10'!$B$7:$B$49,'TH_MLG GRADE 10'!BG$7:BG$49,"",0,1)="P",1*$D19,0))</f>
        <v>0</v>
      </c>
      <c r="AC19" s="31" t="e">
        <f>IF($D19=0,0,IF(_xlfn.XLOOKUP($B19,'TH_MLG GRADE 10'!$B$7:$B$49,'TH_MLG GRADE 10'!#REF!,"",0,1)="P",1*$D19,0))</f>
        <v>#REF!</v>
      </c>
      <c r="AD19" s="31" t="e">
        <f>IF($D19=0,0,IF(_xlfn.XLOOKUP($B19,'TH_MLG GRADE 10'!$B$7:$B$49,'TH_MLG GRADE 10'!#REF!,"",0,1)="P",1*$D19,0))</f>
        <v>#REF!</v>
      </c>
      <c r="AE19" s="31" t="e">
        <f>IF($D19=0,0,IF(_xlfn.XLOOKUP($B19,'TH_MLG GRADE 10'!$B$7:$B$49,'TH_MLG GRADE 10'!#REF!,"",0,1)="P",1*$D19,0))</f>
        <v>#REF!</v>
      </c>
      <c r="AF19" s="31" t="e">
        <f>IF($D19=0,0,IF(_xlfn.XLOOKUP($B19,'TH_MLG GRADE 10'!$B$7:$B$49,'TH_MLG GRADE 10'!#REF!,"",0,1)="P",1*$D19,0))</f>
        <v>#REF!</v>
      </c>
      <c r="AG19" s="31" t="e">
        <f>IF($D19=0,0,IF(_xlfn.XLOOKUP($B19,'TH_MLG GRADE 10'!$B$7:$B$49,'TH_MLG GRADE 10'!#REF!,"",0,1)="P",1*$D19,0))</f>
        <v>#REF!</v>
      </c>
      <c r="AH19" s="31" t="e">
        <f>IF($D19=0,0,IF(_xlfn.XLOOKUP($B19,'TH_MLG GRADE 10'!$B$7:$B$49,'TH_MLG GRADE 10'!#REF!,"",0,1)="P",1*$D19,0))</f>
        <v>#REF!</v>
      </c>
      <c r="AI19" s="32">
        <f>IF($D19=0,0,IF(_xlfn.XLOOKUP($B19,'TH_CMI GRADE 10'!$B$7:$B$49,'TH_CMI GRADE 10'!C$7:C$49,"",0,1)="P",1*$D19,0))</f>
        <v>0</v>
      </c>
      <c r="AJ19" s="32">
        <f>IF($D19=0,0,IF(_xlfn.XLOOKUP($B19,'TH_CMI GRADE 10'!$B$7:$B$49,'TH_CMI GRADE 10'!D$7:D$49,"",0,1)="P",1*$D19,0))</f>
        <v>0</v>
      </c>
      <c r="AK19" s="32">
        <f>IF($D19=0,0,IF(_xlfn.XLOOKUP($B19,'TH_CMI GRADE 10'!$B$7:$B$49,'TH_CMI GRADE 10'!H$7:H$49,"",0,1)="P",1*$D19,0))</f>
        <v>0</v>
      </c>
      <c r="AL19" s="32">
        <f>IF($D19=0,0,IF(_xlfn.XLOOKUP($B19,'TH_CMI GRADE 10'!$B$7:$B$49,'TH_CMI GRADE 10'!I$7:I$49,"",0,1)="P",1*$D19,0))</f>
        <v>2</v>
      </c>
      <c r="AM19" s="32">
        <f>IF($D19=0,0,IF(_xlfn.XLOOKUP($B19,'TH_CMI GRADE 10'!$B$7:$B$49,'TH_CMI GRADE 10'!J$7:J$49,"",0,1)="P",1*$D19,0))</f>
        <v>2</v>
      </c>
      <c r="AN19" s="32">
        <f>IF($D19=0,0,IF(_xlfn.XLOOKUP($B19,'TH_CMI GRADE 10'!$B$7:$B$49,'TH_CMI GRADE 10'!K$7:K$49,"",0,1)="P",1*$D19,0))</f>
        <v>2</v>
      </c>
      <c r="AO19" s="32">
        <f>IF($D19=0,0,IF(_xlfn.XLOOKUP($B19,'TH_CMI GRADE 10'!$B$7:$B$49,'TH_CMI GRADE 10'!O$7:O$49,"",0,1)="P",1*$D19,0))</f>
        <v>2</v>
      </c>
      <c r="AP19" s="32">
        <f>IF($D19=0,0,IF(_xlfn.XLOOKUP($B19,'TH_CMI GRADE 10'!$B$7:$B$49,'TH_CMI GRADE 10'!P$7:P$49,"",0,1)="P",1*$D19,0))</f>
        <v>2</v>
      </c>
      <c r="AQ19" s="32">
        <f>IF($D19=0,0,IF(_xlfn.XLOOKUP($B19,'TH_CMI GRADE 10'!$B$7:$B$49,'TH_CMI GRADE 10'!Q$7:Q$49,"",0,1)="P",1*$D19,0))</f>
        <v>2</v>
      </c>
      <c r="AR19" s="32">
        <f>IF($D19=0,0,IF(_xlfn.XLOOKUP($B19,'TH_CMI GRADE 10'!$B$7:$B$49,'TH_CMI GRADE 10'!U$7:U$49,"",0,1)="P",1*$D19,0))</f>
        <v>0</v>
      </c>
      <c r="AS19" s="32">
        <f>IF($D19=0,0,IF(_xlfn.XLOOKUP($B19,'TH_CMI GRADE 10'!$B$7:$B$49,'TH_CMI GRADE 10'!V$7:V$49,"",0,1)="P",1*$D19,0))</f>
        <v>0</v>
      </c>
      <c r="AT19" s="32">
        <f>IF($D19=0,0,IF(_xlfn.XLOOKUP($B19,'TH_CMI GRADE 10'!$B$7:$B$49,'TH_CMI GRADE 10'!W$7:W$49,"",0,1)="P",1*$D19,0))</f>
        <v>0</v>
      </c>
      <c r="AU19" s="32">
        <f>IF($D19=0,0,IF(_xlfn.XLOOKUP($B19,'TH_CMI GRADE 10'!$B$7:$B$49,'TH_CMI GRADE 10'!AA$7:AA$49,"",0,1)="P",1*$D19,0))</f>
        <v>0</v>
      </c>
      <c r="AV19" s="32">
        <f>IF($D19=0,0,IF(_xlfn.XLOOKUP($B19,'TH_CMI GRADE 10'!$B$7:$B$49,'TH_CMI GRADE 10'!AB$7:AB$49,"",0,1)="P",1*$D19,0))</f>
        <v>0</v>
      </c>
      <c r="AW19" s="32">
        <f>IF($D19=0,0,IF(_xlfn.XLOOKUP($B19,'TH_CMI GRADE 10'!$B$7:$B$49,'TH_CMI GRADE 10'!AC$7:AC$49,"",0,1)="P",1*$D19,0))</f>
        <v>0</v>
      </c>
      <c r="AX19" s="32">
        <f>IF($D19=0,0,IF(_xlfn.XLOOKUP($B19,'TH_CMI GRADE 10'!$B$7:$B$49,'TH_CMI GRADE 10'!AG$7:AG$49,"",0,1)="P",1*$D19,0))</f>
        <v>0</v>
      </c>
      <c r="AY19" s="32">
        <f>IF($D19=0,0,IF(_xlfn.XLOOKUP($B19,'TH_CMI GRADE 10'!$B$7:$B$49,'TH_CMI GRADE 10'!AH$7:AH$49,"",0,1)="P",1*$D19,0))</f>
        <v>0</v>
      </c>
      <c r="AZ19" s="32">
        <f>IF($D19=0,0,IF(_xlfn.XLOOKUP($B19,'TH_CMI GRADE 10'!$B$7:$B$49,'TH_CMI GRADE 10'!AI$7:AI$49,"",0,1)="P",1*$D19,0))</f>
        <v>0</v>
      </c>
      <c r="BA19" s="31">
        <f>IF($C19=0,0,IF(_xlfn.XLOOKUP($B19,'PW_MLG GRADE 10'!$B$7:$B$31,'PW_MLG GRADE 10'!#REF!,"",0,1)="P",1*$C19,0))</f>
        <v>0</v>
      </c>
      <c r="BB19" s="31">
        <f>IF($C19=0,0,IF(_xlfn.XLOOKUP($B19,'PW_MLG GRADE 10'!$B$7:$B$31,'PW_MLG GRADE 10'!#REF!,"",0,1)="P",1*$C19,0))</f>
        <v>0</v>
      </c>
      <c r="BC19" s="31">
        <f>IF($C19=0,0,IF(_xlfn.XLOOKUP($B19,'PW_MLG GRADE 10'!$B$7:$B$31,'PW_MLG GRADE 10'!#REF!,"",0,1)="P",1*$C19,0))</f>
        <v>0</v>
      </c>
      <c r="BD19" s="31">
        <f>IF($C19=0,0,IF(_xlfn.XLOOKUP($B19,'PW_MLG GRADE 10'!$B$7:$B$31,'PW_MLG GRADE 10'!#REF!,"",0,1)="P",1*$C19,0))</f>
        <v>0</v>
      </c>
      <c r="BE19" s="31">
        <f>IF($C19=0,0,IF(_xlfn.XLOOKUP($B19,'PW_MLG GRADE 10'!$B$7:$B$31,'PW_MLG GRADE 10'!#REF!,"",0,1)="P",1*$C19,0))</f>
        <v>0</v>
      </c>
      <c r="BF19" s="31">
        <f>IF($C19=0,0,IF(_xlfn.XLOOKUP($B19,'PW_MLG GRADE 10'!$B$7:$B$31,'PW_MLG GRADE 10'!#REF!,"",0,1)="P",1*$C19,0))</f>
        <v>0</v>
      </c>
      <c r="BG19" s="31">
        <f>IF($C19=0,0,IF(_xlfn.XLOOKUP($B19,'PW_MLG GRADE 10'!$B$7:$B$31,'PW_MLG GRADE 10'!#REF!,"",0,1)="P",1*$C19,0))</f>
        <v>0</v>
      </c>
      <c r="BH19" s="31">
        <f>IF($C19=0,0,IF(_xlfn.XLOOKUP($B19,'PW_MLG GRADE 10'!$B$7:$B$31,'PW_MLG GRADE 10'!#REF!,"",0,1)="P",1*$C19,0))</f>
        <v>0</v>
      </c>
      <c r="BI19" s="31">
        <f>IF($C19=0,0,IF(_xlfn.XLOOKUP($B19,'PW_MLG GRADE 10'!$B$7:$B$31,'PW_MLG GRADE 10'!#REF!,"",0,1)="P",1*$C19,0))</f>
        <v>0</v>
      </c>
      <c r="BJ19" s="31">
        <f>IF($C19=0,0,IF(_xlfn.XLOOKUP($B19,'PW_MLG GRADE 10'!$B$7:$B$31,'PW_MLG GRADE 10'!#REF!,"",0,1)="P",1*$C19,0))</f>
        <v>0</v>
      </c>
      <c r="BK19" s="31">
        <f>IF($C19=0,0,IF(_xlfn.XLOOKUP($B19,'PW_MLG GRADE 10'!$B$7:$B$31,'PW_MLG GRADE 10'!#REF!,"",0,1)="P",1*$C19,0))</f>
        <v>0</v>
      </c>
      <c r="BL19" s="31">
        <f>IF($C19=0,0,IF(_xlfn.XLOOKUP($B19,'PW_MLG GRADE 10'!$B$7:$B$31,'PW_MLG GRADE 10'!#REF!,"",0,1)="P",1*$C19,0))</f>
        <v>0</v>
      </c>
      <c r="BM19" s="31">
        <f>IF($C19=0,0,IF(_xlfn.XLOOKUP($B19,'PW_MLG GRADE 10'!$B$7:$B$31,'PW_MLG GRADE 10'!#REF!,"",0,1)="P",1*$C19,0))</f>
        <v>0</v>
      </c>
      <c r="BN19" s="31">
        <f>IF($C19=0,0,IF(_xlfn.XLOOKUP($B19,'PW_MLG GRADE 10'!$B$7:$B$31,'PW_MLG GRADE 10'!#REF!,"",0,1)="P",1*$C19,0))</f>
        <v>0</v>
      </c>
      <c r="BO19" s="31">
        <f>IF($C19=0,0,IF(_xlfn.XLOOKUP($B19,'PW_MLG GRADE 10'!$B$7:$B$31,'PW_MLG GRADE 10'!#REF!,"",0,1)="P",1*$C19,0))</f>
        <v>0</v>
      </c>
      <c r="BP19" s="31">
        <f>IF($C19=0,0,IF(_xlfn.XLOOKUP($B19,'PW_MLG GRADE 10'!$B$7:$B$31,'PW_MLG GRADE 10'!#REF!,"",0,1)="P",1*$C19,0))</f>
        <v>0</v>
      </c>
      <c r="BQ19" s="31">
        <f>IF($C19=0,0,IF(_xlfn.XLOOKUP($B19,'PW_MLG GRADE 10'!$B$7:$B$31,'PW_MLG GRADE 10'!#REF!,"",0,1)="P",1*$C19,0))</f>
        <v>0</v>
      </c>
      <c r="BR19" s="31">
        <f>IF($C19=0,0,IF(_xlfn.XLOOKUP($B19,'PW_MLG GRADE 10'!$B$7:$B$31,'PW_MLG GRADE 10'!#REF!,"",0,1)="P",1*$C19,0))</f>
        <v>0</v>
      </c>
      <c r="BS19" s="31">
        <f>IF($C19=0,0,IF(_xlfn.XLOOKUP($B19,'PW_MLG GRADE 10'!$B$7:$B$31,'PW_MLG GRADE 10'!#REF!,"",0,1)="P",1*$C19,0))</f>
        <v>0</v>
      </c>
      <c r="BT19" s="31">
        <f>IF($C19=0,0,IF(_xlfn.XLOOKUP($B19,'PW_MLG GRADE 10'!$B$7:$B$31,'PW_MLG GRADE 10'!#REF!,"",0,1)="P",1*$C19,0))</f>
        <v>0</v>
      </c>
      <c r="BU19" s="31">
        <f>IF($C19=0,0,IF(_xlfn.XLOOKUP($B19,'PW_MLG GRADE 10'!$B$7:$B$31,'PW_MLG GRADE 10'!#REF!,"",0,1)="P",1*$C19,0))</f>
        <v>0</v>
      </c>
      <c r="BV19" s="31">
        <f>IF($C19=0,0,IF(_xlfn.XLOOKUP($B19,'PW_MLG GRADE 10'!$B$7:$B$31,'PW_MLG GRADE 10'!#REF!,"",0,1)="P",1*$C19,0))</f>
        <v>0</v>
      </c>
      <c r="BW19" s="31">
        <f>IF($C19=0,0,IF(_xlfn.XLOOKUP($B19,'PW_MLG GRADE 10'!$B$7:$B$31,'PW_MLG GRADE 10'!#REF!,"",0,1)="P",1*$C19,0))</f>
        <v>0</v>
      </c>
      <c r="BX19" s="31">
        <f>IF($C19=0,0,IF(_xlfn.XLOOKUP($B19,'PW_MLG GRADE 10'!$B$7:$B$31,'PW_MLG GRADE 10'!#REF!,"",0,1)="P",1*$C19,0))</f>
        <v>0</v>
      </c>
      <c r="BY19" s="31">
        <f>IF($C19=0,0,IF(_xlfn.XLOOKUP($B19,'PW_MLG GRADE 10'!$B$7:$B$31,'PW_MLG GRADE 10'!#REF!,"",0,1)="P",1*$C19,0))</f>
        <v>0</v>
      </c>
      <c r="BZ19" s="31">
        <f>IF($C19=0,0,IF(_xlfn.XLOOKUP($B19,'PW_MLG GRADE 10'!$B$7:$B$31,'PW_MLG GRADE 10'!#REF!,"",0,1)="P",1*$C19,0))</f>
        <v>0</v>
      </c>
      <c r="CA19" s="31">
        <f>IF($C19=0,0,IF(_xlfn.XLOOKUP($B19,'PW_MLG GRADE 10'!$B$7:$B$31,'PW_MLG GRADE 10'!#REF!,"",0,1)="P",1*$C19,0))</f>
        <v>0</v>
      </c>
      <c r="CB19" s="31">
        <f>IF($C19=0,0,IF(_xlfn.XLOOKUP($B19,'PW_MLG GRADE 10'!$B$7:$B$31,'PW_MLG GRADE 10'!#REF!,"",0,1)="P",1*$C19,0))</f>
        <v>0</v>
      </c>
      <c r="CC19" s="31">
        <f>IF($C19=0,0,IF(_xlfn.XLOOKUP($B19,'PW_MLG GRADE 10'!$B$7:$B$31,'PW_MLG GRADE 10'!#REF!,"",0,1)="P",1*$C19,0))</f>
        <v>0</v>
      </c>
      <c r="CD19" s="31">
        <f>IF($C19=0,0,IF(_xlfn.XLOOKUP($B19,'PW_MLG GRADE 10'!$B$7:$B$31,'PW_MLG GRADE 10'!#REF!,"",0,1)="P",1*$C19,0))</f>
        <v>0</v>
      </c>
      <c r="CE19" s="32">
        <f>IF($C19=0,0,IF(_xlfn.XLOOKUP($B19,'PW_CMI GRADE 10'!$B$7:$B$31,'PW_CMI GRADE 10'!C$7:C$31,"",0,1)="P",1*$C19,0))</f>
        <v>0</v>
      </c>
      <c r="CF19" s="32">
        <f>IF($C19=0,0,IF(_xlfn.XLOOKUP($B19,'PW_CMI GRADE 10'!$B$7:$B$31,'PW_CMI GRADE 10'!D$7:D$31,"",0,1)="P",1*$C19,0))</f>
        <v>0</v>
      </c>
      <c r="CG19" s="32">
        <f>IF($C19=0,0,IF(_xlfn.XLOOKUP($B19,'PW_CMI GRADE 10'!$B$7:$B$31,'PW_CMI GRADE 10'!E$7:E$31,"",0,1)="P",1*$C19,0))</f>
        <v>0</v>
      </c>
      <c r="CH19" s="32">
        <f>IF($C19=0,0,IF(_xlfn.XLOOKUP($B19,'PW_CMI GRADE 10'!$B$7:$B$31,'PW_CMI GRADE 10'!F$7:F$31,"",0,1)="P",1*$C19,0))</f>
        <v>0</v>
      </c>
      <c r="CI19" s="32">
        <f>IF($C19=0,0,IF(_xlfn.XLOOKUP($B19,'PW_CMI GRADE 10'!$B$7:$B$31,'PW_CMI GRADE 10'!G$7:G$31,"",0,1)="P",1*$C19,0))</f>
        <v>0</v>
      </c>
      <c r="CJ19" s="32">
        <f>IF($C19=0,0,IF(_xlfn.XLOOKUP($B19,'PW_CMI GRADE 10'!$B$7:$B$31,'PW_CMI GRADE 10'!H$7:H$31,"",0,1)="P",1*$C19,0))</f>
        <v>0</v>
      </c>
      <c r="CK19" s="32">
        <f>IF($C19=0,0,IF(_xlfn.XLOOKUP($B19,'PW_CMI GRADE 10'!$B$7:$B$31,'PW_CMI GRADE 10'!I$7:I$31,"",0,1)="P",1*$C19,0))</f>
        <v>0</v>
      </c>
      <c r="CL19" s="32">
        <f>IF($C19=0,0,IF(_xlfn.XLOOKUP($B19,'PW_CMI GRADE 10'!$B$7:$B$31,'PW_CMI GRADE 10'!J$7:J$31,"",0,1)="P",1*$C19,0))</f>
        <v>0</v>
      </c>
      <c r="CM19" s="32">
        <f>IF($C19=0,0,IF(_xlfn.XLOOKUP($B19,'PW_CMI GRADE 10'!$B$7:$B$31,'PW_CMI GRADE 10'!K$7:K$31,"",0,1)="P",1*$C19,0))</f>
        <v>0</v>
      </c>
      <c r="CN19" s="32">
        <f>IF($C19=0,0,IF(_xlfn.XLOOKUP($B19,'PW_CMI GRADE 10'!$B$7:$B$31,'PW_CMI GRADE 10'!L$7:L$31,"",0,1)="P",1*$C19,0))</f>
        <v>0</v>
      </c>
      <c r="CO19" s="32">
        <f>IF($C19=0,0,IF(_xlfn.XLOOKUP($B19,'PW_CMI GRADE 10'!$B$7:$B$31,'PW_CMI GRADE 10'!M$7:M$31,"",0,1)="P",1*$C19,0))</f>
        <v>0</v>
      </c>
      <c r="CP19" s="32">
        <f>IF($C19=0,0,IF(_xlfn.XLOOKUP($B19,'PW_CMI GRADE 10'!$B$7:$B$31,'PW_CMI GRADE 10'!N$7:N$31,"",0,1)="P",1*$C19,0))</f>
        <v>0</v>
      </c>
      <c r="CQ19" s="32">
        <f>IF($C19=0,0,IF(_xlfn.XLOOKUP($B19,'PW_CMI GRADE 10'!$B$7:$B$31,'PW_CMI GRADE 10'!O$7:O$31,"",0,1)="P",1*$C19,0))</f>
        <v>0</v>
      </c>
      <c r="CR19" s="32">
        <f>IF($C19=0,0,IF(_xlfn.XLOOKUP($B19,'PW_CMI GRADE 10'!$B$7:$B$31,'PW_CMI GRADE 10'!P$7:P$31,"",0,1)="P",1*$C19,0))</f>
        <v>0</v>
      </c>
      <c r="CS19" s="32">
        <f>IF($C19=0,0,IF(_xlfn.XLOOKUP($B19,'PW_CMI GRADE 10'!$B$7:$B$31,'PW_CMI GRADE 10'!Q$7:Q$31,"",0,1)="P",1*$C19,0))</f>
        <v>0</v>
      </c>
      <c r="CT19" s="32">
        <f>IF($C19=0,0,IF(_xlfn.XLOOKUP($B19,'PW_CMI GRADE 10'!$B$7:$B$31,'PW_CMI GRADE 10'!R$7:R$31,"",0,1)="P",1*$C19,0))</f>
        <v>0</v>
      </c>
      <c r="CU19" s="32">
        <f>IF($C19=0,0,IF(_xlfn.XLOOKUP($B19,'PW_CMI GRADE 10'!$B$7:$B$31,'PW_CMI GRADE 10'!S$7:S$31,"",0,1)="P",1*$C19,0))</f>
        <v>0</v>
      </c>
      <c r="CV19" s="32">
        <f>IF($C19=0,0,IF(_xlfn.XLOOKUP($B19,'PW_CMI GRADE 10'!$B$7:$B$31,'PW_CMI GRADE 10'!T$7:T$31,"",0,1)="P",1*$C19,0))</f>
        <v>0</v>
      </c>
      <c r="CW19" s="62">
        <f t="shared" si="19"/>
        <v>0</v>
      </c>
      <c r="CX19" s="62">
        <f t="shared" si="20"/>
        <v>0</v>
      </c>
      <c r="CY19" s="62">
        <f t="shared" si="21"/>
        <v>0</v>
      </c>
      <c r="CZ19" s="62">
        <f t="shared" si="22"/>
        <v>0</v>
      </c>
      <c r="DA19" s="62">
        <f t="shared" si="23"/>
        <v>0</v>
      </c>
      <c r="DB19" s="62">
        <f t="shared" si="24"/>
        <v>0</v>
      </c>
      <c r="DC19" s="62">
        <f t="shared" si="25"/>
        <v>0</v>
      </c>
      <c r="DD19" s="62">
        <f t="shared" si="26"/>
        <v>0</v>
      </c>
      <c r="DE19" s="62">
        <f t="shared" si="27"/>
        <v>0</v>
      </c>
      <c r="DF19" s="62">
        <f t="shared" si="28"/>
        <v>0</v>
      </c>
      <c r="DG19" s="62">
        <f t="shared" si="29"/>
        <v>0.33333333333333331</v>
      </c>
      <c r="DH19" s="62">
        <f t="shared" si="30"/>
        <v>0.66666666666666663</v>
      </c>
      <c r="DI19" s="62">
        <f t="shared" si="31"/>
        <v>1</v>
      </c>
      <c r="DJ19" s="62">
        <f t="shared" si="32"/>
        <v>0.66666666666666663</v>
      </c>
      <c r="DK19" s="62">
        <f t="shared" si="33"/>
        <v>0.33333333333333331</v>
      </c>
      <c r="DL19" s="62">
        <f t="shared" si="34"/>
        <v>0</v>
      </c>
      <c r="DM19" s="62">
        <f t="shared" si="35"/>
        <v>0</v>
      </c>
      <c r="DN19" s="62">
        <f t="shared" si="36"/>
        <v>0</v>
      </c>
      <c r="DO19" s="62">
        <f t="shared" si="37"/>
        <v>0</v>
      </c>
      <c r="DP19" s="62">
        <f t="shared" si="38"/>
        <v>0</v>
      </c>
      <c r="DQ19" s="62">
        <f t="shared" si="39"/>
        <v>0</v>
      </c>
      <c r="DR19" s="62">
        <f t="shared" si="40"/>
        <v>0</v>
      </c>
      <c r="DS19" s="62" t="e">
        <f t="shared" si="41"/>
        <v>#REF!</v>
      </c>
      <c r="DT19" s="62" t="e">
        <f t="shared" si="42"/>
        <v>#REF!</v>
      </c>
      <c r="DU19" s="62" t="e">
        <f t="shared" si="43"/>
        <v>#REF!</v>
      </c>
      <c r="DV19" s="62" t="e">
        <f t="shared" si="44"/>
        <v>#REF!</v>
      </c>
      <c r="DW19" s="62" t="e">
        <f t="shared" si="45"/>
        <v>#REF!</v>
      </c>
      <c r="DX19" s="62" t="e">
        <f t="shared" si="46"/>
        <v>#REF!</v>
      </c>
      <c r="DY19" s="62" t="e">
        <f t="shared" si="47"/>
        <v>#REF!</v>
      </c>
      <c r="DZ19" s="62" t="e">
        <f t="shared" si="48"/>
        <v>#REF!</v>
      </c>
      <c r="EA19" s="63">
        <f t="shared" si="1"/>
        <v>0</v>
      </c>
      <c r="EB19" s="63">
        <f t="shared" si="2"/>
        <v>0.33333333333333331</v>
      </c>
      <c r="EC19" s="63">
        <f t="shared" si="3"/>
        <v>0.66666666666666663</v>
      </c>
      <c r="ED19" s="63">
        <f t="shared" si="4"/>
        <v>1</v>
      </c>
      <c r="EE19" s="63">
        <f t="shared" si="5"/>
        <v>1</v>
      </c>
      <c r="EF19" s="63">
        <f t="shared" si="6"/>
        <v>1</v>
      </c>
      <c r="EG19" s="63">
        <f t="shared" si="7"/>
        <v>1</v>
      </c>
      <c r="EH19" s="63">
        <f t="shared" si="8"/>
        <v>0.66666666666666663</v>
      </c>
      <c r="EI19" s="63">
        <f t="shared" si="9"/>
        <v>0.33333333333333331</v>
      </c>
      <c r="EJ19" s="63">
        <f t="shared" si="10"/>
        <v>0</v>
      </c>
      <c r="EK19" s="63">
        <f t="shared" si="11"/>
        <v>0</v>
      </c>
      <c r="EL19" s="63">
        <f t="shared" si="12"/>
        <v>0</v>
      </c>
      <c r="EM19" s="63">
        <f t="shared" si="13"/>
        <v>0</v>
      </c>
      <c r="EN19" s="63">
        <f t="shared" si="14"/>
        <v>0</v>
      </c>
      <c r="EO19" s="63">
        <f t="shared" si="15"/>
        <v>0</v>
      </c>
      <c r="EP19" s="63">
        <f t="shared" si="16"/>
        <v>0</v>
      </c>
      <c r="ET19" t="str">
        <v>6A.2</v>
      </c>
      <c r="EU19" s="38" t="e">
        <f t="shared" si="49"/>
        <v>#REF!</v>
      </c>
      <c r="EV19" s="38" t="e">
        <f t="shared" si="50"/>
        <v>#REF!</v>
      </c>
      <c r="EW19" s="38" t="e">
        <f t="shared" si="51"/>
        <v>#REF!</v>
      </c>
      <c r="EX19" s="38" t="e">
        <f t="shared" si="52"/>
        <v>#REF!</v>
      </c>
      <c r="EY19" s="38" t="e">
        <f t="shared" si="53"/>
        <v>#REF!</v>
      </c>
      <c r="EZ19" s="38" t="e">
        <f t="shared" si="54"/>
        <v>#REF!</v>
      </c>
      <c r="FA19" s="38" t="e">
        <f t="shared" si="55"/>
        <v>#REF!</v>
      </c>
      <c r="FB19" s="38" t="e">
        <f t="shared" si="56"/>
        <v>#REF!</v>
      </c>
      <c r="FC19" s="38" t="e">
        <f t="shared" si="57"/>
        <v>#REF!</v>
      </c>
      <c r="FD19" s="38" t="e">
        <f t="shared" si="58"/>
        <v>#REF!</v>
      </c>
      <c r="FE19" s="38">
        <f t="shared" si="59"/>
        <v>0</v>
      </c>
      <c r="FF19" s="38">
        <f t="shared" si="60"/>
        <v>0</v>
      </c>
      <c r="FG19" s="38">
        <f t="shared" si="61"/>
        <v>0</v>
      </c>
      <c r="FH19" s="38">
        <f t="shared" si="62"/>
        <v>0.28888888888888892</v>
      </c>
      <c r="FI19" s="38">
        <f t="shared" si="63"/>
        <v>0.42222222222222222</v>
      </c>
      <c r="FJ19" s="38">
        <f t="shared" si="64"/>
        <v>0</v>
      </c>
      <c r="FK19" s="38">
        <f t="shared" si="65"/>
        <v>0</v>
      </c>
      <c r="FL19" s="38">
        <f t="shared" si="17"/>
        <v>0.35555555555555557</v>
      </c>
      <c r="FM19" s="38">
        <v>1</v>
      </c>
      <c r="FN19" s="38">
        <f t="shared" si="66"/>
        <v>0.66666666666666663</v>
      </c>
      <c r="FO19" s="38">
        <f t="shared" si="67"/>
        <v>0.33333333333333331</v>
      </c>
      <c r="FU19" s="51">
        <v>46296</v>
      </c>
      <c r="FV19" t="s">
        <v>22</v>
      </c>
      <c r="FW19" t="s">
        <v>22</v>
      </c>
      <c r="FX19" t="s">
        <v>22</v>
      </c>
      <c r="FY19" t="s">
        <v>22</v>
      </c>
      <c r="FZ19" t="s">
        <v>22</v>
      </c>
      <c r="GA19" t="s">
        <v>22</v>
      </c>
      <c r="GB19" t="s">
        <v>22</v>
      </c>
      <c r="GC19" t="s">
        <v>22</v>
      </c>
      <c r="GD19" t="s">
        <v>22</v>
      </c>
      <c r="GE19" t="s">
        <v>22</v>
      </c>
      <c r="GF19" t="s">
        <v>22</v>
      </c>
      <c r="GG19" t="s">
        <v>22</v>
      </c>
      <c r="GH19" t="s">
        <v>22</v>
      </c>
      <c r="GI19" t="s">
        <v>22</v>
      </c>
      <c r="GJ19" t="s">
        <v>22</v>
      </c>
      <c r="GK19" t="s">
        <v>22</v>
      </c>
      <c r="GL19" t="s">
        <v>22</v>
      </c>
      <c r="GM19" t="s">
        <v>22</v>
      </c>
      <c r="GN19" t="s">
        <v>22</v>
      </c>
      <c r="GO19" t="s">
        <v>22</v>
      </c>
      <c r="GP19" t="s">
        <v>22</v>
      </c>
      <c r="GQ19" t="s">
        <v>22</v>
      </c>
      <c r="GR19" t="s">
        <v>22</v>
      </c>
      <c r="GS19" t="s">
        <v>22</v>
      </c>
      <c r="GT19" t="s">
        <v>22</v>
      </c>
      <c r="GU19" t="s">
        <v>22</v>
      </c>
      <c r="GV19" t="s">
        <v>22</v>
      </c>
      <c r="GW19" t="s">
        <v>22</v>
      </c>
      <c r="GX19" t="s">
        <v>22</v>
      </c>
      <c r="GY19" t="s">
        <v>22</v>
      </c>
      <c r="GZ19" t="s">
        <v>22</v>
      </c>
      <c r="HA19" t="s">
        <v>22</v>
      </c>
      <c r="HB19" t="s">
        <v>22</v>
      </c>
      <c r="HC19" t="s">
        <v>22</v>
      </c>
      <c r="HD19" t="s">
        <v>22</v>
      </c>
      <c r="HE19" t="s">
        <v>22</v>
      </c>
      <c r="HF19" t="s">
        <v>22</v>
      </c>
      <c r="HG19" t="s">
        <v>22</v>
      </c>
      <c r="HH19" t="s">
        <v>22</v>
      </c>
      <c r="HI19" t="s">
        <v>22</v>
      </c>
      <c r="HJ19" t="s">
        <v>22</v>
      </c>
      <c r="HK19" t="s">
        <v>22</v>
      </c>
      <c r="HL19" t="s">
        <v>22</v>
      </c>
      <c r="HM19" t="s">
        <v>22</v>
      </c>
      <c r="HN19" t="s">
        <v>22</v>
      </c>
      <c r="HO19" cm="1">
        <f t="array" ref="HO19">SUMPRODUCT(--(FV19:HN19&lt;&gt;""))</f>
        <v>0</v>
      </c>
    </row>
    <row r="20" spans="1:223">
      <c r="A20" t="str">
        <f t="shared" si="18"/>
        <v>3A.3</v>
      </c>
      <c r="B20" t="s">
        <v>51</v>
      </c>
      <c r="C20" s="27">
        <v>8</v>
      </c>
      <c r="D20" s="27"/>
      <c r="E20" s="31">
        <f>IF($D20=0,0,IF(_xlfn.XLOOKUP($B20,'TH_MLG GRADE 10'!$B$7:$B$49,'TH_MLG GRADE 10'!C$7:C$49,"",0,1)="P",1*$D20,0))</f>
        <v>0</v>
      </c>
      <c r="F20" s="31">
        <f>IF($D20=0,0,IF(_xlfn.XLOOKUP($B20,'TH_MLG GRADE 10'!$B$7:$B$49,'TH_MLG GRADE 10'!D$7:D$49,"",0,1)="P",1*$D20,0))</f>
        <v>0</v>
      </c>
      <c r="G20" s="31">
        <f>IF($D20=0,0,IF(_xlfn.XLOOKUP($B20,'TH_MLG GRADE 10'!$B$7:$B$49,'TH_MLG GRADE 10'!E$7:E$49,"",0,1)="P",1*$D20,0))</f>
        <v>0</v>
      </c>
      <c r="H20" s="31">
        <f>IF($D20=0,0,IF(_xlfn.XLOOKUP($B20,'TH_MLG GRADE 10'!$B$7:$B$49,'TH_MLG GRADE 10'!I$7:I$49,"",0,1)="P",1*$D20,0))</f>
        <v>0</v>
      </c>
      <c r="I20" s="31">
        <f>IF($D20=0,0,IF(_xlfn.XLOOKUP($B20,'TH_MLG GRADE 10'!$B$7:$B$49,'TH_MLG GRADE 10'!J$7:J$49,"",0,1)="P",1*$D20,0))</f>
        <v>0</v>
      </c>
      <c r="J20" s="31">
        <f>IF($D20=0,0,IF(_xlfn.XLOOKUP($B20,'TH_MLG GRADE 10'!$B$7:$B$49,'TH_MLG GRADE 10'!K$7:K$49,"",0,1)="P",1*$D20,0))</f>
        <v>0</v>
      </c>
      <c r="K20" s="31">
        <f>IF($D20=0,0,IF(_xlfn.XLOOKUP($B20,'TH_MLG GRADE 10'!$B$7:$B$49,'TH_MLG GRADE 10'!O$7:O$49,"",0,1)="P",1*$D20,0))</f>
        <v>0</v>
      </c>
      <c r="L20" s="31">
        <f>IF($D20=0,0,IF(_xlfn.XLOOKUP($B20,'TH_MLG GRADE 10'!$B$7:$B$49,'TH_MLG GRADE 10'!P$7:P$49,"",0,1)="P",1*$D20,0))</f>
        <v>0</v>
      </c>
      <c r="M20" s="31">
        <f>IF($D20=0,0,IF(_xlfn.XLOOKUP($B20,'TH_MLG GRADE 10'!$B$7:$B$49,'TH_MLG GRADE 10'!Q$7:Q$49,"",0,1)="P",1*$D20,0))</f>
        <v>0</v>
      </c>
      <c r="N20" s="31">
        <f>IF($D20=0,0,IF(_xlfn.XLOOKUP($B20,'TH_MLG GRADE 10'!$B$7:$B$49,'TH_MLG GRADE 10'!AA$7:AA$49,"",0,1)="P",1*$D20,0))</f>
        <v>0</v>
      </c>
      <c r="O20" s="31">
        <f>IF($D20=0,0,IF(_xlfn.XLOOKUP($B20,'TH_MLG GRADE 10'!$B$7:$B$49,'TH_MLG GRADE 10'!AB$7:AB$49,"",0,1)="P",1*$D20,0))</f>
        <v>0</v>
      </c>
      <c r="P20" s="31">
        <f>IF($D20=0,0,IF(_xlfn.XLOOKUP($B20,'TH_MLG GRADE 10'!$B$7:$B$49,'TH_MLG GRADE 10'!AC$7:AC$49,"",0,1)="P",1*$D20,0))</f>
        <v>0</v>
      </c>
      <c r="Q20" s="31">
        <f>IF($D20=0,0,IF(_xlfn.XLOOKUP($B20,'TH_MLG GRADE 10'!$B$7:$B$49,'TH_MLG GRADE 10'!AG$7:AG$49,"",0,1)="P",1*$D20,0))</f>
        <v>0</v>
      </c>
      <c r="R20" s="31">
        <f>IF($D20=0,0,IF(_xlfn.XLOOKUP($B20,'TH_MLG GRADE 10'!$B$7:$B$49,'TH_MLG GRADE 10'!AH$7:AH$49,"",0,1)="P",1*$D20,0))</f>
        <v>0</v>
      </c>
      <c r="S20" s="31">
        <f>IF($D20=0,0,IF(_xlfn.XLOOKUP($B20,'TH_MLG GRADE 10'!$B$7:$B$49,'TH_MLG GRADE 10'!AI$7:AI$49,"",0,1)="P",1*$D20,0))</f>
        <v>0</v>
      </c>
      <c r="T20" s="31">
        <f>IF($D20=0,0,IF(_xlfn.XLOOKUP($B20,'TH_MLG GRADE 10'!$B$7:$B$49,'TH_MLG GRADE 10'!AM$7:AM$49,"",0,1)="P",1*$D20,0))</f>
        <v>0</v>
      </c>
      <c r="U20" s="31">
        <f>IF($D20=0,0,IF(_xlfn.XLOOKUP($B20,'TH_MLG GRADE 10'!$B$7:$B$49,'TH_MLG GRADE 10'!AN$7:AN$49,"",0,1)="P",1*$D20,0))</f>
        <v>0</v>
      </c>
      <c r="V20" s="31">
        <f>IF($D20=0,0,IF(_xlfn.XLOOKUP($B20,'TH_MLG GRADE 10'!$B$7:$B$49,'TH_MLG GRADE 10'!AO$7:AO$49,"",0,1)="P",1*$D20,0))</f>
        <v>0</v>
      </c>
      <c r="W20" s="31">
        <f>IF($D20=0,0,IF(_xlfn.XLOOKUP($B20,'TH_MLG GRADE 10'!$B$7:$B$49,'TH_MLG GRADE 10'!AY$7:AY$49,"",0,1)="P",1*$D20,0))</f>
        <v>0</v>
      </c>
      <c r="X20" s="31">
        <f>IF($D20=0,0,IF(_xlfn.XLOOKUP($B20,'TH_MLG GRADE 10'!$B$7:$B$49,'TH_MLG GRADE 10'!AZ$7:AZ$49,"",0,1)="P",1*$D20,0))</f>
        <v>0</v>
      </c>
      <c r="Y20" s="31">
        <f>IF($D20=0,0,IF(_xlfn.XLOOKUP($B20,'TH_MLG GRADE 10'!$B$7:$B$49,'TH_MLG GRADE 10'!BA$7:BA$49,"",0,1)="P",1*$D20,0))</f>
        <v>0</v>
      </c>
      <c r="Z20" s="31">
        <f>IF($D20=0,0,IF(_xlfn.XLOOKUP($B20,'TH_MLG GRADE 10'!$B$7:$B$49,'TH_MLG GRADE 10'!BE$7:BE$49,"",0,1)="P",1*$D20,0))</f>
        <v>0</v>
      </c>
      <c r="AA20" s="31">
        <f>IF($D20=0,0,IF(_xlfn.XLOOKUP($B20,'TH_MLG GRADE 10'!$B$7:$B$49,'TH_MLG GRADE 10'!BF$7:BF$49,"",0,1)="P",1*$D20,0))</f>
        <v>0</v>
      </c>
      <c r="AB20" s="31">
        <f>IF($D20=0,0,IF(_xlfn.XLOOKUP($B20,'TH_MLG GRADE 10'!$B$7:$B$49,'TH_MLG GRADE 10'!BG$7:BG$49,"",0,1)="P",1*$D20,0))</f>
        <v>0</v>
      </c>
      <c r="AC20" s="31">
        <f>IF($D20=0,0,IF(_xlfn.XLOOKUP($B20,'TH_MLG GRADE 10'!$B$7:$B$49,'TH_MLG GRADE 10'!#REF!,"",0,1)="P",1*$D20,0))</f>
        <v>0</v>
      </c>
      <c r="AD20" s="31">
        <f>IF($D20=0,0,IF(_xlfn.XLOOKUP($B20,'TH_MLG GRADE 10'!$B$7:$B$49,'TH_MLG GRADE 10'!#REF!,"",0,1)="P",1*$D20,0))</f>
        <v>0</v>
      </c>
      <c r="AE20" s="31">
        <f>IF($D20=0,0,IF(_xlfn.XLOOKUP($B20,'TH_MLG GRADE 10'!$B$7:$B$49,'TH_MLG GRADE 10'!#REF!,"",0,1)="P",1*$D20,0))</f>
        <v>0</v>
      </c>
      <c r="AF20" s="31">
        <f>IF($D20=0,0,IF(_xlfn.XLOOKUP($B20,'TH_MLG GRADE 10'!$B$7:$B$49,'TH_MLG GRADE 10'!#REF!,"",0,1)="P",1*$D20,0))</f>
        <v>0</v>
      </c>
      <c r="AG20" s="31">
        <f>IF($D20=0,0,IF(_xlfn.XLOOKUP($B20,'TH_MLG GRADE 10'!$B$7:$B$49,'TH_MLG GRADE 10'!#REF!,"",0,1)="P",1*$D20,0))</f>
        <v>0</v>
      </c>
      <c r="AH20" s="31">
        <f>IF($D20=0,0,IF(_xlfn.XLOOKUP($B20,'TH_MLG GRADE 10'!$B$7:$B$49,'TH_MLG GRADE 10'!#REF!,"",0,1)="P",1*$D20,0))</f>
        <v>0</v>
      </c>
      <c r="AI20" s="32">
        <f>IF($D20=0,0,IF(_xlfn.XLOOKUP($B20,'TH_CMI GRADE 10'!$B$7:$B$49,'TH_CMI GRADE 10'!C$7:C$49,"",0,1)="P",1*$D20,0))</f>
        <v>0</v>
      </c>
      <c r="AJ20" s="32">
        <f>IF($D20=0,0,IF(_xlfn.XLOOKUP($B20,'TH_CMI GRADE 10'!$B$7:$B$49,'TH_CMI GRADE 10'!D$7:D$49,"",0,1)="P",1*$D20,0))</f>
        <v>0</v>
      </c>
      <c r="AK20" s="32">
        <f>IF($D20=0,0,IF(_xlfn.XLOOKUP($B20,'TH_CMI GRADE 10'!$B$7:$B$49,'TH_CMI GRADE 10'!H$7:H$49,"",0,1)="P",1*$D20,0))</f>
        <v>0</v>
      </c>
      <c r="AL20" s="32">
        <f>IF($D20=0,0,IF(_xlfn.XLOOKUP($B20,'TH_CMI GRADE 10'!$B$7:$B$49,'TH_CMI GRADE 10'!I$7:I$49,"",0,1)="P",1*$D20,0))</f>
        <v>0</v>
      </c>
      <c r="AM20" s="32">
        <f>IF($D20=0,0,IF(_xlfn.XLOOKUP($B20,'TH_CMI GRADE 10'!$B$7:$B$49,'TH_CMI GRADE 10'!J$7:J$49,"",0,1)="P",1*$D20,0))</f>
        <v>0</v>
      </c>
      <c r="AN20" s="32">
        <f>IF($D20=0,0,IF(_xlfn.XLOOKUP($B20,'TH_CMI GRADE 10'!$B$7:$B$49,'TH_CMI GRADE 10'!K$7:K$49,"",0,1)="P",1*$D20,0))</f>
        <v>0</v>
      </c>
      <c r="AO20" s="32">
        <f>IF($D20=0,0,IF(_xlfn.XLOOKUP($B20,'TH_CMI GRADE 10'!$B$7:$B$49,'TH_CMI GRADE 10'!O$7:O$49,"",0,1)="P",1*$D20,0))</f>
        <v>0</v>
      </c>
      <c r="AP20" s="32">
        <f>IF($D20=0,0,IF(_xlfn.XLOOKUP($B20,'TH_CMI GRADE 10'!$B$7:$B$49,'TH_CMI GRADE 10'!P$7:P$49,"",0,1)="P",1*$D20,0))</f>
        <v>0</v>
      </c>
      <c r="AQ20" s="32">
        <f>IF($D20=0,0,IF(_xlfn.XLOOKUP($B20,'TH_CMI GRADE 10'!$B$7:$B$49,'TH_CMI GRADE 10'!Q$7:Q$49,"",0,1)="P",1*$D20,0))</f>
        <v>0</v>
      </c>
      <c r="AR20" s="32">
        <f>IF($D20=0,0,IF(_xlfn.XLOOKUP($B20,'TH_CMI GRADE 10'!$B$7:$B$49,'TH_CMI GRADE 10'!U$7:U$49,"",0,1)="P",1*$D20,0))</f>
        <v>0</v>
      </c>
      <c r="AS20" s="32">
        <f>IF($D20=0,0,IF(_xlfn.XLOOKUP($B20,'TH_CMI GRADE 10'!$B$7:$B$49,'TH_CMI GRADE 10'!V$7:V$49,"",0,1)="P",1*$D20,0))</f>
        <v>0</v>
      </c>
      <c r="AT20" s="32">
        <f>IF($D20=0,0,IF(_xlfn.XLOOKUP($B20,'TH_CMI GRADE 10'!$B$7:$B$49,'TH_CMI GRADE 10'!W$7:W$49,"",0,1)="P",1*$D20,0))</f>
        <v>0</v>
      </c>
      <c r="AU20" s="32">
        <f>IF($D20=0,0,IF(_xlfn.XLOOKUP($B20,'TH_CMI GRADE 10'!$B$7:$B$49,'TH_CMI GRADE 10'!AA$7:AA$49,"",0,1)="P",1*$D20,0))</f>
        <v>0</v>
      </c>
      <c r="AV20" s="32">
        <f>IF($D20=0,0,IF(_xlfn.XLOOKUP($B20,'TH_CMI GRADE 10'!$B$7:$B$49,'TH_CMI GRADE 10'!AB$7:AB$49,"",0,1)="P",1*$D20,0))</f>
        <v>0</v>
      </c>
      <c r="AW20" s="32">
        <f>IF($D20=0,0,IF(_xlfn.XLOOKUP($B20,'TH_CMI GRADE 10'!$B$7:$B$49,'TH_CMI GRADE 10'!AC$7:AC$49,"",0,1)="P",1*$D20,0))</f>
        <v>0</v>
      </c>
      <c r="AX20" s="32">
        <f>IF($D20=0,0,IF(_xlfn.XLOOKUP($B20,'TH_CMI GRADE 10'!$B$7:$B$49,'TH_CMI GRADE 10'!AG$7:AG$49,"",0,1)="P",1*$D20,0))</f>
        <v>0</v>
      </c>
      <c r="AY20" s="32">
        <f>IF($D20=0,0,IF(_xlfn.XLOOKUP($B20,'TH_CMI GRADE 10'!$B$7:$B$49,'TH_CMI GRADE 10'!AH$7:AH$49,"",0,1)="P",1*$D20,0))</f>
        <v>0</v>
      </c>
      <c r="AZ20" s="32">
        <f>IF($D20=0,0,IF(_xlfn.XLOOKUP($B20,'TH_CMI GRADE 10'!$B$7:$B$49,'TH_CMI GRADE 10'!AI$7:AI$49,"",0,1)="P",1*$D20,0))</f>
        <v>0</v>
      </c>
      <c r="BA20" s="31" t="e">
        <f>IF($C20=0,0,IF(_xlfn.XLOOKUP($B20,'PW_MLG GRADE 10'!$B$7:$B$31,'PW_MLG GRADE 10'!#REF!,"",0,1)="P",1*$C20,0))</f>
        <v>#REF!</v>
      </c>
      <c r="BB20" s="31" t="e">
        <f>IF($C20=0,0,IF(_xlfn.XLOOKUP($B20,'PW_MLG GRADE 10'!$B$7:$B$31,'PW_MLG GRADE 10'!#REF!,"",0,1)="P",1*$C20,0))</f>
        <v>#REF!</v>
      </c>
      <c r="BC20" s="31" t="e">
        <f>IF($C20=0,0,IF(_xlfn.XLOOKUP($B20,'PW_MLG GRADE 10'!$B$7:$B$31,'PW_MLG GRADE 10'!#REF!,"",0,1)="P",1*$C20,0))</f>
        <v>#REF!</v>
      </c>
      <c r="BD20" s="31" t="e">
        <f>IF($C20=0,0,IF(_xlfn.XLOOKUP($B20,'PW_MLG GRADE 10'!$B$7:$B$31,'PW_MLG GRADE 10'!#REF!,"",0,1)="P",1*$C20,0))</f>
        <v>#REF!</v>
      </c>
      <c r="BE20" s="31" t="e">
        <f>IF($C20=0,0,IF(_xlfn.XLOOKUP($B20,'PW_MLG GRADE 10'!$B$7:$B$31,'PW_MLG GRADE 10'!#REF!,"",0,1)="P",1*$C20,0))</f>
        <v>#REF!</v>
      </c>
      <c r="BF20" s="31" t="e">
        <f>IF($C20=0,0,IF(_xlfn.XLOOKUP($B20,'PW_MLG GRADE 10'!$B$7:$B$31,'PW_MLG GRADE 10'!#REF!,"",0,1)="P",1*$C20,0))</f>
        <v>#REF!</v>
      </c>
      <c r="BG20" s="31" t="e">
        <f>IF($C20=0,0,IF(_xlfn.XLOOKUP($B20,'PW_MLG GRADE 10'!$B$7:$B$31,'PW_MLG GRADE 10'!#REF!,"",0,1)="P",1*$C20,0))</f>
        <v>#REF!</v>
      </c>
      <c r="BH20" s="31" t="e">
        <f>IF($C20=0,0,IF(_xlfn.XLOOKUP($B20,'PW_MLG GRADE 10'!$B$7:$B$31,'PW_MLG GRADE 10'!#REF!,"",0,1)="P",1*$C20,0))</f>
        <v>#REF!</v>
      </c>
      <c r="BI20" s="31" t="e">
        <f>IF($C20=0,0,IF(_xlfn.XLOOKUP($B20,'PW_MLG GRADE 10'!$B$7:$B$31,'PW_MLG GRADE 10'!#REF!,"",0,1)="P",1*$C20,0))</f>
        <v>#REF!</v>
      </c>
      <c r="BJ20" s="31" t="e">
        <f>IF($C20=0,0,IF(_xlfn.XLOOKUP($B20,'PW_MLG GRADE 10'!$B$7:$B$31,'PW_MLG GRADE 10'!#REF!,"",0,1)="P",1*$C20,0))</f>
        <v>#REF!</v>
      </c>
      <c r="BK20" s="31" t="e">
        <f>IF($C20=0,0,IF(_xlfn.XLOOKUP($B20,'PW_MLG GRADE 10'!$B$7:$B$31,'PW_MLG GRADE 10'!#REF!,"",0,1)="P",1*$C20,0))</f>
        <v>#REF!</v>
      </c>
      <c r="BL20" s="31" t="e">
        <f>IF($C20=0,0,IF(_xlfn.XLOOKUP($B20,'PW_MLG GRADE 10'!$B$7:$B$31,'PW_MLG GRADE 10'!#REF!,"",0,1)="P",1*$C20,0))</f>
        <v>#REF!</v>
      </c>
      <c r="BM20" s="31" t="e">
        <f>IF($C20=0,0,IF(_xlfn.XLOOKUP($B20,'PW_MLG GRADE 10'!$B$7:$B$31,'PW_MLG GRADE 10'!#REF!,"",0,1)="P",1*$C20,0))</f>
        <v>#REF!</v>
      </c>
      <c r="BN20" s="31" t="e">
        <f>IF($C20=0,0,IF(_xlfn.XLOOKUP($B20,'PW_MLG GRADE 10'!$B$7:$B$31,'PW_MLG GRADE 10'!#REF!,"",0,1)="P",1*$C20,0))</f>
        <v>#REF!</v>
      </c>
      <c r="BO20" s="31" t="e">
        <f>IF($C20=0,0,IF(_xlfn.XLOOKUP($B20,'PW_MLG GRADE 10'!$B$7:$B$31,'PW_MLG GRADE 10'!#REF!,"",0,1)="P",1*$C20,0))</f>
        <v>#REF!</v>
      </c>
      <c r="BP20" s="31" t="e">
        <f>IF($C20=0,0,IF(_xlfn.XLOOKUP($B20,'PW_MLG GRADE 10'!$B$7:$B$31,'PW_MLG GRADE 10'!#REF!,"",0,1)="P",1*$C20,0))</f>
        <v>#REF!</v>
      </c>
      <c r="BQ20" s="31" t="e">
        <f>IF($C20=0,0,IF(_xlfn.XLOOKUP($B20,'PW_MLG GRADE 10'!$B$7:$B$31,'PW_MLG GRADE 10'!#REF!,"",0,1)="P",1*$C20,0))</f>
        <v>#REF!</v>
      </c>
      <c r="BR20" s="31" t="e">
        <f>IF($C20=0,0,IF(_xlfn.XLOOKUP($B20,'PW_MLG GRADE 10'!$B$7:$B$31,'PW_MLG GRADE 10'!#REF!,"",0,1)="P",1*$C20,0))</f>
        <v>#REF!</v>
      </c>
      <c r="BS20" s="31" t="e">
        <f>IF($C20=0,0,IF(_xlfn.XLOOKUP($B20,'PW_MLG GRADE 10'!$B$7:$B$31,'PW_MLG GRADE 10'!#REF!,"",0,1)="P",1*$C20,0))</f>
        <v>#REF!</v>
      </c>
      <c r="BT20" s="31" t="e">
        <f>IF($C20=0,0,IF(_xlfn.XLOOKUP($B20,'PW_MLG GRADE 10'!$B$7:$B$31,'PW_MLG GRADE 10'!#REF!,"",0,1)="P",1*$C20,0))</f>
        <v>#REF!</v>
      </c>
      <c r="BU20" s="31" t="e">
        <f>IF($C20=0,0,IF(_xlfn.XLOOKUP($B20,'PW_MLG GRADE 10'!$B$7:$B$31,'PW_MLG GRADE 10'!#REF!,"",0,1)="P",1*$C20,0))</f>
        <v>#REF!</v>
      </c>
      <c r="BV20" s="31" t="e">
        <f>IF($C20=0,0,IF(_xlfn.XLOOKUP($B20,'PW_MLG GRADE 10'!$B$7:$B$31,'PW_MLG GRADE 10'!#REF!,"",0,1)="P",1*$C20,0))</f>
        <v>#REF!</v>
      </c>
      <c r="BW20" s="31" t="e">
        <f>IF($C20=0,0,IF(_xlfn.XLOOKUP($B20,'PW_MLG GRADE 10'!$B$7:$B$31,'PW_MLG GRADE 10'!#REF!,"",0,1)="P",1*$C20,0))</f>
        <v>#REF!</v>
      </c>
      <c r="BX20" s="31" t="e">
        <f>IF($C20=0,0,IF(_xlfn.XLOOKUP($B20,'PW_MLG GRADE 10'!$B$7:$B$31,'PW_MLG GRADE 10'!#REF!,"",0,1)="P",1*$C20,0))</f>
        <v>#REF!</v>
      </c>
      <c r="BY20" s="31" t="e">
        <f>IF($C20=0,0,IF(_xlfn.XLOOKUP($B20,'PW_MLG GRADE 10'!$B$7:$B$31,'PW_MLG GRADE 10'!#REF!,"",0,1)="P",1*$C20,0))</f>
        <v>#REF!</v>
      </c>
      <c r="BZ20" s="31" t="e">
        <f>IF($C20=0,0,IF(_xlfn.XLOOKUP($B20,'PW_MLG GRADE 10'!$B$7:$B$31,'PW_MLG GRADE 10'!#REF!,"",0,1)="P",1*$C20,0))</f>
        <v>#REF!</v>
      </c>
      <c r="CA20" s="31" t="e">
        <f>IF($C20=0,0,IF(_xlfn.XLOOKUP($B20,'PW_MLG GRADE 10'!$B$7:$B$31,'PW_MLG GRADE 10'!#REF!,"",0,1)="P",1*$C20,0))</f>
        <v>#REF!</v>
      </c>
      <c r="CB20" s="31" t="e">
        <f>IF($C20=0,0,IF(_xlfn.XLOOKUP($B20,'PW_MLG GRADE 10'!$B$7:$B$31,'PW_MLG GRADE 10'!#REF!,"",0,1)="P",1*$C20,0))</f>
        <v>#REF!</v>
      </c>
      <c r="CC20" s="31" t="e">
        <f>IF($C20=0,0,IF(_xlfn.XLOOKUP($B20,'PW_MLG GRADE 10'!$B$7:$B$31,'PW_MLG GRADE 10'!#REF!,"",0,1)="P",1*$C20,0))</f>
        <v>#REF!</v>
      </c>
      <c r="CD20" s="31" t="e">
        <f>IF($C20=0,0,IF(_xlfn.XLOOKUP($B20,'PW_MLG GRADE 10'!$B$7:$B$31,'PW_MLG GRADE 10'!#REF!,"",0,1)="P",1*$C20,0))</f>
        <v>#REF!</v>
      </c>
      <c r="CE20" s="32">
        <f>IF($C20=0,0,IF(_xlfn.XLOOKUP($B20,'PW_CMI GRADE 10'!$B$7:$B$31,'PW_CMI GRADE 10'!C$7:C$31,"",0,1)="P",1*$C20,0))</f>
        <v>0</v>
      </c>
      <c r="CF20" s="32">
        <f>IF($C20=0,0,IF(_xlfn.XLOOKUP($B20,'PW_CMI GRADE 10'!$B$7:$B$31,'PW_CMI GRADE 10'!D$7:D$31,"",0,1)="P",1*$C20,0))</f>
        <v>0</v>
      </c>
      <c r="CG20" s="32">
        <f>IF($C20=0,0,IF(_xlfn.XLOOKUP($B20,'PW_CMI GRADE 10'!$B$7:$B$31,'PW_CMI GRADE 10'!E$7:E$31,"",0,1)="P",1*$C20,0))</f>
        <v>0</v>
      </c>
      <c r="CH20" s="32">
        <f>IF($C20=0,0,IF(_xlfn.XLOOKUP($B20,'PW_CMI GRADE 10'!$B$7:$B$31,'PW_CMI GRADE 10'!F$7:F$31,"",0,1)="P",1*$C20,0))</f>
        <v>0</v>
      </c>
      <c r="CI20" s="32">
        <f>IF($C20=0,0,IF(_xlfn.XLOOKUP($B20,'PW_CMI GRADE 10'!$B$7:$B$31,'PW_CMI GRADE 10'!G$7:G$31,"",0,1)="P",1*$C20,0))</f>
        <v>0</v>
      </c>
      <c r="CJ20" s="32">
        <f>IF($C20=0,0,IF(_xlfn.XLOOKUP($B20,'PW_CMI GRADE 10'!$B$7:$B$31,'PW_CMI GRADE 10'!H$7:H$31,"",0,1)="P",1*$C20,0))</f>
        <v>0</v>
      </c>
      <c r="CK20" s="32">
        <f>IF($C20=0,0,IF(_xlfn.XLOOKUP($B20,'PW_CMI GRADE 10'!$B$7:$B$31,'PW_CMI GRADE 10'!I$7:I$31,"",0,1)="P",1*$C20,0))</f>
        <v>8</v>
      </c>
      <c r="CL20" s="32">
        <f>IF($C20=0,0,IF(_xlfn.XLOOKUP($B20,'PW_CMI GRADE 10'!$B$7:$B$31,'PW_CMI GRADE 10'!J$7:J$31,"",0,1)="P",1*$C20,0))</f>
        <v>8</v>
      </c>
      <c r="CM20" s="32">
        <f>IF($C20=0,0,IF(_xlfn.XLOOKUP($B20,'PW_CMI GRADE 10'!$B$7:$B$31,'PW_CMI GRADE 10'!K$7:K$31,"",0,1)="P",1*$C20,0))</f>
        <v>8</v>
      </c>
      <c r="CN20" s="32">
        <f>IF($C20=0,0,IF(_xlfn.XLOOKUP($B20,'PW_CMI GRADE 10'!$B$7:$B$31,'PW_CMI GRADE 10'!L$7:L$31,"",0,1)="P",1*$C20,0))</f>
        <v>0</v>
      </c>
      <c r="CO20" s="32">
        <f>IF($C20=0,0,IF(_xlfn.XLOOKUP($B20,'PW_CMI GRADE 10'!$B$7:$B$31,'PW_CMI GRADE 10'!M$7:M$31,"",0,1)="P",1*$C20,0))</f>
        <v>0</v>
      </c>
      <c r="CP20" s="32">
        <f>IF($C20=0,0,IF(_xlfn.XLOOKUP($B20,'PW_CMI GRADE 10'!$B$7:$B$31,'PW_CMI GRADE 10'!N$7:N$31,"",0,1)="P",1*$C20,0))</f>
        <v>0</v>
      </c>
      <c r="CQ20" s="32">
        <f>IF($C20=0,0,IF(_xlfn.XLOOKUP($B20,'PW_CMI GRADE 10'!$B$7:$B$31,'PW_CMI GRADE 10'!O$7:O$31,"",0,1)="P",1*$C20,0))</f>
        <v>8</v>
      </c>
      <c r="CR20" s="32">
        <f>IF($C20=0,0,IF(_xlfn.XLOOKUP($B20,'PW_CMI GRADE 10'!$B$7:$B$31,'PW_CMI GRADE 10'!P$7:P$31,"",0,1)="P",1*$C20,0))</f>
        <v>8</v>
      </c>
      <c r="CS20" s="32">
        <f>IF($C20=0,0,IF(_xlfn.XLOOKUP($B20,'PW_CMI GRADE 10'!$B$7:$B$31,'PW_CMI GRADE 10'!Q$7:Q$31,"",0,1)="P",1*$C20,0))</f>
        <v>8</v>
      </c>
      <c r="CT20" s="32">
        <f>IF($C20=0,0,IF(_xlfn.XLOOKUP($B20,'PW_CMI GRADE 10'!$B$7:$B$31,'PW_CMI GRADE 10'!R$7:R$31,"",0,1)="P",1*$C20,0))</f>
        <v>0</v>
      </c>
      <c r="CU20" s="32">
        <f>IF($C20=0,0,IF(_xlfn.XLOOKUP($B20,'PW_CMI GRADE 10'!$B$7:$B$31,'PW_CMI GRADE 10'!S$7:S$31,"",0,1)="P",1*$C20,0))</f>
        <v>0</v>
      </c>
      <c r="CV20" s="32">
        <f>IF($C20=0,0,IF(_xlfn.XLOOKUP($B20,'PW_CMI GRADE 10'!$B$7:$B$31,'PW_CMI GRADE 10'!T$7:T$31,"",0,1)="P",1*$C20,0))</f>
        <v>0</v>
      </c>
      <c r="CW20" s="62" t="e">
        <f t="shared" si="19"/>
        <v>#REF!</v>
      </c>
      <c r="CX20" s="62" t="e">
        <f t="shared" si="20"/>
        <v>#REF!</v>
      </c>
      <c r="CY20" s="62" t="e">
        <f t="shared" si="21"/>
        <v>#REF!</v>
      </c>
      <c r="CZ20" s="62" t="e">
        <f t="shared" si="22"/>
        <v>#REF!</v>
      </c>
      <c r="DA20" s="62" t="e">
        <f t="shared" si="23"/>
        <v>#REF!</v>
      </c>
      <c r="DB20" s="62" t="e">
        <f t="shared" si="24"/>
        <v>#REF!</v>
      </c>
      <c r="DC20" s="62" t="e">
        <f t="shared" si="25"/>
        <v>#REF!</v>
      </c>
      <c r="DD20" s="62" t="e">
        <f t="shared" si="26"/>
        <v>#REF!</v>
      </c>
      <c r="DE20" s="62" t="e">
        <f t="shared" si="27"/>
        <v>#REF!</v>
      </c>
      <c r="DF20" s="62" t="e">
        <f t="shared" si="28"/>
        <v>#REF!</v>
      </c>
      <c r="DG20" s="62" t="e">
        <f t="shared" si="29"/>
        <v>#REF!</v>
      </c>
      <c r="DH20" s="62" t="e">
        <f t="shared" si="30"/>
        <v>#REF!</v>
      </c>
      <c r="DI20" s="62" t="e">
        <f t="shared" si="31"/>
        <v>#REF!</v>
      </c>
      <c r="DJ20" s="62" t="e">
        <f t="shared" si="32"/>
        <v>#REF!</v>
      </c>
      <c r="DK20" s="62" t="e">
        <f t="shared" si="33"/>
        <v>#REF!</v>
      </c>
      <c r="DL20" s="62" t="e">
        <f t="shared" si="34"/>
        <v>#REF!</v>
      </c>
      <c r="DM20" s="62" t="e">
        <f t="shared" si="35"/>
        <v>#REF!</v>
      </c>
      <c r="DN20" s="62" t="e">
        <f t="shared" si="36"/>
        <v>#REF!</v>
      </c>
      <c r="DO20" s="62" t="e">
        <f t="shared" si="37"/>
        <v>#REF!</v>
      </c>
      <c r="DP20" s="62" t="e">
        <f t="shared" si="38"/>
        <v>#REF!</v>
      </c>
      <c r="DQ20" s="62" t="e">
        <f t="shared" si="39"/>
        <v>#REF!</v>
      </c>
      <c r="DR20" s="62" t="e">
        <f t="shared" si="40"/>
        <v>#REF!</v>
      </c>
      <c r="DS20" s="62" t="e">
        <f t="shared" si="41"/>
        <v>#REF!</v>
      </c>
      <c r="DT20" s="62" t="e">
        <f t="shared" si="42"/>
        <v>#REF!</v>
      </c>
      <c r="DU20" s="62" t="e">
        <f t="shared" si="43"/>
        <v>#REF!</v>
      </c>
      <c r="DV20" s="62" t="e">
        <f t="shared" si="44"/>
        <v>#REF!</v>
      </c>
      <c r="DW20" s="62" t="e">
        <f t="shared" si="45"/>
        <v>#REF!</v>
      </c>
      <c r="DX20" s="62" t="e">
        <f t="shared" si="46"/>
        <v>#REF!</v>
      </c>
      <c r="DY20" s="62" t="e">
        <f t="shared" si="47"/>
        <v>#REF!</v>
      </c>
      <c r="DZ20" s="62" t="e">
        <f t="shared" si="48"/>
        <v>#REF!</v>
      </c>
      <c r="EA20" s="63">
        <f t="shared" ref="EA20:EA48" si="68">(SUM(AI20:AK20)+SUM(CE20:CG20))/(IF(OR($C$4=0,$D$4=0),3,6)*($C20+$D20))</f>
        <v>0</v>
      </c>
      <c r="EB20" s="63">
        <f t="shared" si="2"/>
        <v>0</v>
      </c>
      <c r="EC20" s="63">
        <f t="shared" si="3"/>
        <v>0</v>
      </c>
      <c r="ED20" s="63">
        <f t="shared" si="4"/>
        <v>0</v>
      </c>
      <c r="EE20" s="63">
        <f t="shared" si="5"/>
        <v>0.33333333333333331</v>
      </c>
      <c r="EF20" s="63">
        <f t="shared" si="6"/>
        <v>0.66666666666666663</v>
      </c>
      <c r="EG20" s="63">
        <f t="shared" si="7"/>
        <v>1</v>
      </c>
      <c r="EH20" s="63">
        <f t="shared" si="8"/>
        <v>0.66666666666666663</v>
      </c>
      <c r="EI20" s="63">
        <f t="shared" si="9"/>
        <v>0.33333333333333331</v>
      </c>
      <c r="EJ20" s="63">
        <f t="shared" si="10"/>
        <v>0</v>
      </c>
      <c r="EK20" s="63">
        <f t="shared" si="11"/>
        <v>0.33333333333333331</v>
      </c>
      <c r="EL20" s="63">
        <f t="shared" si="12"/>
        <v>0.66666666666666663</v>
      </c>
      <c r="EM20" s="63">
        <f t="shared" si="13"/>
        <v>1</v>
      </c>
      <c r="EN20" s="63">
        <f t="shared" si="14"/>
        <v>0.66666666666666663</v>
      </c>
      <c r="EO20" s="63">
        <f t="shared" si="15"/>
        <v>0.33333333333333331</v>
      </c>
      <c r="EP20" s="63">
        <f t="shared" si="16"/>
        <v>0</v>
      </c>
      <c r="ET20" t="str">
        <v>7A.1</v>
      </c>
      <c r="EU20" s="38">
        <f t="shared" si="49"/>
        <v>0</v>
      </c>
      <c r="EV20" s="38">
        <f t="shared" si="50"/>
        <v>0</v>
      </c>
      <c r="EW20" s="38">
        <f t="shared" si="51"/>
        <v>0</v>
      </c>
      <c r="EX20" s="38">
        <f t="shared" si="52"/>
        <v>0</v>
      </c>
      <c r="EY20" s="38">
        <f t="shared" si="53"/>
        <v>0</v>
      </c>
      <c r="EZ20" s="38">
        <f t="shared" si="54"/>
        <v>1</v>
      </c>
      <c r="FA20" s="38">
        <f t="shared" si="55"/>
        <v>1</v>
      </c>
      <c r="FB20" s="38">
        <f t="shared" si="56"/>
        <v>0</v>
      </c>
      <c r="FC20" s="38" t="e">
        <f t="shared" si="57"/>
        <v>#REF!</v>
      </c>
      <c r="FD20" s="38" t="e">
        <f t="shared" si="58"/>
        <v>#REF!</v>
      </c>
      <c r="FE20" s="38">
        <f t="shared" si="59"/>
        <v>0</v>
      </c>
      <c r="FF20" s="38">
        <f t="shared" si="60"/>
        <v>0.66666666666666663</v>
      </c>
      <c r="FG20" s="38">
        <f t="shared" si="61"/>
        <v>0</v>
      </c>
      <c r="FH20" s="38">
        <f t="shared" si="62"/>
        <v>0</v>
      </c>
      <c r="FI20" s="38">
        <f t="shared" si="63"/>
        <v>1</v>
      </c>
      <c r="FJ20" s="38">
        <f t="shared" si="64"/>
        <v>0</v>
      </c>
      <c r="FK20" s="38">
        <f t="shared" si="65"/>
        <v>0</v>
      </c>
      <c r="FL20" s="38">
        <f t="shared" si="17"/>
        <v>0.83333333333333326</v>
      </c>
      <c r="FM20" s="38">
        <v>1</v>
      </c>
      <c r="FN20" s="38">
        <f t="shared" si="66"/>
        <v>0.66666666666666663</v>
      </c>
      <c r="FO20" s="38">
        <f t="shared" si="67"/>
        <v>0</v>
      </c>
      <c r="FU20" s="51">
        <v>46327</v>
      </c>
      <c r="FV20" t="s">
        <v>22</v>
      </c>
      <c r="FW20" t="s">
        <v>22</v>
      </c>
      <c r="FX20" t="s">
        <v>22</v>
      </c>
      <c r="FY20" t="s">
        <v>22</v>
      </c>
      <c r="FZ20" t="s">
        <v>22</v>
      </c>
      <c r="GA20" t="s">
        <v>22</v>
      </c>
      <c r="GB20" t="s">
        <v>22</v>
      </c>
      <c r="GC20" t="s">
        <v>22</v>
      </c>
      <c r="GD20" t="s">
        <v>22</v>
      </c>
      <c r="GE20" t="s">
        <v>22</v>
      </c>
      <c r="GF20" t="s">
        <v>22</v>
      </c>
      <c r="GG20" t="s">
        <v>22</v>
      </c>
      <c r="GH20" t="s">
        <v>22</v>
      </c>
      <c r="GI20" t="s">
        <v>22</v>
      </c>
      <c r="GJ20" t="s">
        <v>22</v>
      </c>
      <c r="GK20" t="s">
        <v>22</v>
      </c>
      <c r="GL20" t="s">
        <v>22</v>
      </c>
      <c r="GM20" t="s">
        <v>22</v>
      </c>
      <c r="GN20" t="s">
        <v>22</v>
      </c>
      <c r="GO20" t="s">
        <v>22</v>
      </c>
      <c r="GP20" t="s">
        <v>22</v>
      </c>
      <c r="GQ20" t="s">
        <v>22</v>
      </c>
      <c r="GR20" t="s">
        <v>22</v>
      </c>
      <c r="GS20" t="s">
        <v>22</v>
      </c>
      <c r="GT20" t="s">
        <v>22</v>
      </c>
      <c r="GU20" t="s">
        <v>22</v>
      </c>
      <c r="GV20" t="s">
        <v>22</v>
      </c>
      <c r="GW20" t="s">
        <v>22</v>
      </c>
      <c r="GX20" t="s">
        <v>22</v>
      </c>
      <c r="GY20" t="s">
        <v>22</v>
      </c>
      <c r="GZ20" t="s">
        <v>22</v>
      </c>
      <c r="HA20" t="s">
        <v>22</v>
      </c>
      <c r="HB20" t="s">
        <v>22</v>
      </c>
      <c r="HC20" t="s">
        <v>22</v>
      </c>
      <c r="HD20" t="s">
        <v>22</v>
      </c>
      <c r="HE20" t="s">
        <v>22</v>
      </c>
      <c r="HF20" t="s">
        <v>22</v>
      </c>
      <c r="HG20" t="s">
        <v>22</v>
      </c>
      <c r="HH20" t="s">
        <v>22</v>
      </c>
      <c r="HI20" t="s">
        <v>22</v>
      </c>
      <c r="HJ20" t="s">
        <v>22</v>
      </c>
      <c r="HK20" t="s">
        <v>22</v>
      </c>
      <c r="HL20" t="s">
        <v>22</v>
      </c>
      <c r="HM20" t="s">
        <v>22</v>
      </c>
      <c r="HN20" t="s">
        <v>22</v>
      </c>
      <c r="HO20" cm="1">
        <f t="array" ref="HO20">SUMPRODUCT(--(FV20:HN20&lt;&gt;""))</f>
        <v>0</v>
      </c>
    </row>
    <row r="21" spans="1:223">
      <c r="A21" t="str">
        <f t="shared" si="18"/>
        <v>3A.3</v>
      </c>
      <c r="B21" t="s">
        <v>52</v>
      </c>
      <c r="C21" s="27">
        <v>8</v>
      </c>
      <c r="D21" s="27"/>
      <c r="E21" s="31">
        <f>IF($D21=0,0,IF(_xlfn.XLOOKUP($B21,'TH_MLG GRADE 10'!$B$7:$B$49,'TH_MLG GRADE 10'!C$7:C$49,"",0,1)="P",1*$D21,0))</f>
        <v>0</v>
      </c>
      <c r="F21" s="31">
        <f>IF($D21=0,0,IF(_xlfn.XLOOKUP($B21,'TH_MLG GRADE 10'!$B$7:$B$49,'TH_MLG GRADE 10'!D$7:D$49,"",0,1)="P",1*$D21,0))</f>
        <v>0</v>
      </c>
      <c r="G21" s="31">
        <f>IF($D21=0,0,IF(_xlfn.XLOOKUP($B21,'TH_MLG GRADE 10'!$B$7:$B$49,'TH_MLG GRADE 10'!E$7:E$49,"",0,1)="P",1*$D21,0))</f>
        <v>0</v>
      </c>
      <c r="H21" s="31">
        <f>IF($D21=0,0,IF(_xlfn.XLOOKUP($B21,'TH_MLG GRADE 10'!$B$7:$B$49,'TH_MLG GRADE 10'!I$7:I$49,"",0,1)="P",1*$D21,0))</f>
        <v>0</v>
      </c>
      <c r="I21" s="31">
        <f>IF($D21=0,0,IF(_xlfn.XLOOKUP($B21,'TH_MLG GRADE 10'!$B$7:$B$49,'TH_MLG GRADE 10'!J$7:J$49,"",0,1)="P",1*$D21,0))</f>
        <v>0</v>
      </c>
      <c r="J21" s="31">
        <f>IF($D21=0,0,IF(_xlfn.XLOOKUP($B21,'TH_MLG GRADE 10'!$B$7:$B$49,'TH_MLG GRADE 10'!K$7:K$49,"",0,1)="P",1*$D21,0))</f>
        <v>0</v>
      </c>
      <c r="K21" s="31">
        <f>IF($D21=0,0,IF(_xlfn.XLOOKUP($B21,'TH_MLG GRADE 10'!$B$7:$B$49,'TH_MLG GRADE 10'!O$7:O$49,"",0,1)="P",1*$D21,0))</f>
        <v>0</v>
      </c>
      <c r="L21" s="31">
        <f>IF($D21=0,0,IF(_xlfn.XLOOKUP($B21,'TH_MLG GRADE 10'!$B$7:$B$49,'TH_MLG GRADE 10'!P$7:P$49,"",0,1)="P",1*$D21,0))</f>
        <v>0</v>
      </c>
      <c r="M21" s="31">
        <f>IF($D21=0,0,IF(_xlfn.XLOOKUP($B21,'TH_MLG GRADE 10'!$B$7:$B$49,'TH_MLG GRADE 10'!Q$7:Q$49,"",0,1)="P",1*$D21,0))</f>
        <v>0</v>
      </c>
      <c r="N21" s="31">
        <f>IF($D21=0,0,IF(_xlfn.XLOOKUP($B21,'TH_MLG GRADE 10'!$B$7:$B$49,'TH_MLG GRADE 10'!AA$7:AA$49,"",0,1)="P",1*$D21,0))</f>
        <v>0</v>
      </c>
      <c r="O21" s="31">
        <f>IF($D21=0,0,IF(_xlfn.XLOOKUP($B21,'TH_MLG GRADE 10'!$B$7:$B$49,'TH_MLG GRADE 10'!AB$7:AB$49,"",0,1)="P",1*$D21,0))</f>
        <v>0</v>
      </c>
      <c r="P21" s="31">
        <f>IF($D21=0,0,IF(_xlfn.XLOOKUP($B21,'TH_MLG GRADE 10'!$B$7:$B$49,'TH_MLG GRADE 10'!AC$7:AC$49,"",0,1)="P",1*$D21,0))</f>
        <v>0</v>
      </c>
      <c r="Q21" s="31">
        <f>IF($D21=0,0,IF(_xlfn.XLOOKUP($B21,'TH_MLG GRADE 10'!$B$7:$B$49,'TH_MLG GRADE 10'!AG$7:AG$49,"",0,1)="P",1*$D21,0))</f>
        <v>0</v>
      </c>
      <c r="R21" s="31">
        <f>IF($D21=0,0,IF(_xlfn.XLOOKUP($B21,'TH_MLG GRADE 10'!$B$7:$B$49,'TH_MLG GRADE 10'!AH$7:AH$49,"",0,1)="P",1*$D21,0))</f>
        <v>0</v>
      </c>
      <c r="S21" s="31">
        <f>IF($D21=0,0,IF(_xlfn.XLOOKUP($B21,'TH_MLG GRADE 10'!$B$7:$B$49,'TH_MLG GRADE 10'!AI$7:AI$49,"",0,1)="P",1*$D21,0))</f>
        <v>0</v>
      </c>
      <c r="T21" s="31">
        <f>IF($D21=0,0,IF(_xlfn.XLOOKUP($B21,'TH_MLG GRADE 10'!$B$7:$B$49,'TH_MLG GRADE 10'!AM$7:AM$49,"",0,1)="P",1*$D21,0))</f>
        <v>0</v>
      </c>
      <c r="U21" s="31">
        <f>IF($D21=0,0,IF(_xlfn.XLOOKUP($B21,'TH_MLG GRADE 10'!$B$7:$B$49,'TH_MLG GRADE 10'!AN$7:AN$49,"",0,1)="P",1*$D21,0))</f>
        <v>0</v>
      </c>
      <c r="V21" s="31">
        <f>IF($D21=0,0,IF(_xlfn.XLOOKUP($B21,'TH_MLG GRADE 10'!$B$7:$B$49,'TH_MLG GRADE 10'!AO$7:AO$49,"",0,1)="P",1*$D21,0))</f>
        <v>0</v>
      </c>
      <c r="W21" s="31">
        <f>IF($D21=0,0,IF(_xlfn.XLOOKUP($B21,'TH_MLG GRADE 10'!$B$7:$B$49,'TH_MLG GRADE 10'!AY$7:AY$49,"",0,1)="P",1*$D21,0))</f>
        <v>0</v>
      </c>
      <c r="X21" s="31">
        <f>IF($D21=0,0,IF(_xlfn.XLOOKUP($B21,'TH_MLG GRADE 10'!$B$7:$B$49,'TH_MLG GRADE 10'!AZ$7:AZ$49,"",0,1)="P",1*$D21,0))</f>
        <v>0</v>
      </c>
      <c r="Y21" s="31">
        <f>IF($D21=0,0,IF(_xlfn.XLOOKUP($B21,'TH_MLG GRADE 10'!$B$7:$B$49,'TH_MLG GRADE 10'!BA$7:BA$49,"",0,1)="P",1*$D21,0))</f>
        <v>0</v>
      </c>
      <c r="Z21" s="31">
        <f>IF($D21=0,0,IF(_xlfn.XLOOKUP($B21,'TH_MLG GRADE 10'!$B$7:$B$49,'TH_MLG GRADE 10'!BE$7:BE$49,"",0,1)="P",1*$D21,0))</f>
        <v>0</v>
      </c>
      <c r="AA21" s="31">
        <f>IF($D21=0,0,IF(_xlfn.XLOOKUP($B21,'TH_MLG GRADE 10'!$B$7:$B$49,'TH_MLG GRADE 10'!BF$7:BF$49,"",0,1)="P",1*$D21,0))</f>
        <v>0</v>
      </c>
      <c r="AB21" s="31">
        <f>IF($D21=0,0,IF(_xlfn.XLOOKUP($B21,'TH_MLG GRADE 10'!$B$7:$B$49,'TH_MLG GRADE 10'!BG$7:BG$49,"",0,1)="P",1*$D21,0))</f>
        <v>0</v>
      </c>
      <c r="AC21" s="31">
        <f>IF($D21=0,0,IF(_xlfn.XLOOKUP($B21,'TH_MLG GRADE 10'!$B$7:$B$49,'TH_MLG GRADE 10'!#REF!,"",0,1)="P",1*$D21,0))</f>
        <v>0</v>
      </c>
      <c r="AD21" s="31">
        <f>IF($D21=0,0,IF(_xlfn.XLOOKUP($B21,'TH_MLG GRADE 10'!$B$7:$B$49,'TH_MLG GRADE 10'!#REF!,"",0,1)="P",1*$D21,0))</f>
        <v>0</v>
      </c>
      <c r="AE21" s="31">
        <f>IF($D21=0,0,IF(_xlfn.XLOOKUP($B21,'TH_MLG GRADE 10'!$B$7:$B$49,'TH_MLG GRADE 10'!#REF!,"",0,1)="P",1*$D21,0))</f>
        <v>0</v>
      </c>
      <c r="AF21" s="31">
        <f>IF($D21=0,0,IF(_xlfn.XLOOKUP($B21,'TH_MLG GRADE 10'!$B$7:$B$49,'TH_MLG GRADE 10'!#REF!,"",0,1)="P",1*$D21,0))</f>
        <v>0</v>
      </c>
      <c r="AG21" s="31">
        <f>IF($D21=0,0,IF(_xlfn.XLOOKUP($B21,'TH_MLG GRADE 10'!$B$7:$B$49,'TH_MLG GRADE 10'!#REF!,"",0,1)="P",1*$D21,0))</f>
        <v>0</v>
      </c>
      <c r="AH21" s="31">
        <f>IF($D21=0,0,IF(_xlfn.XLOOKUP($B21,'TH_MLG GRADE 10'!$B$7:$B$49,'TH_MLG GRADE 10'!#REF!,"",0,1)="P",1*$D21,0))</f>
        <v>0</v>
      </c>
      <c r="AI21" s="32">
        <f>IF($D21=0,0,IF(_xlfn.XLOOKUP($B21,'TH_CMI GRADE 10'!$B$7:$B$49,'TH_CMI GRADE 10'!C$7:C$49,"",0,1)="P",1*$D21,0))</f>
        <v>0</v>
      </c>
      <c r="AJ21" s="32">
        <f>IF($D21=0,0,IF(_xlfn.XLOOKUP($B21,'TH_CMI GRADE 10'!$B$7:$B$49,'TH_CMI GRADE 10'!D$7:D$49,"",0,1)="P",1*$D21,0))</f>
        <v>0</v>
      </c>
      <c r="AK21" s="32">
        <f>IF($D21=0,0,IF(_xlfn.XLOOKUP($B21,'TH_CMI GRADE 10'!$B$7:$B$49,'TH_CMI GRADE 10'!H$7:H$49,"",0,1)="P",1*$D21,0))</f>
        <v>0</v>
      </c>
      <c r="AL21" s="32">
        <f>IF($D21=0,0,IF(_xlfn.XLOOKUP($B21,'TH_CMI GRADE 10'!$B$7:$B$49,'TH_CMI GRADE 10'!I$7:I$49,"",0,1)="P",1*$D21,0))</f>
        <v>0</v>
      </c>
      <c r="AM21" s="32">
        <f>IF($D21=0,0,IF(_xlfn.XLOOKUP($B21,'TH_CMI GRADE 10'!$B$7:$B$49,'TH_CMI GRADE 10'!J$7:J$49,"",0,1)="P",1*$D21,0))</f>
        <v>0</v>
      </c>
      <c r="AN21" s="32">
        <f>IF($D21=0,0,IF(_xlfn.XLOOKUP($B21,'TH_CMI GRADE 10'!$B$7:$B$49,'TH_CMI GRADE 10'!K$7:K$49,"",0,1)="P",1*$D21,0))</f>
        <v>0</v>
      </c>
      <c r="AO21" s="32">
        <f>IF($D21=0,0,IF(_xlfn.XLOOKUP($B21,'TH_CMI GRADE 10'!$B$7:$B$49,'TH_CMI GRADE 10'!O$7:O$49,"",0,1)="P",1*$D21,0))</f>
        <v>0</v>
      </c>
      <c r="AP21" s="32">
        <f>IF($D21=0,0,IF(_xlfn.XLOOKUP($B21,'TH_CMI GRADE 10'!$B$7:$B$49,'TH_CMI GRADE 10'!P$7:P$49,"",0,1)="P",1*$D21,0))</f>
        <v>0</v>
      </c>
      <c r="AQ21" s="32">
        <f>IF($D21=0,0,IF(_xlfn.XLOOKUP($B21,'TH_CMI GRADE 10'!$B$7:$B$49,'TH_CMI GRADE 10'!Q$7:Q$49,"",0,1)="P",1*$D21,0))</f>
        <v>0</v>
      </c>
      <c r="AR21" s="32">
        <f>IF($D21=0,0,IF(_xlfn.XLOOKUP($B21,'TH_CMI GRADE 10'!$B$7:$B$49,'TH_CMI GRADE 10'!U$7:U$49,"",0,1)="P",1*$D21,0))</f>
        <v>0</v>
      </c>
      <c r="AS21" s="32">
        <f>IF($D21=0,0,IF(_xlfn.XLOOKUP($B21,'TH_CMI GRADE 10'!$B$7:$B$49,'TH_CMI GRADE 10'!V$7:V$49,"",0,1)="P",1*$D21,0))</f>
        <v>0</v>
      </c>
      <c r="AT21" s="32">
        <f>IF($D21=0,0,IF(_xlfn.XLOOKUP($B21,'TH_CMI GRADE 10'!$B$7:$B$49,'TH_CMI GRADE 10'!W$7:W$49,"",0,1)="P",1*$D21,0))</f>
        <v>0</v>
      </c>
      <c r="AU21" s="32">
        <f>IF($D21=0,0,IF(_xlfn.XLOOKUP($B21,'TH_CMI GRADE 10'!$B$7:$B$49,'TH_CMI GRADE 10'!AA$7:AA$49,"",0,1)="P",1*$D21,0))</f>
        <v>0</v>
      </c>
      <c r="AV21" s="32">
        <f>IF($D21=0,0,IF(_xlfn.XLOOKUP($B21,'TH_CMI GRADE 10'!$B$7:$B$49,'TH_CMI GRADE 10'!AB$7:AB$49,"",0,1)="P",1*$D21,0))</f>
        <v>0</v>
      </c>
      <c r="AW21" s="32">
        <f>IF($D21=0,0,IF(_xlfn.XLOOKUP($B21,'TH_CMI GRADE 10'!$B$7:$B$49,'TH_CMI GRADE 10'!AC$7:AC$49,"",0,1)="P",1*$D21,0))</f>
        <v>0</v>
      </c>
      <c r="AX21" s="32">
        <f>IF($D21=0,0,IF(_xlfn.XLOOKUP($B21,'TH_CMI GRADE 10'!$B$7:$B$49,'TH_CMI GRADE 10'!AG$7:AG$49,"",0,1)="P",1*$D21,0))</f>
        <v>0</v>
      </c>
      <c r="AY21" s="32">
        <f>IF($D21=0,0,IF(_xlfn.XLOOKUP($B21,'TH_CMI GRADE 10'!$B$7:$B$49,'TH_CMI GRADE 10'!AH$7:AH$49,"",0,1)="P",1*$D21,0))</f>
        <v>0</v>
      </c>
      <c r="AZ21" s="32">
        <f>IF($D21=0,0,IF(_xlfn.XLOOKUP($B21,'TH_CMI GRADE 10'!$B$7:$B$49,'TH_CMI GRADE 10'!AI$7:AI$49,"",0,1)="P",1*$D21,0))</f>
        <v>0</v>
      </c>
      <c r="BA21" s="31" t="e">
        <f>IF($C21=0,0,IF(_xlfn.XLOOKUP($B21,'PW_MLG GRADE 10'!$B$7:$B$31,'PW_MLG GRADE 10'!#REF!,"",0,1)="P",1*$C21,0))</f>
        <v>#REF!</v>
      </c>
      <c r="BB21" s="31" t="e">
        <f>IF($C21=0,0,IF(_xlfn.XLOOKUP($B21,'PW_MLG GRADE 10'!$B$7:$B$31,'PW_MLG GRADE 10'!#REF!,"",0,1)="P",1*$C21,0))</f>
        <v>#REF!</v>
      </c>
      <c r="BC21" s="31" t="e">
        <f>IF($C21=0,0,IF(_xlfn.XLOOKUP($B21,'PW_MLG GRADE 10'!$B$7:$B$31,'PW_MLG GRADE 10'!#REF!,"",0,1)="P",1*$C21,0))</f>
        <v>#REF!</v>
      </c>
      <c r="BD21" s="31" t="e">
        <f>IF($C21=0,0,IF(_xlfn.XLOOKUP($B21,'PW_MLG GRADE 10'!$B$7:$B$31,'PW_MLG GRADE 10'!#REF!,"",0,1)="P",1*$C21,0))</f>
        <v>#REF!</v>
      </c>
      <c r="BE21" s="31" t="e">
        <f>IF($C21=0,0,IF(_xlfn.XLOOKUP($B21,'PW_MLG GRADE 10'!$B$7:$B$31,'PW_MLG GRADE 10'!#REF!,"",0,1)="P",1*$C21,0))</f>
        <v>#REF!</v>
      </c>
      <c r="BF21" s="31" t="e">
        <f>IF($C21=0,0,IF(_xlfn.XLOOKUP($B21,'PW_MLG GRADE 10'!$B$7:$B$31,'PW_MLG GRADE 10'!#REF!,"",0,1)="P",1*$C21,0))</f>
        <v>#REF!</v>
      </c>
      <c r="BG21" s="31" t="e">
        <f>IF($C21=0,0,IF(_xlfn.XLOOKUP($B21,'PW_MLG GRADE 10'!$B$7:$B$31,'PW_MLG GRADE 10'!#REF!,"",0,1)="P",1*$C21,0))</f>
        <v>#REF!</v>
      </c>
      <c r="BH21" s="31" t="e">
        <f>IF($C21=0,0,IF(_xlfn.XLOOKUP($B21,'PW_MLG GRADE 10'!$B$7:$B$31,'PW_MLG GRADE 10'!#REF!,"",0,1)="P",1*$C21,0))</f>
        <v>#REF!</v>
      </c>
      <c r="BI21" s="31" t="e">
        <f>IF($C21=0,0,IF(_xlfn.XLOOKUP($B21,'PW_MLG GRADE 10'!$B$7:$B$31,'PW_MLG GRADE 10'!#REF!,"",0,1)="P",1*$C21,0))</f>
        <v>#REF!</v>
      </c>
      <c r="BJ21" s="31" t="e">
        <f>IF($C21=0,0,IF(_xlfn.XLOOKUP($B21,'PW_MLG GRADE 10'!$B$7:$B$31,'PW_MLG GRADE 10'!#REF!,"",0,1)="P",1*$C21,0))</f>
        <v>#REF!</v>
      </c>
      <c r="BK21" s="31" t="e">
        <f>IF($C21=0,0,IF(_xlfn.XLOOKUP($B21,'PW_MLG GRADE 10'!$B$7:$B$31,'PW_MLG GRADE 10'!#REF!,"",0,1)="P",1*$C21,0))</f>
        <v>#REF!</v>
      </c>
      <c r="BL21" s="31" t="e">
        <f>IF($C21=0,0,IF(_xlfn.XLOOKUP($B21,'PW_MLG GRADE 10'!$B$7:$B$31,'PW_MLG GRADE 10'!#REF!,"",0,1)="P",1*$C21,0))</f>
        <v>#REF!</v>
      </c>
      <c r="BM21" s="31" t="e">
        <f>IF($C21=0,0,IF(_xlfn.XLOOKUP($B21,'PW_MLG GRADE 10'!$B$7:$B$31,'PW_MLG GRADE 10'!#REF!,"",0,1)="P",1*$C21,0))</f>
        <v>#REF!</v>
      </c>
      <c r="BN21" s="31" t="e">
        <f>IF($C21=0,0,IF(_xlfn.XLOOKUP($B21,'PW_MLG GRADE 10'!$B$7:$B$31,'PW_MLG GRADE 10'!#REF!,"",0,1)="P",1*$C21,0))</f>
        <v>#REF!</v>
      </c>
      <c r="BO21" s="31" t="e">
        <f>IF($C21=0,0,IF(_xlfn.XLOOKUP($B21,'PW_MLG GRADE 10'!$B$7:$B$31,'PW_MLG GRADE 10'!#REF!,"",0,1)="P",1*$C21,0))</f>
        <v>#REF!</v>
      </c>
      <c r="BP21" s="31" t="e">
        <f>IF($C21=0,0,IF(_xlfn.XLOOKUP($B21,'PW_MLG GRADE 10'!$B$7:$B$31,'PW_MLG GRADE 10'!#REF!,"",0,1)="P",1*$C21,0))</f>
        <v>#REF!</v>
      </c>
      <c r="BQ21" s="31" t="e">
        <f>IF($C21=0,0,IF(_xlfn.XLOOKUP($B21,'PW_MLG GRADE 10'!$B$7:$B$31,'PW_MLG GRADE 10'!#REF!,"",0,1)="P",1*$C21,0))</f>
        <v>#REF!</v>
      </c>
      <c r="BR21" s="31" t="e">
        <f>IF($C21=0,0,IF(_xlfn.XLOOKUP($B21,'PW_MLG GRADE 10'!$B$7:$B$31,'PW_MLG GRADE 10'!#REF!,"",0,1)="P",1*$C21,0))</f>
        <v>#REF!</v>
      </c>
      <c r="BS21" s="31" t="e">
        <f>IF($C21=0,0,IF(_xlfn.XLOOKUP($B21,'PW_MLG GRADE 10'!$B$7:$B$31,'PW_MLG GRADE 10'!#REF!,"",0,1)="P",1*$C21,0))</f>
        <v>#REF!</v>
      </c>
      <c r="BT21" s="31" t="e">
        <f>IF($C21=0,0,IF(_xlfn.XLOOKUP($B21,'PW_MLG GRADE 10'!$B$7:$B$31,'PW_MLG GRADE 10'!#REF!,"",0,1)="P",1*$C21,0))</f>
        <v>#REF!</v>
      </c>
      <c r="BU21" s="31" t="e">
        <f>IF($C21=0,0,IF(_xlfn.XLOOKUP($B21,'PW_MLG GRADE 10'!$B$7:$B$31,'PW_MLG GRADE 10'!#REF!,"",0,1)="P",1*$C21,0))</f>
        <v>#REF!</v>
      </c>
      <c r="BV21" s="31" t="e">
        <f>IF($C21=0,0,IF(_xlfn.XLOOKUP($B21,'PW_MLG GRADE 10'!$B$7:$B$31,'PW_MLG GRADE 10'!#REF!,"",0,1)="P",1*$C21,0))</f>
        <v>#REF!</v>
      </c>
      <c r="BW21" s="31" t="e">
        <f>IF($C21=0,0,IF(_xlfn.XLOOKUP($B21,'PW_MLG GRADE 10'!$B$7:$B$31,'PW_MLG GRADE 10'!#REF!,"",0,1)="P",1*$C21,0))</f>
        <v>#REF!</v>
      </c>
      <c r="BX21" s="31" t="e">
        <f>IF($C21=0,0,IF(_xlfn.XLOOKUP($B21,'PW_MLG GRADE 10'!$B$7:$B$31,'PW_MLG GRADE 10'!#REF!,"",0,1)="P",1*$C21,0))</f>
        <v>#REF!</v>
      </c>
      <c r="BY21" s="31" t="e">
        <f>IF($C21=0,0,IF(_xlfn.XLOOKUP($B21,'PW_MLG GRADE 10'!$B$7:$B$31,'PW_MLG GRADE 10'!#REF!,"",0,1)="P",1*$C21,0))</f>
        <v>#REF!</v>
      </c>
      <c r="BZ21" s="31" t="e">
        <f>IF($C21=0,0,IF(_xlfn.XLOOKUP($B21,'PW_MLG GRADE 10'!$B$7:$B$31,'PW_MLG GRADE 10'!#REF!,"",0,1)="P",1*$C21,0))</f>
        <v>#REF!</v>
      </c>
      <c r="CA21" s="31" t="e">
        <f>IF($C21=0,0,IF(_xlfn.XLOOKUP($B21,'PW_MLG GRADE 10'!$B$7:$B$31,'PW_MLG GRADE 10'!#REF!,"",0,1)="P",1*$C21,0))</f>
        <v>#REF!</v>
      </c>
      <c r="CB21" s="31" t="e">
        <f>IF($C21=0,0,IF(_xlfn.XLOOKUP($B21,'PW_MLG GRADE 10'!$B$7:$B$31,'PW_MLG GRADE 10'!#REF!,"",0,1)="P",1*$C21,0))</f>
        <v>#REF!</v>
      </c>
      <c r="CC21" s="31" t="e">
        <f>IF($C21=0,0,IF(_xlfn.XLOOKUP($B21,'PW_MLG GRADE 10'!$B$7:$B$31,'PW_MLG GRADE 10'!#REF!,"",0,1)="P",1*$C21,0))</f>
        <v>#REF!</v>
      </c>
      <c r="CD21" s="31" t="e">
        <f>IF($C21=0,0,IF(_xlfn.XLOOKUP($B21,'PW_MLG GRADE 10'!$B$7:$B$31,'PW_MLG GRADE 10'!#REF!,"",0,1)="P",1*$C21,0))</f>
        <v>#REF!</v>
      </c>
      <c r="CE21" s="32">
        <f>IF($C21=0,0,IF(_xlfn.XLOOKUP($B21,'PW_CMI GRADE 10'!$B$7:$B$31,'PW_CMI GRADE 10'!C$7:C$31,"",0,1)="P",1*$C21,0))</f>
        <v>0</v>
      </c>
      <c r="CF21" s="32">
        <f>IF($C21=0,0,IF(_xlfn.XLOOKUP($B21,'PW_CMI GRADE 10'!$B$7:$B$31,'PW_CMI GRADE 10'!D$7:D$31,"",0,1)="P",1*$C21,0))</f>
        <v>0</v>
      </c>
      <c r="CG21" s="32">
        <f>IF($C21=0,0,IF(_xlfn.XLOOKUP($B21,'PW_CMI GRADE 10'!$B$7:$B$31,'PW_CMI GRADE 10'!E$7:E$31,"",0,1)="P",1*$C21,0))</f>
        <v>0</v>
      </c>
      <c r="CH21" s="32">
        <f>IF($C21=0,0,IF(_xlfn.XLOOKUP($B21,'PW_CMI GRADE 10'!$B$7:$B$31,'PW_CMI GRADE 10'!F$7:F$31,"",0,1)="P",1*$C21,0))</f>
        <v>0</v>
      </c>
      <c r="CI21" s="32">
        <f>IF($C21=0,0,IF(_xlfn.XLOOKUP($B21,'PW_CMI GRADE 10'!$B$7:$B$31,'PW_CMI GRADE 10'!G$7:G$31,"",0,1)="P",1*$C21,0))</f>
        <v>0</v>
      </c>
      <c r="CJ21" s="32">
        <f>IF($C21=0,0,IF(_xlfn.XLOOKUP($B21,'PW_CMI GRADE 10'!$B$7:$B$31,'PW_CMI GRADE 10'!H$7:H$31,"",0,1)="P",1*$C21,0))</f>
        <v>0</v>
      </c>
      <c r="CK21" s="32">
        <f>IF($C21=0,0,IF(_xlfn.XLOOKUP($B21,'PW_CMI GRADE 10'!$B$7:$B$31,'PW_CMI GRADE 10'!I$7:I$31,"",0,1)="P",1*$C21,0))</f>
        <v>8</v>
      </c>
      <c r="CL21" s="32">
        <f>IF($C21=0,0,IF(_xlfn.XLOOKUP($B21,'PW_CMI GRADE 10'!$B$7:$B$31,'PW_CMI GRADE 10'!J$7:J$31,"",0,1)="P",1*$C21,0))</f>
        <v>8</v>
      </c>
      <c r="CM21" s="32">
        <f>IF($C21=0,0,IF(_xlfn.XLOOKUP($B21,'PW_CMI GRADE 10'!$B$7:$B$31,'PW_CMI GRADE 10'!K$7:K$31,"",0,1)="P",1*$C21,0))</f>
        <v>8</v>
      </c>
      <c r="CN21" s="32">
        <f>IF($C21=0,0,IF(_xlfn.XLOOKUP($B21,'PW_CMI GRADE 10'!$B$7:$B$31,'PW_CMI GRADE 10'!L$7:L$31,"",0,1)="P",1*$C21,0))</f>
        <v>0</v>
      </c>
      <c r="CO21" s="32">
        <f>IF($C21=0,0,IF(_xlfn.XLOOKUP($B21,'PW_CMI GRADE 10'!$B$7:$B$31,'PW_CMI GRADE 10'!M$7:M$31,"",0,1)="P",1*$C21,0))</f>
        <v>0</v>
      </c>
      <c r="CP21" s="32">
        <f>IF($C21=0,0,IF(_xlfn.XLOOKUP($B21,'PW_CMI GRADE 10'!$B$7:$B$31,'PW_CMI GRADE 10'!N$7:N$31,"",0,1)="P",1*$C21,0))</f>
        <v>0</v>
      </c>
      <c r="CQ21" s="32">
        <f>IF($C21=0,0,IF(_xlfn.XLOOKUP($B21,'PW_CMI GRADE 10'!$B$7:$B$31,'PW_CMI GRADE 10'!O$7:O$31,"",0,1)="P",1*$C21,0))</f>
        <v>8</v>
      </c>
      <c r="CR21" s="32">
        <f>IF($C21=0,0,IF(_xlfn.XLOOKUP($B21,'PW_CMI GRADE 10'!$B$7:$B$31,'PW_CMI GRADE 10'!P$7:P$31,"",0,1)="P",1*$C21,0))</f>
        <v>8</v>
      </c>
      <c r="CS21" s="32">
        <f>IF($C21=0,0,IF(_xlfn.XLOOKUP($B21,'PW_CMI GRADE 10'!$B$7:$B$31,'PW_CMI GRADE 10'!Q$7:Q$31,"",0,1)="P",1*$C21,0))</f>
        <v>8</v>
      </c>
      <c r="CT21" s="32">
        <f>IF($C21=0,0,IF(_xlfn.XLOOKUP($B21,'PW_CMI GRADE 10'!$B$7:$B$31,'PW_CMI GRADE 10'!R$7:R$31,"",0,1)="P",1*$C21,0))</f>
        <v>0</v>
      </c>
      <c r="CU21" s="32">
        <f>IF($C21=0,0,IF(_xlfn.XLOOKUP($B21,'PW_CMI GRADE 10'!$B$7:$B$31,'PW_CMI GRADE 10'!S$7:S$31,"",0,1)="P",1*$C21,0))</f>
        <v>0</v>
      </c>
      <c r="CV21" s="32">
        <f>IF($C21=0,0,IF(_xlfn.XLOOKUP($B21,'PW_CMI GRADE 10'!$B$7:$B$31,'PW_CMI GRADE 10'!T$7:T$31,"",0,1)="P",1*$C21,0))</f>
        <v>0</v>
      </c>
      <c r="CW21" s="62" t="e">
        <f t="shared" si="19"/>
        <v>#REF!</v>
      </c>
      <c r="CX21" s="62" t="e">
        <f t="shared" si="20"/>
        <v>#REF!</v>
      </c>
      <c r="CY21" s="62" t="e">
        <f t="shared" si="21"/>
        <v>#REF!</v>
      </c>
      <c r="CZ21" s="62" t="e">
        <f t="shared" si="22"/>
        <v>#REF!</v>
      </c>
      <c r="DA21" s="62" t="e">
        <f t="shared" si="23"/>
        <v>#REF!</v>
      </c>
      <c r="DB21" s="62" t="e">
        <f t="shared" si="24"/>
        <v>#REF!</v>
      </c>
      <c r="DC21" s="62" t="e">
        <f t="shared" si="25"/>
        <v>#REF!</v>
      </c>
      <c r="DD21" s="62" t="e">
        <f t="shared" si="26"/>
        <v>#REF!</v>
      </c>
      <c r="DE21" s="62" t="e">
        <f t="shared" si="27"/>
        <v>#REF!</v>
      </c>
      <c r="DF21" s="62" t="e">
        <f t="shared" si="28"/>
        <v>#REF!</v>
      </c>
      <c r="DG21" s="62" t="e">
        <f t="shared" si="29"/>
        <v>#REF!</v>
      </c>
      <c r="DH21" s="62" t="e">
        <f t="shared" si="30"/>
        <v>#REF!</v>
      </c>
      <c r="DI21" s="62" t="e">
        <f t="shared" si="31"/>
        <v>#REF!</v>
      </c>
      <c r="DJ21" s="62" t="e">
        <f t="shared" si="32"/>
        <v>#REF!</v>
      </c>
      <c r="DK21" s="62" t="e">
        <f t="shared" si="33"/>
        <v>#REF!</v>
      </c>
      <c r="DL21" s="62" t="e">
        <f t="shared" si="34"/>
        <v>#REF!</v>
      </c>
      <c r="DM21" s="62" t="e">
        <f t="shared" si="35"/>
        <v>#REF!</v>
      </c>
      <c r="DN21" s="62" t="e">
        <f t="shared" si="36"/>
        <v>#REF!</v>
      </c>
      <c r="DO21" s="62" t="e">
        <f t="shared" si="37"/>
        <v>#REF!</v>
      </c>
      <c r="DP21" s="62" t="e">
        <f t="shared" si="38"/>
        <v>#REF!</v>
      </c>
      <c r="DQ21" s="62" t="e">
        <f t="shared" si="39"/>
        <v>#REF!</v>
      </c>
      <c r="DR21" s="62" t="e">
        <f t="shared" si="40"/>
        <v>#REF!</v>
      </c>
      <c r="DS21" s="62" t="e">
        <f t="shared" si="41"/>
        <v>#REF!</v>
      </c>
      <c r="DT21" s="62" t="e">
        <f t="shared" si="42"/>
        <v>#REF!</v>
      </c>
      <c r="DU21" s="62" t="e">
        <f t="shared" si="43"/>
        <v>#REF!</v>
      </c>
      <c r="DV21" s="62" t="e">
        <f t="shared" si="44"/>
        <v>#REF!</v>
      </c>
      <c r="DW21" s="62" t="e">
        <f t="shared" si="45"/>
        <v>#REF!</v>
      </c>
      <c r="DX21" s="62" t="e">
        <f t="shared" si="46"/>
        <v>#REF!</v>
      </c>
      <c r="DY21" s="62" t="e">
        <f t="shared" si="47"/>
        <v>#REF!</v>
      </c>
      <c r="DZ21" s="62" t="e">
        <f t="shared" si="48"/>
        <v>#REF!</v>
      </c>
      <c r="EA21" s="63">
        <f t="shared" si="68"/>
        <v>0</v>
      </c>
      <c r="EB21" s="63">
        <f t="shared" si="2"/>
        <v>0</v>
      </c>
      <c r="EC21" s="63">
        <f t="shared" si="3"/>
        <v>0</v>
      </c>
      <c r="ED21" s="63">
        <f t="shared" si="4"/>
        <v>0</v>
      </c>
      <c r="EE21" s="63">
        <f t="shared" si="5"/>
        <v>0.33333333333333331</v>
      </c>
      <c r="EF21" s="63">
        <f t="shared" si="6"/>
        <v>0.66666666666666663</v>
      </c>
      <c r="EG21" s="63">
        <f t="shared" si="7"/>
        <v>1</v>
      </c>
      <c r="EH21" s="63">
        <f t="shared" si="8"/>
        <v>0.66666666666666663</v>
      </c>
      <c r="EI21" s="63">
        <f t="shared" si="9"/>
        <v>0.33333333333333331</v>
      </c>
      <c r="EJ21" s="63">
        <f t="shared" si="10"/>
        <v>0</v>
      </c>
      <c r="EK21" s="63">
        <f t="shared" si="11"/>
        <v>0.33333333333333331</v>
      </c>
      <c r="EL21" s="63">
        <f t="shared" si="12"/>
        <v>0.66666666666666663</v>
      </c>
      <c r="EM21" s="63">
        <f t="shared" si="13"/>
        <v>1</v>
      </c>
      <c r="EN21" s="63">
        <f t="shared" si="14"/>
        <v>0.66666666666666663</v>
      </c>
      <c r="EO21" s="63">
        <f t="shared" si="15"/>
        <v>0.33333333333333331</v>
      </c>
      <c r="EP21" s="63">
        <f t="shared" si="16"/>
        <v>0</v>
      </c>
      <c r="FU21" s="51">
        <v>46357</v>
      </c>
      <c r="FV21" t="s">
        <v>22</v>
      </c>
      <c r="FW21" t="s">
        <v>22</v>
      </c>
      <c r="FX21" t="s">
        <v>22</v>
      </c>
      <c r="FY21" t="s">
        <v>22</v>
      </c>
      <c r="FZ21" t="s">
        <v>22</v>
      </c>
      <c r="GA21" t="s">
        <v>22</v>
      </c>
      <c r="GB21" t="s">
        <v>22</v>
      </c>
      <c r="GC21" t="s">
        <v>22</v>
      </c>
      <c r="GD21" t="s">
        <v>22</v>
      </c>
      <c r="GE21" t="s">
        <v>22</v>
      </c>
      <c r="GF21" t="s">
        <v>22</v>
      </c>
      <c r="GG21" t="s">
        <v>22</v>
      </c>
      <c r="GH21" t="s">
        <v>22</v>
      </c>
      <c r="GI21" t="s">
        <v>22</v>
      </c>
      <c r="GJ21" t="s">
        <v>22</v>
      </c>
      <c r="GK21" t="s">
        <v>22</v>
      </c>
      <c r="GL21" t="s">
        <v>22</v>
      </c>
      <c r="GM21" t="s">
        <v>22</v>
      </c>
      <c r="GN21" t="s">
        <v>22</v>
      </c>
      <c r="GO21" t="s">
        <v>22</v>
      </c>
      <c r="GP21" t="s">
        <v>22</v>
      </c>
      <c r="GQ21" t="s">
        <v>22</v>
      </c>
      <c r="GR21" t="s">
        <v>22</v>
      </c>
      <c r="GS21" t="s">
        <v>22</v>
      </c>
      <c r="GT21" t="s">
        <v>22</v>
      </c>
      <c r="GU21" t="s">
        <v>22</v>
      </c>
      <c r="GV21" t="s">
        <v>22</v>
      </c>
      <c r="GW21" t="s">
        <v>22</v>
      </c>
      <c r="GX21" t="s">
        <v>22</v>
      </c>
      <c r="GY21" t="s">
        <v>22</v>
      </c>
      <c r="GZ21" t="s">
        <v>22</v>
      </c>
      <c r="HA21" t="s">
        <v>22</v>
      </c>
      <c r="HB21" t="s">
        <v>22</v>
      </c>
      <c r="HC21" t="s">
        <v>22</v>
      </c>
      <c r="HD21" t="s">
        <v>22</v>
      </c>
      <c r="HE21" t="s">
        <v>22</v>
      </c>
      <c r="HF21" t="s">
        <v>22</v>
      </c>
      <c r="HG21" t="s">
        <v>22</v>
      </c>
      <c r="HH21" t="s">
        <v>22</v>
      </c>
      <c r="HI21" t="s">
        <v>22</v>
      </c>
      <c r="HJ21" t="s">
        <v>22</v>
      </c>
      <c r="HK21" t="s">
        <v>22</v>
      </c>
      <c r="HL21" t="s">
        <v>22</v>
      </c>
      <c r="HM21" t="s">
        <v>22</v>
      </c>
      <c r="HN21" t="s">
        <v>22</v>
      </c>
      <c r="HO21" cm="1">
        <f t="array" ref="HO21">SUMPRODUCT(--(FV21:HN21&lt;&gt;""))</f>
        <v>0</v>
      </c>
    </row>
    <row r="22" spans="1:223">
      <c r="A22" t="str">
        <f t="shared" si="18"/>
        <v>4A.1</v>
      </c>
      <c r="B22" t="s">
        <v>53</v>
      </c>
      <c r="C22" s="28"/>
      <c r="D22" s="28">
        <v>2</v>
      </c>
      <c r="E22" s="31">
        <f>IF($D22=0,0,IF(_xlfn.XLOOKUP($B22,'TH_MLG GRADE 10'!$B$7:$B$49,'TH_MLG GRADE 10'!C$7:C$49,"",0,1)="P",1*$D22,0))</f>
        <v>0</v>
      </c>
      <c r="F22" s="31">
        <f>IF($D22=0,0,IF(_xlfn.XLOOKUP($B22,'TH_MLG GRADE 10'!$B$7:$B$49,'TH_MLG GRADE 10'!D$7:D$49,"",0,1)="P",1*$D22,0))</f>
        <v>0</v>
      </c>
      <c r="G22" s="31">
        <f>IF($D22=0,0,IF(_xlfn.XLOOKUP($B22,'TH_MLG GRADE 10'!$B$7:$B$49,'TH_MLG GRADE 10'!E$7:E$49,"",0,1)="P",1*$D22,0))</f>
        <v>0</v>
      </c>
      <c r="H22" s="31">
        <f>IF($D22=0,0,IF(_xlfn.XLOOKUP($B22,'TH_MLG GRADE 10'!$B$7:$B$49,'TH_MLG GRADE 10'!I$7:I$49,"",0,1)="P",1*$D22,0))</f>
        <v>0</v>
      </c>
      <c r="I22" s="31">
        <f>IF($D22=0,0,IF(_xlfn.XLOOKUP($B22,'TH_MLG GRADE 10'!$B$7:$B$49,'TH_MLG GRADE 10'!J$7:J$49,"",0,1)="P",1*$D22,0))</f>
        <v>0</v>
      </c>
      <c r="J22" s="31">
        <f>IF($D22=0,0,IF(_xlfn.XLOOKUP($B22,'TH_MLG GRADE 10'!$B$7:$B$49,'TH_MLG GRADE 10'!K$7:K$49,"",0,1)="P",1*$D22,0))</f>
        <v>0</v>
      </c>
      <c r="K22" s="31">
        <f>IF($D22=0,0,IF(_xlfn.XLOOKUP($B22,'TH_MLG GRADE 10'!$B$7:$B$49,'TH_MLG GRADE 10'!O$7:O$49,"",0,1)="P",1*$D22,0))</f>
        <v>0</v>
      </c>
      <c r="L22" s="31">
        <f>IF($D22=0,0,IF(_xlfn.XLOOKUP($B22,'TH_MLG GRADE 10'!$B$7:$B$49,'TH_MLG GRADE 10'!P$7:P$49,"",0,1)="P",1*$D22,0))</f>
        <v>0</v>
      </c>
      <c r="M22" s="31">
        <f>IF($D22=0,0,IF(_xlfn.XLOOKUP($B22,'TH_MLG GRADE 10'!$B$7:$B$49,'TH_MLG GRADE 10'!Q$7:Q$49,"",0,1)="P",1*$D22,0))</f>
        <v>0</v>
      </c>
      <c r="N22" s="31">
        <f>IF($D22=0,0,IF(_xlfn.XLOOKUP($B22,'TH_MLG GRADE 10'!$B$7:$B$49,'TH_MLG GRADE 10'!AA$7:AA$49,"",0,1)="P",1*$D22,0))</f>
        <v>2</v>
      </c>
      <c r="O22" s="31">
        <f>IF($D22=0,0,IF(_xlfn.XLOOKUP($B22,'TH_MLG GRADE 10'!$B$7:$B$49,'TH_MLG GRADE 10'!AB$7:AB$49,"",0,1)="P",1*$D22,0))</f>
        <v>0</v>
      </c>
      <c r="P22" s="31">
        <f>IF($D22=0,0,IF(_xlfn.XLOOKUP($B22,'TH_MLG GRADE 10'!$B$7:$B$49,'TH_MLG GRADE 10'!AC$7:AC$49,"",0,1)="P",1*$D22,0))</f>
        <v>2</v>
      </c>
      <c r="Q22" s="31">
        <f>IF($D22=0,0,IF(_xlfn.XLOOKUP($B22,'TH_MLG GRADE 10'!$B$7:$B$49,'TH_MLG GRADE 10'!AG$7:AG$49,"",0,1)="P",1*$D22,0))</f>
        <v>2</v>
      </c>
      <c r="R22" s="31">
        <f>IF($D22=0,0,IF(_xlfn.XLOOKUP($B22,'TH_MLG GRADE 10'!$B$7:$B$49,'TH_MLG GRADE 10'!AH$7:AH$49,"",0,1)="P",1*$D22,0))</f>
        <v>2</v>
      </c>
      <c r="S22" s="31">
        <f>IF($D22=0,0,IF(_xlfn.XLOOKUP($B22,'TH_MLG GRADE 10'!$B$7:$B$49,'TH_MLG GRADE 10'!AI$7:AI$49,"",0,1)="P",1*$D22,0))</f>
        <v>2</v>
      </c>
      <c r="T22" s="31">
        <f>IF($D22=0,0,IF(_xlfn.XLOOKUP($B22,'TH_MLG GRADE 10'!$B$7:$B$49,'TH_MLG GRADE 10'!AM$7:AM$49,"",0,1)="P",1*$D22,0))</f>
        <v>0</v>
      </c>
      <c r="U22" s="31">
        <f>IF($D22=0,0,IF(_xlfn.XLOOKUP($B22,'TH_MLG GRADE 10'!$B$7:$B$49,'TH_MLG GRADE 10'!AN$7:AN$49,"",0,1)="P",1*$D22,0))</f>
        <v>0</v>
      </c>
      <c r="V22" s="31">
        <f>IF($D22=0,0,IF(_xlfn.XLOOKUP($B22,'TH_MLG GRADE 10'!$B$7:$B$49,'TH_MLG GRADE 10'!AO$7:AO$49,"",0,1)="P",1*$D22,0))</f>
        <v>0</v>
      </c>
      <c r="W22" s="31">
        <f>IF($D22=0,0,IF(_xlfn.XLOOKUP($B22,'TH_MLG GRADE 10'!$B$7:$B$49,'TH_MLG GRADE 10'!AY$7:AY$49,"",0,1)="P",1*$D22,0))</f>
        <v>0</v>
      </c>
      <c r="X22" s="31">
        <f>IF($D22=0,0,IF(_xlfn.XLOOKUP($B22,'TH_MLG GRADE 10'!$B$7:$B$49,'TH_MLG GRADE 10'!AZ$7:AZ$49,"",0,1)="P",1*$D22,0))</f>
        <v>0</v>
      </c>
      <c r="Y22" s="31">
        <f>IF($D22=0,0,IF(_xlfn.XLOOKUP($B22,'TH_MLG GRADE 10'!$B$7:$B$49,'TH_MLG GRADE 10'!BA$7:BA$49,"",0,1)="P",1*$D22,0))</f>
        <v>0</v>
      </c>
      <c r="Z22" s="31">
        <f>IF($D22=0,0,IF(_xlfn.XLOOKUP($B22,'TH_MLG GRADE 10'!$B$7:$B$49,'TH_MLG GRADE 10'!BE$7:BE$49,"",0,1)="P",1*$D22,0))</f>
        <v>0</v>
      </c>
      <c r="AA22" s="31">
        <f>IF($D22=0,0,IF(_xlfn.XLOOKUP($B22,'TH_MLG GRADE 10'!$B$7:$B$49,'TH_MLG GRADE 10'!BF$7:BF$49,"",0,1)="P",1*$D22,0))</f>
        <v>0</v>
      </c>
      <c r="AB22" s="31">
        <f>IF($D22=0,0,IF(_xlfn.XLOOKUP($B22,'TH_MLG GRADE 10'!$B$7:$B$49,'TH_MLG GRADE 10'!BG$7:BG$49,"",0,1)="P",1*$D22,0))</f>
        <v>0</v>
      </c>
      <c r="AC22" s="31" t="e">
        <f>IF($D22=0,0,IF(_xlfn.XLOOKUP($B22,'TH_MLG GRADE 10'!$B$7:$B$49,'TH_MLG GRADE 10'!#REF!,"",0,1)="P",1*$D22,0))</f>
        <v>#REF!</v>
      </c>
      <c r="AD22" s="31" t="e">
        <f>IF($D22=0,0,IF(_xlfn.XLOOKUP($B22,'TH_MLG GRADE 10'!$B$7:$B$49,'TH_MLG GRADE 10'!#REF!,"",0,1)="P",1*$D22,0))</f>
        <v>#REF!</v>
      </c>
      <c r="AE22" s="31" t="e">
        <f>IF($D22=0,0,IF(_xlfn.XLOOKUP($B22,'TH_MLG GRADE 10'!$B$7:$B$49,'TH_MLG GRADE 10'!#REF!,"",0,1)="P",1*$D22,0))</f>
        <v>#REF!</v>
      </c>
      <c r="AF22" s="31" t="e">
        <f>IF($D22=0,0,IF(_xlfn.XLOOKUP($B22,'TH_MLG GRADE 10'!$B$7:$B$49,'TH_MLG GRADE 10'!#REF!,"",0,1)="P",1*$D22,0))</f>
        <v>#REF!</v>
      </c>
      <c r="AG22" s="31" t="e">
        <f>IF($D22=0,0,IF(_xlfn.XLOOKUP($B22,'TH_MLG GRADE 10'!$B$7:$B$49,'TH_MLG GRADE 10'!#REF!,"",0,1)="P",1*$D22,0))</f>
        <v>#REF!</v>
      </c>
      <c r="AH22" s="31" t="e">
        <f>IF($D22=0,0,IF(_xlfn.XLOOKUP($B22,'TH_MLG GRADE 10'!$B$7:$B$49,'TH_MLG GRADE 10'!#REF!,"",0,1)="P",1*$D22,0))</f>
        <v>#REF!</v>
      </c>
      <c r="AI22" s="32">
        <f>IF($D22=0,0,IF(_xlfn.XLOOKUP($B22,'TH_CMI GRADE 10'!$B$7:$B$49,'TH_CMI GRADE 10'!C$7:C$49,"",0,1)="P",1*$D22,0))</f>
        <v>0</v>
      </c>
      <c r="AJ22" s="32">
        <f>IF($D22=0,0,IF(_xlfn.XLOOKUP($B22,'TH_CMI GRADE 10'!$B$7:$B$49,'TH_CMI GRADE 10'!D$7:D$49,"",0,1)="P",1*$D22,0))</f>
        <v>0</v>
      </c>
      <c r="AK22" s="32">
        <f>IF($D22=0,0,IF(_xlfn.XLOOKUP($B22,'TH_CMI GRADE 10'!$B$7:$B$49,'TH_CMI GRADE 10'!H$7:H$49,"",0,1)="P",1*$D22,0))</f>
        <v>0</v>
      </c>
      <c r="AL22" s="32">
        <f>IF($D22=0,0,IF(_xlfn.XLOOKUP($B22,'TH_CMI GRADE 10'!$B$7:$B$49,'TH_CMI GRADE 10'!I$7:I$49,"",0,1)="P",1*$D22,0))</f>
        <v>0</v>
      </c>
      <c r="AM22" s="32">
        <f>IF($D22=0,0,IF(_xlfn.XLOOKUP($B22,'TH_CMI GRADE 10'!$B$7:$B$49,'TH_CMI GRADE 10'!J$7:J$49,"",0,1)="P",1*$D22,0))</f>
        <v>0</v>
      </c>
      <c r="AN22" s="32">
        <f>IF($D22=0,0,IF(_xlfn.XLOOKUP($B22,'TH_CMI GRADE 10'!$B$7:$B$49,'TH_CMI GRADE 10'!K$7:K$49,"",0,1)="P",1*$D22,0))</f>
        <v>0</v>
      </c>
      <c r="AO22" s="32">
        <f>IF($D22=0,0,IF(_xlfn.XLOOKUP($B22,'TH_CMI GRADE 10'!$B$7:$B$49,'TH_CMI GRADE 10'!O$7:O$49,"",0,1)="P",1*$D22,0))</f>
        <v>0</v>
      </c>
      <c r="AP22" s="32">
        <f>IF($D22=0,0,IF(_xlfn.XLOOKUP($B22,'TH_CMI GRADE 10'!$B$7:$B$49,'TH_CMI GRADE 10'!P$7:P$49,"",0,1)="P",1*$D22,0))</f>
        <v>0</v>
      </c>
      <c r="AQ22" s="32">
        <f>IF($D22=0,0,IF(_xlfn.XLOOKUP($B22,'TH_CMI GRADE 10'!$B$7:$B$49,'TH_CMI GRADE 10'!Q$7:Q$49,"",0,1)="P",1*$D22,0))</f>
        <v>0</v>
      </c>
      <c r="AR22" s="32">
        <f>IF($D22=0,0,IF(_xlfn.XLOOKUP($B22,'TH_CMI GRADE 10'!$B$7:$B$49,'TH_CMI GRADE 10'!U$7:U$49,"",0,1)="P",1*$D22,0))</f>
        <v>0</v>
      </c>
      <c r="AS22" s="32">
        <f>IF($D22=0,0,IF(_xlfn.XLOOKUP($B22,'TH_CMI GRADE 10'!$B$7:$B$49,'TH_CMI GRADE 10'!V$7:V$49,"",0,1)="P",1*$D22,0))</f>
        <v>0</v>
      </c>
      <c r="AT22" s="32">
        <f>IF($D22=0,0,IF(_xlfn.XLOOKUP($B22,'TH_CMI GRADE 10'!$B$7:$B$49,'TH_CMI GRADE 10'!W$7:W$49,"",0,1)="P",1*$D22,0))</f>
        <v>0</v>
      </c>
      <c r="AU22" s="32">
        <f>IF($D22=0,0,IF(_xlfn.XLOOKUP($B22,'TH_CMI GRADE 10'!$B$7:$B$49,'TH_CMI GRADE 10'!AA$7:AA$49,"",0,1)="P",1*$D22,0))</f>
        <v>2</v>
      </c>
      <c r="AV22" s="32">
        <f>IF($D22=0,0,IF(_xlfn.XLOOKUP($B22,'TH_CMI GRADE 10'!$B$7:$B$49,'TH_CMI GRADE 10'!AB$7:AB$49,"",0,1)="P",1*$D22,0))</f>
        <v>2</v>
      </c>
      <c r="AW22" s="32">
        <f>IF($D22=0,0,IF(_xlfn.XLOOKUP($B22,'TH_CMI GRADE 10'!$B$7:$B$49,'TH_CMI GRADE 10'!AC$7:AC$49,"",0,1)="P",1*$D22,0))</f>
        <v>2</v>
      </c>
      <c r="AX22" s="32">
        <f>IF($D22=0,0,IF(_xlfn.XLOOKUP($B22,'TH_CMI GRADE 10'!$B$7:$B$49,'TH_CMI GRADE 10'!AG$7:AG$49,"",0,1)="P",1*$D22,0))</f>
        <v>2</v>
      </c>
      <c r="AY22" s="32">
        <f>IF($D22=0,0,IF(_xlfn.XLOOKUP($B22,'TH_CMI GRADE 10'!$B$7:$B$49,'TH_CMI GRADE 10'!AH$7:AH$49,"",0,1)="P",1*$D22,0))</f>
        <v>2</v>
      </c>
      <c r="AZ22" s="32">
        <f>IF($D22=0,0,IF(_xlfn.XLOOKUP($B22,'TH_CMI GRADE 10'!$B$7:$B$49,'TH_CMI GRADE 10'!AI$7:AI$49,"",0,1)="P",1*$D22,0))</f>
        <v>2</v>
      </c>
      <c r="BA22" s="31">
        <f>IF($C22=0,0,IF(_xlfn.XLOOKUP($B22,'PW_MLG GRADE 10'!$B$7:$B$31,'PW_MLG GRADE 10'!#REF!,"",0,1)="P",1*$C22,0))</f>
        <v>0</v>
      </c>
      <c r="BB22" s="31">
        <f>IF($C22=0,0,IF(_xlfn.XLOOKUP($B22,'PW_MLG GRADE 10'!$B$7:$B$31,'PW_MLG GRADE 10'!#REF!,"",0,1)="P",1*$C22,0))</f>
        <v>0</v>
      </c>
      <c r="BC22" s="31">
        <f>IF($C22=0,0,IF(_xlfn.XLOOKUP($B22,'PW_MLG GRADE 10'!$B$7:$B$31,'PW_MLG GRADE 10'!#REF!,"",0,1)="P",1*$C22,0))</f>
        <v>0</v>
      </c>
      <c r="BD22" s="31">
        <f>IF($C22=0,0,IF(_xlfn.XLOOKUP($B22,'PW_MLG GRADE 10'!$B$7:$B$31,'PW_MLG GRADE 10'!#REF!,"",0,1)="P",1*$C22,0))</f>
        <v>0</v>
      </c>
      <c r="BE22" s="31">
        <f>IF($C22=0,0,IF(_xlfn.XLOOKUP($B22,'PW_MLG GRADE 10'!$B$7:$B$31,'PW_MLG GRADE 10'!#REF!,"",0,1)="P",1*$C22,0))</f>
        <v>0</v>
      </c>
      <c r="BF22" s="31">
        <f>IF($C22=0,0,IF(_xlfn.XLOOKUP($B22,'PW_MLG GRADE 10'!$B$7:$B$31,'PW_MLG GRADE 10'!#REF!,"",0,1)="P",1*$C22,0))</f>
        <v>0</v>
      </c>
      <c r="BG22" s="31">
        <f>IF($C22=0,0,IF(_xlfn.XLOOKUP($B22,'PW_MLG GRADE 10'!$B$7:$B$31,'PW_MLG GRADE 10'!#REF!,"",0,1)="P",1*$C22,0))</f>
        <v>0</v>
      </c>
      <c r="BH22" s="31">
        <f>IF($C22=0,0,IF(_xlfn.XLOOKUP($B22,'PW_MLG GRADE 10'!$B$7:$B$31,'PW_MLG GRADE 10'!#REF!,"",0,1)="P",1*$C22,0))</f>
        <v>0</v>
      </c>
      <c r="BI22" s="31">
        <f>IF($C22=0,0,IF(_xlfn.XLOOKUP($B22,'PW_MLG GRADE 10'!$B$7:$B$31,'PW_MLG GRADE 10'!#REF!,"",0,1)="P",1*$C22,0))</f>
        <v>0</v>
      </c>
      <c r="BJ22" s="31">
        <f>IF($C22=0,0,IF(_xlfn.XLOOKUP($B22,'PW_MLG GRADE 10'!$B$7:$B$31,'PW_MLG GRADE 10'!#REF!,"",0,1)="P",1*$C22,0))</f>
        <v>0</v>
      </c>
      <c r="BK22" s="31">
        <f>IF($C22=0,0,IF(_xlfn.XLOOKUP($B22,'PW_MLG GRADE 10'!$B$7:$B$31,'PW_MLG GRADE 10'!#REF!,"",0,1)="P",1*$C22,0))</f>
        <v>0</v>
      </c>
      <c r="BL22" s="31">
        <f>IF($C22=0,0,IF(_xlfn.XLOOKUP($B22,'PW_MLG GRADE 10'!$B$7:$B$31,'PW_MLG GRADE 10'!#REF!,"",0,1)="P",1*$C22,0))</f>
        <v>0</v>
      </c>
      <c r="BM22" s="31">
        <f>IF($C22=0,0,IF(_xlfn.XLOOKUP($B22,'PW_MLG GRADE 10'!$B$7:$B$31,'PW_MLG GRADE 10'!#REF!,"",0,1)="P",1*$C22,0))</f>
        <v>0</v>
      </c>
      <c r="BN22" s="31">
        <f>IF($C22=0,0,IF(_xlfn.XLOOKUP($B22,'PW_MLG GRADE 10'!$B$7:$B$31,'PW_MLG GRADE 10'!#REF!,"",0,1)="P",1*$C22,0))</f>
        <v>0</v>
      </c>
      <c r="BO22" s="31">
        <f>IF($C22=0,0,IF(_xlfn.XLOOKUP($B22,'PW_MLG GRADE 10'!$B$7:$B$31,'PW_MLG GRADE 10'!#REF!,"",0,1)="P",1*$C22,0))</f>
        <v>0</v>
      </c>
      <c r="BP22" s="31">
        <f>IF($C22=0,0,IF(_xlfn.XLOOKUP($B22,'PW_MLG GRADE 10'!$B$7:$B$31,'PW_MLG GRADE 10'!#REF!,"",0,1)="P",1*$C22,0))</f>
        <v>0</v>
      </c>
      <c r="BQ22" s="31">
        <f>IF($C22=0,0,IF(_xlfn.XLOOKUP($B22,'PW_MLG GRADE 10'!$B$7:$B$31,'PW_MLG GRADE 10'!#REF!,"",0,1)="P",1*$C22,0))</f>
        <v>0</v>
      </c>
      <c r="BR22" s="31">
        <f>IF($C22=0,0,IF(_xlfn.XLOOKUP($B22,'PW_MLG GRADE 10'!$B$7:$B$31,'PW_MLG GRADE 10'!#REF!,"",0,1)="P",1*$C22,0))</f>
        <v>0</v>
      </c>
      <c r="BS22" s="31">
        <f>IF($C22=0,0,IF(_xlfn.XLOOKUP($B22,'PW_MLG GRADE 10'!$B$7:$B$31,'PW_MLG GRADE 10'!#REF!,"",0,1)="P",1*$C22,0))</f>
        <v>0</v>
      </c>
      <c r="BT22" s="31">
        <f>IF($C22=0,0,IF(_xlfn.XLOOKUP($B22,'PW_MLG GRADE 10'!$B$7:$B$31,'PW_MLG GRADE 10'!#REF!,"",0,1)="P",1*$C22,0))</f>
        <v>0</v>
      </c>
      <c r="BU22" s="31">
        <f>IF($C22=0,0,IF(_xlfn.XLOOKUP($B22,'PW_MLG GRADE 10'!$B$7:$B$31,'PW_MLG GRADE 10'!#REF!,"",0,1)="P",1*$C22,0))</f>
        <v>0</v>
      </c>
      <c r="BV22" s="31">
        <f>IF($C22=0,0,IF(_xlfn.XLOOKUP($B22,'PW_MLG GRADE 10'!$B$7:$B$31,'PW_MLG GRADE 10'!#REF!,"",0,1)="P",1*$C22,0))</f>
        <v>0</v>
      </c>
      <c r="BW22" s="31">
        <f>IF($C22=0,0,IF(_xlfn.XLOOKUP($B22,'PW_MLG GRADE 10'!$B$7:$B$31,'PW_MLG GRADE 10'!#REF!,"",0,1)="P",1*$C22,0))</f>
        <v>0</v>
      </c>
      <c r="BX22" s="31">
        <f>IF($C22=0,0,IF(_xlfn.XLOOKUP($B22,'PW_MLG GRADE 10'!$B$7:$B$31,'PW_MLG GRADE 10'!#REF!,"",0,1)="P",1*$C22,0))</f>
        <v>0</v>
      </c>
      <c r="BY22" s="31">
        <f>IF($C22=0,0,IF(_xlfn.XLOOKUP($B22,'PW_MLG GRADE 10'!$B$7:$B$31,'PW_MLG GRADE 10'!#REF!,"",0,1)="P",1*$C22,0))</f>
        <v>0</v>
      </c>
      <c r="BZ22" s="31">
        <f>IF($C22=0,0,IF(_xlfn.XLOOKUP($B22,'PW_MLG GRADE 10'!$B$7:$B$31,'PW_MLG GRADE 10'!#REF!,"",0,1)="P",1*$C22,0))</f>
        <v>0</v>
      </c>
      <c r="CA22" s="31">
        <f>IF($C22=0,0,IF(_xlfn.XLOOKUP($B22,'PW_MLG GRADE 10'!$B$7:$B$31,'PW_MLG GRADE 10'!#REF!,"",0,1)="P",1*$C22,0))</f>
        <v>0</v>
      </c>
      <c r="CB22" s="31">
        <f>IF($C22=0,0,IF(_xlfn.XLOOKUP($B22,'PW_MLG GRADE 10'!$B$7:$B$31,'PW_MLG GRADE 10'!#REF!,"",0,1)="P",1*$C22,0))</f>
        <v>0</v>
      </c>
      <c r="CC22" s="31">
        <f>IF($C22=0,0,IF(_xlfn.XLOOKUP($B22,'PW_MLG GRADE 10'!$B$7:$B$31,'PW_MLG GRADE 10'!#REF!,"",0,1)="P",1*$C22,0))</f>
        <v>0</v>
      </c>
      <c r="CD22" s="31">
        <f>IF($C22=0,0,IF(_xlfn.XLOOKUP($B22,'PW_MLG GRADE 10'!$B$7:$B$31,'PW_MLG GRADE 10'!#REF!,"",0,1)="P",1*$C22,0))</f>
        <v>0</v>
      </c>
      <c r="CE22" s="32">
        <f>IF($C22=0,0,IF(_xlfn.XLOOKUP($B22,'PW_CMI GRADE 10'!$B$7:$B$31,'PW_CMI GRADE 10'!C$7:C$31,"",0,1)="P",1*$C22,0))</f>
        <v>0</v>
      </c>
      <c r="CF22" s="32">
        <f>IF($C22=0,0,IF(_xlfn.XLOOKUP($B22,'PW_CMI GRADE 10'!$B$7:$B$31,'PW_CMI GRADE 10'!D$7:D$31,"",0,1)="P",1*$C22,0))</f>
        <v>0</v>
      </c>
      <c r="CG22" s="32">
        <f>IF($C22=0,0,IF(_xlfn.XLOOKUP($B22,'PW_CMI GRADE 10'!$B$7:$B$31,'PW_CMI GRADE 10'!E$7:E$31,"",0,1)="P",1*$C22,0))</f>
        <v>0</v>
      </c>
      <c r="CH22" s="32">
        <f>IF($C22=0,0,IF(_xlfn.XLOOKUP($B22,'PW_CMI GRADE 10'!$B$7:$B$31,'PW_CMI GRADE 10'!F$7:F$31,"",0,1)="P",1*$C22,0))</f>
        <v>0</v>
      </c>
      <c r="CI22" s="32">
        <f>IF($C22=0,0,IF(_xlfn.XLOOKUP($B22,'PW_CMI GRADE 10'!$B$7:$B$31,'PW_CMI GRADE 10'!G$7:G$31,"",0,1)="P",1*$C22,0))</f>
        <v>0</v>
      </c>
      <c r="CJ22" s="32">
        <f>IF($C22=0,0,IF(_xlfn.XLOOKUP($B22,'PW_CMI GRADE 10'!$B$7:$B$31,'PW_CMI GRADE 10'!H$7:H$31,"",0,1)="P",1*$C22,0))</f>
        <v>0</v>
      </c>
      <c r="CK22" s="32">
        <f>IF($C22=0,0,IF(_xlfn.XLOOKUP($B22,'PW_CMI GRADE 10'!$B$7:$B$31,'PW_CMI GRADE 10'!I$7:I$31,"",0,1)="P",1*$C22,0))</f>
        <v>0</v>
      </c>
      <c r="CL22" s="32">
        <f>IF($C22=0,0,IF(_xlfn.XLOOKUP($B22,'PW_CMI GRADE 10'!$B$7:$B$31,'PW_CMI GRADE 10'!J$7:J$31,"",0,1)="P",1*$C22,0))</f>
        <v>0</v>
      </c>
      <c r="CM22" s="32">
        <f>IF($C22=0,0,IF(_xlfn.XLOOKUP($B22,'PW_CMI GRADE 10'!$B$7:$B$31,'PW_CMI GRADE 10'!K$7:K$31,"",0,1)="P",1*$C22,0))</f>
        <v>0</v>
      </c>
      <c r="CN22" s="32">
        <f>IF($C22=0,0,IF(_xlfn.XLOOKUP($B22,'PW_CMI GRADE 10'!$B$7:$B$31,'PW_CMI GRADE 10'!L$7:L$31,"",0,1)="P",1*$C22,0))</f>
        <v>0</v>
      </c>
      <c r="CO22" s="32">
        <f>IF($C22=0,0,IF(_xlfn.XLOOKUP($B22,'PW_CMI GRADE 10'!$B$7:$B$31,'PW_CMI GRADE 10'!M$7:M$31,"",0,1)="P",1*$C22,0))</f>
        <v>0</v>
      </c>
      <c r="CP22" s="32">
        <f>IF($C22=0,0,IF(_xlfn.XLOOKUP($B22,'PW_CMI GRADE 10'!$B$7:$B$31,'PW_CMI GRADE 10'!N$7:N$31,"",0,1)="P",1*$C22,0))</f>
        <v>0</v>
      </c>
      <c r="CQ22" s="32">
        <f>IF($C22=0,0,IF(_xlfn.XLOOKUP($B22,'PW_CMI GRADE 10'!$B$7:$B$31,'PW_CMI GRADE 10'!O$7:O$31,"",0,1)="P",1*$C22,0))</f>
        <v>0</v>
      </c>
      <c r="CR22" s="32">
        <f>IF($C22=0,0,IF(_xlfn.XLOOKUP($B22,'PW_CMI GRADE 10'!$B$7:$B$31,'PW_CMI GRADE 10'!P$7:P$31,"",0,1)="P",1*$C22,0))</f>
        <v>0</v>
      </c>
      <c r="CS22" s="32">
        <f>IF($C22=0,0,IF(_xlfn.XLOOKUP($B22,'PW_CMI GRADE 10'!$B$7:$B$31,'PW_CMI GRADE 10'!Q$7:Q$31,"",0,1)="P",1*$C22,0))</f>
        <v>0</v>
      </c>
      <c r="CT22" s="32">
        <f>IF($C22=0,0,IF(_xlfn.XLOOKUP($B22,'PW_CMI GRADE 10'!$B$7:$B$31,'PW_CMI GRADE 10'!R$7:R$31,"",0,1)="P",1*$C22,0))</f>
        <v>0</v>
      </c>
      <c r="CU22" s="32">
        <f>IF($C22=0,0,IF(_xlfn.XLOOKUP($B22,'PW_CMI GRADE 10'!$B$7:$B$31,'PW_CMI GRADE 10'!S$7:S$31,"",0,1)="P",1*$C22,0))</f>
        <v>0</v>
      </c>
      <c r="CV22" s="32">
        <f>IF($C22=0,0,IF(_xlfn.XLOOKUP($B22,'PW_CMI GRADE 10'!$B$7:$B$31,'PW_CMI GRADE 10'!T$7:T$31,"",0,1)="P",1*$C22,0))</f>
        <v>0</v>
      </c>
      <c r="CW22" s="62">
        <f t="shared" si="19"/>
        <v>0</v>
      </c>
      <c r="CX22" s="62">
        <f t="shared" si="20"/>
        <v>0</v>
      </c>
      <c r="CY22" s="62">
        <f t="shared" si="21"/>
        <v>0</v>
      </c>
      <c r="CZ22" s="62">
        <f t="shared" si="22"/>
        <v>0</v>
      </c>
      <c r="DA22" s="62">
        <f t="shared" si="23"/>
        <v>0</v>
      </c>
      <c r="DB22" s="62">
        <f t="shared" si="24"/>
        <v>0</v>
      </c>
      <c r="DC22" s="62">
        <f t="shared" si="25"/>
        <v>0</v>
      </c>
      <c r="DD22" s="62">
        <f t="shared" si="26"/>
        <v>0.33333333333333331</v>
      </c>
      <c r="DE22" s="62">
        <f t="shared" si="27"/>
        <v>0.33333333333333331</v>
      </c>
      <c r="DF22" s="62">
        <f t="shared" si="28"/>
        <v>0.66666666666666663</v>
      </c>
      <c r="DG22" s="62">
        <f t="shared" si="29"/>
        <v>0.66666666666666663</v>
      </c>
      <c r="DH22" s="62">
        <f t="shared" si="30"/>
        <v>1</v>
      </c>
      <c r="DI22" s="62">
        <f t="shared" si="31"/>
        <v>1</v>
      </c>
      <c r="DJ22" s="62">
        <f t="shared" si="32"/>
        <v>0.66666666666666663</v>
      </c>
      <c r="DK22" s="62">
        <f t="shared" si="33"/>
        <v>0.33333333333333331</v>
      </c>
      <c r="DL22" s="62">
        <f t="shared" si="34"/>
        <v>0</v>
      </c>
      <c r="DM22" s="62">
        <f t="shared" si="35"/>
        <v>0</v>
      </c>
      <c r="DN22" s="62">
        <f t="shared" si="36"/>
        <v>0</v>
      </c>
      <c r="DO22" s="62">
        <f t="shared" si="37"/>
        <v>0</v>
      </c>
      <c r="DP22" s="62">
        <f t="shared" si="38"/>
        <v>0</v>
      </c>
      <c r="DQ22" s="62">
        <f t="shared" si="39"/>
        <v>0</v>
      </c>
      <c r="DR22" s="62">
        <f t="shared" si="40"/>
        <v>0</v>
      </c>
      <c r="DS22" s="62" t="e">
        <f t="shared" si="41"/>
        <v>#REF!</v>
      </c>
      <c r="DT22" s="62" t="e">
        <f t="shared" si="42"/>
        <v>#REF!</v>
      </c>
      <c r="DU22" s="62" t="e">
        <f t="shared" si="43"/>
        <v>#REF!</v>
      </c>
      <c r="DV22" s="62" t="e">
        <f t="shared" si="44"/>
        <v>#REF!</v>
      </c>
      <c r="DW22" s="62" t="e">
        <f t="shared" si="45"/>
        <v>#REF!</v>
      </c>
      <c r="DX22" s="62" t="e">
        <f t="shared" si="46"/>
        <v>#REF!</v>
      </c>
      <c r="DY22" s="62" t="e">
        <f t="shared" si="47"/>
        <v>#REF!</v>
      </c>
      <c r="DZ22" s="62" t="e">
        <f t="shared" si="48"/>
        <v>#REF!</v>
      </c>
      <c r="EA22" s="63">
        <f t="shared" si="68"/>
        <v>0</v>
      </c>
      <c r="EB22" s="63">
        <f t="shared" si="2"/>
        <v>0</v>
      </c>
      <c r="EC22" s="63">
        <f t="shared" si="3"/>
        <v>0</v>
      </c>
      <c r="ED22" s="63">
        <f t="shared" si="4"/>
        <v>0</v>
      </c>
      <c r="EE22" s="63">
        <f t="shared" si="5"/>
        <v>0</v>
      </c>
      <c r="EF22" s="63">
        <f t="shared" si="6"/>
        <v>0</v>
      </c>
      <c r="EG22" s="63">
        <f t="shared" si="7"/>
        <v>0</v>
      </c>
      <c r="EH22" s="63">
        <f t="shared" si="8"/>
        <v>0</v>
      </c>
      <c r="EI22" s="63">
        <f t="shared" si="9"/>
        <v>0</v>
      </c>
      <c r="EJ22" s="63">
        <f t="shared" si="10"/>
        <v>0</v>
      </c>
      <c r="EK22" s="63">
        <f t="shared" si="11"/>
        <v>0.33333333333333331</v>
      </c>
      <c r="EL22" s="63">
        <f t="shared" si="12"/>
        <v>0.66666666666666663</v>
      </c>
      <c r="EM22" s="63">
        <f t="shared" si="13"/>
        <v>1</v>
      </c>
      <c r="EN22" s="63">
        <f t="shared" si="14"/>
        <v>1</v>
      </c>
      <c r="EO22" s="63">
        <f t="shared" si="15"/>
        <v>1</v>
      </c>
      <c r="EP22" s="63">
        <f t="shared" si="16"/>
        <v>1</v>
      </c>
      <c r="FU22" s="51">
        <v>46388</v>
      </c>
      <c r="FV22" t="s">
        <v>22</v>
      </c>
      <c r="FW22" t="s">
        <v>22</v>
      </c>
      <c r="FX22" t="s">
        <v>22</v>
      </c>
      <c r="FY22" t="s">
        <v>22</v>
      </c>
      <c r="FZ22" t="s">
        <v>22</v>
      </c>
      <c r="GA22" t="s">
        <v>22</v>
      </c>
      <c r="GB22" t="s">
        <v>22</v>
      </c>
      <c r="GC22" t="s">
        <v>22</v>
      </c>
      <c r="GD22" t="s">
        <v>22</v>
      </c>
      <c r="GE22" t="s">
        <v>22</v>
      </c>
      <c r="GF22" t="s">
        <v>22</v>
      </c>
      <c r="GG22" t="s">
        <v>22</v>
      </c>
      <c r="GH22" t="s">
        <v>22</v>
      </c>
      <c r="GI22" t="s">
        <v>22</v>
      </c>
      <c r="GJ22" t="s">
        <v>22</v>
      </c>
      <c r="GK22" t="s">
        <v>22</v>
      </c>
      <c r="GL22" t="s">
        <v>22</v>
      </c>
      <c r="GM22" t="s">
        <v>22</v>
      </c>
      <c r="GN22" t="s">
        <v>22</v>
      </c>
      <c r="GO22" t="s">
        <v>22</v>
      </c>
      <c r="GP22" t="s">
        <v>22</v>
      </c>
      <c r="GQ22" t="s">
        <v>22</v>
      </c>
      <c r="GR22" t="s">
        <v>22</v>
      </c>
      <c r="GS22" t="s">
        <v>22</v>
      </c>
      <c r="GT22" t="s">
        <v>22</v>
      </c>
      <c r="GU22" t="s">
        <v>22</v>
      </c>
      <c r="GV22" t="s">
        <v>22</v>
      </c>
      <c r="GW22" t="s">
        <v>22</v>
      </c>
      <c r="GX22" t="s">
        <v>22</v>
      </c>
      <c r="GY22" t="s">
        <v>22</v>
      </c>
      <c r="GZ22" t="s">
        <v>22</v>
      </c>
      <c r="HA22" t="s">
        <v>22</v>
      </c>
      <c r="HB22" t="s">
        <v>22</v>
      </c>
      <c r="HC22" t="s">
        <v>22</v>
      </c>
      <c r="HD22" t="s">
        <v>22</v>
      </c>
      <c r="HE22" t="s">
        <v>22</v>
      </c>
      <c r="HF22" t="s">
        <v>22</v>
      </c>
      <c r="HG22" t="s">
        <v>22</v>
      </c>
      <c r="HH22" t="s">
        <v>22</v>
      </c>
      <c r="HI22" t="s">
        <v>22</v>
      </c>
      <c r="HJ22" t="s">
        <v>22</v>
      </c>
      <c r="HK22" t="s">
        <v>22</v>
      </c>
      <c r="HL22" t="s">
        <v>22</v>
      </c>
      <c r="HM22" t="s">
        <v>22</v>
      </c>
      <c r="HN22" t="s">
        <v>22</v>
      </c>
      <c r="HO22" cm="1">
        <f t="array" ref="HO22">SUMPRODUCT(--(FV22:HN22&lt;&gt;""))</f>
        <v>0</v>
      </c>
    </row>
    <row r="23" spans="1:223">
      <c r="A23" t="str">
        <f t="shared" si="18"/>
        <v>4A.1</v>
      </c>
      <c r="B23" t="s">
        <v>54</v>
      </c>
      <c r="C23" s="28">
        <v>2</v>
      </c>
      <c r="D23" s="29">
        <v>1</v>
      </c>
      <c r="E23" s="31">
        <f>IF($D23=0,0,IF(_xlfn.XLOOKUP($B23,'TH_MLG GRADE 10'!$B$7:$B$49,'TH_MLG GRADE 10'!C$7:C$49,"",0,1)="P",1*$D23,0))</f>
        <v>0</v>
      </c>
      <c r="F23" s="31">
        <f>IF($D23=0,0,IF(_xlfn.XLOOKUP($B23,'TH_MLG GRADE 10'!$B$7:$B$49,'TH_MLG GRADE 10'!D$7:D$49,"",0,1)="P",1*$D23,0))</f>
        <v>0</v>
      </c>
      <c r="G23" s="31">
        <f>IF($D23=0,0,IF(_xlfn.XLOOKUP($B23,'TH_MLG GRADE 10'!$B$7:$B$49,'TH_MLG GRADE 10'!E$7:E$49,"",0,1)="P",1*$D23,0))</f>
        <v>0</v>
      </c>
      <c r="H23" s="31">
        <f>IF($D23=0,0,IF(_xlfn.XLOOKUP($B23,'TH_MLG GRADE 10'!$B$7:$B$49,'TH_MLG GRADE 10'!I$7:I$49,"",0,1)="P",1*$D23,0))</f>
        <v>0</v>
      </c>
      <c r="I23" s="31">
        <f>IF($D23=0,0,IF(_xlfn.XLOOKUP($B23,'TH_MLG GRADE 10'!$B$7:$B$49,'TH_MLG GRADE 10'!J$7:J$49,"",0,1)="P",1*$D23,0))</f>
        <v>0</v>
      </c>
      <c r="J23" s="31">
        <f>IF($D23=0,0,IF(_xlfn.XLOOKUP($B23,'TH_MLG GRADE 10'!$B$7:$B$49,'TH_MLG GRADE 10'!K$7:K$49,"",0,1)="P",1*$D23,0))</f>
        <v>0</v>
      </c>
      <c r="K23" s="31">
        <f>IF($D23=0,0,IF(_xlfn.XLOOKUP($B23,'TH_MLG GRADE 10'!$B$7:$B$49,'TH_MLG GRADE 10'!O$7:O$49,"",0,1)="P",1*$D23,0))</f>
        <v>0</v>
      </c>
      <c r="L23" s="31">
        <f>IF($D23=0,0,IF(_xlfn.XLOOKUP($B23,'TH_MLG GRADE 10'!$B$7:$B$49,'TH_MLG GRADE 10'!P$7:P$49,"",0,1)="P",1*$D23,0))</f>
        <v>0</v>
      </c>
      <c r="M23" s="31">
        <f>IF($D23=0,0,IF(_xlfn.XLOOKUP($B23,'TH_MLG GRADE 10'!$B$7:$B$49,'TH_MLG GRADE 10'!Q$7:Q$49,"",0,1)="P",1*$D23,0))</f>
        <v>0</v>
      </c>
      <c r="N23" s="31">
        <f>IF($D23=0,0,IF(_xlfn.XLOOKUP($B23,'TH_MLG GRADE 10'!$B$7:$B$49,'TH_MLG GRADE 10'!AA$7:AA$49,"",0,1)="P",1*$D23,0))</f>
        <v>0</v>
      </c>
      <c r="O23" s="31">
        <f>IF($D23=0,0,IF(_xlfn.XLOOKUP($B23,'TH_MLG GRADE 10'!$B$7:$B$49,'TH_MLG GRADE 10'!AB$7:AB$49,"",0,1)="P",1*$D23,0))</f>
        <v>0</v>
      </c>
      <c r="P23" s="31">
        <f>IF($D23=0,0,IF(_xlfn.XLOOKUP($B23,'TH_MLG GRADE 10'!$B$7:$B$49,'TH_MLG GRADE 10'!AC$7:AC$49,"",0,1)="P",1*$D23,0))</f>
        <v>0</v>
      </c>
      <c r="Q23" s="31">
        <f>IF($D23=0,0,IF(_xlfn.XLOOKUP($B23,'TH_MLG GRADE 10'!$B$7:$B$49,'TH_MLG GRADE 10'!AG$7:AG$49,"",0,1)="P",1*$D23,0))</f>
        <v>1</v>
      </c>
      <c r="R23" s="31">
        <f>IF($D23=0,0,IF(_xlfn.XLOOKUP($B23,'TH_MLG GRADE 10'!$B$7:$B$49,'TH_MLG GRADE 10'!AH$7:AH$49,"",0,1)="P",1*$D23,0))</f>
        <v>1</v>
      </c>
      <c r="S23" s="31">
        <f>IF($D23=0,0,IF(_xlfn.XLOOKUP($B23,'TH_MLG GRADE 10'!$B$7:$B$49,'TH_MLG GRADE 10'!AI$7:AI$49,"",0,1)="P",1*$D23,0))</f>
        <v>1</v>
      </c>
      <c r="T23" s="31">
        <f>IF($D23=0,0,IF(_xlfn.XLOOKUP($B23,'TH_MLG GRADE 10'!$B$7:$B$49,'TH_MLG GRADE 10'!AM$7:AM$49,"",0,1)="P",1*$D23,0))</f>
        <v>0</v>
      </c>
      <c r="U23" s="31">
        <f>IF($D23=0,0,IF(_xlfn.XLOOKUP($B23,'TH_MLG GRADE 10'!$B$7:$B$49,'TH_MLG GRADE 10'!AN$7:AN$49,"",0,1)="P",1*$D23,0))</f>
        <v>0</v>
      </c>
      <c r="V23" s="31">
        <f>IF($D23=0,0,IF(_xlfn.XLOOKUP($B23,'TH_MLG GRADE 10'!$B$7:$B$49,'TH_MLG GRADE 10'!AO$7:AO$49,"",0,1)="P",1*$D23,0))</f>
        <v>0</v>
      </c>
      <c r="W23" s="31">
        <f>IF($D23=0,0,IF(_xlfn.XLOOKUP($B23,'TH_MLG GRADE 10'!$B$7:$B$49,'TH_MLG GRADE 10'!AY$7:AY$49,"",0,1)="P",1*$D23,0))</f>
        <v>0</v>
      </c>
      <c r="X23" s="31">
        <f>IF($D23=0,0,IF(_xlfn.XLOOKUP($B23,'TH_MLG GRADE 10'!$B$7:$B$49,'TH_MLG GRADE 10'!AZ$7:AZ$49,"",0,1)="P",1*$D23,0))</f>
        <v>0</v>
      </c>
      <c r="Y23" s="31">
        <f>IF($D23=0,0,IF(_xlfn.XLOOKUP($B23,'TH_MLG GRADE 10'!$B$7:$B$49,'TH_MLG GRADE 10'!BA$7:BA$49,"",0,1)="P",1*$D23,0))</f>
        <v>0</v>
      </c>
      <c r="Z23" s="31">
        <f>IF($D23=0,0,IF(_xlfn.XLOOKUP($B23,'TH_MLG GRADE 10'!$B$7:$B$49,'TH_MLG GRADE 10'!BE$7:BE$49,"",0,1)="P",1*$D23,0))</f>
        <v>0</v>
      </c>
      <c r="AA23" s="31">
        <f>IF($D23=0,0,IF(_xlfn.XLOOKUP($B23,'TH_MLG GRADE 10'!$B$7:$B$49,'TH_MLG GRADE 10'!BF$7:BF$49,"",0,1)="P",1*$D23,0))</f>
        <v>0</v>
      </c>
      <c r="AB23" s="31">
        <f>IF($D23=0,0,IF(_xlfn.XLOOKUP($B23,'TH_MLG GRADE 10'!$B$7:$B$49,'TH_MLG GRADE 10'!BG$7:BG$49,"",0,1)="P",1*$D23,0))</f>
        <v>0</v>
      </c>
      <c r="AC23" s="31" t="e">
        <f>IF($D23=0,0,IF(_xlfn.XLOOKUP($B23,'TH_MLG GRADE 10'!$B$7:$B$49,'TH_MLG GRADE 10'!#REF!,"",0,1)="P",1*$D23,0))</f>
        <v>#REF!</v>
      </c>
      <c r="AD23" s="31" t="e">
        <f>IF($D23=0,0,IF(_xlfn.XLOOKUP($B23,'TH_MLG GRADE 10'!$B$7:$B$49,'TH_MLG GRADE 10'!#REF!,"",0,1)="P",1*$D23,0))</f>
        <v>#REF!</v>
      </c>
      <c r="AE23" s="31" t="e">
        <f>IF($D23=0,0,IF(_xlfn.XLOOKUP($B23,'TH_MLG GRADE 10'!$B$7:$B$49,'TH_MLG GRADE 10'!#REF!,"",0,1)="P",1*$D23,0))</f>
        <v>#REF!</v>
      </c>
      <c r="AF23" s="31" t="e">
        <f>IF($D23=0,0,IF(_xlfn.XLOOKUP($B23,'TH_MLG GRADE 10'!$B$7:$B$49,'TH_MLG GRADE 10'!#REF!,"",0,1)="P",1*$D23,0))</f>
        <v>#REF!</v>
      </c>
      <c r="AG23" s="31" t="e">
        <f>IF($D23=0,0,IF(_xlfn.XLOOKUP($B23,'TH_MLG GRADE 10'!$B$7:$B$49,'TH_MLG GRADE 10'!#REF!,"",0,1)="P",1*$D23,0))</f>
        <v>#REF!</v>
      </c>
      <c r="AH23" s="31" t="e">
        <f>IF($D23=0,0,IF(_xlfn.XLOOKUP($B23,'TH_MLG GRADE 10'!$B$7:$B$49,'TH_MLG GRADE 10'!#REF!,"",0,1)="P",1*$D23,0))</f>
        <v>#REF!</v>
      </c>
      <c r="AI23" s="32">
        <f>IF($D23=0,0,IF(_xlfn.XLOOKUP($B23,'TH_CMI GRADE 10'!$B$7:$B$49,'TH_CMI GRADE 10'!C$7:C$49,"",0,1)="P",1*$D23,0))</f>
        <v>0</v>
      </c>
      <c r="AJ23" s="32">
        <f>IF($D23=0,0,IF(_xlfn.XLOOKUP($B23,'TH_CMI GRADE 10'!$B$7:$B$49,'TH_CMI GRADE 10'!D$7:D$49,"",0,1)="P",1*$D23,0))</f>
        <v>0</v>
      </c>
      <c r="AK23" s="32">
        <f>IF($D23=0,0,IF(_xlfn.XLOOKUP($B23,'TH_CMI GRADE 10'!$B$7:$B$49,'TH_CMI GRADE 10'!H$7:H$49,"",0,1)="P",1*$D23,0))</f>
        <v>0</v>
      </c>
      <c r="AL23" s="32">
        <f>IF($D23=0,0,IF(_xlfn.XLOOKUP($B23,'TH_CMI GRADE 10'!$B$7:$B$49,'TH_CMI GRADE 10'!I$7:I$49,"",0,1)="P",1*$D23,0))</f>
        <v>0</v>
      </c>
      <c r="AM23" s="32">
        <f>IF($D23=0,0,IF(_xlfn.XLOOKUP($B23,'TH_CMI GRADE 10'!$B$7:$B$49,'TH_CMI GRADE 10'!J$7:J$49,"",0,1)="P",1*$D23,0))</f>
        <v>0</v>
      </c>
      <c r="AN23" s="32">
        <f>IF($D23=0,0,IF(_xlfn.XLOOKUP($B23,'TH_CMI GRADE 10'!$B$7:$B$49,'TH_CMI GRADE 10'!K$7:K$49,"",0,1)="P",1*$D23,0))</f>
        <v>0</v>
      </c>
      <c r="AO23" s="32">
        <f>IF($D23=0,0,IF(_xlfn.XLOOKUP($B23,'TH_CMI GRADE 10'!$B$7:$B$49,'TH_CMI GRADE 10'!O$7:O$49,"",0,1)="P",1*$D23,0))</f>
        <v>0</v>
      </c>
      <c r="AP23" s="32">
        <f>IF($D23=0,0,IF(_xlfn.XLOOKUP($B23,'TH_CMI GRADE 10'!$B$7:$B$49,'TH_CMI GRADE 10'!P$7:P$49,"",0,1)="P",1*$D23,0))</f>
        <v>0</v>
      </c>
      <c r="AQ23" s="32">
        <f>IF($D23=0,0,IF(_xlfn.XLOOKUP($B23,'TH_CMI GRADE 10'!$B$7:$B$49,'TH_CMI GRADE 10'!Q$7:Q$49,"",0,1)="P",1*$D23,0))</f>
        <v>0</v>
      </c>
      <c r="AR23" s="32">
        <f>IF($D23=0,0,IF(_xlfn.XLOOKUP($B23,'TH_CMI GRADE 10'!$B$7:$B$49,'TH_CMI GRADE 10'!U$7:U$49,"",0,1)="P",1*$D23,0))</f>
        <v>0</v>
      </c>
      <c r="AS23" s="32">
        <f>IF($D23=0,0,IF(_xlfn.XLOOKUP($B23,'TH_CMI GRADE 10'!$B$7:$B$49,'TH_CMI GRADE 10'!V$7:V$49,"",0,1)="P",1*$D23,0))</f>
        <v>0</v>
      </c>
      <c r="AT23" s="32">
        <f>IF($D23=0,0,IF(_xlfn.XLOOKUP($B23,'TH_CMI GRADE 10'!$B$7:$B$49,'TH_CMI GRADE 10'!W$7:W$49,"",0,1)="P",1*$D23,0))</f>
        <v>0</v>
      </c>
      <c r="AU23" s="32">
        <f>IF($D23=0,0,IF(_xlfn.XLOOKUP($B23,'TH_CMI GRADE 10'!$B$7:$B$49,'TH_CMI GRADE 10'!AA$7:AA$49,"",0,1)="P",1*$D23,0))</f>
        <v>1</v>
      </c>
      <c r="AV23" s="32">
        <f>IF($D23=0,0,IF(_xlfn.XLOOKUP($B23,'TH_CMI GRADE 10'!$B$7:$B$49,'TH_CMI GRADE 10'!AB$7:AB$49,"",0,1)="P",1*$D23,0))</f>
        <v>1</v>
      </c>
      <c r="AW23" s="32">
        <f>IF($D23=0,0,IF(_xlfn.XLOOKUP($B23,'TH_CMI GRADE 10'!$B$7:$B$49,'TH_CMI GRADE 10'!AC$7:AC$49,"",0,1)="P",1*$D23,0))</f>
        <v>1</v>
      </c>
      <c r="AX23" s="32">
        <f>IF($D23=0,0,IF(_xlfn.XLOOKUP($B23,'TH_CMI GRADE 10'!$B$7:$B$49,'TH_CMI GRADE 10'!AG$7:AG$49,"",0,1)="P",1*$D23,0))</f>
        <v>1</v>
      </c>
      <c r="AY23" s="32">
        <f>IF($D23=0,0,IF(_xlfn.XLOOKUP($B23,'TH_CMI GRADE 10'!$B$7:$B$49,'TH_CMI GRADE 10'!AH$7:AH$49,"",0,1)="P",1*$D23,0))</f>
        <v>1</v>
      </c>
      <c r="AZ23" s="32">
        <f>IF($D23=0,0,IF(_xlfn.XLOOKUP($B23,'TH_CMI GRADE 10'!$B$7:$B$49,'TH_CMI GRADE 10'!AI$7:AI$49,"",0,1)="P",1*$D23,0))</f>
        <v>1</v>
      </c>
      <c r="BA23" s="31" t="e">
        <f>IF($C23=0,0,IF(_xlfn.XLOOKUP($B23,'PW_MLG GRADE 10'!$B$7:$B$31,'PW_MLG GRADE 10'!#REF!,"",0,1)="P",1*$C23,0))</f>
        <v>#REF!</v>
      </c>
      <c r="BB23" s="31" t="e">
        <f>IF($C23=0,0,IF(_xlfn.XLOOKUP($B23,'PW_MLG GRADE 10'!$B$7:$B$31,'PW_MLG GRADE 10'!#REF!,"",0,1)="P",1*$C23,0))</f>
        <v>#REF!</v>
      </c>
      <c r="BC23" s="31" t="e">
        <f>IF($C23=0,0,IF(_xlfn.XLOOKUP($B23,'PW_MLG GRADE 10'!$B$7:$B$31,'PW_MLG GRADE 10'!#REF!,"",0,1)="P",1*$C23,0))</f>
        <v>#REF!</v>
      </c>
      <c r="BD23" s="31" t="e">
        <f>IF($C23=0,0,IF(_xlfn.XLOOKUP($B23,'PW_MLG GRADE 10'!$B$7:$B$31,'PW_MLG GRADE 10'!#REF!,"",0,1)="P",1*$C23,0))</f>
        <v>#REF!</v>
      </c>
      <c r="BE23" s="31" t="e">
        <f>IF($C23=0,0,IF(_xlfn.XLOOKUP($B23,'PW_MLG GRADE 10'!$B$7:$B$31,'PW_MLG GRADE 10'!#REF!,"",0,1)="P",1*$C23,0))</f>
        <v>#REF!</v>
      </c>
      <c r="BF23" s="31" t="e">
        <f>IF($C23=0,0,IF(_xlfn.XLOOKUP($B23,'PW_MLG GRADE 10'!$B$7:$B$31,'PW_MLG GRADE 10'!#REF!,"",0,1)="P",1*$C23,0))</f>
        <v>#REF!</v>
      </c>
      <c r="BG23" s="31" t="e">
        <f>IF($C23=0,0,IF(_xlfn.XLOOKUP($B23,'PW_MLG GRADE 10'!$B$7:$B$31,'PW_MLG GRADE 10'!#REF!,"",0,1)="P",1*$C23,0))</f>
        <v>#REF!</v>
      </c>
      <c r="BH23" s="31" t="e">
        <f>IF($C23=0,0,IF(_xlfn.XLOOKUP($B23,'PW_MLG GRADE 10'!$B$7:$B$31,'PW_MLG GRADE 10'!#REF!,"",0,1)="P",1*$C23,0))</f>
        <v>#REF!</v>
      </c>
      <c r="BI23" s="31" t="e">
        <f>IF($C23=0,0,IF(_xlfn.XLOOKUP($B23,'PW_MLG GRADE 10'!$B$7:$B$31,'PW_MLG GRADE 10'!#REF!,"",0,1)="P",1*$C23,0))</f>
        <v>#REF!</v>
      </c>
      <c r="BJ23" s="31" t="e">
        <f>IF($C23=0,0,IF(_xlfn.XLOOKUP($B23,'PW_MLG GRADE 10'!$B$7:$B$31,'PW_MLG GRADE 10'!#REF!,"",0,1)="P",1*$C23,0))</f>
        <v>#REF!</v>
      </c>
      <c r="BK23" s="31" t="e">
        <f>IF($C23=0,0,IF(_xlfn.XLOOKUP($B23,'PW_MLG GRADE 10'!$B$7:$B$31,'PW_MLG GRADE 10'!#REF!,"",0,1)="P",1*$C23,0))</f>
        <v>#REF!</v>
      </c>
      <c r="BL23" s="31" t="e">
        <f>IF($C23=0,0,IF(_xlfn.XLOOKUP($B23,'PW_MLG GRADE 10'!$B$7:$B$31,'PW_MLG GRADE 10'!#REF!,"",0,1)="P",1*$C23,0))</f>
        <v>#REF!</v>
      </c>
      <c r="BM23" s="31" t="e">
        <f>IF($C23=0,0,IF(_xlfn.XLOOKUP($B23,'PW_MLG GRADE 10'!$B$7:$B$31,'PW_MLG GRADE 10'!#REF!,"",0,1)="P",1*$C23,0))</f>
        <v>#REF!</v>
      </c>
      <c r="BN23" s="31" t="e">
        <f>IF($C23=0,0,IF(_xlfn.XLOOKUP($B23,'PW_MLG GRADE 10'!$B$7:$B$31,'PW_MLG GRADE 10'!#REF!,"",0,1)="P",1*$C23,0))</f>
        <v>#REF!</v>
      </c>
      <c r="BO23" s="31" t="e">
        <f>IF($C23=0,0,IF(_xlfn.XLOOKUP($B23,'PW_MLG GRADE 10'!$B$7:$B$31,'PW_MLG GRADE 10'!#REF!,"",0,1)="P",1*$C23,0))</f>
        <v>#REF!</v>
      </c>
      <c r="BP23" s="31" t="e">
        <f>IF($C23=0,0,IF(_xlfn.XLOOKUP($B23,'PW_MLG GRADE 10'!$B$7:$B$31,'PW_MLG GRADE 10'!#REF!,"",0,1)="P",1*$C23,0))</f>
        <v>#REF!</v>
      </c>
      <c r="BQ23" s="31" t="e">
        <f>IF($C23=0,0,IF(_xlfn.XLOOKUP($B23,'PW_MLG GRADE 10'!$B$7:$B$31,'PW_MLG GRADE 10'!#REF!,"",0,1)="P",1*$C23,0))</f>
        <v>#REF!</v>
      </c>
      <c r="BR23" s="31" t="e">
        <f>IF($C23=0,0,IF(_xlfn.XLOOKUP($B23,'PW_MLG GRADE 10'!$B$7:$B$31,'PW_MLG GRADE 10'!#REF!,"",0,1)="P",1*$C23,0))</f>
        <v>#REF!</v>
      </c>
      <c r="BS23" s="31" t="e">
        <f>IF($C23=0,0,IF(_xlfn.XLOOKUP($B23,'PW_MLG GRADE 10'!$B$7:$B$31,'PW_MLG GRADE 10'!#REF!,"",0,1)="P",1*$C23,0))</f>
        <v>#REF!</v>
      </c>
      <c r="BT23" s="31" t="e">
        <f>IF($C23=0,0,IF(_xlfn.XLOOKUP($B23,'PW_MLG GRADE 10'!$B$7:$B$31,'PW_MLG GRADE 10'!#REF!,"",0,1)="P",1*$C23,0))</f>
        <v>#REF!</v>
      </c>
      <c r="BU23" s="31" t="e">
        <f>IF($C23=0,0,IF(_xlfn.XLOOKUP($B23,'PW_MLG GRADE 10'!$B$7:$B$31,'PW_MLG GRADE 10'!#REF!,"",0,1)="P",1*$C23,0))</f>
        <v>#REF!</v>
      </c>
      <c r="BV23" s="31" t="e">
        <f>IF($C23=0,0,IF(_xlfn.XLOOKUP($B23,'PW_MLG GRADE 10'!$B$7:$B$31,'PW_MLG GRADE 10'!#REF!,"",0,1)="P",1*$C23,0))</f>
        <v>#REF!</v>
      </c>
      <c r="BW23" s="31" t="e">
        <f>IF($C23=0,0,IF(_xlfn.XLOOKUP($B23,'PW_MLG GRADE 10'!$B$7:$B$31,'PW_MLG GRADE 10'!#REF!,"",0,1)="P",1*$C23,0))</f>
        <v>#REF!</v>
      </c>
      <c r="BX23" s="31" t="e">
        <f>IF($C23=0,0,IF(_xlfn.XLOOKUP($B23,'PW_MLG GRADE 10'!$B$7:$B$31,'PW_MLG GRADE 10'!#REF!,"",0,1)="P",1*$C23,0))</f>
        <v>#REF!</v>
      </c>
      <c r="BY23" s="31" t="e">
        <f>IF($C23=0,0,IF(_xlfn.XLOOKUP($B23,'PW_MLG GRADE 10'!$B$7:$B$31,'PW_MLG GRADE 10'!#REF!,"",0,1)="P",1*$C23,0))</f>
        <v>#REF!</v>
      </c>
      <c r="BZ23" s="31" t="e">
        <f>IF($C23=0,0,IF(_xlfn.XLOOKUP($B23,'PW_MLG GRADE 10'!$B$7:$B$31,'PW_MLG GRADE 10'!#REF!,"",0,1)="P",1*$C23,0))</f>
        <v>#REF!</v>
      </c>
      <c r="CA23" s="31" t="e">
        <f>IF($C23=0,0,IF(_xlfn.XLOOKUP($B23,'PW_MLG GRADE 10'!$B$7:$B$31,'PW_MLG GRADE 10'!#REF!,"",0,1)="P",1*$C23,0))</f>
        <v>#REF!</v>
      </c>
      <c r="CB23" s="31" t="e">
        <f>IF($C23=0,0,IF(_xlfn.XLOOKUP($B23,'PW_MLG GRADE 10'!$B$7:$B$31,'PW_MLG GRADE 10'!#REF!,"",0,1)="P",1*$C23,0))</f>
        <v>#REF!</v>
      </c>
      <c r="CC23" s="31" t="e">
        <f>IF($C23=0,0,IF(_xlfn.XLOOKUP($B23,'PW_MLG GRADE 10'!$B$7:$B$31,'PW_MLG GRADE 10'!#REF!,"",0,1)="P",1*$C23,0))</f>
        <v>#REF!</v>
      </c>
      <c r="CD23" s="31" t="e">
        <f>IF($C23=0,0,IF(_xlfn.XLOOKUP($B23,'PW_MLG GRADE 10'!$B$7:$B$31,'PW_MLG GRADE 10'!#REF!,"",0,1)="P",1*$C23,0))</f>
        <v>#REF!</v>
      </c>
      <c r="CE23" s="32">
        <f>IF($C23=0,0,IF(_xlfn.XLOOKUP($B23,'PW_CMI GRADE 10'!$B$7:$B$31,'PW_CMI GRADE 10'!C$7:C$31,"",0,1)="P",1*$C23,0))</f>
        <v>0</v>
      </c>
      <c r="CF23" s="32">
        <f>IF($C23=0,0,IF(_xlfn.XLOOKUP($B23,'PW_CMI GRADE 10'!$B$7:$B$31,'PW_CMI GRADE 10'!D$7:D$31,"",0,1)="P",1*$C23,0))</f>
        <v>0</v>
      </c>
      <c r="CG23" s="32">
        <f>IF($C23=0,0,IF(_xlfn.XLOOKUP($B23,'PW_CMI GRADE 10'!$B$7:$B$31,'PW_CMI GRADE 10'!E$7:E$31,"",0,1)="P",1*$C23,0))</f>
        <v>0</v>
      </c>
      <c r="CH23" s="32">
        <f>IF($C23=0,0,IF(_xlfn.XLOOKUP($B23,'PW_CMI GRADE 10'!$B$7:$B$31,'PW_CMI GRADE 10'!F$7:F$31,"",0,1)="P",1*$C23,0))</f>
        <v>0</v>
      </c>
      <c r="CI23" s="32">
        <f>IF($C23=0,0,IF(_xlfn.XLOOKUP($B23,'PW_CMI GRADE 10'!$B$7:$B$31,'PW_CMI GRADE 10'!G$7:G$31,"",0,1)="P",1*$C23,0))</f>
        <v>0</v>
      </c>
      <c r="CJ23" s="32">
        <f>IF($C23=0,0,IF(_xlfn.XLOOKUP($B23,'PW_CMI GRADE 10'!$B$7:$B$31,'PW_CMI GRADE 10'!H$7:H$31,"",0,1)="P",1*$C23,0))</f>
        <v>0</v>
      </c>
      <c r="CK23" s="32">
        <f>IF($C23=0,0,IF(_xlfn.XLOOKUP($B23,'PW_CMI GRADE 10'!$B$7:$B$31,'PW_CMI GRADE 10'!I$7:I$31,"",0,1)="P",1*$C23,0))</f>
        <v>0</v>
      </c>
      <c r="CL23" s="32">
        <f>IF($C23=0,0,IF(_xlfn.XLOOKUP($B23,'PW_CMI GRADE 10'!$B$7:$B$31,'PW_CMI GRADE 10'!J$7:J$31,"",0,1)="P",1*$C23,0))</f>
        <v>0</v>
      </c>
      <c r="CM23" s="32">
        <f>IF($C23=0,0,IF(_xlfn.XLOOKUP($B23,'PW_CMI GRADE 10'!$B$7:$B$31,'PW_CMI GRADE 10'!K$7:K$31,"",0,1)="P",1*$C23,0))</f>
        <v>0</v>
      </c>
      <c r="CN23" s="32">
        <f>IF($C23=0,0,IF(_xlfn.XLOOKUP($B23,'PW_CMI GRADE 10'!$B$7:$B$31,'PW_CMI GRADE 10'!L$7:L$31,"",0,1)="P",1*$C23,0))</f>
        <v>0</v>
      </c>
      <c r="CO23" s="32">
        <f>IF($C23=0,0,IF(_xlfn.XLOOKUP($B23,'PW_CMI GRADE 10'!$B$7:$B$31,'PW_CMI GRADE 10'!M$7:M$31,"",0,1)="P",1*$C23,0))</f>
        <v>0</v>
      </c>
      <c r="CP23" s="32">
        <f>IF($C23=0,0,IF(_xlfn.XLOOKUP($B23,'PW_CMI GRADE 10'!$B$7:$B$31,'PW_CMI GRADE 10'!N$7:N$31,"",0,1)="P",1*$C23,0))</f>
        <v>0</v>
      </c>
      <c r="CQ23" s="32">
        <f>IF($C23=0,0,IF(_xlfn.XLOOKUP($B23,'PW_CMI GRADE 10'!$B$7:$B$31,'PW_CMI GRADE 10'!O$7:O$31,"",0,1)="P",1*$C23,0))</f>
        <v>0</v>
      </c>
      <c r="CR23" s="32">
        <f>IF($C23=0,0,IF(_xlfn.XLOOKUP($B23,'PW_CMI GRADE 10'!$B$7:$B$31,'PW_CMI GRADE 10'!P$7:P$31,"",0,1)="P",1*$C23,0))</f>
        <v>0</v>
      </c>
      <c r="CS23" s="32">
        <f>IF($C23=0,0,IF(_xlfn.XLOOKUP($B23,'PW_CMI GRADE 10'!$B$7:$B$31,'PW_CMI GRADE 10'!Q$7:Q$31,"",0,1)="P",1*$C23,0))</f>
        <v>0</v>
      </c>
      <c r="CT23" s="32">
        <f>IF($C23=0,0,IF(_xlfn.XLOOKUP($B23,'PW_CMI GRADE 10'!$B$7:$B$31,'PW_CMI GRADE 10'!R$7:R$31,"",0,1)="P",1*$C23,0))</f>
        <v>0</v>
      </c>
      <c r="CU23" s="32">
        <f>IF($C23=0,0,IF(_xlfn.XLOOKUP($B23,'PW_CMI GRADE 10'!$B$7:$B$31,'PW_CMI GRADE 10'!S$7:S$31,"",0,1)="P",1*$C23,0))</f>
        <v>0</v>
      </c>
      <c r="CV23" s="32">
        <f>IF($C23=0,0,IF(_xlfn.XLOOKUP($B23,'PW_CMI GRADE 10'!$B$7:$B$31,'PW_CMI GRADE 10'!T$7:T$31,"",0,1)="P",1*$C23,0))</f>
        <v>0</v>
      </c>
      <c r="CW23" s="62" t="e">
        <f t="shared" si="19"/>
        <v>#REF!</v>
      </c>
      <c r="CX23" s="62" t="e">
        <f t="shared" si="20"/>
        <v>#REF!</v>
      </c>
      <c r="CY23" s="62" t="e">
        <f t="shared" si="21"/>
        <v>#REF!</v>
      </c>
      <c r="CZ23" s="62" t="e">
        <f t="shared" si="22"/>
        <v>#REF!</v>
      </c>
      <c r="DA23" s="62" t="e">
        <f t="shared" si="23"/>
        <v>#REF!</v>
      </c>
      <c r="DB23" s="62" t="e">
        <f t="shared" si="24"/>
        <v>#REF!</v>
      </c>
      <c r="DC23" s="62" t="e">
        <f t="shared" si="25"/>
        <v>#REF!</v>
      </c>
      <c r="DD23" s="62" t="e">
        <f t="shared" si="26"/>
        <v>#REF!</v>
      </c>
      <c r="DE23" s="62" t="e">
        <f t="shared" si="27"/>
        <v>#REF!</v>
      </c>
      <c r="DF23" s="62" t="e">
        <f t="shared" si="28"/>
        <v>#REF!</v>
      </c>
      <c r="DG23" s="62" t="e">
        <f t="shared" si="29"/>
        <v>#REF!</v>
      </c>
      <c r="DH23" s="62" t="e">
        <f t="shared" si="30"/>
        <v>#REF!</v>
      </c>
      <c r="DI23" s="62" t="e">
        <f t="shared" si="31"/>
        <v>#REF!</v>
      </c>
      <c r="DJ23" s="62" t="e">
        <f t="shared" si="32"/>
        <v>#REF!</v>
      </c>
      <c r="DK23" s="62" t="e">
        <f t="shared" si="33"/>
        <v>#REF!</v>
      </c>
      <c r="DL23" s="62" t="e">
        <f t="shared" si="34"/>
        <v>#REF!</v>
      </c>
      <c r="DM23" s="62" t="e">
        <f t="shared" si="35"/>
        <v>#REF!</v>
      </c>
      <c r="DN23" s="62" t="e">
        <f t="shared" si="36"/>
        <v>#REF!</v>
      </c>
      <c r="DO23" s="62" t="e">
        <f t="shared" si="37"/>
        <v>#REF!</v>
      </c>
      <c r="DP23" s="62" t="e">
        <f t="shared" si="38"/>
        <v>#REF!</v>
      </c>
      <c r="DQ23" s="62" t="e">
        <f t="shared" si="39"/>
        <v>#REF!</v>
      </c>
      <c r="DR23" s="62" t="e">
        <f t="shared" si="40"/>
        <v>#REF!</v>
      </c>
      <c r="DS23" s="62" t="e">
        <f t="shared" si="41"/>
        <v>#REF!</v>
      </c>
      <c r="DT23" s="62" t="e">
        <f t="shared" si="42"/>
        <v>#REF!</v>
      </c>
      <c r="DU23" s="62" t="e">
        <f t="shared" si="43"/>
        <v>#REF!</v>
      </c>
      <c r="DV23" s="62" t="e">
        <f t="shared" si="44"/>
        <v>#REF!</v>
      </c>
      <c r="DW23" s="62" t="e">
        <f t="shared" si="45"/>
        <v>#REF!</v>
      </c>
      <c r="DX23" s="62" t="e">
        <f t="shared" si="46"/>
        <v>#REF!</v>
      </c>
      <c r="DY23" s="62" t="e">
        <f t="shared" si="47"/>
        <v>#REF!</v>
      </c>
      <c r="DZ23" s="62" t="e">
        <f t="shared" si="48"/>
        <v>#REF!</v>
      </c>
      <c r="EA23" s="63">
        <f t="shared" si="68"/>
        <v>0</v>
      </c>
      <c r="EB23" s="63">
        <f t="shared" si="2"/>
        <v>0</v>
      </c>
      <c r="EC23" s="63">
        <f t="shared" si="3"/>
        <v>0</v>
      </c>
      <c r="ED23" s="63">
        <f t="shared" si="4"/>
        <v>0</v>
      </c>
      <c r="EE23" s="63">
        <f t="shared" si="5"/>
        <v>0</v>
      </c>
      <c r="EF23" s="63">
        <f t="shared" si="6"/>
        <v>0</v>
      </c>
      <c r="EG23" s="63">
        <f t="shared" si="7"/>
        <v>0</v>
      </c>
      <c r="EH23" s="63">
        <f t="shared" si="8"/>
        <v>0</v>
      </c>
      <c r="EI23" s="63">
        <f t="shared" si="9"/>
        <v>0</v>
      </c>
      <c r="EJ23" s="63">
        <f t="shared" si="10"/>
        <v>0</v>
      </c>
      <c r="EK23" s="63">
        <f t="shared" si="11"/>
        <v>0.1111111111111111</v>
      </c>
      <c r="EL23" s="63">
        <f t="shared" si="12"/>
        <v>0.22222222222222221</v>
      </c>
      <c r="EM23" s="63">
        <f t="shared" si="13"/>
        <v>0.33333333333333331</v>
      </c>
      <c r="EN23" s="63">
        <f t="shared" si="14"/>
        <v>0.33333333333333331</v>
      </c>
      <c r="EO23" s="63">
        <f t="shared" si="15"/>
        <v>0.33333333333333331</v>
      </c>
      <c r="EP23" s="63">
        <f t="shared" si="16"/>
        <v>0.33333333333333331</v>
      </c>
      <c r="FU23" s="51">
        <v>46419</v>
      </c>
      <c r="FV23" t="s">
        <v>22</v>
      </c>
      <c r="FW23" t="s">
        <v>22</v>
      </c>
      <c r="FX23" t="s">
        <v>22</v>
      </c>
      <c r="FY23" t="s">
        <v>22</v>
      </c>
      <c r="FZ23" t="s">
        <v>22</v>
      </c>
      <c r="GA23" t="s">
        <v>22</v>
      </c>
      <c r="GB23" t="s">
        <v>22</v>
      </c>
      <c r="GC23" t="s">
        <v>22</v>
      </c>
      <c r="GD23" t="s">
        <v>22</v>
      </c>
      <c r="GE23" t="s">
        <v>22</v>
      </c>
      <c r="GF23" t="s">
        <v>22</v>
      </c>
      <c r="GG23" t="s">
        <v>22</v>
      </c>
      <c r="GH23" t="s">
        <v>22</v>
      </c>
      <c r="GI23" t="s">
        <v>22</v>
      </c>
      <c r="GJ23" t="s">
        <v>22</v>
      </c>
      <c r="GK23" t="s">
        <v>22</v>
      </c>
      <c r="GL23" t="s">
        <v>22</v>
      </c>
      <c r="GM23" t="s">
        <v>22</v>
      </c>
      <c r="GN23" t="s">
        <v>22</v>
      </c>
      <c r="GO23" t="s">
        <v>22</v>
      </c>
      <c r="GP23" t="s">
        <v>22</v>
      </c>
      <c r="GQ23" t="s">
        <v>22</v>
      </c>
      <c r="GR23" t="s">
        <v>22</v>
      </c>
      <c r="GS23" t="s">
        <v>22</v>
      </c>
      <c r="GT23" t="s">
        <v>22</v>
      </c>
      <c r="GU23" t="s">
        <v>22</v>
      </c>
      <c r="GV23" t="s">
        <v>22</v>
      </c>
      <c r="GW23" t="s">
        <v>22</v>
      </c>
      <c r="GX23" t="s">
        <v>22</v>
      </c>
      <c r="GY23" t="s">
        <v>22</v>
      </c>
      <c r="GZ23" t="s">
        <v>22</v>
      </c>
      <c r="HA23" t="s">
        <v>22</v>
      </c>
      <c r="HB23" t="s">
        <v>22</v>
      </c>
      <c r="HC23" t="s">
        <v>22</v>
      </c>
      <c r="HD23" t="s">
        <v>22</v>
      </c>
      <c r="HE23" t="s">
        <v>22</v>
      </c>
      <c r="HF23" t="s">
        <v>22</v>
      </c>
      <c r="HG23" t="s">
        <v>22</v>
      </c>
      <c r="HH23" t="s">
        <v>22</v>
      </c>
      <c r="HI23" t="s">
        <v>22</v>
      </c>
      <c r="HJ23" t="s">
        <v>22</v>
      </c>
      <c r="HK23" t="s">
        <v>22</v>
      </c>
      <c r="HL23" t="s">
        <v>22</v>
      </c>
      <c r="HM23" t="s">
        <v>22</v>
      </c>
      <c r="HN23" t="s">
        <v>22</v>
      </c>
      <c r="HO23" cm="1">
        <f t="array" ref="HO23">SUMPRODUCT(--(FV23:HN23&lt;&gt;""))</f>
        <v>0</v>
      </c>
    </row>
    <row r="24" spans="1:223">
      <c r="A24" t="str">
        <f t="shared" si="18"/>
        <v>4A.1</v>
      </c>
      <c r="B24" t="s">
        <v>55</v>
      </c>
      <c r="C24" s="28">
        <v>2</v>
      </c>
      <c r="D24" s="28">
        <v>1</v>
      </c>
      <c r="E24" s="31">
        <f>IF($D24=0,0,IF(_xlfn.XLOOKUP($B24,'TH_MLG GRADE 10'!$B$7:$B$49,'TH_MLG GRADE 10'!C$7:C$49,"",0,1)="P",1*$D24,0))</f>
        <v>0</v>
      </c>
      <c r="F24" s="31">
        <f>IF($D24=0,0,IF(_xlfn.XLOOKUP($B24,'TH_MLG GRADE 10'!$B$7:$B$49,'TH_MLG GRADE 10'!D$7:D$49,"",0,1)="P",1*$D24,0))</f>
        <v>0</v>
      </c>
      <c r="G24" s="31">
        <f>IF($D24=0,0,IF(_xlfn.XLOOKUP($B24,'TH_MLG GRADE 10'!$B$7:$B$49,'TH_MLG GRADE 10'!E$7:E$49,"",0,1)="P",1*$D24,0))</f>
        <v>0</v>
      </c>
      <c r="H24" s="31">
        <f>IF($D24=0,0,IF(_xlfn.XLOOKUP($B24,'TH_MLG GRADE 10'!$B$7:$B$49,'TH_MLG GRADE 10'!I$7:I$49,"",0,1)="P",1*$D24,0))</f>
        <v>0</v>
      </c>
      <c r="I24" s="31">
        <f>IF($D24=0,0,IF(_xlfn.XLOOKUP($B24,'TH_MLG GRADE 10'!$B$7:$B$49,'TH_MLG GRADE 10'!J$7:J$49,"",0,1)="P",1*$D24,0))</f>
        <v>0</v>
      </c>
      <c r="J24" s="31">
        <f>IF($D24=0,0,IF(_xlfn.XLOOKUP($B24,'TH_MLG GRADE 10'!$B$7:$B$49,'TH_MLG GRADE 10'!K$7:K$49,"",0,1)="P",1*$D24,0))</f>
        <v>0</v>
      </c>
      <c r="K24" s="31">
        <f>IF($D24=0,0,IF(_xlfn.XLOOKUP($B24,'TH_MLG GRADE 10'!$B$7:$B$49,'TH_MLG GRADE 10'!O$7:O$49,"",0,1)="P",1*$D24,0))</f>
        <v>1</v>
      </c>
      <c r="L24" s="31">
        <f>IF($D24=0,0,IF(_xlfn.XLOOKUP($B24,'TH_MLG GRADE 10'!$B$7:$B$49,'TH_MLG GRADE 10'!P$7:P$49,"",0,1)="P",1*$D24,0))</f>
        <v>0</v>
      </c>
      <c r="M24" s="31">
        <f>IF($D24=0,0,IF(_xlfn.XLOOKUP($B24,'TH_MLG GRADE 10'!$B$7:$B$49,'TH_MLG GRADE 10'!Q$7:Q$49,"",0,1)="P",1*$D24,0))</f>
        <v>1</v>
      </c>
      <c r="N24" s="31">
        <f>IF($D24=0,0,IF(_xlfn.XLOOKUP($B24,'TH_MLG GRADE 10'!$B$7:$B$49,'TH_MLG GRADE 10'!AA$7:AA$49,"",0,1)="P",1*$D24,0))</f>
        <v>1</v>
      </c>
      <c r="O24" s="31">
        <f>IF($D24=0,0,IF(_xlfn.XLOOKUP($B24,'TH_MLG GRADE 10'!$B$7:$B$49,'TH_MLG GRADE 10'!AB$7:AB$49,"",0,1)="P",1*$D24,0))</f>
        <v>0</v>
      </c>
      <c r="P24" s="31">
        <f>IF($D24=0,0,IF(_xlfn.XLOOKUP($B24,'TH_MLG GRADE 10'!$B$7:$B$49,'TH_MLG GRADE 10'!AC$7:AC$49,"",0,1)="P",1*$D24,0))</f>
        <v>1</v>
      </c>
      <c r="Q24" s="31">
        <f>IF($D24=0,0,IF(_xlfn.XLOOKUP($B24,'TH_MLG GRADE 10'!$B$7:$B$49,'TH_MLG GRADE 10'!AG$7:AG$49,"",0,1)="P",1*$D24,0))</f>
        <v>1</v>
      </c>
      <c r="R24" s="31">
        <f>IF($D24=0,0,IF(_xlfn.XLOOKUP($B24,'TH_MLG GRADE 10'!$B$7:$B$49,'TH_MLG GRADE 10'!AH$7:AH$49,"",0,1)="P",1*$D24,0))</f>
        <v>1</v>
      </c>
      <c r="S24" s="31">
        <f>IF($D24=0,0,IF(_xlfn.XLOOKUP($B24,'TH_MLG GRADE 10'!$B$7:$B$49,'TH_MLG GRADE 10'!AI$7:AI$49,"",0,1)="P",1*$D24,0))</f>
        <v>1</v>
      </c>
      <c r="T24" s="31">
        <f>IF($D24=0,0,IF(_xlfn.XLOOKUP($B24,'TH_MLG GRADE 10'!$B$7:$B$49,'TH_MLG GRADE 10'!AM$7:AM$49,"",0,1)="P",1*$D24,0))</f>
        <v>0</v>
      </c>
      <c r="U24" s="31">
        <f>IF($D24=0,0,IF(_xlfn.XLOOKUP($B24,'TH_MLG GRADE 10'!$B$7:$B$49,'TH_MLG GRADE 10'!AN$7:AN$49,"",0,1)="P",1*$D24,0))</f>
        <v>0</v>
      </c>
      <c r="V24" s="31">
        <f>IF($D24=0,0,IF(_xlfn.XLOOKUP($B24,'TH_MLG GRADE 10'!$B$7:$B$49,'TH_MLG GRADE 10'!AO$7:AO$49,"",0,1)="P",1*$D24,0))</f>
        <v>0</v>
      </c>
      <c r="W24" s="31">
        <f>IF($D24=0,0,IF(_xlfn.XLOOKUP($B24,'TH_MLG GRADE 10'!$B$7:$B$49,'TH_MLG GRADE 10'!AY$7:AY$49,"",0,1)="P",1*$D24,0))</f>
        <v>0</v>
      </c>
      <c r="X24" s="31">
        <f>IF($D24=0,0,IF(_xlfn.XLOOKUP($B24,'TH_MLG GRADE 10'!$B$7:$B$49,'TH_MLG GRADE 10'!AZ$7:AZ$49,"",0,1)="P",1*$D24,0))</f>
        <v>0</v>
      </c>
      <c r="Y24" s="31">
        <f>IF($D24=0,0,IF(_xlfn.XLOOKUP($B24,'TH_MLG GRADE 10'!$B$7:$B$49,'TH_MLG GRADE 10'!BA$7:BA$49,"",0,1)="P",1*$D24,0))</f>
        <v>0</v>
      </c>
      <c r="Z24" s="31">
        <f>IF($D24=0,0,IF(_xlfn.XLOOKUP($B24,'TH_MLG GRADE 10'!$B$7:$B$49,'TH_MLG GRADE 10'!BE$7:BE$49,"",0,1)="P",1*$D24,0))</f>
        <v>0</v>
      </c>
      <c r="AA24" s="31">
        <f>IF($D24=0,0,IF(_xlfn.XLOOKUP($B24,'TH_MLG GRADE 10'!$B$7:$B$49,'TH_MLG GRADE 10'!BF$7:BF$49,"",0,1)="P",1*$D24,0))</f>
        <v>0</v>
      </c>
      <c r="AB24" s="31">
        <f>IF($D24=0,0,IF(_xlfn.XLOOKUP($B24,'TH_MLG GRADE 10'!$B$7:$B$49,'TH_MLG GRADE 10'!BG$7:BG$49,"",0,1)="P",1*$D24,0))</f>
        <v>0</v>
      </c>
      <c r="AC24" s="31" t="e">
        <f>IF($D24=0,0,IF(_xlfn.XLOOKUP($B24,'TH_MLG GRADE 10'!$B$7:$B$49,'TH_MLG GRADE 10'!#REF!,"",0,1)="P",1*$D24,0))</f>
        <v>#REF!</v>
      </c>
      <c r="AD24" s="31" t="e">
        <f>IF($D24=0,0,IF(_xlfn.XLOOKUP($B24,'TH_MLG GRADE 10'!$B$7:$B$49,'TH_MLG GRADE 10'!#REF!,"",0,1)="P",1*$D24,0))</f>
        <v>#REF!</v>
      </c>
      <c r="AE24" s="31" t="e">
        <f>IF($D24=0,0,IF(_xlfn.XLOOKUP($B24,'TH_MLG GRADE 10'!$B$7:$B$49,'TH_MLG GRADE 10'!#REF!,"",0,1)="P",1*$D24,0))</f>
        <v>#REF!</v>
      </c>
      <c r="AF24" s="31" t="e">
        <f>IF($D24=0,0,IF(_xlfn.XLOOKUP($B24,'TH_MLG GRADE 10'!$B$7:$B$49,'TH_MLG GRADE 10'!#REF!,"",0,1)="P",1*$D24,0))</f>
        <v>#REF!</v>
      </c>
      <c r="AG24" s="31" t="e">
        <f>IF($D24=0,0,IF(_xlfn.XLOOKUP($B24,'TH_MLG GRADE 10'!$B$7:$B$49,'TH_MLG GRADE 10'!#REF!,"",0,1)="P",1*$D24,0))</f>
        <v>#REF!</v>
      </c>
      <c r="AH24" s="31" t="e">
        <f>IF($D24=0,0,IF(_xlfn.XLOOKUP($B24,'TH_MLG GRADE 10'!$B$7:$B$49,'TH_MLG GRADE 10'!#REF!,"",0,1)="P",1*$D24,0))</f>
        <v>#REF!</v>
      </c>
      <c r="AI24" s="32">
        <f>IF($D24=0,0,IF(_xlfn.XLOOKUP($B24,'TH_CMI GRADE 10'!$B$7:$B$49,'TH_CMI GRADE 10'!C$7:C$49,"",0,1)="P",1*$D24,0))</f>
        <v>0</v>
      </c>
      <c r="AJ24" s="32">
        <f>IF($D24=0,0,IF(_xlfn.XLOOKUP($B24,'TH_CMI GRADE 10'!$B$7:$B$49,'TH_CMI GRADE 10'!D$7:D$49,"",0,1)="P",1*$D24,0))</f>
        <v>0</v>
      </c>
      <c r="AK24" s="32">
        <f>IF($D24=0,0,IF(_xlfn.XLOOKUP($B24,'TH_CMI GRADE 10'!$B$7:$B$49,'TH_CMI GRADE 10'!H$7:H$49,"",0,1)="P",1*$D24,0))</f>
        <v>0</v>
      </c>
      <c r="AL24" s="32">
        <f>IF($D24=0,0,IF(_xlfn.XLOOKUP($B24,'TH_CMI GRADE 10'!$B$7:$B$49,'TH_CMI GRADE 10'!I$7:I$49,"",0,1)="P",1*$D24,0))</f>
        <v>0</v>
      </c>
      <c r="AM24" s="32">
        <f>IF($D24=0,0,IF(_xlfn.XLOOKUP($B24,'TH_CMI GRADE 10'!$B$7:$B$49,'TH_CMI GRADE 10'!J$7:J$49,"",0,1)="P",1*$D24,0))</f>
        <v>0</v>
      </c>
      <c r="AN24" s="32">
        <f>IF($D24=0,0,IF(_xlfn.XLOOKUP($B24,'TH_CMI GRADE 10'!$B$7:$B$49,'TH_CMI GRADE 10'!K$7:K$49,"",0,1)="P",1*$D24,0))</f>
        <v>0</v>
      </c>
      <c r="AO24" s="32">
        <f>IF($D24=0,0,IF(_xlfn.XLOOKUP($B24,'TH_CMI GRADE 10'!$B$7:$B$49,'TH_CMI GRADE 10'!O$7:O$49,"",0,1)="P",1*$D24,0))</f>
        <v>0</v>
      </c>
      <c r="AP24" s="32">
        <f>IF($D24=0,0,IF(_xlfn.XLOOKUP($B24,'TH_CMI GRADE 10'!$B$7:$B$49,'TH_CMI GRADE 10'!P$7:P$49,"",0,1)="P",1*$D24,0))</f>
        <v>0</v>
      </c>
      <c r="AQ24" s="32">
        <f>IF($D24=0,0,IF(_xlfn.XLOOKUP($B24,'TH_CMI GRADE 10'!$B$7:$B$49,'TH_CMI GRADE 10'!Q$7:Q$49,"",0,1)="P",1*$D24,0))</f>
        <v>0</v>
      </c>
      <c r="AR24" s="32">
        <f>IF($D24=0,0,IF(_xlfn.XLOOKUP($B24,'TH_CMI GRADE 10'!$B$7:$B$49,'TH_CMI GRADE 10'!U$7:U$49,"",0,1)="P",1*$D24,0))</f>
        <v>0</v>
      </c>
      <c r="AS24" s="32">
        <f>IF($D24=0,0,IF(_xlfn.XLOOKUP($B24,'TH_CMI GRADE 10'!$B$7:$B$49,'TH_CMI GRADE 10'!V$7:V$49,"",0,1)="P",1*$D24,0))</f>
        <v>0</v>
      </c>
      <c r="AT24" s="32">
        <f>IF($D24=0,0,IF(_xlfn.XLOOKUP($B24,'TH_CMI GRADE 10'!$B$7:$B$49,'TH_CMI GRADE 10'!W$7:W$49,"",0,1)="P",1*$D24,0))</f>
        <v>0</v>
      </c>
      <c r="AU24" s="32">
        <f>IF($D24=0,0,IF(_xlfn.XLOOKUP($B24,'TH_CMI GRADE 10'!$B$7:$B$49,'TH_CMI GRADE 10'!AA$7:AA$49,"",0,1)="P",1*$D24,0))</f>
        <v>1</v>
      </c>
      <c r="AV24" s="32">
        <f>IF($D24=0,0,IF(_xlfn.XLOOKUP($B24,'TH_CMI GRADE 10'!$B$7:$B$49,'TH_CMI GRADE 10'!AB$7:AB$49,"",0,1)="P",1*$D24,0))</f>
        <v>1</v>
      </c>
      <c r="AW24" s="32">
        <f>IF($D24=0,0,IF(_xlfn.XLOOKUP($B24,'TH_CMI GRADE 10'!$B$7:$B$49,'TH_CMI GRADE 10'!AC$7:AC$49,"",0,1)="P",1*$D24,0))</f>
        <v>1</v>
      </c>
      <c r="AX24" s="32">
        <f>IF($D24=0,0,IF(_xlfn.XLOOKUP($B24,'TH_CMI GRADE 10'!$B$7:$B$49,'TH_CMI GRADE 10'!AG$7:AG$49,"",0,1)="P",1*$D24,0))</f>
        <v>1</v>
      </c>
      <c r="AY24" s="32">
        <f>IF($D24=0,0,IF(_xlfn.XLOOKUP($B24,'TH_CMI GRADE 10'!$B$7:$B$49,'TH_CMI GRADE 10'!AH$7:AH$49,"",0,1)="P",1*$D24,0))</f>
        <v>1</v>
      </c>
      <c r="AZ24" s="32">
        <f>IF($D24=0,0,IF(_xlfn.XLOOKUP($B24,'TH_CMI GRADE 10'!$B$7:$B$49,'TH_CMI GRADE 10'!AI$7:AI$49,"",0,1)="P",1*$D24,0))</f>
        <v>1</v>
      </c>
      <c r="BA24" s="31" t="e">
        <f>IF($C24=0,0,IF(_xlfn.XLOOKUP($B24,'PW_MLG GRADE 10'!$B$7:$B$31,'PW_MLG GRADE 10'!#REF!,"",0,1)="P",1*$C24,0))</f>
        <v>#REF!</v>
      </c>
      <c r="BB24" s="31" t="e">
        <f>IF($C24=0,0,IF(_xlfn.XLOOKUP($B24,'PW_MLG GRADE 10'!$B$7:$B$31,'PW_MLG GRADE 10'!#REF!,"",0,1)="P",1*$C24,0))</f>
        <v>#REF!</v>
      </c>
      <c r="BC24" s="31" t="e">
        <f>IF($C24=0,0,IF(_xlfn.XLOOKUP($B24,'PW_MLG GRADE 10'!$B$7:$B$31,'PW_MLG GRADE 10'!#REF!,"",0,1)="P",1*$C24,0))</f>
        <v>#REF!</v>
      </c>
      <c r="BD24" s="31" t="e">
        <f>IF($C24=0,0,IF(_xlfn.XLOOKUP($B24,'PW_MLG GRADE 10'!$B$7:$B$31,'PW_MLG GRADE 10'!#REF!,"",0,1)="P",1*$C24,0))</f>
        <v>#REF!</v>
      </c>
      <c r="BE24" s="31" t="e">
        <f>IF($C24=0,0,IF(_xlfn.XLOOKUP($B24,'PW_MLG GRADE 10'!$B$7:$B$31,'PW_MLG GRADE 10'!#REF!,"",0,1)="P",1*$C24,0))</f>
        <v>#REF!</v>
      </c>
      <c r="BF24" s="31" t="e">
        <f>IF($C24=0,0,IF(_xlfn.XLOOKUP($B24,'PW_MLG GRADE 10'!$B$7:$B$31,'PW_MLG GRADE 10'!#REF!,"",0,1)="P",1*$C24,0))</f>
        <v>#REF!</v>
      </c>
      <c r="BG24" s="31" t="e">
        <f>IF($C24=0,0,IF(_xlfn.XLOOKUP($B24,'PW_MLG GRADE 10'!$B$7:$B$31,'PW_MLG GRADE 10'!#REF!,"",0,1)="P",1*$C24,0))</f>
        <v>#REF!</v>
      </c>
      <c r="BH24" s="31" t="e">
        <f>IF($C24=0,0,IF(_xlfn.XLOOKUP($B24,'PW_MLG GRADE 10'!$B$7:$B$31,'PW_MLG GRADE 10'!#REF!,"",0,1)="P",1*$C24,0))</f>
        <v>#REF!</v>
      </c>
      <c r="BI24" s="31" t="e">
        <f>IF($C24=0,0,IF(_xlfn.XLOOKUP($B24,'PW_MLG GRADE 10'!$B$7:$B$31,'PW_MLG GRADE 10'!#REF!,"",0,1)="P",1*$C24,0))</f>
        <v>#REF!</v>
      </c>
      <c r="BJ24" s="31" t="e">
        <f>IF($C24=0,0,IF(_xlfn.XLOOKUP($B24,'PW_MLG GRADE 10'!$B$7:$B$31,'PW_MLG GRADE 10'!#REF!,"",0,1)="P",1*$C24,0))</f>
        <v>#REF!</v>
      </c>
      <c r="BK24" s="31" t="e">
        <f>IF($C24=0,0,IF(_xlfn.XLOOKUP($B24,'PW_MLG GRADE 10'!$B$7:$B$31,'PW_MLG GRADE 10'!#REF!,"",0,1)="P",1*$C24,0))</f>
        <v>#REF!</v>
      </c>
      <c r="BL24" s="31" t="e">
        <f>IF($C24=0,0,IF(_xlfn.XLOOKUP($B24,'PW_MLG GRADE 10'!$B$7:$B$31,'PW_MLG GRADE 10'!#REF!,"",0,1)="P",1*$C24,0))</f>
        <v>#REF!</v>
      </c>
      <c r="BM24" s="31" t="e">
        <f>IF($C24=0,0,IF(_xlfn.XLOOKUP($B24,'PW_MLG GRADE 10'!$B$7:$B$31,'PW_MLG GRADE 10'!#REF!,"",0,1)="P",1*$C24,0))</f>
        <v>#REF!</v>
      </c>
      <c r="BN24" s="31" t="e">
        <f>IF($C24=0,0,IF(_xlfn.XLOOKUP($B24,'PW_MLG GRADE 10'!$B$7:$B$31,'PW_MLG GRADE 10'!#REF!,"",0,1)="P",1*$C24,0))</f>
        <v>#REF!</v>
      </c>
      <c r="BO24" s="31" t="e">
        <f>IF($C24=0,0,IF(_xlfn.XLOOKUP($B24,'PW_MLG GRADE 10'!$B$7:$B$31,'PW_MLG GRADE 10'!#REF!,"",0,1)="P",1*$C24,0))</f>
        <v>#REF!</v>
      </c>
      <c r="BP24" s="31" t="e">
        <f>IF($C24=0,0,IF(_xlfn.XLOOKUP($B24,'PW_MLG GRADE 10'!$B$7:$B$31,'PW_MLG GRADE 10'!#REF!,"",0,1)="P",1*$C24,0))</f>
        <v>#REF!</v>
      </c>
      <c r="BQ24" s="31" t="e">
        <f>IF($C24=0,0,IF(_xlfn.XLOOKUP($B24,'PW_MLG GRADE 10'!$B$7:$B$31,'PW_MLG GRADE 10'!#REF!,"",0,1)="P",1*$C24,0))</f>
        <v>#REF!</v>
      </c>
      <c r="BR24" s="31" t="e">
        <f>IF($C24=0,0,IF(_xlfn.XLOOKUP($B24,'PW_MLG GRADE 10'!$B$7:$B$31,'PW_MLG GRADE 10'!#REF!,"",0,1)="P",1*$C24,0))</f>
        <v>#REF!</v>
      </c>
      <c r="BS24" s="31" t="e">
        <f>IF($C24=0,0,IF(_xlfn.XLOOKUP($B24,'PW_MLG GRADE 10'!$B$7:$B$31,'PW_MLG GRADE 10'!#REF!,"",0,1)="P",1*$C24,0))</f>
        <v>#REF!</v>
      </c>
      <c r="BT24" s="31" t="e">
        <f>IF($C24=0,0,IF(_xlfn.XLOOKUP($B24,'PW_MLG GRADE 10'!$B$7:$B$31,'PW_MLG GRADE 10'!#REF!,"",0,1)="P",1*$C24,0))</f>
        <v>#REF!</v>
      </c>
      <c r="BU24" s="31" t="e">
        <f>IF($C24=0,0,IF(_xlfn.XLOOKUP($B24,'PW_MLG GRADE 10'!$B$7:$B$31,'PW_MLG GRADE 10'!#REF!,"",0,1)="P",1*$C24,0))</f>
        <v>#REF!</v>
      </c>
      <c r="BV24" s="31" t="e">
        <f>IF($C24=0,0,IF(_xlfn.XLOOKUP($B24,'PW_MLG GRADE 10'!$B$7:$B$31,'PW_MLG GRADE 10'!#REF!,"",0,1)="P",1*$C24,0))</f>
        <v>#REF!</v>
      </c>
      <c r="BW24" s="31" t="e">
        <f>IF($C24=0,0,IF(_xlfn.XLOOKUP($B24,'PW_MLG GRADE 10'!$B$7:$B$31,'PW_MLG GRADE 10'!#REF!,"",0,1)="P",1*$C24,0))</f>
        <v>#REF!</v>
      </c>
      <c r="BX24" s="31" t="e">
        <f>IF($C24=0,0,IF(_xlfn.XLOOKUP($B24,'PW_MLG GRADE 10'!$B$7:$B$31,'PW_MLG GRADE 10'!#REF!,"",0,1)="P",1*$C24,0))</f>
        <v>#REF!</v>
      </c>
      <c r="BY24" s="31" t="e">
        <f>IF($C24=0,0,IF(_xlfn.XLOOKUP($B24,'PW_MLG GRADE 10'!$B$7:$B$31,'PW_MLG GRADE 10'!#REF!,"",0,1)="P",1*$C24,0))</f>
        <v>#REF!</v>
      </c>
      <c r="BZ24" s="31" t="e">
        <f>IF($C24=0,0,IF(_xlfn.XLOOKUP($B24,'PW_MLG GRADE 10'!$B$7:$B$31,'PW_MLG GRADE 10'!#REF!,"",0,1)="P",1*$C24,0))</f>
        <v>#REF!</v>
      </c>
      <c r="CA24" s="31" t="e">
        <f>IF($C24=0,0,IF(_xlfn.XLOOKUP($B24,'PW_MLG GRADE 10'!$B$7:$B$31,'PW_MLG GRADE 10'!#REF!,"",0,1)="P",1*$C24,0))</f>
        <v>#REF!</v>
      </c>
      <c r="CB24" s="31" t="e">
        <f>IF($C24=0,0,IF(_xlfn.XLOOKUP($B24,'PW_MLG GRADE 10'!$B$7:$B$31,'PW_MLG GRADE 10'!#REF!,"",0,1)="P",1*$C24,0))</f>
        <v>#REF!</v>
      </c>
      <c r="CC24" s="31" t="e">
        <f>IF($C24=0,0,IF(_xlfn.XLOOKUP($B24,'PW_MLG GRADE 10'!$B$7:$B$31,'PW_MLG GRADE 10'!#REF!,"",0,1)="P",1*$C24,0))</f>
        <v>#REF!</v>
      </c>
      <c r="CD24" s="31" t="e">
        <f>IF($C24=0,0,IF(_xlfn.XLOOKUP($B24,'PW_MLG GRADE 10'!$B$7:$B$31,'PW_MLG GRADE 10'!#REF!,"",0,1)="P",1*$C24,0))</f>
        <v>#REF!</v>
      </c>
      <c r="CE24" s="32">
        <f>IF($C24=0,0,IF(_xlfn.XLOOKUP($B24,'PW_CMI GRADE 10'!$B$7:$B$31,'PW_CMI GRADE 10'!C$7:C$31,"",0,1)="P",1*$C24,0))</f>
        <v>0</v>
      </c>
      <c r="CF24" s="32">
        <f>IF($C24=0,0,IF(_xlfn.XLOOKUP($B24,'PW_CMI GRADE 10'!$B$7:$B$31,'PW_CMI GRADE 10'!D$7:D$31,"",0,1)="P",1*$C24,0))</f>
        <v>0</v>
      </c>
      <c r="CG24" s="32">
        <f>IF($C24=0,0,IF(_xlfn.XLOOKUP($B24,'PW_CMI GRADE 10'!$B$7:$B$31,'PW_CMI GRADE 10'!E$7:E$31,"",0,1)="P",1*$C24,0))</f>
        <v>0</v>
      </c>
      <c r="CH24" s="32">
        <f>IF($C24=0,0,IF(_xlfn.XLOOKUP($B24,'PW_CMI GRADE 10'!$B$7:$B$31,'PW_CMI GRADE 10'!F$7:F$31,"",0,1)="P",1*$C24,0))</f>
        <v>0</v>
      </c>
      <c r="CI24" s="32">
        <f>IF($C24=0,0,IF(_xlfn.XLOOKUP($B24,'PW_CMI GRADE 10'!$B$7:$B$31,'PW_CMI GRADE 10'!G$7:G$31,"",0,1)="P",1*$C24,0))</f>
        <v>0</v>
      </c>
      <c r="CJ24" s="32">
        <f>IF($C24=0,0,IF(_xlfn.XLOOKUP($B24,'PW_CMI GRADE 10'!$B$7:$B$31,'PW_CMI GRADE 10'!H$7:H$31,"",0,1)="P",1*$C24,0))</f>
        <v>0</v>
      </c>
      <c r="CK24" s="32">
        <f>IF($C24=0,0,IF(_xlfn.XLOOKUP($B24,'PW_CMI GRADE 10'!$B$7:$B$31,'PW_CMI GRADE 10'!I$7:I$31,"",0,1)="P",1*$C24,0))</f>
        <v>0</v>
      </c>
      <c r="CL24" s="32">
        <f>IF($C24=0,0,IF(_xlfn.XLOOKUP($B24,'PW_CMI GRADE 10'!$B$7:$B$31,'PW_CMI GRADE 10'!J$7:J$31,"",0,1)="P",1*$C24,0))</f>
        <v>0</v>
      </c>
      <c r="CM24" s="32">
        <f>IF($C24=0,0,IF(_xlfn.XLOOKUP($B24,'PW_CMI GRADE 10'!$B$7:$B$31,'PW_CMI GRADE 10'!K$7:K$31,"",0,1)="P",1*$C24,0))</f>
        <v>0</v>
      </c>
      <c r="CN24" s="32">
        <f>IF($C24=0,0,IF(_xlfn.XLOOKUP($B24,'PW_CMI GRADE 10'!$B$7:$B$31,'PW_CMI GRADE 10'!L$7:L$31,"",0,1)="P",1*$C24,0))</f>
        <v>0</v>
      </c>
      <c r="CO24" s="32">
        <f>IF($C24=0,0,IF(_xlfn.XLOOKUP($B24,'PW_CMI GRADE 10'!$B$7:$B$31,'PW_CMI GRADE 10'!M$7:M$31,"",0,1)="P",1*$C24,0))</f>
        <v>0</v>
      </c>
      <c r="CP24" s="32">
        <f>IF($C24=0,0,IF(_xlfn.XLOOKUP($B24,'PW_CMI GRADE 10'!$B$7:$B$31,'PW_CMI GRADE 10'!N$7:N$31,"",0,1)="P",1*$C24,0))</f>
        <v>0</v>
      </c>
      <c r="CQ24" s="32">
        <f>IF($C24=0,0,IF(_xlfn.XLOOKUP($B24,'PW_CMI GRADE 10'!$B$7:$B$31,'PW_CMI GRADE 10'!O$7:O$31,"",0,1)="P",1*$C24,0))</f>
        <v>0</v>
      </c>
      <c r="CR24" s="32">
        <f>IF($C24=0,0,IF(_xlfn.XLOOKUP($B24,'PW_CMI GRADE 10'!$B$7:$B$31,'PW_CMI GRADE 10'!P$7:P$31,"",0,1)="P",1*$C24,0))</f>
        <v>0</v>
      </c>
      <c r="CS24" s="32">
        <f>IF($C24=0,0,IF(_xlfn.XLOOKUP($B24,'PW_CMI GRADE 10'!$B$7:$B$31,'PW_CMI GRADE 10'!Q$7:Q$31,"",0,1)="P",1*$C24,0))</f>
        <v>0</v>
      </c>
      <c r="CT24" s="32">
        <f>IF($C24=0,0,IF(_xlfn.XLOOKUP($B24,'PW_CMI GRADE 10'!$B$7:$B$31,'PW_CMI GRADE 10'!R$7:R$31,"",0,1)="P",1*$C24,0))</f>
        <v>0</v>
      </c>
      <c r="CU24" s="32">
        <f>IF($C24=0,0,IF(_xlfn.XLOOKUP($B24,'PW_CMI GRADE 10'!$B$7:$B$31,'PW_CMI GRADE 10'!S$7:S$31,"",0,1)="P",1*$C24,0))</f>
        <v>0</v>
      </c>
      <c r="CV24" s="32">
        <f>IF($C24=0,0,IF(_xlfn.XLOOKUP($B24,'PW_CMI GRADE 10'!$B$7:$B$31,'PW_CMI GRADE 10'!T$7:T$31,"",0,1)="P",1*$C24,0))</f>
        <v>0</v>
      </c>
      <c r="CW24" s="62" t="e">
        <f t="shared" si="19"/>
        <v>#REF!</v>
      </c>
      <c r="CX24" s="62" t="e">
        <f t="shared" si="20"/>
        <v>#REF!</v>
      </c>
      <c r="CY24" s="62" t="e">
        <f t="shared" si="21"/>
        <v>#REF!</v>
      </c>
      <c r="CZ24" s="62" t="e">
        <f t="shared" si="22"/>
        <v>#REF!</v>
      </c>
      <c r="DA24" s="62" t="e">
        <f t="shared" si="23"/>
        <v>#REF!</v>
      </c>
      <c r="DB24" s="62" t="e">
        <f t="shared" si="24"/>
        <v>#REF!</v>
      </c>
      <c r="DC24" s="62" t="e">
        <f t="shared" si="25"/>
        <v>#REF!</v>
      </c>
      <c r="DD24" s="62" t="e">
        <f t="shared" si="26"/>
        <v>#REF!</v>
      </c>
      <c r="DE24" s="62" t="e">
        <f t="shared" si="27"/>
        <v>#REF!</v>
      </c>
      <c r="DF24" s="62" t="e">
        <f t="shared" si="28"/>
        <v>#REF!</v>
      </c>
      <c r="DG24" s="62" t="e">
        <f t="shared" si="29"/>
        <v>#REF!</v>
      </c>
      <c r="DH24" s="62" t="e">
        <f t="shared" si="30"/>
        <v>#REF!</v>
      </c>
      <c r="DI24" s="62" t="e">
        <f t="shared" si="31"/>
        <v>#REF!</v>
      </c>
      <c r="DJ24" s="62" t="e">
        <f t="shared" si="32"/>
        <v>#REF!</v>
      </c>
      <c r="DK24" s="62" t="e">
        <f t="shared" si="33"/>
        <v>#REF!</v>
      </c>
      <c r="DL24" s="62" t="e">
        <f t="shared" si="34"/>
        <v>#REF!</v>
      </c>
      <c r="DM24" s="62" t="e">
        <f t="shared" si="35"/>
        <v>#REF!</v>
      </c>
      <c r="DN24" s="62" t="e">
        <f t="shared" si="36"/>
        <v>#REF!</v>
      </c>
      <c r="DO24" s="62" t="e">
        <f t="shared" si="37"/>
        <v>#REF!</v>
      </c>
      <c r="DP24" s="62" t="e">
        <f t="shared" si="38"/>
        <v>#REF!</v>
      </c>
      <c r="DQ24" s="62" t="e">
        <f t="shared" si="39"/>
        <v>#REF!</v>
      </c>
      <c r="DR24" s="62" t="e">
        <f t="shared" si="40"/>
        <v>#REF!</v>
      </c>
      <c r="DS24" s="62" t="e">
        <f t="shared" si="41"/>
        <v>#REF!</v>
      </c>
      <c r="DT24" s="62" t="e">
        <f t="shared" si="42"/>
        <v>#REF!</v>
      </c>
      <c r="DU24" s="62" t="e">
        <f t="shared" si="43"/>
        <v>#REF!</v>
      </c>
      <c r="DV24" s="62" t="e">
        <f t="shared" si="44"/>
        <v>#REF!</v>
      </c>
      <c r="DW24" s="62" t="e">
        <f t="shared" si="45"/>
        <v>#REF!</v>
      </c>
      <c r="DX24" s="62" t="e">
        <f t="shared" si="46"/>
        <v>#REF!</v>
      </c>
      <c r="DY24" s="62" t="e">
        <f t="shared" si="47"/>
        <v>#REF!</v>
      </c>
      <c r="DZ24" s="62" t="e">
        <f t="shared" si="48"/>
        <v>#REF!</v>
      </c>
      <c r="EA24" s="63">
        <f t="shared" si="68"/>
        <v>0</v>
      </c>
      <c r="EB24" s="63">
        <f t="shared" si="2"/>
        <v>0</v>
      </c>
      <c r="EC24" s="63">
        <f t="shared" si="3"/>
        <v>0</v>
      </c>
      <c r="ED24" s="63">
        <f t="shared" si="4"/>
        <v>0</v>
      </c>
      <c r="EE24" s="63">
        <f t="shared" si="5"/>
        <v>0</v>
      </c>
      <c r="EF24" s="63">
        <f t="shared" si="6"/>
        <v>0</v>
      </c>
      <c r="EG24" s="63">
        <f t="shared" si="7"/>
        <v>0</v>
      </c>
      <c r="EH24" s="63">
        <f t="shared" si="8"/>
        <v>0</v>
      </c>
      <c r="EI24" s="63">
        <f t="shared" si="9"/>
        <v>0</v>
      </c>
      <c r="EJ24" s="63">
        <f t="shared" si="10"/>
        <v>0</v>
      </c>
      <c r="EK24" s="63">
        <f t="shared" si="11"/>
        <v>0.1111111111111111</v>
      </c>
      <c r="EL24" s="63">
        <f t="shared" si="12"/>
        <v>0.22222222222222221</v>
      </c>
      <c r="EM24" s="63">
        <f t="shared" si="13"/>
        <v>0.33333333333333331</v>
      </c>
      <c r="EN24" s="63">
        <f t="shared" si="14"/>
        <v>0.33333333333333331</v>
      </c>
      <c r="EO24" s="63">
        <f t="shared" si="15"/>
        <v>0.33333333333333331</v>
      </c>
      <c r="EP24" s="63">
        <f t="shared" si="16"/>
        <v>0.33333333333333331</v>
      </c>
      <c r="FU24" s="51">
        <v>46447</v>
      </c>
      <c r="FV24" t="s">
        <v>22</v>
      </c>
      <c r="FW24" t="s">
        <v>22</v>
      </c>
      <c r="FX24" t="s">
        <v>22</v>
      </c>
      <c r="FY24" t="s">
        <v>22</v>
      </c>
      <c r="FZ24" t="s">
        <v>22</v>
      </c>
      <c r="GA24" t="s">
        <v>22</v>
      </c>
      <c r="GB24" t="s">
        <v>22</v>
      </c>
      <c r="GC24" t="s">
        <v>22</v>
      </c>
      <c r="GD24" t="s">
        <v>22</v>
      </c>
      <c r="GE24" t="s">
        <v>22</v>
      </c>
      <c r="GF24" t="s">
        <v>22</v>
      </c>
      <c r="GG24" t="s">
        <v>22</v>
      </c>
      <c r="GH24" t="s">
        <v>22</v>
      </c>
      <c r="GI24" t="s">
        <v>22</v>
      </c>
      <c r="GJ24" t="s">
        <v>22</v>
      </c>
      <c r="GK24" t="s">
        <v>22</v>
      </c>
      <c r="GL24" t="s">
        <v>22</v>
      </c>
      <c r="GM24" t="s">
        <v>22</v>
      </c>
      <c r="GN24" t="s">
        <v>22</v>
      </c>
      <c r="GO24" t="s">
        <v>22</v>
      </c>
      <c r="GP24" t="s">
        <v>22</v>
      </c>
      <c r="GQ24" t="s">
        <v>22</v>
      </c>
      <c r="GR24" t="s">
        <v>22</v>
      </c>
      <c r="GS24" t="s">
        <v>22</v>
      </c>
      <c r="GT24" t="s">
        <v>22</v>
      </c>
      <c r="GU24" t="s">
        <v>22</v>
      </c>
      <c r="GV24" t="s">
        <v>22</v>
      </c>
      <c r="GW24" t="s">
        <v>22</v>
      </c>
      <c r="GX24" t="s">
        <v>22</v>
      </c>
      <c r="GY24" t="s">
        <v>22</v>
      </c>
      <c r="GZ24" t="s">
        <v>22</v>
      </c>
      <c r="HA24" t="s">
        <v>22</v>
      </c>
      <c r="HB24" t="s">
        <v>22</v>
      </c>
      <c r="HC24" t="s">
        <v>22</v>
      </c>
      <c r="HD24" t="s">
        <v>22</v>
      </c>
      <c r="HE24" t="s">
        <v>22</v>
      </c>
      <c r="HF24" t="s">
        <v>22</v>
      </c>
      <c r="HG24" t="s">
        <v>22</v>
      </c>
      <c r="HH24" t="s">
        <v>22</v>
      </c>
      <c r="HI24" t="s">
        <v>22</v>
      </c>
      <c r="HJ24" t="s">
        <v>22</v>
      </c>
      <c r="HK24" t="s">
        <v>22</v>
      </c>
      <c r="HL24" t="s">
        <v>22</v>
      </c>
      <c r="HM24" t="s">
        <v>22</v>
      </c>
      <c r="HN24" t="s">
        <v>22</v>
      </c>
      <c r="HO24" cm="1">
        <f t="array" ref="HO24">SUMPRODUCT(--(FV24:HN24&lt;&gt;""))</f>
        <v>0</v>
      </c>
    </row>
    <row r="25" spans="1:223">
      <c r="A25" t="str">
        <f t="shared" si="18"/>
        <v>4A.1</v>
      </c>
      <c r="B25" t="s">
        <v>56</v>
      </c>
      <c r="C25" s="28">
        <v>0</v>
      </c>
      <c r="D25" s="28">
        <v>1</v>
      </c>
      <c r="E25" s="31">
        <f>IF($D25=0,0,IF(_xlfn.XLOOKUP($B25,'TH_MLG GRADE 10'!$B$7:$B$49,'TH_MLG GRADE 10'!C$7:C$49,"",0,1)="P",1*$D25,0))</f>
        <v>0</v>
      </c>
      <c r="F25" s="31">
        <f>IF($D25=0,0,IF(_xlfn.XLOOKUP($B25,'TH_MLG GRADE 10'!$B$7:$B$49,'TH_MLG GRADE 10'!D$7:D$49,"",0,1)="P",1*$D25,0))</f>
        <v>0</v>
      </c>
      <c r="G25" s="31">
        <f>IF($D25=0,0,IF(_xlfn.XLOOKUP($B25,'TH_MLG GRADE 10'!$B$7:$B$49,'TH_MLG GRADE 10'!E$7:E$49,"",0,1)="P",1*$D25,0))</f>
        <v>0</v>
      </c>
      <c r="H25" s="31">
        <f>IF($D25=0,0,IF(_xlfn.XLOOKUP($B25,'TH_MLG GRADE 10'!$B$7:$B$49,'TH_MLG GRADE 10'!I$7:I$49,"",0,1)="P",1*$D25,0))</f>
        <v>0</v>
      </c>
      <c r="I25" s="31">
        <f>IF($D25=0,0,IF(_xlfn.XLOOKUP($B25,'TH_MLG GRADE 10'!$B$7:$B$49,'TH_MLG GRADE 10'!J$7:J$49,"",0,1)="P",1*$D25,0))</f>
        <v>0</v>
      </c>
      <c r="J25" s="31">
        <f>IF($D25=0,0,IF(_xlfn.XLOOKUP($B25,'TH_MLG GRADE 10'!$B$7:$B$49,'TH_MLG GRADE 10'!K$7:K$49,"",0,1)="P",1*$D25,0))</f>
        <v>0</v>
      </c>
      <c r="K25" s="31">
        <f>IF($D25=0,0,IF(_xlfn.XLOOKUP($B25,'TH_MLG GRADE 10'!$B$7:$B$49,'TH_MLG GRADE 10'!O$7:O$49,"",0,1)="P",1*$D25,0))</f>
        <v>1</v>
      </c>
      <c r="L25" s="31">
        <f>IF($D25=0,0,IF(_xlfn.XLOOKUP($B25,'TH_MLG GRADE 10'!$B$7:$B$49,'TH_MLG GRADE 10'!P$7:P$49,"",0,1)="P",1*$D25,0))</f>
        <v>0</v>
      </c>
      <c r="M25" s="31">
        <f>IF($D25=0,0,IF(_xlfn.XLOOKUP($B25,'TH_MLG GRADE 10'!$B$7:$B$49,'TH_MLG GRADE 10'!Q$7:Q$49,"",0,1)="P",1*$D25,0))</f>
        <v>0</v>
      </c>
      <c r="N25" s="31">
        <f>IF($D25=0,0,IF(_xlfn.XLOOKUP($B25,'TH_MLG GRADE 10'!$B$7:$B$49,'TH_MLG GRADE 10'!AA$7:AA$49,"",0,1)="P",1*$D25,0))</f>
        <v>1</v>
      </c>
      <c r="O25" s="31">
        <f>IF($D25=0,0,IF(_xlfn.XLOOKUP($B25,'TH_MLG GRADE 10'!$B$7:$B$49,'TH_MLG GRADE 10'!AB$7:AB$49,"",0,1)="P",1*$D25,0))</f>
        <v>0</v>
      </c>
      <c r="P25" s="31">
        <f>IF($D25=0,0,IF(_xlfn.XLOOKUP($B25,'TH_MLG GRADE 10'!$B$7:$B$49,'TH_MLG GRADE 10'!AC$7:AC$49,"",0,1)="P",1*$D25,0))</f>
        <v>1</v>
      </c>
      <c r="Q25" s="31">
        <f>IF($D25=0,0,IF(_xlfn.XLOOKUP($B25,'TH_MLG GRADE 10'!$B$7:$B$49,'TH_MLG GRADE 10'!AG$7:AG$49,"",0,1)="P",1*$D25,0))</f>
        <v>0</v>
      </c>
      <c r="R25" s="31">
        <f>IF($D25=0,0,IF(_xlfn.XLOOKUP($B25,'TH_MLG GRADE 10'!$B$7:$B$49,'TH_MLG GRADE 10'!AH$7:AH$49,"",0,1)="P",1*$D25,0))</f>
        <v>1</v>
      </c>
      <c r="S25" s="31">
        <f>IF($D25=0,0,IF(_xlfn.XLOOKUP($B25,'TH_MLG GRADE 10'!$B$7:$B$49,'TH_MLG GRADE 10'!AI$7:AI$49,"",0,1)="P",1*$D25,0))</f>
        <v>1</v>
      </c>
      <c r="T25" s="31">
        <f>IF($D25=0,0,IF(_xlfn.XLOOKUP($B25,'TH_MLG GRADE 10'!$B$7:$B$49,'TH_MLG GRADE 10'!AM$7:AM$49,"",0,1)="P",1*$D25,0))</f>
        <v>0</v>
      </c>
      <c r="U25" s="31">
        <f>IF($D25=0,0,IF(_xlfn.XLOOKUP($B25,'TH_MLG GRADE 10'!$B$7:$B$49,'TH_MLG GRADE 10'!AN$7:AN$49,"",0,1)="P",1*$D25,0))</f>
        <v>0</v>
      </c>
      <c r="V25" s="31">
        <f>IF($D25=0,0,IF(_xlfn.XLOOKUP($B25,'TH_MLG GRADE 10'!$B$7:$B$49,'TH_MLG GRADE 10'!AO$7:AO$49,"",0,1)="P",1*$D25,0))</f>
        <v>0</v>
      </c>
      <c r="W25" s="31">
        <f>IF($D25=0,0,IF(_xlfn.XLOOKUP($B25,'TH_MLG GRADE 10'!$B$7:$B$49,'TH_MLG GRADE 10'!AY$7:AY$49,"",0,1)="P",1*$D25,0))</f>
        <v>0</v>
      </c>
      <c r="X25" s="31">
        <f>IF($D25=0,0,IF(_xlfn.XLOOKUP($B25,'TH_MLG GRADE 10'!$B$7:$B$49,'TH_MLG GRADE 10'!AZ$7:AZ$49,"",0,1)="P",1*$D25,0))</f>
        <v>0</v>
      </c>
      <c r="Y25" s="31">
        <f>IF($D25=0,0,IF(_xlfn.XLOOKUP($B25,'TH_MLG GRADE 10'!$B$7:$B$49,'TH_MLG GRADE 10'!BA$7:BA$49,"",0,1)="P",1*$D25,0))</f>
        <v>0</v>
      </c>
      <c r="Z25" s="31">
        <f>IF($D25=0,0,IF(_xlfn.XLOOKUP($B25,'TH_MLG GRADE 10'!$B$7:$B$49,'TH_MLG GRADE 10'!BE$7:BE$49,"",0,1)="P",1*$D25,0))</f>
        <v>0</v>
      </c>
      <c r="AA25" s="31">
        <f>IF($D25=0,0,IF(_xlfn.XLOOKUP($B25,'TH_MLG GRADE 10'!$B$7:$B$49,'TH_MLG GRADE 10'!BF$7:BF$49,"",0,1)="P",1*$D25,0))</f>
        <v>0</v>
      </c>
      <c r="AB25" s="31">
        <f>IF($D25=0,0,IF(_xlfn.XLOOKUP($B25,'TH_MLG GRADE 10'!$B$7:$B$49,'TH_MLG GRADE 10'!BG$7:BG$49,"",0,1)="P",1*$D25,0))</f>
        <v>0</v>
      </c>
      <c r="AC25" s="31" t="e">
        <f>IF($D25=0,0,IF(_xlfn.XLOOKUP($B25,'TH_MLG GRADE 10'!$B$7:$B$49,'TH_MLG GRADE 10'!#REF!,"",0,1)="P",1*$D25,0))</f>
        <v>#REF!</v>
      </c>
      <c r="AD25" s="31" t="e">
        <f>IF($D25=0,0,IF(_xlfn.XLOOKUP($B25,'TH_MLG GRADE 10'!$B$7:$B$49,'TH_MLG GRADE 10'!#REF!,"",0,1)="P",1*$D25,0))</f>
        <v>#REF!</v>
      </c>
      <c r="AE25" s="31" t="e">
        <f>IF($D25=0,0,IF(_xlfn.XLOOKUP($B25,'TH_MLG GRADE 10'!$B$7:$B$49,'TH_MLG GRADE 10'!#REF!,"",0,1)="P",1*$D25,0))</f>
        <v>#REF!</v>
      </c>
      <c r="AF25" s="31" t="e">
        <f>IF($D25=0,0,IF(_xlfn.XLOOKUP($B25,'TH_MLG GRADE 10'!$B$7:$B$49,'TH_MLG GRADE 10'!#REF!,"",0,1)="P",1*$D25,0))</f>
        <v>#REF!</v>
      </c>
      <c r="AG25" s="31" t="e">
        <f>IF($D25=0,0,IF(_xlfn.XLOOKUP($B25,'TH_MLG GRADE 10'!$B$7:$B$49,'TH_MLG GRADE 10'!#REF!,"",0,1)="P",1*$D25,0))</f>
        <v>#REF!</v>
      </c>
      <c r="AH25" s="31" t="e">
        <f>IF($D25=0,0,IF(_xlfn.XLOOKUP($B25,'TH_MLG GRADE 10'!$B$7:$B$49,'TH_MLG GRADE 10'!#REF!,"",0,1)="P",1*$D25,0))</f>
        <v>#REF!</v>
      </c>
      <c r="AI25" s="32">
        <f>IF($D25=0,0,IF(_xlfn.XLOOKUP($B25,'TH_CMI GRADE 10'!$B$7:$B$49,'TH_CMI GRADE 10'!C$7:C$49,"",0,1)="P",1*$D25,0))</f>
        <v>0</v>
      </c>
      <c r="AJ25" s="32">
        <f>IF($D25=0,0,IF(_xlfn.XLOOKUP($B25,'TH_CMI GRADE 10'!$B$7:$B$49,'TH_CMI GRADE 10'!D$7:D$49,"",0,1)="P",1*$D25,0))</f>
        <v>0</v>
      </c>
      <c r="AK25" s="32">
        <f>IF($D25=0,0,IF(_xlfn.XLOOKUP($B25,'TH_CMI GRADE 10'!$B$7:$B$49,'TH_CMI GRADE 10'!H$7:H$49,"",0,1)="P",1*$D25,0))</f>
        <v>0</v>
      </c>
      <c r="AL25" s="32">
        <f>IF($D25=0,0,IF(_xlfn.XLOOKUP($B25,'TH_CMI GRADE 10'!$B$7:$B$49,'TH_CMI GRADE 10'!I$7:I$49,"",0,1)="P",1*$D25,0))</f>
        <v>0</v>
      </c>
      <c r="AM25" s="32">
        <f>IF($D25=0,0,IF(_xlfn.XLOOKUP($B25,'TH_CMI GRADE 10'!$B$7:$B$49,'TH_CMI GRADE 10'!J$7:J$49,"",0,1)="P",1*$D25,0))</f>
        <v>0</v>
      </c>
      <c r="AN25" s="32">
        <f>IF($D25=0,0,IF(_xlfn.XLOOKUP($B25,'TH_CMI GRADE 10'!$B$7:$B$49,'TH_CMI GRADE 10'!K$7:K$49,"",0,1)="P",1*$D25,0))</f>
        <v>0</v>
      </c>
      <c r="AO25" s="32">
        <f>IF($D25=0,0,IF(_xlfn.XLOOKUP($B25,'TH_CMI GRADE 10'!$B$7:$B$49,'TH_CMI GRADE 10'!O$7:O$49,"",0,1)="P",1*$D25,0))</f>
        <v>0</v>
      </c>
      <c r="AP25" s="32">
        <f>IF($D25=0,0,IF(_xlfn.XLOOKUP($B25,'TH_CMI GRADE 10'!$B$7:$B$49,'TH_CMI GRADE 10'!P$7:P$49,"",0,1)="P",1*$D25,0))</f>
        <v>0</v>
      </c>
      <c r="AQ25" s="32">
        <f>IF($D25=0,0,IF(_xlfn.XLOOKUP($B25,'TH_CMI GRADE 10'!$B$7:$B$49,'TH_CMI GRADE 10'!Q$7:Q$49,"",0,1)="P",1*$D25,0))</f>
        <v>0</v>
      </c>
      <c r="AR25" s="32">
        <f>IF($D25=0,0,IF(_xlfn.XLOOKUP($B25,'TH_CMI GRADE 10'!$B$7:$B$49,'TH_CMI GRADE 10'!U$7:U$49,"",0,1)="P",1*$D25,0))</f>
        <v>0</v>
      </c>
      <c r="AS25" s="32">
        <f>IF($D25=0,0,IF(_xlfn.XLOOKUP($B25,'TH_CMI GRADE 10'!$B$7:$B$49,'TH_CMI GRADE 10'!V$7:V$49,"",0,1)="P",1*$D25,0))</f>
        <v>0</v>
      </c>
      <c r="AT25" s="32">
        <f>IF($D25=0,0,IF(_xlfn.XLOOKUP($B25,'TH_CMI GRADE 10'!$B$7:$B$49,'TH_CMI GRADE 10'!W$7:W$49,"",0,1)="P",1*$D25,0))</f>
        <v>0</v>
      </c>
      <c r="AU25" s="32">
        <f>IF($D25=0,0,IF(_xlfn.XLOOKUP($B25,'TH_CMI GRADE 10'!$B$7:$B$49,'TH_CMI GRADE 10'!AA$7:AA$49,"",0,1)="P",1*$D25,0))</f>
        <v>1</v>
      </c>
      <c r="AV25" s="32">
        <f>IF($D25=0,0,IF(_xlfn.XLOOKUP($B25,'TH_CMI GRADE 10'!$B$7:$B$49,'TH_CMI GRADE 10'!AB$7:AB$49,"",0,1)="P",1*$D25,0))</f>
        <v>1</v>
      </c>
      <c r="AW25" s="32">
        <f>IF($D25=0,0,IF(_xlfn.XLOOKUP($B25,'TH_CMI GRADE 10'!$B$7:$B$49,'TH_CMI GRADE 10'!AC$7:AC$49,"",0,1)="P",1*$D25,0))</f>
        <v>0</v>
      </c>
      <c r="AX25" s="32">
        <f>IF($D25=0,0,IF(_xlfn.XLOOKUP($B25,'TH_CMI GRADE 10'!$B$7:$B$49,'TH_CMI GRADE 10'!AG$7:AG$49,"",0,1)="P",1*$D25,0))</f>
        <v>1</v>
      </c>
      <c r="AY25" s="32">
        <f>IF($D25=0,0,IF(_xlfn.XLOOKUP($B25,'TH_CMI GRADE 10'!$B$7:$B$49,'TH_CMI GRADE 10'!AH$7:AH$49,"",0,1)="P",1*$D25,0))</f>
        <v>1</v>
      </c>
      <c r="AZ25" s="32">
        <f>IF($D25=0,0,IF(_xlfn.XLOOKUP($B25,'TH_CMI GRADE 10'!$B$7:$B$49,'TH_CMI GRADE 10'!AI$7:AI$49,"",0,1)="P",1*$D25,0))</f>
        <v>0</v>
      </c>
      <c r="BA25" s="31">
        <f>IF($C25=0,0,IF(_xlfn.XLOOKUP($B25,'PW_MLG GRADE 10'!$B$7:$B$31,'PW_MLG GRADE 10'!#REF!,"",0,1)="P",1*$C25,0))</f>
        <v>0</v>
      </c>
      <c r="BB25" s="31">
        <f>IF($C25=0,0,IF(_xlfn.XLOOKUP($B25,'PW_MLG GRADE 10'!$B$7:$B$31,'PW_MLG GRADE 10'!#REF!,"",0,1)="P",1*$C25,0))</f>
        <v>0</v>
      </c>
      <c r="BC25" s="31">
        <f>IF($C25=0,0,IF(_xlfn.XLOOKUP($B25,'PW_MLG GRADE 10'!$B$7:$B$31,'PW_MLG GRADE 10'!#REF!,"",0,1)="P",1*$C25,0))</f>
        <v>0</v>
      </c>
      <c r="BD25" s="31">
        <f>IF($C25=0,0,IF(_xlfn.XLOOKUP($B25,'PW_MLG GRADE 10'!$B$7:$B$31,'PW_MLG GRADE 10'!#REF!,"",0,1)="P",1*$C25,0))</f>
        <v>0</v>
      </c>
      <c r="BE25" s="31">
        <f>IF($C25=0,0,IF(_xlfn.XLOOKUP($B25,'PW_MLG GRADE 10'!$B$7:$B$31,'PW_MLG GRADE 10'!#REF!,"",0,1)="P",1*$C25,0))</f>
        <v>0</v>
      </c>
      <c r="BF25" s="31">
        <f>IF($C25=0,0,IF(_xlfn.XLOOKUP($B25,'PW_MLG GRADE 10'!$B$7:$B$31,'PW_MLG GRADE 10'!#REF!,"",0,1)="P",1*$C25,0))</f>
        <v>0</v>
      </c>
      <c r="BG25" s="31">
        <f>IF($C25=0,0,IF(_xlfn.XLOOKUP($B25,'PW_MLG GRADE 10'!$B$7:$B$31,'PW_MLG GRADE 10'!#REF!,"",0,1)="P",1*$C25,0))</f>
        <v>0</v>
      </c>
      <c r="BH25" s="31">
        <f>IF($C25=0,0,IF(_xlfn.XLOOKUP($B25,'PW_MLG GRADE 10'!$B$7:$B$31,'PW_MLG GRADE 10'!#REF!,"",0,1)="P",1*$C25,0))</f>
        <v>0</v>
      </c>
      <c r="BI25" s="31">
        <f>IF($C25=0,0,IF(_xlfn.XLOOKUP($B25,'PW_MLG GRADE 10'!$B$7:$B$31,'PW_MLG GRADE 10'!#REF!,"",0,1)="P",1*$C25,0))</f>
        <v>0</v>
      </c>
      <c r="BJ25" s="31">
        <f>IF($C25=0,0,IF(_xlfn.XLOOKUP($B25,'PW_MLG GRADE 10'!$B$7:$B$31,'PW_MLG GRADE 10'!#REF!,"",0,1)="P",1*$C25,0))</f>
        <v>0</v>
      </c>
      <c r="BK25" s="31">
        <f>IF($C25=0,0,IF(_xlfn.XLOOKUP($B25,'PW_MLG GRADE 10'!$B$7:$B$31,'PW_MLG GRADE 10'!#REF!,"",0,1)="P",1*$C25,0))</f>
        <v>0</v>
      </c>
      <c r="BL25" s="31">
        <f>IF($C25=0,0,IF(_xlfn.XLOOKUP($B25,'PW_MLG GRADE 10'!$B$7:$B$31,'PW_MLG GRADE 10'!#REF!,"",0,1)="P",1*$C25,0))</f>
        <v>0</v>
      </c>
      <c r="BM25" s="31">
        <f>IF($C25=0,0,IF(_xlfn.XLOOKUP($B25,'PW_MLG GRADE 10'!$B$7:$B$31,'PW_MLG GRADE 10'!#REF!,"",0,1)="P",1*$C25,0))</f>
        <v>0</v>
      </c>
      <c r="BN25" s="31">
        <f>IF($C25=0,0,IF(_xlfn.XLOOKUP($B25,'PW_MLG GRADE 10'!$B$7:$B$31,'PW_MLG GRADE 10'!#REF!,"",0,1)="P",1*$C25,0))</f>
        <v>0</v>
      </c>
      <c r="BO25" s="31">
        <f>IF($C25=0,0,IF(_xlfn.XLOOKUP($B25,'PW_MLG GRADE 10'!$B$7:$B$31,'PW_MLG GRADE 10'!#REF!,"",0,1)="P",1*$C25,0))</f>
        <v>0</v>
      </c>
      <c r="BP25" s="31">
        <f>IF($C25=0,0,IF(_xlfn.XLOOKUP($B25,'PW_MLG GRADE 10'!$B$7:$B$31,'PW_MLG GRADE 10'!#REF!,"",0,1)="P",1*$C25,0))</f>
        <v>0</v>
      </c>
      <c r="BQ25" s="31">
        <f>IF($C25=0,0,IF(_xlfn.XLOOKUP($B25,'PW_MLG GRADE 10'!$B$7:$B$31,'PW_MLG GRADE 10'!#REF!,"",0,1)="P",1*$C25,0))</f>
        <v>0</v>
      </c>
      <c r="BR25" s="31">
        <f>IF($C25=0,0,IF(_xlfn.XLOOKUP($B25,'PW_MLG GRADE 10'!$B$7:$B$31,'PW_MLG GRADE 10'!#REF!,"",0,1)="P",1*$C25,0))</f>
        <v>0</v>
      </c>
      <c r="BS25" s="31">
        <f>IF($C25=0,0,IF(_xlfn.XLOOKUP($B25,'PW_MLG GRADE 10'!$B$7:$B$31,'PW_MLG GRADE 10'!#REF!,"",0,1)="P",1*$C25,0))</f>
        <v>0</v>
      </c>
      <c r="BT25" s="31">
        <f>IF($C25=0,0,IF(_xlfn.XLOOKUP($B25,'PW_MLG GRADE 10'!$B$7:$B$31,'PW_MLG GRADE 10'!#REF!,"",0,1)="P",1*$C25,0))</f>
        <v>0</v>
      </c>
      <c r="BU25" s="31">
        <f>IF($C25=0,0,IF(_xlfn.XLOOKUP($B25,'PW_MLG GRADE 10'!$B$7:$B$31,'PW_MLG GRADE 10'!#REF!,"",0,1)="P",1*$C25,0))</f>
        <v>0</v>
      </c>
      <c r="BV25" s="31">
        <f>IF($C25=0,0,IF(_xlfn.XLOOKUP($B25,'PW_MLG GRADE 10'!$B$7:$B$31,'PW_MLG GRADE 10'!#REF!,"",0,1)="P",1*$C25,0))</f>
        <v>0</v>
      </c>
      <c r="BW25" s="31">
        <f>IF($C25=0,0,IF(_xlfn.XLOOKUP($B25,'PW_MLG GRADE 10'!$B$7:$B$31,'PW_MLG GRADE 10'!#REF!,"",0,1)="P",1*$C25,0))</f>
        <v>0</v>
      </c>
      <c r="BX25" s="31">
        <f>IF($C25=0,0,IF(_xlfn.XLOOKUP($B25,'PW_MLG GRADE 10'!$B$7:$B$31,'PW_MLG GRADE 10'!#REF!,"",0,1)="P",1*$C25,0))</f>
        <v>0</v>
      </c>
      <c r="BY25" s="31">
        <f>IF($C25=0,0,IF(_xlfn.XLOOKUP($B25,'PW_MLG GRADE 10'!$B$7:$B$31,'PW_MLG GRADE 10'!#REF!,"",0,1)="P",1*$C25,0))</f>
        <v>0</v>
      </c>
      <c r="BZ25" s="31">
        <f>IF($C25=0,0,IF(_xlfn.XLOOKUP($B25,'PW_MLG GRADE 10'!$B$7:$B$31,'PW_MLG GRADE 10'!#REF!,"",0,1)="P",1*$C25,0))</f>
        <v>0</v>
      </c>
      <c r="CA25" s="31">
        <f>IF($C25=0,0,IF(_xlfn.XLOOKUP($B25,'PW_MLG GRADE 10'!$B$7:$B$31,'PW_MLG GRADE 10'!#REF!,"",0,1)="P",1*$C25,0))</f>
        <v>0</v>
      </c>
      <c r="CB25" s="31">
        <f>IF($C25=0,0,IF(_xlfn.XLOOKUP($B25,'PW_MLG GRADE 10'!$B$7:$B$31,'PW_MLG GRADE 10'!#REF!,"",0,1)="P",1*$C25,0))</f>
        <v>0</v>
      </c>
      <c r="CC25" s="31">
        <f>IF($C25=0,0,IF(_xlfn.XLOOKUP($B25,'PW_MLG GRADE 10'!$B$7:$B$31,'PW_MLG GRADE 10'!#REF!,"",0,1)="P",1*$C25,0))</f>
        <v>0</v>
      </c>
      <c r="CD25" s="31">
        <f>IF($C25=0,0,IF(_xlfn.XLOOKUP($B25,'PW_MLG GRADE 10'!$B$7:$B$31,'PW_MLG GRADE 10'!#REF!,"",0,1)="P",1*$C25,0))</f>
        <v>0</v>
      </c>
      <c r="CE25" s="32">
        <f>IF($C25=0,0,IF(_xlfn.XLOOKUP($B25,'PW_CMI GRADE 10'!$B$7:$B$31,'PW_CMI GRADE 10'!C$7:C$31,"",0,1)="P",1*$C25,0))</f>
        <v>0</v>
      </c>
      <c r="CF25" s="32">
        <f>IF($C25=0,0,IF(_xlfn.XLOOKUP($B25,'PW_CMI GRADE 10'!$B$7:$B$31,'PW_CMI GRADE 10'!D$7:D$31,"",0,1)="P",1*$C25,0))</f>
        <v>0</v>
      </c>
      <c r="CG25" s="32">
        <f>IF($C25=0,0,IF(_xlfn.XLOOKUP($B25,'PW_CMI GRADE 10'!$B$7:$B$31,'PW_CMI GRADE 10'!E$7:E$31,"",0,1)="P",1*$C25,0))</f>
        <v>0</v>
      </c>
      <c r="CH25" s="32">
        <f>IF($C25=0,0,IF(_xlfn.XLOOKUP($B25,'PW_CMI GRADE 10'!$B$7:$B$31,'PW_CMI GRADE 10'!F$7:F$31,"",0,1)="P",1*$C25,0))</f>
        <v>0</v>
      </c>
      <c r="CI25" s="32">
        <f>IF($C25=0,0,IF(_xlfn.XLOOKUP($B25,'PW_CMI GRADE 10'!$B$7:$B$31,'PW_CMI GRADE 10'!G$7:G$31,"",0,1)="P",1*$C25,0))</f>
        <v>0</v>
      </c>
      <c r="CJ25" s="32">
        <f>IF($C25=0,0,IF(_xlfn.XLOOKUP($B25,'PW_CMI GRADE 10'!$B$7:$B$31,'PW_CMI GRADE 10'!H$7:H$31,"",0,1)="P",1*$C25,0))</f>
        <v>0</v>
      </c>
      <c r="CK25" s="32">
        <f>IF($C25=0,0,IF(_xlfn.XLOOKUP($B25,'PW_CMI GRADE 10'!$B$7:$B$31,'PW_CMI GRADE 10'!I$7:I$31,"",0,1)="P",1*$C25,0))</f>
        <v>0</v>
      </c>
      <c r="CL25" s="32">
        <f>IF($C25=0,0,IF(_xlfn.XLOOKUP($B25,'PW_CMI GRADE 10'!$B$7:$B$31,'PW_CMI GRADE 10'!J$7:J$31,"",0,1)="P",1*$C25,0))</f>
        <v>0</v>
      </c>
      <c r="CM25" s="32">
        <f>IF($C25=0,0,IF(_xlfn.XLOOKUP($B25,'PW_CMI GRADE 10'!$B$7:$B$31,'PW_CMI GRADE 10'!K$7:K$31,"",0,1)="P",1*$C25,0))</f>
        <v>0</v>
      </c>
      <c r="CN25" s="32">
        <f>IF($C25=0,0,IF(_xlfn.XLOOKUP($B25,'PW_CMI GRADE 10'!$B$7:$B$31,'PW_CMI GRADE 10'!L$7:L$31,"",0,1)="P",1*$C25,0))</f>
        <v>0</v>
      </c>
      <c r="CO25" s="32">
        <f>IF($C25=0,0,IF(_xlfn.XLOOKUP($B25,'PW_CMI GRADE 10'!$B$7:$B$31,'PW_CMI GRADE 10'!M$7:M$31,"",0,1)="P",1*$C25,0))</f>
        <v>0</v>
      </c>
      <c r="CP25" s="32">
        <f>IF($C25=0,0,IF(_xlfn.XLOOKUP($B25,'PW_CMI GRADE 10'!$B$7:$B$31,'PW_CMI GRADE 10'!N$7:N$31,"",0,1)="P",1*$C25,0))</f>
        <v>0</v>
      </c>
      <c r="CQ25" s="32">
        <f>IF($C25=0,0,IF(_xlfn.XLOOKUP($B25,'PW_CMI GRADE 10'!$B$7:$B$31,'PW_CMI GRADE 10'!O$7:O$31,"",0,1)="P",1*$C25,0))</f>
        <v>0</v>
      </c>
      <c r="CR25" s="32">
        <f>IF($C25=0,0,IF(_xlfn.XLOOKUP($B25,'PW_CMI GRADE 10'!$B$7:$B$31,'PW_CMI GRADE 10'!P$7:P$31,"",0,1)="P",1*$C25,0))</f>
        <v>0</v>
      </c>
      <c r="CS25" s="32">
        <f>IF($C25=0,0,IF(_xlfn.XLOOKUP($B25,'PW_CMI GRADE 10'!$B$7:$B$31,'PW_CMI GRADE 10'!Q$7:Q$31,"",0,1)="P",1*$C25,0))</f>
        <v>0</v>
      </c>
      <c r="CT25" s="32">
        <f>IF($C25=0,0,IF(_xlfn.XLOOKUP($B25,'PW_CMI GRADE 10'!$B$7:$B$31,'PW_CMI GRADE 10'!R$7:R$31,"",0,1)="P",1*$C25,0))</f>
        <v>0</v>
      </c>
      <c r="CU25" s="32">
        <f>IF($C25=0,0,IF(_xlfn.XLOOKUP($B25,'PW_CMI GRADE 10'!$B$7:$B$31,'PW_CMI GRADE 10'!S$7:S$31,"",0,1)="P",1*$C25,0))</f>
        <v>0</v>
      </c>
      <c r="CV25" s="32">
        <f>IF($C25=0,0,IF(_xlfn.XLOOKUP($B25,'PW_CMI GRADE 10'!$B$7:$B$31,'PW_CMI GRADE 10'!T$7:T$31,"",0,1)="P",1*$C25,0))</f>
        <v>0</v>
      </c>
      <c r="CW25" s="62">
        <f t="shared" si="19"/>
        <v>0</v>
      </c>
      <c r="CX25" s="62">
        <f t="shared" si="20"/>
        <v>0</v>
      </c>
      <c r="CY25" s="62">
        <f t="shared" si="21"/>
        <v>0</v>
      </c>
      <c r="CZ25" s="62">
        <f t="shared" si="22"/>
        <v>0</v>
      </c>
      <c r="DA25" s="62">
        <f t="shared" si="23"/>
        <v>0.33333333333333331</v>
      </c>
      <c r="DB25" s="62">
        <f t="shared" si="24"/>
        <v>0.33333333333333331</v>
      </c>
      <c r="DC25" s="62">
        <f t="shared" si="25"/>
        <v>0.33333333333333331</v>
      </c>
      <c r="DD25" s="62">
        <f t="shared" si="26"/>
        <v>0.33333333333333331</v>
      </c>
      <c r="DE25" s="62">
        <f t="shared" si="27"/>
        <v>0.33333333333333331</v>
      </c>
      <c r="DF25" s="62">
        <f t="shared" si="28"/>
        <v>0.66666666666666663</v>
      </c>
      <c r="DG25" s="62">
        <f t="shared" si="29"/>
        <v>0.33333333333333331</v>
      </c>
      <c r="DH25" s="62">
        <f t="shared" si="30"/>
        <v>0.66666666666666663</v>
      </c>
      <c r="DI25" s="62">
        <f t="shared" si="31"/>
        <v>0.66666666666666663</v>
      </c>
      <c r="DJ25" s="62">
        <f t="shared" si="32"/>
        <v>0.66666666666666663</v>
      </c>
      <c r="DK25" s="62">
        <f t="shared" si="33"/>
        <v>0.33333333333333331</v>
      </c>
      <c r="DL25" s="62">
        <f t="shared" si="34"/>
        <v>0</v>
      </c>
      <c r="DM25" s="62">
        <f t="shared" si="35"/>
        <v>0</v>
      </c>
      <c r="DN25" s="62">
        <f t="shared" si="36"/>
        <v>0</v>
      </c>
      <c r="DO25" s="62">
        <f t="shared" si="37"/>
        <v>0</v>
      </c>
      <c r="DP25" s="62">
        <f t="shared" si="38"/>
        <v>0</v>
      </c>
      <c r="DQ25" s="62">
        <f t="shared" si="39"/>
        <v>0</v>
      </c>
      <c r="DR25" s="62">
        <f t="shared" si="40"/>
        <v>0</v>
      </c>
      <c r="DS25" s="62" t="e">
        <f t="shared" si="41"/>
        <v>#REF!</v>
      </c>
      <c r="DT25" s="62" t="e">
        <f t="shared" si="42"/>
        <v>#REF!</v>
      </c>
      <c r="DU25" s="62" t="e">
        <f t="shared" si="43"/>
        <v>#REF!</v>
      </c>
      <c r="DV25" s="62" t="e">
        <f t="shared" si="44"/>
        <v>#REF!</v>
      </c>
      <c r="DW25" s="62" t="e">
        <f t="shared" si="45"/>
        <v>#REF!</v>
      </c>
      <c r="DX25" s="62" t="e">
        <f t="shared" si="46"/>
        <v>#REF!</v>
      </c>
      <c r="DY25" s="62" t="e">
        <f t="shared" si="47"/>
        <v>#REF!</v>
      </c>
      <c r="DZ25" s="62" t="e">
        <f t="shared" si="48"/>
        <v>#REF!</v>
      </c>
      <c r="EA25" s="63">
        <f t="shared" si="68"/>
        <v>0</v>
      </c>
      <c r="EB25" s="63">
        <f t="shared" si="2"/>
        <v>0</v>
      </c>
      <c r="EC25" s="63">
        <f t="shared" si="3"/>
        <v>0</v>
      </c>
      <c r="ED25" s="63">
        <f t="shared" si="4"/>
        <v>0</v>
      </c>
      <c r="EE25" s="63">
        <f t="shared" si="5"/>
        <v>0</v>
      </c>
      <c r="EF25" s="63">
        <f t="shared" si="6"/>
        <v>0</v>
      </c>
      <c r="EG25" s="63">
        <f t="shared" si="7"/>
        <v>0</v>
      </c>
      <c r="EH25" s="63">
        <f t="shared" si="8"/>
        <v>0</v>
      </c>
      <c r="EI25" s="63">
        <f t="shared" si="9"/>
        <v>0</v>
      </c>
      <c r="EJ25" s="63">
        <f t="shared" si="10"/>
        <v>0</v>
      </c>
      <c r="EK25" s="63">
        <f t="shared" si="11"/>
        <v>0.33333333333333331</v>
      </c>
      <c r="EL25" s="63">
        <f t="shared" si="12"/>
        <v>0.66666666666666663</v>
      </c>
      <c r="EM25" s="63">
        <f t="shared" si="13"/>
        <v>0.66666666666666663</v>
      </c>
      <c r="EN25" s="63">
        <f t="shared" si="14"/>
        <v>0.66666666666666663</v>
      </c>
      <c r="EO25" s="63">
        <f t="shared" si="15"/>
        <v>0.66666666666666663</v>
      </c>
      <c r="EP25" s="63">
        <f t="shared" si="16"/>
        <v>0.66666666666666663</v>
      </c>
      <c r="FU25" s="51">
        <v>46478</v>
      </c>
      <c r="FV25" t="s">
        <v>22</v>
      </c>
      <c r="FW25" t="s">
        <v>22</v>
      </c>
      <c r="FX25" t="s">
        <v>22</v>
      </c>
      <c r="FY25" t="s">
        <v>22</v>
      </c>
      <c r="FZ25" t="s">
        <v>22</v>
      </c>
      <c r="GA25" t="s">
        <v>22</v>
      </c>
      <c r="GB25" t="s">
        <v>22</v>
      </c>
      <c r="GC25" t="s">
        <v>22</v>
      </c>
      <c r="GD25" t="s">
        <v>22</v>
      </c>
      <c r="GE25" t="s">
        <v>22</v>
      </c>
      <c r="GF25" t="s">
        <v>22</v>
      </c>
      <c r="GG25" t="s">
        <v>22</v>
      </c>
      <c r="GH25" t="s">
        <v>22</v>
      </c>
      <c r="GI25" t="s">
        <v>22</v>
      </c>
      <c r="GJ25" t="s">
        <v>22</v>
      </c>
      <c r="GK25" t="s">
        <v>22</v>
      </c>
      <c r="GL25" t="s">
        <v>22</v>
      </c>
      <c r="GM25" t="s">
        <v>22</v>
      </c>
      <c r="GN25" t="s">
        <v>22</v>
      </c>
      <c r="GO25" t="s">
        <v>22</v>
      </c>
      <c r="GP25" t="s">
        <v>22</v>
      </c>
      <c r="GQ25" t="s">
        <v>22</v>
      </c>
      <c r="GR25" t="s">
        <v>22</v>
      </c>
      <c r="GS25" t="s">
        <v>22</v>
      </c>
      <c r="GT25" t="s">
        <v>22</v>
      </c>
      <c r="GU25" t="s">
        <v>22</v>
      </c>
      <c r="GV25" t="s">
        <v>22</v>
      </c>
      <c r="GW25" t="s">
        <v>22</v>
      </c>
      <c r="GX25" t="s">
        <v>22</v>
      </c>
      <c r="GY25" t="s">
        <v>22</v>
      </c>
      <c r="GZ25" t="s">
        <v>22</v>
      </c>
      <c r="HA25" t="s">
        <v>22</v>
      </c>
      <c r="HB25" t="s">
        <v>22</v>
      </c>
      <c r="HC25" t="s">
        <v>22</v>
      </c>
      <c r="HD25" t="s">
        <v>22</v>
      </c>
      <c r="HE25" t="s">
        <v>22</v>
      </c>
      <c r="HF25" t="s">
        <v>22</v>
      </c>
      <c r="HG25" t="s">
        <v>22</v>
      </c>
      <c r="HH25" t="s">
        <v>22</v>
      </c>
      <c r="HI25" t="s">
        <v>22</v>
      </c>
      <c r="HJ25" t="s">
        <v>22</v>
      </c>
      <c r="HK25" t="s">
        <v>22</v>
      </c>
      <c r="HL25" t="s">
        <v>22</v>
      </c>
      <c r="HM25" t="s">
        <v>22</v>
      </c>
      <c r="HN25" t="s">
        <v>22</v>
      </c>
      <c r="HO25" cm="1">
        <f t="array" ref="HO25">SUMPRODUCT(--(FV25:HN25&lt;&gt;""))</f>
        <v>0</v>
      </c>
    </row>
    <row r="26" spans="1:223">
      <c r="A26" t="str">
        <f t="shared" si="18"/>
        <v>4A.1</v>
      </c>
      <c r="B26" t="s">
        <v>57</v>
      </c>
      <c r="C26" s="27">
        <v>0</v>
      </c>
      <c r="D26" s="27">
        <v>1</v>
      </c>
      <c r="E26" s="31">
        <f>IF($D26=0,0,IF(_xlfn.XLOOKUP($B26,'TH_MLG GRADE 10'!$B$7:$B$49,'TH_MLG GRADE 10'!C$7:C$49,"",0,1)="P",1*$D26,0))</f>
        <v>0</v>
      </c>
      <c r="F26" s="31">
        <f>IF($D26=0,0,IF(_xlfn.XLOOKUP($B26,'TH_MLG GRADE 10'!$B$7:$B$49,'TH_MLG GRADE 10'!D$7:D$49,"",0,1)="P",1*$D26,0))</f>
        <v>0</v>
      </c>
      <c r="G26" s="31">
        <f>IF($D26=0,0,IF(_xlfn.XLOOKUP($B26,'TH_MLG GRADE 10'!$B$7:$B$49,'TH_MLG GRADE 10'!E$7:E$49,"",0,1)="P",1*$D26,0))</f>
        <v>0</v>
      </c>
      <c r="H26" s="31">
        <f>IF($D26=0,0,IF(_xlfn.XLOOKUP($B26,'TH_MLG GRADE 10'!$B$7:$B$49,'TH_MLG GRADE 10'!I$7:I$49,"",0,1)="P",1*$D26,0))</f>
        <v>0</v>
      </c>
      <c r="I26" s="31">
        <f>IF($D26=0,0,IF(_xlfn.XLOOKUP($B26,'TH_MLG GRADE 10'!$B$7:$B$49,'TH_MLG GRADE 10'!J$7:J$49,"",0,1)="P",1*$D26,0))</f>
        <v>0</v>
      </c>
      <c r="J26" s="31">
        <f>IF($D26=0,0,IF(_xlfn.XLOOKUP($B26,'TH_MLG GRADE 10'!$B$7:$B$49,'TH_MLG GRADE 10'!K$7:K$49,"",0,1)="P",1*$D26,0))</f>
        <v>0</v>
      </c>
      <c r="K26" s="31">
        <f>IF($D26=0,0,IF(_xlfn.XLOOKUP($B26,'TH_MLG GRADE 10'!$B$7:$B$49,'TH_MLG GRADE 10'!O$7:O$49,"",0,1)="P",1*$D26,0))</f>
        <v>0</v>
      </c>
      <c r="L26" s="31">
        <f>IF($D26=0,0,IF(_xlfn.XLOOKUP($B26,'TH_MLG GRADE 10'!$B$7:$B$49,'TH_MLG GRADE 10'!P$7:P$49,"",0,1)="P",1*$D26,0))</f>
        <v>0</v>
      </c>
      <c r="M26" s="31">
        <f>IF($D26=0,0,IF(_xlfn.XLOOKUP($B26,'TH_MLG GRADE 10'!$B$7:$B$49,'TH_MLG GRADE 10'!Q$7:Q$49,"",0,1)="P",1*$D26,0))</f>
        <v>0</v>
      </c>
      <c r="N26" s="31">
        <f>IF($D26=0,0,IF(_xlfn.XLOOKUP($B26,'TH_MLG GRADE 10'!$B$7:$B$49,'TH_MLG GRADE 10'!AA$7:AA$49,"",0,1)="P",1*$D26,0))</f>
        <v>1</v>
      </c>
      <c r="O26" s="31">
        <f>IF($D26=0,0,IF(_xlfn.XLOOKUP($B26,'TH_MLG GRADE 10'!$B$7:$B$49,'TH_MLG GRADE 10'!AB$7:AB$49,"",0,1)="P",1*$D26,0))</f>
        <v>0</v>
      </c>
      <c r="P26" s="31">
        <f>IF($D26=0,0,IF(_xlfn.XLOOKUP($B26,'TH_MLG GRADE 10'!$B$7:$B$49,'TH_MLG GRADE 10'!AC$7:AC$49,"",0,1)="P",1*$D26,0))</f>
        <v>1</v>
      </c>
      <c r="Q26" s="31">
        <f>IF($D26=0,0,IF(_xlfn.XLOOKUP($B26,'TH_MLG GRADE 10'!$B$7:$B$49,'TH_MLG GRADE 10'!AG$7:AG$49,"",0,1)="P",1*$D26,0))</f>
        <v>1</v>
      </c>
      <c r="R26" s="31">
        <f>IF($D26=0,0,IF(_xlfn.XLOOKUP($B26,'TH_MLG GRADE 10'!$B$7:$B$49,'TH_MLG GRADE 10'!AH$7:AH$49,"",0,1)="P",1*$D26,0))</f>
        <v>1</v>
      </c>
      <c r="S26" s="31">
        <f>IF($D26=0,0,IF(_xlfn.XLOOKUP($B26,'TH_MLG GRADE 10'!$B$7:$B$49,'TH_MLG GRADE 10'!AI$7:AI$49,"",0,1)="P",1*$D26,0))</f>
        <v>1</v>
      </c>
      <c r="T26" s="31">
        <f>IF($D26=0,0,IF(_xlfn.XLOOKUP($B26,'TH_MLG GRADE 10'!$B$7:$B$49,'TH_MLG GRADE 10'!AM$7:AM$49,"",0,1)="P",1*$D26,0))</f>
        <v>0</v>
      </c>
      <c r="U26" s="31">
        <f>IF($D26=0,0,IF(_xlfn.XLOOKUP($B26,'TH_MLG GRADE 10'!$B$7:$B$49,'TH_MLG GRADE 10'!AN$7:AN$49,"",0,1)="P",1*$D26,0))</f>
        <v>0</v>
      </c>
      <c r="V26" s="31">
        <f>IF($D26=0,0,IF(_xlfn.XLOOKUP($B26,'TH_MLG GRADE 10'!$B$7:$B$49,'TH_MLG GRADE 10'!AO$7:AO$49,"",0,1)="P",1*$D26,0))</f>
        <v>0</v>
      </c>
      <c r="W26" s="31">
        <f>IF($D26=0,0,IF(_xlfn.XLOOKUP($B26,'TH_MLG GRADE 10'!$B$7:$B$49,'TH_MLG GRADE 10'!AY$7:AY$49,"",0,1)="P",1*$D26,0))</f>
        <v>0</v>
      </c>
      <c r="X26" s="31">
        <f>IF($D26=0,0,IF(_xlfn.XLOOKUP($B26,'TH_MLG GRADE 10'!$B$7:$B$49,'TH_MLG GRADE 10'!AZ$7:AZ$49,"",0,1)="P",1*$D26,0))</f>
        <v>0</v>
      </c>
      <c r="Y26" s="31">
        <f>IF($D26=0,0,IF(_xlfn.XLOOKUP($B26,'TH_MLG GRADE 10'!$B$7:$B$49,'TH_MLG GRADE 10'!BA$7:BA$49,"",0,1)="P",1*$D26,0))</f>
        <v>0</v>
      </c>
      <c r="Z26" s="31">
        <f>IF($D26=0,0,IF(_xlfn.XLOOKUP($B26,'TH_MLG GRADE 10'!$B$7:$B$49,'TH_MLG GRADE 10'!BE$7:BE$49,"",0,1)="P",1*$D26,0))</f>
        <v>0</v>
      </c>
      <c r="AA26" s="31">
        <f>IF($D26=0,0,IF(_xlfn.XLOOKUP($B26,'TH_MLG GRADE 10'!$B$7:$B$49,'TH_MLG GRADE 10'!BF$7:BF$49,"",0,1)="P",1*$D26,0))</f>
        <v>0</v>
      </c>
      <c r="AB26" s="31">
        <f>IF($D26=0,0,IF(_xlfn.XLOOKUP($B26,'TH_MLG GRADE 10'!$B$7:$B$49,'TH_MLG GRADE 10'!BG$7:BG$49,"",0,1)="P",1*$D26,0))</f>
        <v>0</v>
      </c>
      <c r="AC26" s="31" t="e">
        <f>IF($D26=0,0,IF(_xlfn.XLOOKUP($B26,'TH_MLG GRADE 10'!$B$7:$B$49,'TH_MLG GRADE 10'!#REF!,"",0,1)="P",1*$D26,0))</f>
        <v>#REF!</v>
      </c>
      <c r="AD26" s="31" t="e">
        <f>IF($D26=0,0,IF(_xlfn.XLOOKUP($B26,'TH_MLG GRADE 10'!$B$7:$B$49,'TH_MLG GRADE 10'!#REF!,"",0,1)="P",1*$D26,0))</f>
        <v>#REF!</v>
      </c>
      <c r="AE26" s="31" t="e">
        <f>IF($D26=0,0,IF(_xlfn.XLOOKUP($B26,'TH_MLG GRADE 10'!$B$7:$B$49,'TH_MLG GRADE 10'!#REF!,"",0,1)="P",1*$D26,0))</f>
        <v>#REF!</v>
      </c>
      <c r="AF26" s="31" t="e">
        <f>IF($D26=0,0,IF(_xlfn.XLOOKUP($B26,'TH_MLG GRADE 10'!$B$7:$B$49,'TH_MLG GRADE 10'!#REF!,"",0,1)="P",1*$D26,0))</f>
        <v>#REF!</v>
      </c>
      <c r="AG26" s="31" t="e">
        <f>IF($D26=0,0,IF(_xlfn.XLOOKUP($B26,'TH_MLG GRADE 10'!$B$7:$B$49,'TH_MLG GRADE 10'!#REF!,"",0,1)="P",1*$D26,0))</f>
        <v>#REF!</v>
      </c>
      <c r="AH26" s="31" t="e">
        <f>IF($D26=0,0,IF(_xlfn.XLOOKUP($B26,'TH_MLG GRADE 10'!$B$7:$B$49,'TH_MLG GRADE 10'!#REF!,"",0,1)="P",1*$D26,0))</f>
        <v>#REF!</v>
      </c>
      <c r="AI26" s="32">
        <f>IF($D26=0,0,IF(_xlfn.XLOOKUP($B26,'TH_CMI GRADE 10'!$B$7:$B$49,'TH_CMI GRADE 10'!C$7:C$49,"",0,1)="P",1*$D26,0))</f>
        <v>0</v>
      </c>
      <c r="AJ26" s="32">
        <f>IF($D26=0,0,IF(_xlfn.XLOOKUP($B26,'TH_CMI GRADE 10'!$B$7:$B$49,'TH_CMI GRADE 10'!D$7:D$49,"",0,1)="P",1*$D26,0))</f>
        <v>0</v>
      </c>
      <c r="AK26" s="32">
        <f>IF($D26=0,0,IF(_xlfn.XLOOKUP($B26,'TH_CMI GRADE 10'!$B$7:$B$49,'TH_CMI GRADE 10'!H$7:H$49,"",0,1)="P",1*$D26,0))</f>
        <v>0</v>
      </c>
      <c r="AL26" s="32">
        <f>IF($D26=0,0,IF(_xlfn.XLOOKUP($B26,'TH_CMI GRADE 10'!$B$7:$B$49,'TH_CMI GRADE 10'!I$7:I$49,"",0,1)="P",1*$D26,0))</f>
        <v>0</v>
      </c>
      <c r="AM26" s="32">
        <f>IF($D26=0,0,IF(_xlfn.XLOOKUP($B26,'TH_CMI GRADE 10'!$B$7:$B$49,'TH_CMI GRADE 10'!J$7:J$49,"",0,1)="P",1*$D26,0))</f>
        <v>0</v>
      </c>
      <c r="AN26" s="32">
        <f>IF($D26=0,0,IF(_xlfn.XLOOKUP($B26,'TH_CMI GRADE 10'!$B$7:$B$49,'TH_CMI GRADE 10'!K$7:K$49,"",0,1)="P",1*$D26,0))</f>
        <v>0</v>
      </c>
      <c r="AO26" s="32">
        <f>IF($D26=0,0,IF(_xlfn.XLOOKUP($B26,'TH_CMI GRADE 10'!$B$7:$B$49,'TH_CMI GRADE 10'!O$7:O$49,"",0,1)="P",1*$D26,0))</f>
        <v>0</v>
      </c>
      <c r="AP26" s="32">
        <f>IF($D26=0,0,IF(_xlfn.XLOOKUP($B26,'TH_CMI GRADE 10'!$B$7:$B$49,'TH_CMI GRADE 10'!P$7:P$49,"",0,1)="P",1*$D26,0))</f>
        <v>0</v>
      </c>
      <c r="AQ26" s="32">
        <f>IF($D26=0,0,IF(_xlfn.XLOOKUP($B26,'TH_CMI GRADE 10'!$B$7:$B$49,'TH_CMI GRADE 10'!Q$7:Q$49,"",0,1)="P",1*$D26,0))</f>
        <v>0</v>
      </c>
      <c r="AR26" s="32">
        <f>IF($D26=0,0,IF(_xlfn.XLOOKUP($B26,'TH_CMI GRADE 10'!$B$7:$B$49,'TH_CMI GRADE 10'!U$7:U$49,"",0,1)="P",1*$D26,0))</f>
        <v>0</v>
      </c>
      <c r="AS26" s="32">
        <f>IF($D26=0,0,IF(_xlfn.XLOOKUP($B26,'TH_CMI GRADE 10'!$B$7:$B$49,'TH_CMI GRADE 10'!V$7:V$49,"",0,1)="P",1*$D26,0))</f>
        <v>0</v>
      </c>
      <c r="AT26" s="32">
        <f>IF($D26=0,0,IF(_xlfn.XLOOKUP($B26,'TH_CMI GRADE 10'!$B$7:$B$49,'TH_CMI GRADE 10'!W$7:W$49,"",0,1)="P",1*$D26,0))</f>
        <v>0</v>
      </c>
      <c r="AU26" s="32">
        <f>IF($D26=0,0,IF(_xlfn.XLOOKUP($B26,'TH_CMI GRADE 10'!$B$7:$B$49,'TH_CMI GRADE 10'!AA$7:AA$49,"",0,1)="P",1*$D26,0))</f>
        <v>1</v>
      </c>
      <c r="AV26" s="32">
        <f>IF($D26=0,0,IF(_xlfn.XLOOKUP($B26,'TH_CMI GRADE 10'!$B$7:$B$49,'TH_CMI GRADE 10'!AB$7:AB$49,"",0,1)="P",1*$D26,0))</f>
        <v>1</v>
      </c>
      <c r="AW26" s="32">
        <f>IF($D26=0,0,IF(_xlfn.XLOOKUP($B26,'TH_CMI GRADE 10'!$B$7:$B$49,'TH_CMI GRADE 10'!AC$7:AC$49,"",0,1)="P",1*$D26,0))</f>
        <v>1</v>
      </c>
      <c r="AX26" s="32">
        <f>IF($D26=0,0,IF(_xlfn.XLOOKUP($B26,'TH_CMI GRADE 10'!$B$7:$B$49,'TH_CMI GRADE 10'!AG$7:AG$49,"",0,1)="P",1*$D26,0))</f>
        <v>1</v>
      </c>
      <c r="AY26" s="32">
        <f>IF($D26=0,0,IF(_xlfn.XLOOKUP($B26,'TH_CMI GRADE 10'!$B$7:$B$49,'TH_CMI GRADE 10'!AH$7:AH$49,"",0,1)="P",1*$D26,0))</f>
        <v>1</v>
      </c>
      <c r="AZ26" s="32">
        <f>IF($D26=0,0,IF(_xlfn.XLOOKUP($B26,'TH_CMI GRADE 10'!$B$7:$B$49,'TH_CMI GRADE 10'!AI$7:AI$49,"",0,1)="P",1*$D26,0))</f>
        <v>1</v>
      </c>
      <c r="BA26" s="31">
        <f>IF($C26=0,0,IF(_xlfn.XLOOKUP($B26,'PW_MLG GRADE 10'!$B$7:$B$31,'PW_MLG GRADE 10'!#REF!,"",0,1)="P",1*$C26,0))</f>
        <v>0</v>
      </c>
      <c r="BB26" s="31">
        <f>IF($C26=0,0,IF(_xlfn.XLOOKUP($B26,'PW_MLG GRADE 10'!$B$7:$B$31,'PW_MLG GRADE 10'!#REF!,"",0,1)="P",1*$C26,0))</f>
        <v>0</v>
      </c>
      <c r="BC26" s="31">
        <f>IF($C26=0,0,IF(_xlfn.XLOOKUP($B26,'PW_MLG GRADE 10'!$B$7:$B$31,'PW_MLG GRADE 10'!#REF!,"",0,1)="P",1*$C26,0))</f>
        <v>0</v>
      </c>
      <c r="BD26" s="31">
        <f>IF($C26=0,0,IF(_xlfn.XLOOKUP($B26,'PW_MLG GRADE 10'!$B$7:$B$31,'PW_MLG GRADE 10'!#REF!,"",0,1)="P",1*$C26,0))</f>
        <v>0</v>
      </c>
      <c r="BE26" s="31">
        <f>IF($C26=0,0,IF(_xlfn.XLOOKUP($B26,'PW_MLG GRADE 10'!$B$7:$B$31,'PW_MLG GRADE 10'!#REF!,"",0,1)="P",1*$C26,0))</f>
        <v>0</v>
      </c>
      <c r="BF26" s="31">
        <f>IF($C26=0,0,IF(_xlfn.XLOOKUP($B26,'PW_MLG GRADE 10'!$B$7:$B$31,'PW_MLG GRADE 10'!#REF!,"",0,1)="P",1*$C26,0))</f>
        <v>0</v>
      </c>
      <c r="BG26" s="31">
        <f>IF($C26=0,0,IF(_xlfn.XLOOKUP($B26,'PW_MLG GRADE 10'!$B$7:$B$31,'PW_MLG GRADE 10'!#REF!,"",0,1)="P",1*$C26,0))</f>
        <v>0</v>
      </c>
      <c r="BH26" s="31">
        <f>IF($C26=0,0,IF(_xlfn.XLOOKUP($B26,'PW_MLG GRADE 10'!$B$7:$B$31,'PW_MLG GRADE 10'!#REF!,"",0,1)="P",1*$C26,0))</f>
        <v>0</v>
      </c>
      <c r="BI26" s="31">
        <f>IF($C26=0,0,IF(_xlfn.XLOOKUP($B26,'PW_MLG GRADE 10'!$B$7:$B$31,'PW_MLG GRADE 10'!#REF!,"",0,1)="P",1*$C26,0))</f>
        <v>0</v>
      </c>
      <c r="BJ26" s="31">
        <f>IF($C26=0,0,IF(_xlfn.XLOOKUP($B26,'PW_MLG GRADE 10'!$B$7:$B$31,'PW_MLG GRADE 10'!#REF!,"",0,1)="P",1*$C26,0))</f>
        <v>0</v>
      </c>
      <c r="BK26" s="31">
        <f>IF($C26=0,0,IF(_xlfn.XLOOKUP($B26,'PW_MLG GRADE 10'!$B$7:$B$31,'PW_MLG GRADE 10'!#REF!,"",0,1)="P",1*$C26,0))</f>
        <v>0</v>
      </c>
      <c r="BL26" s="31">
        <f>IF($C26=0,0,IF(_xlfn.XLOOKUP($B26,'PW_MLG GRADE 10'!$B$7:$B$31,'PW_MLG GRADE 10'!#REF!,"",0,1)="P",1*$C26,0))</f>
        <v>0</v>
      </c>
      <c r="BM26" s="31">
        <f>IF($C26=0,0,IF(_xlfn.XLOOKUP($B26,'PW_MLG GRADE 10'!$B$7:$B$31,'PW_MLG GRADE 10'!#REF!,"",0,1)="P",1*$C26,0))</f>
        <v>0</v>
      </c>
      <c r="BN26" s="31">
        <f>IF($C26=0,0,IF(_xlfn.XLOOKUP($B26,'PW_MLG GRADE 10'!$B$7:$B$31,'PW_MLG GRADE 10'!#REF!,"",0,1)="P",1*$C26,0))</f>
        <v>0</v>
      </c>
      <c r="BO26" s="31">
        <f>IF($C26=0,0,IF(_xlfn.XLOOKUP($B26,'PW_MLG GRADE 10'!$B$7:$B$31,'PW_MLG GRADE 10'!#REF!,"",0,1)="P",1*$C26,0))</f>
        <v>0</v>
      </c>
      <c r="BP26" s="31">
        <f>IF($C26=0,0,IF(_xlfn.XLOOKUP($B26,'PW_MLG GRADE 10'!$B$7:$B$31,'PW_MLG GRADE 10'!#REF!,"",0,1)="P",1*$C26,0))</f>
        <v>0</v>
      </c>
      <c r="BQ26" s="31">
        <f>IF($C26=0,0,IF(_xlfn.XLOOKUP($B26,'PW_MLG GRADE 10'!$B$7:$B$31,'PW_MLG GRADE 10'!#REF!,"",0,1)="P",1*$C26,0))</f>
        <v>0</v>
      </c>
      <c r="BR26" s="31">
        <f>IF($C26=0,0,IF(_xlfn.XLOOKUP($B26,'PW_MLG GRADE 10'!$B$7:$B$31,'PW_MLG GRADE 10'!#REF!,"",0,1)="P",1*$C26,0))</f>
        <v>0</v>
      </c>
      <c r="BS26" s="31">
        <f>IF($C26=0,0,IF(_xlfn.XLOOKUP($B26,'PW_MLG GRADE 10'!$B$7:$B$31,'PW_MLG GRADE 10'!#REF!,"",0,1)="P",1*$C26,0))</f>
        <v>0</v>
      </c>
      <c r="BT26" s="31">
        <f>IF($C26=0,0,IF(_xlfn.XLOOKUP($B26,'PW_MLG GRADE 10'!$B$7:$B$31,'PW_MLG GRADE 10'!#REF!,"",0,1)="P",1*$C26,0))</f>
        <v>0</v>
      </c>
      <c r="BU26" s="31">
        <f>IF($C26=0,0,IF(_xlfn.XLOOKUP($B26,'PW_MLG GRADE 10'!$B$7:$B$31,'PW_MLG GRADE 10'!#REF!,"",0,1)="P",1*$C26,0))</f>
        <v>0</v>
      </c>
      <c r="BV26" s="31">
        <f>IF($C26=0,0,IF(_xlfn.XLOOKUP($B26,'PW_MLG GRADE 10'!$B$7:$B$31,'PW_MLG GRADE 10'!#REF!,"",0,1)="P",1*$C26,0))</f>
        <v>0</v>
      </c>
      <c r="BW26" s="31">
        <f>IF($C26=0,0,IF(_xlfn.XLOOKUP($B26,'PW_MLG GRADE 10'!$B$7:$B$31,'PW_MLG GRADE 10'!#REF!,"",0,1)="P",1*$C26,0))</f>
        <v>0</v>
      </c>
      <c r="BX26" s="31">
        <f>IF($C26=0,0,IF(_xlfn.XLOOKUP($B26,'PW_MLG GRADE 10'!$B$7:$B$31,'PW_MLG GRADE 10'!#REF!,"",0,1)="P",1*$C26,0))</f>
        <v>0</v>
      </c>
      <c r="BY26" s="31">
        <f>IF($C26=0,0,IF(_xlfn.XLOOKUP($B26,'PW_MLG GRADE 10'!$B$7:$B$31,'PW_MLG GRADE 10'!#REF!,"",0,1)="P",1*$C26,0))</f>
        <v>0</v>
      </c>
      <c r="BZ26" s="31">
        <f>IF($C26=0,0,IF(_xlfn.XLOOKUP($B26,'PW_MLG GRADE 10'!$B$7:$B$31,'PW_MLG GRADE 10'!#REF!,"",0,1)="P",1*$C26,0))</f>
        <v>0</v>
      </c>
      <c r="CA26" s="31">
        <f>IF($C26=0,0,IF(_xlfn.XLOOKUP($B26,'PW_MLG GRADE 10'!$B$7:$B$31,'PW_MLG GRADE 10'!#REF!,"",0,1)="P",1*$C26,0))</f>
        <v>0</v>
      </c>
      <c r="CB26" s="31">
        <f>IF($C26=0,0,IF(_xlfn.XLOOKUP($B26,'PW_MLG GRADE 10'!$B$7:$B$31,'PW_MLG GRADE 10'!#REF!,"",0,1)="P",1*$C26,0))</f>
        <v>0</v>
      </c>
      <c r="CC26" s="31">
        <f>IF($C26=0,0,IF(_xlfn.XLOOKUP($B26,'PW_MLG GRADE 10'!$B$7:$B$31,'PW_MLG GRADE 10'!#REF!,"",0,1)="P",1*$C26,0))</f>
        <v>0</v>
      </c>
      <c r="CD26" s="31">
        <f>IF($C26=0,0,IF(_xlfn.XLOOKUP($B26,'PW_MLG GRADE 10'!$B$7:$B$31,'PW_MLG GRADE 10'!#REF!,"",0,1)="P",1*$C26,0))</f>
        <v>0</v>
      </c>
      <c r="CE26" s="32">
        <f>IF($C26=0,0,IF(_xlfn.XLOOKUP($B26,'PW_CMI GRADE 10'!$B$7:$B$31,'PW_CMI GRADE 10'!C$7:C$31,"",0,1)="P",1*$C26,0))</f>
        <v>0</v>
      </c>
      <c r="CF26" s="32">
        <f>IF($C26=0,0,IF(_xlfn.XLOOKUP($B26,'PW_CMI GRADE 10'!$B$7:$B$31,'PW_CMI GRADE 10'!D$7:D$31,"",0,1)="P",1*$C26,0))</f>
        <v>0</v>
      </c>
      <c r="CG26" s="32">
        <f>IF($C26=0,0,IF(_xlfn.XLOOKUP($B26,'PW_CMI GRADE 10'!$B$7:$B$31,'PW_CMI GRADE 10'!E$7:E$31,"",0,1)="P",1*$C26,0))</f>
        <v>0</v>
      </c>
      <c r="CH26" s="32">
        <f>IF($C26=0,0,IF(_xlfn.XLOOKUP($B26,'PW_CMI GRADE 10'!$B$7:$B$31,'PW_CMI GRADE 10'!F$7:F$31,"",0,1)="P",1*$C26,0))</f>
        <v>0</v>
      </c>
      <c r="CI26" s="32">
        <f>IF($C26=0,0,IF(_xlfn.XLOOKUP($B26,'PW_CMI GRADE 10'!$B$7:$B$31,'PW_CMI GRADE 10'!G$7:G$31,"",0,1)="P",1*$C26,0))</f>
        <v>0</v>
      </c>
      <c r="CJ26" s="32">
        <f>IF($C26=0,0,IF(_xlfn.XLOOKUP($B26,'PW_CMI GRADE 10'!$B$7:$B$31,'PW_CMI GRADE 10'!H$7:H$31,"",0,1)="P",1*$C26,0))</f>
        <v>0</v>
      </c>
      <c r="CK26" s="32">
        <f>IF($C26=0,0,IF(_xlfn.XLOOKUP($B26,'PW_CMI GRADE 10'!$B$7:$B$31,'PW_CMI GRADE 10'!I$7:I$31,"",0,1)="P",1*$C26,0))</f>
        <v>0</v>
      </c>
      <c r="CL26" s="32">
        <f>IF($C26=0,0,IF(_xlfn.XLOOKUP($B26,'PW_CMI GRADE 10'!$B$7:$B$31,'PW_CMI GRADE 10'!J$7:J$31,"",0,1)="P",1*$C26,0))</f>
        <v>0</v>
      </c>
      <c r="CM26" s="32">
        <f>IF($C26=0,0,IF(_xlfn.XLOOKUP($B26,'PW_CMI GRADE 10'!$B$7:$B$31,'PW_CMI GRADE 10'!K$7:K$31,"",0,1)="P",1*$C26,0))</f>
        <v>0</v>
      </c>
      <c r="CN26" s="32">
        <f>IF($C26=0,0,IF(_xlfn.XLOOKUP($B26,'PW_CMI GRADE 10'!$B$7:$B$31,'PW_CMI GRADE 10'!L$7:L$31,"",0,1)="P",1*$C26,0))</f>
        <v>0</v>
      </c>
      <c r="CO26" s="32">
        <f>IF($C26=0,0,IF(_xlfn.XLOOKUP($B26,'PW_CMI GRADE 10'!$B$7:$B$31,'PW_CMI GRADE 10'!M$7:M$31,"",0,1)="P",1*$C26,0))</f>
        <v>0</v>
      </c>
      <c r="CP26" s="32">
        <f>IF($C26=0,0,IF(_xlfn.XLOOKUP($B26,'PW_CMI GRADE 10'!$B$7:$B$31,'PW_CMI GRADE 10'!N$7:N$31,"",0,1)="P",1*$C26,0))</f>
        <v>0</v>
      </c>
      <c r="CQ26" s="32">
        <f>IF($C26=0,0,IF(_xlfn.XLOOKUP($B26,'PW_CMI GRADE 10'!$B$7:$B$31,'PW_CMI GRADE 10'!O$7:O$31,"",0,1)="P",1*$C26,0))</f>
        <v>0</v>
      </c>
      <c r="CR26" s="32">
        <f>IF($C26=0,0,IF(_xlfn.XLOOKUP($B26,'PW_CMI GRADE 10'!$B$7:$B$31,'PW_CMI GRADE 10'!P$7:P$31,"",0,1)="P",1*$C26,0))</f>
        <v>0</v>
      </c>
      <c r="CS26" s="32">
        <f>IF($C26=0,0,IF(_xlfn.XLOOKUP($B26,'PW_CMI GRADE 10'!$B$7:$B$31,'PW_CMI GRADE 10'!Q$7:Q$31,"",0,1)="P",1*$C26,0))</f>
        <v>0</v>
      </c>
      <c r="CT26" s="32">
        <f>IF($C26=0,0,IF(_xlfn.XLOOKUP($B26,'PW_CMI GRADE 10'!$B$7:$B$31,'PW_CMI GRADE 10'!R$7:R$31,"",0,1)="P",1*$C26,0))</f>
        <v>0</v>
      </c>
      <c r="CU26" s="32">
        <f>IF($C26=0,0,IF(_xlfn.XLOOKUP($B26,'PW_CMI GRADE 10'!$B$7:$B$31,'PW_CMI GRADE 10'!S$7:S$31,"",0,1)="P",1*$C26,0))</f>
        <v>0</v>
      </c>
      <c r="CV26" s="32">
        <f>IF($C26=0,0,IF(_xlfn.XLOOKUP($B26,'PW_CMI GRADE 10'!$B$7:$B$31,'PW_CMI GRADE 10'!T$7:T$31,"",0,1)="P",1*$C26,0))</f>
        <v>0</v>
      </c>
      <c r="CW26" s="62">
        <f t="shared" si="19"/>
        <v>0</v>
      </c>
      <c r="CX26" s="62">
        <f t="shared" si="20"/>
        <v>0</v>
      </c>
      <c r="CY26" s="62">
        <f t="shared" si="21"/>
        <v>0</v>
      </c>
      <c r="CZ26" s="62">
        <f t="shared" si="22"/>
        <v>0</v>
      </c>
      <c r="DA26" s="62">
        <f t="shared" si="23"/>
        <v>0</v>
      </c>
      <c r="DB26" s="62">
        <f t="shared" si="24"/>
        <v>0</v>
      </c>
      <c r="DC26" s="62">
        <f t="shared" si="25"/>
        <v>0</v>
      </c>
      <c r="DD26" s="62">
        <f t="shared" si="26"/>
        <v>0.33333333333333331</v>
      </c>
      <c r="DE26" s="62">
        <f t="shared" si="27"/>
        <v>0.33333333333333331</v>
      </c>
      <c r="DF26" s="62">
        <f t="shared" si="28"/>
        <v>0.66666666666666663</v>
      </c>
      <c r="DG26" s="62">
        <f t="shared" si="29"/>
        <v>0.66666666666666663</v>
      </c>
      <c r="DH26" s="62">
        <f t="shared" si="30"/>
        <v>1</v>
      </c>
      <c r="DI26" s="62">
        <f t="shared" si="31"/>
        <v>1</v>
      </c>
      <c r="DJ26" s="62">
        <f t="shared" si="32"/>
        <v>0.66666666666666663</v>
      </c>
      <c r="DK26" s="62">
        <f t="shared" si="33"/>
        <v>0.33333333333333331</v>
      </c>
      <c r="DL26" s="62">
        <f t="shared" si="34"/>
        <v>0</v>
      </c>
      <c r="DM26" s="62">
        <f t="shared" si="35"/>
        <v>0</v>
      </c>
      <c r="DN26" s="62">
        <f t="shared" si="36"/>
        <v>0</v>
      </c>
      <c r="DO26" s="62">
        <f t="shared" si="37"/>
        <v>0</v>
      </c>
      <c r="DP26" s="62">
        <f t="shared" si="38"/>
        <v>0</v>
      </c>
      <c r="DQ26" s="62">
        <f t="shared" si="39"/>
        <v>0</v>
      </c>
      <c r="DR26" s="62">
        <f t="shared" si="40"/>
        <v>0</v>
      </c>
      <c r="DS26" s="62" t="e">
        <f t="shared" si="41"/>
        <v>#REF!</v>
      </c>
      <c r="DT26" s="62" t="e">
        <f t="shared" si="42"/>
        <v>#REF!</v>
      </c>
      <c r="DU26" s="62" t="e">
        <f t="shared" si="43"/>
        <v>#REF!</v>
      </c>
      <c r="DV26" s="62" t="e">
        <f t="shared" si="44"/>
        <v>#REF!</v>
      </c>
      <c r="DW26" s="62" t="e">
        <f t="shared" si="45"/>
        <v>#REF!</v>
      </c>
      <c r="DX26" s="62" t="e">
        <f t="shared" si="46"/>
        <v>#REF!</v>
      </c>
      <c r="DY26" s="62" t="e">
        <f t="shared" si="47"/>
        <v>#REF!</v>
      </c>
      <c r="DZ26" s="62" t="e">
        <f t="shared" si="48"/>
        <v>#REF!</v>
      </c>
      <c r="EA26" s="63">
        <f t="shared" si="68"/>
        <v>0</v>
      </c>
      <c r="EB26" s="63">
        <f t="shared" si="2"/>
        <v>0</v>
      </c>
      <c r="EC26" s="63">
        <f t="shared" si="3"/>
        <v>0</v>
      </c>
      <c r="ED26" s="63">
        <f t="shared" si="4"/>
        <v>0</v>
      </c>
      <c r="EE26" s="63">
        <f t="shared" si="5"/>
        <v>0</v>
      </c>
      <c r="EF26" s="63">
        <f t="shared" si="6"/>
        <v>0</v>
      </c>
      <c r="EG26" s="63">
        <f t="shared" si="7"/>
        <v>0</v>
      </c>
      <c r="EH26" s="63">
        <f t="shared" si="8"/>
        <v>0</v>
      </c>
      <c r="EI26" s="63">
        <f t="shared" si="9"/>
        <v>0</v>
      </c>
      <c r="EJ26" s="63">
        <f t="shared" si="10"/>
        <v>0</v>
      </c>
      <c r="EK26" s="63">
        <f t="shared" si="11"/>
        <v>0.33333333333333331</v>
      </c>
      <c r="EL26" s="63">
        <f t="shared" si="12"/>
        <v>0.66666666666666663</v>
      </c>
      <c r="EM26" s="63">
        <f t="shared" si="13"/>
        <v>1</v>
      </c>
      <c r="EN26" s="63">
        <f t="shared" si="14"/>
        <v>1</v>
      </c>
      <c r="EO26" s="63">
        <f t="shared" si="15"/>
        <v>1</v>
      </c>
      <c r="EP26" s="63">
        <f t="shared" si="16"/>
        <v>1</v>
      </c>
      <c r="FU26" s="51">
        <v>46508</v>
      </c>
      <c r="FV26" t="s">
        <v>22</v>
      </c>
      <c r="FW26" t="s">
        <v>22</v>
      </c>
      <c r="FX26" t="s">
        <v>22</v>
      </c>
      <c r="FY26" t="s">
        <v>22</v>
      </c>
      <c r="FZ26" t="s">
        <v>22</v>
      </c>
      <c r="GA26" t="s">
        <v>22</v>
      </c>
      <c r="GB26" t="s">
        <v>22</v>
      </c>
      <c r="GC26" t="s">
        <v>22</v>
      </c>
      <c r="GD26" t="s">
        <v>22</v>
      </c>
      <c r="GE26" t="s">
        <v>22</v>
      </c>
      <c r="GF26" t="s">
        <v>22</v>
      </c>
      <c r="GG26" t="s">
        <v>22</v>
      </c>
      <c r="GH26" t="s">
        <v>22</v>
      </c>
      <c r="GI26" t="s">
        <v>22</v>
      </c>
      <c r="GJ26" t="s">
        <v>22</v>
      </c>
      <c r="GK26" t="s">
        <v>22</v>
      </c>
      <c r="GL26" t="s">
        <v>22</v>
      </c>
      <c r="GM26" t="s">
        <v>22</v>
      </c>
      <c r="GN26" t="s">
        <v>22</v>
      </c>
      <c r="GO26" t="s">
        <v>22</v>
      </c>
      <c r="GP26" t="s">
        <v>22</v>
      </c>
      <c r="GQ26" t="s">
        <v>22</v>
      </c>
      <c r="GR26" t="s">
        <v>22</v>
      </c>
      <c r="GS26" t="s">
        <v>22</v>
      </c>
      <c r="GT26" t="s">
        <v>22</v>
      </c>
      <c r="GU26" t="s">
        <v>22</v>
      </c>
      <c r="GV26" t="s">
        <v>22</v>
      </c>
      <c r="GW26" t="s">
        <v>22</v>
      </c>
      <c r="GX26" t="s">
        <v>22</v>
      </c>
      <c r="GY26" t="s">
        <v>22</v>
      </c>
      <c r="GZ26" t="s">
        <v>22</v>
      </c>
      <c r="HA26" t="s">
        <v>22</v>
      </c>
      <c r="HB26" t="s">
        <v>22</v>
      </c>
      <c r="HC26" t="s">
        <v>22</v>
      </c>
      <c r="HD26" t="s">
        <v>22</v>
      </c>
      <c r="HE26" t="s">
        <v>22</v>
      </c>
      <c r="HF26" t="s">
        <v>22</v>
      </c>
      <c r="HG26" t="s">
        <v>22</v>
      </c>
      <c r="HH26" t="s">
        <v>22</v>
      </c>
      <c r="HI26" t="s">
        <v>22</v>
      </c>
      <c r="HJ26" t="s">
        <v>22</v>
      </c>
      <c r="HK26" t="s">
        <v>22</v>
      </c>
      <c r="HL26" t="s">
        <v>22</v>
      </c>
      <c r="HM26" t="s">
        <v>22</v>
      </c>
      <c r="HN26" t="s">
        <v>22</v>
      </c>
      <c r="HO26" cm="1">
        <f t="array" ref="HO26">SUMPRODUCT(--(FV26:HN26&lt;&gt;""))</f>
        <v>0</v>
      </c>
    </row>
    <row r="27" spans="1:223">
      <c r="A27" t="str">
        <f t="shared" si="18"/>
        <v>4A.1</v>
      </c>
      <c r="B27" t="s">
        <v>58</v>
      </c>
      <c r="C27" s="27">
        <v>2</v>
      </c>
      <c r="D27" s="30">
        <v>1</v>
      </c>
      <c r="E27" s="31">
        <f>IF($D27=0,0,IF(_xlfn.XLOOKUP($B27,'TH_MLG GRADE 10'!$B$7:$B$49,'TH_MLG GRADE 10'!C$7:C$49,"",0,1)="P",1*$D27,0))</f>
        <v>0</v>
      </c>
      <c r="F27" s="31">
        <f>IF($D27=0,0,IF(_xlfn.XLOOKUP($B27,'TH_MLG GRADE 10'!$B$7:$B$49,'TH_MLG GRADE 10'!D$7:D$49,"",0,1)="P",1*$D27,0))</f>
        <v>0</v>
      </c>
      <c r="G27" s="31">
        <f>IF($D27=0,0,IF(_xlfn.XLOOKUP($B27,'TH_MLG GRADE 10'!$B$7:$B$49,'TH_MLG GRADE 10'!E$7:E$49,"",0,1)="P",1*$D27,0))</f>
        <v>0</v>
      </c>
      <c r="H27" s="31">
        <f>IF($D27=0,0,IF(_xlfn.XLOOKUP($B27,'TH_MLG GRADE 10'!$B$7:$B$49,'TH_MLG GRADE 10'!I$7:I$49,"",0,1)="P",1*$D27,0))</f>
        <v>0</v>
      </c>
      <c r="I27" s="31">
        <f>IF($D27=0,0,IF(_xlfn.XLOOKUP($B27,'TH_MLG GRADE 10'!$B$7:$B$49,'TH_MLG GRADE 10'!J$7:J$49,"",0,1)="P",1*$D27,0))</f>
        <v>0</v>
      </c>
      <c r="J27" s="31">
        <f>IF($D27=0,0,IF(_xlfn.XLOOKUP($B27,'TH_MLG GRADE 10'!$B$7:$B$49,'TH_MLG GRADE 10'!K$7:K$49,"",0,1)="P",1*$D27,0))</f>
        <v>0</v>
      </c>
      <c r="K27" s="31">
        <f>IF($D27=0,0,IF(_xlfn.XLOOKUP($B27,'TH_MLG GRADE 10'!$B$7:$B$49,'TH_MLG GRADE 10'!O$7:O$49,"",0,1)="P",1*$D27,0))</f>
        <v>0</v>
      </c>
      <c r="L27" s="31">
        <f>IF($D27=0,0,IF(_xlfn.XLOOKUP($B27,'TH_MLG GRADE 10'!$B$7:$B$49,'TH_MLG GRADE 10'!P$7:P$49,"",0,1)="P",1*$D27,0))</f>
        <v>0</v>
      </c>
      <c r="M27" s="31">
        <f>IF($D27=0,0,IF(_xlfn.XLOOKUP($B27,'TH_MLG GRADE 10'!$B$7:$B$49,'TH_MLG GRADE 10'!Q$7:Q$49,"",0,1)="P",1*$D27,0))</f>
        <v>0</v>
      </c>
      <c r="N27" s="31">
        <f>IF($D27=0,0,IF(_xlfn.XLOOKUP($B27,'TH_MLG GRADE 10'!$B$7:$B$49,'TH_MLG GRADE 10'!AA$7:AA$49,"",0,1)="P",1*$D27,0))</f>
        <v>1</v>
      </c>
      <c r="O27" s="31">
        <f>IF($D27=0,0,IF(_xlfn.XLOOKUP($B27,'TH_MLG GRADE 10'!$B$7:$B$49,'TH_MLG GRADE 10'!AB$7:AB$49,"",0,1)="P",1*$D27,0))</f>
        <v>0</v>
      </c>
      <c r="P27" s="31">
        <f>IF($D27=0,0,IF(_xlfn.XLOOKUP($B27,'TH_MLG GRADE 10'!$B$7:$B$49,'TH_MLG GRADE 10'!AC$7:AC$49,"",0,1)="P",1*$D27,0))</f>
        <v>0</v>
      </c>
      <c r="Q27" s="31">
        <f>IF($D27=0,0,IF(_xlfn.XLOOKUP($B27,'TH_MLG GRADE 10'!$B$7:$B$49,'TH_MLG GRADE 10'!AG$7:AG$49,"",0,1)="P",1*$D27,0))</f>
        <v>1</v>
      </c>
      <c r="R27" s="31">
        <f>IF($D27=0,0,IF(_xlfn.XLOOKUP($B27,'TH_MLG GRADE 10'!$B$7:$B$49,'TH_MLG GRADE 10'!AH$7:AH$49,"",0,1)="P",1*$D27,0))</f>
        <v>1</v>
      </c>
      <c r="S27" s="31">
        <f>IF($D27=0,0,IF(_xlfn.XLOOKUP($B27,'TH_MLG GRADE 10'!$B$7:$B$49,'TH_MLG GRADE 10'!AI$7:AI$49,"",0,1)="P",1*$D27,0))</f>
        <v>1</v>
      </c>
      <c r="T27" s="31">
        <f>IF($D27=0,0,IF(_xlfn.XLOOKUP($B27,'TH_MLG GRADE 10'!$B$7:$B$49,'TH_MLG GRADE 10'!AM$7:AM$49,"",0,1)="P",1*$D27,0))</f>
        <v>0</v>
      </c>
      <c r="U27" s="31">
        <f>IF($D27=0,0,IF(_xlfn.XLOOKUP($B27,'TH_MLG GRADE 10'!$B$7:$B$49,'TH_MLG GRADE 10'!AN$7:AN$49,"",0,1)="P",1*$D27,0))</f>
        <v>0</v>
      </c>
      <c r="V27" s="31">
        <f>IF($D27=0,0,IF(_xlfn.XLOOKUP($B27,'TH_MLG GRADE 10'!$B$7:$B$49,'TH_MLG GRADE 10'!AO$7:AO$49,"",0,1)="P",1*$D27,0))</f>
        <v>0</v>
      </c>
      <c r="W27" s="31">
        <f>IF($D27=0,0,IF(_xlfn.XLOOKUP($B27,'TH_MLG GRADE 10'!$B$7:$B$49,'TH_MLG GRADE 10'!AY$7:AY$49,"",0,1)="P",1*$D27,0))</f>
        <v>0</v>
      </c>
      <c r="X27" s="31">
        <f>IF($D27=0,0,IF(_xlfn.XLOOKUP($B27,'TH_MLG GRADE 10'!$B$7:$B$49,'TH_MLG GRADE 10'!AZ$7:AZ$49,"",0,1)="P",1*$D27,0))</f>
        <v>0</v>
      </c>
      <c r="Y27" s="31">
        <f>IF($D27=0,0,IF(_xlfn.XLOOKUP($B27,'TH_MLG GRADE 10'!$B$7:$B$49,'TH_MLG GRADE 10'!BA$7:BA$49,"",0,1)="P",1*$D27,0))</f>
        <v>0</v>
      </c>
      <c r="Z27" s="31">
        <f>IF($D27=0,0,IF(_xlfn.XLOOKUP($B27,'TH_MLG GRADE 10'!$B$7:$B$49,'TH_MLG GRADE 10'!BE$7:BE$49,"",0,1)="P",1*$D27,0))</f>
        <v>0</v>
      </c>
      <c r="AA27" s="31">
        <f>IF($D27=0,0,IF(_xlfn.XLOOKUP($B27,'TH_MLG GRADE 10'!$B$7:$B$49,'TH_MLG GRADE 10'!BF$7:BF$49,"",0,1)="P",1*$D27,0))</f>
        <v>0</v>
      </c>
      <c r="AB27" s="31">
        <f>IF($D27=0,0,IF(_xlfn.XLOOKUP($B27,'TH_MLG GRADE 10'!$B$7:$B$49,'TH_MLG GRADE 10'!BG$7:BG$49,"",0,1)="P",1*$D27,0))</f>
        <v>0</v>
      </c>
      <c r="AC27" s="31" t="e">
        <f>IF($D27=0,0,IF(_xlfn.XLOOKUP($B27,'TH_MLG GRADE 10'!$B$7:$B$49,'TH_MLG GRADE 10'!#REF!,"",0,1)="P",1*$D27,0))</f>
        <v>#REF!</v>
      </c>
      <c r="AD27" s="31" t="e">
        <f>IF($D27=0,0,IF(_xlfn.XLOOKUP($B27,'TH_MLG GRADE 10'!$B$7:$B$49,'TH_MLG GRADE 10'!#REF!,"",0,1)="P",1*$D27,0))</f>
        <v>#REF!</v>
      </c>
      <c r="AE27" s="31" t="e">
        <f>IF($D27=0,0,IF(_xlfn.XLOOKUP($B27,'TH_MLG GRADE 10'!$B$7:$B$49,'TH_MLG GRADE 10'!#REF!,"",0,1)="P",1*$D27,0))</f>
        <v>#REF!</v>
      </c>
      <c r="AF27" s="31" t="e">
        <f>IF($D27=0,0,IF(_xlfn.XLOOKUP($B27,'TH_MLG GRADE 10'!$B$7:$B$49,'TH_MLG GRADE 10'!#REF!,"",0,1)="P",1*$D27,0))</f>
        <v>#REF!</v>
      </c>
      <c r="AG27" s="31" t="e">
        <f>IF($D27=0,0,IF(_xlfn.XLOOKUP($B27,'TH_MLG GRADE 10'!$B$7:$B$49,'TH_MLG GRADE 10'!#REF!,"",0,1)="P",1*$D27,0))</f>
        <v>#REF!</v>
      </c>
      <c r="AH27" s="31" t="e">
        <f>IF($D27=0,0,IF(_xlfn.XLOOKUP($B27,'TH_MLG GRADE 10'!$B$7:$B$49,'TH_MLG GRADE 10'!#REF!,"",0,1)="P",1*$D27,0))</f>
        <v>#REF!</v>
      </c>
      <c r="AI27" s="32">
        <f>IF($D27=0,0,IF(_xlfn.XLOOKUP($B27,'TH_CMI GRADE 10'!$B$7:$B$49,'TH_CMI GRADE 10'!C$7:C$49,"",0,1)="P",1*$D27,0))</f>
        <v>0</v>
      </c>
      <c r="AJ27" s="32">
        <f>IF($D27=0,0,IF(_xlfn.XLOOKUP($B27,'TH_CMI GRADE 10'!$B$7:$B$49,'TH_CMI GRADE 10'!D$7:D$49,"",0,1)="P",1*$D27,0))</f>
        <v>0</v>
      </c>
      <c r="AK27" s="32">
        <f>IF($D27=0,0,IF(_xlfn.XLOOKUP($B27,'TH_CMI GRADE 10'!$B$7:$B$49,'TH_CMI GRADE 10'!H$7:H$49,"",0,1)="P",1*$D27,0))</f>
        <v>0</v>
      </c>
      <c r="AL27" s="32">
        <f>IF($D27=0,0,IF(_xlfn.XLOOKUP($B27,'TH_CMI GRADE 10'!$B$7:$B$49,'TH_CMI GRADE 10'!I$7:I$49,"",0,1)="P",1*$D27,0))</f>
        <v>0</v>
      </c>
      <c r="AM27" s="32">
        <f>IF($D27=0,0,IF(_xlfn.XLOOKUP($B27,'TH_CMI GRADE 10'!$B$7:$B$49,'TH_CMI GRADE 10'!J$7:J$49,"",0,1)="P",1*$D27,0))</f>
        <v>0</v>
      </c>
      <c r="AN27" s="32">
        <f>IF($D27=0,0,IF(_xlfn.XLOOKUP($B27,'TH_CMI GRADE 10'!$B$7:$B$49,'TH_CMI GRADE 10'!K$7:K$49,"",0,1)="P",1*$D27,0))</f>
        <v>0</v>
      </c>
      <c r="AO27" s="32">
        <f>IF($D27=0,0,IF(_xlfn.XLOOKUP($B27,'TH_CMI GRADE 10'!$B$7:$B$49,'TH_CMI GRADE 10'!O$7:O$49,"",0,1)="P",1*$D27,0))</f>
        <v>0</v>
      </c>
      <c r="AP27" s="32">
        <f>IF($D27=0,0,IF(_xlfn.XLOOKUP($B27,'TH_CMI GRADE 10'!$B$7:$B$49,'TH_CMI GRADE 10'!P$7:P$49,"",0,1)="P",1*$D27,0))</f>
        <v>0</v>
      </c>
      <c r="AQ27" s="32">
        <f>IF($D27=0,0,IF(_xlfn.XLOOKUP($B27,'TH_CMI GRADE 10'!$B$7:$B$49,'TH_CMI GRADE 10'!Q$7:Q$49,"",0,1)="P",1*$D27,0))</f>
        <v>0</v>
      </c>
      <c r="AR27" s="32">
        <f>IF($D27=0,0,IF(_xlfn.XLOOKUP($B27,'TH_CMI GRADE 10'!$B$7:$B$49,'TH_CMI GRADE 10'!U$7:U$49,"",0,1)="P",1*$D27,0))</f>
        <v>0</v>
      </c>
      <c r="AS27" s="32">
        <f>IF($D27=0,0,IF(_xlfn.XLOOKUP($B27,'TH_CMI GRADE 10'!$B$7:$B$49,'TH_CMI GRADE 10'!V$7:V$49,"",0,1)="P",1*$D27,0))</f>
        <v>0</v>
      </c>
      <c r="AT27" s="32">
        <f>IF($D27=0,0,IF(_xlfn.XLOOKUP($B27,'TH_CMI GRADE 10'!$B$7:$B$49,'TH_CMI GRADE 10'!W$7:W$49,"",0,1)="P",1*$D27,0))</f>
        <v>0</v>
      </c>
      <c r="AU27" s="32">
        <f>IF($D27=0,0,IF(_xlfn.XLOOKUP($B27,'TH_CMI GRADE 10'!$B$7:$B$49,'TH_CMI GRADE 10'!AA$7:AA$49,"",0,1)="P",1*$D27,0))</f>
        <v>1</v>
      </c>
      <c r="AV27" s="32">
        <f>IF($D27=0,0,IF(_xlfn.XLOOKUP($B27,'TH_CMI GRADE 10'!$B$7:$B$49,'TH_CMI GRADE 10'!AB$7:AB$49,"",0,1)="P",1*$D27,0))</f>
        <v>1</v>
      </c>
      <c r="AW27" s="32">
        <f>IF($D27=0,0,IF(_xlfn.XLOOKUP($B27,'TH_CMI GRADE 10'!$B$7:$B$49,'TH_CMI GRADE 10'!AC$7:AC$49,"",0,1)="P",1*$D27,0))</f>
        <v>1</v>
      </c>
      <c r="AX27" s="32">
        <f>IF($D27=0,0,IF(_xlfn.XLOOKUP($B27,'TH_CMI GRADE 10'!$B$7:$B$49,'TH_CMI GRADE 10'!AG$7:AG$49,"",0,1)="P",1*$D27,0))</f>
        <v>1</v>
      </c>
      <c r="AY27" s="32">
        <f>IF($D27=0,0,IF(_xlfn.XLOOKUP($B27,'TH_CMI GRADE 10'!$B$7:$B$49,'TH_CMI GRADE 10'!AH$7:AH$49,"",0,1)="P",1*$D27,0))</f>
        <v>1</v>
      </c>
      <c r="AZ27" s="32">
        <f>IF($D27=0,0,IF(_xlfn.XLOOKUP($B27,'TH_CMI GRADE 10'!$B$7:$B$49,'TH_CMI GRADE 10'!AI$7:AI$49,"",0,1)="P",1*$D27,0))</f>
        <v>1</v>
      </c>
      <c r="BA27" s="31" t="e">
        <f>IF($C27=0,0,IF(_xlfn.XLOOKUP($B27,'PW_MLG GRADE 10'!$B$7:$B$31,'PW_MLG GRADE 10'!#REF!,"",0,1)="P",1*$C27,0))</f>
        <v>#REF!</v>
      </c>
      <c r="BB27" s="31" t="e">
        <f>IF($C27=0,0,IF(_xlfn.XLOOKUP($B27,'PW_MLG GRADE 10'!$B$7:$B$31,'PW_MLG GRADE 10'!#REF!,"",0,1)="P",1*$C27,0))</f>
        <v>#REF!</v>
      </c>
      <c r="BC27" s="31" t="e">
        <f>IF($C27=0,0,IF(_xlfn.XLOOKUP($B27,'PW_MLG GRADE 10'!$B$7:$B$31,'PW_MLG GRADE 10'!#REF!,"",0,1)="P",1*$C27,0))</f>
        <v>#REF!</v>
      </c>
      <c r="BD27" s="31" t="e">
        <f>IF($C27=0,0,IF(_xlfn.XLOOKUP($B27,'PW_MLG GRADE 10'!$B$7:$B$31,'PW_MLG GRADE 10'!#REF!,"",0,1)="P",1*$C27,0))</f>
        <v>#REF!</v>
      </c>
      <c r="BE27" s="31" t="e">
        <f>IF($C27=0,0,IF(_xlfn.XLOOKUP($B27,'PW_MLG GRADE 10'!$B$7:$B$31,'PW_MLG GRADE 10'!#REF!,"",0,1)="P",1*$C27,0))</f>
        <v>#REF!</v>
      </c>
      <c r="BF27" s="31" t="e">
        <f>IF($C27=0,0,IF(_xlfn.XLOOKUP($B27,'PW_MLG GRADE 10'!$B$7:$B$31,'PW_MLG GRADE 10'!#REF!,"",0,1)="P",1*$C27,0))</f>
        <v>#REF!</v>
      </c>
      <c r="BG27" s="31" t="e">
        <f>IF($C27=0,0,IF(_xlfn.XLOOKUP($B27,'PW_MLG GRADE 10'!$B$7:$B$31,'PW_MLG GRADE 10'!#REF!,"",0,1)="P",1*$C27,0))</f>
        <v>#REF!</v>
      </c>
      <c r="BH27" s="31" t="e">
        <f>IF($C27=0,0,IF(_xlfn.XLOOKUP($B27,'PW_MLG GRADE 10'!$B$7:$B$31,'PW_MLG GRADE 10'!#REF!,"",0,1)="P",1*$C27,0))</f>
        <v>#REF!</v>
      </c>
      <c r="BI27" s="31" t="e">
        <f>IF($C27=0,0,IF(_xlfn.XLOOKUP($B27,'PW_MLG GRADE 10'!$B$7:$B$31,'PW_MLG GRADE 10'!#REF!,"",0,1)="P",1*$C27,0))</f>
        <v>#REF!</v>
      </c>
      <c r="BJ27" s="31" t="e">
        <f>IF($C27=0,0,IF(_xlfn.XLOOKUP($B27,'PW_MLG GRADE 10'!$B$7:$B$31,'PW_MLG GRADE 10'!#REF!,"",0,1)="P",1*$C27,0))</f>
        <v>#REF!</v>
      </c>
      <c r="BK27" s="31" t="e">
        <f>IF($C27=0,0,IF(_xlfn.XLOOKUP($B27,'PW_MLG GRADE 10'!$B$7:$B$31,'PW_MLG GRADE 10'!#REF!,"",0,1)="P",1*$C27,0))</f>
        <v>#REF!</v>
      </c>
      <c r="BL27" s="31" t="e">
        <f>IF($C27=0,0,IF(_xlfn.XLOOKUP($B27,'PW_MLG GRADE 10'!$B$7:$B$31,'PW_MLG GRADE 10'!#REF!,"",0,1)="P",1*$C27,0))</f>
        <v>#REF!</v>
      </c>
      <c r="BM27" s="31" t="e">
        <f>IF($C27=0,0,IF(_xlfn.XLOOKUP($B27,'PW_MLG GRADE 10'!$B$7:$B$31,'PW_MLG GRADE 10'!#REF!,"",0,1)="P",1*$C27,0))</f>
        <v>#REF!</v>
      </c>
      <c r="BN27" s="31" t="e">
        <f>IF($C27=0,0,IF(_xlfn.XLOOKUP($B27,'PW_MLG GRADE 10'!$B$7:$B$31,'PW_MLG GRADE 10'!#REF!,"",0,1)="P",1*$C27,0))</f>
        <v>#REF!</v>
      </c>
      <c r="BO27" s="31" t="e">
        <f>IF($C27=0,0,IF(_xlfn.XLOOKUP($B27,'PW_MLG GRADE 10'!$B$7:$B$31,'PW_MLG GRADE 10'!#REF!,"",0,1)="P",1*$C27,0))</f>
        <v>#REF!</v>
      </c>
      <c r="BP27" s="31" t="e">
        <f>IF($C27=0,0,IF(_xlfn.XLOOKUP($B27,'PW_MLG GRADE 10'!$B$7:$B$31,'PW_MLG GRADE 10'!#REF!,"",0,1)="P",1*$C27,0))</f>
        <v>#REF!</v>
      </c>
      <c r="BQ27" s="31" t="e">
        <f>IF($C27=0,0,IF(_xlfn.XLOOKUP($B27,'PW_MLG GRADE 10'!$B$7:$B$31,'PW_MLG GRADE 10'!#REF!,"",0,1)="P",1*$C27,0))</f>
        <v>#REF!</v>
      </c>
      <c r="BR27" s="31" t="e">
        <f>IF($C27=0,0,IF(_xlfn.XLOOKUP($B27,'PW_MLG GRADE 10'!$B$7:$B$31,'PW_MLG GRADE 10'!#REF!,"",0,1)="P",1*$C27,0))</f>
        <v>#REF!</v>
      </c>
      <c r="BS27" s="31" t="e">
        <f>IF($C27=0,0,IF(_xlfn.XLOOKUP($B27,'PW_MLG GRADE 10'!$B$7:$B$31,'PW_MLG GRADE 10'!#REF!,"",0,1)="P",1*$C27,0))</f>
        <v>#REF!</v>
      </c>
      <c r="BT27" s="31" t="e">
        <f>IF($C27=0,0,IF(_xlfn.XLOOKUP($B27,'PW_MLG GRADE 10'!$B$7:$B$31,'PW_MLG GRADE 10'!#REF!,"",0,1)="P",1*$C27,0))</f>
        <v>#REF!</v>
      </c>
      <c r="BU27" s="31" t="e">
        <f>IF($C27=0,0,IF(_xlfn.XLOOKUP($B27,'PW_MLG GRADE 10'!$B$7:$B$31,'PW_MLG GRADE 10'!#REF!,"",0,1)="P",1*$C27,0))</f>
        <v>#REF!</v>
      </c>
      <c r="BV27" s="31" t="e">
        <f>IF($C27=0,0,IF(_xlfn.XLOOKUP($B27,'PW_MLG GRADE 10'!$B$7:$B$31,'PW_MLG GRADE 10'!#REF!,"",0,1)="P",1*$C27,0))</f>
        <v>#REF!</v>
      </c>
      <c r="BW27" s="31" t="e">
        <f>IF($C27=0,0,IF(_xlfn.XLOOKUP($B27,'PW_MLG GRADE 10'!$B$7:$B$31,'PW_MLG GRADE 10'!#REF!,"",0,1)="P",1*$C27,0))</f>
        <v>#REF!</v>
      </c>
      <c r="BX27" s="31" t="e">
        <f>IF($C27=0,0,IF(_xlfn.XLOOKUP($B27,'PW_MLG GRADE 10'!$B$7:$B$31,'PW_MLG GRADE 10'!#REF!,"",0,1)="P",1*$C27,0))</f>
        <v>#REF!</v>
      </c>
      <c r="BY27" s="31" t="e">
        <f>IF($C27=0,0,IF(_xlfn.XLOOKUP($B27,'PW_MLG GRADE 10'!$B$7:$B$31,'PW_MLG GRADE 10'!#REF!,"",0,1)="P",1*$C27,0))</f>
        <v>#REF!</v>
      </c>
      <c r="BZ27" s="31" t="e">
        <f>IF($C27=0,0,IF(_xlfn.XLOOKUP($B27,'PW_MLG GRADE 10'!$B$7:$B$31,'PW_MLG GRADE 10'!#REF!,"",0,1)="P",1*$C27,0))</f>
        <v>#REF!</v>
      </c>
      <c r="CA27" s="31" t="e">
        <f>IF($C27=0,0,IF(_xlfn.XLOOKUP($B27,'PW_MLG GRADE 10'!$B$7:$B$31,'PW_MLG GRADE 10'!#REF!,"",0,1)="P",1*$C27,0))</f>
        <v>#REF!</v>
      </c>
      <c r="CB27" s="31" t="e">
        <f>IF($C27=0,0,IF(_xlfn.XLOOKUP($B27,'PW_MLG GRADE 10'!$B$7:$B$31,'PW_MLG GRADE 10'!#REF!,"",0,1)="P",1*$C27,0))</f>
        <v>#REF!</v>
      </c>
      <c r="CC27" s="31" t="e">
        <f>IF($C27=0,0,IF(_xlfn.XLOOKUP($B27,'PW_MLG GRADE 10'!$B$7:$B$31,'PW_MLG GRADE 10'!#REF!,"",0,1)="P",1*$C27,0))</f>
        <v>#REF!</v>
      </c>
      <c r="CD27" s="31" t="e">
        <f>IF($C27=0,0,IF(_xlfn.XLOOKUP($B27,'PW_MLG GRADE 10'!$B$7:$B$31,'PW_MLG GRADE 10'!#REF!,"",0,1)="P",1*$C27,0))</f>
        <v>#REF!</v>
      </c>
      <c r="CE27" s="32">
        <f>IF($C27=0,0,IF(_xlfn.XLOOKUP($B27,'PW_CMI GRADE 10'!$B$7:$B$31,'PW_CMI GRADE 10'!C$7:C$31,"",0,1)="P",1*$C27,0))</f>
        <v>0</v>
      </c>
      <c r="CF27" s="32">
        <f>IF($C27=0,0,IF(_xlfn.XLOOKUP($B27,'PW_CMI GRADE 10'!$B$7:$B$31,'PW_CMI GRADE 10'!D$7:D$31,"",0,1)="P",1*$C27,0))</f>
        <v>0</v>
      </c>
      <c r="CG27" s="32">
        <f>IF($C27=0,0,IF(_xlfn.XLOOKUP($B27,'PW_CMI GRADE 10'!$B$7:$B$31,'PW_CMI GRADE 10'!E$7:E$31,"",0,1)="P",1*$C27,0))</f>
        <v>0</v>
      </c>
      <c r="CH27" s="32">
        <f>IF($C27=0,0,IF(_xlfn.XLOOKUP($B27,'PW_CMI GRADE 10'!$B$7:$B$31,'PW_CMI GRADE 10'!F$7:F$31,"",0,1)="P",1*$C27,0))</f>
        <v>0</v>
      </c>
      <c r="CI27" s="32">
        <f>IF($C27=0,0,IF(_xlfn.XLOOKUP($B27,'PW_CMI GRADE 10'!$B$7:$B$31,'PW_CMI GRADE 10'!G$7:G$31,"",0,1)="P",1*$C27,0))</f>
        <v>0</v>
      </c>
      <c r="CJ27" s="32">
        <f>IF($C27=0,0,IF(_xlfn.XLOOKUP($B27,'PW_CMI GRADE 10'!$B$7:$B$31,'PW_CMI GRADE 10'!H$7:H$31,"",0,1)="P",1*$C27,0))</f>
        <v>0</v>
      </c>
      <c r="CK27" s="32">
        <f>IF($C27=0,0,IF(_xlfn.XLOOKUP($B27,'PW_CMI GRADE 10'!$B$7:$B$31,'PW_CMI GRADE 10'!I$7:I$31,"",0,1)="P",1*$C27,0))</f>
        <v>0</v>
      </c>
      <c r="CL27" s="32">
        <f>IF($C27=0,0,IF(_xlfn.XLOOKUP($B27,'PW_CMI GRADE 10'!$B$7:$B$31,'PW_CMI GRADE 10'!J$7:J$31,"",0,1)="P",1*$C27,0))</f>
        <v>0</v>
      </c>
      <c r="CM27" s="32">
        <f>IF($C27=0,0,IF(_xlfn.XLOOKUP($B27,'PW_CMI GRADE 10'!$B$7:$B$31,'PW_CMI GRADE 10'!K$7:K$31,"",0,1)="P",1*$C27,0))</f>
        <v>0</v>
      </c>
      <c r="CN27" s="32">
        <f>IF($C27=0,0,IF(_xlfn.XLOOKUP($B27,'PW_CMI GRADE 10'!$B$7:$B$31,'PW_CMI GRADE 10'!L$7:L$31,"",0,1)="P",1*$C27,0))</f>
        <v>0</v>
      </c>
      <c r="CO27" s="32">
        <f>IF($C27=0,0,IF(_xlfn.XLOOKUP($B27,'PW_CMI GRADE 10'!$B$7:$B$31,'PW_CMI GRADE 10'!M$7:M$31,"",0,1)="P",1*$C27,0))</f>
        <v>0</v>
      </c>
      <c r="CP27" s="32">
        <f>IF($C27=0,0,IF(_xlfn.XLOOKUP($B27,'PW_CMI GRADE 10'!$B$7:$B$31,'PW_CMI GRADE 10'!N$7:N$31,"",0,1)="P",1*$C27,0))</f>
        <v>0</v>
      </c>
      <c r="CQ27" s="32">
        <f>IF($C27=0,0,IF(_xlfn.XLOOKUP($B27,'PW_CMI GRADE 10'!$B$7:$B$31,'PW_CMI GRADE 10'!O$7:O$31,"",0,1)="P",1*$C27,0))</f>
        <v>0</v>
      </c>
      <c r="CR27" s="32">
        <f>IF($C27=0,0,IF(_xlfn.XLOOKUP($B27,'PW_CMI GRADE 10'!$B$7:$B$31,'PW_CMI GRADE 10'!P$7:P$31,"",0,1)="P",1*$C27,0))</f>
        <v>0</v>
      </c>
      <c r="CS27" s="32">
        <f>IF($C27=0,0,IF(_xlfn.XLOOKUP($B27,'PW_CMI GRADE 10'!$B$7:$B$31,'PW_CMI GRADE 10'!Q$7:Q$31,"",0,1)="P",1*$C27,0))</f>
        <v>0</v>
      </c>
      <c r="CT27" s="32">
        <f>IF($C27=0,0,IF(_xlfn.XLOOKUP($B27,'PW_CMI GRADE 10'!$B$7:$B$31,'PW_CMI GRADE 10'!R$7:R$31,"",0,1)="P",1*$C27,0))</f>
        <v>0</v>
      </c>
      <c r="CU27" s="32">
        <f>IF($C27=0,0,IF(_xlfn.XLOOKUP($B27,'PW_CMI GRADE 10'!$B$7:$B$31,'PW_CMI GRADE 10'!S$7:S$31,"",0,1)="P",1*$C27,0))</f>
        <v>0</v>
      </c>
      <c r="CV27" s="32">
        <f>IF($C27=0,0,IF(_xlfn.XLOOKUP($B27,'PW_CMI GRADE 10'!$B$7:$B$31,'PW_CMI GRADE 10'!T$7:T$31,"",0,1)="P",1*$C27,0))</f>
        <v>0</v>
      </c>
      <c r="CW27" s="62" t="e">
        <f t="shared" si="19"/>
        <v>#REF!</v>
      </c>
      <c r="CX27" s="62" t="e">
        <f t="shared" si="20"/>
        <v>#REF!</v>
      </c>
      <c r="CY27" s="62" t="e">
        <f t="shared" si="21"/>
        <v>#REF!</v>
      </c>
      <c r="CZ27" s="62" t="e">
        <f t="shared" si="22"/>
        <v>#REF!</v>
      </c>
      <c r="DA27" s="62" t="e">
        <f t="shared" si="23"/>
        <v>#REF!</v>
      </c>
      <c r="DB27" s="62" t="e">
        <f t="shared" si="24"/>
        <v>#REF!</v>
      </c>
      <c r="DC27" s="62" t="e">
        <f t="shared" si="25"/>
        <v>#REF!</v>
      </c>
      <c r="DD27" s="62" t="e">
        <f t="shared" si="26"/>
        <v>#REF!</v>
      </c>
      <c r="DE27" s="62" t="e">
        <f t="shared" si="27"/>
        <v>#REF!</v>
      </c>
      <c r="DF27" s="62" t="e">
        <f t="shared" si="28"/>
        <v>#REF!</v>
      </c>
      <c r="DG27" s="62" t="e">
        <f t="shared" si="29"/>
        <v>#REF!</v>
      </c>
      <c r="DH27" s="62" t="e">
        <f t="shared" si="30"/>
        <v>#REF!</v>
      </c>
      <c r="DI27" s="62" t="e">
        <f t="shared" si="31"/>
        <v>#REF!</v>
      </c>
      <c r="DJ27" s="62" t="e">
        <f t="shared" si="32"/>
        <v>#REF!</v>
      </c>
      <c r="DK27" s="62" t="e">
        <f t="shared" si="33"/>
        <v>#REF!</v>
      </c>
      <c r="DL27" s="62" t="e">
        <f t="shared" si="34"/>
        <v>#REF!</v>
      </c>
      <c r="DM27" s="62" t="e">
        <f t="shared" si="35"/>
        <v>#REF!</v>
      </c>
      <c r="DN27" s="62" t="e">
        <f t="shared" si="36"/>
        <v>#REF!</v>
      </c>
      <c r="DO27" s="62" t="e">
        <f t="shared" si="37"/>
        <v>#REF!</v>
      </c>
      <c r="DP27" s="62" t="e">
        <f t="shared" si="38"/>
        <v>#REF!</v>
      </c>
      <c r="DQ27" s="62" t="e">
        <f t="shared" si="39"/>
        <v>#REF!</v>
      </c>
      <c r="DR27" s="62" t="e">
        <f t="shared" si="40"/>
        <v>#REF!</v>
      </c>
      <c r="DS27" s="62" t="e">
        <f t="shared" si="41"/>
        <v>#REF!</v>
      </c>
      <c r="DT27" s="62" t="e">
        <f t="shared" si="42"/>
        <v>#REF!</v>
      </c>
      <c r="DU27" s="62" t="e">
        <f t="shared" si="43"/>
        <v>#REF!</v>
      </c>
      <c r="DV27" s="62" t="e">
        <f t="shared" si="44"/>
        <v>#REF!</v>
      </c>
      <c r="DW27" s="62" t="e">
        <f t="shared" si="45"/>
        <v>#REF!</v>
      </c>
      <c r="DX27" s="62" t="e">
        <f t="shared" si="46"/>
        <v>#REF!</v>
      </c>
      <c r="DY27" s="62" t="e">
        <f t="shared" si="47"/>
        <v>#REF!</v>
      </c>
      <c r="DZ27" s="62" t="e">
        <f t="shared" si="48"/>
        <v>#REF!</v>
      </c>
      <c r="EA27" s="63">
        <f t="shared" si="68"/>
        <v>0</v>
      </c>
      <c r="EB27" s="63">
        <f t="shared" si="2"/>
        <v>0</v>
      </c>
      <c r="EC27" s="63">
        <f t="shared" si="3"/>
        <v>0</v>
      </c>
      <c r="ED27" s="63">
        <f t="shared" si="4"/>
        <v>0</v>
      </c>
      <c r="EE27" s="63">
        <f t="shared" si="5"/>
        <v>0</v>
      </c>
      <c r="EF27" s="63">
        <f t="shared" si="6"/>
        <v>0</v>
      </c>
      <c r="EG27" s="63">
        <f t="shared" si="7"/>
        <v>0</v>
      </c>
      <c r="EH27" s="63">
        <f t="shared" si="8"/>
        <v>0</v>
      </c>
      <c r="EI27" s="63">
        <f t="shared" si="9"/>
        <v>0</v>
      </c>
      <c r="EJ27" s="63">
        <f t="shared" si="10"/>
        <v>0</v>
      </c>
      <c r="EK27" s="63">
        <f t="shared" si="11"/>
        <v>0.1111111111111111</v>
      </c>
      <c r="EL27" s="63">
        <f t="shared" si="12"/>
        <v>0.22222222222222221</v>
      </c>
      <c r="EM27" s="63">
        <f t="shared" si="13"/>
        <v>0.33333333333333331</v>
      </c>
      <c r="EN27" s="63">
        <f t="shared" si="14"/>
        <v>0.33333333333333331</v>
      </c>
      <c r="EO27" s="63">
        <f t="shared" si="15"/>
        <v>0.33333333333333331</v>
      </c>
      <c r="EP27" s="63">
        <f t="shared" si="16"/>
        <v>0.33333333333333331</v>
      </c>
      <c r="FU27" s="51">
        <v>46539</v>
      </c>
      <c r="FV27" t="s">
        <v>22</v>
      </c>
      <c r="FW27" t="s">
        <v>22</v>
      </c>
      <c r="FX27" t="s">
        <v>22</v>
      </c>
      <c r="FY27" t="s">
        <v>22</v>
      </c>
      <c r="FZ27" t="s">
        <v>22</v>
      </c>
      <c r="GA27" t="s">
        <v>22</v>
      </c>
      <c r="GB27" t="s">
        <v>22</v>
      </c>
      <c r="GC27" t="s">
        <v>22</v>
      </c>
      <c r="GD27" t="s">
        <v>22</v>
      </c>
      <c r="GE27" t="s">
        <v>22</v>
      </c>
      <c r="GF27" t="s">
        <v>22</v>
      </c>
      <c r="GG27" t="s">
        <v>22</v>
      </c>
      <c r="GH27" t="s">
        <v>22</v>
      </c>
      <c r="GI27" t="s">
        <v>22</v>
      </c>
      <c r="GJ27" t="s">
        <v>22</v>
      </c>
      <c r="GK27" t="s">
        <v>22</v>
      </c>
      <c r="GL27" t="s">
        <v>22</v>
      </c>
      <c r="GM27" t="s">
        <v>22</v>
      </c>
      <c r="GN27" t="s">
        <v>22</v>
      </c>
      <c r="GO27" t="s">
        <v>22</v>
      </c>
      <c r="GP27" t="s">
        <v>22</v>
      </c>
      <c r="GQ27" t="s">
        <v>22</v>
      </c>
      <c r="GR27" t="s">
        <v>22</v>
      </c>
      <c r="GS27" t="s">
        <v>22</v>
      </c>
      <c r="GT27" t="s">
        <v>22</v>
      </c>
      <c r="GU27" t="s">
        <v>22</v>
      </c>
      <c r="GV27" t="s">
        <v>22</v>
      </c>
      <c r="GW27" t="s">
        <v>22</v>
      </c>
      <c r="GX27" t="s">
        <v>22</v>
      </c>
      <c r="GY27" t="s">
        <v>22</v>
      </c>
      <c r="GZ27" t="s">
        <v>22</v>
      </c>
      <c r="HA27" t="s">
        <v>22</v>
      </c>
      <c r="HB27" t="s">
        <v>22</v>
      </c>
      <c r="HC27" t="s">
        <v>22</v>
      </c>
      <c r="HD27" t="s">
        <v>22</v>
      </c>
      <c r="HE27" t="s">
        <v>22</v>
      </c>
      <c r="HF27" t="s">
        <v>22</v>
      </c>
      <c r="HG27" t="s">
        <v>22</v>
      </c>
      <c r="HH27" t="s">
        <v>22</v>
      </c>
      <c r="HI27" t="s">
        <v>22</v>
      </c>
      <c r="HJ27" t="s">
        <v>22</v>
      </c>
      <c r="HK27" t="s">
        <v>22</v>
      </c>
      <c r="HL27" t="s">
        <v>22</v>
      </c>
      <c r="HM27" t="s">
        <v>22</v>
      </c>
      <c r="HN27" t="s">
        <v>22</v>
      </c>
      <c r="HO27" cm="1">
        <f t="array" ref="HO27">SUMPRODUCT(--(FV27:HN27&lt;&gt;""))</f>
        <v>0</v>
      </c>
    </row>
    <row r="28" spans="1:223">
      <c r="A28" t="str">
        <f t="shared" si="18"/>
        <v>4A.2</v>
      </c>
      <c r="B28" t="s">
        <v>59</v>
      </c>
      <c r="C28" s="27">
        <v>0</v>
      </c>
      <c r="D28" s="30">
        <v>1</v>
      </c>
      <c r="E28" s="31">
        <f>IF($D28=0,0,IF(_xlfn.XLOOKUP($B28,'TH_MLG GRADE 10'!$B$7:$B$49,'TH_MLG GRADE 10'!C$7:C$49,"",0,1)="P",1*$D28,0))</f>
        <v>0</v>
      </c>
      <c r="F28" s="31">
        <f>IF($D28=0,0,IF(_xlfn.XLOOKUP($B28,'TH_MLG GRADE 10'!$B$7:$B$49,'TH_MLG GRADE 10'!D$7:D$49,"",0,1)="P",1*$D28,0))</f>
        <v>0</v>
      </c>
      <c r="G28" s="31">
        <f>IF($D28=0,0,IF(_xlfn.XLOOKUP($B28,'TH_MLG GRADE 10'!$B$7:$B$49,'TH_MLG GRADE 10'!E$7:E$49,"",0,1)="P",1*$D28,0))</f>
        <v>0</v>
      </c>
      <c r="H28" s="31">
        <f>IF($D28=0,0,IF(_xlfn.XLOOKUP($B28,'TH_MLG GRADE 10'!$B$7:$B$49,'TH_MLG GRADE 10'!I$7:I$49,"",0,1)="P",1*$D28,0))</f>
        <v>0</v>
      </c>
      <c r="I28" s="31">
        <f>IF($D28=0,0,IF(_xlfn.XLOOKUP($B28,'TH_MLG GRADE 10'!$B$7:$B$49,'TH_MLG GRADE 10'!J$7:J$49,"",0,1)="P",1*$D28,0))</f>
        <v>0</v>
      </c>
      <c r="J28" s="31">
        <f>IF($D28=0,0,IF(_xlfn.XLOOKUP($B28,'TH_MLG GRADE 10'!$B$7:$B$49,'TH_MLG GRADE 10'!K$7:K$49,"",0,1)="P",1*$D28,0))</f>
        <v>0</v>
      </c>
      <c r="K28" s="31">
        <f>IF($D28=0,0,IF(_xlfn.XLOOKUP($B28,'TH_MLG GRADE 10'!$B$7:$B$49,'TH_MLG GRADE 10'!O$7:O$49,"",0,1)="P",1*$D28,0))</f>
        <v>0</v>
      </c>
      <c r="L28" s="31">
        <f>IF($D28=0,0,IF(_xlfn.XLOOKUP($B28,'TH_MLG GRADE 10'!$B$7:$B$49,'TH_MLG GRADE 10'!P$7:P$49,"",0,1)="P",1*$D28,0))</f>
        <v>0</v>
      </c>
      <c r="M28" s="31">
        <f>IF($D28=0,0,IF(_xlfn.XLOOKUP($B28,'TH_MLG GRADE 10'!$B$7:$B$49,'TH_MLG GRADE 10'!Q$7:Q$49,"",0,1)="P",1*$D28,0))</f>
        <v>0</v>
      </c>
      <c r="N28" s="31">
        <f>IF($D28=0,0,IF(_xlfn.XLOOKUP($B28,'TH_MLG GRADE 10'!$B$7:$B$49,'TH_MLG GRADE 10'!AA$7:AA$49,"",0,1)="P",1*$D28,0))</f>
        <v>1</v>
      </c>
      <c r="O28" s="31">
        <f>IF($D28=0,0,IF(_xlfn.XLOOKUP($B28,'TH_MLG GRADE 10'!$B$7:$B$49,'TH_MLG GRADE 10'!AB$7:AB$49,"",0,1)="P",1*$D28,0))</f>
        <v>0</v>
      </c>
      <c r="P28" s="31">
        <f>IF($D28=0,0,IF(_xlfn.XLOOKUP($B28,'TH_MLG GRADE 10'!$B$7:$B$49,'TH_MLG GRADE 10'!AC$7:AC$49,"",0,1)="P",1*$D28,0))</f>
        <v>0</v>
      </c>
      <c r="Q28" s="31">
        <f>IF($D28=0,0,IF(_xlfn.XLOOKUP($B28,'TH_MLG GRADE 10'!$B$7:$B$49,'TH_MLG GRADE 10'!AG$7:AG$49,"",0,1)="P",1*$D28,0))</f>
        <v>1</v>
      </c>
      <c r="R28" s="31">
        <f>IF($D28=0,0,IF(_xlfn.XLOOKUP($B28,'TH_MLG GRADE 10'!$B$7:$B$49,'TH_MLG GRADE 10'!AH$7:AH$49,"",0,1)="P",1*$D28,0))</f>
        <v>1</v>
      </c>
      <c r="S28" s="31">
        <f>IF($D28=0,0,IF(_xlfn.XLOOKUP($B28,'TH_MLG GRADE 10'!$B$7:$B$49,'TH_MLG GRADE 10'!AI$7:AI$49,"",0,1)="P",1*$D28,0))</f>
        <v>1</v>
      </c>
      <c r="T28" s="31">
        <f>IF($D28=0,0,IF(_xlfn.XLOOKUP($B28,'TH_MLG GRADE 10'!$B$7:$B$49,'TH_MLG GRADE 10'!AM$7:AM$49,"",0,1)="P",1*$D28,0))</f>
        <v>0</v>
      </c>
      <c r="U28" s="31">
        <f>IF($D28=0,0,IF(_xlfn.XLOOKUP($B28,'TH_MLG GRADE 10'!$B$7:$B$49,'TH_MLG GRADE 10'!AN$7:AN$49,"",0,1)="P",1*$D28,0))</f>
        <v>0</v>
      </c>
      <c r="V28" s="31">
        <f>IF($D28=0,0,IF(_xlfn.XLOOKUP($B28,'TH_MLG GRADE 10'!$B$7:$B$49,'TH_MLG GRADE 10'!AO$7:AO$49,"",0,1)="P",1*$D28,0))</f>
        <v>0</v>
      </c>
      <c r="W28" s="31">
        <f>IF($D28=0,0,IF(_xlfn.XLOOKUP($B28,'TH_MLG GRADE 10'!$B$7:$B$49,'TH_MLG GRADE 10'!AY$7:AY$49,"",0,1)="P",1*$D28,0))</f>
        <v>0</v>
      </c>
      <c r="X28" s="31">
        <f>IF($D28=0,0,IF(_xlfn.XLOOKUP($B28,'TH_MLG GRADE 10'!$B$7:$B$49,'TH_MLG GRADE 10'!AZ$7:AZ$49,"",0,1)="P",1*$D28,0))</f>
        <v>0</v>
      </c>
      <c r="Y28" s="31">
        <f>IF($D28=0,0,IF(_xlfn.XLOOKUP($B28,'TH_MLG GRADE 10'!$B$7:$B$49,'TH_MLG GRADE 10'!BA$7:BA$49,"",0,1)="P",1*$D28,0))</f>
        <v>0</v>
      </c>
      <c r="Z28" s="31">
        <f>IF($D28=0,0,IF(_xlfn.XLOOKUP($B28,'TH_MLG GRADE 10'!$B$7:$B$49,'TH_MLG GRADE 10'!BE$7:BE$49,"",0,1)="P",1*$D28,0))</f>
        <v>0</v>
      </c>
      <c r="AA28" s="31">
        <f>IF($D28=0,0,IF(_xlfn.XLOOKUP($B28,'TH_MLG GRADE 10'!$B$7:$B$49,'TH_MLG GRADE 10'!BF$7:BF$49,"",0,1)="P",1*$D28,0))</f>
        <v>0</v>
      </c>
      <c r="AB28" s="31">
        <f>IF($D28=0,0,IF(_xlfn.XLOOKUP($B28,'TH_MLG GRADE 10'!$B$7:$B$49,'TH_MLG GRADE 10'!BG$7:BG$49,"",0,1)="P",1*$D28,0))</f>
        <v>0</v>
      </c>
      <c r="AC28" s="31" t="e">
        <f>IF($D28=0,0,IF(_xlfn.XLOOKUP($B28,'TH_MLG GRADE 10'!$B$7:$B$49,'TH_MLG GRADE 10'!#REF!,"",0,1)="P",1*$D28,0))</f>
        <v>#REF!</v>
      </c>
      <c r="AD28" s="31" t="e">
        <f>IF($D28=0,0,IF(_xlfn.XLOOKUP($B28,'TH_MLG GRADE 10'!$B$7:$B$49,'TH_MLG GRADE 10'!#REF!,"",0,1)="P",1*$D28,0))</f>
        <v>#REF!</v>
      </c>
      <c r="AE28" s="31" t="e">
        <f>IF($D28=0,0,IF(_xlfn.XLOOKUP($B28,'TH_MLG GRADE 10'!$B$7:$B$49,'TH_MLG GRADE 10'!#REF!,"",0,1)="P",1*$D28,0))</f>
        <v>#REF!</v>
      </c>
      <c r="AF28" s="31" t="e">
        <f>IF($D28=0,0,IF(_xlfn.XLOOKUP($B28,'TH_MLG GRADE 10'!$B$7:$B$49,'TH_MLG GRADE 10'!#REF!,"",0,1)="P",1*$D28,0))</f>
        <v>#REF!</v>
      </c>
      <c r="AG28" s="31" t="e">
        <f>IF($D28=0,0,IF(_xlfn.XLOOKUP($B28,'TH_MLG GRADE 10'!$B$7:$B$49,'TH_MLG GRADE 10'!#REF!,"",0,1)="P",1*$D28,0))</f>
        <v>#REF!</v>
      </c>
      <c r="AH28" s="31" t="e">
        <f>IF($D28=0,0,IF(_xlfn.XLOOKUP($B28,'TH_MLG GRADE 10'!$B$7:$B$49,'TH_MLG GRADE 10'!#REF!,"",0,1)="P",1*$D28,0))</f>
        <v>#REF!</v>
      </c>
      <c r="AI28" s="32">
        <f>IF($D28=0,0,IF(_xlfn.XLOOKUP($B28,'TH_CMI GRADE 10'!$B$7:$B$49,'TH_CMI GRADE 10'!C$7:C$49,"",0,1)="P",1*$D28,0))</f>
        <v>0</v>
      </c>
      <c r="AJ28" s="32">
        <f>IF($D28=0,0,IF(_xlfn.XLOOKUP($B28,'TH_CMI GRADE 10'!$B$7:$B$49,'TH_CMI GRADE 10'!D$7:D$49,"",0,1)="P",1*$D28,0))</f>
        <v>0</v>
      </c>
      <c r="AK28" s="32">
        <f>IF($D28=0,0,IF(_xlfn.XLOOKUP($B28,'TH_CMI GRADE 10'!$B$7:$B$49,'TH_CMI GRADE 10'!H$7:H$49,"",0,1)="P",1*$D28,0))</f>
        <v>0</v>
      </c>
      <c r="AL28" s="32">
        <f>IF($D28=0,0,IF(_xlfn.XLOOKUP($B28,'TH_CMI GRADE 10'!$B$7:$B$49,'TH_CMI GRADE 10'!I$7:I$49,"",0,1)="P",1*$D28,0))</f>
        <v>0</v>
      </c>
      <c r="AM28" s="32">
        <f>IF($D28=0,0,IF(_xlfn.XLOOKUP($B28,'TH_CMI GRADE 10'!$B$7:$B$49,'TH_CMI GRADE 10'!J$7:J$49,"",0,1)="P",1*$D28,0))</f>
        <v>0</v>
      </c>
      <c r="AN28" s="32">
        <f>IF($D28=0,0,IF(_xlfn.XLOOKUP($B28,'TH_CMI GRADE 10'!$B$7:$B$49,'TH_CMI GRADE 10'!K$7:K$49,"",0,1)="P",1*$D28,0))</f>
        <v>0</v>
      </c>
      <c r="AO28" s="32">
        <f>IF($D28=0,0,IF(_xlfn.XLOOKUP($B28,'TH_CMI GRADE 10'!$B$7:$B$49,'TH_CMI GRADE 10'!O$7:O$49,"",0,1)="P",1*$D28,0))</f>
        <v>0</v>
      </c>
      <c r="AP28" s="32">
        <f>IF($D28=0,0,IF(_xlfn.XLOOKUP($B28,'TH_CMI GRADE 10'!$B$7:$B$49,'TH_CMI GRADE 10'!P$7:P$49,"",0,1)="P",1*$D28,0))</f>
        <v>0</v>
      </c>
      <c r="AQ28" s="32">
        <f>IF($D28=0,0,IF(_xlfn.XLOOKUP($B28,'TH_CMI GRADE 10'!$B$7:$B$49,'TH_CMI GRADE 10'!Q$7:Q$49,"",0,1)="P",1*$D28,0))</f>
        <v>0</v>
      </c>
      <c r="AR28" s="32">
        <f>IF($D28=0,0,IF(_xlfn.XLOOKUP($B28,'TH_CMI GRADE 10'!$B$7:$B$49,'TH_CMI GRADE 10'!U$7:U$49,"",0,1)="P",1*$D28,0))</f>
        <v>0</v>
      </c>
      <c r="AS28" s="32">
        <f>IF($D28=0,0,IF(_xlfn.XLOOKUP($B28,'TH_CMI GRADE 10'!$B$7:$B$49,'TH_CMI GRADE 10'!V$7:V$49,"",0,1)="P",1*$D28,0))</f>
        <v>0</v>
      </c>
      <c r="AT28" s="32">
        <f>IF($D28=0,0,IF(_xlfn.XLOOKUP($B28,'TH_CMI GRADE 10'!$B$7:$B$49,'TH_CMI GRADE 10'!W$7:W$49,"",0,1)="P",1*$D28,0))</f>
        <v>0</v>
      </c>
      <c r="AU28" s="32">
        <f>IF($D28=0,0,IF(_xlfn.XLOOKUP($B28,'TH_CMI GRADE 10'!$B$7:$B$49,'TH_CMI GRADE 10'!AA$7:AA$49,"",0,1)="P",1*$D28,0))</f>
        <v>1</v>
      </c>
      <c r="AV28" s="32">
        <f>IF($D28=0,0,IF(_xlfn.XLOOKUP($B28,'TH_CMI GRADE 10'!$B$7:$B$49,'TH_CMI GRADE 10'!AB$7:AB$49,"",0,1)="P",1*$D28,0))</f>
        <v>0</v>
      </c>
      <c r="AW28" s="32">
        <f>IF($D28=0,0,IF(_xlfn.XLOOKUP($B28,'TH_CMI GRADE 10'!$B$7:$B$49,'TH_CMI GRADE 10'!AC$7:AC$49,"",0,1)="P",1*$D28,0))</f>
        <v>1</v>
      </c>
      <c r="AX28" s="32">
        <f>IF($D28=0,0,IF(_xlfn.XLOOKUP($B28,'TH_CMI GRADE 10'!$B$7:$B$49,'TH_CMI GRADE 10'!AG$7:AG$49,"",0,1)="P",1*$D28,0))</f>
        <v>1</v>
      </c>
      <c r="AY28" s="32">
        <f>IF($D28=0,0,IF(_xlfn.XLOOKUP($B28,'TH_CMI GRADE 10'!$B$7:$B$49,'TH_CMI GRADE 10'!AH$7:AH$49,"",0,1)="P",1*$D28,0))</f>
        <v>0</v>
      </c>
      <c r="AZ28" s="32">
        <f>IF($D28=0,0,IF(_xlfn.XLOOKUP($B28,'TH_CMI GRADE 10'!$B$7:$B$49,'TH_CMI GRADE 10'!AI$7:AI$49,"",0,1)="P",1*$D28,0))</f>
        <v>1</v>
      </c>
      <c r="BA28" s="31">
        <f>IF($C28=0,0,IF(_xlfn.XLOOKUP($B28,'PW_MLG GRADE 10'!$B$7:$B$31,'PW_MLG GRADE 10'!#REF!,"",0,1)="P",1*$C28,0))</f>
        <v>0</v>
      </c>
      <c r="BB28" s="31">
        <f>IF($C28=0,0,IF(_xlfn.XLOOKUP($B28,'PW_MLG GRADE 10'!$B$7:$B$31,'PW_MLG GRADE 10'!#REF!,"",0,1)="P",1*$C28,0))</f>
        <v>0</v>
      </c>
      <c r="BC28" s="31">
        <f>IF($C28=0,0,IF(_xlfn.XLOOKUP($B28,'PW_MLG GRADE 10'!$B$7:$B$31,'PW_MLG GRADE 10'!#REF!,"",0,1)="P",1*$C28,0))</f>
        <v>0</v>
      </c>
      <c r="BD28" s="31">
        <f>IF($C28=0,0,IF(_xlfn.XLOOKUP($B28,'PW_MLG GRADE 10'!$B$7:$B$31,'PW_MLG GRADE 10'!#REF!,"",0,1)="P",1*$C28,0))</f>
        <v>0</v>
      </c>
      <c r="BE28" s="31">
        <f>IF($C28=0,0,IF(_xlfn.XLOOKUP($B28,'PW_MLG GRADE 10'!$B$7:$B$31,'PW_MLG GRADE 10'!#REF!,"",0,1)="P",1*$C28,0))</f>
        <v>0</v>
      </c>
      <c r="BF28" s="31">
        <f>IF($C28=0,0,IF(_xlfn.XLOOKUP($B28,'PW_MLG GRADE 10'!$B$7:$B$31,'PW_MLG GRADE 10'!#REF!,"",0,1)="P",1*$C28,0))</f>
        <v>0</v>
      </c>
      <c r="BG28" s="31">
        <f>IF($C28=0,0,IF(_xlfn.XLOOKUP($B28,'PW_MLG GRADE 10'!$B$7:$B$31,'PW_MLG GRADE 10'!#REF!,"",0,1)="P",1*$C28,0))</f>
        <v>0</v>
      </c>
      <c r="BH28" s="31">
        <f>IF($C28=0,0,IF(_xlfn.XLOOKUP($B28,'PW_MLG GRADE 10'!$B$7:$B$31,'PW_MLG GRADE 10'!#REF!,"",0,1)="P",1*$C28,0))</f>
        <v>0</v>
      </c>
      <c r="BI28" s="31">
        <f>IF($C28=0,0,IF(_xlfn.XLOOKUP($B28,'PW_MLG GRADE 10'!$B$7:$B$31,'PW_MLG GRADE 10'!#REF!,"",0,1)="P",1*$C28,0))</f>
        <v>0</v>
      </c>
      <c r="BJ28" s="31">
        <f>IF($C28=0,0,IF(_xlfn.XLOOKUP($B28,'PW_MLG GRADE 10'!$B$7:$B$31,'PW_MLG GRADE 10'!#REF!,"",0,1)="P",1*$C28,0))</f>
        <v>0</v>
      </c>
      <c r="BK28" s="31">
        <f>IF($C28=0,0,IF(_xlfn.XLOOKUP($B28,'PW_MLG GRADE 10'!$B$7:$B$31,'PW_MLG GRADE 10'!#REF!,"",0,1)="P",1*$C28,0))</f>
        <v>0</v>
      </c>
      <c r="BL28" s="31">
        <f>IF($C28=0,0,IF(_xlfn.XLOOKUP($B28,'PW_MLG GRADE 10'!$B$7:$B$31,'PW_MLG GRADE 10'!#REF!,"",0,1)="P",1*$C28,0))</f>
        <v>0</v>
      </c>
      <c r="BM28" s="31">
        <f>IF($C28=0,0,IF(_xlfn.XLOOKUP($B28,'PW_MLG GRADE 10'!$B$7:$B$31,'PW_MLG GRADE 10'!#REF!,"",0,1)="P",1*$C28,0))</f>
        <v>0</v>
      </c>
      <c r="BN28" s="31">
        <f>IF($C28=0,0,IF(_xlfn.XLOOKUP($B28,'PW_MLG GRADE 10'!$B$7:$B$31,'PW_MLG GRADE 10'!#REF!,"",0,1)="P",1*$C28,0))</f>
        <v>0</v>
      </c>
      <c r="BO28" s="31">
        <f>IF($C28=0,0,IF(_xlfn.XLOOKUP($B28,'PW_MLG GRADE 10'!$B$7:$B$31,'PW_MLG GRADE 10'!#REF!,"",0,1)="P",1*$C28,0))</f>
        <v>0</v>
      </c>
      <c r="BP28" s="31">
        <f>IF($C28=0,0,IF(_xlfn.XLOOKUP($B28,'PW_MLG GRADE 10'!$B$7:$B$31,'PW_MLG GRADE 10'!#REF!,"",0,1)="P",1*$C28,0))</f>
        <v>0</v>
      </c>
      <c r="BQ28" s="31">
        <f>IF($C28=0,0,IF(_xlfn.XLOOKUP($B28,'PW_MLG GRADE 10'!$B$7:$B$31,'PW_MLG GRADE 10'!#REF!,"",0,1)="P",1*$C28,0))</f>
        <v>0</v>
      </c>
      <c r="BR28" s="31">
        <f>IF($C28=0,0,IF(_xlfn.XLOOKUP($B28,'PW_MLG GRADE 10'!$B$7:$B$31,'PW_MLG GRADE 10'!#REF!,"",0,1)="P",1*$C28,0))</f>
        <v>0</v>
      </c>
      <c r="BS28" s="31">
        <f>IF($C28=0,0,IF(_xlfn.XLOOKUP($B28,'PW_MLG GRADE 10'!$B$7:$B$31,'PW_MLG GRADE 10'!#REF!,"",0,1)="P",1*$C28,0))</f>
        <v>0</v>
      </c>
      <c r="BT28" s="31">
        <f>IF($C28=0,0,IF(_xlfn.XLOOKUP($B28,'PW_MLG GRADE 10'!$B$7:$B$31,'PW_MLG GRADE 10'!#REF!,"",0,1)="P",1*$C28,0))</f>
        <v>0</v>
      </c>
      <c r="BU28" s="31">
        <f>IF($C28=0,0,IF(_xlfn.XLOOKUP($B28,'PW_MLG GRADE 10'!$B$7:$B$31,'PW_MLG GRADE 10'!#REF!,"",0,1)="P",1*$C28,0))</f>
        <v>0</v>
      </c>
      <c r="BV28" s="31">
        <f>IF($C28=0,0,IF(_xlfn.XLOOKUP($B28,'PW_MLG GRADE 10'!$B$7:$B$31,'PW_MLG GRADE 10'!#REF!,"",0,1)="P",1*$C28,0))</f>
        <v>0</v>
      </c>
      <c r="BW28" s="31">
        <f>IF($C28=0,0,IF(_xlfn.XLOOKUP($B28,'PW_MLG GRADE 10'!$B$7:$B$31,'PW_MLG GRADE 10'!#REF!,"",0,1)="P",1*$C28,0))</f>
        <v>0</v>
      </c>
      <c r="BX28" s="31">
        <f>IF($C28=0,0,IF(_xlfn.XLOOKUP($B28,'PW_MLG GRADE 10'!$B$7:$B$31,'PW_MLG GRADE 10'!#REF!,"",0,1)="P",1*$C28,0))</f>
        <v>0</v>
      </c>
      <c r="BY28" s="31">
        <f>IF($C28=0,0,IF(_xlfn.XLOOKUP($B28,'PW_MLG GRADE 10'!$B$7:$B$31,'PW_MLG GRADE 10'!#REF!,"",0,1)="P",1*$C28,0))</f>
        <v>0</v>
      </c>
      <c r="BZ28" s="31">
        <f>IF($C28=0,0,IF(_xlfn.XLOOKUP($B28,'PW_MLG GRADE 10'!$B$7:$B$31,'PW_MLG GRADE 10'!#REF!,"",0,1)="P",1*$C28,0))</f>
        <v>0</v>
      </c>
      <c r="CA28" s="31">
        <f>IF($C28=0,0,IF(_xlfn.XLOOKUP($B28,'PW_MLG GRADE 10'!$B$7:$B$31,'PW_MLG GRADE 10'!#REF!,"",0,1)="P",1*$C28,0))</f>
        <v>0</v>
      </c>
      <c r="CB28" s="31">
        <f>IF($C28=0,0,IF(_xlfn.XLOOKUP($B28,'PW_MLG GRADE 10'!$B$7:$B$31,'PW_MLG GRADE 10'!#REF!,"",0,1)="P",1*$C28,0))</f>
        <v>0</v>
      </c>
      <c r="CC28" s="31">
        <f>IF($C28=0,0,IF(_xlfn.XLOOKUP($B28,'PW_MLG GRADE 10'!$B$7:$B$31,'PW_MLG GRADE 10'!#REF!,"",0,1)="P",1*$C28,0))</f>
        <v>0</v>
      </c>
      <c r="CD28" s="31">
        <f>IF($C28=0,0,IF(_xlfn.XLOOKUP($B28,'PW_MLG GRADE 10'!$B$7:$B$31,'PW_MLG GRADE 10'!#REF!,"",0,1)="P",1*$C28,0))</f>
        <v>0</v>
      </c>
      <c r="CE28" s="32">
        <f>IF($C28=0,0,IF(_xlfn.XLOOKUP($B28,'PW_CMI GRADE 10'!$B$7:$B$31,'PW_CMI GRADE 10'!C$7:C$31,"",0,1)="P",1*$C28,0))</f>
        <v>0</v>
      </c>
      <c r="CF28" s="32">
        <f>IF($C28=0,0,IF(_xlfn.XLOOKUP($B28,'PW_CMI GRADE 10'!$B$7:$B$31,'PW_CMI GRADE 10'!D$7:D$31,"",0,1)="P",1*$C28,0))</f>
        <v>0</v>
      </c>
      <c r="CG28" s="32">
        <f>IF($C28=0,0,IF(_xlfn.XLOOKUP($B28,'PW_CMI GRADE 10'!$B$7:$B$31,'PW_CMI GRADE 10'!E$7:E$31,"",0,1)="P",1*$C28,0))</f>
        <v>0</v>
      </c>
      <c r="CH28" s="32">
        <f>IF($C28=0,0,IF(_xlfn.XLOOKUP($B28,'PW_CMI GRADE 10'!$B$7:$B$31,'PW_CMI GRADE 10'!F$7:F$31,"",0,1)="P",1*$C28,0))</f>
        <v>0</v>
      </c>
      <c r="CI28" s="32">
        <f>IF($C28=0,0,IF(_xlfn.XLOOKUP($B28,'PW_CMI GRADE 10'!$B$7:$B$31,'PW_CMI GRADE 10'!G$7:G$31,"",0,1)="P",1*$C28,0))</f>
        <v>0</v>
      </c>
      <c r="CJ28" s="32">
        <f>IF($C28=0,0,IF(_xlfn.XLOOKUP($B28,'PW_CMI GRADE 10'!$B$7:$B$31,'PW_CMI GRADE 10'!H$7:H$31,"",0,1)="P",1*$C28,0))</f>
        <v>0</v>
      </c>
      <c r="CK28" s="32">
        <f>IF($C28=0,0,IF(_xlfn.XLOOKUP($B28,'PW_CMI GRADE 10'!$B$7:$B$31,'PW_CMI GRADE 10'!I$7:I$31,"",0,1)="P",1*$C28,0))</f>
        <v>0</v>
      </c>
      <c r="CL28" s="32">
        <f>IF($C28=0,0,IF(_xlfn.XLOOKUP($B28,'PW_CMI GRADE 10'!$B$7:$B$31,'PW_CMI GRADE 10'!J$7:J$31,"",0,1)="P",1*$C28,0))</f>
        <v>0</v>
      </c>
      <c r="CM28" s="32">
        <f>IF($C28=0,0,IF(_xlfn.XLOOKUP($B28,'PW_CMI GRADE 10'!$B$7:$B$31,'PW_CMI GRADE 10'!K$7:K$31,"",0,1)="P",1*$C28,0))</f>
        <v>0</v>
      </c>
      <c r="CN28" s="32">
        <f>IF($C28=0,0,IF(_xlfn.XLOOKUP($B28,'PW_CMI GRADE 10'!$B$7:$B$31,'PW_CMI GRADE 10'!L$7:L$31,"",0,1)="P",1*$C28,0))</f>
        <v>0</v>
      </c>
      <c r="CO28" s="32">
        <f>IF($C28=0,0,IF(_xlfn.XLOOKUP($B28,'PW_CMI GRADE 10'!$B$7:$B$31,'PW_CMI GRADE 10'!M$7:M$31,"",0,1)="P",1*$C28,0))</f>
        <v>0</v>
      </c>
      <c r="CP28" s="32">
        <f>IF($C28=0,0,IF(_xlfn.XLOOKUP($B28,'PW_CMI GRADE 10'!$B$7:$B$31,'PW_CMI GRADE 10'!N$7:N$31,"",0,1)="P",1*$C28,0))</f>
        <v>0</v>
      </c>
      <c r="CQ28" s="32">
        <f>IF($C28=0,0,IF(_xlfn.XLOOKUP($B28,'PW_CMI GRADE 10'!$B$7:$B$31,'PW_CMI GRADE 10'!O$7:O$31,"",0,1)="P",1*$C28,0))</f>
        <v>0</v>
      </c>
      <c r="CR28" s="32">
        <f>IF($C28=0,0,IF(_xlfn.XLOOKUP($B28,'PW_CMI GRADE 10'!$B$7:$B$31,'PW_CMI GRADE 10'!P$7:P$31,"",0,1)="P",1*$C28,0))</f>
        <v>0</v>
      </c>
      <c r="CS28" s="32">
        <f>IF($C28=0,0,IF(_xlfn.XLOOKUP($B28,'PW_CMI GRADE 10'!$B$7:$B$31,'PW_CMI GRADE 10'!Q$7:Q$31,"",0,1)="P",1*$C28,0))</f>
        <v>0</v>
      </c>
      <c r="CT28" s="32">
        <f>IF($C28=0,0,IF(_xlfn.XLOOKUP($B28,'PW_CMI GRADE 10'!$B$7:$B$31,'PW_CMI GRADE 10'!R$7:R$31,"",0,1)="P",1*$C28,0))</f>
        <v>0</v>
      </c>
      <c r="CU28" s="32">
        <f>IF($C28=0,0,IF(_xlfn.XLOOKUP($B28,'PW_CMI GRADE 10'!$B$7:$B$31,'PW_CMI GRADE 10'!S$7:S$31,"",0,1)="P",1*$C28,0))</f>
        <v>0</v>
      </c>
      <c r="CV28" s="32">
        <f>IF($C28=0,0,IF(_xlfn.XLOOKUP($B28,'PW_CMI GRADE 10'!$B$7:$B$31,'PW_CMI GRADE 10'!T$7:T$31,"",0,1)="P",1*$C28,0))</f>
        <v>0</v>
      </c>
      <c r="CW28" s="62">
        <f t="shared" si="19"/>
        <v>0</v>
      </c>
      <c r="CX28" s="62">
        <f t="shared" si="20"/>
        <v>0</v>
      </c>
      <c r="CY28" s="62">
        <f t="shared" si="21"/>
        <v>0</v>
      </c>
      <c r="CZ28" s="62">
        <f t="shared" si="22"/>
        <v>0</v>
      </c>
      <c r="DA28" s="62">
        <f t="shared" si="23"/>
        <v>0</v>
      </c>
      <c r="DB28" s="62">
        <f t="shared" si="24"/>
        <v>0</v>
      </c>
      <c r="DC28" s="62">
        <f t="shared" si="25"/>
        <v>0</v>
      </c>
      <c r="DD28" s="62">
        <f t="shared" si="26"/>
        <v>0.33333333333333331</v>
      </c>
      <c r="DE28" s="62">
        <f t="shared" si="27"/>
        <v>0.33333333333333331</v>
      </c>
      <c r="DF28" s="62">
        <f t="shared" si="28"/>
        <v>0.33333333333333331</v>
      </c>
      <c r="DG28" s="62">
        <f t="shared" si="29"/>
        <v>0.33333333333333331</v>
      </c>
      <c r="DH28" s="62">
        <f t="shared" si="30"/>
        <v>0.66666666666666663</v>
      </c>
      <c r="DI28" s="62">
        <f t="shared" si="31"/>
        <v>1</v>
      </c>
      <c r="DJ28" s="62">
        <f t="shared" si="32"/>
        <v>0.66666666666666663</v>
      </c>
      <c r="DK28" s="62">
        <f t="shared" si="33"/>
        <v>0.33333333333333331</v>
      </c>
      <c r="DL28" s="62">
        <f t="shared" si="34"/>
        <v>0</v>
      </c>
      <c r="DM28" s="62">
        <f t="shared" si="35"/>
        <v>0</v>
      </c>
      <c r="DN28" s="62">
        <f t="shared" si="36"/>
        <v>0</v>
      </c>
      <c r="DO28" s="62">
        <f t="shared" si="37"/>
        <v>0</v>
      </c>
      <c r="DP28" s="62">
        <f t="shared" si="38"/>
        <v>0</v>
      </c>
      <c r="DQ28" s="62">
        <f t="shared" si="39"/>
        <v>0</v>
      </c>
      <c r="DR28" s="62">
        <f t="shared" si="40"/>
        <v>0</v>
      </c>
      <c r="DS28" s="62" t="e">
        <f t="shared" si="41"/>
        <v>#REF!</v>
      </c>
      <c r="DT28" s="62" t="e">
        <f t="shared" si="42"/>
        <v>#REF!</v>
      </c>
      <c r="DU28" s="62" t="e">
        <f t="shared" si="43"/>
        <v>#REF!</v>
      </c>
      <c r="DV28" s="62" t="e">
        <f t="shared" si="44"/>
        <v>#REF!</v>
      </c>
      <c r="DW28" s="62" t="e">
        <f t="shared" si="45"/>
        <v>#REF!</v>
      </c>
      <c r="DX28" s="62" t="e">
        <f t="shared" si="46"/>
        <v>#REF!</v>
      </c>
      <c r="DY28" s="62" t="e">
        <f t="shared" si="47"/>
        <v>#REF!</v>
      </c>
      <c r="DZ28" s="62" t="e">
        <f t="shared" si="48"/>
        <v>#REF!</v>
      </c>
      <c r="EA28" s="63">
        <f t="shared" si="68"/>
        <v>0</v>
      </c>
      <c r="EB28" s="63">
        <f t="shared" si="2"/>
        <v>0</v>
      </c>
      <c r="EC28" s="63">
        <f t="shared" si="3"/>
        <v>0</v>
      </c>
      <c r="ED28" s="63">
        <f t="shared" si="4"/>
        <v>0</v>
      </c>
      <c r="EE28" s="63">
        <f t="shared" si="5"/>
        <v>0</v>
      </c>
      <c r="EF28" s="63">
        <f t="shared" si="6"/>
        <v>0</v>
      </c>
      <c r="EG28" s="63">
        <f t="shared" si="7"/>
        <v>0</v>
      </c>
      <c r="EH28" s="63">
        <f t="shared" si="8"/>
        <v>0</v>
      </c>
      <c r="EI28" s="63">
        <f t="shared" si="9"/>
        <v>0</v>
      </c>
      <c r="EJ28" s="63">
        <f t="shared" si="10"/>
        <v>0</v>
      </c>
      <c r="EK28" s="63">
        <f t="shared" si="11"/>
        <v>0.33333333333333331</v>
      </c>
      <c r="EL28" s="63">
        <f t="shared" si="12"/>
        <v>0.33333333333333331</v>
      </c>
      <c r="EM28" s="63">
        <f t="shared" si="13"/>
        <v>0.66666666666666663</v>
      </c>
      <c r="EN28" s="63">
        <f t="shared" si="14"/>
        <v>0.66666666666666663</v>
      </c>
      <c r="EO28" s="63">
        <f t="shared" si="15"/>
        <v>0.66666666666666663</v>
      </c>
      <c r="EP28" s="63">
        <f t="shared" si="16"/>
        <v>0.66666666666666663</v>
      </c>
      <c r="FU28" s="51">
        <v>46569</v>
      </c>
      <c r="FV28" t="s">
        <v>22</v>
      </c>
      <c r="FW28" t="s">
        <v>22</v>
      </c>
      <c r="FX28" t="s">
        <v>22</v>
      </c>
      <c r="FY28" t="s">
        <v>22</v>
      </c>
      <c r="FZ28" t="s">
        <v>22</v>
      </c>
      <c r="GA28" t="s">
        <v>22</v>
      </c>
      <c r="GB28" t="s">
        <v>22</v>
      </c>
      <c r="GC28" t="s">
        <v>22</v>
      </c>
      <c r="GD28" t="s">
        <v>22</v>
      </c>
      <c r="GE28" t="s">
        <v>22</v>
      </c>
      <c r="GF28" t="s">
        <v>22</v>
      </c>
      <c r="GG28" t="s">
        <v>22</v>
      </c>
      <c r="GH28" t="s">
        <v>22</v>
      </c>
      <c r="GI28" t="s">
        <v>22</v>
      </c>
      <c r="GJ28" t="s">
        <v>22</v>
      </c>
      <c r="GK28" t="s">
        <v>22</v>
      </c>
      <c r="GL28" t="s">
        <v>22</v>
      </c>
      <c r="GM28" t="s">
        <v>22</v>
      </c>
      <c r="GN28" t="s">
        <v>22</v>
      </c>
      <c r="GO28" t="s">
        <v>22</v>
      </c>
      <c r="GP28" t="s">
        <v>22</v>
      </c>
      <c r="GQ28" t="s">
        <v>22</v>
      </c>
      <c r="GR28" t="s">
        <v>22</v>
      </c>
      <c r="GS28" t="s">
        <v>22</v>
      </c>
      <c r="GT28" t="s">
        <v>22</v>
      </c>
      <c r="GU28" t="s">
        <v>22</v>
      </c>
      <c r="GV28" t="s">
        <v>22</v>
      </c>
      <c r="GW28" t="s">
        <v>22</v>
      </c>
      <c r="GX28" t="s">
        <v>22</v>
      </c>
      <c r="GY28" t="s">
        <v>22</v>
      </c>
      <c r="GZ28" t="s">
        <v>22</v>
      </c>
      <c r="HA28" t="s">
        <v>22</v>
      </c>
      <c r="HB28" t="s">
        <v>22</v>
      </c>
      <c r="HC28" t="s">
        <v>22</v>
      </c>
      <c r="HD28" t="s">
        <v>22</v>
      </c>
      <c r="HE28" t="s">
        <v>22</v>
      </c>
      <c r="HF28" t="s">
        <v>22</v>
      </c>
      <c r="HG28" t="s">
        <v>22</v>
      </c>
      <c r="HH28" t="s">
        <v>22</v>
      </c>
      <c r="HI28" t="s">
        <v>22</v>
      </c>
      <c r="HJ28" t="s">
        <v>22</v>
      </c>
      <c r="HK28" t="s">
        <v>22</v>
      </c>
      <c r="HL28" t="s">
        <v>22</v>
      </c>
      <c r="HM28" t="s">
        <v>22</v>
      </c>
      <c r="HN28" t="s">
        <v>22</v>
      </c>
      <c r="HO28" cm="1">
        <f t="array" ref="HO28">SUMPRODUCT(--(FV28:HN28&lt;&gt;""))</f>
        <v>0</v>
      </c>
    </row>
    <row r="29" spans="1:223">
      <c r="A29" t="str">
        <f t="shared" si="18"/>
        <v>4A.2</v>
      </c>
      <c r="B29" t="s">
        <v>60</v>
      </c>
      <c r="C29" s="27">
        <v>2</v>
      </c>
      <c r="D29" s="30">
        <v>1</v>
      </c>
      <c r="E29" s="31">
        <f>IF($D29=0,0,IF(_xlfn.XLOOKUP($B29,'TH_MLG GRADE 10'!$B$7:$B$49,'TH_MLG GRADE 10'!C$7:C$49,"",0,1)="P",1*$D29,0))</f>
        <v>0</v>
      </c>
      <c r="F29" s="31">
        <f>IF($D29=0,0,IF(_xlfn.XLOOKUP($B29,'TH_MLG GRADE 10'!$B$7:$B$49,'TH_MLG GRADE 10'!D$7:D$49,"",0,1)="P",1*$D29,0))</f>
        <v>0</v>
      </c>
      <c r="G29" s="31">
        <f>IF($D29=0,0,IF(_xlfn.XLOOKUP($B29,'TH_MLG GRADE 10'!$B$7:$B$49,'TH_MLG GRADE 10'!E$7:E$49,"",0,1)="P",1*$D29,0))</f>
        <v>0</v>
      </c>
      <c r="H29" s="31">
        <f>IF($D29=0,0,IF(_xlfn.XLOOKUP($B29,'TH_MLG GRADE 10'!$B$7:$B$49,'TH_MLG GRADE 10'!I$7:I$49,"",0,1)="P",1*$D29,0))</f>
        <v>0</v>
      </c>
      <c r="I29" s="31">
        <f>IF($D29=0,0,IF(_xlfn.XLOOKUP($B29,'TH_MLG GRADE 10'!$B$7:$B$49,'TH_MLG GRADE 10'!J$7:J$49,"",0,1)="P",1*$D29,0))</f>
        <v>0</v>
      </c>
      <c r="J29" s="31">
        <f>IF($D29=0,0,IF(_xlfn.XLOOKUP($B29,'TH_MLG GRADE 10'!$B$7:$B$49,'TH_MLG GRADE 10'!K$7:K$49,"",0,1)="P",1*$D29,0))</f>
        <v>0</v>
      </c>
      <c r="K29" s="31">
        <f>IF($D29=0,0,IF(_xlfn.XLOOKUP($B29,'TH_MLG GRADE 10'!$B$7:$B$49,'TH_MLG GRADE 10'!O$7:O$49,"",0,1)="P",1*$D29,0))</f>
        <v>0</v>
      </c>
      <c r="L29" s="31">
        <f>IF($D29=0,0,IF(_xlfn.XLOOKUP($B29,'TH_MLG GRADE 10'!$B$7:$B$49,'TH_MLG GRADE 10'!P$7:P$49,"",0,1)="P",1*$D29,0))</f>
        <v>0</v>
      </c>
      <c r="M29" s="31">
        <f>IF($D29=0,0,IF(_xlfn.XLOOKUP($B29,'TH_MLG GRADE 10'!$B$7:$B$49,'TH_MLG GRADE 10'!Q$7:Q$49,"",0,1)="P",1*$D29,0))</f>
        <v>0</v>
      </c>
      <c r="N29" s="31">
        <f>IF($D29=0,0,IF(_xlfn.XLOOKUP($B29,'TH_MLG GRADE 10'!$B$7:$B$49,'TH_MLG GRADE 10'!AA$7:AA$49,"",0,1)="P",1*$D29,0))</f>
        <v>1</v>
      </c>
      <c r="O29" s="31">
        <f>IF($D29=0,0,IF(_xlfn.XLOOKUP($B29,'TH_MLG GRADE 10'!$B$7:$B$49,'TH_MLG GRADE 10'!AB$7:AB$49,"",0,1)="P",1*$D29,0))</f>
        <v>0</v>
      </c>
      <c r="P29" s="31">
        <f>IF($D29=0,0,IF(_xlfn.XLOOKUP($B29,'TH_MLG GRADE 10'!$B$7:$B$49,'TH_MLG GRADE 10'!AC$7:AC$49,"",0,1)="P",1*$D29,0))</f>
        <v>1</v>
      </c>
      <c r="Q29" s="31">
        <f>IF($D29=0,0,IF(_xlfn.XLOOKUP($B29,'TH_MLG GRADE 10'!$B$7:$B$49,'TH_MLG GRADE 10'!AG$7:AG$49,"",0,1)="P",1*$D29,0))</f>
        <v>1</v>
      </c>
      <c r="R29" s="31">
        <f>IF($D29=0,0,IF(_xlfn.XLOOKUP($B29,'TH_MLG GRADE 10'!$B$7:$B$49,'TH_MLG GRADE 10'!AH$7:AH$49,"",0,1)="P",1*$D29,0))</f>
        <v>1</v>
      </c>
      <c r="S29" s="31">
        <f>IF($D29=0,0,IF(_xlfn.XLOOKUP($B29,'TH_MLG GRADE 10'!$B$7:$B$49,'TH_MLG GRADE 10'!AI$7:AI$49,"",0,1)="P",1*$D29,0))</f>
        <v>1</v>
      </c>
      <c r="T29" s="31">
        <f>IF($D29=0,0,IF(_xlfn.XLOOKUP($B29,'TH_MLG GRADE 10'!$B$7:$B$49,'TH_MLG GRADE 10'!AM$7:AM$49,"",0,1)="P",1*$D29,0))</f>
        <v>0</v>
      </c>
      <c r="U29" s="31">
        <f>IF($D29=0,0,IF(_xlfn.XLOOKUP($B29,'TH_MLG GRADE 10'!$B$7:$B$49,'TH_MLG GRADE 10'!AN$7:AN$49,"",0,1)="P",1*$D29,0))</f>
        <v>0</v>
      </c>
      <c r="V29" s="31">
        <f>IF($D29=0,0,IF(_xlfn.XLOOKUP($B29,'TH_MLG GRADE 10'!$B$7:$B$49,'TH_MLG GRADE 10'!AO$7:AO$49,"",0,1)="P",1*$D29,0))</f>
        <v>0</v>
      </c>
      <c r="W29" s="31">
        <f>IF($D29=0,0,IF(_xlfn.XLOOKUP($B29,'TH_MLG GRADE 10'!$B$7:$B$49,'TH_MLG GRADE 10'!AY$7:AY$49,"",0,1)="P",1*$D29,0))</f>
        <v>0</v>
      </c>
      <c r="X29" s="31">
        <f>IF($D29=0,0,IF(_xlfn.XLOOKUP($B29,'TH_MLG GRADE 10'!$B$7:$B$49,'TH_MLG GRADE 10'!AZ$7:AZ$49,"",0,1)="P",1*$D29,0))</f>
        <v>0</v>
      </c>
      <c r="Y29" s="31">
        <f>IF($D29=0,0,IF(_xlfn.XLOOKUP($B29,'TH_MLG GRADE 10'!$B$7:$B$49,'TH_MLG GRADE 10'!BA$7:BA$49,"",0,1)="P",1*$D29,0))</f>
        <v>0</v>
      </c>
      <c r="Z29" s="31">
        <f>IF($D29=0,0,IF(_xlfn.XLOOKUP($B29,'TH_MLG GRADE 10'!$B$7:$B$49,'TH_MLG GRADE 10'!BE$7:BE$49,"",0,1)="P",1*$D29,0))</f>
        <v>0</v>
      </c>
      <c r="AA29" s="31">
        <f>IF($D29=0,0,IF(_xlfn.XLOOKUP($B29,'TH_MLG GRADE 10'!$B$7:$B$49,'TH_MLG GRADE 10'!BF$7:BF$49,"",0,1)="P",1*$D29,0))</f>
        <v>0</v>
      </c>
      <c r="AB29" s="31">
        <f>IF($D29=0,0,IF(_xlfn.XLOOKUP($B29,'TH_MLG GRADE 10'!$B$7:$B$49,'TH_MLG GRADE 10'!BG$7:BG$49,"",0,1)="P",1*$D29,0))</f>
        <v>0</v>
      </c>
      <c r="AC29" s="31" t="e">
        <f>IF($D29=0,0,IF(_xlfn.XLOOKUP($B29,'TH_MLG GRADE 10'!$B$7:$B$49,'TH_MLG GRADE 10'!#REF!,"",0,1)="P",1*$D29,0))</f>
        <v>#REF!</v>
      </c>
      <c r="AD29" s="31" t="e">
        <f>IF($D29=0,0,IF(_xlfn.XLOOKUP($B29,'TH_MLG GRADE 10'!$B$7:$B$49,'TH_MLG GRADE 10'!#REF!,"",0,1)="P",1*$D29,0))</f>
        <v>#REF!</v>
      </c>
      <c r="AE29" s="31" t="e">
        <f>IF($D29=0,0,IF(_xlfn.XLOOKUP($B29,'TH_MLG GRADE 10'!$B$7:$B$49,'TH_MLG GRADE 10'!#REF!,"",0,1)="P",1*$D29,0))</f>
        <v>#REF!</v>
      </c>
      <c r="AF29" s="31" t="e">
        <f>IF($D29=0,0,IF(_xlfn.XLOOKUP($B29,'TH_MLG GRADE 10'!$B$7:$B$49,'TH_MLG GRADE 10'!#REF!,"",0,1)="P",1*$D29,0))</f>
        <v>#REF!</v>
      </c>
      <c r="AG29" s="31" t="e">
        <f>IF($D29=0,0,IF(_xlfn.XLOOKUP($B29,'TH_MLG GRADE 10'!$B$7:$B$49,'TH_MLG GRADE 10'!#REF!,"",0,1)="P",1*$D29,0))</f>
        <v>#REF!</v>
      </c>
      <c r="AH29" s="31" t="e">
        <f>IF($D29=0,0,IF(_xlfn.XLOOKUP($B29,'TH_MLG GRADE 10'!$B$7:$B$49,'TH_MLG GRADE 10'!#REF!,"",0,1)="P",1*$D29,0))</f>
        <v>#REF!</v>
      </c>
      <c r="AI29" s="32">
        <f>IF($D29=0,0,IF(_xlfn.XLOOKUP($B29,'TH_CMI GRADE 10'!$B$7:$B$49,'TH_CMI GRADE 10'!C$7:C$49,"",0,1)="P",1*$D29,0))</f>
        <v>0</v>
      </c>
      <c r="AJ29" s="32">
        <f>IF($D29=0,0,IF(_xlfn.XLOOKUP($B29,'TH_CMI GRADE 10'!$B$7:$B$49,'TH_CMI GRADE 10'!D$7:D$49,"",0,1)="P",1*$D29,0))</f>
        <v>0</v>
      </c>
      <c r="AK29" s="32">
        <f>IF($D29=0,0,IF(_xlfn.XLOOKUP($B29,'TH_CMI GRADE 10'!$B$7:$B$49,'TH_CMI GRADE 10'!H$7:H$49,"",0,1)="P",1*$D29,0))</f>
        <v>0</v>
      </c>
      <c r="AL29" s="32">
        <f>IF($D29=0,0,IF(_xlfn.XLOOKUP($B29,'TH_CMI GRADE 10'!$B$7:$B$49,'TH_CMI GRADE 10'!I$7:I$49,"",0,1)="P",1*$D29,0))</f>
        <v>0</v>
      </c>
      <c r="AM29" s="32">
        <f>IF($D29=0,0,IF(_xlfn.XLOOKUP($B29,'TH_CMI GRADE 10'!$B$7:$B$49,'TH_CMI GRADE 10'!J$7:J$49,"",0,1)="P",1*$D29,0))</f>
        <v>0</v>
      </c>
      <c r="AN29" s="32">
        <f>IF($D29=0,0,IF(_xlfn.XLOOKUP($B29,'TH_CMI GRADE 10'!$B$7:$B$49,'TH_CMI GRADE 10'!K$7:K$49,"",0,1)="P",1*$D29,0))</f>
        <v>0</v>
      </c>
      <c r="AO29" s="32">
        <f>IF($D29=0,0,IF(_xlfn.XLOOKUP($B29,'TH_CMI GRADE 10'!$B$7:$B$49,'TH_CMI GRADE 10'!O$7:O$49,"",0,1)="P",1*$D29,0))</f>
        <v>0</v>
      </c>
      <c r="AP29" s="32">
        <f>IF($D29=0,0,IF(_xlfn.XLOOKUP($B29,'TH_CMI GRADE 10'!$B$7:$B$49,'TH_CMI GRADE 10'!P$7:P$49,"",0,1)="P",1*$D29,0))</f>
        <v>0</v>
      </c>
      <c r="AQ29" s="32">
        <f>IF($D29=0,0,IF(_xlfn.XLOOKUP($B29,'TH_CMI GRADE 10'!$B$7:$B$49,'TH_CMI GRADE 10'!Q$7:Q$49,"",0,1)="P",1*$D29,0))</f>
        <v>0</v>
      </c>
      <c r="AR29" s="32">
        <f>IF($D29=0,0,IF(_xlfn.XLOOKUP($B29,'TH_CMI GRADE 10'!$B$7:$B$49,'TH_CMI GRADE 10'!U$7:U$49,"",0,1)="P",1*$D29,0))</f>
        <v>0</v>
      </c>
      <c r="AS29" s="32">
        <f>IF($D29=0,0,IF(_xlfn.XLOOKUP($B29,'TH_CMI GRADE 10'!$B$7:$B$49,'TH_CMI GRADE 10'!V$7:V$49,"",0,1)="P",1*$D29,0))</f>
        <v>0</v>
      </c>
      <c r="AT29" s="32">
        <f>IF($D29=0,0,IF(_xlfn.XLOOKUP($B29,'TH_CMI GRADE 10'!$B$7:$B$49,'TH_CMI GRADE 10'!W$7:W$49,"",0,1)="P",1*$D29,0))</f>
        <v>0</v>
      </c>
      <c r="AU29" s="32">
        <f>IF($D29=0,0,IF(_xlfn.XLOOKUP($B29,'TH_CMI GRADE 10'!$B$7:$B$49,'TH_CMI GRADE 10'!AA$7:AA$49,"",0,1)="P",1*$D29,0))</f>
        <v>1</v>
      </c>
      <c r="AV29" s="32">
        <f>IF($D29=0,0,IF(_xlfn.XLOOKUP($B29,'TH_CMI GRADE 10'!$B$7:$B$49,'TH_CMI GRADE 10'!AB$7:AB$49,"",0,1)="P",1*$D29,0))</f>
        <v>1</v>
      </c>
      <c r="AW29" s="32">
        <f>IF($D29=0,0,IF(_xlfn.XLOOKUP($B29,'TH_CMI GRADE 10'!$B$7:$B$49,'TH_CMI GRADE 10'!AC$7:AC$49,"",0,1)="P",1*$D29,0))</f>
        <v>1</v>
      </c>
      <c r="AX29" s="32">
        <f>IF($D29=0,0,IF(_xlfn.XLOOKUP($B29,'TH_CMI GRADE 10'!$B$7:$B$49,'TH_CMI GRADE 10'!AG$7:AG$49,"",0,1)="P",1*$D29,0))</f>
        <v>1</v>
      </c>
      <c r="AY29" s="32">
        <f>IF($D29=0,0,IF(_xlfn.XLOOKUP($B29,'TH_CMI GRADE 10'!$B$7:$B$49,'TH_CMI GRADE 10'!AH$7:AH$49,"",0,1)="P",1*$D29,0))</f>
        <v>1</v>
      </c>
      <c r="AZ29" s="32">
        <f>IF($D29=0,0,IF(_xlfn.XLOOKUP($B29,'TH_CMI GRADE 10'!$B$7:$B$49,'TH_CMI GRADE 10'!AI$7:AI$49,"",0,1)="P",1*$D29,0))</f>
        <v>1</v>
      </c>
      <c r="BA29" s="31" t="e">
        <f>IF($C29=0,0,IF(_xlfn.XLOOKUP($B29,'PW_MLG GRADE 10'!$B$7:$B$31,'PW_MLG GRADE 10'!#REF!,"",0,1)="P",1*$C29,0))</f>
        <v>#REF!</v>
      </c>
      <c r="BB29" s="31" t="e">
        <f>IF($C29=0,0,IF(_xlfn.XLOOKUP($B29,'PW_MLG GRADE 10'!$B$7:$B$31,'PW_MLG GRADE 10'!#REF!,"",0,1)="P",1*$C29,0))</f>
        <v>#REF!</v>
      </c>
      <c r="BC29" s="31" t="e">
        <f>IF($C29=0,0,IF(_xlfn.XLOOKUP($B29,'PW_MLG GRADE 10'!$B$7:$B$31,'PW_MLG GRADE 10'!#REF!,"",0,1)="P",1*$C29,0))</f>
        <v>#REF!</v>
      </c>
      <c r="BD29" s="31" t="e">
        <f>IF($C29=0,0,IF(_xlfn.XLOOKUP($B29,'PW_MLG GRADE 10'!$B$7:$B$31,'PW_MLG GRADE 10'!#REF!,"",0,1)="P",1*$C29,0))</f>
        <v>#REF!</v>
      </c>
      <c r="BE29" s="31" t="e">
        <f>IF($C29=0,0,IF(_xlfn.XLOOKUP($B29,'PW_MLG GRADE 10'!$B$7:$B$31,'PW_MLG GRADE 10'!#REF!,"",0,1)="P",1*$C29,0))</f>
        <v>#REF!</v>
      </c>
      <c r="BF29" s="31" t="e">
        <f>IF($C29=0,0,IF(_xlfn.XLOOKUP($B29,'PW_MLG GRADE 10'!$B$7:$B$31,'PW_MLG GRADE 10'!#REF!,"",0,1)="P",1*$C29,0))</f>
        <v>#REF!</v>
      </c>
      <c r="BG29" s="31" t="e">
        <f>IF($C29=0,0,IF(_xlfn.XLOOKUP($B29,'PW_MLG GRADE 10'!$B$7:$B$31,'PW_MLG GRADE 10'!#REF!,"",0,1)="P",1*$C29,0))</f>
        <v>#REF!</v>
      </c>
      <c r="BH29" s="31" t="e">
        <f>IF($C29=0,0,IF(_xlfn.XLOOKUP($B29,'PW_MLG GRADE 10'!$B$7:$B$31,'PW_MLG GRADE 10'!#REF!,"",0,1)="P",1*$C29,0))</f>
        <v>#REF!</v>
      </c>
      <c r="BI29" s="31" t="e">
        <f>IF($C29=0,0,IF(_xlfn.XLOOKUP($B29,'PW_MLG GRADE 10'!$B$7:$B$31,'PW_MLG GRADE 10'!#REF!,"",0,1)="P",1*$C29,0))</f>
        <v>#REF!</v>
      </c>
      <c r="BJ29" s="31" t="e">
        <f>IF($C29=0,0,IF(_xlfn.XLOOKUP($B29,'PW_MLG GRADE 10'!$B$7:$B$31,'PW_MLG GRADE 10'!#REF!,"",0,1)="P",1*$C29,0))</f>
        <v>#REF!</v>
      </c>
      <c r="BK29" s="31" t="e">
        <f>IF($C29=0,0,IF(_xlfn.XLOOKUP($B29,'PW_MLG GRADE 10'!$B$7:$B$31,'PW_MLG GRADE 10'!#REF!,"",0,1)="P",1*$C29,0))</f>
        <v>#REF!</v>
      </c>
      <c r="BL29" s="31" t="e">
        <f>IF($C29=0,0,IF(_xlfn.XLOOKUP($B29,'PW_MLG GRADE 10'!$B$7:$B$31,'PW_MLG GRADE 10'!#REF!,"",0,1)="P",1*$C29,0))</f>
        <v>#REF!</v>
      </c>
      <c r="BM29" s="31" t="e">
        <f>IF($C29=0,0,IF(_xlfn.XLOOKUP($B29,'PW_MLG GRADE 10'!$B$7:$B$31,'PW_MLG GRADE 10'!#REF!,"",0,1)="P",1*$C29,0))</f>
        <v>#REF!</v>
      </c>
      <c r="BN29" s="31" t="e">
        <f>IF($C29=0,0,IF(_xlfn.XLOOKUP($B29,'PW_MLG GRADE 10'!$B$7:$B$31,'PW_MLG GRADE 10'!#REF!,"",0,1)="P",1*$C29,0))</f>
        <v>#REF!</v>
      </c>
      <c r="BO29" s="31" t="e">
        <f>IF($C29=0,0,IF(_xlfn.XLOOKUP($B29,'PW_MLG GRADE 10'!$B$7:$B$31,'PW_MLG GRADE 10'!#REF!,"",0,1)="P",1*$C29,0))</f>
        <v>#REF!</v>
      </c>
      <c r="BP29" s="31" t="e">
        <f>IF($C29=0,0,IF(_xlfn.XLOOKUP($B29,'PW_MLG GRADE 10'!$B$7:$B$31,'PW_MLG GRADE 10'!#REF!,"",0,1)="P",1*$C29,0))</f>
        <v>#REF!</v>
      </c>
      <c r="BQ29" s="31" t="e">
        <f>IF($C29=0,0,IF(_xlfn.XLOOKUP($B29,'PW_MLG GRADE 10'!$B$7:$B$31,'PW_MLG GRADE 10'!#REF!,"",0,1)="P",1*$C29,0))</f>
        <v>#REF!</v>
      </c>
      <c r="BR29" s="31" t="e">
        <f>IF($C29=0,0,IF(_xlfn.XLOOKUP($B29,'PW_MLG GRADE 10'!$B$7:$B$31,'PW_MLG GRADE 10'!#REF!,"",0,1)="P",1*$C29,0))</f>
        <v>#REF!</v>
      </c>
      <c r="BS29" s="31" t="e">
        <f>IF($C29=0,0,IF(_xlfn.XLOOKUP($B29,'PW_MLG GRADE 10'!$B$7:$B$31,'PW_MLG GRADE 10'!#REF!,"",0,1)="P",1*$C29,0))</f>
        <v>#REF!</v>
      </c>
      <c r="BT29" s="31" t="e">
        <f>IF($C29=0,0,IF(_xlfn.XLOOKUP($B29,'PW_MLG GRADE 10'!$B$7:$B$31,'PW_MLG GRADE 10'!#REF!,"",0,1)="P",1*$C29,0))</f>
        <v>#REF!</v>
      </c>
      <c r="BU29" s="31" t="e">
        <f>IF($C29=0,0,IF(_xlfn.XLOOKUP($B29,'PW_MLG GRADE 10'!$B$7:$B$31,'PW_MLG GRADE 10'!#REF!,"",0,1)="P",1*$C29,0))</f>
        <v>#REF!</v>
      </c>
      <c r="BV29" s="31" t="e">
        <f>IF($C29=0,0,IF(_xlfn.XLOOKUP($B29,'PW_MLG GRADE 10'!$B$7:$B$31,'PW_MLG GRADE 10'!#REF!,"",0,1)="P",1*$C29,0))</f>
        <v>#REF!</v>
      </c>
      <c r="BW29" s="31" t="e">
        <f>IF($C29=0,0,IF(_xlfn.XLOOKUP($B29,'PW_MLG GRADE 10'!$B$7:$B$31,'PW_MLG GRADE 10'!#REF!,"",0,1)="P",1*$C29,0))</f>
        <v>#REF!</v>
      </c>
      <c r="BX29" s="31" t="e">
        <f>IF($C29=0,0,IF(_xlfn.XLOOKUP($B29,'PW_MLG GRADE 10'!$B$7:$B$31,'PW_MLG GRADE 10'!#REF!,"",0,1)="P",1*$C29,0))</f>
        <v>#REF!</v>
      </c>
      <c r="BY29" s="31" t="e">
        <f>IF($C29=0,0,IF(_xlfn.XLOOKUP($B29,'PW_MLG GRADE 10'!$B$7:$B$31,'PW_MLG GRADE 10'!#REF!,"",0,1)="P",1*$C29,0))</f>
        <v>#REF!</v>
      </c>
      <c r="BZ29" s="31" t="e">
        <f>IF($C29=0,0,IF(_xlfn.XLOOKUP($B29,'PW_MLG GRADE 10'!$B$7:$B$31,'PW_MLG GRADE 10'!#REF!,"",0,1)="P",1*$C29,0))</f>
        <v>#REF!</v>
      </c>
      <c r="CA29" s="31" t="e">
        <f>IF($C29=0,0,IF(_xlfn.XLOOKUP($B29,'PW_MLG GRADE 10'!$B$7:$B$31,'PW_MLG GRADE 10'!#REF!,"",0,1)="P",1*$C29,0))</f>
        <v>#REF!</v>
      </c>
      <c r="CB29" s="31" t="e">
        <f>IF($C29=0,0,IF(_xlfn.XLOOKUP($B29,'PW_MLG GRADE 10'!$B$7:$B$31,'PW_MLG GRADE 10'!#REF!,"",0,1)="P",1*$C29,0))</f>
        <v>#REF!</v>
      </c>
      <c r="CC29" s="31" t="e">
        <f>IF($C29=0,0,IF(_xlfn.XLOOKUP($B29,'PW_MLG GRADE 10'!$B$7:$B$31,'PW_MLG GRADE 10'!#REF!,"",0,1)="P",1*$C29,0))</f>
        <v>#REF!</v>
      </c>
      <c r="CD29" s="31" t="e">
        <f>IF($C29=0,0,IF(_xlfn.XLOOKUP($B29,'PW_MLG GRADE 10'!$B$7:$B$31,'PW_MLG GRADE 10'!#REF!,"",0,1)="P",1*$C29,0))</f>
        <v>#REF!</v>
      </c>
      <c r="CE29" s="32">
        <f>IF($C29=0,0,IF(_xlfn.XLOOKUP($B29,'PW_CMI GRADE 10'!$B$7:$B$31,'PW_CMI GRADE 10'!C$7:C$31,"",0,1)="P",1*$C29,0))</f>
        <v>0</v>
      </c>
      <c r="CF29" s="32">
        <f>IF($C29=0,0,IF(_xlfn.XLOOKUP($B29,'PW_CMI GRADE 10'!$B$7:$B$31,'PW_CMI GRADE 10'!D$7:D$31,"",0,1)="P",1*$C29,0))</f>
        <v>0</v>
      </c>
      <c r="CG29" s="32">
        <f>IF($C29=0,0,IF(_xlfn.XLOOKUP($B29,'PW_CMI GRADE 10'!$B$7:$B$31,'PW_CMI GRADE 10'!E$7:E$31,"",0,1)="P",1*$C29,0))</f>
        <v>0</v>
      </c>
      <c r="CH29" s="32">
        <f>IF($C29=0,0,IF(_xlfn.XLOOKUP($B29,'PW_CMI GRADE 10'!$B$7:$B$31,'PW_CMI GRADE 10'!F$7:F$31,"",0,1)="P",1*$C29,0))</f>
        <v>0</v>
      </c>
      <c r="CI29" s="32">
        <f>IF($C29=0,0,IF(_xlfn.XLOOKUP($B29,'PW_CMI GRADE 10'!$B$7:$B$31,'PW_CMI GRADE 10'!G$7:G$31,"",0,1)="P",1*$C29,0))</f>
        <v>0</v>
      </c>
      <c r="CJ29" s="32">
        <f>IF($C29=0,0,IF(_xlfn.XLOOKUP($B29,'PW_CMI GRADE 10'!$B$7:$B$31,'PW_CMI GRADE 10'!H$7:H$31,"",0,1)="P",1*$C29,0))</f>
        <v>0</v>
      </c>
      <c r="CK29" s="32">
        <f>IF($C29=0,0,IF(_xlfn.XLOOKUP($B29,'PW_CMI GRADE 10'!$B$7:$B$31,'PW_CMI GRADE 10'!I$7:I$31,"",0,1)="P",1*$C29,0))</f>
        <v>0</v>
      </c>
      <c r="CL29" s="32">
        <f>IF($C29=0,0,IF(_xlfn.XLOOKUP($B29,'PW_CMI GRADE 10'!$B$7:$B$31,'PW_CMI GRADE 10'!J$7:J$31,"",0,1)="P",1*$C29,0))</f>
        <v>0</v>
      </c>
      <c r="CM29" s="32">
        <f>IF($C29=0,0,IF(_xlfn.XLOOKUP($B29,'PW_CMI GRADE 10'!$B$7:$B$31,'PW_CMI GRADE 10'!K$7:K$31,"",0,1)="P",1*$C29,0))</f>
        <v>0</v>
      </c>
      <c r="CN29" s="32">
        <f>IF($C29=0,0,IF(_xlfn.XLOOKUP($B29,'PW_CMI GRADE 10'!$B$7:$B$31,'PW_CMI GRADE 10'!L$7:L$31,"",0,1)="P",1*$C29,0))</f>
        <v>0</v>
      </c>
      <c r="CO29" s="32">
        <f>IF($C29=0,0,IF(_xlfn.XLOOKUP($B29,'PW_CMI GRADE 10'!$B$7:$B$31,'PW_CMI GRADE 10'!M$7:M$31,"",0,1)="P",1*$C29,0))</f>
        <v>0</v>
      </c>
      <c r="CP29" s="32">
        <f>IF($C29=0,0,IF(_xlfn.XLOOKUP($B29,'PW_CMI GRADE 10'!$B$7:$B$31,'PW_CMI GRADE 10'!N$7:N$31,"",0,1)="P",1*$C29,0))</f>
        <v>0</v>
      </c>
      <c r="CQ29" s="32">
        <f>IF($C29=0,0,IF(_xlfn.XLOOKUP($B29,'PW_CMI GRADE 10'!$B$7:$B$31,'PW_CMI GRADE 10'!O$7:O$31,"",0,1)="P",1*$C29,0))</f>
        <v>0</v>
      </c>
      <c r="CR29" s="32">
        <f>IF($C29=0,0,IF(_xlfn.XLOOKUP($B29,'PW_CMI GRADE 10'!$B$7:$B$31,'PW_CMI GRADE 10'!P$7:P$31,"",0,1)="P",1*$C29,0))</f>
        <v>0</v>
      </c>
      <c r="CS29" s="32">
        <f>IF($C29=0,0,IF(_xlfn.XLOOKUP($B29,'PW_CMI GRADE 10'!$B$7:$B$31,'PW_CMI GRADE 10'!Q$7:Q$31,"",0,1)="P",1*$C29,0))</f>
        <v>0</v>
      </c>
      <c r="CT29" s="32">
        <f>IF($C29=0,0,IF(_xlfn.XLOOKUP($B29,'PW_CMI GRADE 10'!$B$7:$B$31,'PW_CMI GRADE 10'!R$7:R$31,"",0,1)="P",1*$C29,0))</f>
        <v>0</v>
      </c>
      <c r="CU29" s="32">
        <f>IF($C29=0,0,IF(_xlfn.XLOOKUP($B29,'PW_CMI GRADE 10'!$B$7:$B$31,'PW_CMI GRADE 10'!S$7:S$31,"",0,1)="P",1*$C29,0))</f>
        <v>0</v>
      </c>
      <c r="CV29" s="32">
        <f>IF($C29=0,0,IF(_xlfn.XLOOKUP($B29,'PW_CMI GRADE 10'!$B$7:$B$31,'PW_CMI GRADE 10'!T$7:T$31,"",0,1)="P",1*$C29,0))</f>
        <v>0</v>
      </c>
      <c r="CW29" s="62" t="e">
        <f t="shared" si="19"/>
        <v>#REF!</v>
      </c>
      <c r="CX29" s="62" t="e">
        <f t="shared" si="20"/>
        <v>#REF!</v>
      </c>
      <c r="CY29" s="62" t="e">
        <f t="shared" si="21"/>
        <v>#REF!</v>
      </c>
      <c r="CZ29" s="62" t="e">
        <f t="shared" si="22"/>
        <v>#REF!</v>
      </c>
      <c r="DA29" s="62" t="e">
        <f t="shared" si="23"/>
        <v>#REF!</v>
      </c>
      <c r="DB29" s="62" t="e">
        <f t="shared" si="24"/>
        <v>#REF!</v>
      </c>
      <c r="DC29" s="62" t="e">
        <f t="shared" si="25"/>
        <v>#REF!</v>
      </c>
      <c r="DD29" s="62" t="e">
        <f t="shared" si="26"/>
        <v>#REF!</v>
      </c>
      <c r="DE29" s="62" t="e">
        <f t="shared" si="27"/>
        <v>#REF!</v>
      </c>
      <c r="DF29" s="62" t="e">
        <f t="shared" si="28"/>
        <v>#REF!</v>
      </c>
      <c r="DG29" s="62" t="e">
        <f t="shared" si="29"/>
        <v>#REF!</v>
      </c>
      <c r="DH29" s="62" t="e">
        <f t="shared" si="30"/>
        <v>#REF!</v>
      </c>
      <c r="DI29" s="62" t="e">
        <f t="shared" si="31"/>
        <v>#REF!</v>
      </c>
      <c r="DJ29" s="62" t="e">
        <f t="shared" si="32"/>
        <v>#REF!</v>
      </c>
      <c r="DK29" s="62" t="e">
        <f t="shared" si="33"/>
        <v>#REF!</v>
      </c>
      <c r="DL29" s="62" t="e">
        <f t="shared" si="34"/>
        <v>#REF!</v>
      </c>
      <c r="DM29" s="62" t="e">
        <f t="shared" si="35"/>
        <v>#REF!</v>
      </c>
      <c r="DN29" s="62" t="e">
        <f t="shared" si="36"/>
        <v>#REF!</v>
      </c>
      <c r="DO29" s="62" t="e">
        <f t="shared" si="37"/>
        <v>#REF!</v>
      </c>
      <c r="DP29" s="62" t="e">
        <f t="shared" si="38"/>
        <v>#REF!</v>
      </c>
      <c r="DQ29" s="62" t="e">
        <f t="shared" si="39"/>
        <v>#REF!</v>
      </c>
      <c r="DR29" s="62" t="e">
        <f t="shared" si="40"/>
        <v>#REF!</v>
      </c>
      <c r="DS29" s="62" t="e">
        <f t="shared" si="41"/>
        <v>#REF!</v>
      </c>
      <c r="DT29" s="62" t="e">
        <f t="shared" si="42"/>
        <v>#REF!</v>
      </c>
      <c r="DU29" s="62" t="e">
        <f t="shared" si="43"/>
        <v>#REF!</v>
      </c>
      <c r="DV29" s="62" t="e">
        <f t="shared" si="44"/>
        <v>#REF!</v>
      </c>
      <c r="DW29" s="62" t="e">
        <f t="shared" si="45"/>
        <v>#REF!</v>
      </c>
      <c r="DX29" s="62" t="e">
        <f t="shared" si="46"/>
        <v>#REF!</v>
      </c>
      <c r="DY29" s="62" t="e">
        <f t="shared" si="47"/>
        <v>#REF!</v>
      </c>
      <c r="DZ29" s="62" t="e">
        <f t="shared" si="48"/>
        <v>#REF!</v>
      </c>
      <c r="EA29" s="63">
        <f t="shared" si="68"/>
        <v>0</v>
      </c>
      <c r="EB29" s="63">
        <f t="shared" si="2"/>
        <v>0</v>
      </c>
      <c r="EC29" s="63">
        <f t="shared" si="3"/>
        <v>0</v>
      </c>
      <c r="ED29" s="63">
        <f t="shared" si="4"/>
        <v>0</v>
      </c>
      <c r="EE29" s="63">
        <f t="shared" si="5"/>
        <v>0</v>
      </c>
      <c r="EF29" s="63">
        <f t="shared" si="6"/>
        <v>0</v>
      </c>
      <c r="EG29" s="63">
        <f t="shared" si="7"/>
        <v>0</v>
      </c>
      <c r="EH29" s="63">
        <f t="shared" si="8"/>
        <v>0</v>
      </c>
      <c r="EI29" s="63">
        <f t="shared" si="9"/>
        <v>0</v>
      </c>
      <c r="EJ29" s="63">
        <f t="shared" si="10"/>
        <v>0</v>
      </c>
      <c r="EK29" s="63">
        <f t="shared" si="11"/>
        <v>0.1111111111111111</v>
      </c>
      <c r="EL29" s="63">
        <f t="shared" si="12"/>
        <v>0.22222222222222221</v>
      </c>
      <c r="EM29" s="63">
        <f t="shared" si="13"/>
        <v>0.33333333333333331</v>
      </c>
      <c r="EN29" s="63">
        <f t="shared" si="14"/>
        <v>0.33333333333333331</v>
      </c>
      <c r="EO29" s="63">
        <f t="shared" si="15"/>
        <v>0.33333333333333331</v>
      </c>
      <c r="EP29" s="63">
        <f t="shared" si="16"/>
        <v>0.33333333333333331</v>
      </c>
      <c r="FU29" s="51">
        <v>46600</v>
      </c>
      <c r="FV29" t="s">
        <v>22</v>
      </c>
      <c r="FW29" t="s">
        <v>22</v>
      </c>
      <c r="FX29" t="s">
        <v>22</v>
      </c>
      <c r="FY29" t="s">
        <v>22</v>
      </c>
      <c r="FZ29" t="s">
        <v>22</v>
      </c>
      <c r="GA29" t="s">
        <v>22</v>
      </c>
      <c r="GB29" t="s">
        <v>22</v>
      </c>
      <c r="GC29" t="s">
        <v>22</v>
      </c>
      <c r="GD29" t="s">
        <v>22</v>
      </c>
      <c r="GE29" t="s">
        <v>22</v>
      </c>
      <c r="GF29" t="s">
        <v>22</v>
      </c>
      <c r="GG29" t="s">
        <v>22</v>
      </c>
      <c r="GH29" t="s">
        <v>22</v>
      </c>
      <c r="GI29" t="s">
        <v>22</v>
      </c>
      <c r="GJ29" t="s">
        <v>22</v>
      </c>
      <c r="GK29" t="s">
        <v>22</v>
      </c>
      <c r="GL29" t="s">
        <v>22</v>
      </c>
      <c r="GM29" t="s">
        <v>22</v>
      </c>
      <c r="GN29" t="s">
        <v>22</v>
      </c>
      <c r="GO29" t="s">
        <v>22</v>
      </c>
      <c r="GP29" t="s">
        <v>22</v>
      </c>
      <c r="GQ29" t="s">
        <v>22</v>
      </c>
      <c r="GR29" t="s">
        <v>22</v>
      </c>
      <c r="GS29" t="s">
        <v>22</v>
      </c>
      <c r="GT29" t="s">
        <v>22</v>
      </c>
      <c r="GU29" t="s">
        <v>22</v>
      </c>
      <c r="GV29" t="s">
        <v>22</v>
      </c>
      <c r="GW29" t="s">
        <v>22</v>
      </c>
      <c r="GX29" t="s">
        <v>22</v>
      </c>
      <c r="GY29" t="s">
        <v>22</v>
      </c>
      <c r="GZ29" t="s">
        <v>22</v>
      </c>
      <c r="HA29" t="s">
        <v>22</v>
      </c>
      <c r="HB29" t="s">
        <v>22</v>
      </c>
      <c r="HC29" t="s">
        <v>22</v>
      </c>
      <c r="HD29" t="s">
        <v>22</v>
      </c>
      <c r="HE29" t="s">
        <v>22</v>
      </c>
      <c r="HF29" t="s">
        <v>22</v>
      </c>
      <c r="HG29" t="s">
        <v>22</v>
      </c>
      <c r="HH29" t="s">
        <v>22</v>
      </c>
      <c r="HI29" t="s">
        <v>22</v>
      </c>
      <c r="HJ29" t="s">
        <v>22</v>
      </c>
      <c r="HK29" t="s">
        <v>22</v>
      </c>
      <c r="HL29" t="s">
        <v>22</v>
      </c>
      <c r="HM29" t="s">
        <v>22</v>
      </c>
      <c r="HN29" t="s">
        <v>22</v>
      </c>
      <c r="HO29" cm="1">
        <f t="array" ref="HO29">SUMPRODUCT(--(FV29:HN29&lt;&gt;""))</f>
        <v>0</v>
      </c>
    </row>
    <row r="30" spans="1:223">
      <c r="A30" t="str">
        <f t="shared" si="18"/>
        <v>4A.2</v>
      </c>
      <c r="B30" t="s">
        <v>61</v>
      </c>
      <c r="C30" s="27">
        <v>2</v>
      </c>
      <c r="D30" s="30">
        <v>1</v>
      </c>
      <c r="E30" s="31">
        <f>IF($D30=0,0,IF(_xlfn.XLOOKUP($B30,'TH_MLG GRADE 10'!$B$7:$B$49,'TH_MLG GRADE 10'!C$7:C$49,"",0,1)="P",1*$D30,0))</f>
        <v>0</v>
      </c>
      <c r="F30" s="31">
        <f>IF($D30=0,0,IF(_xlfn.XLOOKUP($B30,'TH_MLG GRADE 10'!$B$7:$B$49,'TH_MLG GRADE 10'!D$7:D$49,"",0,1)="P",1*$D30,0))</f>
        <v>0</v>
      </c>
      <c r="G30" s="31">
        <f>IF($D30=0,0,IF(_xlfn.XLOOKUP($B30,'TH_MLG GRADE 10'!$B$7:$B$49,'TH_MLG GRADE 10'!E$7:E$49,"",0,1)="P",1*$D30,0))</f>
        <v>0</v>
      </c>
      <c r="H30" s="31">
        <f>IF($D30=0,0,IF(_xlfn.XLOOKUP($B30,'TH_MLG GRADE 10'!$B$7:$B$49,'TH_MLG GRADE 10'!I$7:I$49,"",0,1)="P",1*$D30,0))</f>
        <v>0</v>
      </c>
      <c r="I30" s="31">
        <f>IF($D30=0,0,IF(_xlfn.XLOOKUP($B30,'TH_MLG GRADE 10'!$B$7:$B$49,'TH_MLG GRADE 10'!J$7:J$49,"",0,1)="P",1*$D30,0))</f>
        <v>0</v>
      </c>
      <c r="J30" s="31">
        <f>IF($D30=0,0,IF(_xlfn.XLOOKUP($B30,'TH_MLG GRADE 10'!$B$7:$B$49,'TH_MLG GRADE 10'!K$7:K$49,"",0,1)="P",1*$D30,0))</f>
        <v>0</v>
      </c>
      <c r="K30" s="31">
        <f>IF($D30=0,0,IF(_xlfn.XLOOKUP($B30,'TH_MLG GRADE 10'!$B$7:$B$49,'TH_MLG GRADE 10'!O$7:O$49,"",0,1)="P",1*$D30,0))</f>
        <v>0</v>
      </c>
      <c r="L30" s="31">
        <f>IF($D30=0,0,IF(_xlfn.XLOOKUP($B30,'TH_MLG GRADE 10'!$B$7:$B$49,'TH_MLG GRADE 10'!P$7:P$49,"",0,1)="P",1*$D30,0))</f>
        <v>0</v>
      </c>
      <c r="M30" s="31">
        <f>IF($D30=0,0,IF(_xlfn.XLOOKUP($B30,'TH_MLG GRADE 10'!$B$7:$B$49,'TH_MLG GRADE 10'!Q$7:Q$49,"",0,1)="P",1*$D30,0))</f>
        <v>0</v>
      </c>
      <c r="N30" s="31">
        <f>IF($D30=0,0,IF(_xlfn.XLOOKUP($B30,'TH_MLG GRADE 10'!$B$7:$B$49,'TH_MLG GRADE 10'!AA$7:AA$49,"",0,1)="P",1*$D30,0))</f>
        <v>1</v>
      </c>
      <c r="O30" s="31">
        <f>IF($D30=0,0,IF(_xlfn.XLOOKUP($B30,'TH_MLG GRADE 10'!$B$7:$B$49,'TH_MLG GRADE 10'!AB$7:AB$49,"",0,1)="P",1*$D30,0))</f>
        <v>0</v>
      </c>
      <c r="P30" s="31">
        <f>IF($D30=0,0,IF(_xlfn.XLOOKUP($B30,'TH_MLG GRADE 10'!$B$7:$B$49,'TH_MLG GRADE 10'!AC$7:AC$49,"",0,1)="P",1*$D30,0))</f>
        <v>0</v>
      </c>
      <c r="Q30" s="31">
        <f>IF($D30=0,0,IF(_xlfn.XLOOKUP($B30,'TH_MLG GRADE 10'!$B$7:$B$49,'TH_MLG GRADE 10'!AG$7:AG$49,"",0,1)="P",1*$D30,0))</f>
        <v>1</v>
      </c>
      <c r="R30" s="31">
        <f>IF($D30=0,0,IF(_xlfn.XLOOKUP($B30,'TH_MLG GRADE 10'!$B$7:$B$49,'TH_MLG GRADE 10'!AH$7:AH$49,"",0,1)="P",1*$D30,0))</f>
        <v>1</v>
      </c>
      <c r="S30" s="31">
        <f>IF($D30=0,0,IF(_xlfn.XLOOKUP($B30,'TH_MLG GRADE 10'!$B$7:$B$49,'TH_MLG GRADE 10'!AI$7:AI$49,"",0,1)="P",1*$D30,0))</f>
        <v>1</v>
      </c>
      <c r="T30" s="31">
        <f>IF($D30=0,0,IF(_xlfn.XLOOKUP($B30,'TH_MLG GRADE 10'!$B$7:$B$49,'TH_MLG GRADE 10'!AM$7:AM$49,"",0,1)="P",1*$D30,0))</f>
        <v>0</v>
      </c>
      <c r="U30" s="31">
        <f>IF($D30=0,0,IF(_xlfn.XLOOKUP($B30,'TH_MLG GRADE 10'!$B$7:$B$49,'TH_MLG GRADE 10'!AN$7:AN$49,"",0,1)="P",1*$D30,0))</f>
        <v>0</v>
      </c>
      <c r="V30" s="31">
        <f>IF($D30=0,0,IF(_xlfn.XLOOKUP($B30,'TH_MLG GRADE 10'!$B$7:$B$49,'TH_MLG GRADE 10'!AO$7:AO$49,"",0,1)="P",1*$D30,0))</f>
        <v>0</v>
      </c>
      <c r="W30" s="31">
        <f>IF($D30=0,0,IF(_xlfn.XLOOKUP($B30,'TH_MLG GRADE 10'!$B$7:$B$49,'TH_MLG GRADE 10'!AY$7:AY$49,"",0,1)="P",1*$D30,0))</f>
        <v>0</v>
      </c>
      <c r="X30" s="31">
        <f>IF($D30=0,0,IF(_xlfn.XLOOKUP($B30,'TH_MLG GRADE 10'!$B$7:$B$49,'TH_MLG GRADE 10'!AZ$7:AZ$49,"",0,1)="P",1*$D30,0))</f>
        <v>0</v>
      </c>
      <c r="Y30" s="31">
        <f>IF($D30=0,0,IF(_xlfn.XLOOKUP($B30,'TH_MLG GRADE 10'!$B$7:$B$49,'TH_MLG GRADE 10'!BA$7:BA$49,"",0,1)="P",1*$D30,0))</f>
        <v>0</v>
      </c>
      <c r="Z30" s="31">
        <f>IF($D30=0,0,IF(_xlfn.XLOOKUP($B30,'TH_MLG GRADE 10'!$B$7:$B$49,'TH_MLG GRADE 10'!BE$7:BE$49,"",0,1)="P",1*$D30,0))</f>
        <v>0</v>
      </c>
      <c r="AA30" s="31">
        <f>IF($D30=0,0,IF(_xlfn.XLOOKUP($B30,'TH_MLG GRADE 10'!$B$7:$B$49,'TH_MLG GRADE 10'!BF$7:BF$49,"",0,1)="P",1*$D30,0))</f>
        <v>0</v>
      </c>
      <c r="AB30" s="31">
        <f>IF($D30=0,0,IF(_xlfn.XLOOKUP($B30,'TH_MLG GRADE 10'!$B$7:$B$49,'TH_MLG GRADE 10'!BG$7:BG$49,"",0,1)="P",1*$D30,0))</f>
        <v>0</v>
      </c>
      <c r="AC30" s="31" t="e">
        <f>IF($D30=0,0,IF(_xlfn.XLOOKUP($B30,'TH_MLG GRADE 10'!$B$7:$B$49,'TH_MLG GRADE 10'!#REF!,"",0,1)="P",1*$D30,0))</f>
        <v>#REF!</v>
      </c>
      <c r="AD30" s="31" t="e">
        <f>IF($D30=0,0,IF(_xlfn.XLOOKUP($B30,'TH_MLG GRADE 10'!$B$7:$B$49,'TH_MLG GRADE 10'!#REF!,"",0,1)="P",1*$D30,0))</f>
        <v>#REF!</v>
      </c>
      <c r="AE30" s="31" t="e">
        <f>IF($D30=0,0,IF(_xlfn.XLOOKUP($B30,'TH_MLG GRADE 10'!$B$7:$B$49,'TH_MLG GRADE 10'!#REF!,"",0,1)="P",1*$D30,0))</f>
        <v>#REF!</v>
      </c>
      <c r="AF30" s="31" t="e">
        <f>IF($D30=0,0,IF(_xlfn.XLOOKUP($B30,'TH_MLG GRADE 10'!$B$7:$B$49,'TH_MLG GRADE 10'!#REF!,"",0,1)="P",1*$D30,0))</f>
        <v>#REF!</v>
      </c>
      <c r="AG30" s="31" t="e">
        <f>IF($D30=0,0,IF(_xlfn.XLOOKUP($B30,'TH_MLG GRADE 10'!$B$7:$B$49,'TH_MLG GRADE 10'!#REF!,"",0,1)="P",1*$D30,0))</f>
        <v>#REF!</v>
      </c>
      <c r="AH30" s="31" t="e">
        <f>IF($D30=0,0,IF(_xlfn.XLOOKUP($B30,'TH_MLG GRADE 10'!$B$7:$B$49,'TH_MLG GRADE 10'!#REF!,"",0,1)="P",1*$D30,0))</f>
        <v>#REF!</v>
      </c>
      <c r="AI30" s="32">
        <f>IF($D30=0,0,IF(_xlfn.XLOOKUP($B30,'TH_CMI GRADE 10'!$B$7:$B$49,'TH_CMI GRADE 10'!C$7:C$49,"",0,1)="P",1*$D30,0))</f>
        <v>0</v>
      </c>
      <c r="AJ30" s="32">
        <f>IF($D30=0,0,IF(_xlfn.XLOOKUP($B30,'TH_CMI GRADE 10'!$B$7:$B$49,'TH_CMI GRADE 10'!D$7:D$49,"",0,1)="P",1*$D30,0))</f>
        <v>0</v>
      </c>
      <c r="AK30" s="32">
        <f>IF($D30=0,0,IF(_xlfn.XLOOKUP($B30,'TH_CMI GRADE 10'!$B$7:$B$49,'TH_CMI GRADE 10'!H$7:H$49,"",0,1)="P",1*$D30,0))</f>
        <v>0</v>
      </c>
      <c r="AL30" s="32">
        <f>IF($D30=0,0,IF(_xlfn.XLOOKUP($B30,'TH_CMI GRADE 10'!$B$7:$B$49,'TH_CMI GRADE 10'!I$7:I$49,"",0,1)="P",1*$D30,0))</f>
        <v>0</v>
      </c>
      <c r="AM30" s="32">
        <f>IF($D30=0,0,IF(_xlfn.XLOOKUP($B30,'TH_CMI GRADE 10'!$B$7:$B$49,'TH_CMI GRADE 10'!J$7:J$49,"",0,1)="P",1*$D30,0))</f>
        <v>0</v>
      </c>
      <c r="AN30" s="32">
        <f>IF($D30=0,0,IF(_xlfn.XLOOKUP($B30,'TH_CMI GRADE 10'!$B$7:$B$49,'TH_CMI GRADE 10'!K$7:K$49,"",0,1)="P",1*$D30,0))</f>
        <v>0</v>
      </c>
      <c r="AO30" s="32">
        <f>IF($D30=0,0,IF(_xlfn.XLOOKUP($B30,'TH_CMI GRADE 10'!$B$7:$B$49,'TH_CMI GRADE 10'!O$7:O$49,"",0,1)="P",1*$D30,0))</f>
        <v>0</v>
      </c>
      <c r="AP30" s="32">
        <f>IF($D30=0,0,IF(_xlfn.XLOOKUP($B30,'TH_CMI GRADE 10'!$B$7:$B$49,'TH_CMI GRADE 10'!P$7:P$49,"",0,1)="P",1*$D30,0))</f>
        <v>0</v>
      </c>
      <c r="AQ30" s="32">
        <f>IF($D30=0,0,IF(_xlfn.XLOOKUP($B30,'TH_CMI GRADE 10'!$B$7:$B$49,'TH_CMI GRADE 10'!Q$7:Q$49,"",0,1)="P",1*$D30,0))</f>
        <v>0</v>
      </c>
      <c r="AR30" s="32">
        <f>IF($D30=0,0,IF(_xlfn.XLOOKUP($B30,'TH_CMI GRADE 10'!$B$7:$B$49,'TH_CMI GRADE 10'!U$7:U$49,"",0,1)="P",1*$D30,0))</f>
        <v>0</v>
      </c>
      <c r="AS30" s="32">
        <f>IF($D30=0,0,IF(_xlfn.XLOOKUP($B30,'TH_CMI GRADE 10'!$B$7:$B$49,'TH_CMI GRADE 10'!V$7:V$49,"",0,1)="P",1*$D30,0))</f>
        <v>0</v>
      </c>
      <c r="AT30" s="32">
        <f>IF($D30=0,0,IF(_xlfn.XLOOKUP($B30,'TH_CMI GRADE 10'!$B$7:$B$49,'TH_CMI GRADE 10'!W$7:W$49,"",0,1)="P",1*$D30,0))</f>
        <v>0</v>
      </c>
      <c r="AU30" s="32">
        <f>IF($D30=0,0,IF(_xlfn.XLOOKUP($B30,'TH_CMI GRADE 10'!$B$7:$B$49,'TH_CMI GRADE 10'!AA$7:AA$49,"",0,1)="P",1*$D30,0))</f>
        <v>1</v>
      </c>
      <c r="AV30" s="32">
        <f>IF($D30=0,0,IF(_xlfn.XLOOKUP($B30,'TH_CMI GRADE 10'!$B$7:$B$49,'TH_CMI GRADE 10'!AB$7:AB$49,"",0,1)="P",1*$D30,0))</f>
        <v>1</v>
      </c>
      <c r="AW30" s="32">
        <f>IF($D30=0,0,IF(_xlfn.XLOOKUP($B30,'TH_CMI GRADE 10'!$B$7:$B$49,'TH_CMI GRADE 10'!AC$7:AC$49,"",0,1)="P",1*$D30,0))</f>
        <v>1</v>
      </c>
      <c r="AX30" s="32">
        <f>IF($D30=0,0,IF(_xlfn.XLOOKUP($B30,'TH_CMI GRADE 10'!$B$7:$B$49,'TH_CMI GRADE 10'!AG$7:AG$49,"",0,1)="P",1*$D30,0))</f>
        <v>1</v>
      </c>
      <c r="AY30" s="32">
        <f>IF($D30=0,0,IF(_xlfn.XLOOKUP($B30,'TH_CMI GRADE 10'!$B$7:$B$49,'TH_CMI GRADE 10'!AH$7:AH$49,"",0,1)="P",1*$D30,0))</f>
        <v>1</v>
      </c>
      <c r="AZ30" s="32">
        <f>IF($D30=0,0,IF(_xlfn.XLOOKUP($B30,'TH_CMI GRADE 10'!$B$7:$B$49,'TH_CMI GRADE 10'!AI$7:AI$49,"",0,1)="P",1*$D30,0))</f>
        <v>1</v>
      </c>
      <c r="BA30" s="31" t="e">
        <f>IF($C30=0,0,IF(_xlfn.XLOOKUP($B30,'PW_MLG GRADE 10'!$B$7:$B$31,'PW_MLG GRADE 10'!#REF!,"",0,1)="P",1*$C30,0))</f>
        <v>#REF!</v>
      </c>
      <c r="BB30" s="31" t="e">
        <f>IF($C30=0,0,IF(_xlfn.XLOOKUP($B30,'PW_MLG GRADE 10'!$B$7:$B$31,'PW_MLG GRADE 10'!#REF!,"",0,1)="P",1*$C30,0))</f>
        <v>#REF!</v>
      </c>
      <c r="BC30" s="31" t="e">
        <f>IF($C30=0,0,IF(_xlfn.XLOOKUP($B30,'PW_MLG GRADE 10'!$B$7:$B$31,'PW_MLG GRADE 10'!#REF!,"",0,1)="P",1*$C30,0))</f>
        <v>#REF!</v>
      </c>
      <c r="BD30" s="31" t="e">
        <f>IF($C30=0,0,IF(_xlfn.XLOOKUP($B30,'PW_MLG GRADE 10'!$B$7:$B$31,'PW_MLG GRADE 10'!#REF!,"",0,1)="P",1*$C30,0))</f>
        <v>#REF!</v>
      </c>
      <c r="BE30" s="31" t="e">
        <f>IF($C30=0,0,IF(_xlfn.XLOOKUP($B30,'PW_MLG GRADE 10'!$B$7:$B$31,'PW_MLG GRADE 10'!#REF!,"",0,1)="P",1*$C30,0))</f>
        <v>#REF!</v>
      </c>
      <c r="BF30" s="31" t="e">
        <f>IF($C30=0,0,IF(_xlfn.XLOOKUP($B30,'PW_MLG GRADE 10'!$B$7:$B$31,'PW_MLG GRADE 10'!#REF!,"",0,1)="P",1*$C30,0))</f>
        <v>#REF!</v>
      </c>
      <c r="BG30" s="31" t="e">
        <f>IF($C30=0,0,IF(_xlfn.XLOOKUP($B30,'PW_MLG GRADE 10'!$B$7:$B$31,'PW_MLG GRADE 10'!#REF!,"",0,1)="P",1*$C30,0))</f>
        <v>#REF!</v>
      </c>
      <c r="BH30" s="31" t="e">
        <f>IF($C30=0,0,IF(_xlfn.XLOOKUP($B30,'PW_MLG GRADE 10'!$B$7:$B$31,'PW_MLG GRADE 10'!#REF!,"",0,1)="P",1*$C30,0))</f>
        <v>#REF!</v>
      </c>
      <c r="BI30" s="31" t="e">
        <f>IF($C30=0,0,IF(_xlfn.XLOOKUP($B30,'PW_MLG GRADE 10'!$B$7:$B$31,'PW_MLG GRADE 10'!#REF!,"",0,1)="P",1*$C30,0))</f>
        <v>#REF!</v>
      </c>
      <c r="BJ30" s="31" t="e">
        <f>IF($C30=0,0,IF(_xlfn.XLOOKUP($B30,'PW_MLG GRADE 10'!$B$7:$B$31,'PW_MLG GRADE 10'!#REF!,"",0,1)="P",1*$C30,0))</f>
        <v>#REF!</v>
      </c>
      <c r="BK30" s="31" t="e">
        <f>IF($C30=0,0,IF(_xlfn.XLOOKUP($B30,'PW_MLG GRADE 10'!$B$7:$B$31,'PW_MLG GRADE 10'!#REF!,"",0,1)="P",1*$C30,0))</f>
        <v>#REF!</v>
      </c>
      <c r="BL30" s="31" t="e">
        <f>IF($C30=0,0,IF(_xlfn.XLOOKUP($B30,'PW_MLG GRADE 10'!$B$7:$B$31,'PW_MLG GRADE 10'!#REF!,"",0,1)="P",1*$C30,0))</f>
        <v>#REF!</v>
      </c>
      <c r="BM30" s="31" t="e">
        <f>IF($C30=0,0,IF(_xlfn.XLOOKUP($B30,'PW_MLG GRADE 10'!$B$7:$B$31,'PW_MLG GRADE 10'!#REF!,"",0,1)="P",1*$C30,0))</f>
        <v>#REF!</v>
      </c>
      <c r="BN30" s="31" t="e">
        <f>IF($C30=0,0,IF(_xlfn.XLOOKUP($B30,'PW_MLG GRADE 10'!$B$7:$B$31,'PW_MLG GRADE 10'!#REF!,"",0,1)="P",1*$C30,0))</f>
        <v>#REF!</v>
      </c>
      <c r="BO30" s="31" t="e">
        <f>IF($C30=0,0,IF(_xlfn.XLOOKUP($B30,'PW_MLG GRADE 10'!$B$7:$B$31,'PW_MLG GRADE 10'!#REF!,"",0,1)="P",1*$C30,0))</f>
        <v>#REF!</v>
      </c>
      <c r="BP30" s="31" t="e">
        <f>IF($C30=0,0,IF(_xlfn.XLOOKUP($B30,'PW_MLG GRADE 10'!$B$7:$B$31,'PW_MLG GRADE 10'!#REF!,"",0,1)="P",1*$C30,0))</f>
        <v>#REF!</v>
      </c>
      <c r="BQ30" s="31" t="e">
        <f>IF($C30=0,0,IF(_xlfn.XLOOKUP($B30,'PW_MLG GRADE 10'!$B$7:$B$31,'PW_MLG GRADE 10'!#REF!,"",0,1)="P",1*$C30,0))</f>
        <v>#REF!</v>
      </c>
      <c r="BR30" s="31" t="e">
        <f>IF($C30=0,0,IF(_xlfn.XLOOKUP($B30,'PW_MLG GRADE 10'!$B$7:$B$31,'PW_MLG GRADE 10'!#REF!,"",0,1)="P",1*$C30,0))</f>
        <v>#REF!</v>
      </c>
      <c r="BS30" s="31" t="e">
        <f>IF($C30=0,0,IF(_xlfn.XLOOKUP($B30,'PW_MLG GRADE 10'!$B$7:$B$31,'PW_MLG GRADE 10'!#REF!,"",0,1)="P",1*$C30,0))</f>
        <v>#REF!</v>
      </c>
      <c r="BT30" s="31" t="e">
        <f>IF($C30=0,0,IF(_xlfn.XLOOKUP($B30,'PW_MLG GRADE 10'!$B$7:$B$31,'PW_MLG GRADE 10'!#REF!,"",0,1)="P",1*$C30,0))</f>
        <v>#REF!</v>
      </c>
      <c r="BU30" s="31" t="e">
        <f>IF($C30=0,0,IF(_xlfn.XLOOKUP($B30,'PW_MLG GRADE 10'!$B$7:$B$31,'PW_MLG GRADE 10'!#REF!,"",0,1)="P",1*$C30,0))</f>
        <v>#REF!</v>
      </c>
      <c r="BV30" s="31" t="e">
        <f>IF($C30=0,0,IF(_xlfn.XLOOKUP($B30,'PW_MLG GRADE 10'!$B$7:$B$31,'PW_MLG GRADE 10'!#REF!,"",0,1)="P",1*$C30,0))</f>
        <v>#REF!</v>
      </c>
      <c r="BW30" s="31" t="e">
        <f>IF($C30=0,0,IF(_xlfn.XLOOKUP($B30,'PW_MLG GRADE 10'!$B$7:$B$31,'PW_MLG GRADE 10'!#REF!,"",0,1)="P",1*$C30,0))</f>
        <v>#REF!</v>
      </c>
      <c r="BX30" s="31" t="e">
        <f>IF($C30=0,0,IF(_xlfn.XLOOKUP($B30,'PW_MLG GRADE 10'!$B$7:$B$31,'PW_MLG GRADE 10'!#REF!,"",0,1)="P",1*$C30,0))</f>
        <v>#REF!</v>
      </c>
      <c r="BY30" s="31" t="e">
        <f>IF($C30=0,0,IF(_xlfn.XLOOKUP($B30,'PW_MLG GRADE 10'!$B$7:$B$31,'PW_MLG GRADE 10'!#REF!,"",0,1)="P",1*$C30,0))</f>
        <v>#REF!</v>
      </c>
      <c r="BZ30" s="31" t="e">
        <f>IF($C30=0,0,IF(_xlfn.XLOOKUP($B30,'PW_MLG GRADE 10'!$B$7:$B$31,'PW_MLG GRADE 10'!#REF!,"",0,1)="P",1*$C30,0))</f>
        <v>#REF!</v>
      </c>
      <c r="CA30" s="31" t="e">
        <f>IF($C30=0,0,IF(_xlfn.XLOOKUP($B30,'PW_MLG GRADE 10'!$B$7:$B$31,'PW_MLG GRADE 10'!#REF!,"",0,1)="P",1*$C30,0))</f>
        <v>#REF!</v>
      </c>
      <c r="CB30" s="31" t="e">
        <f>IF($C30=0,0,IF(_xlfn.XLOOKUP($B30,'PW_MLG GRADE 10'!$B$7:$B$31,'PW_MLG GRADE 10'!#REF!,"",0,1)="P",1*$C30,0))</f>
        <v>#REF!</v>
      </c>
      <c r="CC30" s="31" t="e">
        <f>IF($C30=0,0,IF(_xlfn.XLOOKUP($B30,'PW_MLG GRADE 10'!$B$7:$B$31,'PW_MLG GRADE 10'!#REF!,"",0,1)="P",1*$C30,0))</f>
        <v>#REF!</v>
      </c>
      <c r="CD30" s="31" t="e">
        <f>IF($C30=0,0,IF(_xlfn.XLOOKUP($B30,'PW_MLG GRADE 10'!$B$7:$B$31,'PW_MLG GRADE 10'!#REF!,"",0,1)="P",1*$C30,0))</f>
        <v>#REF!</v>
      </c>
      <c r="CE30" s="32">
        <f>IF($C30=0,0,IF(_xlfn.XLOOKUP($B30,'PW_CMI GRADE 10'!$B$7:$B$31,'PW_CMI GRADE 10'!C$7:C$31,"",0,1)="P",1*$C30,0))</f>
        <v>0</v>
      </c>
      <c r="CF30" s="32">
        <f>IF($C30=0,0,IF(_xlfn.XLOOKUP($B30,'PW_CMI GRADE 10'!$B$7:$B$31,'PW_CMI GRADE 10'!D$7:D$31,"",0,1)="P",1*$C30,0))</f>
        <v>0</v>
      </c>
      <c r="CG30" s="32">
        <f>IF($C30=0,0,IF(_xlfn.XLOOKUP($B30,'PW_CMI GRADE 10'!$B$7:$B$31,'PW_CMI GRADE 10'!E$7:E$31,"",0,1)="P",1*$C30,0))</f>
        <v>0</v>
      </c>
      <c r="CH30" s="32">
        <f>IF($C30=0,0,IF(_xlfn.XLOOKUP($B30,'PW_CMI GRADE 10'!$B$7:$B$31,'PW_CMI GRADE 10'!F$7:F$31,"",0,1)="P",1*$C30,0))</f>
        <v>0</v>
      </c>
      <c r="CI30" s="32">
        <f>IF($C30=0,0,IF(_xlfn.XLOOKUP($B30,'PW_CMI GRADE 10'!$B$7:$B$31,'PW_CMI GRADE 10'!G$7:G$31,"",0,1)="P",1*$C30,0))</f>
        <v>0</v>
      </c>
      <c r="CJ30" s="32">
        <f>IF($C30=0,0,IF(_xlfn.XLOOKUP($B30,'PW_CMI GRADE 10'!$B$7:$B$31,'PW_CMI GRADE 10'!H$7:H$31,"",0,1)="P",1*$C30,0))</f>
        <v>0</v>
      </c>
      <c r="CK30" s="32">
        <f>IF($C30=0,0,IF(_xlfn.XLOOKUP($B30,'PW_CMI GRADE 10'!$B$7:$B$31,'PW_CMI GRADE 10'!I$7:I$31,"",0,1)="P",1*$C30,0))</f>
        <v>0</v>
      </c>
      <c r="CL30" s="32">
        <f>IF($C30=0,0,IF(_xlfn.XLOOKUP($B30,'PW_CMI GRADE 10'!$B$7:$B$31,'PW_CMI GRADE 10'!J$7:J$31,"",0,1)="P",1*$C30,0))</f>
        <v>0</v>
      </c>
      <c r="CM30" s="32">
        <f>IF($C30=0,0,IF(_xlfn.XLOOKUP($B30,'PW_CMI GRADE 10'!$B$7:$B$31,'PW_CMI GRADE 10'!K$7:K$31,"",0,1)="P",1*$C30,0))</f>
        <v>0</v>
      </c>
      <c r="CN30" s="32">
        <f>IF($C30=0,0,IF(_xlfn.XLOOKUP($B30,'PW_CMI GRADE 10'!$B$7:$B$31,'PW_CMI GRADE 10'!L$7:L$31,"",0,1)="P",1*$C30,0))</f>
        <v>0</v>
      </c>
      <c r="CO30" s="32">
        <f>IF($C30=0,0,IF(_xlfn.XLOOKUP($B30,'PW_CMI GRADE 10'!$B$7:$B$31,'PW_CMI GRADE 10'!M$7:M$31,"",0,1)="P",1*$C30,0))</f>
        <v>0</v>
      </c>
      <c r="CP30" s="32">
        <f>IF($C30=0,0,IF(_xlfn.XLOOKUP($B30,'PW_CMI GRADE 10'!$B$7:$B$31,'PW_CMI GRADE 10'!N$7:N$31,"",0,1)="P",1*$C30,0))</f>
        <v>0</v>
      </c>
      <c r="CQ30" s="32">
        <f>IF($C30=0,0,IF(_xlfn.XLOOKUP($B30,'PW_CMI GRADE 10'!$B$7:$B$31,'PW_CMI GRADE 10'!O$7:O$31,"",0,1)="P",1*$C30,0))</f>
        <v>0</v>
      </c>
      <c r="CR30" s="32">
        <f>IF($C30=0,0,IF(_xlfn.XLOOKUP($B30,'PW_CMI GRADE 10'!$B$7:$B$31,'PW_CMI GRADE 10'!P$7:P$31,"",0,1)="P",1*$C30,0))</f>
        <v>0</v>
      </c>
      <c r="CS30" s="32">
        <f>IF($C30=0,0,IF(_xlfn.XLOOKUP($B30,'PW_CMI GRADE 10'!$B$7:$B$31,'PW_CMI GRADE 10'!Q$7:Q$31,"",0,1)="P",1*$C30,0))</f>
        <v>0</v>
      </c>
      <c r="CT30" s="32">
        <f>IF($C30=0,0,IF(_xlfn.XLOOKUP($B30,'PW_CMI GRADE 10'!$B$7:$B$31,'PW_CMI GRADE 10'!R$7:R$31,"",0,1)="P",1*$C30,0))</f>
        <v>0</v>
      </c>
      <c r="CU30" s="32">
        <f>IF($C30=0,0,IF(_xlfn.XLOOKUP($B30,'PW_CMI GRADE 10'!$B$7:$B$31,'PW_CMI GRADE 10'!S$7:S$31,"",0,1)="P",1*$C30,0))</f>
        <v>0</v>
      </c>
      <c r="CV30" s="32">
        <f>IF($C30=0,0,IF(_xlfn.XLOOKUP($B30,'PW_CMI GRADE 10'!$B$7:$B$31,'PW_CMI GRADE 10'!T$7:T$31,"",0,1)="P",1*$C30,0))</f>
        <v>0</v>
      </c>
      <c r="CW30" s="62" t="e">
        <f t="shared" si="19"/>
        <v>#REF!</v>
      </c>
      <c r="CX30" s="62" t="e">
        <f t="shared" si="20"/>
        <v>#REF!</v>
      </c>
      <c r="CY30" s="62" t="e">
        <f t="shared" si="21"/>
        <v>#REF!</v>
      </c>
      <c r="CZ30" s="62" t="e">
        <f t="shared" si="22"/>
        <v>#REF!</v>
      </c>
      <c r="DA30" s="62" t="e">
        <f t="shared" si="23"/>
        <v>#REF!</v>
      </c>
      <c r="DB30" s="62" t="e">
        <f t="shared" si="24"/>
        <v>#REF!</v>
      </c>
      <c r="DC30" s="62" t="e">
        <f t="shared" si="25"/>
        <v>#REF!</v>
      </c>
      <c r="DD30" s="62" t="e">
        <f t="shared" si="26"/>
        <v>#REF!</v>
      </c>
      <c r="DE30" s="62" t="e">
        <f t="shared" si="27"/>
        <v>#REF!</v>
      </c>
      <c r="DF30" s="62" t="e">
        <f t="shared" si="28"/>
        <v>#REF!</v>
      </c>
      <c r="DG30" s="62" t="e">
        <f t="shared" si="29"/>
        <v>#REF!</v>
      </c>
      <c r="DH30" s="62" t="e">
        <f t="shared" si="30"/>
        <v>#REF!</v>
      </c>
      <c r="DI30" s="62" t="e">
        <f t="shared" si="31"/>
        <v>#REF!</v>
      </c>
      <c r="DJ30" s="62" t="e">
        <f t="shared" si="32"/>
        <v>#REF!</v>
      </c>
      <c r="DK30" s="62" t="e">
        <f t="shared" si="33"/>
        <v>#REF!</v>
      </c>
      <c r="DL30" s="62" t="e">
        <f t="shared" si="34"/>
        <v>#REF!</v>
      </c>
      <c r="DM30" s="62" t="e">
        <f t="shared" si="35"/>
        <v>#REF!</v>
      </c>
      <c r="DN30" s="62" t="e">
        <f t="shared" si="36"/>
        <v>#REF!</v>
      </c>
      <c r="DO30" s="62" t="e">
        <f t="shared" si="37"/>
        <v>#REF!</v>
      </c>
      <c r="DP30" s="62" t="e">
        <f t="shared" si="38"/>
        <v>#REF!</v>
      </c>
      <c r="DQ30" s="62" t="e">
        <f t="shared" si="39"/>
        <v>#REF!</v>
      </c>
      <c r="DR30" s="62" t="e">
        <f t="shared" si="40"/>
        <v>#REF!</v>
      </c>
      <c r="DS30" s="62" t="e">
        <f t="shared" si="41"/>
        <v>#REF!</v>
      </c>
      <c r="DT30" s="62" t="e">
        <f t="shared" si="42"/>
        <v>#REF!</v>
      </c>
      <c r="DU30" s="62" t="e">
        <f t="shared" si="43"/>
        <v>#REF!</v>
      </c>
      <c r="DV30" s="62" t="e">
        <f t="shared" si="44"/>
        <v>#REF!</v>
      </c>
      <c r="DW30" s="62" t="e">
        <f t="shared" si="45"/>
        <v>#REF!</v>
      </c>
      <c r="DX30" s="62" t="e">
        <f t="shared" si="46"/>
        <v>#REF!</v>
      </c>
      <c r="DY30" s="62" t="e">
        <f t="shared" si="47"/>
        <v>#REF!</v>
      </c>
      <c r="DZ30" s="62" t="e">
        <f t="shared" si="48"/>
        <v>#REF!</v>
      </c>
      <c r="EA30" s="63">
        <f t="shared" si="68"/>
        <v>0</v>
      </c>
      <c r="EB30" s="63">
        <f t="shared" si="2"/>
        <v>0</v>
      </c>
      <c r="EC30" s="63">
        <f t="shared" si="3"/>
        <v>0</v>
      </c>
      <c r="ED30" s="63">
        <f t="shared" si="4"/>
        <v>0</v>
      </c>
      <c r="EE30" s="63">
        <f t="shared" si="5"/>
        <v>0</v>
      </c>
      <c r="EF30" s="63">
        <f t="shared" si="6"/>
        <v>0</v>
      </c>
      <c r="EG30" s="63">
        <f t="shared" si="7"/>
        <v>0</v>
      </c>
      <c r="EH30" s="63">
        <f t="shared" si="8"/>
        <v>0</v>
      </c>
      <c r="EI30" s="63">
        <f t="shared" si="9"/>
        <v>0</v>
      </c>
      <c r="EJ30" s="63">
        <f t="shared" si="10"/>
        <v>0</v>
      </c>
      <c r="EK30" s="63">
        <f t="shared" si="11"/>
        <v>0.1111111111111111</v>
      </c>
      <c r="EL30" s="63">
        <f t="shared" si="12"/>
        <v>0.22222222222222221</v>
      </c>
      <c r="EM30" s="63">
        <f t="shared" si="13"/>
        <v>0.33333333333333331</v>
      </c>
      <c r="EN30" s="63">
        <f t="shared" si="14"/>
        <v>0.33333333333333331</v>
      </c>
      <c r="EO30" s="63">
        <f t="shared" si="15"/>
        <v>0.33333333333333331</v>
      </c>
      <c r="EP30" s="63">
        <f t="shared" si="16"/>
        <v>0.33333333333333331</v>
      </c>
      <c r="FU30" s="51">
        <v>46631</v>
      </c>
      <c r="FV30" t="s">
        <v>22</v>
      </c>
      <c r="FW30" t="s">
        <v>22</v>
      </c>
      <c r="FX30" t="s">
        <v>22</v>
      </c>
      <c r="FY30" t="s">
        <v>22</v>
      </c>
      <c r="FZ30" t="s">
        <v>22</v>
      </c>
      <c r="GA30" t="s">
        <v>22</v>
      </c>
      <c r="GB30" t="s">
        <v>22</v>
      </c>
      <c r="GC30" t="s">
        <v>22</v>
      </c>
      <c r="GD30" t="s">
        <v>22</v>
      </c>
      <c r="GE30" t="s">
        <v>22</v>
      </c>
      <c r="GF30" t="s">
        <v>22</v>
      </c>
      <c r="GG30" t="s">
        <v>22</v>
      </c>
      <c r="GH30" t="s">
        <v>22</v>
      </c>
      <c r="GI30" t="s">
        <v>22</v>
      </c>
      <c r="GJ30" t="s">
        <v>22</v>
      </c>
      <c r="GK30" t="s">
        <v>22</v>
      </c>
      <c r="GL30" t="s">
        <v>22</v>
      </c>
      <c r="GM30" t="s">
        <v>22</v>
      </c>
      <c r="GN30" t="s">
        <v>22</v>
      </c>
      <c r="GO30" t="s">
        <v>22</v>
      </c>
      <c r="GP30" t="s">
        <v>22</v>
      </c>
      <c r="GQ30" t="s">
        <v>22</v>
      </c>
      <c r="GR30" t="s">
        <v>22</v>
      </c>
      <c r="GS30" t="s">
        <v>22</v>
      </c>
      <c r="GT30" t="s">
        <v>22</v>
      </c>
      <c r="GU30" t="s">
        <v>22</v>
      </c>
      <c r="GV30" t="s">
        <v>22</v>
      </c>
      <c r="GW30" t="s">
        <v>22</v>
      </c>
      <c r="GX30" t="s">
        <v>22</v>
      </c>
      <c r="GY30" t="s">
        <v>22</v>
      </c>
      <c r="GZ30" t="s">
        <v>22</v>
      </c>
      <c r="HA30" t="s">
        <v>22</v>
      </c>
      <c r="HB30" t="s">
        <v>22</v>
      </c>
      <c r="HC30" t="s">
        <v>22</v>
      </c>
      <c r="HD30" t="s">
        <v>22</v>
      </c>
      <c r="HE30" t="s">
        <v>22</v>
      </c>
      <c r="HF30" t="s">
        <v>22</v>
      </c>
      <c r="HG30" t="s">
        <v>22</v>
      </c>
      <c r="HH30" t="s">
        <v>22</v>
      </c>
      <c r="HI30" t="s">
        <v>22</v>
      </c>
      <c r="HJ30" t="s">
        <v>22</v>
      </c>
      <c r="HK30" t="s">
        <v>22</v>
      </c>
      <c r="HL30" t="s">
        <v>22</v>
      </c>
      <c r="HM30" t="s">
        <v>22</v>
      </c>
      <c r="HN30" t="s">
        <v>22</v>
      </c>
      <c r="HO30" cm="1">
        <f t="array" ref="HO30">SUMPRODUCT(--(FV30:HN30&lt;&gt;""))</f>
        <v>0</v>
      </c>
    </row>
    <row r="31" spans="1:223">
      <c r="A31" t="str">
        <f t="shared" si="18"/>
        <v>4A.3</v>
      </c>
      <c r="B31" t="s">
        <v>62</v>
      </c>
      <c r="C31" s="27">
        <v>2</v>
      </c>
      <c r="D31" s="27">
        <v>1</v>
      </c>
      <c r="E31" s="31">
        <f>IF($D31=0,0,IF(_xlfn.XLOOKUP($B31,'TH_MLG GRADE 10'!$B$7:$B$49,'TH_MLG GRADE 10'!C$7:C$49,"",0,1)="P",1*$D31,0))</f>
        <v>0</v>
      </c>
      <c r="F31" s="31">
        <f>IF($D31=0,0,IF(_xlfn.XLOOKUP($B31,'TH_MLG GRADE 10'!$B$7:$B$49,'TH_MLG GRADE 10'!D$7:D$49,"",0,1)="P",1*$D31,0))</f>
        <v>0</v>
      </c>
      <c r="G31" s="31">
        <f>IF($D31=0,0,IF(_xlfn.XLOOKUP($B31,'TH_MLG GRADE 10'!$B$7:$B$49,'TH_MLG GRADE 10'!E$7:E$49,"",0,1)="P",1*$D31,0))</f>
        <v>0</v>
      </c>
      <c r="H31" s="31">
        <f>IF($D31=0,0,IF(_xlfn.XLOOKUP($B31,'TH_MLG GRADE 10'!$B$7:$B$49,'TH_MLG GRADE 10'!I$7:I$49,"",0,1)="P",1*$D31,0))</f>
        <v>0</v>
      </c>
      <c r="I31" s="31">
        <f>IF($D31=0,0,IF(_xlfn.XLOOKUP($B31,'TH_MLG GRADE 10'!$B$7:$B$49,'TH_MLG GRADE 10'!J$7:J$49,"",0,1)="P",1*$D31,0))</f>
        <v>0</v>
      </c>
      <c r="J31" s="31">
        <f>IF($D31=0,0,IF(_xlfn.XLOOKUP($B31,'TH_MLG GRADE 10'!$B$7:$B$49,'TH_MLG GRADE 10'!K$7:K$49,"",0,1)="P",1*$D31,0))</f>
        <v>0</v>
      </c>
      <c r="K31" s="31">
        <f>IF($D31=0,0,IF(_xlfn.XLOOKUP($B31,'TH_MLG GRADE 10'!$B$7:$B$49,'TH_MLG GRADE 10'!O$7:O$49,"",0,1)="P",1*$D31,0))</f>
        <v>0</v>
      </c>
      <c r="L31" s="31">
        <f>IF($D31=0,0,IF(_xlfn.XLOOKUP($B31,'TH_MLG GRADE 10'!$B$7:$B$49,'TH_MLG GRADE 10'!P$7:P$49,"",0,1)="P",1*$D31,0))</f>
        <v>0</v>
      </c>
      <c r="M31" s="31">
        <f>IF($D31=0,0,IF(_xlfn.XLOOKUP($B31,'TH_MLG GRADE 10'!$B$7:$B$49,'TH_MLG GRADE 10'!Q$7:Q$49,"",0,1)="P",1*$D31,0))</f>
        <v>0</v>
      </c>
      <c r="N31" s="31">
        <f>IF($D31=0,0,IF(_xlfn.XLOOKUP($B31,'TH_MLG GRADE 10'!$B$7:$B$49,'TH_MLG GRADE 10'!AA$7:AA$49,"",0,1)="P",1*$D31,0))</f>
        <v>0</v>
      </c>
      <c r="O31" s="31">
        <f>IF($D31=0,0,IF(_xlfn.XLOOKUP($B31,'TH_MLG GRADE 10'!$B$7:$B$49,'TH_MLG GRADE 10'!AB$7:AB$49,"",0,1)="P",1*$D31,0))</f>
        <v>0</v>
      </c>
      <c r="P31" s="31">
        <f>IF($D31=0,0,IF(_xlfn.XLOOKUP($B31,'TH_MLG GRADE 10'!$B$7:$B$49,'TH_MLG GRADE 10'!AC$7:AC$49,"",0,1)="P",1*$D31,0))</f>
        <v>0</v>
      </c>
      <c r="Q31" s="31">
        <f>IF($D31=0,0,IF(_xlfn.XLOOKUP($B31,'TH_MLG GRADE 10'!$B$7:$B$49,'TH_MLG GRADE 10'!AG$7:AG$49,"",0,1)="P",1*$D31,0))</f>
        <v>1</v>
      </c>
      <c r="R31" s="31">
        <f>IF($D31=0,0,IF(_xlfn.XLOOKUP($B31,'TH_MLG GRADE 10'!$B$7:$B$49,'TH_MLG GRADE 10'!AH$7:AH$49,"",0,1)="P",1*$D31,0))</f>
        <v>1</v>
      </c>
      <c r="S31" s="31">
        <f>IF($D31=0,0,IF(_xlfn.XLOOKUP($B31,'TH_MLG GRADE 10'!$B$7:$B$49,'TH_MLG GRADE 10'!AI$7:AI$49,"",0,1)="P",1*$D31,0))</f>
        <v>1</v>
      </c>
      <c r="T31" s="31">
        <f>IF($D31=0,0,IF(_xlfn.XLOOKUP($B31,'TH_MLG GRADE 10'!$B$7:$B$49,'TH_MLG GRADE 10'!AM$7:AM$49,"",0,1)="P",1*$D31,0))</f>
        <v>0</v>
      </c>
      <c r="U31" s="31">
        <f>IF($D31=0,0,IF(_xlfn.XLOOKUP($B31,'TH_MLG GRADE 10'!$B$7:$B$49,'TH_MLG GRADE 10'!AN$7:AN$49,"",0,1)="P",1*$D31,0))</f>
        <v>0</v>
      </c>
      <c r="V31" s="31">
        <f>IF($D31=0,0,IF(_xlfn.XLOOKUP($B31,'TH_MLG GRADE 10'!$B$7:$B$49,'TH_MLG GRADE 10'!AO$7:AO$49,"",0,1)="P",1*$D31,0))</f>
        <v>0</v>
      </c>
      <c r="W31" s="31">
        <f>IF($D31=0,0,IF(_xlfn.XLOOKUP($B31,'TH_MLG GRADE 10'!$B$7:$B$49,'TH_MLG GRADE 10'!AY$7:AY$49,"",0,1)="P",1*$D31,0))</f>
        <v>0</v>
      </c>
      <c r="X31" s="31">
        <f>IF($D31=0,0,IF(_xlfn.XLOOKUP($B31,'TH_MLG GRADE 10'!$B$7:$B$49,'TH_MLG GRADE 10'!AZ$7:AZ$49,"",0,1)="P",1*$D31,0))</f>
        <v>0</v>
      </c>
      <c r="Y31" s="31">
        <f>IF($D31=0,0,IF(_xlfn.XLOOKUP($B31,'TH_MLG GRADE 10'!$B$7:$B$49,'TH_MLG GRADE 10'!BA$7:BA$49,"",0,1)="P",1*$D31,0))</f>
        <v>0</v>
      </c>
      <c r="Z31" s="31">
        <f>IF($D31=0,0,IF(_xlfn.XLOOKUP($B31,'TH_MLG GRADE 10'!$B$7:$B$49,'TH_MLG GRADE 10'!BE$7:BE$49,"",0,1)="P",1*$D31,0))</f>
        <v>0</v>
      </c>
      <c r="AA31" s="31">
        <f>IF($D31=0,0,IF(_xlfn.XLOOKUP($B31,'TH_MLG GRADE 10'!$B$7:$B$49,'TH_MLG GRADE 10'!BF$7:BF$49,"",0,1)="P",1*$D31,0))</f>
        <v>0</v>
      </c>
      <c r="AB31" s="31">
        <f>IF($D31=0,0,IF(_xlfn.XLOOKUP($B31,'TH_MLG GRADE 10'!$B$7:$B$49,'TH_MLG GRADE 10'!BG$7:BG$49,"",0,1)="P",1*$D31,0))</f>
        <v>0</v>
      </c>
      <c r="AC31" s="31" t="e">
        <f>IF($D31=0,0,IF(_xlfn.XLOOKUP($B31,'TH_MLG GRADE 10'!$B$7:$B$49,'TH_MLG GRADE 10'!#REF!,"",0,1)="P",1*$D31,0))</f>
        <v>#REF!</v>
      </c>
      <c r="AD31" s="31" t="e">
        <f>IF($D31=0,0,IF(_xlfn.XLOOKUP($B31,'TH_MLG GRADE 10'!$B$7:$B$49,'TH_MLG GRADE 10'!#REF!,"",0,1)="P",1*$D31,0))</f>
        <v>#REF!</v>
      </c>
      <c r="AE31" s="31" t="e">
        <f>IF($D31=0,0,IF(_xlfn.XLOOKUP($B31,'TH_MLG GRADE 10'!$B$7:$B$49,'TH_MLG GRADE 10'!#REF!,"",0,1)="P",1*$D31,0))</f>
        <v>#REF!</v>
      </c>
      <c r="AF31" s="31" t="e">
        <f>IF($D31=0,0,IF(_xlfn.XLOOKUP($B31,'TH_MLG GRADE 10'!$B$7:$B$49,'TH_MLG GRADE 10'!#REF!,"",0,1)="P",1*$D31,0))</f>
        <v>#REF!</v>
      </c>
      <c r="AG31" s="31" t="e">
        <f>IF($D31=0,0,IF(_xlfn.XLOOKUP($B31,'TH_MLG GRADE 10'!$B$7:$B$49,'TH_MLG GRADE 10'!#REF!,"",0,1)="P",1*$D31,0))</f>
        <v>#REF!</v>
      </c>
      <c r="AH31" s="31" t="e">
        <f>IF($D31=0,0,IF(_xlfn.XLOOKUP($B31,'TH_MLG GRADE 10'!$B$7:$B$49,'TH_MLG GRADE 10'!#REF!,"",0,1)="P",1*$D31,0))</f>
        <v>#REF!</v>
      </c>
      <c r="AI31" s="32">
        <f>IF($D31=0,0,IF(_xlfn.XLOOKUP($B31,'TH_CMI GRADE 10'!$B$7:$B$49,'TH_CMI GRADE 10'!C$7:C$49,"",0,1)="P",1*$D31,0))</f>
        <v>0</v>
      </c>
      <c r="AJ31" s="32">
        <f>IF($D31=0,0,IF(_xlfn.XLOOKUP($B31,'TH_CMI GRADE 10'!$B$7:$B$49,'TH_CMI GRADE 10'!D$7:D$49,"",0,1)="P",1*$D31,0))</f>
        <v>0</v>
      </c>
      <c r="AK31" s="32">
        <f>IF($D31=0,0,IF(_xlfn.XLOOKUP($B31,'TH_CMI GRADE 10'!$B$7:$B$49,'TH_CMI GRADE 10'!H$7:H$49,"",0,1)="P",1*$D31,0))</f>
        <v>0</v>
      </c>
      <c r="AL31" s="32">
        <f>IF($D31=0,0,IF(_xlfn.XLOOKUP($B31,'TH_CMI GRADE 10'!$B$7:$B$49,'TH_CMI GRADE 10'!I$7:I$49,"",0,1)="P",1*$D31,0))</f>
        <v>0</v>
      </c>
      <c r="AM31" s="32">
        <f>IF($D31=0,0,IF(_xlfn.XLOOKUP($B31,'TH_CMI GRADE 10'!$B$7:$B$49,'TH_CMI GRADE 10'!J$7:J$49,"",0,1)="P",1*$D31,0))</f>
        <v>0</v>
      </c>
      <c r="AN31" s="32">
        <f>IF($D31=0,0,IF(_xlfn.XLOOKUP($B31,'TH_CMI GRADE 10'!$B$7:$B$49,'TH_CMI GRADE 10'!K$7:K$49,"",0,1)="P",1*$D31,0))</f>
        <v>0</v>
      </c>
      <c r="AO31" s="32">
        <f>IF($D31=0,0,IF(_xlfn.XLOOKUP($B31,'TH_CMI GRADE 10'!$B$7:$B$49,'TH_CMI GRADE 10'!O$7:O$49,"",0,1)="P",1*$D31,0))</f>
        <v>0</v>
      </c>
      <c r="AP31" s="32">
        <f>IF($D31=0,0,IF(_xlfn.XLOOKUP($B31,'TH_CMI GRADE 10'!$B$7:$B$49,'TH_CMI GRADE 10'!P$7:P$49,"",0,1)="P",1*$D31,0))</f>
        <v>0</v>
      </c>
      <c r="AQ31" s="32">
        <f>IF($D31=0,0,IF(_xlfn.XLOOKUP($B31,'TH_CMI GRADE 10'!$B$7:$B$49,'TH_CMI GRADE 10'!Q$7:Q$49,"",0,1)="P",1*$D31,0))</f>
        <v>0</v>
      </c>
      <c r="AR31" s="32">
        <f>IF($D31=0,0,IF(_xlfn.XLOOKUP($B31,'TH_CMI GRADE 10'!$B$7:$B$49,'TH_CMI GRADE 10'!U$7:U$49,"",0,1)="P",1*$D31,0))</f>
        <v>0</v>
      </c>
      <c r="AS31" s="32">
        <f>IF($D31=0,0,IF(_xlfn.XLOOKUP($B31,'TH_CMI GRADE 10'!$B$7:$B$49,'TH_CMI GRADE 10'!V$7:V$49,"",0,1)="P",1*$D31,0))</f>
        <v>0</v>
      </c>
      <c r="AT31" s="32">
        <f>IF($D31=0,0,IF(_xlfn.XLOOKUP($B31,'TH_CMI GRADE 10'!$B$7:$B$49,'TH_CMI GRADE 10'!W$7:W$49,"",0,1)="P",1*$D31,0))</f>
        <v>0</v>
      </c>
      <c r="AU31" s="32">
        <f>IF($D31=0,0,IF(_xlfn.XLOOKUP($B31,'TH_CMI GRADE 10'!$B$7:$B$49,'TH_CMI GRADE 10'!AA$7:AA$49,"",0,1)="P",1*$D31,0))</f>
        <v>1</v>
      </c>
      <c r="AV31" s="32">
        <f>IF($D31=0,0,IF(_xlfn.XLOOKUP($B31,'TH_CMI GRADE 10'!$B$7:$B$49,'TH_CMI GRADE 10'!AB$7:AB$49,"",0,1)="P",1*$D31,0))</f>
        <v>1</v>
      </c>
      <c r="AW31" s="32">
        <f>IF($D31=0,0,IF(_xlfn.XLOOKUP($B31,'TH_CMI GRADE 10'!$B$7:$B$49,'TH_CMI GRADE 10'!AC$7:AC$49,"",0,1)="P",1*$D31,0))</f>
        <v>1</v>
      </c>
      <c r="AX31" s="32">
        <f>IF($D31=0,0,IF(_xlfn.XLOOKUP($B31,'TH_CMI GRADE 10'!$B$7:$B$49,'TH_CMI GRADE 10'!AG$7:AG$49,"",0,1)="P",1*$D31,0))</f>
        <v>1</v>
      </c>
      <c r="AY31" s="32">
        <f>IF($D31=0,0,IF(_xlfn.XLOOKUP($B31,'TH_CMI GRADE 10'!$B$7:$B$49,'TH_CMI GRADE 10'!AH$7:AH$49,"",0,1)="P",1*$D31,0))</f>
        <v>1</v>
      </c>
      <c r="AZ31" s="32">
        <f>IF($D31=0,0,IF(_xlfn.XLOOKUP($B31,'TH_CMI GRADE 10'!$B$7:$B$49,'TH_CMI GRADE 10'!AI$7:AI$49,"",0,1)="P",1*$D31,0))</f>
        <v>1</v>
      </c>
      <c r="BA31" s="31" t="e">
        <f>IF($C31=0,0,IF(_xlfn.XLOOKUP($B31,'PW_MLG GRADE 10'!$B$7:$B$31,'PW_MLG GRADE 10'!#REF!,"",0,1)="P",1*$C31,0))</f>
        <v>#REF!</v>
      </c>
      <c r="BB31" s="31" t="e">
        <f>IF($C31=0,0,IF(_xlfn.XLOOKUP($B31,'PW_MLG GRADE 10'!$B$7:$B$31,'PW_MLG GRADE 10'!#REF!,"",0,1)="P",1*$C31,0))</f>
        <v>#REF!</v>
      </c>
      <c r="BC31" s="31" t="e">
        <f>IF($C31=0,0,IF(_xlfn.XLOOKUP($B31,'PW_MLG GRADE 10'!$B$7:$B$31,'PW_MLG GRADE 10'!#REF!,"",0,1)="P",1*$C31,0))</f>
        <v>#REF!</v>
      </c>
      <c r="BD31" s="31" t="e">
        <f>IF($C31=0,0,IF(_xlfn.XLOOKUP($B31,'PW_MLG GRADE 10'!$B$7:$B$31,'PW_MLG GRADE 10'!#REF!,"",0,1)="P",1*$C31,0))</f>
        <v>#REF!</v>
      </c>
      <c r="BE31" s="31" t="e">
        <f>IF($C31=0,0,IF(_xlfn.XLOOKUP($B31,'PW_MLG GRADE 10'!$B$7:$B$31,'PW_MLG GRADE 10'!#REF!,"",0,1)="P",1*$C31,0))</f>
        <v>#REF!</v>
      </c>
      <c r="BF31" s="31" t="e">
        <f>IF($C31=0,0,IF(_xlfn.XLOOKUP($B31,'PW_MLG GRADE 10'!$B$7:$B$31,'PW_MLG GRADE 10'!#REF!,"",0,1)="P",1*$C31,0))</f>
        <v>#REF!</v>
      </c>
      <c r="BG31" s="31" t="e">
        <f>IF($C31=0,0,IF(_xlfn.XLOOKUP($B31,'PW_MLG GRADE 10'!$B$7:$B$31,'PW_MLG GRADE 10'!#REF!,"",0,1)="P",1*$C31,0))</f>
        <v>#REF!</v>
      </c>
      <c r="BH31" s="31" t="e">
        <f>IF($C31=0,0,IF(_xlfn.XLOOKUP($B31,'PW_MLG GRADE 10'!$B$7:$B$31,'PW_MLG GRADE 10'!#REF!,"",0,1)="P",1*$C31,0))</f>
        <v>#REF!</v>
      </c>
      <c r="BI31" s="31" t="e">
        <f>IF($C31=0,0,IF(_xlfn.XLOOKUP($B31,'PW_MLG GRADE 10'!$B$7:$B$31,'PW_MLG GRADE 10'!#REF!,"",0,1)="P",1*$C31,0))</f>
        <v>#REF!</v>
      </c>
      <c r="BJ31" s="31" t="e">
        <f>IF($C31=0,0,IF(_xlfn.XLOOKUP($B31,'PW_MLG GRADE 10'!$B$7:$B$31,'PW_MLG GRADE 10'!#REF!,"",0,1)="P",1*$C31,0))</f>
        <v>#REF!</v>
      </c>
      <c r="BK31" s="31" t="e">
        <f>IF($C31=0,0,IF(_xlfn.XLOOKUP($B31,'PW_MLG GRADE 10'!$B$7:$B$31,'PW_MLG GRADE 10'!#REF!,"",0,1)="P",1*$C31,0))</f>
        <v>#REF!</v>
      </c>
      <c r="BL31" s="31" t="e">
        <f>IF($C31=0,0,IF(_xlfn.XLOOKUP($B31,'PW_MLG GRADE 10'!$B$7:$B$31,'PW_MLG GRADE 10'!#REF!,"",0,1)="P",1*$C31,0))</f>
        <v>#REF!</v>
      </c>
      <c r="BM31" s="31" t="e">
        <f>IF($C31=0,0,IF(_xlfn.XLOOKUP($B31,'PW_MLG GRADE 10'!$B$7:$B$31,'PW_MLG GRADE 10'!#REF!,"",0,1)="P",1*$C31,0))</f>
        <v>#REF!</v>
      </c>
      <c r="BN31" s="31" t="e">
        <f>IF($C31=0,0,IF(_xlfn.XLOOKUP($B31,'PW_MLG GRADE 10'!$B$7:$B$31,'PW_MLG GRADE 10'!#REF!,"",0,1)="P",1*$C31,0))</f>
        <v>#REF!</v>
      </c>
      <c r="BO31" s="31" t="e">
        <f>IF($C31=0,0,IF(_xlfn.XLOOKUP($B31,'PW_MLG GRADE 10'!$B$7:$B$31,'PW_MLG GRADE 10'!#REF!,"",0,1)="P",1*$C31,0))</f>
        <v>#REF!</v>
      </c>
      <c r="BP31" s="31" t="e">
        <f>IF($C31=0,0,IF(_xlfn.XLOOKUP($B31,'PW_MLG GRADE 10'!$B$7:$B$31,'PW_MLG GRADE 10'!#REF!,"",0,1)="P",1*$C31,0))</f>
        <v>#REF!</v>
      </c>
      <c r="BQ31" s="31" t="e">
        <f>IF($C31=0,0,IF(_xlfn.XLOOKUP($B31,'PW_MLG GRADE 10'!$B$7:$B$31,'PW_MLG GRADE 10'!#REF!,"",0,1)="P",1*$C31,0))</f>
        <v>#REF!</v>
      </c>
      <c r="BR31" s="31" t="e">
        <f>IF($C31=0,0,IF(_xlfn.XLOOKUP($B31,'PW_MLG GRADE 10'!$B$7:$B$31,'PW_MLG GRADE 10'!#REF!,"",0,1)="P",1*$C31,0))</f>
        <v>#REF!</v>
      </c>
      <c r="BS31" s="31" t="e">
        <f>IF($C31=0,0,IF(_xlfn.XLOOKUP($B31,'PW_MLG GRADE 10'!$B$7:$B$31,'PW_MLG GRADE 10'!#REF!,"",0,1)="P",1*$C31,0))</f>
        <v>#REF!</v>
      </c>
      <c r="BT31" s="31" t="e">
        <f>IF($C31=0,0,IF(_xlfn.XLOOKUP($B31,'PW_MLG GRADE 10'!$B$7:$B$31,'PW_MLG GRADE 10'!#REF!,"",0,1)="P",1*$C31,0))</f>
        <v>#REF!</v>
      </c>
      <c r="BU31" s="31" t="e">
        <f>IF($C31=0,0,IF(_xlfn.XLOOKUP($B31,'PW_MLG GRADE 10'!$B$7:$B$31,'PW_MLG GRADE 10'!#REF!,"",0,1)="P",1*$C31,0))</f>
        <v>#REF!</v>
      </c>
      <c r="BV31" s="31" t="e">
        <f>IF($C31=0,0,IF(_xlfn.XLOOKUP($B31,'PW_MLG GRADE 10'!$B$7:$B$31,'PW_MLG GRADE 10'!#REF!,"",0,1)="P",1*$C31,0))</f>
        <v>#REF!</v>
      </c>
      <c r="BW31" s="31" t="e">
        <f>IF($C31=0,0,IF(_xlfn.XLOOKUP($B31,'PW_MLG GRADE 10'!$B$7:$B$31,'PW_MLG GRADE 10'!#REF!,"",0,1)="P",1*$C31,0))</f>
        <v>#REF!</v>
      </c>
      <c r="BX31" s="31" t="e">
        <f>IF($C31=0,0,IF(_xlfn.XLOOKUP($B31,'PW_MLG GRADE 10'!$B$7:$B$31,'PW_MLG GRADE 10'!#REF!,"",0,1)="P",1*$C31,0))</f>
        <v>#REF!</v>
      </c>
      <c r="BY31" s="31" t="e">
        <f>IF($C31=0,0,IF(_xlfn.XLOOKUP($B31,'PW_MLG GRADE 10'!$B$7:$B$31,'PW_MLG GRADE 10'!#REF!,"",0,1)="P",1*$C31,0))</f>
        <v>#REF!</v>
      </c>
      <c r="BZ31" s="31" t="e">
        <f>IF($C31=0,0,IF(_xlfn.XLOOKUP($B31,'PW_MLG GRADE 10'!$B$7:$B$31,'PW_MLG GRADE 10'!#REF!,"",0,1)="P",1*$C31,0))</f>
        <v>#REF!</v>
      </c>
      <c r="CA31" s="31" t="e">
        <f>IF($C31=0,0,IF(_xlfn.XLOOKUP($B31,'PW_MLG GRADE 10'!$B$7:$B$31,'PW_MLG GRADE 10'!#REF!,"",0,1)="P",1*$C31,0))</f>
        <v>#REF!</v>
      </c>
      <c r="CB31" s="31" t="e">
        <f>IF($C31=0,0,IF(_xlfn.XLOOKUP($B31,'PW_MLG GRADE 10'!$B$7:$B$31,'PW_MLG GRADE 10'!#REF!,"",0,1)="P",1*$C31,0))</f>
        <v>#REF!</v>
      </c>
      <c r="CC31" s="31" t="e">
        <f>IF($C31=0,0,IF(_xlfn.XLOOKUP($B31,'PW_MLG GRADE 10'!$B$7:$B$31,'PW_MLG GRADE 10'!#REF!,"",0,1)="P",1*$C31,0))</f>
        <v>#REF!</v>
      </c>
      <c r="CD31" s="31" t="e">
        <f>IF($C31=0,0,IF(_xlfn.XLOOKUP($B31,'PW_MLG GRADE 10'!$B$7:$B$31,'PW_MLG GRADE 10'!#REF!,"",0,1)="P",1*$C31,0))</f>
        <v>#REF!</v>
      </c>
      <c r="CE31" s="32">
        <f>IF($C31=0,0,IF(_xlfn.XLOOKUP($B31,'PW_CMI GRADE 10'!$B$7:$B$31,'PW_CMI GRADE 10'!C$7:C$31,"",0,1)="P",1*$C31,0))</f>
        <v>0</v>
      </c>
      <c r="CF31" s="32">
        <f>IF($C31=0,0,IF(_xlfn.XLOOKUP($B31,'PW_CMI GRADE 10'!$B$7:$B$31,'PW_CMI GRADE 10'!D$7:D$31,"",0,1)="P",1*$C31,0))</f>
        <v>0</v>
      </c>
      <c r="CG31" s="32">
        <f>IF($C31=0,0,IF(_xlfn.XLOOKUP($B31,'PW_CMI GRADE 10'!$B$7:$B$31,'PW_CMI GRADE 10'!E$7:E$31,"",0,1)="P",1*$C31,0))</f>
        <v>0</v>
      </c>
      <c r="CH31" s="32">
        <f>IF($C31=0,0,IF(_xlfn.XLOOKUP($B31,'PW_CMI GRADE 10'!$B$7:$B$31,'PW_CMI GRADE 10'!F$7:F$31,"",0,1)="P",1*$C31,0))</f>
        <v>0</v>
      </c>
      <c r="CI31" s="32">
        <f>IF($C31=0,0,IF(_xlfn.XLOOKUP($B31,'PW_CMI GRADE 10'!$B$7:$B$31,'PW_CMI GRADE 10'!G$7:G$31,"",0,1)="P",1*$C31,0))</f>
        <v>0</v>
      </c>
      <c r="CJ31" s="32">
        <f>IF($C31=0,0,IF(_xlfn.XLOOKUP($B31,'PW_CMI GRADE 10'!$B$7:$B$31,'PW_CMI GRADE 10'!H$7:H$31,"",0,1)="P",1*$C31,0))</f>
        <v>0</v>
      </c>
      <c r="CK31" s="32">
        <f>IF($C31=0,0,IF(_xlfn.XLOOKUP($B31,'PW_CMI GRADE 10'!$B$7:$B$31,'PW_CMI GRADE 10'!I$7:I$31,"",0,1)="P",1*$C31,0))</f>
        <v>0</v>
      </c>
      <c r="CL31" s="32">
        <f>IF($C31=0,0,IF(_xlfn.XLOOKUP($B31,'PW_CMI GRADE 10'!$B$7:$B$31,'PW_CMI GRADE 10'!J$7:J$31,"",0,1)="P",1*$C31,0))</f>
        <v>0</v>
      </c>
      <c r="CM31" s="32">
        <f>IF($C31=0,0,IF(_xlfn.XLOOKUP($B31,'PW_CMI GRADE 10'!$B$7:$B$31,'PW_CMI GRADE 10'!K$7:K$31,"",0,1)="P",1*$C31,0))</f>
        <v>0</v>
      </c>
      <c r="CN31" s="32">
        <f>IF($C31=0,0,IF(_xlfn.XLOOKUP($B31,'PW_CMI GRADE 10'!$B$7:$B$31,'PW_CMI GRADE 10'!L$7:L$31,"",0,1)="P",1*$C31,0))</f>
        <v>0</v>
      </c>
      <c r="CO31" s="32">
        <f>IF($C31=0,0,IF(_xlfn.XLOOKUP($B31,'PW_CMI GRADE 10'!$B$7:$B$31,'PW_CMI GRADE 10'!M$7:M$31,"",0,1)="P",1*$C31,0))</f>
        <v>0</v>
      </c>
      <c r="CP31" s="32">
        <f>IF($C31=0,0,IF(_xlfn.XLOOKUP($B31,'PW_CMI GRADE 10'!$B$7:$B$31,'PW_CMI GRADE 10'!N$7:N$31,"",0,1)="P",1*$C31,0))</f>
        <v>0</v>
      </c>
      <c r="CQ31" s="32">
        <f>IF($C31=0,0,IF(_xlfn.XLOOKUP($B31,'PW_CMI GRADE 10'!$B$7:$B$31,'PW_CMI GRADE 10'!O$7:O$31,"",0,1)="P",1*$C31,0))</f>
        <v>0</v>
      </c>
      <c r="CR31" s="32">
        <f>IF($C31=0,0,IF(_xlfn.XLOOKUP($B31,'PW_CMI GRADE 10'!$B$7:$B$31,'PW_CMI GRADE 10'!P$7:P$31,"",0,1)="P",1*$C31,0))</f>
        <v>0</v>
      </c>
      <c r="CS31" s="32">
        <f>IF($C31=0,0,IF(_xlfn.XLOOKUP($B31,'PW_CMI GRADE 10'!$B$7:$B$31,'PW_CMI GRADE 10'!Q$7:Q$31,"",0,1)="P",1*$C31,0))</f>
        <v>0</v>
      </c>
      <c r="CT31" s="32">
        <f>IF($C31=0,0,IF(_xlfn.XLOOKUP($B31,'PW_CMI GRADE 10'!$B$7:$B$31,'PW_CMI GRADE 10'!R$7:R$31,"",0,1)="P",1*$C31,0))</f>
        <v>0</v>
      </c>
      <c r="CU31" s="32">
        <f>IF($C31=0,0,IF(_xlfn.XLOOKUP($B31,'PW_CMI GRADE 10'!$B$7:$B$31,'PW_CMI GRADE 10'!S$7:S$31,"",0,1)="P",1*$C31,0))</f>
        <v>0</v>
      </c>
      <c r="CV31" s="32">
        <f>IF($C31=0,0,IF(_xlfn.XLOOKUP($B31,'PW_CMI GRADE 10'!$B$7:$B$31,'PW_CMI GRADE 10'!T$7:T$31,"",0,1)="P",1*$C31,0))</f>
        <v>0</v>
      </c>
      <c r="CW31" s="62" t="e">
        <f t="shared" si="19"/>
        <v>#REF!</v>
      </c>
      <c r="CX31" s="62" t="e">
        <f t="shared" si="20"/>
        <v>#REF!</v>
      </c>
      <c r="CY31" s="62" t="e">
        <f t="shared" si="21"/>
        <v>#REF!</v>
      </c>
      <c r="CZ31" s="62" t="e">
        <f t="shared" si="22"/>
        <v>#REF!</v>
      </c>
      <c r="DA31" s="62" t="e">
        <f t="shared" si="23"/>
        <v>#REF!</v>
      </c>
      <c r="DB31" s="62" t="e">
        <f t="shared" si="24"/>
        <v>#REF!</v>
      </c>
      <c r="DC31" s="62" t="e">
        <f t="shared" si="25"/>
        <v>#REF!</v>
      </c>
      <c r="DD31" s="62" t="e">
        <f t="shared" si="26"/>
        <v>#REF!</v>
      </c>
      <c r="DE31" s="62" t="e">
        <f t="shared" si="27"/>
        <v>#REF!</v>
      </c>
      <c r="DF31" s="62" t="e">
        <f t="shared" si="28"/>
        <v>#REF!</v>
      </c>
      <c r="DG31" s="62" t="e">
        <f t="shared" si="29"/>
        <v>#REF!</v>
      </c>
      <c r="DH31" s="62" t="e">
        <f t="shared" si="30"/>
        <v>#REF!</v>
      </c>
      <c r="DI31" s="62" t="e">
        <f t="shared" si="31"/>
        <v>#REF!</v>
      </c>
      <c r="DJ31" s="62" t="e">
        <f t="shared" si="32"/>
        <v>#REF!</v>
      </c>
      <c r="DK31" s="62" t="e">
        <f t="shared" si="33"/>
        <v>#REF!</v>
      </c>
      <c r="DL31" s="62" t="e">
        <f t="shared" si="34"/>
        <v>#REF!</v>
      </c>
      <c r="DM31" s="62" t="e">
        <f t="shared" si="35"/>
        <v>#REF!</v>
      </c>
      <c r="DN31" s="62" t="e">
        <f t="shared" si="36"/>
        <v>#REF!</v>
      </c>
      <c r="DO31" s="62" t="e">
        <f t="shared" si="37"/>
        <v>#REF!</v>
      </c>
      <c r="DP31" s="62" t="e">
        <f t="shared" si="38"/>
        <v>#REF!</v>
      </c>
      <c r="DQ31" s="62" t="e">
        <f t="shared" si="39"/>
        <v>#REF!</v>
      </c>
      <c r="DR31" s="62" t="e">
        <f t="shared" si="40"/>
        <v>#REF!</v>
      </c>
      <c r="DS31" s="62" t="e">
        <f t="shared" si="41"/>
        <v>#REF!</v>
      </c>
      <c r="DT31" s="62" t="e">
        <f t="shared" si="42"/>
        <v>#REF!</v>
      </c>
      <c r="DU31" s="62" t="e">
        <f t="shared" si="43"/>
        <v>#REF!</v>
      </c>
      <c r="DV31" s="62" t="e">
        <f t="shared" si="44"/>
        <v>#REF!</v>
      </c>
      <c r="DW31" s="62" t="e">
        <f t="shared" si="45"/>
        <v>#REF!</v>
      </c>
      <c r="DX31" s="62" t="e">
        <f t="shared" si="46"/>
        <v>#REF!</v>
      </c>
      <c r="DY31" s="62" t="e">
        <f t="shared" si="47"/>
        <v>#REF!</v>
      </c>
      <c r="DZ31" s="62" t="e">
        <f t="shared" si="48"/>
        <v>#REF!</v>
      </c>
      <c r="EA31" s="63">
        <f t="shared" si="68"/>
        <v>0</v>
      </c>
      <c r="EB31" s="63">
        <f t="shared" si="2"/>
        <v>0</v>
      </c>
      <c r="EC31" s="63">
        <f t="shared" si="3"/>
        <v>0</v>
      </c>
      <c r="ED31" s="63">
        <f t="shared" si="4"/>
        <v>0</v>
      </c>
      <c r="EE31" s="63">
        <f t="shared" si="5"/>
        <v>0</v>
      </c>
      <c r="EF31" s="63">
        <f t="shared" si="6"/>
        <v>0</v>
      </c>
      <c r="EG31" s="63">
        <f t="shared" si="7"/>
        <v>0</v>
      </c>
      <c r="EH31" s="63">
        <f t="shared" si="8"/>
        <v>0</v>
      </c>
      <c r="EI31" s="63">
        <f t="shared" si="9"/>
        <v>0</v>
      </c>
      <c r="EJ31" s="63">
        <f t="shared" si="10"/>
        <v>0</v>
      </c>
      <c r="EK31" s="63">
        <f t="shared" si="11"/>
        <v>0.1111111111111111</v>
      </c>
      <c r="EL31" s="63">
        <f t="shared" si="12"/>
        <v>0.22222222222222221</v>
      </c>
      <c r="EM31" s="63">
        <f t="shared" si="13"/>
        <v>0.33333333333333331</v>
      </c>
      <c r="EN31" s="63">
        <f t="shared" si="14"/>
        <v>0.33333333333333331</v>
      </c>
      <c r="EO31" s="63">
        <f t="shared" si="15"/>
        <v>0.33333333333333331</v>
      </c>
      <c r="EP31" s="63">
        <f t="shared" si="16"/>
        <v>0.33333333333333331</v>
      </c>
      <c r="FU31" s="51">
        <v>46661</v>
      </c>
      <c r="FV31" t="s">
        <v>22</v>
      </c>
      <c r="FW31" t="s">
        <v>22</v>
      </c>
      <c r="FX31" t="s">
        <v>22</v>
      </c>
      <c r="FY31" t="s">
        <v>22</v>
      </c>
      <c r="FZ31" t="s">
        <v>22</v>
      </c>
      <c r="GA31" t="s">
        <v>22</v>
      </c>
      <c r="GB31" t="s">
        <v>22</v>
      </c>
      <c r="GC31" t="s">
        <v>22</v>
      </c>
      <c r="GD31" t="s">
        <v>22</v>
      </c>
      <c r="GE31" t="s">
        <v>22</v>
      </c>
      <c r="GF31" t="s">
        <v>22</v>
      </c>
      <c r="GG31" t="s">
        <v>22</v>
      </c>
      <c r="GH31" t="s">
        <v>22</v>
      </c>
      <c r="GI31" t="s">
        <v>22</v>
      </c>
      <c r="GJ31" t="s">
        <v>22</v>
      </c>
      <c r="GK31" t="s">
        <v>22</v>
      </c>
      <c r="GL31" t="s">
        <v>22</v>
      </c>
      <c r="GM31" t="s">
        <v>22</v>
      </c>
      <c r="GN31" t="s">
        <v>22</v>
      </c>
      <c r="GO31" t="s">
        <v>22</v>
      </c>
      <c r="GP31" t="s">
        <v>22</v>
      </c>
      <c r="GQ31" t="s">
        <v>22</v>
      </c>
      <c r="GR31" t="s">
        <v>22</v>
      </c>
      <c r="GS31" t="s">
        <v>22</v>
      </c>
      <c r="GT31" t="s">
        <v>22</v>
      </c>
      <c r="GU31" t="s">
        <v>22</v>
      </c>
      <c r="GV31" t="s">
        <v>22</v>
      </c>
      <c r="GW31" t="s">
        <v>22</v>
      </c>
      <c r="GX31" t="s">
        <v>22</v>
      </c>
      <c r="GY31" t="s">
        <v>22</v>
      </c>
      <c r="GZ31" t="s">
        <v>22</v>
      </c>
      <c r="HA31" t="s">
        <v>22</v>
      </c>
      <c r="HB31" t="s">
        <v>22</v>
      </c>
      <c r="HC31" t="s">
        <v>22</v>
      </c>
      <c r="HD31" t="s">
        <v>22</v>
      </c>
      <c r="HE31" t="s">
        <v>22</v>
      </c>
      <c r="HF31" t="s">
        <v>22</v>
      </c>
      <c r="HG31" t="s">
        <v>22</v>
      </c>
      <c r="HH31" t="s">
        <v>22</v>
      </c>
      <c r="HI31" t="s">
        <v>22</v>
      </c>
      <c r="HJ31" t="s">
        <v>22</v>
      </c>
      <c r="HK31" t="s">
        <v>22</v>
      </c>
      <c r="HL31" t="s">
        <v>22</v>
      </c>
      <c r="HM31" t="s">
        <v>22</v>
      </c>
      <c r="HN31" t="s">
        <v>22</v>
      </c>
      <c r="HO31" cm="1">
        <f t="array" ref="HO31">SUMPRODUCT(--(FV31:HN31&lt;&gt;""))</f>
        <v>0</v>
      </c>
    </row>
    <row r="32" spans="1:223">
      <c r="A32" t="str">
        <f t="shared" si="18"/>
        <v>4A.3</v>
      </c>
      <c r="B32" t="s">
        <v>63</v>
      </c>
      <c r="C32" s="28">
        <v>0</v>
      </c>
      <c r="D32" s="29">
        <v>1</v>
      </c>
      <c r="E32" s="31">
        <f>IF($D32=0,0,IF(_xlfn.XLOOKUP($B32,'TH_MLG GRADE 10'!$B$7:$B$49,'TH_MLG GRADE 10'!C$7:C$49,"",0,1)="P",1*$D32,0))</f>
        <v>0</v>
      </c>
      <c r="F32" s="31">
        <f>IF($D32=0,0,IF(_xlfn.XLOOKUP($B32,'TH_MLG GRADE 10'!$B$7:$B$49,'TH_MLG GRADE 10'!D$7:D$49,"",0,1)="P",1*$D32,0))</f>
        <v>0</v>
      </c>
      <c r="G32" s="31">
        <f>IF($D32=0,0,IF(_xlfn.XLOOKUP($B32,'TH_MLG GRADE 10'!$B$7:$B$49,'TH_MLG GRADE 10'!E$7:E$49,"",0,1)="P",1*$D32,0))</f>
        <v>0</v>
      </c>
      <c r="H32" s="31">
        <f>IF($D32=0,0,IF(_xlfn.XLOOKUP($B32,'TH_MLG GRADE 10'!$B$7:$B$49,'TH_MLG GRADE 10'!I$7:I$49,"",0,1)="P",1*$D32,0))</f>
        <v>0</v>
      </c>
      <c r="I32" s="31">
        <f>IF($D32=0,0,IF(_xlfn.XLOOKUP($B32,'TH_MLG GRADE 10'!$B$7:$B$49,'TH_MLG GRADE 10'!J$7:J$49,"",0,1)="P",1*$D32,0))</f>
        <v>0</v>
      </c>
      <c r="J32" s="31">
        <f>IF($D32=0,0,IF(_xlfn.XLOOKUP($B32,'TH_MLG GRADE 10'!$B$7:$B$49,'TH_MLG GRADE 10'!K$7:K$49,"",0,1)="P",1*$D32,0))</f>
        <v>0</v>
      </c>
      <c r="K32" s="31">
        <f>IF($D32=0,0,IF(_xlfn.XLOOKUP($B32,'TH_MLG GRADE 10'!$B$7:$B$49,'TH_MLG GRADE 10'!O$7:O$49,"",0,1)="P",1*$D32,0))</f>
        <v>0</v>
      </c>
      <c r="L32" s="31">
        <f>IF($D32=0,0,IF(_xlfn.XLOOKUP($B32,'TH_MLG GRADE 10'!$B$7:$B$49,'TH_MLG GRADE 10'!P$7:P$49,"",0,1)="P",1*$D32,0))</f>
        <v>0</v>
      </c>
      <c r="M32" s="31">
        <f>IF($D32=0,0,IF(_xlfn.XLOOKUP($B32,'TH_MLG GRADE 10'!$B$7:$B$49,'TH_MLG GRADE 10'!Q$7:Q$49,"",0,1)="P",1*$D32,0))</f>
        <v>0</v>
      </c>
      <c r="N32" s="31">
        <f>IF($D32=0,0,IF(_xlfn.XLOOKUP($B32,'TH_MLG GRADE 10'!$B$7:$B$49,'TH_MLG GRADE 10'!AA$7:AA$49,"",0,1)="P",1*$D32,0))</f>
        <v>0</v>
      </c>
      <c r="O32" s="31">
        <f>IF($D32=0,0,IF(_xlfn.XLOOKUP($B32,'TH_MLG GRADE 10'!$B$7:$B$49,'TH_MLG GRADE 10'!AB$7:AB$49,"",0,1)="P",1*$D32,0))</f>
        <v>0</v>
      </c>
      <c r="P32" s="31">
        <f>IF($D32=0,0,IF(_xlfn.XLOOKUP($B32,'TH_MLG GRADE 10'!$B$7:$B$49,'TH_MLG GRADE 10'!AC$7:AC$49,"",0,1)="P",1*$D32,0))</f>
        <v>0</v>
      </c>
      <c r="Q32" s="31">
        <f>IF($D32=0,0,IF(_xlfn.XLOOKUP($B32,'TH_MLG GRADE 10'!$B$7:$B$49,'TH_MLG GRADE 10'!AG$7:AG$49,"",0,1)="P",1*$D32,0))</f>
        <v>1</v>
      </c>
      <c r="R32" s="31">
        <f>IF($D32=0,0,IF(_xlfn.XLOOKUP($B32,'TH_MLG GRADE 10'!$B$7:$B$49,'TH_MLG GRADE 10'!AH$7:AH$49,"",0,1)="P",1*$D32,0))</f>
        <v>1</v>
      </c>
      <c r="S32" s="31">
        <f>IF($D32=0,0,IF(_xlfn.XLOOKUP($B32,'TH_MLG GRADE 10'!$B$7:$B$49,'TH_MLG GRADE 10'!AI$7:AI$49,"",0,1)="P",1*$D32,0))</f>
        <v>1</v>
      </c>
      <c r="T32" s="31">
        <f>IF($D32=0,0,IF(_xlfn.XLOOKUP($B32,'TH_MLG GRADE 10'!$B$7:$B$49,'TH_MLG GRADE 10'!AM$7:AM$49,"",0,1)="P",1*$D32,0))</f>
        <v>0</v>
      </c>
      <c r="U32" s="31">
        <f>IF($D32=0,0,IF(_xlfn.XLOOKUP($B32,'TH_MLG GRADE 10'!$B$7:$B$49,'TH_MLG GRADE 10'!AN$7:AN$49,"",0,1)="P",1*$D32,0))</f>
        <v>0</v>
      </c>
      <c r="V32" s="31">
        <f>IF($D32=0,0,IF(_xlfn.XLOOKUP($B32,'TH_MLG GRADE 10'!$B$7:$B$49,'TH_MLG GRADE 10'!AO$7:AO$49,"",0,1)="P",1*$D32,0))</f>
        <v>0</v>
      </c>
      <c r="W32" s="31">
        <f>IF($D32=0,0,IF(_xlfn.XLOOKUP($B32,'TH_MLG GRADE 10'!$B$7:$B$49,'TH_MLG GRADE 10'!AY$7:AY$49,"",0,1)="P",1*$D32,0))</f>
        <v>0</v>
      </c>
      <c r="X32" s="31">
        <f>IF($D32=0,0,IF(_xlfn.XLOOKUP($B32,'TH_MLG GRADE 10'!$B$7:$B$49,'TH_MLG GRADE 10'!AZ$7:AZ$49,"",0,1)="P",1*$D32,0))</f>
        <v>0</v>
      </c>
      <c r="Y32" s="31">
        <f>IF($D32=0,0,IF(_xlfn.XLOOKUP($B32,'TH_MLG GRADE 10'!$B$7:$B$49,'TH_MLG GRADE 10'!BA$7:BA$49,"",0,1)="P",1*$D32,0))</f>
        <v>0</v>
      </c>
      <c r="Z32" s="31">
        <f>IF($D32=0,0,IF(_xlfn.XLOOKUP($B32,'TH_MLG GRADE 10'!$B$7:$B$49,'TH_MLG GRADE 10'!BE$7:BE$49,"",0,1)="P",1*$D32,0))</f>
        <v>0</v>
      </c>
      <c r="AA32" s="31">
        <f>IF($D32=0,0,IF(_xlfn.XLOOKUP($B32,'TH_MLG GRADE 10'!$B$7:$B$49,'TH_MLG GRADE 10'!BF$7:BF$49,"",0,1)="P",1*$D32,0))</f>
        <v>0</v>
      </c>
      <c r="AB32" s="31">
        <f>IF($D32=0,0,IF(_xlfn.XLOOKUP($B32,'TH_MLG GRADE 10'!$B$7:$B$49,'TH_MLG GRADE 10'!BG$7:BG$49,"",0,1)="P",1*$D32,0))</f>
        <v>0</v>
      </c>
      <c r="AC32" s="31" t="e">
        <f>IF($D32=0,0,IF(_xlfn.XLOOKUP($B32,'TH_MLG GRADE 10'!$B$7:$B$49,'TH_MLG GRADE 10'!#REF!,"",0,1)="P",1*$D32,0))</f>
        <v>#REF!</v>
      </c>
      <c r="AD32" s="31" t="e">
        <f>IF($D32=0,0,IF(_xlfn.XLOOKUP($B32,'TH_MLG GRADE 10'!$B$7:$B$49,'TH_MLG GRADE 10'!#REF!,"",0,1)="P",1*$D32,0))</f>
        <v>#REF!</v>
      </c>
      <c r="AE32" s="31" t="e">
        <f>IF($D32=0,0,IF(_xlfn.XLOOKUP($B32,'TH_MLG GRADE 10'!$B$7:$B$49,'TH_MLG GRADE 10'!#REF!,"",0,1)="P",1*$D32,0))</f>
        <v>#REF!</v>
      </c>
      <c r="AF32" s="31" t="e">
        <f>IF($D32=0,0,IF(_xlfn.XLOOKUP($B32,'TH_MLG GRADE 10'!$B$7:$B$49,'TH_MLG GRADE 10'!#REF!,"",0,1)="P",1*$D32,0))</f>
        <v>#REF!</v>
      </c>
      <c r="AG32" s="31" t="e">
        <f>IF($D32=0,0,IF(_xlfn.XLOOKUP($B32,'TH_MLG GRADE 10'!$B$7:$B$49,'TH_MLG GRADE 10'!#REF!,"",0,1)="P",1*$D32,0))</f>
        <v>#REF!</v>
      </c>
      <c r="AH32" s="31" t="e">
        <f>IF($D32=0,0,IF(_xlfn.XLOOKUP($B32,'TH_MLG GRADE 10'!$B$7:$B$49,'TH_MLG GRADE 10'!#REF!,"",0,1)="P",1*$D32,0))</f>
        <v>#REF!</v>
      </c>
      <c r="AI32" s="32">
        <f>IF($D32=0,0,IF(_xlfn.XLOOKUP($B32,'TH_CMI GRADE 10'!$B$7:$B$49,'TH_CMI GRADE 10'!C$7:C$49,"",0,1)="P",1*$D32,0))</f>
        <v>0</v>
      </c>
      <c r="AJ32" s="32">
        <f>IF($D32=0,0,IF(_xlfn.XLOOKUP($B32,'TH_CMI GRADE 10'!$B$7:$B$49,'TH_CMI GRADE 10'!D$7:D$49,"",0,1)="P",1*$D32,0))</f>
        <v>0</v>
      </c>
      <c r="AK32" s="32">
        <f>IF($D32=0,0,IF(_xlfn.XLOOKUP($B32,'TH_CMI GRADE 10'!$B$7:$B$49,'TH_CMI GRADE 10'!H$7:H$49,"",0,1)="P",1*$D32,0))</f>
        <v>0</v>
      </c>
      <c r="AL32" s="32">
        <f>IF($D32=0,0,IF(_xlfn.XLOOKUP($B32,'TH_CMI GRADE 10'!$B$7:$B$49,'TH_CMI GRADE 10'!I$7:I$49,"",0,1)="P",1*$D32,0))</f>
        <v>0</v>
      </c>
      <c r="AM32" s="32">
        <f>IF($D32=0,0,IF(_xlfn.XLOOKUP($B32,'TH_CMI GRADE 10'!$B$7:$B$49,'TH_CMI GRADE 10'!J$7:J$49,"",0,1)="P",1*$D32,0))</f>
        <v>0</v>
      </c>
      <c r="AN32" s="32">
        <f>IF($D32=0,0,IF(_xlfn.XLOOKUP($B32,'TH_CMI GRADE 10'!$B$7:$B$49,'TH_CMI GRADE 10'!K$7:K$49,"",0,1)="P",1*$D32,0))</f>
        <v>0</v>
      </c>
      <c r="AO32" s="32">
        <f>IF($D32=0,0,IF(_xlfn.XLOOKUP($B32,'TH_CMI GRADE 10'!$B$7:$B$49,'TH_CMI GRADE 10'!O$7:O$49,"",0,1)="P",1*$D32,0))</f>
        <v>0</v>
      </c>
      <c r="AP32" s="32">
        <f>IF($D32=0,0,IF(_xlfn.XLOOKUP($B32,'TH_CMI GRADE 10'!$B$7:$B$49,'TH_CMI GRADE 10'!P$7:P$49,"",0,1)="P",1*$D32,0))</f>
        <v>0</v>
      </c>
      <c r="AQ32" s="32">
        <f>IF($D32=0,0,IF(_xlfn.XLOOKUP($B32,'TH_CMI GRADE 10'!$B$7:$B$49,'TH_CMI GRADE 10'!Q$7:Q$49,"",0,1)="P",1*$D32,0))</f>
        <v>0</v>
      </c>
      <c r="AR32" s="32">
        <f>IF($D32=0,0,IF(_xlfn.XLOOKUP($B32,'TH_CMI GRADE 10'!$B$7:$B$49,'TH_CMI GRADE 10'!U$7:U$49,"",0,1)="P",1*$D32,0))</f>
        <v>0</v>
      </c>
      <c r="AS32" s="32">
        <f>IF($D32=0,0,IF(_xlfn.XLOOKUP($B32,'TH_CMI GRADE 10'!$B$7:$B$49,'TH_CMI GRADE 10'!V$7:V$49,"",0,1)="P",1*$D32,0))</f>
        <v>0</v>
      </c>
      <c r="AT32" s="32">
        <f>IF($D32=0,0,IF(_xlfn.XLOOKUP($B32,'TH_CMI GRADE 10'!$B$7:$B$49,'TH_CMI GRADE 10'!W$7:W$49,"",0,1)="P",1*$D32,0))</f>
        <v>0</v>
      </c>
      <c r="AU32" s="32">
        <f>IF($D32=0,0,IF(_xlfn.XLOOKUP($B32,'TH_CMI GRADE 10'!$B$7:$B$49,'TH_CMI GRADE 10'!AA$7:AA$49,"",0,1)="P",1*$D32,0))</f>
        <v>1</v>
      </c>
      <c r="AV32" s="32">
        <f>IF($D32=0,0,IF(_xlfn.XLOOKUP($B32,'TH_CMI GRADE 10'!$B$7:$B$49,'TH_CMI GRADE 10'!AB$7:AB$49,"",0,1)="P",1*$D32,0))</f>
        <v>1</v>
      </c>
      <c r="AW32" s="32">
        <f>IF($D32=0,0,IF(_xlfn.XLOOKUP($B32,'TH_CMI GRADE 10'!$B$7:$B$49,'TH_CMI GRADE 10'!AC$7:AC$49,"",0,1)="P",1*$D32,0))</f>
        <v>1</v>
      </c>
      <c r="AX32" s="32">
        <f>IF($D32=0,0,IF(_xlfn.XLOOKUP($B32,'TH_CMI GRADE 10'!$B$7:$B$49,'TH_CMI GRADE 10'!AG$7:AG$49,"",0,1)="P",1*$D32,0))</f>
        <v>1</v>
      </c>
      <c r="AY32" s="32">
        <f>IF($D32=0,0,IF(_xlfn.XLOOKUP($B32,'TH_CMI GRADE 10'!$B$7:$B$49,'TH_CMI GRADE 10'!AH$7:AH$49,"",0,1)="P",1*$D32,0))</f>
        <v>1</v>
      </c>
      <c r="AZ32" s="32">
        <f>IF($D32=0,0,IF(_xlfn.XLOOKUP($B32,'TH_CMI GRADE 10'!$B$7:$B$49,'TH_CMI GRADE 10'!AI$7:AI$49,"",0,1)="P",1*$D32,0))</f>
        <v>1</v>
      </c>
      <c r="BA32" s="31">
        <f>IF($C32=0,0,IF(_xlfn.XLOOKUP($B32,'PW_MLG GRADE 10'!$B$7:$B$31,'PW_MLG GRADE 10'!#REF!,"",0,1)="P",1*$C32,0))</f>
        <v>0</v>
      </c>
      <c r="BB32" s="31">
        <f>IF($C32=0,0,IF(_xlfn.XLOOKUP($B32,'PW_MLG GRADE 10'!$B$7:$B$31,'PW_MLG GRADE 10'!#REF!,"",0,1)="P",1*$C32,0))</f>
        <v>0</v>
      </c>
      <c r="BC32" s="31">
        <f>IF($C32=0,0,IF(_xlfn.XLOOKUP($B32,'PW_MLG GRADE 10'!$B$7:$B$31,'PW_MLG GRADE 10'!#REF!,"",0,1)="P",1*$C32,0))</f>
        <v>0</v>
      </c>
      <c r="BD32" s="31">
        <f>IF($C32=0,0,IF(_xlfn.XLOOKUP($B32,'PW_MLG GRADE 10'!$B$7:$B$31,'PW_MLG GRADE 10'!#REF!,"",0,1)="P",1*$C32,0))</f>
        <v>0</v>
      </c>
      <c r="BE32" s="31">
        <f>IF($C32=0,0,IF(_xlfn.XLOOKUP($B32,'PW_MLG GRADE 10'!$B$7:$B$31,'PW_MLG GRADE 10'!#REF!,"",0,1)="P",1*$C32,0))</f>
        <v>0</v>
      </c>
      <c r="BF32" s="31">
        <f>IF($C32=0,0,IF(_xlfn.XLOOKUP($B32,'PW_MLG GRADE 10'!$B$7:$B$31,'PW_MLG GRADE 10'!#REF!,"",0,1)="P",1*$C32,0))</f>
        <v>0</v>
      </c>
      <c r="BG32" s="31">
        <f>IF($C32=0,0,IF(_xlfn.XLOOKUP($B32,'PW_MLG GRADE 10'!$B$7:$B$31,'PW_MLG GRADE 10'!#REF!,"",0,1)="P",1*$C32,0))</f>
        <v>0</v>
      </c>
      <c r="BH32" s="31">
        <f>IF($C32=0,0,IF(_xlfn.XLOOKUP($B32,'PW_MLG GRADE 10'!$B$7:$B$31,'PW_MLG GRADE 10'!#REF!,"",0,1)="P",1*$C32,0))</f>
        <v>0</v>
      </c>
      <c r="BI32" s="31">
        <f>IF($C32=0,0,IF(_xlfn.XLOOKUP($B32,'PW_MLG GRADE 10'!$B$7:$B$31,'PW_MLG GRADE 10'!#REF!,"",0,1)="P",1*$C32,0))</f>
        <v>0</v>
      </c>
      <c r="BJ32" s="31">
        <f>IF($C32=0,0,IF(_xlfn.XLOOKUP($B32,'PW_MLG GRADE 10'!$B$7:$B$31,'PW_MLG GRADE 10'!#REF!,"",0,1)="P",1*$C32,0))</f>
        <v>0</v>
      </c>
      <c r="BK32" s="31">
        <f>IF($C32=0,0,IF(_xlfn.XLOOKUP($B32,'PW_MLG GRADE 10'!$B$7:$B$31,'PW_MLG GRADE 10'!#REF!,"",0,1)="P",1*$C32,0))</f>
        <v>0</v>
      </c>
      <c r="BL32" s="31">
        <f>IF($C32=0,0,IF(_xlfn.XLOOKUP($B32,'PW_MLG GRADE 10'!$B$7:$B$31,'PW_MLG GRADE 10'!#REF!,"",0,1)="P",1*$C32,0))</f>
        <v>0</v>
      </c>
      <c r="BM32" s="31">
        <f>IF($C32=0,0,IF(_xlfn.XLOOKUP($B32,'PW_MLG GRADE 10'!$B$7:$B$31,'PW_MLG GRADE 10'!#REF!,"",0,1)="P",1*$C32,0))</f>
        <v>0</v>
      </c>
      <c r="BN32" s="31">
        <f>IF($C32=0,0,IF(_xlfn.XLOOKUP($B32,'PW_MLG GRADE 10'!$B$7:$B$31,'PW_MLG GRADE 10'!#REF!,"",0,1)="P",1*$C32,0))</f>
        <v>0</v>
      </c>
      <c r="BO32" s="31">
        <f>IF($C32=0,0,IF(_xlfn.XLOOKUP($B32,'PW_MLG GRADE 10'!$B$7:$B$31,'PW_MLG GRADE 10'!#REF!,"",0,1)="P",1*$C32,0))</f>
        <v>0</v>
      </c>
      <c r="BP32" s="31">
        <f>IF($C32=0,0,IF(_xlfn.XLOOKUP($B32,'PW_MLG GRADE 10'!$B$7:$B$31,'PW_MLG GRADE 10'!#REF!,"",0,1)="P",1*$C32,0))</f>
        <v>0</v>
      </c>
      <c r="BQ32" s="31">
        <f>IF($C32=0,0,IF(_xlfn.XLOOKUP($B32,'PW_MLG GRADE 10'!$B$7:$B$31,'PW_MLG GRADE 10'!#REF!,"",0,1)="P",1*$C32,0))</f>
        <v>0</v>
      </c>
      <c r="BR32" s="31">
        <f>IF($C32=0,0,IF(_xlfn.XLOOKUP($B32,'PW_MLG GRADE 10'!$B$7:$B$31,'PW_MLG GRADE 10'!#REF!,"",0,1)="P",1*$C32,0))</f>
        <v>0</v>
      </c>
      <c r="BS32" s="31">
        <f>IF($C32=0,0,IF(_xlfn.XLOOKUP($B32,'PW_MLG GRADE 10'!$B$7:$B$31,'PW_MLG GRADE 10'!#REF!,"",0,1)="P",1*$C32,0))</f>
        <v>0</v>
      </c>
      <c r="BT32" s="31">
        <f>IF($C32=0,0,IF(_xlfn.XLOOKUP($B32,'PW_MLG GRADE 10'!$B$7:$B$31,'PW_MLG GRADE 10'!#REF!,"",0,1)="P",1*$C32,0))</f>
        <v>0</v>
      </c>
      <c r="BU32" s="31">
        <f>IF($C32=0,0,IF(_xlfn.XLOOKUP($B32,'PW_MLG GRADE 10'!$B$7:$B$31,'PW_MLG GRADE 10'!#REF!,"",0,1)="P",1*$C32,0))</f>
        <v>0</v>
      </c>
      <c r="BV32" s="31">
        <f>IF($C32=0,0,IF(_xlfn.XLOOKUP($B32,'PW_MLG GRADE 10'!$B$7:$B$31,'PW_MLG GRADE 10'!#REF!,"",0,1)="P",1*$C32,0))</f>
        <v>0</v>
      </c>
      <c r="BW32" s="31">
        <f>IF($C32=0,0,IF(_xlfn.XLOOKUP($B32,'PW_MLG GRADE 10'!$B$7:$B$31,'PW_MLG GRADE 10'!#REF!,"",0,1)="P",1*$C32,0))</f>
        <v>0</v>
      </c>
      <c r="BX32" s="31">
        <f>IF($C32=0,0,IF(_xlfn.XLOOKUP($B32,'PW_MLG GRADE 10'!$B$7:$B$31,'PW_MLG GRADE 10'!#REF!,"",0,1)="P",1*$C32,0))</f>
        <v>0</v>
      </c>
      <c r="BY32" s="31">
        <f>IF($C32=0,0,IF(_xlfn.XLOOKUP($B32,'PW_MLG GRADE 10'!$B$7:$B$31,'PW_MLG GRADE 10'!#REF!,"",0,1)="P",1*$C32,0))</f>
        <v>0</v>
      </c>
      <c r="BZ32" s="31">
        <f>IF($C32=0,0,IF(_xlfn.XLOOKUP($B32,'PW_MLG GRADE 10'!$B$7:$B$31,'PW_MLG GRADE 10'!#REF!,"",0,1)="P",1*$C32,0))</f>
        <v>0</v>
      </c>
      <c r="CA32" s="31">
        <f>IF($C32=0,0,IF(_xlfn.XLOOKUP($B32,'PW_MLG GRADE 10'!$B$7:$B$31,'PW_MLG GRADE 10'!#REF!,"",0,1)="P",1*$C32,0))</f>
        <v>0</v>
      </c>
      <c r="CB32" s="31">
        <f>IF($C32=0,0,IF(_xlfn.XLOOKUP($B32,'PW_MLG GRADE 10'!$B$7:$B$31,'PW_MLG GRADE 10'!#REF!,"",0,1)="P",1*$C32,0))</f>
        <v>0</v>
      </c>
      <c r="CC32" s="31">
        <f>IF($C32=0,0,IF(_xlfn.XLOOKUP($B32,'PW_MLG GRADE 10'!$B$7:$B$31,'PW_MLG GRADE 10'!#REF!,"",0,1)="P",1*$C32,0))</f>
        <v>0</v>
      </c>
      <c r="CD32" s="31">
        <f>IF($C32=0,0,IF(_xlfn.XLOOKUP($B32,'PW_MLG GRADE 10'!$B$7:$B$31,'PW_MLG GRADE 10'!#REF!,"",0,1)="P",1*$C32,0))</f>
        <v>0</v>
      </c>
      <c r="CE32" s="32">
        <f>IF($C32=0,0,IF(_xlfn.XLOOKUP($B32,'PW_CMI GRADE 10'!$B$7:$B$31,'PW_CMI GRADE 10'!C$7:C$31,"",0,1)="P",1*$C32,0))</f>
        <v>0</v>
      </c>
      <c r="CF32" s="32">
        <f>IF($C32=0,0,IF(_xlfn.XLOOKUP($B32,'PW_CMI GRADE 10'!$B$7:$B$31,'PW_CMI GRADE 10'!D$7:D$31,"",0,1)="P",1*$C32,0))</f>
        <v>0</v>
      </c>
      <c r="CG32" s="32">
        <f>IF($C32=0,0,IF(_xlfn.XLOOKUP($B32,'PW_CMI GRADE 10'!$B$7:$B$31,'PW_CMI GRADE 10'!E$7:E$31,"",0,1)="P",1*$C32,0))</f>
        <v>0</v>
      </c>
      <c r="CH32" s="32">
        <f>IF($C32=0,0,IF(_xlfn.XLOOKUP($B32,'PW_CMI GRADE 10'!$B$7:$B$31,'PW_CMI GRADE 10'!F$7:F$31,"",0,1)="P",1*$C32,0))</f>
        <v>0</v>
      </c>
      <c r="CI32" s="32">
        <f>IF($C32=0,0,IF(_xlfn.XLOOKUP($B32,'PW_CMI GRADE 10'!$B$7:$B$31,'PW_CMI GRADE 10'!G$7:G$31,"",0,1)="P",1*$C32,0))</f>
        <v>0</v>
      </c>
      <c r="CJ32" s="32">
        <f>IF($C32=0,0,IF(_xlfn.XLOOKUP($B32,'PW_CMI GRADE 10'!$B$7:$B$31,'PW_CMI GRADE 10'!H$7:H$31,"",0,1)="P",1*$C32,0))</f>
        <v>0</v>
      </c>
      <c r="CK32" s="32">
        <f>IF($C32=0,0,IF(_xlfn.XLOOKUP($B32,'PW_CMI GRADE 10'!$B$7:$B$31,'PW_CMI GRADE 10'!I$7:I$31,"",0,1)="P",1*$C32,0))</f>
        <v>0</v>
      </c>
      <c r="CL32" s="32">
        <f>IF($C32=0,0,IF(_xlfn.XLOOKUP($B32,'PW_CMI GRADE 10'!$B$7:$B$31,'PW_CMI GRADE 10'!J$7:J$31,"",0,1)="P",1*$C32,0))</f>
        <v>0</v>
      </c>
      <c r="CM32" s="32">
        <f>IF($C32=0,0,IF(_xlfn.XLOOKUP($B32,'PW_CMI GRADE 10'!$B$7:$B$31,'PW_CMI GRADE 10'!K$7:K$31,"",0,1)="P",1*$C32,0))</f>
        <v>0</v>
      </c>
      <c r="CN32" s="32">
        <f>IF($C32=0,0,IF(_xlfn.XLOOKUP($B32,'PW_CMI GRADE 10'!$B$7:$B$31,'PW_CMI GRADE 10'!L$7:L$31,"",0,1)="P",1*$C32,0))</f>
        <v>0</v>
      </c>
      <c r="CO32" s="32">
        <f>IF($C32=0,0,IF(_xlfn.XLOOKUP($B32,'PW_CMI GRADE 10'!$B$7:$B$31,'PW_CMI GRADE 10'!M$7:M$31,"",0,1)="P",1*$C32,0))</f>
        <v>0</v>
      </c>
      <c r="CP32" s="32">
        <f>IF($C32=0,0,IF(_xlfn.XLOOKUP($B32,'PW_CMI GRADE 10'!$B$7:$B$31,'PW_CMI GRADE 10'!N$7:N$31,"",0,1)="P",1*$C32,0))</f>
        <v>0</v>
      </c>
      <c r="CQ32" s="32">
        <f>IF($C32=0,0,IF(_xlfn.XLOOKUP($B32,'PW_CMI GRADE 10'!$B$7:$B$31,'PW_CMI GRADE 10'!O$7:O$31,"",0,1)="P",1*$C32,0))</f>
        <v>0</v>
      </c>
      <c r="CR32" s="32">
        <f>IF($C32=0,0,IF(_xlfn.XLOOKUP($B32,'PW_CMI GRADE 10'!$B$7:$B$31,'PW_CMI GRADE 10'!P$7:P$31,"",0,1)="P",1*$C32,0))</f>
        <v>0</v>
      </c>
      <c r="CS32" s="32">
        <f>IF($C32=0,0,IF(_xlfn.XLOOKUP($B32,'PW_CMI GRADE 10'!$B$7:$B$31,'PW_CMI GRADE 10'!Q$7:Q$31,"",0,1)="P",1*$C32,0))</f>
        <v>0</v>
      </c>
      <c r="CT32" s="32">
        <f>IF($C32=0,0,IF(_xlfn.XLOOKUP($B32,'PW_CMI GRADE 10'!$B$7:$B$31,'PW_CMI GRADE 10'!R$7:R$31,"",0,1)="P",1*$C32,0))</f>
        <v>0</v>
      </c>
      <c r="CU32" s="32">
        <f>IF($C32=0,0,IF(_xlfn.XLOOKUP($B32,'PW_CMI GRADE 10'!$B$7:$B$31,'PW_CMI GRADE 10'!S$7:S$31,"",0,1)="P",1*$C32,0))</f>
        <v>0</v>
      </c>
      <c r="CV32" s="32">
        <f>IF($C32=0,0,IF(_xlfn.XLOOKUP($B32,'PW_CMI GRADE 10'!$B$7:$B$31,'PW_CMI GRADE 10'!T$7:T$31,"",0,1)="P",1*$C32,0))</f>
        <v>0</v>
      </c>
      <c r="CW32" s="62">
        <f t="shared" si="19"/>
        <v>0</v>
      </c>
      <c r="CX32" s="62">
        <f t="shared" si="20"/>
        <v>0</v>
      </c>
      <c r="CY32" s="62">
        <f t="shared" si="21"/>
        <v>0</v>
      </c>
      <c r="CZ32" s="62">
        <f t="shared" si="22"/>
        <v>0</v>
      </c>
      <c r="DA32" s="62">
        <f t="shared" si="23"/>
        <v>0</v>
      </c>
      <c r="DB32" s="62">
        <f t="shared" si="24"/>
        <v>0</v>
      </c>
      <c r="DC32" s="62">
        <f t="shared" si="25"/>
        <v>0</v>
      </c>
      <c r="DD32" s="62">
        <f t="shared" si="26"/>
        <v>0</v>
      </c>
      <c r="DE32" s="62">
        <f t="shared" si="27"/>
        <v>0</v>
      </c>
      <c r="DF32" s="62">
        <f t="shared" si="28"/>
        <v>0</v>
      </c>
      <c r="DG32" s="62">
        <f t="shared" si="29"/>
        <v>0.33333333333333331</v>
      </c>
      <c r="DH32" s="62">
        <f t="shared" si="30"/>
        <v>0.66666666666666663</v>
      </c>
      <c r="DI32" s="62">
        <f t="shared" si="31"/>
        <v>1</v>
      </c>
      <c r="DJ32" s="62">
        <f t="shared" si="32"/>
        <v>0.66666666666666663</v>
      </c>
      <c r="DK32" s="62">
        <f t="shared" si="33"/>
        <v>0.33333333333333331</v>
      </c>
      <c r="DL32" s="62">
        <f t="shared" si="34"/>
        <v>0</v>
      </c>
      <c r="DM32" s="62">
        <f t="shared" si="35"/>
        <v>0</v>
      </c>
      <c r="DN32" s="62">
        <f t="shared" si="36"/>
        <v>0</v>
      </c>
      <c r="DO32" s="62">
        <f t="shared" si="37"/>
        <v>0</v>
      </c>
      <c r="DP32" s="62">
        <f t="shared" si="38"/>
        <v>0</v>
      </c>
      <c r="DQ32" s="62">
        <f t="shared" si="39"/>
        <v>0</v>
      </c>
      <c r="DR32" s="62">
        <f t="shared" si="40"/>
        <v>0</v>
      </c>
      <c r="DS32" s="62" t="e">
        <f t="shared" si="41"/>
        <v>#REF!</v>
      </c>
      <c r="DT32" s="62" t="e">
        <f t="shared" si="42"/>
        <v>#REF!</v>
      </c>
      <c r="DU32" s="62" t="e">
        <f t="shared" si="43"/>
        <v>#REF!</v>
      </c>
      <c r="DV32" s="62" t="e">
        <f t="shared" si="44"/>
        <v>#REF!</v>
      </c>
      <c r="DW32" s="62" t="e">
        <f t="shared" si="45"/>
        <v>#REF!</v>
      </c>
      <c r="DX32" s="62" t="e">
        <f t="shared" si="46"/>
        <v>#REF!</v>
      </c>
      <c r="DY32" s="62" t="e">
        <f t="shared" si="47"/>
        <v>#REF!</v>
      </c>
      <c r="DZ32" s="62" t="e">
        <f t="shared" si="48"/>
        <v>#REF!</v>
      </c>
      <c r="EA32" s="63">
        <f t="shared" si="68"/>
        <v>0</v>
      </c>
      <c r="EB32" s="63">
        <f t="shared" si="2"/>
        <v>0</v>
      </c>
      <c r="EC32" s="63">
        <f t="shared" si="3"/>
        <v>0</v>
      </c>
      <c r="ED32" s="63">
        <f t="shared" si="4"/>
        <v>0</v>
      </c>
      <c r="EE32" s="63">
        <f t="shared" si="5"/>
        <v>0</v>
      </c>
      <c r="EF32" s="63">
        <f t="shared" si="6"/>
        <v>0</v>
      </c>
      <c r="EG32" s="63">
        <f t="shared" si="7"/>
        <v>0</v>
      </c>
      <c r="EH32" s="63">
        <f t="shared" si="8"/>
        <v>0</v>
      </c>
      <c r="EI32" s="63">
        <f t="shared" si="9"/>
        <v>0</v>
      </c>
      <c r="EJ32" s="63">
        <f t="shared" si="10"/>
        <v>0</v>
      </c>
      <c r="EK32" s="63">
        <f t="shared" si="11"/>
        <v>0.33333333333333331</v>
      </c>
      <c r="EL32" s="63">
        <f t="shared" si="12"/>
        <v>0.66666666666666663</v>
      </c>
      <c r="EM32" s="63">
        <f t="shared" si="13"/>
        <v>1</v>
      </c>
      <c r="EN32" s="63">
        <f t="shared" si="14"/>
        <v>1</v>
      </c>
      <c r="EO32" s="63">
        <f t="shared" si="15"/>
        <v>1</v>
      </c>
      <c r="EP32" s="63">
        <f t="shared" si="16"/>
        <v>1</v>
      </c>
      <c r="FU32" s="51">
        <v>46692</v>
      </c>
      <c r="FV32" t="s">
        <v>22</v>
      </c>
      <c r="FW32" t="s">
        <v>22</v>
      </c>
      <c r="FX32" t="s">
        <v>22</v>
      </c>
      <c r="FY32" t="s">
        <v>22</v>
      </c>
      <c r="FZ32" t="s">
        <v>22</v>
      </c>
      <c r="GA32" t="s">
        <v>22</v>
      </c>
      <c r="GB32" t="s">
        <v>22</v>
      </c>
      <c r="GC32" t="s">
        <v>22</v>
      </c>
      <c r="GD32" t="s">
        <v>22</v>
      </c>
      <c r="GE32" t="s">
        <v>22</v>
      </c>
      <c r="GF32" t="s">
        <v>22</v>
      </c>
      <c r="GG32" t="s">
        <v>22</v>
      </c>
      <c r="GH32" t="s">
        <v>22</v>
      </c>
      <c r="GI32" t="s">
        <v>22</v>
      </c>
      <c r="GJ32" t="s">
        <v>22</v>
      </c>
      <c r="GK32" t="s">
        <v>22</v>
      </c>
      <c r="GL32" t="s">
        <v>22</v>
      </c>
      <c r="GM32" t="s">
        <v>22</v>
      </c>
      <c r="GN32" t="s">
        <v>22</v>
      </c>
      <c r="GO32" t="s">
        <v>22</v>
      </c>
      <c r="GP32" t="s">
        <v>22</v>
      </c>
      <c r="GQ32" t="s">
        <v>22</v>
      </c>
      <c r="GR32" t="s">
        <v>22</v>
      </c>
      <c r="GS32" t="s">
        <v>22</v>
      </c>
      <c r="GT32" t="s">
        <v>22</v>
      </c>
      <c r="GU32" t="s">
        <v>22</v>
      </c>
      <c r="GV32" t="s">
        <v>22</v>
      </c>
      <c r="GW32" t="s">
        <v>22</v>
      </c>
      <c r="GX32" t="s">
        <v>22</v>
      </c>
      <c r="GY32" t="s">
        <v>22</v>
      </c>
      <c r="GZ32" t="s">
        <v>22</v>
      </c>
      <c r="HA32" t="s">
        <v>22</v>
      </c>
      <c r="HB32" t="s">
        <v>22</v>
      </c>
      <c r="HC32" t="s">
        <v>22</v>
      </c>
      <c r="HD32" t="s">
        <v>22</v>
      </c>
      <c r="HE32" t="s">
        <v>22</v>
      </c>
      <c r="HF32" t="s">
        <v>22</v>
      </c>
      <c r="HG32" t="s">
        <v>22</v>
      </c>
      <c r="HH32" t="s">
        <v>22</v>
      </c>
      <c r="HI32" t="s">
        <v>22</v>
      </c>
      <c r="HJ32" t="s">
        <v>22</v>
      </c>
      <c r="HK32" t="s">
        <v>22</v>
      </c>
      <c r="HL32" t="s">
        <v>22</v>
      </c>
      <c r="HM32" t="s">
        <v>22</v>
      </c>
      <c r="HN32" t="s">
        <v>22</v>
      </c>
      <c r="HO32" cm="1">
        <f t="array" ref="HO32">SUMPRODUCT(--(FV32:HN32&lt;&gt;""))</f>
        <v>0</v>
      </c>
    </row>
    <row r="33" spans="1:223">
      <c r="A33" t="str">
        <f t="shared" si="18"/>
        <v>4A.3</v>
      </c>
      <c r="B33" t="s">
        <v>64</v>
      </c>
      <c r="C33" s="27">
        <v>3</v>
      </c>
      <c r="D33" s="27">
        <v>1</v>
      </c>
      <c r="E33" s="31">
        <f>IF($D33=0,0,IF(_xlfn.XLOOKUP($B33,'TH_MLG GRADE 10'!$B$7:$B$49,'TH_MLG GRADE 10'!C$7:C$49,"",0,1)="P",1*$D33,0))</f>
        <v>0</v>
      </c>
      <c r="F33" s="31">
        <f>IF($D33=0,0,IF(_xlfn.XLOOKUP($B33,'TH_MLG GRADE 10'!$B$7:$B$49,'TH_MLG GRADE 10'!D$7:D$49,"",0,1)="P",1*$D33,0))</f>
        <v>0</v>
      </c>
      <c r="G33" s="31">
        <f>IF($D33=0,0,IF(_xlfn.XLOOKUP($B33,'TH_MLG GRADE 10'!$B$7:$B$49,'TH_MLG GRADE 10'!E$7:E$49,"",0,1)="P",1*$D33,0))</f>
        <v>0</v>
      </c>
      <c r="H33" s="31">
        <f>IF($D33=0,0,IF(_xlfn.XLOOKUP($B33,'TH_MLG GRADE 10'!$B$7:$B$49,'TH_MLG GRADE 10'!I$7:I$49,"",0,1)="P",1*$D33,0))</f>
        <v>0</v>
      </c>
      <c r="I33" s="31">
        <f>IF($D33=0,0,IF(_xlfn.XLOOKUP($B33,'TH_MLG GRADE 10'!$B$7:$B$49,'TH_MLG GRADE 10'!J$7:J$49,"",0,1)="P",1*$D33,0))</f>
        <v>0</v>
      </c>
      <c r="J33" s="31">
        <f>IF($D33=0,0,IF(_xlfn.XLOOKUP($B33,'TH_MLG GRADE 10'!$B$7:$B$49,'TH_MLG GRADE 10'!K$7:K$49,"",0,1)="P",1*$D33,0))</f>
        <v>0</v>
      </c>
      <c r="K33" s="31">
        <f>IF($D33=0,0,IF(_xlfn.XLOOKUP($B33,'TH_MLG GRADE 10'!$B$7:$B$49,'TH_MLG GRADE 10'!O$7:O$49,"",0,1)="P",1*$D33,0))</f>
        <v>0</v>
      </c>
      <c r="L33" s="31">
        <f>IF($D33=0,0,IF(_xlfn.XLOOKUP($B33,'TH_MLG GRADE 10'!$B$7:$B$49,'TH_MLG GRADE 10'!P$7:P$49,"",0,1)="P",1*$D33,0))</f>
        <v>0</v>
      </c>
      <c r="M33" s="31">
        <f>IF($D33=0,0,IF(_xlfn.XLOOKUP($B33,'TH_MLG GRADE 10'!$B$7:$B$49,'TH_MLG GRADE 10'!Q$7:Q$49,"",0,1)="P",1*$D33,0))</f>
        <v>0</v>
      </c>
      <c r="N33" s="31">
        <f>IF($D33=0,0,IF(_xlfn.XLOOKUP($B33,'TH_MLG GRADE 10'!$B$7:$B$49,'TH_MLG GRADE 10'!AA$7:AA$49,"",0,1)="P",1*$D33,0))</f>
        <v>0</v>
      </c>
      <c r="O33" s="31">
        <f>IF($D33=0,0,IF(_xlfn.XLOOKUP($B33,'TH_MLG GRADE 10'!$B$7:$B$49,'TH_MLG GRADE 10'!AB$7:AB$49,"",0,1)="P",1*$D33,0))</f>
        <v>0</v>
      </c>
      <c r="P33" s="31">
        <f>IF($D33=0,0,IF(_xlfn.XLOOKUP($B33,'TH_MLG GRADE 10'!$B$7:$B$49,'TH_MLG GRADE 10'!AC$7:AC$49,"",0,1)="P",1*$D33,0))</f>
        <v>0</v>
      </c>
      <c r="Q33" s="31">
        <f>IF($D33=0,0,IF(_xlfn.XLOOKUP($B33,'TH_MLG GRADE 10'!$B$7:$B$49,'TH_MLG GRADE 10'!AG$7:AG$49,"",0,1)="P",1*$D33,0))</f>
        <v>1</v>
      </c>
      <c r="R33" s="31">
        <f>IF($D33=0,0,IF(_xlfn.XLOOKUP($B33,'TH_MLG GRADE 10'!$B$7:$B$49,'TH_MLG GRADE 10'!AH$7:AH$49,"",0,1)="P",1*$D33,0))</f>
        <v>1</v>
      </c>
      <c r="S33" s="31">
        <f>IF($D33=0,0,IF(_xlfn.XLOOKUP($B33,'TH_MLG GRADE 10'!$B$7:$B$49,'TH_MLG GRADE 10'!AI$7:AI$49,"",0,1)="P",1*$D33,0))</f>
        <v>1</v>
      </c>
      <c r="T33" s="31">
        <f>IF($D33=0,0,IF(_xlfn.XLOOKUP($B33,'TH_MLG GRADE 10'!$B$7:$B$49,'TH_MLG GRADE 10'!AM$7:AM$49,"",0,1)="P",1*$D33,0))</f>
        <v>0</v>
      </c>
      <c r="U33" s="31">
        <f>IF($D33=0,0,IF(_xlfn.XLOOKUP($B33,'TH_MLG GRADE 10'!$B$7:$B$49,'TH_MLG GRADE 10'!AN$7:AN$49,"",0,1)="P",1*$D33,0))</f>
        <v>0</v>
      </c>
      <c r="V33" s="31">
        <f>IF($D33=0,0,IF(_xlfn.XLOOKUP($B33,'TH_MLG GRADE 10'!$B$7:$B$49,'TH_MLG GRADE 10'!AO$7:AO$49,"",0,1)="P",1*$D33,0))</f>
        <v>0</v>
      </c>
      <c r="W33" s="31">
        <f>IF($D33=0,0,IF(_xlfn.XLOOKUP($B33,'TH_MLG GRADE 10'!$B$7:$B$49,'TH_MLG GRADE 10'!AY$7:AY$49,"",0,1)="P",1*$D33,0))</f>
        <v>0</v>
      </c>
      <c r="X33" s="31">
        <f>IF($D33=0,0,IF(_xlfn.XLOOKUP($B33,'TH_MLG GRADE 10'!$B$7:$B$49,'TH_MLG GRADE 10'!AZ$7:AZ$49,"",0,1)="P",1*$D33,0))</f>
        <v>0</v>
      </c>
      <c r="Y33" s="31">
        <f>IF($D33=0,0,IF(_xlfn.XLOOKUP($B33,'TH_MLG GRADE 10'!$B$7:$B$49,'TH_MLG GRADE 10'!BA$7:BA$49,"",0,1)="P",1*$D33,0))</f>
        <v>0</v>
      </c>
      <c r="Z33" s="31">
        <f>IF($D33=0,0,IF(_xlfn.XLOOKUP($B33,'TH_MLG GRADE 10'!$B$7:$B$49,'TH_MLG GRADE 10'!BE$7:BE$49,"",0,1)="P",1*$D33,0))</f>
        <v>0</v>
      </c>
      <c r="AA33" s="31">
        <f>IF($D33=0,0,IF(_xlfn.XLOOKUP($B33,'TH_MLG GRADE 10'!$B$7:$B$49,'TH_MLG GRADE 10'!BF$7:BF$49,"",0,1)="P",1*$D33,0))</f>
        <v>0</v>
      </c>
      <c r="AB33" s="31">
        <f>IF($D33=0,0,IF(_xlfn.XLOOKUP($B33,'TH_MLG GRADE 10'!$B$7:$B$49,'TH_MLG GRADE 10'!BG$7:BG$49,"",0,1)="P",1*$D33,0))</f>
        <v>0</v>
      </c>
      <c r="AC33" s="31" t="e">
        <f>IF($D33=0,0,IF(_xlfn.XLOOKUP($B33,'TH_MLG GRADE 10'!$B$7:$B$49,'TH_MLG GRADE 10'!#REF!,"",0,1)="P",1*$D33,0))</f>
        <v>#REF!</v>
      </c>
      <c r="AD33" s="31" t="e">
        <f>IF($D33=0,0,IF(_xlfn.XLOOKUP($B33,'TH_MLG GRADE 10'!$B$7:$B$49,'TH_MLG GRADE 10'!#REF!,"",0,1)="P",1*$D33,0))</f>
        <v>#REF!</v>
      </c>
      <c r="AE33" s="31" t="e">
        <f>IF($D33=0,0,IF(_xlfn.XLOOKUP($B33,'TH_MLG GRADE 10'!$B$7:$B$49,'TH_MLG GRADE 10'!#REF!,"",0,1)="P",1*$D33,0))</f>
        <v>#REF!</v>
      </c>
      <c r="AF33" s="31" t="e">
        <f>IF($D33=0,0,IF(_xlfn.XLOOKUP($B33,'TH_MLG GRADE 10'!$B$7:$B$49,'TH_MLG GRADE 10'!#REF!,"",0,1)="P",1*$D33,0))</f>
        <v>#REF!</v>
      </c>
      <c r="AG33" s="31" t="e">
        <f>IF($D33=0,0,IF(_xlfn.XLOOKUP($B33,'TH_MLG GRADE 10'!$B$7:$B$49,'TH_MLG GRADE 10'!#REF!,"",0,1)="P",1*$D33,0))</f>
        <v>#REF!</v>
      </c>
      <c r="AH33" s="31" t="e">
        <f>IF($D33=0,0,IF(_xlfn.XLOOKUP($B33,'TH_MLG GRADE 10'!$B$7:$B$49,'TH_MLG GRADE 10'!#REF!,"",0,1)="P",1*$D33,0))</f>
        <v>#REF!</v>
      </c>
      <c r="AI33" s="32">
        <f>IF($D33=0,0,IF(_xlfn.XLOOKUP($B33,'TH_CMI GRADE 10'!$B$7:$B$49,'TH_CMI GRADE 10'!C$7:C$49,"",0,1)="P",1*$D33,0))</f>
        <v>0</v>
      </c>
      <c r="AJ33" s="32">
        <f>IF($D33=0,0,IF(_xlfn.XLOOKUP($B33,'TH_CMI GRADE 10'!$B$7:$B$49,'TH_CMI GRADE 10'!D$7:D$49,"",0,1)="P",1*$D33,0))</f>
        <v>0</v>
      </c>
      <c r="AK33" s="32">
        <f>IF($D33=0,0,IF(_xlfn.XLOOKUP($B33,'TH_CMI GRADE 10'!$B$7:$B$49,'TH_CMI GRADE 10'!H$7:H$49,"",0,1)="P",1*$D33,0))</f>
        <v>0</v>
      </c>
      <c r="AL33" s="32">
        <f>IF($D33=0,0,IF(_xlfn.XLOOKUP($B33,'TH_CMI GRADE 10'!$B$7:$B$49,'TH_CMI GRADE 10'!I$7:I$49,"",0,1)="P",1*$D33,0))</f>
        <v>0</v>
      </c>
      <c r="AM33" s="32">
        <f>IF($D33=0,0,IF(_xlfn.XLOOKUP($B33,'TH_CMI GRADE 10'!$B$7:$B$49,'TH_CMI GRADE 10'!J$7:J$49,"",0,1)="P",1*$D33,0))</f>
        <v>0</v>
      </c>
      <c r="AN33" s="32">
        <f>IF($D33=0,0,IF(_xlfn.XLOOKUP($B33,'TH_CMI GRADE 10'!$B$7:$B$49,'TH_CMI GRADE 10'!K$7:K$49,"",0,1)="P",1*$D33,0))</f>
        <v>0</v>
      </c>
      <c r="AO33" s="32">
        <f>IF($D33=0,0,IF(_xlfn.XLOOKUP($B33,'TH_CMI GRADE 10'!$B$7:$B$49,'TH_CMI GRADE 10'!O$7:O$49,"",0,1)="P",1*$D33,0))</f>
        <v>0</v>
      </c>
      <c r="AP33" s="32">
        <f>IF($D33=0,0,IF(_xlfn.XLOOKUP($B33,'TH_CMI GRADE 10'!$B$7:$B$49,'TH_CMI GRADE 10'!P$7:P$49,"",0,1)="P",1*$D33,0))</f>
        <v>0</v>
      </c>
      <c r="AQ33" s="32">
        <f>IF($D33=0,0,IF(_xlfn.XLOOKUP($B33,'TH_CMI GRADE 10'!$B$7:$B$49,'TH_CMI GRADE 10'!Q$7:Q$49,"",0,1)="P",1*$D33,0))</f>
        <v>0</v>
      </c>
      <c r="AR33" s="32">
        <f>IF($D33=0,0,IF(_xlfn.XLOOKUP($B33,'TH_CMI GRADE 10'!$B$7:$B$49,'TH_CMI GRADE 10'!U$7:U$49,"",0,1)="P",1*$D33,0))</f>
        <v>0</v>
      </c>
      <c r="AS33" s="32">
        <f>IF($D33=0,0,IF(_xlfn.XLOOKUP($B33,'TH_CMI GRADE 10'!$B$7:$B$49,'TH_CMI GRADE 10'!V$7:V$49,"",0,1)="P",1*$D33,0))</f>
        <v>0</v>
      </c>
      <c r="AT33" s="32">
        <f>IF($D33=0,0,IF(_xlfn.XLOOKUP($B33,'TH_CMI GRADE 10'!$B$7:$B$49,'TH_CMI GRADE 10'!W$7:W$49,"",0,1)="P",1*$D33,0))</f>
        <v>0</v>
      </c>
      <c r="AU33" s="32">
        <f>IF($D33=0,0,IF(_xlfn.XLOOKUP($B33,'TH_CMI GRADE 10'!$B$7:$B$49,'TH_CMI GRADE 10'!AA$7:AA$49,"",0,1)="P",1*$D33,0))</f>
        <v>1</v>
      </c>
      <c r="AV33" s="32">
        <f>IF($D33=0,0,IF(_xlfn.XLOOKUP($B33,'TH_CMI GRADE 10'!$B$7:$B$49,'TH_CMI GRADE 10'!AB$7:AB$49,"",0,1)="P",1*$D33,0))</f>
        <v>1</v>
      </c>
      <c r="AW33" s="32">
        <f>IF($D33=0,0,IF(_xlfn.XLOOKUP($B33,'TH_CMI GRADE 10'!$B$7:$B$49,'TH_CMI GRADE 10'!AC$7:AC$49,"",0,1)="P",1*$D33,0))</f>
        <v>1</v>
      </c>
      <c r="AX33" s="32">
        <f>IF($D33=0,0,IF(_xlfn.XLOOKUP($B33,'TH_CMI GRADE 10'!$B$7:$B$49,'TH_CMI GRADE 10'!AG$7:AG$49,"",0,1)="P",1*$D33,0))</f>
        <v>1</v>
      </c>
      <c r="AY33" s="32">
        <f>IF($D33=0,0,IF(_xlfn.XLOOKUP($B33,'TH_CMI GRADE 10'!$B$7:$B$49,'TH_CMI GRADE 10'!AH$7:AH$49,"",0,1)="P",1*$D33,0))</f>
        <v>1</v>
      </c>
      <c r="AZ33" s="32">
        <f>IF($D33=0,0,IF(_xlfn.XLOOKUP($B33,'TH_CMI GRADE 10'!$B$7:$B$49,'TH_CMI GRADE 10'!AI$7:AI$49,"",0,1)="P",1*$D33,0))</f>
        <v>1</v>
      </c>
      <c r="BA33" s="31" t="e">
        <f>IF($C33=0,0,IF(_xlfn.XLOOKUP($B33,'PW_MLG GRADE 10'!$B$7:$B$31,'PW_MLG GRADE 10'!#REF!,"",0,1)="P",1*$C33,0))</f>
        <v>#REF!</v>
      </c>
      <c r="BB33" s="31" t="e">
        <f>IF($C33=0,0,IF(_xlfn.XLOOKUP($B33,'PW_MLG GRADE 10'!$B$7:$B$31,'PW_MLG GRADE 10'!#REF!,"",0,1)="P",1*$C33,0))</f>
        <v>#REF!</v>
      </c>
      <c r="BC33" s="31" t="e">
        <f>IF($C33=0,0,IF(_xlfn.XLOOKUP($B33,'PW_MLG GRADE 10'!$B$7:$B$31,'PW_MLG GRADE 10'!#REF!,"",0,1)="P",1*$C33,0))</f>
        <v>#REF!</v>
      </c>
      <c r="BD33" s="31" t="e">
        <f>IF($C33=0,0,IF(_xlfn.XLOOKUP($B33,'PW_MLG GRADE 10'!$B$7:$B$31,'PW_MLG GRADE 10'!#REF!,"",0,1)="P",1*$C33,0))</f>
        <v>#REF!</v>
      </c>
      <c r="BE33" s="31" t="e">
        <f>IF($C33=0,0,IF(_xlfn.XLOOKUP($B33,'PW_MLG GRADE 10'!$B$7:$B$31,'PW_MLG GRADE 10'!#REF!,"",0,1)="P",1*$C33,0))</f>
        <v>#REF!</v>
      </c>
      <c r="BF33" s="31" t="e">
        <f>IF($C33=0,0,IF(_xlfn.XLOOKUP($B33,'PW_MLG GRADE 10'!$B$7:$B$31,'PW_MLG GRADE 10'!#REF!,"",0,1)="P",1*$C33,0))</f>
        <v>#REF!</v>
      </c>
      <c r="BG33" s="31" t="e">
        <f>IF($C33=0,0,IF(_xlfn.XLOOKUP($B33,'PW_MLG GRADE 10'!$B$7:$B$31,'PW_MLG GRADE 10'!#REF!,"",0,1)="P",1*$C33,0))</f>
        <v>#REF!</v>
      </c>
      <c r="BH33" s="31" t="e">
        <f>IF($C33=0,0,IF(_xlfn.XLOOKUP($B33,'PW_MLG GRADE 10'!$B$7:$B$31,'PW_MLG GRADE 10'!#REF!,"",0,1)="P",1*$C33,0))</f>
        <v>#REF!</v>
      </c>
      <c r="BI33" s="31" t="e">
        <f>IF($C33=0,0,IF(_xlfn.XLOOKUP($B33,'PW_MLG GRADE 10'!$B$7:$B$31,'PW_MLG GRADE 10'!#REF!,"",0,1)="P",1*$C33,0))</f>
        <v>#REF!</v>
      </c>
      <c r="BJ33" s="31" t="e">
        <f>IF($C33=0,0,IF(_xlfn.XLOOKUP($B33,'PW_MLG GRADE 10'!$B$7:$B$31,'PW_MLG GRADE 10'!#REF!,"",0,1)="P",1*$C33,0))</f>
        <v>#REF!</v>
      </c>
      <c r="BK33" s="31" t="e">
        <f>IF($C33=0,0,IF(_xlfn.XLOOKUP($B33,'PW_MLG GRADE 10'!$B$7:$B$31,'PW_MLG GRADE 10'!#REF!,"",0,1)="P",1*$C33,0))</f>
        <v>#REF!</v>
      </c>
      <c r="BL33" s="31" t="e">
        <f>IF($C33=0,0,IF(_xlfn.XLOOKUP($B33,'PW_MLG GRADE 10'!$B$7:$B$31,'PW_MLG GRADE 10'!#REF!,"",0,1)="P",1*$C33,0))</f>
        <v>#REF!</v>
      </c>
      <c r="BM33" s="31" t="e">
        <f>IF($C33=0,0,IF(_xlfn.XLOOKUP($B33,'PW_MLG GRADE 10'!$B$7:$B$31,'PW_MLG GRADE 10'!#REF!,"",0,1)="P",1*$C33,0))</f>
        <v>#REF!</v>
      </c>
      <c r="BN33" s="31" t="e">
        <f>IF($C33=0,0,IF(_xlfn.XLOOKUP($B33,'PW_MLG GRADE 10'!$B$7:$B$31,'PW_MLG GRADE 10'!#REF!,"",0,1)="P",1*$C33,0))</f>
        <v>#REF!</v>
      </c>
      <c r="BO33" s="31" t="e">
        <f>IF($C33=0,0,IF(_xlfn.XLOOKUP($B33,'PW_MLG GRADE 10'!$B$7:$B$31,'PW_MLG GRADE 10'!#REF!,"",0,1)="P",1*$C33,0))</f>
        <v>#REF!</v>
      </c>
      <c r="BP33" s="31" t="e">
        <f>IF($C33=0,0,IF(_xlfn.XLOOKUP($B33,'PW_MLG GRADE 10'!$B$7:$B$31,'PW_MLG GRADE 10'!#REF!,"",0,1)="P",1*$C33,0))</f>
        <v>#REF!</v>
      </c>
      <c r="BQ33" s="31" t="e">
        <f>IF($C33=0,0,IF(_xlfn.XLOOKUP($B33,'PW_MLG GRADE 10'!$B$7:$B$31,'PW_MLG GRADE 10'!#REF!,"",0,1)="P",1*$C33,0))</f>
        <v>#REF!</v>
      </c>
      <c r="BR33" s="31" t="e">
        <f>IF($C33=0,0,IF(_xlfn.XLOOKUP($B33,'PW_MLG GRADE 10'!$B$7:$B$31,'PW_MLG GRADE 10'!#REF!,"",0,1)="P",1*$C33,0))</f>
        <v>#REF!</v>
      </c>
      <c r="BS33" s="31" t="e">
        <f>IF($C33=0,0,IF(_xlfn.XLOOKUP($B33,'PW_MLG GRADE 10'!$B$7:$B$31,'PW_MLG GRADE 10'!#REF!,"",0,1)="P",1*$C33,0))</f>
        <v>#REF!</v>
      </c>
      <c r="BT33" s="31" t="e">
        <f>IF($C33=0,0,IF(_xlfn.XLOOKUP($B33,'PW_MLG GRADE 10'!$B$7:$B$31,'PW_MLG GRADE 10'!#REF!,"",0,1)="P",1*$C33,0))</f>
        <v>#REF!</v>
      </c>
      <c r="BU33" s="31" t="e">
        <f>IF($C33=0,0,IF(_xlfn.XLOOKUP($B33,'PW_MLG GRADE 10'!$B$7:$B$31,'PW_MLG GRADE 10'!#REF!,"",0,1)="P",1*$C33,0))</f>
        <v>#REF!</v>
      </c>
      <c r="BV33" s="31" t="e">
        <f>IF($C33=0,0,IF(_xlfn.XLOOKUP($B33,'PW_MLG GRADE 10'!$B$7:$B$31,'PW_MLG GRADE 10'!#REF!,"",0,1)="P",1*$C33,0))</f>
        <v>#REF!</v>
      </c>
      <c r="BW33" s="31" t="e">
        <f>IF($C33=0,0,IF(_xlfn.XLOOKUP($B33,'PW_MLG GRADE 10'!$B$7:$B$31,'PW_MLG GRADE 10'!#REF!,"",0,1)="P",1*$C33,0))</f>
        <v>#REF!</v>
      </c>
      <c r="BX33" s="31" t="e">
        <f>IF($C33=0,0,IF(_xlfn.XLOOKUP($B33,'PW_MLG GRADE 10'!$B$7:$B$31,'PW_MLG GRADE 10'!#REF!,"",0,1)="P",1*$C33,0))</f>
        <v>#REF!</v>
      </c>
      <c r="BY33" s="31" t="e">
        <f>IF($C33=0,0,IF(_xlfn.XLOOKUP($B33,'PW_MLG GRADE 10'!$B$7:$B$31,'PW_MLG GRADE 10'!#REF!,"",0,1)="P",1*$C33,0))</f>
        <v>#REF!</v>
      </c>
      <c r="BZ33" s="31" t="e">
        <f>IF($C33=0,0,IF(_xlfn.XLOOKUP($B33,'PW_MLG GRADE 10'!$B$7:$B$31,'PW_MLG GRADE 10'!#REF!,"",0,1)="P",1*$C33,0))</f>
        <v>#REF!</v>
      </c>
      <c r="CA33" s="31" t="e">
        <f>IF($C33=0,0,IF(_xlfn.XLOOKUP($B33,'PW_MLG GRADE 10'!$B$7:$B$31,'PW_MLG GRADE 10'!#REF!,"",0,1)="P",1*$C33,0))</f>
        <v>#REF!</v>
      </c>
      <c r="CB33" s="31" t="e">
        <f>IF($C33=0,0,IF(_xlfn.XLOOKUP($B33,'PW_MLG GRADE 10'!$B$7:$B$31,'PW_MLG GRADE 10'!#REF!,"",0,1)="P",1*$C33,0))</f>
        <v>#REF!</v>
      </c>
      <c r="CC33" s="31" t="e">
        <f>IF($C33=0,0,IF(_xlfn.XLOOKUP($B33,'PW_MLG GRADE 10'!$B$7:$B$31,'PW_MLG GRADE 10'!#REF!,"",0,1)="P",1*$C33,0))</f>
        <v>#REF!</v>
      </c>
      <c r="CD33" s="31" t="e">
        <f>IF($C33=0,0,IF(_xlfn.XLOOKUP($B33,'PW_MLG GRADE 10'!$B$7:$B$31,'PW_MLG GRADE 10'!#REF!,"",0,1)="P",1*$C33,0))</f>
        <v>#REF!</v>
      </c>
      <c r="CE33" s="32">
        <f>IF($C33=0,0,IF(_xlfn.XLOOKUP($B33,'PW_CMI GRADE 10'!$B$7:$B$31,'PW_CMI GRADE 10'!C$7:C$31,"",0,1)="P",1*$C33,0))</f>
        <v>0</v>
      </c>
      <c r="CF33" s="32">
        <f>IF($C33=0,0,IF(_xlfn.XLOOKUP($B33,'PW_CMI GRADE 10'!$B$7:$B$31,'PW_CMI GRADE 10'!D$7:D$31,"",0,1)="P",1*$C33,0))</f>
        <v>0</v>
      </c>
      <c r="CG33" s="32">
        <f>IF($C33=0,0,IF(_xlfn.XLOOKUP($B33,'PW_CMI GRADE 10'!$B$7:$B$31,'PW_CMI GRADE 10'!E$7:E$31,"",0,1)="P",1*$C33,0))</f>
        <v>0</v>
      </c>
      <c r="CH33" s="32">
        <f>IF($C33=0,0,IF(_xlfn.XLOOKUP($B33,'PW_CMI GRADE 10'!$B$7:$B$31,'PW_CMI GRADE 10'!F$7:F$31,"",0,1)="P",1*$C33,0))</f>
        <v>0</v>
      </c>
      <c r="CI33" s="32">
        <f>IF($C33=0,0,IF(_xlfn.XLOOKUP($B33,'PW_CMI GRADE 10'!$B$7:$B$31,'PW_CMI GRADE 10'!G$7:G$31,"",0,1)="P",1*$C33,0))</f>
        <v>0</v>
      </c>
      <c r="CJ33" s="32">
        <f>IF($C33=0,0,IF(_xlfn.XLOOKUP($B33,'PW_CMI GRADE 10'!$B$7:$B$31,'PW_CMI GRADE 10'!H$7:H$31,"",0,1)="P",1*$C33,0))</f>
        <v>0</v>
      </c>
      <c r="CK33" s="32">
        <f>IF($C33=0,0,IF(_xlfn.XLOOKUP($B33,'PW_CMI GRADE 10'!$B$7:$B$31,'PW_CMI GRADE 10'!I$7:I$31,"",0,1)="P",1*$C33,0))</f>
        <v>0</v>
      </c>
      <c r="CL33" s="32">
        <f>IF($C33=0,0,IF(_xlfn.XLOOKUP($B33,'PW_CMI GRADE 10'!$B$7:$B$31,'PW_CMI GRADE 10'!J$7:J$31,"",0,1)="P",1*$C33,0))</f>
        <v>0</v>
      </c>
      <c r="CM33" s="32">
        <f>IF($C33=0,0,IF(_xlfn.XLOOKUP($B33,'PW_CMI GRADE 10'!$B$7:$B$31,'PW_CMI GRADE 10'!K$7:K$31,"",0,1)="P",1*$C33,0))</f>
        <v>0</v>
      </c>
      <c r="CN33" s="32">
        <f>IF($C33=0,0,IF(_xlfn.XLOOKUP($B33,'PW_CMI GRADE 10'!$B$7:$B$31,'PW_CMI GRADE 10'!L$7:L$31,"",0,1)="P",1*$C33,0))</f>
        <v>0</v>
      </c>
      <c r="CO33" s="32">
        <f>IF($C33=0,0,IF(_xlfn.XLOOKUP($B33,'PW_CMI GRADE 10'!$B$7:$B$31,'PW_CMI GRADE 10'!M$7:M$31,"",0,1)="P",1*$C33,0))</f>
        <v>0</v>
      </c>
      <c r="CP33" s="32">
        <f>IF($C33=0,0,IF(_xlfn.XLOOKUP($B33,'PW_CMI GRADE 10'!$B$7:$B$31,'PW_CMI GRADE 10'!N$7:N$31,"",0,1)="P",1*$C33,0))</f>
        <v>0</v>
      </c>
      <c r="CQ33" s="32">
        <f>IF($C33=0,0,IF(_xlfn.XLOOKUP($B33,'PW_CMI GRADE 10'!$B$7:$B$31,'PW_CMI GRADE 10'!O$7:O$31,"",0,1)="P",1*$C33,0))</f>
        <v>0</v>
      </c>
      <c r="CR33" s="32">
        <f>IF($C33=0,0,IF(_xlfn.XLOOKUP($B33,'PW_CMI GRADE 10'!$B$7:$B$31,'PW_CMI GRADE 10'!P$7:P$31,"",0,1)="P",1*$C33,0))</f>
        <v>0</v>
      </c>
      <c r="CS33" s="32">
        <f>IF($C33=0,0,IF(_xlfn.XLOOKUP($B33,'PW_CMI GRADE 10'!$B$7:$B$31,'PW_CMI GRADE 10'!Q$7:Q$31,"",0,1)="P",1*$C33,0))</f>
        <v>0</v>
      </c>
      <c r="CT33" s="32">
        <f>IF($C33=0,0,IF(_xlfn.XLOOKUP($B33,'PW_CMI GRADE 10'!$B$7:$B$31,'PW_CMI GRADE 10'!R$7:R$31,"",0,1)="P",1*$C33,0))</f>
        <v>0</v>
      </c>
      <c r="CU33" s="32">
        <f>IF($C33=0,0,IF(_xlfn.XLOOKUP($B33,'PW_CMI GRADE 10'!$B$7:$B$31,'PW_CMI GRADE 10'!S$7:S$31,"",0,1)="P",1*$C33,0))</f>
        <v>0</v>
      </c>
      <c r="CV33" s="32">
        <f>IF($C33=0,0,IF(_xlfn.XLOOKUP($B33,'PW_CMI GRADE 10'!$B$7:$B$31,'PW_CMI GRADE 10'!T$7:T$31,"",0,1)="P",1*$C33,0))</f>
        <v>0</v>
      </c>
      <c r="CW33" s="62" t="e">
        <f t="shared" si="19"/>
        <v>#REF!</v>
      </c>
      <c r="CX33" s="62" t="e">
        <f t="shared" si="20"/>
        <v>#REF!</v>
      </c>
      <c r="CY33" s="62" t="e">
        <f t="shared" si="21"/>
        <v>#REF!</v>
      </c>
      <c r="CZ33" s="62" t="e">
        <f t="shared" si="22"/>
        <v>#REF!</v>
      </c>
      <c r="DA33" s="62" t="e">
        <f t="shared" si="23"/>
        <v>#REF!</v>
      </c>
      <c r="DB33" s="62" t="e">
        <f t="shared" si="24"/>
        <v>#REF!</v>
      </c>
      <c r="DC33" s="62" t="e">
        <f t="shared" si="25"/>
        <v>#REF!</v>
      </c>
      <c r="DD33" s="62" t="e">
        <f t="shared" si="26"/>
        <v>#REF!</v>
      </c>
      <c r="DE33" s="62" t="e">
        <f t="shared" si="27"/>
        <v>#REF!</v>
      </c>
      <c r="DF33" s="62" t="e">
        <f t="shared" si="28"/>
        <v>#REF!</v>
      </c>
      <c r="DG33" s="62" t="e">
        <f t="shared" si="29"/>
        <v>#REF!</v>
      </c>
      <c r="DH33" s="62" t="e">
        <f t="shared" si="30"/>
        <v>#REF!</v>
      </c>
      <c r="DI33" s="62" t="e">
        <f t="shared" si="31"/>
        <v>#REF!</v>
      </c>
      <c r="DJ33" s="62" t="e">
        <f t="shared" si="32"/>
        <v>#REF!</v>
      </c>
      <c r="DK33" s="62" t="e">
        <f t="shared" si="33"/>
        <v>#REF!</v>
      </c>
      <c r="DL33" s="62" t="e">
        <f t="shared" si="34"/>
        <v>#REF!</v>
      </c>
      <c r="DM33" s="62" t="e">
        <f t="shared" si="35"/>
        <v>#REF!</v>
      </c>
      <c r="DN33" s="62" t="e">
        <f t="shared" si="36"/>
        <v>#REF!</v>
      </c>
      <c r="DO33" s="62" t="e">
        <f t="shared" si="37"/>
        <v>#REF!</v>
      </c>
      <c r="DP33" s="62" t="e">
        <f t="shared" si="38"/>
        <v>#REF!</v>
      </c>
      <c r="DQ33" s="62" t="e">
        <f t="shared" si="39"/>
        <v>#REF!</v>
      </c>
      <c r="DR33" s="62" t="e">
        <f t="shared" si="40"/>
        <v>#REF!</v>
      </c>
      <c r="DS33" s="62" t="e">
        <f t="shared" si="41"/>
        <v>#REF!</v>
      </c>
      <c r="DT33" s="62" t="e">
        <f t="shared" si="42"/>
        <v>#REF!</v>
      </c>
      <c r="DU33" s="62" t="e">
        <f t="shared" si="43"/>
        <v>#REF!</v>
      </c>
      <c r="DV33" s="62" t="e">
        <f t="shared" si="44"/>
        <v>#REF!</v>
      </c>
      <c r="DW33" s="62" t="e">
        <f t="shared" si="45"/>
        <v>#REF!</v>
      </c>
      <c r="DX33" s="62" t="e">
        <f t="shared" si="46"/>
        <v>#REF!</v>
      </c>
      <c r="DY33" s="62" t="e">
        <f t="shared" si="47"/>
        <v>#REF!</v>
      </c>
      <c r="DZ33" s="62" t="e">
        <f t="shared" si="48"/>
        <v>#REF!</v>
      </c>
      <c r="EA33" s="63">
        <f t="shared" si="68"/>
        <v>0</v>
      </c>
      <c r="EB33" s="63">
        <f t="shared" si="2"/>
        <v>0</v>
      </c>
      <c r="EC33" s="63">
        <f t="shared" si="3"/>
        <v>0</v>
      </c>
      <c r="ED33" s="63">
        <f t="shared" si="4"/>
        <v>0</v>
      </c>
      <c r="EE33" s="63">
        <f t="shared" si="5"/>
        <v>0</v>
      </c>
      <c r="EF33" s="63">
        <f t="shared" si="6"/>
        <v>0</v>
      </c>
      <c r="EG33" s="63">
        <f t="shared" si="7"/>
        <v>0</v>
      </c>
      <c r="EH33" s="63">
        <f t="shared" si="8"/>
        <v>0</v>
      </c>
      <c r="EI33" s="63">
        <f t="shared" si="9"/>
        <v>0</v>
      </c>
      <c r="EJ33" s="63">
        <f t="shared" si="10"/>
        <v>0</v>
      </c>
      <c r="EK33" s="63">
        <f t="shared" si="11"/>
        <v>8.3333333333333329E-2</v>
      </c>
      <c r="EL33" s="63">
        <f t="shared" si="12"/>
        <v>0.16666666666666666</v>
      </c>
      <c r="EM33" s="63">
        <f t="shared" si="13"/>
        <v>0.25</v>
      </c>
      <c r="EN33" s="63">
        <f t="shared" si="14"/>
        <v>0.25</v>
      </c>
      <c r="EO33" s="63">
        <f t="shared" si="15"/>
        <v>0.25</v>
      </c>
      <c r="EP33" s="63">
        <f t="shared" si="16"/>
        <v>0.25</v>
      </c>
      <c r="FU33" s="51">
        <v>46722</v>
      </c>
      <c r="FV33" t="s">
        <v>22</v>
      </c>
      <c r="FW33" t="s">
        <v>22</v>
      </c>
      <c r="FX33" t="s">
        <v>22</v>
      </c>
      <c r="FY33" t="s">
        <v>22</v>
      </c>
      <c r="FZ33" t="s">
        <v>22</v>
      </c>
      <c r="GA33" t="s">
        <v>22</v>
      </c>
      <c r="GB33" t="s">
        <v>22</v>
      </c>
      <c r="GC33" t="s">
        <v>22</v>
      </c>
      <c r="GD33" t="s">
        <v>22</v>
      </c>
      <c r="GE33" t="s">
        <v>22</v>
      </c>
      <c r="GF33" t="s">
        <v>22</v>
      </c>
      <c r="GG33" t="s">
        <v>22</v>
      </c>
      <c r="GH33" t="s">
        <v>22</v>
      </c>
      <c r="GI33" t="s">
        <v>22</v>
      </c>
      <c r="GJ33" t="s">
        <v>22</v>
      </c>
      <c r="GK33" t="s">
        <v>22</v>
      </c>
      <c r="GL33" t="s">
        <v>22</v>
      </c>
      <c r="GM33" t="s">
        <v>22</v>
      </c>
      <c r="GN33" t="s">
        <v>22</v>
      </c>
      <c r="GO33" t="s">
        <v>22</v>
      </c>
      <c r="GP33" t="s">
        <v>22</v>
      </c>
      <c r="GQ33" t="s">
        <v>22</v>
      </c>
      <c r="GR33" t="s">
        <v>22</v>
      </c>
      <c r="GS33" t="s">
        <v>22</v>
      </c>
      <c r="GT33" t="s">
        <v>22</v>
      </c>
      <c r="GU33" t="s">
        <v>22</v>
      </c>
      <c r="GV33" t="s">
        <v>22</v>
      </c>
      <c r="GW33" t="s">
        <v>22</v>
      </c>
      <c r="GX33" t="s">
        <v>22</v>
      </c>
      <c r="GY33" t="s">
        <v>22</v>
      </c>
      <c r="GZ33" t="s">
        <v>22</v>
      </c>
      <c r="HA33" t="s">
        <v>22</v>
      </c>
      <c r="HB33" t="s">
        <v>22</v>
      </c>
      <c r="HC33" t="s">
        <v>22</v>
      </c>
      <c r="HD33" t="s">
        <v>22</v>
      </c>
      <c r="HE33" t="s">
        <v>22</v>
      </c>
      <c r="HF33" t="s">
        <v>22</v>
      </c>
      <c r="HG33" t="s">
        <v>22</v>
      </c>
      <c r="HH33" t="s">
        <v>22</v>
      </c>
      <c r="HI33" t="s">
        <v>22</v>
      </c>
      <c r="HJ33" t="s">
        <v>22</v>
      </c>
      <c r="HK33" t="s">
        <v>22</v>
      </c>
      <c r="HL33" t="s">
        <v>22</v>
      </c>
      <c r="HM33" t="s">
        <v>22</v>
      </c>
      <c r="HN33" t="s">
        <v>22</v>
      </c>
      <c r="HO33" cm="1">
        <f t="array" ref="HO33">SUMPRODUCT(--(FV33:HN33&lt;&gt;""))</f>
        <v>0</v>
      </c>
    </row>
    <row r="34" spans="1:223">
      <c r="A34" t="str">
        <f t="shared" si="18"/>
        <v>5A.1</v>
      </c>
      <c r="B34" t="s">
        <v>65</v>
      </c>
      <c r="C34" s="27">
        <v>4</v>
      </c>
      <c r="D34" s="30">
        <v>4</v>
      </c>
      <c r="E34" s="31">
        <f>IF($D34=0,0,IF(_xlfn.XLOOKUP($B34,'TH_MLG GRADE 10'!$B$7:$B$49,'TH_MLG GRADE 10'!C$7:C$49,"",0,1)="P",1*$D34,0))</f>
        <v>4</v>
      </c>
      <c r="F34" s="31">
        <f>IF($D34=0,0,IF(_xlfn.XLOOKUP($B34,'TH_MLG GRADE 10'!$B$7:$B$49,'TH_MLG GRADE 10'!D$7:D$49,"",0,1)="P",1*$D34,0))</f>
        <v>4</v>
      </c>
      <c r="G34" s="31">
        <f>IF($D34=0,0,IF(_xlfn.XLOOKUP($B34,'TH_MLG GRADE 10'!$B$7:$B$49,'TH_MLG GRADE 10'!E$7:E$49,"",0,1)="P",1*$D34,0))</f>
        <v>0</v>
      </c>
      <c r="H34" s="31">
        <f>IF($D34=0,0,IF(_xlfn.XLOOKUP($B34,'TH_MLG GRADE 10'!$B$7:$B$49,'TH_MLG GRADE 10'!I$7:I$49,"",0,1)="P",1*$D34,0))</f>
        <v>4</v>
      </c>
      <c r="I34" s="31">
        <f>IF($D34=0,0,IF(_xlfn.XLOOKUP($B34,'TH_MLG GRADE 10'!$B$7:$B$49,'TH_MLG GRADE 10'!J$7:J$49,"",0,1)="P",1*$D34,0))</f>
        <v>4</v>
      </c>
      <c r="J34" s="31">
        <f>IF($D34=0,0,IF(_xlfn.XLOOKUP($B34,'TH_MLG GRADE 10'!$B$7:$B$49,'TH_MLG GRADE 10'!K$7:K$49,"",0,1)="P",1*$D34,0))</f>
        <v>4</v>
      </c>
      <c r="K34" s="31">
        <f>IF($D34=0,0,IF(_xlfn.XLOOKUP($B34,'TH_MLG GRADE 10'!$B$7:$B$49,'TH_MLG GRADE 10'!O$7:O$49,"",0,1)="P",1*$D34,0))</f>
        <v>4</v>
      </c>
      <c r="L34" s="31">
        <f>IF($D34=0,0,IF(_xlfn.XLOOKUP($B34,'TH_MLG GRADE 10'!$B$7:$B$49,'TH_MLG GRADE 10'!P$7:P$49,"",0,1)="P",1*$D34,0))</f>
        <v>0</v>
      </c>
      <c r="M34" s="31">
        <f>IF($D34=0,0,IF(_xlfn.XLOOKUP($B34,'TH_MLG GRADE 10'!$B$7:$B$49,'TH_MLG GRADE 10'!Q$7:Q$49,"",0,1)="P",1*$D34,0))</f>
        <v>0</v>
      </c>
      <c r="N34" s="31">
        <f>IF($D34=0,0,IF(_xlfn.XLOOKUP($B34,'TH_MLG GRADE 10'!$B$7:$B$49,'TH_MLG GRADE 10'!AA$7:AA$49,"",0,1)="P",1*$D34,0))</f>
        <v>4</v>
      </c>
      <c r="O34" s="31">
        <f>IF($D34=0,0,IF(_xlfn.XLOOKUP($B34,'TH_MLG GRADE 10'!$B$7:$B$49,'TH_MLG GRADE 10'!AB$7:AB$49,"",0,1)="P",1*$D34,0))</f>
        <v>0</v>
      </c>
      <c r="P34" s="31">
        <f>IF($D34=0,0,IF(_xlfn.XLOOKUP($B34,'TH_MLG GRADE 10'!$B$7:$B$49,'TH_MLG GRADE 10'!AC$7:AC$49,"",0,1)="P",1*$D34,0))</f>
        <v>0</v>
      </c>
      <c r="Q34" s="31">
        <f>IF($D34=0,0,IF(_xlfn.XLOOKUP($B34,'TH_MLG GRADE 10'!$B$7:$B$49,'TH_MLG GRADE 10'!AG$7:AG$49,"",0,1)="P",1*$D34,0))</f>
        <v>0</v>
      </c>
      <c r="R34" s="31">
        <f>IF($D34=0,0,IF(_xlfn.XLOOKUP($B34,'TH_MLG GRADE 10'!$B$7:$B$49,'TH_MLG GRADE 10'!AH$7:AH$49,"",0,1)="P",1*$D34,0))</f>
        <v>0</v>
      </c>
      <c r="S34" s="31">
        <f>IF($D34=0,0,IF(_xlfn.XLOOKUP($B34,'TH_MLG GRADE 10'!$B$7:$B$49,'TH_MLG GRADE 10'!AI$7:AI$49,"",0,1)="P",1*$D34,0))</f>
        <v>0</v>
      </c>
      <c r="T34" s="31">
        <f>IF($D34=0,0,IF(_xlfn.XLOOKUP($B34,'TH_MLG GRADE 10'!$B$7:$B$49,'TH_MLG GRADE 10'!AM$7:AM$49,"",0,1)="P",1*$D34,0))</f>
        <v>0</v>
      </c>
      <c r="U34" s="31">
        <f>IF($D34=0,0,IF(_xlfn.XLOOKUP($B34,'TH_MLG GRADE 10'!$B$7:$B$49,'TH_MLG GRADE 10'!AN$7:AN$49,"",0,1)="P",1*$D34,0))</f>
        <v>0</v>
      </c>
      <c r="V34" s="31">
        <f>IF($D34=0,0,IF(_xlfn.XLOOKUP($B34,'TH_MLG GRADE 10'!$B$7:$B$49,'TH_MLG GRADE 10'!AO$7:AO$49,"",0,1)="P",1*$D34,0))</f>
        <v>0</v>
      </c>
      <c r="W34" s="31">
        <f>IF($D34=0,0,IF(_xlfn.XLOOKUP($B34,'TH_MLG GRADE 10'!$B$7:$B$49,'TH_MLG GRADE 10'!AY$7:AY$49,"",0,1)="P",1*$D34,0))</f>
        <v>0</v>
      </c>
      <c r="X34" s="31">
        <f>IF($D34=0,0,IF(_xlfn.XLOOKUP($B34,'TH_MLG GRADE 10'!$B$7:$B$49,'TH_MLG GRADE 10'!AZ$7:AZ$49,"",0,1)="P",1*$D34,0))</f>
        <v>0</v>
      </c>
      <c r="Y34" s="31">
        <f>IF($D34=0,0,IF(_xlfn.XLOOKUP($B34,'TH_MLG GRADE 10'!$B$7:$B$49,'TH_MLG GRADE 10'!BA$7:BA$49,"",0,1)="P",1*$D34,0))</f>
        <v>0</v>
      </c>
      <c r="Z34" s="31">
        <f>IF($D34=0,0,IF(_xlfn.XLOOKUP($B34,'TH_MLG GRADE 10'!$B$7:$B$49,'TH_MLG GRADE 10'!BE$7:BE$49,"",0,1)="P",1*$D34,0))</f>
        <v>0</v>
      </c>
      <c r="AA34" s="31">
        <f>IF($D34=0,0,IF(_xlfn.XLOOKUP($B34,'TH_MLG GRADE 10'!$B$7:$B$49,'TH_MLG GRADE 10'!BF$7:BF$49,"",0,1)="P",1*$D34,0))</f>
        <v>0</v>
      </c>
      <c r="AB34" s="31">
        <f>IF($D34=0,0,IF(_xlfn.XLOOKUP($B34,'TH_MLG GRADE 10'!$B$7:$B$49,'TH_MLG GRADE 10'!BG$7:BG$49,"",0,1)="P",1*$D34,0))</f>
        <v>0</v>
      </c>
      <c r="AC34" s="31" t="e">
        <f>IF($D34=0,0,IF(_xlfn.XLOOKUP($B34,'TH_MLG GRADE 10'!$B$7:$B$49,'TH_MLG GRADE 10'!#REF!,"",0,1)="P",1*$D34,0))</f>
        <v>#REF!</v>
      </c>
      <c r="AD34" s="31" t="e">
        <f>IF($D34=0,0,IF(_xlfn.XLOOKUP($B34,'TH_MLG GRADE 10'!$B$7:$B$49,'TH_MLG GRADE 10'!#REF!,"",0,1)="P",1*$D34,0))</f>
        <v>#REF!</v>
      </c>
      <c r="AE34" s="31" t="e">
        <f>IF($D34=0,0,IF(_xlfn.XLOOKUP($B34,'TH_MLG GRADE 10'!$B$7:$B$49,'TH_MLG GRADE 10'!#REF!,"",0,1)="P",1*$D34,0))</f>
        <v>#REF!</v>
      </c>
      <c r="AF34" s="31" t="e">
        <f>IF($D34=0,0,IF(_xlfn.XLOOKUP($B34,'TH_MLG GRADE 10'!$B$7:$B$49,'TH_MLG GRADE 10'!#REF!,"",0,1)="P",1*$D34,0))</f>
        <v>#REF!</v>
      </c>
      <c r="AG34" s="31" t="e">
        <f>IF($D34=0,0,IF(_xlfn.XLOOKUP($B34,'TH_MLG GRADE 10'!$B$7:$B$49,'TH_MLG GRADE 10'!#REF!,"",0,1)="P",1*$D34,0))</f>
        <v>#REF!</v>
      </c>
      <c r="AH34" s="31" t="e">
        <f>IF($D34=0,0,IF(_xlfn.XLOOKUP($B34,'TH_MLG GRADE 10'!$B$7:$B$49,'TH_MLG GRADE 10'!#REF!,"",0,1)="P",1*$D34,0))</f>
        <v>#REF!</v>
      </c>
      <c r="AI34" s="32">
        <f>IF($D34=0,0,IF(_xlfn.XLOOKUP($B34,'TH_CMI GRADE 10'!$B$7:$B$49,'TH_CMI GRADE 10'!C$7:C$49,"",0,1)="P",1*$D34,0))</f>
        <v>0</v>
      </c>
      <c r="AJ34" s="32">
        <f>IF($D34=0,0,IF(_xlfn.XLOOKUP($B34,'TH_CMI GRADE 10'!$B$7:$B$49,'TH_CMI GRADE 10'!D$7:D$49,"",0,1)="P",1*$D34,0))</f>
        <v>0</v>
      </c>
      <c r="AK34" s="32">
        <f>IF($D34=0,0,IF(_xlfn.XLOOKUP($B34,'TH_CMI GRADE 10'!$B$7:$B$49,'TH_CMI GRADE 10'!H$7:H$49,"",0,1)="P",1*$D34,0))</f>
        <v>0</v>
      </c>
      <c r="AL34" s="32">
        <f>IF($D34=0,0,IF(_xlfn.XLOOKUP($B34,'TH_CMI GRADE 10'!$B$7:$B$49,'TH_CMI GRADE 10'!I$7:I$49,"",0,1)="P",1*$D34,0))</f>
        <v>4</v>
      </c>
      <c r="AM34" s="32">
        <f>IF($D34=0,0,IF(_xlfn.XLOOKUP($B34,'TH_CMI GRADE 10'!$B$7:$B$49,'TH_CMI GRADE 10'!J$7:J$49,"",0,1)="P",1*$D34,0))</f>
        <v>4</v>
      </c>
      <c r="AN34" s="32">
        <f>IF($D34=0,0,IF(_xlfn.XLOOKUP($B34,'TH_CMI GRADE 10'!$B$7:$B$49,'TH_CMI GRADE 10'!K$7:K$49,"",0,1)="P",1*$D34,0))</f>
        <v>0</v>
      </c>
      <c r="AO34" s="32">
        <f>IF($D34=0,0,IF(_xlfn.XLOOKUP($B34,'TH_CMI GRADE 10'!$B$7:$B$49,'TH_CMI GRADE 10'!O$7:O$49,"",0,1)="P",1*$D34,0))</f>
        <v>0</v>
      </c>
      <c r="AP34" s="32">
        <f>IF($D34=0,0,IF(_xlfn.XLOOKUP($B34,'TH_CMI GRADE 10'!$B$7:$B$49,'TH_CMI GRADE 10'!P$7:P$49,"",0,1)="P",1*$D34,0))</f>
        <v>0</v>
      </c>
      <c r="AQ34" s="32">
        <f>IF($D34=0,0,IF(_xlfn.XLOOKUP($B34,'TH_CMI GRADE 10'!$B$7:$B$49,'TH_CMI GRADE 10'!Q$7:Q$49,"",0,1)="P",1*$D34,0))</f>
        <v>0</v>
      </c>
      <c r="AR34" s="32">
        <f>IF($D34=0,0,IF(_xlfn.XLOOKUP($B34,'TH_CMI GRADE 10'!$B$7:$B$49,'TH_CMI GRADE 10'!U$7:U$49,"",0,1)="P",1*$D34,0))</f>
        <v>4</v>
      </c>
      <c r="AS34" s="32">
        <f>IF($D34=0,0,IF(_xlfn.XLOOKUP($B34,'TH_CMI GRADE 10'!$B$7:$B$49,'TH_CMI GRADE 10'!V$7:V$49,"",0,1)="P",1*$D34,0))</f>
        <v>4</v>
      </c>
      <c r="AT34" s="32">
        <f>IF($D34=0,0,IF(_xlfn.XLOOKUP($B34,'TH_CMI GRADE 10'!$B$7:$B$49,'TH_CMI GRADE 10'!W$7:W$49,"",0,1)="P",1*$D34,0))</f>
        <v>0</v>
      </c>
      <c r="AU34" s="32">
        <f>IF($D34=0,0,IF(_xlfn.XLOOKUP($B34,'TH_CMI GRADE 10'!$B$7:$B$49,'TH_CMI GRADE 10'!AA$7:AA$49,"",0,1)="P",1*$D34,0))</f>
        <v>0</v>
      </c>
      <c r="AV34" s="32">
        <f>IF($D34=0,0,IF(_xlfn.XLOOKUP($B34,'TH_CMI GRADE 10'!$B$7:$B$49,'TH_CMI GRADE 10'!AB$7:AB$49,"",0,1)="P",1*$D34,0))</f>
        <v>0</v>
      </c>
      <c r="AW34" s="32">
        <f>IF($D34=0,0,IF(_xlfn.XLOOKUP($B34,'TH_CMI GRADE 10'!$B$7:$B$49,'TH_CMI GRADE 10'!AC$7:AC$49,"",0,1)="P",1*$D34,0))</f>
        <v>0</v>
      </c>
      <c r="AX34" s="32">
        <f>IF($D34=0,0,IF(_xlfn.XLOOKUP($B34,'TH_CMI GRADE 10'!$B$7:$B$49,'TH_CMI GRADE 10'!AG$7:AG$49,"",0,1)="P",1*$D34,0))</f>
        <v>0</v>
      </c>
      <c r="AY34" s="32">
        <f>IF($D34=0,0,IF(_xlfn.XLOOKUP($B34,'TH_CMI GRADE 10'!$B$7:$B$49,'TH_CMI GRADE 10'!AH$7:AH$49,"",0,1)="P",1*$D34,0))</f>
        <v>0</v>
      </c>
      <c r="AZ34" s="32">
        <f>IF($D34=0,0,IF(_xlfn.XLOOKUP($B34,'TH_CMI GRADE 10'!$B$7:$B$49,'TH_CMI GRADE 10'!AI$7:AI$49,"",0,1)="P",1*$D34,0))</f>
        <v>0</v>
      </c>
      <c r="BA34" s="31" t="e">
        <f>IF($C34=0,0,IF(_xlfn.XLOOKUP($B34,'PW_MLG GRADE 10'!$B$7:$B$31,'PW_MLG GRADE 10'!#REF!,"",0,1)="P",1*$C34,0))</f>
        <v>#REF!</v>
      </c>
      <c r="BB34" s="31" t="e">
        <f>IF($C34=0,0,IF(_xlfn.XLOOKUP($B34,'PW_MLG GRADE 10'!$B$7:$B$31,'PW_MLG GRADE 10'!#REF!,"",0,1)="P",1*$C34,0))</f>
        <v>#REF!</v>
      </c>
      <c r="BC34" s="31" t="e">
        <f>IF($C34=0,0,IF(_xlfn.XLOOKUP($B34,'PW_MLG GRADE 10'!$B$7:$B$31,'PW_MLG GRADE 10'!#REF!,"",0,1)="P",1*$C34,0))</f>
        <v>#REF!</v>
      </c>
      <c r="BD34" s="31" t="e">
        <f>IF($C34=0,0,IF(_xlfn.XLOOKUP($B34,'PW_MLG GRADE 10'!$B$7:$B$31,'PW_MLG GRADE 10'!#REF!,"",0,1)="P",1*$C34,0))</f>
        <v>#REF!</v>
      </c>
      <c r="BE34" s="31" t="e">
        <f>IF($C34=0,0,IF(_xlfn.XLOOKUP($B34,'PW_MLG GRADE 10'!$B$7:$B$31,'PW_MLG GRADE 10'!#REF!,"",0,1)="P",1*$C34,0))</f>
        <v>#REF!</v>
      </c>
      <c r="BF34" s="31" t="e">
        <f>IF($C34=0,0,IF(_xlfn.XLOOKUP($B34,'PW_MLG GRADE 10'!$B$7:$B$31,'PW_MLG GRADE 10'!#REF!,"",0,1)="P",1*$C34,0))</f>
        <v>#REF!</v>
      </c>
      <c r="BG34" s="31" t="e">
        <f>IF($C34=0,0,IF(_xlfn.XLOOKUP($B34,'PW_MLG GRADE 10'!$B$7:$B$31,'PW_MLG GRADE 10'!#REF!,"",0,1)="P",1*$C34,0))</f>
        <v>#REF!</v>
      </c>
      <c r="BH34" s="31" t="e">
        <f>IF($C34=0,0,IF(_xlfn.XLOOKUP($B34,'PW_MLG GRADE 10'!$B$7:$B$31,'PW_MLG GRADE 10'!#REF!,"",0,1)="P",1*$C34,0))</f>
        <v>#REF!</v>
      </c>
      <c r="BI34" s="31" t="e">
        <f>IF($C34=0,0,IF(_xlfn.XLOOKUP($B34,'PW_MLG GRADE 10'!$B$7:$B$31,'PW_MLG GRADE 10'!#REF!,"",0,1)="P",1*$C34,0))</f>
        <v>#REF!</v>
      </c>
      <c r="BJ34" s="31" t="e">
        <f>IF($C34=0,0,IF(_xlfn.XLOOKUP($B34,'PW_MLG GRADE 10'!$B$7:$B$31,'PW_MLG GRADE 10'!#REF!,"",0,1)="P",1*$C34,0))</f>
        <v>#REF!</v>
      </c>
      <c r="BK34" s="31" t="e">
        <f>IF($C34=0,0,IF(_xlfn.XLOOKUP($B34,'PW_MLG GRADE 10'!$B$7:$B$31,'PW_MLG GRADE 10'!#REF!,"",0,1)="P",1*$C34,0))</f>
        <v>#REF!</v>
      </c>
      <c r="BL34" s="31" t="e">
        <f>IF($C34=0,0,IF(_xlfn.XLOOKUP($B34,'PW_MLG GRADE 10'!$B$7:$B$31,'PW_MLG GRADE 10'!#REF!,"",0,1)="P",1*$C34,0))</f>
        <v>#REF!</v>
      </c>
      <c r="BM34" s="31" t="e">
        <f>IF($C34=0,0,IF(_xlfn.XLOOKUP($B34,'PW_MLG GRADE 10'!$B$7:$B$31,'PW_MLG GRADE 10'!#REF!,"",0,1)="P",1*$C34,0))</f>
        <v>#REF!</v>
      </c>
      <c r="BN34" s="31" t="e">
        <f>IF($C34=0,0,IF(_xlfn.XLOOKUP($B34,'PW_MLG GRADE 10'!$B$7:$B$31,'PW_MLG GRADE 10'!#REF!,"",0,1)="P",1*$C34,0))</f>
        <v>#REF!</v>
      </c>
      <c r="BO34" s="31" t="e">
        <f>IF($C34=0,0,IF(_xlfn.XLOOKUP($B34,'PW_MLG GRADE 10'!$B$7:$B$31,'PW_MLG GRADE 10'!#REF!,"",0,1)="P",1*$C34,0))</f>
        <v>#REF!</v>
      </c>
      <c r="BP34" s="31" t="e">
        <f>IF($C34=0,0,IF(_xlfn.XLOOKUP($B34,'PW_MLG GRADE 10'!$B$7:$B$31,'PW_MLG GRADE 10'!#REF!,"",0,1)="P",1*$C34,0))</f>
        <v>#REF!</v>
      </c>
      <c r="BQ34" s="31" t="e">
        <f>IF($C34=0,0,IF(_xlfn.XLOOKUP($B34,'PW_MLG GRADE 10'!$B$7:$B$31,'PW_MLG GRADE 10'!#REF!,"",0,1)="P",1*$C34,0))</f>
        <v>#REF!</v>
      </c>
      <c r="BR34" s="31" t="e">
        <f>IF($C34=0,0,IF(_xlfn.XLOOKUP($B34,'PW_MLG GRADE 10'!$B$7:$B$31,'PW_MLG GRADE 10'!#REF!,"",0,1)="P",1*$C34,0))</f>
        <v>#REF!</v>
      </c>
      <c r="BS34" s="31" t="e">
        <f>IF($C34=0,0,IF(_xlfn.XLOOKUP($B34,'PW_MLG GRADE 10'!$B$7:$B$31,'PW_MLG GRADE 10'!#REF!,"",0,1)="P",1*$C34,0))</f>
        <v>#REF!</v>
      </c>
      <c r="BT34" s="31" t="e">
        <f>IF($C34=0,0,IF(_xlfn.XLOOKUP($B34,'PW_MLG GRADE 10'!$B$7:$B$31,'PW_MLG GRADE 10'!#REF!,"",0,1)="P",1*$C34,0))</f>
        <v>#REF!</v>
      </c>
      <c r="BU34" s="31" t="e">
        <f>IF($C34=0,0,IF(_xlfn.XLOOKUP($B34,'PW_MLG GRADE 10'!$B$7:$B$31,'PW_MLG GRADE 10'!#REF!,"",0,1)="P",1*$C34,0))</f>
        <v>#REF!</v>
      </c>
      <c r="BV34" s="31" t="e">
        <f>IF($C34=0,0,IF(_xlfn.XLOOKUP($B34,'PW_MLG GRADE 10'!$B$7:$B$31,'PW_MLG GRADE 10'!#REF!,"",0,1)="P",1*$C34,0))</f>
        <v>#REF!</v>
      </c>
      <c r="BW34" s="31" t="e">
        <f>IF($C34=0,0,IF(_xlfn.XLOOKUP($B34,'PW_MLG GRADE 10'!$B$7:$B$31,'PW_MLG GRADE 10'!#REF!,"",0,1)="P",1*$C34,0))</f>
        <v>#REF!</v>
      </c>
      <c r="BX34" s="31" t="e">
        <f>IF($C34=0,0,IF(_xlfn.XLOOKUP($B34,'PW_MLG GRADE 10'!$B$7:$B$31,'PW_MLG GRADE 10'!#REF!,"",0,1)="P",1*$C34,0))</f>
        <v>#REF!</v>
      </c>
      <c r="BY34" s="31" t="e">
        <f>IF($C34=0,0,IF(_xlfn.XLOOKUP($B34,'PW_MLG GRADE 10'!$B$7:$B$31,'PW_MLG GRADE 10'!#REF!,"",0,1)="P",1*$C34,0))</f>
        <v>#REF!</v>
      </c>
      <c r="BZ34" s="31" t="e">
        <f>IF($C34=0,0,IF(_xlfn.XLOOKUP($B34,'PW_MLG GRADE 10'!$B$7:$B$31,'PW_MLG GRADE 10'!#REF!,"",0,1)="P",1*$C34,0))</f>
        <v>#REF!</v>
      </c>
      <c r="CA34" s="31" t="e">
        <f>IF($C34=0,0,IF(_xlfn.XLOOKUP($B34,'PW_MLG GRADE 10'!$B$7:$B$31,'PW_MLG GRADE 10'!#REF!,"",0,1)="P",1*$C34,0))</f>
        <v>#REF!</v>
      </c>
      <c r="CB34" s="31" t="e">
        <f>IF($C34=0,0,IF(_xlfn.XLOOKUP($B34,'PW_MLG GRADE 10'!$B$7:$B$31,'PW_MLG GRADE 10'!#REF!,"",0,1)="P",1*$C34,0))</f>
        <v>#REF!</v>
      </c>
      <c r="CC34" s="31" t="e">
        <f>IF($C34=0,0,IF(_xlfn.XLOOKUP($B34,'PW_MLG GRADE 10'!$B$7:$B$31,'PW_MLG GRADE 10'!#REF!,"",0,1)="P",1*$C34,0))</f>
        <v>#REF!</v>
      </c>
      <c r="CD34" s="31" t="e">
        <f>IF($C34=0,0,IF(_xlfn.XLOOKUP($B34,'PW_MLG GRADE 10'!$B$7:$B$31,'PW_MLG GRADE 10'!#REF!,"",0,1)="P",1*$C34,0))</f>
        <v>#REF!</v>
      </c>
      <c r="CE34" s="32">
        <f>IF($C34=0,0,IF(_xlfn.XLOOKUP($B34,'PW_CMI GRADE 10'!$B$7:$B$31,'PW_CMI GRADE 10'!C$7:C$31,"",0,1)="P",1*$C34,0))</f>
        <v>0</v>
      </c>
      <c r="CF34" s="32">
        <f>IF($C34=0,0,IF(_xlfn.XLOOKUP($B34,'PW_CMI GRADE 10'!$B$7:$B$31,'PW_CMI GRADE 10'!D$7:D$31,"",0,1)="P",1*$C34,0))</f>
        <v>0</v>
      </c>
      <c r="CG34" s="32">
        <f>IF($C34=0,0,IF(_xlfn.XLOOKUP($B34,'PW_CMI GRADE 10'!$B$7:$B$31,'PW_CMI GRADE 10'!E$7:E$31,"",0,1)="P",1*$C34,0))</f>
        <v>0</v>
      </c>
      <c r="CH34" s="32">
        <f>IF($C34=0,0,IF(_xlfn.XLOOKUP($B34,'PW_CMI GRADE 10'!$B$7:$B$31,'PW_CMI GRADE 10'!F$7:F$31,"",0,1)="P",1*$C34,0))</f>
        <v>0</v>
      </c>
      <c r="CI34" s="32">
        <f>IF($C34=0,0,IF(_xlfn.XLOOKUP($B34,'PW_CMI GRADE 10'!$B$7:$B$31,'PW_CMI GRADE 10'!G$7:G$31,"",0,1)="P",1*$C34,0))</f>
        <v>0</v>
      </c>
      <c r="CJ34" s="32">
        <f>IF($C34=0,0,IF(_xlfn.XLOOKUP($B34,'PW_CMI GRADE 10'!$B$7:$B$31,'PW_CMI GRADE 10'!H$7:H$31,"",0,1)="P",1*$C34,0))</f>
        <v>0</v>
      </c>
      <c r="CK34" s="32">
        <f>IF($C34=0,0,IF(_xlfn.XLOOKUP($B34,'PW_CMI GRADE 10'!$B$7:$B$31,'PW_CMI GRADE 10'!I$7:I$31,"",0,1)="P",1*$C34,0))</f>
        <v>4</v>
      </c>
      <c r="CL34" s="32">
        <f>IF($C34=0,0,IF(_xlfn.XLOOKUP($B34,'PW_CMI GRADE 10'!$B$7:$B$31,'PW_CMI GRADE 10'!J$7:J$31,"",0,1)="P",1*$C34,0))</f>
        <v>0</v>
      </c>
      <c r="CM34" s="32">
        <f>IF($C34=0,0,IF(_xlfn.XLOOKUP($B34,'PW_CMI GRADE 10'!$B$7:$B$31,'PW_CMI GRADE 10'!K$7:K$31,"",0,1)="P",1*$C34,0))</f>
        <v>4</v>
      </c>
      <c r="CN34" s="32">
        <f>IF($C34=0,0,IF(_xlfn.XLOOKUP($B34,'PW_CMI GRADE 10'!$B$7:$B$31,'PW_CMI GRADE 10'!L$7:L$31,"",0,1)="P",1*$C34,0))</f>
        <v>0</v>
      </c>
      <c r="CO34" s="32">
        <f>IF($C34=0,0,IF(_xlfn.XLOOKUP($B34,'PW_CMI GRADE 10'!$B$7:$B$31,'PW_CMI GRADE 10'!M$7:M$31,"",0,1)="P",1*$C34,0))</f>
        <v>0</v>
      </c>
      <c r="CP34" s="32">
        <f>IF($C34=0,0,IF(_xlfn.XLOOKUP($B34,'PW_CMI GRADE 10'!$B$7:$B$31,'PW_CMI GRADE 10'!N$7:N$31,"",0,1)="P",1*$C34,0))</f>
        <v>0</v>
      </c>
      <c r="CQ34" s="32">
        <f>IF($C34=0,0,IF(_xlfn.XLOOKUP($B34,'PW_CMI GRADE 10'!$B$7:$B$31,'PW_CMI GRADE 10'!O$7:O$31,"",0,1)="P",1*$C34,0))</f>
        <v>0</v>
      </c>
      <c r="CR34" s="32">
        <f>IF($C34=0,0,IF(_xlfn.XLOOKUP($B34,'PW_CMI GRADE 10'!$B$7:$B$31,'PW_CMI GRADE 10'!P$7:P$31,"",0,1)="P",1*$C34,0))</f>
        <v>0</v>
      </c>
      <c r="CS34" s="32">
        <f>IF($C34=0,0,IF(_xlfn.XLOOKUP($B34,'PW_CMI GRADE 10'!$B$7:$B$31,'PW_CMI GRADE 10'!Q$7:Q$31,"",0,1)="P",1*$C34,0))</f>
        <v>0</v>
      </c>
      <c r="CT34" s="32">
        <f>IF($C34=0,0,IF(_xlfn.XLOOKUP($B34,'PW_CMI GRADE 10'!$B$7:$B$31,'PW_CMI GRADE 10'!R$7:R$31,"",0,1)="P",1*$C34,0))</f>
        <v>0</v>
      </c>
      <c r="CU34" s="32">
        <f>IF($C34=0,0,IF(_xlfn.XLOOKUP($B34,'PW_CMI GRADE 10'!$B$7:$B$31,'PW_CMI GRADE 10'!S$7:S$31,"",0,1)="P",1*$C34,0))</f>
        <v>0</v>
      </c>
      <c r="CV34" s="32">
        <f>IF($C34=0,0,IF(_xlfn.XLOOKUP($B34,'PW_CMI GRADE 10'!$B$7:$B$31,'PW_CMI GRADE 10'!T$7:T$31,"",0,1)="P",1*$C34,0))</f>
        <v>0</v>
      </c>
      <c r="CW34" s="62" t="e">
        <f t="shared" si="19"/>
        <v>#REF!</v>
      </c>
      <c r="CX34" s="62" t="e">
        <f t="shared" si="20"/>
        <v>#REF!</v>
      </c>
      <c r="CY34" s="62" t="e">
        <f t="shared" si="21"/>
        <v>#REF!</v>
      </c>
      <c r="CZ34" s="62" t="e">
        <f t="shared" si="22"/>
        <v>#REF!</v>
      </c>
      <c r="DA34" s="62" t="e">
        <f t="shared" si="23"/>
        <v>#REF!</v>
      </c>
      <c r="DB34" s="62" t="e">
        <f t="shared" si="24"/>
        <v>#REF!</v>
      </c>
      <c r="DC34" s="62" t="e">
        <f t="shared" si="25"/>
        <v>#REF!</v>
      </c>
      <c r="DD34" s="62" t="e">
        <f t="shared" si="26"/>
        <v>#REF!</v>
      </c>
      <c r="DE34" s="62" t="e">
        <f t="shared" si="27"/>
        <v>#REF!</v>
      </c>
      <c r="DF34" s="62" t="e">
        <f t="shared" si="28"/>
        <v>#REF!</v>
      </c>
      <c r="DG34" s="62" t="e">
        <f t="shared" si="29"/>
        <v>#REF!</v>
      </c>
      <c r="DH34" s="62" t="e">
        <f t="shared" si="30"/>
        <v>#REF!</v>
      </c>
      <c r="DI34" s="62" t="e">
        <f t="shared" si="31"/>
        <v>#REF!</v>
      </c>
      <c r="DJ34" s="62" t="e">
        <f t="shared" si="32"/>
        <v>#REF!</v>
      </c>
      <c r="DK34" s="62" t="e">
        <f t="shared" si="33"/>
        <v>#REF!</v>
      </c>
      <c r="DL34" s="62" t="e">
        <f t="shared" si="34"/>
        <v>#REF!</v>
      </c>
      <c r="DM34" s="62" t="e">
        <f t="shared" si="35"/>
        <v>#REF!</v>
      </c>
      <c r="DN34" s="62" t="e">
        <f t="shared" si="36"/>
        <v>#REF!</v>
      </c>
      <c r="DO34" s="62" t="e">
        <f t="shared" si="37"/>
        <v>#REF!</v>
      </c>
      <c r="DP34" s="62" t="e">
        <f t="shared" si="38"/>
        <v>#REF!</v>
      </c>
      <c r="DQ34" s="62" t="e">
        <f t="shared" si="39"/>
        <v>#REF!</v>
      </c>
      <c r="DR34" s="62" t="e">
        <f t="shared" si="40"/>
        <v>#REF!</v>
      </c>
      <c r="DS34" s="62" t="e">
        <f t="shared" si="41"/>
        <v>#REF!</v>
      </c>
      <c r="DT34" s="62" t="e">
        <f t="shared" si="42"/>
        <v>#REF!</v>
      </c>
      <c r="DU34" s="62" t="e">
        <f t="shared" si="43"/>
        <v>#REF!</v>
      </c>
      <c r="DV34" s="62" t="e">
        <f t="shared" si="44"/>
        <v>#REF!</v>
      </c>
      <c r="DW34" s="62" t="e">
        <f t="shared" si="45"/>
        <v>#REF!</v>
      </c>
      <c r="DX34" s="62" t="e">
        <f t="shared" si="46"/>
        <v>#REF!</v>
      </c>
      <c r="DY34" s="62" t="e">
        <f t="shared" si="47"/>
        <v>#REF!</v>
      </c>
      <c r="DZ34" s="62" t="e">
        <f t="shared" si="48"/>
        <v>#REF!</v>
      </c>
      <c r="EA34" s="63">
        <f t="shared" si="68"/>
        <v>0</v>
      </c>
      <c r="EB34" s="63">
        <f t="shared" si="2"/>
        <v>0.16666666666666666</v>
      </c>
      <c r="EC34" s="63">
        <f t="shared" si="3"/>
        <v>0.33333333333333331</v>
      </c>
      <c r="ED34" s="63">
        <f t="shared" si="4"/>
        <v>0.33333333333333331</v>
      </c>
      <c r="EE34" s="63">
        <f t="shared" si="5"/>
        <v>0.33333333333333331</v>
      </c>
      <c r="EF34" s="63">
        <f t="shared" si="6"/>
        <v>0.16666666666666666</v>
      </c>
      <c r="EG34" s="63">
        <f t="shared" si="7"/>
        <v>0.33333333333333331</v>
      </c>
      <c r="EH34" s="63">
        <f t="shared" si="8"/>
        <v>0.33333333333333331</v>
      </c>
      <c r="EI34" s="63">
        <f t="shared" si="9"/>
        <v>0.5</v>
      </c>
      <c r="EJ34" s="63">
        <f t="shared" si="10"/>
        <v>0.33333333333333331</v>
      </c>
      <c r="EK34" s="63">
        <f t="shared" si="11"/>
        <v>0.16666666666666666</v>
      </c>
      <c r="EL34" s="63">
        <f t="shared" si="12"/>
        <v>0</v>
      </c>
      <c r="EM34" s="63">
        <f t="shared" si="13"/>
        <v>0</v>
      </c>
      <c r="EN34" s="63">
        <f t="shared" si="14"/>
        <v>0</v>
      </c>
      <c r="EO34" s="63">
        <f t="shared" si="15"/>
        <v>0</v>
      </c>
      <c r="EP34" s="63">
        <f t="shared" si="16"/>
        <v>0</v>
      </c>
      <c r="FU34" s="51">
        <v>46753</v>
      </c>
      <c r="FV34" t="s">
        <v>22</v>
      </c>
      <c r="FW34" t="s">
        <v>22</v>
      </c>
      <c r="FX34" t="s">
        <v>22</v>
      </c>
      <c r="FY34" t="s">
        <v>22</v>
      </c>
      <c r="FZ34" t="s">
        <v>22</v>
      </c>
      <c r="GA34" t="s">
        <v>22</v>
      </c>
      <c r="GB34" t="s">
        <v>22</v>
      </c>
      <c r="GC34" t="s">
        <v>22</v>
      </c>
      <c r="GD34" t="s">
        <v>22</v>
      </c>
      <c r="GE34" t="s">
        <v>22</v>
      </c>
      <c r="GF34" t="s">
        <v>22</v>
      </c>
      <c r="GG34" t="s">
        <v>22</v>
      </c>
      <c r="GH34" t="s">
        <v>22</v>
      </c>
      <c r="GI34" t="s">
        <v>22</v>
      </c>
      <c r="GJ34" t="s">
        <v>22</v>
      </c>
      <c r="GK34" t="s">
        <v>22</v>
      </c>
      <c r="GL34" t="s">
        <v>22</v>
      </c>
      <c r="GM34" t="s">
        <v>22</v>
      </c>
      <c r="GN34" t="s">
        <v>22</v>
      </c>
      <c r="GO34" t="s">
        <v>22</v>
      </c>
      <c r="GP34" t="s">
        <v>22</v>
      </c>
      <c r="GQ34" t="s">
        <v>22</v>
      </c>
      <c r="GR34" t="s">
        <v>22</v>
      </c>
      <c r="GS34" t="s">
        <v>22</v>
      </c>
      <c r="GT34" t="s">
        <v>22</v>
      </c>
      <c r="GU34" t="s">
        <v>22</v>
      </c>
      <c r="GV34" t="s">
        <v>22</v>
      </c>
      <c r="GW34" t="s">
        <v>22</v>
      </c>
      <c r="GX34" t="s">
        <v>22</v>
      </c>
      <c r="GY34" t="s">
        <v>22</v>
      </c>
      <c r="GZ34" t="s">
        <v>22</v>
      </c>
      <c r="HA34" t="s">
        <v>22</v>
      </c>
      <c r="HB34" t="s">
        <v>22</v>
      </c>
      <c r="HC34" t="s">
        <v>22</v>
      </c>
      <c r="HD34" t="s">
        <v>22</v>
      </c>
      <c r="HE34" t="s">
        <v>22</v>
      </c>
      <c r="HF34" t="s">
        <v>22</v>
      </c>
      <c r="HG34" t="s">
        <v>22</v>
      </c>
      <c r="HH34" t="s">
        <v>22</v>
      </c>
      <c r="HI34" t="s">
        <v>22</v>
      </c>
      <c r="HJ34" t="s">
        <v>22</v>
      </c>
      <c r="HK34" t="s">
        <v>22</v>
      </c>
      <c r="HL34" t="s">
        <v>22</v>
      </c>
      <c r="HM34" t="s">
        <v>22</v>
      </c>
      <c r="HN34" t="s">
        <v>22</v>
      </c>
      <c r="HO34" cm="1">
        <f t="array" ref="HO34">SUMPRODUCT(--(FV34:HN34&lt;&gt;""))</f>
        <v>0</v>
      </c>
    </row>
    <row r="35" spans="1:223">
      <c r="A35" t="str">
        <f t="shared" si="18"/>
        <v>5A.1</v>
      </c>
      <c r="B35" t="s">
        <v>66</v>
      </c>
      <c r="C35" s="27">
        <v>0</v>
      </c>
      <c r="D35" s="30">
        <v>3</v>
      </c>
      <c r="E35" s="31">
        <f>IF($D35=0,0,IF(_xlfn.XLOOKUP($B35,'TH_MLG GRADE 10'!$B$7:$B$49,'TH_MLG GRADE 10'!C$7:C$49,"",0,1)="P",1*$D35,0))</f>
        <v>3</v>
      </c>
      <c r="F35" s="31">
        <f>IF($D35=0,0,IF(_xlfn.XLOOKUP($B35,'TH_MLG GRADE 10'!$B$7:$B$49,'TH_MLG GRADE 10'!D$7:D$49,"",0,1)="P",1*$D35,0))</f>
        <v>3</v>
      </c>
      <c r="G35" s="31">
        <f>IF($D35=0,0,IF(_xlfn.XLOOKUP($B35,'TH_MLG GRADE 10'!$B$7:$B$49,'TH_MLG GRADE 10'!E$7:E$49,"",0,1)="P",1*$D35,0))</f>
        <v>0</v>
      </c>
      <c r="H35" s="31">
        <f>IF($D35=0,0,IF(_xlfn.XLOOKUP($B35,'TH_MLG GRADE 10'!$B$7:$B$49,'TH_MLG GRADE 10'!I$7:I$49,"",0,1)="P",1*$D35,0))</f>
        <v>3</v>
      </c>
      <c r="I35" s="31">
        <f>IF($D35=0,0,IF(_xlfn.XLOOKUP($B35,'TH_MLG GRADE 10'!$B$7:$B$49,'TH_MLG GRADE 10'!J$7:J$49,"",0,1)="P",1*$D35,0))</f>
        <v>3</v>
      </c>
      <c r="J35" s="31">
        <f>IF($D35=0,0,IF(_xlfn.XLOOKUP($B35,'TH_MLG GRADE 10'!$B$7:$B$49,'TH_MLG GRADE 10'!K$7:K$49,"",0,1)="P",1*$D35,0))</f>
        <v>3</v>
      </c>
      <c r="K35" s="31">
        <f>IF($D35=0,0,IF(_xlfn.XLOOKUP($B35,'TH_MLG GRADE 10'!$B$7:$B$49,'TH_MLG GRADE 10'!O$7:O$49,"",0,1)="P",1*$D35,0))</f>
        <v>0</v>
      </c>
      <c r="L35" s="31">
        <f>IF($D35=0,0,IF(_xlfn.XLOOKUP($B35,'TH_MLG GRADE 10'!$B$7:$B$49,'TH_MLG GRADE 10'!P$7:P$49,"",0,1)="P",1*$D35,0))</f>
        <v>0</v>
      </c>
      <c r="M35" s="31">
        <f>IF($D35=0,0,IF(_xlfn.XLOOKUP($B35,'TH_MLG GRADE 10'!$B$7:$B$49,'TH_MLG GRADE 10'!Q$7:Q$49,"",0,1)="P",1*$D35,0))</f>
        <v>0</v>
      </c>
      <c r="N35" s="31">
        <f>IF($D35=0,0,IF(_xlfn.XLOOKUP($B35,'TH_MLG GRADE 10'!$B$7:$B$49,'TH_MLG GRADE 10'!AA$7:AA$49,"",0,1)="P",1*$D35,0))</f>
        <v>0</v>
      </c>
      <c r="O35" s="31">
        <f>IF($D35=0,0,IF(_xlfn.XLOOKUP($B35,'TH_MLG GRADE 10'!$B$7:$B$49,'TH_MLG GRADE 10'!AB$7:AB$49,"",0,1)="P",1*$D35,0))</f>
        <v>0</v>
      </c>
      <c r="P35" s="31">
        <f>IF($D35=0,0,IF(_xlfn.XLOOKUP($B35,'TH_MLG GRADE 10'!$B$7:$B$49,'TH_MLG GRADE 10'!AC$7:AC$49,"",0,1)="P",1*$D35,0))</f>
        <v>0</v>
      </c>
      <c r="Q35" s="31">
        <f>IF($D35=0,0,IF(_xlfn.XLOOKUP($B35,'TH_MLG GRADE 10'!$B$7:$B$49,'TH_MLG GRADE 10'!AG$7:AG$49,"",0,1)="P",1*$D35,0))</f>
        <v>0</v>
      </c>
      <c r="R35" s="31">
        <f>IF($D35=0,0,IF(_xlfn.XLOOKUP($B35,'TH_MLG GRADE 10'!$B$7:$B$49,'TH_MLG GRADE 10'!AH$7:AH$49,"",0,1)="P",1*$D35,0))</f>
        <v>0</v>
      </c>
      <c r="S35" s="31">
        <f>IF($D35=0,0,IF(_xlfn.XLOOKUP($B35,'TH_MLG GRADE 10'!$B$7:$B$49,'TH_MLG GRADE 10'!AI$7:AI$49,"",0,1)="P",1*$D35,0))</f>
        <v>0</v>
      </c>
      <c r="T35" s="31">
        <f>IF($D35=0,0,IF(_xlfn.XLOOKUP($B35,'TH_MLG GRADE 10'!$B$7:$B$49,'TH_MLG GRADE 10'!AM$7:AM$49,"",0,1)="P",1*$D35,0))</f>
        <v>0</v>
      </c>
      <c r="U35" s="31">
        <f>IF($D35=0,0,IF(_xlfn.XLOOKUP($B35,'TH_MLG GRADE 10'!$B$7:$B$49,'TH_MLG GRADE 10'!AN$7:AN$49,"",0,1)="P",1*$D35,0))</f>
        <v>0</v>
      </c>
      <c r="V35" s="31">
        <f>IF($D35=0,0,IF(_xlfn.XLOOKUP($B35,'TH_MLG GRADE 10'!$B$7:$B$49,'TH_MLG GRADE 10'!AO$7:AO$49,"",0,1)="P",1*$D35,0))</f>
        <v>0</v>
      </c>
      <c r="W35" s="31">
        <f>IF($D35=0,0,IF(_xlfn.XLOOKUP($B35,'TH_MLG GRADE 10'!$B$7:$B$49,'TH_MLG GRADE 10'!AY$7:AY$49,"",0,1)="P",1*$D35,0))</f>
        <v>0</v>
      </c>
      <c r="X35" s="31">
        <f>IF($D35=0,0,IF(_xlfn.XLOOKUP($B35,'TH_MLG GRADE 10'!$B$7:$B$49,'TH_MLG GRADE 10'!AZ$7:AZ$49,"",0,1)="P",1*$D35,0))</f>
        <v>0</v>
      </c>
      <c r="Y35" s="31">
        <f>IF($D35=0,0,IF(_xlfn.XLOOKUP($B35,'TH_MLG GRADE 10'!$B$7:$B$49,'TH_MLG GRADE 10'!BA$7:BA$49,"",0,1)="P",1*$D35,0))</f>
        <v>0</v>
      </c>
      <c r="Z35" s="31">
        <f>IF($D35=0,0,IF(_xlfn.XLOOKUP($B35,'TH_MLG GRADE 10'!$B$7:$B$49,'TH_MLG GRADE 10'!BE$7:BE$49,"",0,1)="P",1*$D35,0))</f>
        <v>0</v>
      </c>
      <c r="AA35" s="31">
        <f>IF($D35=0,0,IF(_xlfn.XLOOKUP($B35,'TH_MLG GRADE 10'!$B$7:$B$49,'TH_MLG GRADE 10'!BF$7:BF$49,"",0,1)="P",1*$D35,0))</f>
        <v>0</v>
      </c>
      <c r="AB35" s="31">
        <f>IF($D35=0,0,IF(_xlfn.XLOOKUP($B35,'TH_MLG GRADE 10'!$B$7:$B$49,'TH_MLG GRADE 10'!BG$7:BG$49,"",0,1)="P",1*$D35,0))</f>
        <v>0</v>
      </c>
      <c r="AC35" s="31" t="e">
        <f>IF($D35=0,0,IF(_xlfn.XLOOKUP($B35,'TH_MLG GRADE 10'!$B$7:$B$49,'TH_MLG GRADE 10'!#REF!,"",0,1)="P",1*$D35,0))</f>
        <v>#REF!</v>
      </c>
      <c r="AD35" s="31" t="e">
        <f>IF($D35=0,0,IF(_xlfn.XLOOKUP($B35,'TH_MLG GRADE 10'!$B$7:$B$49,'TH_MLG GRADE 10'!#REF!,"",0,1)="P",1*$D35,0))</f>
        <v>#REF!</v>
      </c>
      <c r="AE35" s="31" t="e">
        <f>IF($D35=0,0,IF(_xlfn.XLOOKUP($B35,'TH_MLG GRADE 10'!$B$7:$B$49,'TH_MLG GRADE 10'!#REF!,"",0,1)="P",1*$D35,0))</f>
        <v>#REF!</v>
      </c>
      <c r="AF35" s="31" t="e">
        <f>IF($D35=0,0,IF(_xlfn.XLOOKUP($B35,'TH_MLG GRADE 10'!$B$7:$B$49,'TH_MLG GRADE 10'!#REF!,"",0,1)="P",1*$D35,0))</f>
        <v>#REF!</v>
      </c>
      <c r="AG35" s="31" t="e">
        <f>IF($D35=0,0,IF(_xlfn.XLOOKUP($B35,'TH_MLG GRADE 10'!$B$7:$B$49,'TH_MLG GRADE 10'!#REF!,"",0,1)="P",1*$D35,0))</f>
        <v>#REF!</v>
      </c>
      <c r="AH35" s="31" t="e">
        <f>IF($D35=0,0,IF(_xlfn.XLOOKUP($B35,'TH_MLG GRADE 10'!$B$7:$B$49,'TH_MLG GRADE 10'!#REF!,"",0,1)="P",1*$D35,0))</f>
        <v>#REF!</v>
      </c>
      <c r="AI35" s="32">
        <f>IF($D35=0,0,IF(_xlfn.XLOOKUP($B35,'TH_CMI GRADE 10'!$B$7:$B$49,'TH_CMI GRADE 10'!C$7:C$49,"",0,1)="P",1*$D35,0))</f>
        <v>0</v>
      </c>
      <c r="AJ35" s="32">
        <f>IF($D35=0,0,IF(_xlfn.XLOOKUP($B35,'TH_CMI GRADE 10'!$B$7:$B$49,'TH_CMI GRADE 10'!D$7:D$49,"",0,1)="P",1*$D35,0))</f>
        <v>0</v>
      </c>
      <c r="AK35" s="32">
        <f>IF($D35=0,0,IF(_xlfn.XLOOKUP($B35,'TH_CMI GRADE 10'!$B$7:$B$49,'TH_CMI GRADE 10'!H$7:H$49,"",0,1)="P",1*$D35,0))</f>
        <v>0</v>
      </c>
      <c r="AL35" s="32">
        <f>IF($D35=0,0,IF(_xlfn.XLOOKUP($B35,'TH_CMI GRADE 10'!$B$7:$B$49,'TH_CMI GRADE 10'!I$7:I$49,"",0,1)="P",1*$D35,0))</f>
        <v>3</v>
      </c>
      <c r="AM35" s="32">
        <f>IF($D35=0,0,IF(_xlfn.XLOOKUP($B35,'TH_CMI GRADE 10'!$B$7:$B$49,'TH_CMI GRADE 10'!J$7:J$49,"",0,1)="P",1*$D35,0))</f>
        <v>3</v>
      </c>
      <c r="AN35" s="32">
        <f>IF($D35=0,0,IF(_xlfn.XLOOKUP($B35,'TH_CMI GRADE 10'!$B$7:$B$49,'TH_CMI GRADE 10'!K$7:K$49,"",0,1)="P",1*$D35,0))</f>
        <v>3</v>
      </c>
      <c r="AO35" s="32">
        <f>IF($D35=0,0,IF(_xlfn.XLOOKUP($B35,'TH_CMI GRADE 10'!$B$7:$B$49,'TH_CMI GRADE 10'!O$7:O$49,"",0,1)="P",1*$D35,0))</f>
        <v>0</v>
      </c>
      <c r="AP35" s="32">
        <f>IF($D35=0,0,IF(_xlfn.XLOOKUP($B35,'TH_CMI GRADE 10'!$B$7:$B$49,'TH_CMI GRADE 10'!P$7:P$49,"",0,1)="P",1*$D35,0))</f>
        <v>0</v>
      </c>
      <c r="AQ35" s="32">
        <f>IF($D35=0,0,IF(_xlfn.XLOOKUP($B35,'TH_CMI GRADE 10'!$B$7:$B$49,'TH_CMI GRADE 10'!Q$7:Q$49,"",0,1)="P",1*$D35,0))</f>
        <v>0</v>
      </c>
      <c r="AR35" s="32">
        <f>IF($D35=0,0,IF(_xlfn.XLOOKUP($B35,'TH_CMI GRADE 10'!$B$7:$B$49,'TH_CMI GRADE 10'!U$7:U$49,"",0,1)="P",1*$D35,0))</f>
        <v>3</v>
      </c>
      <c r="AS35" s="32">
        <f>IF($D35=0,0,IF(_xlfn.XLOOKUP($B35,'TH_CMI GRADE 10'!$B$7:$B$49,'TH_CMI GRADE 10'!V$7:V$49,"",0,1)="P",1*$D35,0))</f>
        <v>3</v>
      </c>
      <c r="AT35" s="32">
        <f>IF($D35=0,0,IF(_xlfn.XLOOKUP($B35,'TH_CMI GRADE 10'!$B$7:$B$49,'TH_CMI GRADE 10'!W$7:W$49,"",0,1)="P",1*$D35,0))</f>
        <v>3</v>
      </c>
      <c r="AU35" s="32">
        <f>IF($D35=0,0,IF(_xlfn.XLOOKUP($B35,'TH_CMI GRADE 10'!$B$7:$B$49,'TH_CMI GRADE 10'!AA$7:AA$49,"",0,1)="P",1*$D35,0))</f>
        <v>0</v>
      </c>
      <c r="AV35" s="32">
        <f>IF($D35=0,0,IF(_xlfn.XLOOKUP($B35,'TH_CMI GRADE 10'!$B$7:$B$49,'TH_CMI GRADE 10'!AB$7:AB$49,"",0,1)="P",1*$D35,0))</f>
        <v>0</v>
      </c>
      <c r="AW35" s="32">
        <f>IF($D35=0,0,IF(_xlfn.XLOOKUP($B35,'TH_CMI GRADE 10'!$B$7:$B$49,'TH_CMI GRADE 10'!AC$7:AC$49,"",0,1)="P",1*$D35,0))</f>
        <v>0</v>
      </c>
      <c r="AX35" s="32">
        <f>IF($D35=0,0,IF(_xlfn.XLOOKUP($B35,'TH_CMI GRADE 10'!$B$7:$B$49,'TH_CMI GRADE 10'!AG$7:AG$49,"",0,1)="P",1*$D35,0))</f>
        <v>0</v>
      </c>
      <c r="AY35" s="32">
        <f>IF($D35=0,0,IF(_xlfn.XLOOKUP($B35,'TH_CMI GRADE 10'!$B$7:$B$49,'TH_CMI GRADE 10'!AH$7:AH$49,"",0,1)="P",1*$D35,0))</f>
        <v>0</v>
      </c>
      <c r="AZ35" s="32">
        <f>IF($D35=0,0,IF(_xlfn.XLOOKUP($B35,'TH_CMI GRADE 10'!$B$7:$B$49,'TH_CMI GRADE 10'!AI$7:AI$49,"",0,1)="P",1*$D35,0))</f>
        <v>0</v>
      </c>
      <c r="BA35" s="31">
        <f>IF($C35=0,0,IF(_xlfn.XLOOKUP($B35,'PW_MLG GRADE 10'!$B$7:$B$31,'PW_MLG GRADE 10'!#REF!,"",0,1)="P",1*$C35,0))</f>
        <v>0</v>
      </c>
      <c r="BB35" s="31">
        <f>IF($C35=0,0,IF(_xlfn.XLOOKUP($B35,'PW_MLG GRADE 10'!$B$7:$B$31,'PW_MLG GRADE 10'!#REF!,"",0,1)="P",1*$C35,0))</f>
        <v>0</v>
      </c>
      <c r="BC35" s="31">
        <f>IF($C35=0,0,IF(_xlfn.XLOOKUP($B35,'PW_MLG GRADE 10'!$B$7:$B$31,'PW_MLG GRADE 10'!#REF!,"",0,1)="P",1*$C35,0))</f>
        <v>0</v>
      </c>
      <c r="BD35" s="31">
        <f>IF($C35=0,0,IF(_xlfn.XLOOKUP($B35,'PW_MLG GRADE 10'!$B$7:$B$31,'PW_MLG GRADE 10'!#REF!,"",0,1)="P",1*$C35,0))</f>
        <v>0</v>
      </c>
      <c r="BE35" s="31">
        <f>IF($C35=0,0,IF(_xlfn.XLOOKUP($B35,'PW_MLG GRADE 10'!$B$7:$B$31,'PW_MLG GRADE 10'!#REF!,"",0,1)="P",1*$C35,0))</f>
        <v>0</v>
      </c>
      <c r="BF35" s="31">
        <f>IF($C35=0,0,IF(_xlfn.XLOOKUP($B35,'PW_MLG GRADE 10'!$B$7:$B$31,'PW_MLG GRADE 10'!#REF!,"",0,1)="P",1*$C35,0))</f>
        <v>0</v>
      </c>
      <c r="BG35" s="31">
        <f>IF($C35=0,0,IF(_xlfn.XLOOKUP($B35,'PW_MLG GRADE 10'!$B$7:$B$31,'PW_MLG GRADE 10'!#REF!,"",0,1)="P",1*$C35,0))</f>
        <v>0</v>
      </c>
      <c r="BH35" s="31">
        <f>IF($C35=0,0,IF(_xlfn.XLOOKUP($B35,'PW_MLG GRADE 10'!$B$7:$B$31,'PW_MLG GRADE 10'!#REF!,"",0,1)="P",1*$C35,0))</f>
        <v>0</v>
      </c>
      <c r="BI35" s="31">
        <f>IF($C35=0,0,IF(_xlfn.XLOOKUP($B35,'PW_MLG GRADE 10'!$B$7:$B$31,'PW_MLG GRADE 10'!#REF!,"",0,1)="P",1*$C35,0))</f>
        <v>0</v>
      </c>
      <c r="BJ35" s="31">
        <f>IF($C35=0,0,IF(_xlfn.XLOOKUP($B35,'PW_MLG GRADE 10'!$B$7:$B$31,'PW_MLG GRADE 10'!#REF!,"",0,1)="P",1*$C35,0))</f>
        <v>0</v>
      </c>
      <c r="BK35" s="31">
        <f>IF($C35=0,0,IF(_xlfn.XLOOKUP($B35,'PW_MLG GRADE 10'!$B$7:$B$31,'PW_MLG GRADE 10'!#REF!,"",0,1)="P",1*$C35,0))</f>
        <v>0</v>
      </c>
      <c r="BL35" s="31">
        <f>IF($C35=0,0,IF(_xlfn.XLOOKUP($B35,'PW_MLG GRADE 10'!$B$7:$B$31,'PW_MLG GRADE 10'!#REF!,"",0,1)="P",1*$C35,0))</f>
        <v>0</v>
      </c>
      <c r="BM35" s="31">
        <f>IF($C35=0,0,IF(_xlfn.XLOOKUP($B35,'PW_MLG GRADE 10'!$B$7:$B$31,'PW_MLG GRADE 10'!#REF!,"",0,1)="P",1*$C35,0))</f>
        <v>0</v>
      </c>
      <c r="BN35" s="31">
        <f>IF($C35=0,0,IF(_xlfn.XLOOKUP($B35,'PW_MLG GRADE 10'!$B$7:$B$31,'PW_MLG GRADE 10'!#REF!,"",0,1)="P",1*$C35,0))</f>
        <v>0</v>
      </c>
      <c r="BO35" s="31">
        <f>IF($C35=0,0,IF(_xlfn.XLOOKUP($B35,'PW_MLG GRADE 10'!$B$7:$B$31,'PW_MLG GRADE 10'!#REF!,"",0,1)="P",1*$C35,0))</f>
        <v>0</v>
      </c>
      <c r="BP35" s="31">
        <f>IF($C35=0,0,IF(_xlfn.XLOOKUP($B35,'PW_MLG GRADE 10'!$B$7:$B$31,'PW_MLG GRADE 10'!#REF!,"",0,1)="P",1*$C35,0))</f>
        <v>0</v>
      </c>
      <c r="BQ35" s="31">
        <f>IF($C35=0,0,IF(_xlfn.XLOOKUP($B35,'PW_MLG GRADE 10'!$B$7:$B$31,'PW_MLG GRADE 10'!#REF!,"",0,1)="P",1*$C35,0))</f>
        <v>0</v>
      </c>
      <c r="BR35" s="31">
        <f>IF($C35=0,0,IF(_xlfn.XLOOKUP($B35,'PW_MLG GRADE 10'!$B$7:$B$31,'PW_MLG GRADE 10'!#REF!,"",0,1)="P",1*$C35,0))</f>
        <v>0</v>
      </c>
      <c r="BS35" s="31">
        <f>IF($C35=0,0,IF(_xlfn.XLOOKUP($B35,'PW_MLG GRADE 10'!$B$7:$B$31,'PW_MLG GRADE 10'!#REF!,"",0,1)="P",1*$C35,0))</f>
        <v>0</v>
      </c>
      <c r="BT35" s="31">
        <f>IF($C35=0,0,IF(_xlfn.XLOOKUP($B35,'PW_MLG GRADE 10'!$B$7:$B$31,'PW_MLG GRADE 10'!#REF!,"",0,1)="P",1*$C35,0))</f>
        <v>0</v>
      </c>
      <c r="BU35" s="31">
        <f>IF($C35=0,0,IF(_xlfn.XLOOKUP($B35,'PW_MLG GRADE 10'!$B$7:$B$31,'PW_MLG GRADE 10'!#REF!,"",0,1)="P",1*$C35,0))</f>
        <v>0</v>
      </c>
      <c r="BV35" s="31">
        <f>IF($C35=0,0,IF(_xlfn.XLOOKUP($B35,'PW_MLG GRADE 10'!$B$7:$B$31,'PW_MLG GRADE 10'!#REF!,"",0,1)="P",1*$C35,0))</f>
        <v>0</v>
      </c>
      <c r="BW35" s="31">
        <f>IF($C35=0,0,IF(_xlfn.XLOOKUP($B35,'PW_MLG GRADE 10'!$B$7:$B$31,'PW_MLG GRADE 10'!#REF!,"",0,1)="P",1*$C35,0))</f>
        <v>0</v>
      </c>
      <c r="BX35" s="31">
        <f>IF($C35=0,0,IF(_xlfn.XLOOKUP($B35,'PW_MLG GRADE 10'!$B$7:$B$31,'PW_MLG GRADE 10'!#REF!,"",0,1)="P",1*$C35,0))</f>
        <v>0</v>
      </c>
      <c r="BY35" s="31">
        <f>IF($C35=0,0,IF(_xlfn.XLOOKUP($B35,'PW_MLG GRADE 10'!$B$7:$B$31,'PW_MLG GRADE 10'!#REF!,"",0,1)="P",1*$C35,0))</f>
        <v>0</v>
      </c>
      <c r="BZ35" s="31">
        <f>IF($C35=0,0,IF(_xlfn.XLOOKUP($B35,'PW_MLG GRADE 10'!$B$7:$B$31,'PW_MLG GRADE 10'!#REF!,"",0,1)="P",1*$C35,0))</f>
        <v>0</v>
      </c>
      <c r="CA35" s="31">
        <f>IF($C35=0,0,IF(_xlfn.XLOOKUP($B35,'PW_MLG GRADE 10'!$B$7:$B$31,'PW_MLG GRADE 10'!#REF!,"",0,1)="P",1*$C35,0))</f>
        <v>0</v>
      </c>
      <c r="CB35" s="31">
        <f>IF($C35=0,0,IF(_xlfn.XLOOKUP($B35,'PW_MLG GRADE 10'!$B$7:$B$31,'PW_MLG GRADE 10'!#REF!,"",0,1)="P",1*$C35,0))</f>
        <v>0</v>
      </c>
      <c r="CC35" s="31">
        <f>IF($C35=0,0,IF(_xlfn.XLOOKUP($B35,'PW_MLG GRADE 10'!$B$7:$B$31,'PW_MLG GRADE 10'!#REF!,"",0,1)="P",1*$C35,0))</f>
        <v>0</v>
      </c>
      <c r="CD35" s="31">
        <f>IF($C35=0,0,IF(_xlfn.XLOOKUP($B35,'PW_MLG GRADE 10'!$B$7:$B$31,'PW_MLG GRADE 10'!#REF!,"",0,1)="P",1*$C35,0))</f>
        <v>0</v>
      </c>
      <c r="CE35" s="32">
        <f>IF($C35=0,0,IF(_xlfn.XLOOKUP($B35,'PW_CMI GRADE 10'!$B$7:$B$31,'PW_CMI GRADE 10'!C$7:C$31,"",0,1)="P",1*$C35,0))</f>
        <v>0</v>
      </c>
      <c r="CF35" s="32">
        <f>IF($C35=0,0,IF(_xlfn.XLOOKUP($B35,'PW_CMI GRADE 10'!$B$7:$B$31,'PW_CMI GRADE 10'!D$7:D$31,"",0,1)="P",1*$C35,0))</f>
        <v>0</v>
      </c>
      <c r="CG35" s="32">
        <f>IF($C35=0,0,IF(_xlfn.XLOOKUP($B35,'PW_CMI GRADE 10'!$B$7:$B$31,'PW_CMI GRADE 10'!E$7:E$31,"",0,1)="P",1*$C35,0))</f>
        <v>0</v>
      </c>
      <c r="CH35" s="32">
        <f>IF($C35=0,0,IF(_xlfn.XLOOKUP($B35,'PW_CMI GRADE 10'!$B$7:$B$31,'PW_CMI GRADE 10'!F$7:F$31,"",0,1)="P",1*$C35,0))</f>
        <v>0</v>
      </c>
      <c r="CI35" s="32">
        <f>IF($C35=0,0,IF(_xlfn.XLOOKUP($B35,'PW_CMI GRADE 10'!$B$7:$B$31,'PW_CMI GRADE 10'!G$7:G$31,"",0,1)="P",1*$C35,0))</f>
        <v>0</v>
      </c>
      <c r="CJ35" s="32">
        <f>IF($C35=0,0,IF(_xlfn.XLOOKUP($B35,'PW_CMI GRADE 10'!$B$7:$B$31,'PW_CMI GRADE 10'!H$7:H$31,"",0,1)="P",1*$C35,0))</f>
        <v>0</v>
      </c>
      <c r="CK35" s="32">
        <f>IF($C35=0,0,IF(_xlfn.XLOOKUP($B35,'PW_CMI GRADE 10'!$B$7:$B$31,'PW_CMI GRADE 10'!I$7:I$31,"",0,1)="P",1*$C35,0))</f>
        <v>0</v>
      </c>
      <c r="CL35" s="32">
        <f>IF($C35=0,0,IF(_xlfn.XLOOKUP($B35,'PW_CMI GRADE 10'!$B$7:$B$31,'PW_CMI GRADE 10'!J$7:J$31,"",0,1)="P",1*$C35,0))</f>
        <v>0</v>
      </c>
      <c r="CM35" s="32">
        <f>IF($C35=0,0,IF(_xlfn.XLOOKUP($B35,'PW_CMI GRADE 10'!$B$7:$B$31,'PW_CMI GRADE 10'!K$7:K$31,"",0,1)="P",1*$C35,0))</f>
        <v>0</v>
      </c>
      <c r="CN35" s="32">
        <f>IF($C35=0,0,IF(_xlfn.XLOOKUP($B35,'PW_CMI GRADE 10'!$B$7:$B$31,'PW_CMI GRADE 10'!L$7:L$31,"",0,1)="P",1*$C35,0))</f>
        <v>0</v>
      </c>
      <c r="CO35" s="32">
        <f>IF($C35=0,0,IF(_xlfn.XLOOKUP($B35,'PW_CMI GRADE 10'!$B$7:$B$31,'PW_CMI GRADE 10'!M$7:M$31,"",0,1)="P",1*$C35,0))</f>
        <v>0</v>
      </c>
      <c r="CP35" s="32">
        <f>IF($C35=0,0,IF(_xlfn.XLOOKUP($B35,'PW_CMI GRADE 10'!$B$7:$B$31,'PW_CMI GRADE 10'!N$7:N$31,"",0,1)="P",1*$C35,0))</f>
        <v>0</v>
      </c>
      <c r="CQ35" s="32">
        <f>IF($C35=0,0,IF(_xlfn.XLOOKUP($B35,'PW_CMI GRADE 10'!$B$7:$B$31,'PW_CMI GRADE 10'!O$7:O$31,"",0,1)="P",1*$C35,0))</f>
        <v>0</v>
      </c>
      <c r="CR35" s="32">
        <f>IF($C35=0,0,IF(_xlfn.XLOOKUP($B35,'PW_CMI GRADE 10'!$B$7:$B$31,'PW_CMI GRADE 10'!P$7:P$31,"",0,1)="P",1*$C35,0))</f>
        <v>0</v>
      </c>
      <c r="CS35" s="32">
        <f>IF($C35=0,0,IF(_xlfn.XLOOKUP($B35,'PW_CMI GRADE 10'!$B$7:$B$31,'PW_CMI GRADE 10'!Q$7:Q$31,"",0,1)="P",1*$C35,0))</f>
        <v>0</v>
      </c>
      <c r="CT35" s="32">
        <f>IF($C35=0,0,IF(_xlfn.XLOOKUP($B35,'PW_CMI GRADE 10'!$B$7:$B$31,'PW_CMI GRADE 10'!R$7:R$31,"",0,1)="P",1*$C35,0))</f>
        <v>0</v>
      </c>
      <c r="CU35" s="32">
        <f>IF($C35=0,0,IF(_xlfn.XLOOKUP($B35,'PW_CMI GRADE 10'!$B$7:$B$31,'PW_CMI GRADE 10'!S$7:S$31,"",0,1)="P",1*$C35,0))</f>
        <v>0</v>
      </c>
      <c r="CV35" s="32">
        <f>IF($C35=0,0,IF(_xlfn.XLOOKUP($B35,'PW_CMI GRADE 10'!$B$7:$B$31,'PW_CMI GRADE 10'!T$7:T$31,"",0,1)="P",1*$C35,0))</f>
        <v>0</v>
      </c>
      <c r="CW35" s="62">
        <f t="shared" si="19"/>
        <v>0.66666666666666663</v>
      </c>
      <c r="CX35" s="62">
        <f t="shared" si="20"/>
        <v>0.66666666666666663</v>
      </c>
      <c r="CY35" s="62">
        <f t="shared" si="21"/>
        <v>0.66666666666666663</v>
      </c>
      <c r="CZ35" s="62">
        <f t="shared" si="22"/>
        <v>1</v>
      </c>
      <c r="DA35" s="62">
        <f t="shared" si="23"/>
        <v>0.66666666666666663</v>
      </c>
      <c r="DB35" s="62">
        <f t="shared" si="24"/>
        <v>0.33333333333333331</v>
      </c>
      <c r="DC35" s="62">
        <f t="shared" si="25"/>
        <v>0</v>
      </c>
      <c r="DD35" s="62">
        <f t="shared" si="26"/>
        <v>0</v>
      </c>
      <c r="DE35" s="62">
        <f t="shared" si="27"/>
        <v>0</v>
      </c>
      <c r="DF35" s="62">
        <f t="shared" si="28"/>
        <v>0</v>
      </c>
      <c r="DG35" s="62">
        <f t="shared" si="29"/>
        <v>0</v>
      </c>
      <c r="DH35" s="62">
        <f t="shared" si="30"/>
        <v>0</v>
      </c>
      <c r="DI35" s="62">
        <f t="shared" si="31"/>
        <v>0</v>
      </c>
      <c r="DJ35" s="62">
        <f t="shared" si="32"/>
        <v>0</v>
      </c>
      <c r="DK35" s="62">
        <f t="shared" si="33"/>
        <v>0</v>
      </c>
      <c r="DL35" s="62">
        <f t="shared" si="34"/>
        <v>0</v>
      </c>
      <c r="DM35" s="62">
        <f t="shared" si="35"/>
        <v>0</v>
      </c>
      <c r="DN35" s="62">
        <f t="shared" si="36"/>
        <v>0</v>
      </c>
      <c r="DO35" s="62">
        <f t="shared" si="37"/>
        <v>0</v>
      </c>
      <c r="DP35" s="62">
        <f t="shared" si="38"/>
        <v>0</v>
      </c>
      <c r="DQ35" s="62">
        <f t="shared" si="39"/>
        <v>0</v>
      </c>
      <c r="DR35" s="62">
        <f t="shared" si="40"/>
        <v>0</v>
      </c>
      <c r="DS35" s="62" t="e">
        <f t="shared" si="41"/>
        <v>#REF!</v>
      </c>
      <c r="DT35" s="62" t="e">
        <f t="shared" si="42"/>
        <v>#REF!</v>
      </c>
      <c r="DU35" s="62" t="e">
        <f t="shared" si="43"/>
        <v>#REF!</v>
      </c>
      <c r="DV35" s="62" t="e">
        <f t="shared" si="44"/>
        <v>#REF!</v>
      </c>
      <c r="DW35" s="62" t="e">
        <f t="shared" si="45"/>
        <v>#REF!</v>
      </c>
      <c r="DX35" s="62" t="e">
        <f t="shared" si="46"/>
        <v>#REF!</v>
      </c>
      <c r="DY35" s="62" t="e">
        <f t="shared" si="47"/>
        <v>#REF!</v>
      </c>
      <c r="DZ35" s="62" t="e">
        <f t="shared" si="48"/>
        <v>#REF!</v>
      </c>
      <c r="EA35" s="63">
        <f t="shared" si="68"/>
        <v>0</v>
      </c>
      <c r="EB35" s="63">
        <f t="shared" si="2"/>
        <v>0.33333333333333331</v>
      </c>
      <c r="EC35" s="63">
        <f t="shared" si="3"/>
        <v>0.66666666666666663</v>
      </c>
      <c r="ED35" s="63">
        <f t="shared" si="4"/>
        <v>1</v>
      </c>
      <c r="EE35" s="63">
        <f t="shared" si="5"/>
        <v>0.66666666666666663</v>
      </c>
      <c r="EF35" s="63">
        <f t="shared" si="6"/>
        <v>0.33333333333333331</v>
      </c>
      <c r="EG35" s="63">
        <f t="shared" si="7"/>
        <v>0</v>
      </c>
      <c r="EH35" s="63">
        <f t="shared" si="8"/>
        <v>0.33333333333333331</v>
      </c>
      <c r="EI35" s="63">
        <f t="shared" si="9"/>
        <v>0.66666666666666663</v>
      </c>
      <c r="EJ35" s="63">
        <f t="shared" si="10"/>
        <v>1</v>
      </c>
      <c r="EK35" s="63">
        <f t="shared" si="11"/>
        <v>0.66666666666666663</v>
      </c>
      <c r="EL35" s="63">
        <f t="shared" si="12"/>
        <v>0.33333333333333331</v>
      </c>
      <c r="EM35" s="63">
        <f t="shared" si="13"/>
        <v>0</v>
      </c>
      <c r="EN35" s="63">
        <f t="shared" si="14"/>
        <v>0</v>
      </c>
      <c r="EO35" s="63">
        <f t="shared" si="15"/>
        <v>0</v>
      </c>
      <c r="EP35" s="63">
        <f t="shared" si="16"/>
        <v>0</v>
      </c>
      <c r="FU35" s="51">
        <v>46784</v>
      </c>
      <c r="FV35" t="s">
        <v>22</v>
      </c>
      <c r="FW35" t="s">
        <v>22</v>
      </c>
      <c r="FX35" t="s">
        <v>22</v>
      </c>
      <c r="FY35" t="s">
        <v>22</v>
      </c>
      <c r="FZ35" t="s">
        <v>22</v>
      </c>
      <c r="GA35" t="s">
        <v>22</v>
      </c>
      <c r="GB35" t="s">
        <v>22</v>
      </c>
      <c r="GC35" t="s">
        <v>22</v>
      </c>
      <c r="GD35" t="s">
        <v>22</v>
      </c>
      <c r="GE35" t="s">
        <v>22</v>
      </c>
      <c r="GF35" t="s">
        <v>22</v>
      </c>
      <c r="GG35" t="s">
        <v>22</v>
      </c>
      <c r="GH35" t="s">
        <v>22</v>
      </c>
      <c r="GI35" t="s">
        <v>22</v>
      </c>
      <c r="GJ35" t="s">
        <v>22</v>
      </c>
      <c r="GK35" t="s">
        <v>22</v>
      </c>
      <c r="GL35" t="s">
        <v>22</v>
      </c>
      <c r="GM35" t="s">
        <v>22</v>
      </c>
      <c r="GN35" t="s">
        <v>22</v>
      </c>
      <c r="GO35" t="s">
        <v>22</v>
      </c>
      <c r="GP35" t="s">
        <v>22</v>
      </c>
      <c r="GQ35" t="s">
        <v>22</v>
      </c>
      <c r="GR35" t="s">
        <v>22</v>
      </c>
      <c r="GS35" t="s">
        <v>22</v>
      </c>
      <c r="GT35" t="s">
        <v>22</v>
      </c>
      <c r="GU35" t="s">
        <v>22</v>
      </c>
      <c r="GV35" t="s">
        <v>22</v>
      </c>
      <c r="GW35" t="s">
        <v>22</v>
      </c>
      <c r="GX35" t="s">
        <v>22</v>
      </c>
      <c r="GY35" t="s">
        <v>22</v>
      </c>
      <c r="GZ35" t="s">
        <v>22</v>
      </c>
      <c r="HA35" t="s">
        <v>22</v>
      </c>
      <c r="HB35" t="s">
        <v>22</v>
      </c>
      <c r="HC35" t="s">
        <v>22</v>
      </c>
      <c r="HD35" t="s">
        <v>22</v>
      </c>
      <c r="HE35" t="s">
        <v>22</v>
      </c>
      <c r="HF35" t="s">
        <v>22</v>
      </c>
      <c r="HG35" t="s">
        <v>22</v>
      </c>
      <c r="HH35" t="s">
        <v>22</v>
      </c>
      <c r="HI35" t="s">
        <v>22</v>
      </c>
      <c r="HJ35" t="s">
        <v>22</v>
      </c>
      <c r="HK35" t="s">
        <v>22</v>
      </c>
      <c r="HL35" t="s">
        <v>22</v>
      </c>
      <c r="HM35" t="s">
        <v>22</v>
      </c>
      <c r="HN35" t="s">
        <v>22</v>
      </c>
      <c r="HO35" cm="1">
        <f t="array" ref="HO35">SUMPRODUCT(--(FV35:HN35&lt;&gt;""))</f>
        <v>0</v>
      </c>
    </row>
    <row r="36" spans="1:223">
      <c r="A36" t="str">
        <f t="shared" si="18"/>
        <v>5A.2</v>
      </c>
      <c r="B36" t="s">
        <v>67</v>
      </c>
      <c r="C36" s="30">
        <v>4</v>
      </c>
      <c r="D36" s="30">
        <v>2</v>
      </c>
      <c r="E36" s="31">
        <f>IF($D36=0,0,IF(_xlfn.XLOOKUP($B36,'TH_MLG GRADE 10'!$B$7:$B$49,'TH_MLG GRADE 10'!C$7:C$49,"",0,1)="P",1*$D36,0))</f>
        <v>2</v>
      </c>
      <c r="F36" s="31">
        <f>IF($D36=0,0,IF(_xlfn.XLOOKUP($B36,'TH_MLG GRADE 10'!$B$7:$B$49,'TH_MLG GRADE 10'!D$7:D$49,"",0,1)="P",1*$D36,0))</f>
        <v>2</v>
      </c>
      <c r="G36" s="31">
        <f>IF($D36=0,0,IF(_xlfn.XLOOKUP($B36,'TH_MLG GRADE 10'!$B$7:$B$49,'TH_MLG GRADE 10'!E$7:E$49,"",0,1)="P",1*$D36,0))</f>
        <v>0</v>
      </c>
      <c r="H36" s="31">
        <f>IF($D36=0,0,IF(_xlfn.XLOOKUP($B36,'TH_MLG GRADE 10'!$B$7:$B$49,'TH_MLG GRADE 10'!I$7:I$49,"",0,1)="P",1*$D36,0))</f>
        <v>2</v>
      </c>
      <c r="I36" s="31">
        <f>IF($D36=0,0,IF(_xlfn.XLOOKUP($B36,'TH_MLG GRADE 10'!$B$7:$B$49,'TH_MLG GRADE 10'!J$7:J$49,"",0,1)="P",1*$D36,0))</f>
        <v>2</v>
      </c>
      <c r="J36" s="31">
        <f>IF($D36=0,0,IF(_xlfn.XLOOKUP($B36,'TH_MLG GRADE 10'!$B$7:$B$49,'TH_MLG GRADE 10'!K$7:K$49,"",0,1)="P",1*$D36,0))</f>
        <v>2</v>
      </c>
      <c r="K36" s="31">
        <f>IF($D36=0,0,IF(_xlfn.XLOOKUP($B36,'TH_MLG GRADE 10'!$B$7:$B$49,'TH_MLG GRADE 10'!O$7:O$49,"",0,1)="P",1*$D36,0))</f>
        <v>2</v>
      </c>
      <c r="L36" s="31">
        <f>IF($D36=0,0,IF(_xlfn.XLOOKUP($B36,'TH_MLG GRADE 10'!$B$7:$B$49,'TH_MLG GRADE 10'!P$7:P$49,"",0,1)="P",1*$D36,0))</f>
        <v>0</v>
      </c>
      <c r="M36" s="31">
        <f>IF($D36=0,0,IF(_xlfn.XLOOKUP($B36,'TH_MLG GRADE 10'!$B$7:$B$49,'TH_MLG GRADE 10'!Q$7:Q$49,"",0,1)="P",1*$D36,0))</f>
        <v>0</v>
      </c>
      <c r="N36" s="31">
        <f>IF($D36=0,0,IF(_xlfn.XLOOKUP($B36,'TH_MLG GRADE 10'!$B$7:$B$49,'TH_MLG GRADE 10'!AA$7:AA$49,"",0,1)="P",1*$D36,0))</f>
        <v>0</v>
      </c>
      <c r="O36" s="31">
        <f>IF($D36=0,0,IF(_xlfn.XLOOKUP($B36,'TH_MLG GRADE 10'!$B$7:$B$49,'TH_MLG GRADE 10'!AB$7:AB$49,"",0,1)="P",1*$D36,0))</f>
        <v>0</v>
      </c>
      <c r="P36" s="31">
        <f>IF($D36=0,0,IF(_xlfn.XLOOKUP($B36,'TH_MLG GRADE 10'!$B$7:$B$49,'TH_MLG GRADE 10'!AC$7:AC$49,"",0,1)="P",1*$D36,0))</f>
        <v>0</v>
      </c>
      <c r="Q36" s="31">
        <f>IF($D36=0,0,IF(_xlfn.XLOOKUP($B36,'TH_MLG GRADE 10'!$B$7:$B$49,'TH_MLG GRADE 10'!AG$7:AG$49,"",0,1)="P",1*$D36,0))</f>
        <v>0</v>
      </c>
      <c r="R36" s="31">
        <f>IF($D36=0,0,IF(_xlfn.XLOOKUP($B36,'TH_MLG GRADE 10'!$B$7:$B$49,'TH_MLG GRADE 10'!AH$7:AH$49,"",0,1)="P",1*$D36,0))</f>
        <v>0</v>
      </c>
      <c r="S36" s="31">
        <f>IF($D36=0,0,IF(_xlfn.XLOOKUP($B36,'TH_MLG GRADE 10'!$B$7:$B$49,'TH_MLG GRADE 10'!AI$7:AI$49,"",0,1)="P",1*$D36,0))</f>
        <v>0</v>
      </c>
      <c r="T36" s="31">
        <f>IF($D36=0,0,IF(_xlfn.XLOOKUP($B36,'TH_MLG GRADE 10'!$B$7:$B$49,'TH_MLG GRADE 10'!AM$7:AM$49,"",0,1)="P",1*$D36,0))</f>
        <v>0</v>
      </c>
      <c r="U36" s="31">
        <f>IF($D36=0,0,IF(_xlfn.XLOOKUP($B36,'TH_MLG GRADE 10'!$B$7:$B$49,'TH_MLG GRADE 10'!AN$7:AN$49,"",0,1)="P",1*$D36,0))</f>
        <v>0</v>
      </c>
      <c r="V36" s="31">
        <f>IF($D36=0,0,IF(_xlfn.XLOOKUP($B36,'TH_MLG GRADE 10'!$B$7:$B$49,'TH_MLG GRADE 10'!AO$7:AO$49,"",0,1)="P",1*$D36,0))</f>
        <v>0</v>
      </c>
      <c r="W36" s="31">
        <f>IF($D36=0,0,IF(_xlfn.XLOOKUP($B36,'TH_MLG GRADE 10'!$B$7:$B$49,'TH_MLG GRADE 10'!AY$7:AY$49,"",0,1)="P",1*$D36,0))</f>
        <v>0</v>
      </c>
      <c r="X36" s="31">
        <f>IF($D36=0,0,IF(_xlfn.XLOOKUP($B36,'TH_MLG GRADE 10'!$B$7:$B$49,'TH_MLG GRADE 10'!AZ$7:AZ$49,"",0,1)="P",1*$D36,0))</f>
        <v>0</v>
      </c>
      <c r="Y36" s="31">
        <f>IF($D36=0,0,IF(_xlfn.XLOOKUP($B36,'TH_MLG GRADE 10'!$B$7:$B$49,'TH_MLG GRADE 10'!BA$7:BA$49,"",0,1)="P",1*$D36,0))</f>
        <v>0</v>
      </c>
      <c r="Z36" s="31">
        <f>IF($D36=0,0,IF(_xlfn.XLOOKUP($B36,'TH_MLG GRADE 10'!$B$7:$B$49,'TH_MLG GRADE 10'!BE$7:BE$49,"",0,1)="P",1*$D36,0))</f>
        <v>0</v>
      </c>
      <c r="AA36" s="31">
        <f>IF($D36=0,0,IF(_xlfn.XLOOKUP($B36,'TH_MLG GRADE 10'!$B$7:$B$49,'TH_MLG GRADE 10'!BF$7:BF$49,"",0,1)="P",1*$D36,0))</f>
        <v>0</v>
      </c>
      <c r="AB36" s="31">
        <f>IF($D36=0,0,IF(_xlfn.XLOOKUP($B36,'TH_MLG GRADE 10'!$B$7:$B$49,'TH_MLG GRADE 10'!BG$7:BG$49,"",0,1)="P",1*$D36,0))</f>
        <v>0</v>
      </c>
      <c r="AC36" s="31" t="e">
        <f>IF($D36=0,0,IF(_xlfn.XLOOKUP($B36,'TH_MLG GRADE 10'!$B$7:$B$49,'TH_MLG GRADE 10'!#REF!,"",0,1)="P",1*$D36,0))</f>
        <v>#REF!</v>
      </c>
      <c r="AD36" s="31" t="e">
        <f>IF($D36=0,0,IF(_xlfn.XLOOKUP($B36,'TH_MLG GRADE 10'!$B$7:$B$49,'TH_MLG GRADE 10'!#REF!,"",0,1)="P",1*$D36,0))</f>
        <v>#REF!</v>
      </c>
      <c r="AE36" s="31" t="e">
        <f>IF($D36=0,0,IF(_xlfn.XLOOKUP($B36,'TH_MLG GRADE 10'!$B$7:$B$49,'TH_MLG GRADE 10'!#REF!,"",0,1)="P",1*$D36,0))</f>
        <v>#REF!</v>
      </c>
      <c r="AF36" s="31" t="e">
        <f>IF($D36=0,0,IF(_xlfn.XLOOKUP($B36,'TH_MLG GRADE 10'!$B$7:$B$49,'TH_MLG GRADE 10'!#REF!,"",0,1)="P",1*$D36,0))</f>
        <v>#REF!</v>
      </c>
      <c r="AG36" s="31" t="e">
        <f>IF($D36=0,0,IF(_xlfn.XLOOKUP($B36,'TH_MLG GRADE 10'!$B$7:$B$49,'TH_MLG GRADE 10'!#REF!,"",0,1)="P",1*$D36,0))</f>
        <v>#REF!</v>
      </c>
      <c r="AH36" s="31" t="e">
        <f>IF($D36=0,0,IF(_xlfn.XLOOKUP($B36,'TH_MLG GRADE 10'!$B$7:$B$49,'TH_MLG GRADE 10'!#REF!,"",0,1)="P",1*$D36,0))</f>
        <v>#REF!</v>
      </c>
      <c r="AI36" s="32">
        <f>IF($D36=0,0,IF(_xlfn.XLOOKUP($B36,'TH_CMI GRADE 10'!$B$7:$B$49,'TH_CMI GRADE 10'!C$7:C$49,"",0,1)="P",1*$D36,0))</f>
        <v>0</v>
      </c>
      <c r="AJ36" s="32">
        <f>IF($D36=0,0,IF(_xlfn.XLOOKUP($B36,'TH_CMI GRADE 10'!$B$7:$B$49,'TH_CMI GRADE 10'!D$7:D$49,"",0,1)="P",1*$D36,0))</f>
        <v>0</v>
      </c>
      <c r="AK36" s="32">
        <f>IF($D36=0,0,IF(_xlfn.XLOOKUP($B36,'TH_CMI GRADE 10'!$B$7:$B$49,'TH_CMI GRADE 10'!H$7:H$49,"",0,1)="P",1*$D36,0))</f>
        <v>0</v>
      </c>
      <c r="AL36" s="32">
        <f>IF($D36=0,0,IF(_xlfn.XLOOKUP($B36,'TH_CMI GRADE 10'!$B$7:$B$49,'TH_CMI GRADE 10'!I$7:I$49,"",0,1)="P",1*$D36,0))</f>
        <v>2</v>
      </c>
      <c r="AM36" s="32">
        <f>IF($D36=0,0,IF(_xlfn.XLOOKUP($B36,'TH_CMI GRADE 10'!$B$7:$B$49,'TH_CMI GRADE 10'!J$7:J$49,"",0,1)="P",1*$D36,0))</f>
        <v>2</v>
      </c>
      <c r="AN36" s="32">
        <f>IF($D36=0,0,IF(_xlfn.XLOOKUP($B36,'TH_CMI GRADE 10'!$B$7:$B$49,'TH_CMI GRADE 10'!K$7:K$49,"",0,1)="P",1*$D36,0))</f>
        <v>2</v>
      </c>
      <c r="AO36" s="32">
        <f>IF($D36=0,0,IF(_xlfn.XLOOKUP($B36,'TH_CMI GRADE 10'!$B$7:$B$49,'TH_CMI GRADE 10'!O$7:O$49,"",0,1)="P",1*$D36,0))</f>
        <v>0</v>
      </c>
      <c r="AP36" s="32">
        <f>IF($D36=0,0,IF(_xlfn.XLOOKUP($B36,'TH_CMI GRADE 10'!$B$7:$B$49,'TH_CMI GRADE 10'!P$7:P$49,"",0,1)="P",1*$D36,0))</f>
        <v>0</v>
      </c>
      <c r="AQ36" s="32">
        <f>IF($D36=0,0,IF(_xlfn.XLOOKUP($B36,'TH_CMI GRADE 10'!$B$7:$B$49,'TH_CMI GRADE 10'!Q$7:Q$49,"",0,1)="P",1*$D36,0))</f>
        <v>0</v>
      </c>
      <c r="AR36" s="32">
        <f>IF($D36=0,0,IF(_xlfn.XLOOKUP($B36,'TH_CMI GRADE 10'!$B$7:$B$49,'TH_CMI GRADE 10'!U$7:U$49,"",0,1)="P",1*$D36,0))</f>
        <v>2</v>
      </c>
      <c r="AS36" s="32">
        <f>IF($D36=0,0,IF(_xlfn.XLOOKUP($B36,'TH_CMI GRADE 10'!$B$7:$B$49,'TH_CMI GRADE 10'!V$7:V$49,"",0,1)="P",1*$D36,0))</f>
        <v>2</v>
      </c>
      <c r="AT36" s="32">
        <f>IF($D36=0,0,IF(_xlfn.XLOOKUP($B36,'TH_CMI GRADE 10'!$B$7:$B$49,'TH_CMI GRADE 10'!W$7:W$49,"",0,1)="P",1*$D36,0))</f>
        <v>2</v>
      </c>
      <c r="AU36" s="32">
        <f>IF($D36=0,0,IF(_xlfn.XLOOKUP($B36,'TH_CMI GRADE 10'!$B$7:$B$49,'TH_CMI GRADE 10'!AA$7:AA$49,"",0,1)="P",1*$D36,0))</f>
        <v>0</v>
      </c>
      <c r="AV36" s="32">
        <f>IF($D36=0,0,IF(_xlfn.XLOOKUP($B36,'TH_CMI GRADE 10'!$B$7:$B$49,'TH_CMI GRADE 10'!AB$7:AB$49,"",0,1)="P",1*$D36,0))</f>
        <v>0</v>
      </c>
      <c r="AW36" s="32">
        <f>IF($D36=0,0,IF(_xlfn.XLOOKUP($B36,'TH_CMI GRADE 10'!$B$7:$B$49,'TH_CMI GRADE 10'!AC$7:AC$49,"",0,1)="P",1*$D36,0))</f>
        <v>0</v>
      </c>
      <c r="AX36" s="32">
        <f>IF($D36=0,0,IF(_xlfn.XLOOKUP($B36,'TH_CMI GRADE 10'!$B$7:$B$49,'TH_CMI GRADE 10'!AG$7:AG$49,"",0,1)="P",1*$D36,0))</f>
        <v>0</v>
      </c>
      <c r="AY36" s="32">
        <f>IF($D36=0,0,IF(_xlfn.XLOOKUP($B36,'TH_CMI GRADE 10'!$B$7:$B$49,'TH_CMI GRADE 10'!AH$7:AH$49,"",0,1)="P",1*$D36,0))</f>
        <v>0</v>
      </c>
      <c r="AZ36" s="32">
        <f>IF($D36=0,0,IF(_xlfn.XLOOKUP($B36,'TH_CMI GRADE 10'!$B$7:$B$49,'TH_CMI GRADE 10'!AI$7:AI$49,"",0,1)="P",1*$D36,0))</f>
        <v>0</v>
      </c>
      <c r="BA36" s="31" t="e">
        <f>IF($C36=0,0,IF(_xlfn.XLOOKUP($B36,'PW_MLG GRADE 10'!$B$7:$B$31,'PW_MLG GRADE 10'!#REF!,"",0,1)="P",1*$C36,0))</f>
        <v>#REF!</v>
      </c>
      <c r="BB36" s="31" t="e">
        <f>IF($C36=0,0,IF(_xlfn.XLOOKUP($B36,'PW_MLG GRADE 10'!$B$7:$B$31,'PW_MLG GRADE 10'!#REF!,"",0,1)="P",1*$C36,0))</f>
        <v>#REF!</v>
      </c>
      <c r="BC36" s="31" t="e">
        <f>IF($C36=0,0,IF(_xlfn.XLOOKUP($B36,'PW_MLG GRADE 10'!$B$7:$B$31,'PW_MLG GRADE 10'!#REF!,"",0,1)="P",1*$C36,0))</f>
        <v>#REF!</v>
      </c>
      <c r="BD36" s="31" t="e">
        <f>IF($C36=0,0,IF(_xlfn.XLOOKUP($B36,'PW_MLG GRADE 10'!$B$7:$B$31,'PW_MLG GRADE 10'!#REF!,"",0,1)="P",1*$C36,0))</f>
        <v>#REF!</v>
      </c>
      <c r="BE36" s="31" t="e">
        <f>IF($C36=0,0,IF(_xlfn.XLOOKUP($B36,'PW_MLG GRADE 10'!$B$7:$B$31,'PW_MLG GRADE 10'!#REF!,"",0,1)="P",1*$C36,0))</f>
        <v>#REF!</v>
      </c>
      <c r="BF36" s="31" t="e">
        <f>IF($C36=0,0,IF(_xlfn.XLOOKUP($B36,'PW_MLG GRADE 10'!$B$7:$B$31,'PW_MLG GRADE 10'!#REF!,"",0,1)="P",1*$C36,0))</f>
        <v>#REF!</v>
      </c>
      <c r="BG36" s="31" t="e">
        <f>IF($C36=0,0,IF(_xlfn.XLOOKUP($B36,'PW_MLG GRADE 10'!$B$7:$B$31,'PW_MLG GRADE 10'!#REF!,"",0,1)="P",1*$C36,0))</f>
        <v>#REF!</v>
      </c>
      <c r="BH36" s="31" t="e">
        <f>IF($C36=0,0,IF(_xlfn.XLOOKUP($B36,'PW_MLG GRADE 10'!$B$7:$B$31,'PW_MLG GRADE 10'!#REF!,"",0,1)="P",1*$C36,0))</f>
        <v>#REF!</v>
      </c>
      <c r="BI36" s="31" t="e">
        <f>IF($C36=0,0,IF(_xlfn.XLOOKUP($B36,'PW_MLG GRADE 10'!$B$7:$B$31,'PW_MLG GRADE 10'!#REF!,"",0,1)="P",1*$C36,0))</f>
        <v>#REF!</v>
      </c>
      <c r="BJ36" s="31" t="e">
        <f>IF($C36=0,0,IF(_xlfn.XLOOKUP($B36,'PW_MLG GRADE 10'!$B$7:$B$31,'PW_MLG GRADE 10'!#REF!,"",0,1)="P",1*$C36,0))</f>
        <v>#REF!</v>
      </c>
      <c r="BK36" s="31" t="e">
        <f>IF($C36=0,0,IF(_xlfn.XLOOKUP($B36,'PW_MLG GRADE 10'!$B$7:$B$31,'PW_MLG GRADE 10'!#REF!,"",0,1)="P",1*$C36,0))</f>
        <v>#REF!</v>
      </c>
      <c r="BL36" s="31" t="e">
        <f>IF($C36=0,0,IF(_xlfn.XLOOKUP($B36,'PW_MLG GRADE 10'!$B$7:$B$31,'PW_MLG GRADE 10'!#REF!,"",0,1)="P",1*$C36,0))</f>
        <v>#REF!</v>
      </c>
      <c r="BM36" s="31" t="e">
        <f>IF($C36=0,0,IF(_xlfn.XLOOKUP($B36,'PW_MLG GRADE 10'!$B$7:$B$31,'PW_MLG GRADE 10'!#REF!,"",0,1)="P",1*$C36,0))</f>
        <v>#REF!</v>
      </c>
      <c r="BN36" s="31" t="e">
        <f>IF($C36=0,0,IF(_xlfn.XLOOKUP($B36,'PW_MLG GRADE 10'!$B$7:$B$31,'PW_MLG GRADE 10'!#REF!,"",0,1)="P",1*$C36,0))</f>
        <v>#REF!</v>
      </c>
      <c r="BO36" s="31" t="e">
        <f>IF($C36=0,0,IF(_xlfn.XLOOKUP($B36,'PW_MLG GRADE 10'!$B$7:$B$31,'PW_MLG GRADE 10'!#REF!,"",0,1)="P",1*$C36,0))</f>
        <v>#REF!</v>
      </c>
      <c r="BP36" s="31" t="e">
        <f>IF($C36=0,0,IF(_xlfn.XLOOKUP($B36,'PW_MLG GRADE 10'!$B$7:$B$31,'PW_MLG GRADE 10'!#REF!,"",0,1)="P",1*$C36,0))</f>
        <v>#REF!</v>
      </c>
      <c r="BQ36" s="31" t="e">
        <f>IF($C36=0,0,IF(_xlfn.XLOOKUP($B36,'PW_MLG GRADE 10'!$B$7:$B$31,'PW_MLG GRADE 10'!#REF!,"",0,1)="P",1*$C36,0))</f>
        <v>#REF!</v>
      </c>
      <c r="BR36" s="31" t="e">
        <f>IF($C36=0,0,IF(_xlfn.XLOOKUP($B36,'PW_MLG GRADE 10'!$B$7:$B$31,'PW_MLG GRADE 10'!#REF!,"",0,1)="P",1*$C36,0))</f>
        <v>#REF!</v>
      </c>
      <c r="BS36" s="31" t="e">
        <f>IF($C36=0,0,IF(_xlfn.XLOOKUP($B36,'PW_MLG GRADE 10'!$B$7:$B$31,'PW_MLG GRADE 10'!#REF!,"",0,1)="P",1*$C36,0))</f>
        <v>#REF!</v>
      </c>
      <c r="BT36" s="31" t="e">
        <f>IF($C36=0,0,IF(_xlfn.XLOOKUP($B36,'PW_MLG GRADE 10'!$B$7:$B$31,'PW_MLG GRADE 10'!#REF!,"",0,1)="P",1*$C36,0))</f>
        <v>#REF!</v>
      </c>
      <c r="BU36" s="31" t="e">
        <f>IF($C36=0,0,IF(_xlfn.XLOOKUP($B36,'PW_MLG GRADE 10'!$B$7:$B$31,'PW_MLG GRADE 10'!#REF!,"",0,1)="P",1*$C36,0))</f>
        <v>#REF!</v>
      </c>
      <c r="BV36" s="31" t="e">
        <f>IF($C36=0,0,IF(_xlfn.XLOOKUP($B36,'PW_MLG GRADE 10'!$B$7:$B$31,'PW_MLG GRADE 10'!#REF!,"",0,1)="P",1*$C36,0))</f>
        <v>#REF!</v>
      </c>
      <c r="BW36" s="31" t="e">
        <f>IF($C36=0,0,IF(_xlfn.XLOOKUP($B36,'PW_MLG GRADE 10'!$B$7:$B$31,'PW_MLG GRADE 10'!#REF!,"",0,1)="P",1*$C36,0))</f>
        <v>#REF!</v>
      </c>
      <c r="BX36" s="31" t="e">
        <f>IF($C36=0,0,IF(_xlfn.XLOOKUP($B36,'PW_MLG GRADE 10'!$B$7:$B$31,'PW_MLG GRADE 10'!#REF!,"",0,1)="P",1*$C36,0))</f>
        <v>#REF!</v>
      </c>
      <c r="BY36" s="31" t="e">
        <f>IF($C36=0,0,IF(_xlfn.XLOOKUP($B36,'PW_MLG GRADE 10'!$B$7:$B$31,'PW_MLG GRADE 10'!#REF!,"",0,1)="P",1*$C36,0))</f>
        <v>#REF!</v>
      </c>
      <c r="BZ36" s="31" t="e">
        <f>IF($C36=0,0,IF(_xlfn.XLOOKUP($B36,'PW_MLG GRADE 10'!$B$7:$B$31,'PW_MLG GRADE 10'!#REF!,"",0,1)="P",1*$C36,0))</f>
        <v>#REF!</v>
      </c>
      <c r="CA36" s="31" t="e">
        <f>IF($C36=0,0,IF(_xlfn.XLOOKUP($B36,'PW_MLG GRADE 10'!$B$7:$B$31,'PW_MLG GRADE 10'!#REF!,"",0,1)="P",1*$C36,0))</f>
        <v>#REF!</v>
      </c>
      <c r="CB36" s="31" t="e">
        <f>IF($C36=0,0,IF(_xlfn.XLOOKUP($B36,'PW_MLG GRADE 10'!$B$7:$B$31,'PW_MLG GRADE 10'!#REF!,"",0,1)="P",1*$C36,0))</f>
        <v>#REF!</v>
      </c>
      <c r="CC36" s="31" t="e">
        <f>IF($C36=0,0,IF(_xlfn.XLOOKUP($B36,'PW_MLG GRADE 10'!$B$7:$B$31,'PW_MLG GRADE 10'!#REF!,"",0,1)="P",1*$C36,0))</f>
        <v>#REF!</v>
      </c>
      <c r="CD36" s="31" t="e">
        <f>IF($C36=0,0,IF(_xlfn.XLOOKUP($B36,'PW_MLG GRADE 10'!$B$7:$B$31,'PW_MLG GRADE 10'!#REF!,"",0,1)="P",1*$C36,0))</f>
        <v>#REF!</v>
      </c>
      <c r="CE36" s="32">
        <f>IF($C36=0,0,IF(_xlfn.XLOOKUP($B36,'PW_CMI GRADE 10'!$B$7:$B$31,'PW_CMI GRADE 10'!C$7:C$31,"",0,1)="P",1*$C36,0))</f>
        <v>0</v>
      </c>
      <c r="CF36" s="32">
        <f>IF($C36=0,0,IF(_xlfn.XLOOKUP($B36,'PW_CMI GRADE 10'!$B$7:$B$31,'PW_CMI GRADE 10'!D$7:D$31,"",0,1)="P",1*$C36,0))</f>
        <v>0</v>
      </c>
      <c r="CG36" s="32">
        <f>IF($C36=0,0,IF(_xlfn.XLOOKUP($B36,'PW_CMI GRADE 10'!$B$7:$B$31,'PW_CMI GRADE 10'!E$7:E$31,"",0,1)="P",1*$C36,0))</f>
        <v>0</v>
      </c>
      <c r="CH36" s="32">
        <f>IF($C36=0,0,IF(_xlfn.XLOOKUP($B36,'PW_CMI GRADE 10'!$B$7:$B$31,'PW_CMI GRADE 10'!F$7:F$31,"",0,1)="P",1*$C36,0))</f>
        <v>0</v>
      </c>
      <c r="CI36" s="32">
        <f>IF($C36=0,0,IF(_xlfn.XLOOKUP($B36,'PW_CMI GRADE 10'!$B$7:$B$31,'PW_CMI GRADE 10'!G$7:G$31,"",0,1)="P",1*$C36,0))</f>
        <v>0</v>
      </c>
      <c r="CJ36" s="32">
        <f>IF($C36=0,0,IF(_xlfn.XLOOKUP($B36,'PW_CMI GRADE 10'!$B$7:$B$31,'PW_CMI GRADE 10'!H$7:H$31,"",0,1)="P",1*$C36,0))</f>
        <v>0</v>
      </c>
      <c r="CK36" s="32">
        <f>IF($C36=0,0,IF(_xlfn.XLOOKUP($B36,'PW_CMI GRADE 10'!$B$7:$B$31,'PW_CMI GRADE 10'!I$7:I$31,"",0,1)="P",1*$C36,0))</f>
        <v>4</v>
      </c>
      <c r="CL36" s="32">
        <f>IF($C36=0,0,IF(_xlfn.XLOOKUP($B36,'PW_CMI GRADE 10'!$B$7:$B$31,'PW_CMI GRADE 10'!J$7:J$31,"",0,1)="P",1*$C36,0))</f>
        <v>0</v>
      </c>
      <c r="CM36" s="32">
        <f>IF($C36=0,0,IF(_xlfn.XLOOKUP($B36,'PW_CMI GRADE 10'!$B$7:$B$31,'PW_CMI GRADE 10'!K$7:K$31,"",0,1)="P",1*$C36,0))</f>
        <v>0</v>
      </c>
      <c r="CN36" s="32">
        <f>IF($C36=0,0,IF(_xlfn.XLOOKUP($B36,'PW_CMI GRADE 10'!$B$7:$B$31,'PW_CMI GRADE 10'!L$7:L$31,"",0,1)="P",1*$C36,0))</f>
        <v>0</v>
      </c>
      <c r="CO36" s="32">
        <f>IF($C36=0,0,IF(_xlfn.XLOOKUP($B36,'PW_CMI GRADE 10'!$B$7:$B$31,'PW_CMI GRADE 10'!M$7:M$31,"",0,1)="P",1*$C36,0))</f>
        <v>0</v>
      </c>
      <c r="CP36" s="32">
        <f>IF($C36=0,0,IF(_xlfn.XLOOKUP($B36,'PW_CMI GRADE 10'!$B$7:$B$31,'PW_CMI GRADE 10'!N$7:N$31,"",0,1)="P",1*$C36,0))</f>
        <v>0</v>
      </c>
      <c r="CQ36" s="32">
        <f>IF($C36=0,0,IF(_xlfn.XLOOKUP($B36,'PW_CMI GRADE 10'!$B$7:$B$31,'PW_CMI GRADE 10'!O$7:O$31,"",0,1)="P",1*$C36,0))</f>
        <v>0</v>
      </c>
      <c r="CR36" s="32">
        <f>IF($C36=0,0,IF(_xlfn.XLOOKUP($B36,'PW_CMI GRADE 10'!$B$7:$B$31,'PW_CMI GRADE 10'!P$7:P$31,"",0,1)="P",1*$C36,0))</f>
        <v>0</v>
      </c>
      <c r="CS36" s="32">
        <f>IF($C36=0,0,IF(_xlfn.XLOOKUP($B36,'PW_CMI GRADE 10'!$B$7:$B$31,'PW_CMI GRADE 10'!Q$7:Q$31,"",0,1)="P",1*$C36,0))</f>
        <v>0</v>
      </c>
      <c r="CT36" s="32">
        <f>IF($C36=0,0,IF(_xlfn.XLOOKUP($B36,'PW_CMI GRADE 10'!$B$7:$B$31,'PW_CMI GRADE 10'!R$7:R$31,"",0,1)="P",1*$C36,0))</f>
        <v>0</v>
      </c>
      <c r="CU36" s="32">
        <f>IF($C36=0,0,IF(_xlfn.XLOOKUP($B36,'PW_CMI GRADE 10'!$B$7:$B$31,'PW_CMI GRADE 10'!S$7:S$31,"",0,1)="P",1*$C36,0))</f>
        <v>0</v>
      </c>
      <c r="CV36" s="32">
        <f>IF($C36=0,0,IF(_xlfn.XLOOKUP($B36,'PW_CMI GRADE 10'!$B$7:$B$31,'PW_CMI GRADE 10'!T$7:T$31,"",0,1)="P",1*$C36,0))</f>
        <v>0</v>
      </c>
      <c r="CW36" s="62" t="e">
        <f t="shared" si="19"/>
        <v>#REF!</v>
      </c>
      <c r="CX36" s="62" t="e">
        <f t="shared" si="20"/>
        <v>#REF!</v>
      </c>
      <c r="CY36" s="62" t="e">
        <f t="shared" si="21"/>
        <v>#REF!</v>
      </c>
      <c r="CZ36" s="62" t="e">
        <f t="shared" si="22"/>
        <v>#REF!</v>
      </c>
      <c r="DA36" s="62" t="e">
        <f t="shared" si="23"/>
        <v>#REF!</v>
      </c>
      <c r="DB36" s="62" t="e">
        <f t="shared" si="24"/>
        <v>#REF!</v>
      </c>
      <c r="DC36" s="62" t="e">
        <f t="shared" si="25"/>
        <v>#REF!</v>
      </c>
      <c r="DD36" s="62" t="e">
        <f t="shared" si="26"/>
        <v>#REF!</v>
      </c>
      <c r="DE36" s="62" t="e">
        <f t="shared" si="27"/>
        <v>#REF!</v>
      </c>
      <c r="DF36" s="62" t="e">
        <f t="shared" si="28"/>
        <v>#REF!</v>
      </c>
      <c r="DG36" s="62" t="e">
        <f t="shared" si="29"/>
        <v>#REF!</v>
      </c>
      <c r="DH36" s="62" t="e">
        <f t="shared" si="30"/>
        <v>#REF!</v>
      </c>
      <c r="DI36" s="62" t="e">
        <f t="shared" si="31"/>
        <v>#REF!</v>
      </c>
      <c r="DJ36" s="62" t="e">
        <f t="shared" si="32"/>
        <v>#REF!</v>
      </c>
      <c r="DK36" s="62" t="e">
        <f t="shared" si="33"/>
        <v>#REF!</v>
      </c>
      <c r="DL36" s="62" t="e">
        <f t="shared" si="34"/>
        <v>#REF!</v>
      </c>
      <c r="DM36" s="62" t="e">
        <f t="shared" si="35"/>
        <v>#REF!</v>
      </c>
      <c r="DN36" s="62" t="e">
        <f t="shared" si="36"/>
        <v>#REF!</v>
      </c>
      <c r="DO36" s="62" t="e">
        <f t="shared" si="37"/>
        <v>#REF!</v>
      </c>
      <c r="DP36" s="62" t="e">
        <f t="shared" si="38"/>
        <v>#REF!</v>
      </c>
      <c r="DQ36" s="62" t="e">
        <f t="shared" si="39"/>
        <v>#REF!</v>
      </c>
      <c r="DR36" s="62" t="e">
        <f t="shared" si="40"/>
        <v>#REF!</v>
      </c>
      <c r="DS36" s="62" t="e">
        <f t="shared" si="41"/>
        <v>#REF!</v>
      </c>
      <c r="DT36" s="62" t="e">
        <f t="shared" si="42"/>
        <v>#REF!</v>
      </c>
      <c r="DU36" s="62" t="e">
        <f t="shared" si="43"/>
        <v>#REF!</v>
      </c>
      <c r="DV36" s="62" t="e">
        <f t="shared" si="44"/>
        <v>#REF!</v>
      </c>
      <c r="DW36" s="62" t="e">
        <f t="shared" si="45"/>
        <v>#REF!</v>
      </c>
      <c r="DX36" s="62" t="e">
        <f t="shared" si="46"/>
        <v>#REF!</v>
      </c>
      <c r="DY36" s="62" t="e">
        <f t="shared" si="47"/>
        <v>#REF!</v>
      </c>
      <c r="DZ36" s="62" t="e">
        <f t="shared" si="48"/>
        <v>#REF!</v>
      </c>
      <c r="EA36" s="63">
        <f t="shared" si="68"/>
        <v>0</v>
      </c>
      <c r="EB36" s="63">
        <f t="shared" si="2"/>
        <v>0.1111111111111111</v>
      </c>
      <c r="EC36" s="63">
        <f t="shared" si="3"/>
        <v>0.22222222222222221</v>
      </c>
      <c r="ED36" s="63">
        <f t="shared" si="4"/>
        <v>0.33333333333333331</v>
      </c>
      <c r="EE36" s="63">
        <f t="shared" si="5"/>
        <v>0.44444444444444442</v>
      </c>
      <c r="EF36" s="63">
        <f t="shared" si="6"/>
        <v>0.33333333333333331</v>
      </c>
      <c r="EG36" s="63">
        <f t="shared" si="7"/>
        <v>0.22222222222222221</v>
      </c>
      <c r="EH36" s="63">
        <f t="shared" si="8"/>
        <v>0.1111111111111111</v>
      </c>
      <c r="EI36" s="63">
        <f t="shared" si="9"/>
        <v>0.22222222222222221</v>
      </c>
      <c r="EJ36" s="63">
        <f t="shared" si="10"/>
        <v>0.33333333333333331</v>
      </c>
      <c r="EK36" s="63">
        <f t="shared" si="11"/>
        <v>0.22222222222222221</v>
      </c>
      <c r="EL36" s="63">
        <f t="shared" si="12"/>
        <v>0.1111111111111111</v>
      </c>
      <c r="EM36" s="63">
        <f t="shared" si="13"/>
        <v>0</v>
      </c>
      <c r="EN36" s="63">
        <f t="shared" si="14"/>
        <v>0</v>
      </c>
      <c r="EO36" s="63">
        <f t="shared" si="15"/>
        <v>0</v>
      </c>
      <c r="EP36" s="63">
        <f t="shared" si="16"/>
        <v>0</v>
      </c>
      <c r="FU36" s="51">
        <v>46813</v>
      </c>
      <c r="FV36" t="s">
        <v>22</v>
      </c>
      <c r="FW36" t="s">
        <v>22</v>
      </c>
      <c r="FX36" t="s">
        <v>22</v>
      </c>
      <c r="FY36" t="s">
        <v>22</v>
      </c>
      <c r="FZ36" t="s">
        <v>22</v>
      </c>
      <c r="GA36" t="s">
        <v>22</v>
      </c>
      <c r="GB36" t="s">
        <v>22</v>
      </c>
      <c r="GC36" t="s">
        <v>22</v>
      </c>
      <c r="GD36" t="s">
        <v>22</v>
      </c>
      <c r="GE36" t="s">
        <v>22</v>
      </c>
      <c r="GF36" t="s">
        <v>22</v>
      </c>
      <c r="GG36" t="s">
        <v>22</v>
      </c>
      <c r="GH36" t="s">
        <v>22</v>
      </c>
      <c r="GI36" t="s">
        <v>22</v>
      </c>
      <c r="GJ36" t="s">
        <v>22</v>
      </c>
      <c r="GK36" t="s">
        <v>22</v>
      </c>
      <c r="GL36" t="s">
        <v>22</v>
      </c>
      <c r="GM36" t="s">
        <v>22</v>
      </c>
      <c r="GN36" t="s">
        <v>22</v>
      </c>
      <c r="GO36" t="s">
        <v>22</v>
      </c>
      <c r="GP36" t="s">
        <v>22</v>
      </c>
      <c r="GQ36" t="s">
        <v>22</v>
      </c>
      <c r="GR36" t="s">
        <v>22</v>
      </c>
      <c r="GS36" t="s">
        <v>22</v>
      </c>
      <c r="GT36" t="s">
        <v>22</v>
      </c>
      <c r="GU36" t="s">
        <v>22</v>
      </c>
      <c r="GV36" t="s">
        <v>22</v>
      </c>
      <c r="GW36" t="s">
        <v>22</v>
      </c>
      <c r="GX36" t="s">
        <v>22</v>
      </c>
      <c r="GY36" t="s">
        <v>22</v>
      </c>
      <c r="GZ36" t="s">
        <v>22</v>
      </c>
      <c r="HA36" t="s">
        <v>22</v>
      </c>
      <c r="HB36" t="s">
        <v>22</v>
      </c>
      <c r="HC36" t="s">
        <v>22</v>
      </c>
      <c r="HD36" t="s">
        <v>22</v>
      </c>
      <c r="HE36" t="s">
        <v>22</v>
      </c>
      <c r="HF36" t="s">
        <v>22</v>
      </c>
      <c r="HG36" t="s">
        <v>22</v>
      </c>
      <c r="HH36" t="s">
        <v>22</v>
      </c>
      <c r="HI36" t="s">
        <v>22</v>
      </c>
      <c r="HJ36" t="s">
        <v>22</v>
      </c>
      <c r="HK36" t="s">
        <v>22</v>
      </c>
      <c r="HL36" t="s">
        <v>22</v>
      </c>
      <c r="HM36" t="s">
        <v>22</v>
      </c>
      <c r="HN36" t="s">
        <v>22</v>
      </c>
      <c r="HO36" cm="1">
        <f t="array" ref="HO36">SUMPRODUCT(--(FV36:HN36&lt;&gt;""))</f>
        <v>0</v>
      </c>
    </row>
    <row r="37" spans="1:223">
      <c r="A37" t="str">
        <f t="shared" si="18"/>
        <v>5A.2</v>
      </c>
      <c r="B37" t="s">
        <v>68</v>
      </c>
      <c r="C37" s="30">
        <v>4</v>
      </c>
      <c r="D37" s="30">
        <v>4</v>
      </c>
      <c r="E37" s="31">
        <f>IF($D37=0,0,IF(_xlfn.XLOOKUP($B37,'TH_MLG GRADE 10'!$B$7:$B$49,'TH_MLG GRADE 10'!C$7:C$49,"",0,1)="P",1*$D37,0))</f>
        <v>4</v>
      </c>
      <c r="F37" s="31">
        <f>IF($D37=0,0,IF(_xlfn.XLOOKUP($B37,'TH_MLG GRADE 10'!$B$7:$B$49,'TH_MLG GRADE 10'!D$7:D$49,"",0,1)="P",1*$D37,0))</f>
        <v>4</v>
      </c>
      <c r="G37" s="31">
        <f>IF($D37=0,0,IF(_xlfn.XLOOKUP($B37,'TH_MLG GRADE 10'!$B$7:$B$49,'TH_MLG GRADE 10'!E$7:E$49,"",0,1)="P",1*$D37,0))</f>
        <v>0</v>
      </c>
      <c r="H37" s="31">
        <f>IF($D37=0,0,IF(_xlfn.XLOOKUP($B37,'TH_MLG GRADE 10'!$B$7:$B$49,'TH_MLG GRADE 10'!I$7:I$49,"",0,1)="P",1*$D37,0))</f>
        <v>4</v>
      </c>
      <c r="I37" s="31">
        <f>IF($D37=0,0,IF(_xlfn.XLOOKUP($B37,'TH_MLG GRADE 10'!$B$7:$B$49,'TH_MLG GRADE 10'!J$7:J$49,"",0,1)="P",1*$D37,0))</f>
        <v>4</v>
      </c>
      <c r="J37" s="31">
        <f>IF($D37=0,0,IF(_xlfn.XLOOKUP($B37,'TH_MLG GRADE 10'!$B$7:$B$49,'TH_MLG GRADE 10'!K$7:K$49,"",0,1)="P",1*$D37,0))</f>
        <v>4</v>
      </c>
      <c r="K37" s="31">
        <f>IF($D37=0,0,IF(_xlfn.XLOOKUP($B37,'TH_MLG GRADE 10'!$B$7:$B$49,'TH_MLG GRADE 10'!O$7:O$49,"",0,1)="P",1*$D37,0))</f>
        <v>0</v>
      </c>
      <c r="L37" s="31">
        <f>IF($D37=0,0,IF(_xlfn.XLOOKUP($B37,'TH_MLG GRADE 10'!$B$7:$B$49,'TH_MLG GRADE 10'!P$7:P$49,"",0,1)="P",1*$D37,0))</f>
        <v>0</v>
      </c>
      <c r="M37" s="31">
        <f>IF($D37=0,0,IF(_xlfn.XLOOKUP($B37,'TH_MLG GRADE 10'!$B$7:$B$49,'TH_MLG GRADE 10'!Q$7:Q$49,"",0,1)="P",1*$D37,0))</f>
        <v>0</v>
      </c>
      <c r="N37" s="31">
        <f>IF($D37=0,0,IF(_xlfn.XLOOKUP($B37,'TH_MLG GRADE 10'!$B$7:$B$49,'TH_MLG GRADE 10'!AA$7:AA$49,"",0,1)="P",1*$D37,0))</f>
        <v>0</v>
      </c>
      <c r="O37" s="31">
        <f>IF($D37=0,0,IF(_xlfn.XLOOKUP($B37,'TH_MLG GRADE 10'!$B$7:$B$49,'TH_MLG GRADE 10'!AB$7:AB$49,"",0,1)="P",1*$D37,0))</f>
        <v>0</v>
      </c>
      <c r="P37" s="31">
        <f>IF($D37=0,0,IF(_xlfn.XLOOKUP($B37,'TH_MLG GRADE 10'!$B$7:$B$49,'TH_MLG GRADE 10'!AC$7:AC$49,"",0,1)="P",1*$D37,0))</f>
        <v>0</v>
      </c>
      <c r="Q37" s="31">
        <f>IF($D37=0,0,IF(_xlfn.XLOOKUP($B37,'TH_MLG GRADE 10'!$B$7:$B$49,'TH_MLG GRADE 10'!AG$7:AG$49,"",0,1)="P",1*$D37,0))</f>
        <v>0</v>
      </c>
      <c r="R37" s="31">
        <f>IF($D37=0,0,IF(_xlfn.XLOOKUP($B37,'TH_MLG GRADE 10'!$B$7:$B$49,'TH_MLG GRADE 10'!AH$7:AH$49,"",0,1)="P",1*$D37,0))</f>
        <v>0</v>
      </c>
      <c r="S37" s="31">
        <f>IF($D37=0,0,IF(_xlfn.XLOOKUP($B37,'TH_MLG GRADE 10'!$B$7:$B$49,'TH_MLG GRADE 10'!AI$7:AI$49,"",0,1)="P",1*$D37,0))</f>
        <v>0</v>
      </c>
      <c r="T37" s="31">
        <f>IF($D37=0,0,IF(_xlfn.XLOOKUP($B37,'TH_MLG GRADE 10'!$B$7:$B$49,'TH_MLG GRADE 10'!AM$7:AM$49,"",0,1)="P",1*$D37,0))</f>
        <v>0</v>
      </c>
      <c r="U37" s="31">
        <f>IF($D37=0,0,IF(_xlfn.XLOOKUP($B37,'TH_MLG GRADE 10'!$B$7:$B$49,'TH_MLG GRADE 10'!AN$7:AN$49,"",0,1)="P",1*$D37,0))</f>
        <v>0</v>
      </c>
      <c r="V37" s="31">
        <f>IF($D37=0,0,IF(_xlfn.XLOOKUP($B37,'TH_MLG GRADE 10'!$B$7:$B$49,'TH_MLG GRADE 10'!AO$7:AO$49,"",0,1)="P",1*$D37,0))</f>
        <v>0</v>
      </c>
      <c r="W37" s="31">
        <f>IF($D37=0,0,IF(_xlfn.XLOOKUP($B37,'TH_MLG GRADE 10'!$B$7:$B$49,'TH_MLG GRADE 10'!AY$7:AY$49,"",0,1)="P",1*$D37,0))</f>
        <v>0</v>
      </c>
      <c r="X37" s="31">
        <f>IF($D37=0,0,IF(_xlfn.XLOOKUP($B37,'TH_MLG GRADE 10'!$B$7:$B$49,'TH_MLG GRADE 10'!AZ$7:AZ$49,"",0,1)="P",1*$D37,0))</f>
        <v>0</v>
      </c>
      <c r="Y37" s="31">
        <f>IF($D37=0,0,IF(_xlfn.XLOOKUP($B37,'TH_MLG GRADE 10'!$B$7:$B$49,'TH_MLG GRADE 10'!BA$7:BA$49,"",0,1)="P",1*$D37,0))</f>
        <v>0</v>
      </c>
      <c r="Z37" s="31">
        <f>IF($D37=0,0,IF(_xlfn.XLOOKUP($B37,'TH_MLG GRADE 10'!$B$7:$B$49,'TH_MLG GRADE 10'!BE$7:BE$49,"",0,1)="P",1*$D37,0))</f>
        <v>0</v>
      </c>
      <c r="AA37" s="31">
        <f>IF($D37=0,0,IF(_xlfn.XLOOKUP($B37,'TH_MLG GRADE 10'!$B$7:$B$49,'TH_MLG GRADE 10'!BF$7:BF$49,"",0,1)="P",1*$D37,0))</f>
        <v>0</v>
      </c>
      <c r="AB37" s="31">
        <f>IF($D37=0,0,IF(_xlfn.XLOOKUP($B37,'TH_MLG GRADE 10'!$B$7:$B$49,'TH_MLG GRADE 10'!BG$7:BG$49,"",0,1)="P",1*$D37,0))</f>
        <v>0</v>
      </c>
      <c r="AC37" s="31" t="e">
        <f>IF($D37=0,0,IF(_xlfn.XLOOKUP($B37,'TH_MLG GRADE 10'!$B$7:$B$49,'TH_MLG GRADE 10'!#REF!,"",0,1)="P",1*$D37,0))</f>
        <v>#REF!</v>
      </c>
      <c r="AD37" s="31" t="e">
        <f>IF($D37=0,0,IF(_xlfn.XLOOKUP($B37,'TH_MLG GRADE 10'!$B$7:$B$49,'TH_MLG GRADE 10'!#REF!,"",0,1)="P",1*$D37,0))</f>
        <v>#REF!</v>
      </c>
      <c r="AE37" s="31" t="e">
        <f>IF($D37=0,0,IF(_xlfn.XLOOKUP($B37,'TH_MLG GRADE 10'!$B$7:$B$49,'TH_MLG GRADE 10'!#REF!,"",0,1)="P",1*$D37,0))</f>
        <v>#REF!</v>
      </c>
      <c r="AF37" s="31" t="e">
        <f>IF($D37=0,0,IF(_xlfn.XLOOKUP($B37,'TH_MLG GRADE 10'!$B$7:$B$49,'TH_MLG GRADE 10'!#REF!,"",0,1)="P",1*$D37,0))</f>
        <v>#REF!</v>
      </c>
      <c r="AG37" s="31" t="e">
        <f>IF($D37=0,0,IF(_xlfn.XLOOKUP($B37,'TH_MLG GRADE 10'!$B$7:$B$49,'TH_MLG GRADE 10'!#REF!,"",0,1)="P",1*$D37,0))</f>
        <v>#REF!</v>
      </c>
      <c r="AH37" s="31" t="e">
        <f>IF($D37=0,0,IF(_xlfn.XLOOKUP($B37,'TH_MLG GRADE 10'!$B$7:$B$49,'TH_MLG GRADE 10'!#REF!,"",0,1)="P",1*$D37,0))</f>
        <v>#REF!</v>
      </c>
      <c r="AI37" s="32">
        <f>IF($D37=0,0,IF(_xlfn.XLOOKUP($B37,'TH_CMI GRADE 10'!$B$7:$B$49,'TH_CMI GRADE 10'!C$7:C$49,"",0,1)="P",1*$D37,0))</f>
        <v>0</v>
      </c>
      <c r="AJ37" s="32">
        <f>IF($D37=0,0,IF(_xlfn.XLOOKUP($B37,'TH_CMI GRADE 10'!$B$7:$B$49,'TH_CMI GRADE 10'!D$7:D$49,"",0,1)="P",1*$D37,0))</f>
        <v>0</v>
      </c>
      <c r="AK37" s="32">
        <f>IF($D37=0,0,IF(_xlfn.XLOOKUP($B37,'TH_CMI GRADE 10'!$B$7:$B$49,'TH_CMI GRADE 10'!H$7:H$49,"",0,1)="P",1*$D37,0))</f>
        <v>0</v>
      </c>
      <c r="AL37" s="32">
        <f>IF($D37=0,0,IF(_xlfn.XLOOKUP($B37,'TH_CMI GRADE 10'!$B$7:$B$49,'TH_CMI GRADE 10'!I$7:I$49,"",0,1)="P",1*$D37,0))</f>
        <v>4</v>
      </c>
      <c r="AM37" s="32">
        <f>IF($D37=0,0,IF(_xlfn.XLOOKUP($B37,'TH_CMI GRADE 10'!$B$7:$B$49,'TH_CMI GRADE 10'!J$7:J$49,"",0,1)="P",1*$D37,0))</f>
        <v>4</v>
      </c>
      <c r="AN37" s="32">
        <f>IF($D37=0,0,IF(_xlfn.XLOOKUP($B37,'TH_CMI GRADE 10'!$B$7:$B$49,'TH_CMI GRADE 10'!K$7:K$49,"",0,1)="P",1*$D37,0))</f>
        <v>4</v>
      </c>
      <c r="AO37" s="32">
        <f>IF($D37=0,0,IF(_xlfn.XLOOKUP($B37,'TH_CMI GRADE 10'!$B$7:$B$49,'TH_CMI GRADE 10'!O$7:O$49,"",0,1)="P",1*$D37,0))</f>
        <v>0</v>
      </c>
      <c r="AP37" s="32">
        <f>IF($D37=0,0,IF(_xlfn.XLOOKUP($B37,'TH_CMI GRADE 10'!$B$7:$B$49,'TH_CMI GRADE 10'!P$7:P$49,"",0,1)="P",1*$D37,0))</f>
        <v>0</v>
      </c>
      <c r="AQ37" s="32">
        <f>IF($D37=0,0,IF(_xlfn.XLOOKUP($B37,'TH_CMI GRADE 10'!$B$7:$B$49,'TH_CMI GRADE 10'!Q$7:Q$49,"",0,1)="P",1*$D37,0))</f>
        <v>0</v>
      </c>
      <c r="AR37" s="32">
        <f>IF($D37=0,0,IF(_xlfn.XLOOKUP($B37,'TH_CMI GRADE 10'!$B$7:$B$49,'TH_CMI GRADE 10'!U$7:U$49,"",0,1)="P",1*$D37,0))</f>
        <v>4</v>
      </c>
      <c r="AS37" s="32">
        <f>IF($D37=0,0,IF(_xlfn.XLOOKUP($B37,'TH_CMI GRADE 10'!$B$7:$B$49,'TH_CMI GRADE 10'!V$7:V$49,"",0,1)="P",1*$D37,0))</f>
        <v>4</v>
      </c>
      <c r="AT37" s="32">
        <f>IF($D37=0,0,IF(_xlfn.XLOOKUP($B37,'TH_CMI GRADE 10'!$B$7:$B$49,'TH_CMI GRADE 10'!W$7:W$49,"",0,1)="P",1*$D37,0))</f>
        <v>4</v>
      </c>
      <c r="AU37" s="32">
        <f>IF($D37=0,0,IF(_xlfn.XLOOKUP($B37,'TH_CMI GRADE 10'!$B$7:$B$49,'TH_CMI GRADE 10'!AA$7:AA$49,"",0,1)="P",1*$D37,0))</f>
        <v>0</v>
      </c>
      <c r="AV37" s="32">
        <f>IF($D37=0,0,IF(_xlfn.XLOOKUP($B37,'TH_CMI GRADE 10'!$B$7:$B$49,'TH_CMI GRADE 10'!AB$7:AB$49,"",0,1)="P",1*$D37,0))</f>
        <v>0</v>
      </c>
      <c r="AW37" s="32">
        <f>IF($D37=0,0,IF(_xlfn.XLOOKUP($B37,'TH_CMI GRADE 10'!$B$7:$B$49,'TH_CMI GRADE 10'!AC$7:AC$49,"",0,1)="P",1*$D37,0))</f>
        <v>0</v>
      </c>
      <c r="AX37" s="32">
        <f>IF($D37=0,0,IF(_xlfn.XLOOKUP($B37,'TH_CMI GRADE 10'!$B$7:$B$49,'TH_CMI GRADE 10'!AG$7:AG$49,"",0,1)="P",1*$D37,0))</f>
        <v>0</v>
      </c>
      <c r="AY37" s="32">
        <f>IF($D37=0,0,IF(_xlfn.XLOOKUP($B37,'TH_CMI GRADE 10'!$B$7:$B$49,'TH_CMI GRADE 10'!AH$7:AH$49,"",0,1)="P",1*$D37,0))</f>
        <v>0</v>
      </c>
      <c r="AZ37" s="32">
        <f>IF($D37=0,0,IF(_xlfn.XLOOKUP($B37,'TH_CMI GRADE 10'!$B$7:$B$49,'TH_CMI GRADE 10'!AI$7:AI$49,"",0,1)="P",1*$D37,0))</f>
        <v>0</v>
      </c>
      <c r="BA37" s="31" t="e">
        <f>IF($C37=0,0,IF(_xlfn.XLOOKUP($B37,'PW_MLG GRADE 10'!$B$7:$B$31,'PW_MLG GRADE 10'!#REF!,"",0,1)="P",1*$C37,0))</f>
        <v>#REF!</v>
      </c>
      <c r="BB37" s="31" t="e">
        <f>IF($C37=0,0,IF(_xlfn.XLOOKUP($B37,'PW_MLG GRADE 10'!$B$7:$B$31,'PW_MLG GRADE 10'!#REF!,"",0,1)="P",1*$C37,0))</f>
        <v>#REF!</v>
      </c>
      <c r="BC37" s="31" t="e">
        <f>IF($C37=0,0,IF(_xlfn.XLOOKUP($B37,'PW_MLG GRADE 10'!$B$7:$B$31,'PW_MLG GRADE 10'!#REF!,"",0,1)="P",1*$C37,0))</f>
        <v>#REF!</v>
      </c>
      <c r="BD37" s="31" t="e">
        <f>IF($C37=0,0,IF(_xlfn.XLOOKUP($B37,'PW_MLG GRADE 10'!$B$7:$B$31,'PW_MLG GRADE 10'!#REF!,"",0,1)="P",1*$C37,0))</f>
        <v>#REF!</v>
      </c>
      <c r="BE37" s="31" t="e">
        <f>IF($C37=0,0,IF(_xlfn.XLOOKUP($B37,'PW_MLG GRADE 10'!$B$7:$B$31,'PW_MLG GRADE 10'!#REF!,"",0,1)="P",1*$C37,0))</f>
        <v>#REF!</v>
      </c>
      <c r="BF37" s="31" t="e">
        <f>IF($C37=0,0,IF(_xlfn.XLOOKUP($B37,'PW_MLG GRADE 10'!$B$7:$B$31,'PW_MLG GRADE 10'!#REF!,"",0,1)="P",1*$C37,0))</f>
        <v>#REF!</v>
      </c>
      <c r="BG37" s="31" t="e">
        <f>IF($C37=0,0,IF(_xlfn.XLOOKUP($B37,'PW_MLG GRADE 10'!$B$7:$B$31,'PW_MLG GRADE 10'!#REF!,"",0,1)="P",1*$C37,0))</f>
        <v>#REF!</v>
      </c>
      <c r="BH37" s="31" t="e">
        <f>IF($C37=0,0,IF(_xlfn.XLOOKUP($B37,'PW_MLG GRADE 10'!$B$7:$B$31,'PW_MLG GRADE 10'!#REF!,"",0,1)="P",1*$C37,0))</f>
        <v>#REF!</v>
      </c>
      <c r="BI37" s="31" t="e">
        <f>IF($C37=0,0,IF(_xlfn.XLOOKUP($B37,'PW_MLG GRADE 10'!$B$7:$B$31,'PW_MLG GRADE 10'!#REF!,"",0,1)="P",1*$C37,0))</f>
        <v>#REF!</v>
      </c>
      <c r="BJ37" s="31" t="e">
        <f>IF($C37=0,0,IF(_xlfn.XLOOKUP($B37,'PW_MLG GRADE 10'!$B$7:$B$31,'PW_MLG GRADE 10'!#REF!,"",0,1)="P",1*$C37,0))</f>
        <v>#REF!</v>
      </c>
      <c r="BK37" s="31" t="e">
        <f>IF($C37=0,0,IF(_xlfn.XLOOKUP($B37,'PW_MLG GRADE 10'!$B$7:$B$31,'PW_MLG GRADE 10'!#REF!,"",0,1)="P",1*$C37,0))</f>
        <v>#REF!</v>
      </c>
      <c r="BL37" s="31" t="e">
        <f>IF($C37=0,0,IF(_xlfn.XLOOKUP($B37,'PW_MLG GRADE 10'!$B$7:$B$31,'PW_MLG GRADE 10'!#REF!,"",0,1)="P",1*$C37,0))</f>
        <v>#REF!</v>
      </c>
      <c r="BM37" s="31" t="e">
        <f>IF($C37=0,0,IF(_xlfn.XLOOKUP($B37,'PW_MLG GRADE 10'!$B$7:$B$31,'PW_MLG GRADE 10'!#REF!,"",0,1)="P",1*$C37,0))</f>
        <v>#REF!</v>
      </c>
      <c r="BN37" s="31" t="e">
        <f>IF($C37=0,0,IF(_xlfn.XLOOKUP($B37,'PW_MLG GRADE 10'!$B$7:$B$31,'PW_MLG GRADE 10'!#REF!,"",0,1)="P",1*$C37,0))</f>
        <v>#REF!</v>
      </c>
      <c r="BO37" s="31" t="e">
        <f>IF($C37=0,0,IF(_xlfn.XLOOKUP($B37,'PW_MLG GRADE 10'!$B$7:$B$31,'PW_MLG GRADE 10'!#REF!,"",0,1)="P",1*$C37,0))</f>
        <v>#REF!</v>
      </c>
      <c r="BP37" s="31" t="e">
        <f>IF($C37=0,0,IF(_xlfn.XLOOKUP($B37,'PW_MLG GRADE 10'!$B$7:$B$31,'PW_MLG GRADE 10'!#REF!,"",0,1)="P",1*$C37,0))</f>
        <v>#REF!</v>
      </c>
      <c r="BQ37" s="31" t="e">
        <f>IF($C37=0,0,IF(_xlfn.XLOOKUP($B37,'PW_MLG GRADE 10'!$B$7:$B$31,'PW_MLG GRADE 10'!#REF!,"",0,1)="P",1*$C37,0))</f>
        <v>#REF!</v>
      </c>
      <c r="BR37" s="31" t="e">
        <f>IF($C37=0,0,IF(_xlfn.XLOOKUP($B37,'PW_MLG GRADE 10'!$B$7:$B$31,'PW_MLG GRADE 10'!#REF!,"",0,1)="P",1*$C37,0))</f>
        <v>#REF!</v>
      </c>
      <c r="BS37" s="31" t="e">
        <f>IF($C37=0,0,IF(_xlfn.XLOOKUP($B37,'PW_MLG GRADE 10'!$B$7:$B$31,'PW_MLG GRADE 10'!#REF!,"",0,1)="P",1*$C37,0))</f>
        <v>#REF!</v>
      </c>
      <c r="BT37" s="31" t="e">
        <f>IF($C37=0,0,IF(_xlfn.XLOOKUP($B37,'PW_MLG GRADE 10'!$B$7:$B$31,'PW_MLG GRADE 10'!#REF!,"",0,1)="P",1*$C37,0))</f>
        <v>#REF!</v>
      </c>
      <c r="BU37" s="31" t="e">
        <f>IF($C37=0,0,IF(_xlfn.XLOOKUP($B37,'PW_MLG GRADE 10'!$B$7:$B$31,'PW_MLG GRADE 10'!#REF!,"",0,1)="P",1*$C37,0))</f>
        <v>#REF!</v>
      </c>
      <c r="BV37" s="31" t="e">
        <f>IF($C37=0,0,IF(_xlfn.XLOOKUP($B37,'PW_MLG GRADE 10'!$B$7:$B$31,'PW_MLG GRADE 10'!#REF!,"",0,1)="P",1*$C37,0))</f>
        <v>#REF!</v>
      </c>
      <c r="BW37" s="31" t="e">
        <f>IF($C37=0,0,IF(_xlfn.XLOOKUP($B37,'PW_MLG GRADE 10'!$B$7:$B$31,'PW_MLG GRADE 10'!#REF!,"",0,1)="P",1*$C37,0))</f>
        <v>#REF!</v>
      </c>
      <c r="BX37" s="31" t="e">
        <f>IF($C37=0,0,IF(_xlfn.XLOOKUP($B37,'PW_MLG GRADE 10'!$B$7:$B$31,'PW_MLG GRADE 10'!#REF!,"",0,1)="P",1*$C37,0))</f>
        <v>#REF!</v>
      </c>
      <c r="BY37" s="31" t="e">
        <f>IF($C37=0,0,IF(_xlfn.XLOOKUP($B37,'PW_MLG GRADE 10'!$B$7:$B$31,'PW_MLG GRADE 10'!#REF!,"",0,1)="P",1*$C37,0))</f>
        <v>#REF!</v>
      </c>
      <c r="BZ37" s="31" t="e">
        <f>IF($C37=0,0,IF(_xlfn.XLOOKUP($B37,'PW_MLG GRADE 10'!$B$7:$B$31,'PW_MLG GRADE 10'!#REF!,"",0,1)="P",1*$C37,0))</f>
        <v>#REF!</v>
      </c>
      <c r="CA37" s="31" t="e">
        <f>IF($C37=0,0,IF(_xlfn.XLOOKUP($B37,'PW_MLG GRADE 10'!$B$7:$B$31,'PW_MLG GRADE 10'!#REF!,"",0,1)="P",1*$C37,0))</f>
        <v>#REF!</v>
      </c>
      <c r="CB37" s="31" t="e">
        <f>IF($C37=0,0,IF(_xlfn.XLOOKUP($B37,'PW_MLG GRADE 10'!$B$7:$B$31,'PW_MLG GRADE 10'!#REF!,"",0,1)="P",1*$C37,0))</f>
        <v>#REF!</v>
      </c>
      <c r="CC37" s="31" t="e">
        <f>IF($C37=0,0,IF(_xlfn.XLOOKUP($B37,'PW_MLG GRADE 10'!$B$7:$B$31,'PW_MLG GRADE 10'!#REF!,"",0,1)="P",1*$C37,0))</f>
        <v>#REF!</v>
      </c>
      <c r="CD37" s="31" t="e">
        <f>IF($C37=0,0,IF(_xlfn.XLOOKUP($B37,'PW_MLG GRADE 10'!$B$7:$B$31,'PW_MLG GRADE 10'!#REF!,"",0,1)="P",1*$C37,0))</f>
        <v>#REF!</v>
      </c>
      <c r="CE37" s="32">
        <f>IF($C37=0,0,IF(_xlfn.XLOOKUP($B37,'PW_CMI GRADE 10'!$B$7:$B$31,'PW_CMI GRADE 10'!C$7:C$31,"",0,1)="P",1*$C37,0))</f>
        <v>0</v>
      </c>
      <c r="CF37" s="32">
        <f>IF($C37=0,0,IF(_xlfn.XLOOKUP($B37,'PW_CMI GRADE 10'!$B$7:$B$31,'PW_CMI GRADE 10'!D$7:D$31,"",0,1)="P",1*$C37,0))</f>
        <v>0</v>
      </c>
      <c r="CG37" s="32">
        <f>IF($C37=0,0,IF(_xlfn.XLOOKUP($B37,'PW_CMI GRADE 10'!$B$7:$B$31,'PW_CMI GRADE 10'!E$7:E$31,"",0,1)="P",1*$C37,0))</f>
        <v>0</v>
      </c>
      <c r="CH37" s="32">
        <f>IF($C37=0,0,IF(_xlfn.XLOOKUP($B37,'PW_CMI GRADE 10'!$B$7:$B$31,'PW_CMI GRADE 10'!F$7:F$31,"",0,1)="P",1*$C37,0))</f>
        <v>0</v>
      </c>
      <c r="CI37" s="32">
        <f>IF($C37=0,0,IF(_xlfn.XLOOKUP($B37,'PW_CMI GRADE 10'!$B$7:$B$31,'PW_CMI GRADE 10'!G$7:G$31,"",0,1)="P",1*$C37,0))</f>
        <v>0</v>
      </c>
      <c r="CJ37" s="32">
        <f>IF($C37=0,0,IF(_xlfn.XLOOKUP($B37,'PW_CMI GRADE 10'!$B$7:$B$31,'PW_CMI GRADE 10'!H$7:H$31,"",0,1)="P",1*$C37,0))</f>
        <v>0</v>
      </c>
      <c r="CK37" s="32">
        <f>IF($C37=0,0,IF(_xlfn.XLOOKUP($B37,'PW_CMI GRADE 10'!$B$7:$B$31,'PW_CMI GRADE 10'!I$7:I$31,"",0,1)="P",1*$C37,0))</f>
        <v>0</v>
      </c>
      <c r="CL37" s="32">
        <f>IF($C37=0,0,IF(_xlfn.XLOOKUP($B37,'PW_CMI GRADE 10'!$B$7:$B$31,'PW_CMI GRADE 10'!J$7:J$31,"",0,1)="P",1*$C37,0))</f>
        <v>0</v>
      </c>
      <c r="CM37" s="32">
        <f>IF($C37=0,0,IF(_xlfn.XLOOKUP($B37,'PW_CMI GRADE 10'!$B$7:$B$31,'PW_CMI GRADE 10'!K$7:K$31,"",0,1)="P",1*$C37,0))</f>
        <v>0</v>
      </c>
      <c r="CN37" s="32">
        <f>IF($C37=0,0,IF(_xlfn.XLOOKUP($B37,'PW_CMI GRADE 10'!$B$7:$B$31,'PW_CMI GRADE 10'!L$7:L$31,"",0,1)="P",1*$C37,0))</f>
        <v>0</v>
      </c>
      <c r="CO37" s="32">
        <f>IF($C37=0,0,IF(_xlfn.XLOOKUP($B37,'PW_CMI GRADE 10'!$B$7:$B$31,'PW_CMI GRADE 10'!M$7:M$31,"",0,1)="P",1*$C37,0))</f>
        <v>0</v>
      </c>
      <c r="CP37" s="32">
        <f>IF($C37=0,0,IF(_xlfn.XLOOKUP($B37,'PW_CMI GRADE 10'!$B$7:$B$31,'PW_CMI GRADE 10'!N$7:N$31,"",0,1)="P",1*$C37,0))</f>
        <v>0</v>
      </c>
      <c r="CQ37" s="32">
        <f>IF($C37=0,0,IF(_xlfn.XLOOKUP($B37,'PW_CMI GRADE 10'!$B$7:$B$31,'PW_CMI GRADE 10'!O$7:O$31,"",0,1)="P",1*$C37,0))</f>
        <v>0</v>
      </c>
      <c r="CR37" s="32">
        <f>IF($C37=0,0,IF(_xlfn.XLOOKUP($B37,'PW_CMI GRADE 10'!$B$7:$B$31,'PW_CMI GRADE 10'!P$7:P$31,"",0,1)="P",1*$C37,0))</f>
        <v>0</v>
      </c>
      <c r="CS37" s="32">
        <f>IF($C37=0,0,IF(_xlfn.XLOOKUP($B37,'PW_CMI GRADE 10'!$B$7:$B$31,'PW_CMI GRADE 10'!Q$7:Q$31,"",0,1)="P",1*$C37,0))</f>
        <v>0</v>
      </c>
      <c r="CT37" s="32">
        <f>IF($C37=0,0,IF(_xlfn.XLOOKUP($B37,'PW_CMI GRADE 10'!$B$7:$B$31,'PW_CMI GRADE 10'!R$7:R$31,"",0,1)="P",1*$C37,0))</f>
        <v>0</v>
      </c>
      <c r="CU37" s="32">
        <f>IF($C37=0,0,IF(_xlfn.XLOOKUP($B37,'PW_CMI GRADE 10'!$B$7:$B$31,'PW_CMI GRADE 10'!S$7:S$31,"",0,1)="P",1*$C37,0))</f>
        <v>0</v>
      </c>
      <c r="CV37" s="32">
        <f>IF($C37=0,0,IF(_xlfn.XLOOKUP($B37,'PW_CMI GRADE 10'!$B$7:$B$31,'PW_CMI GRADE 10'!T$7:T$31,"",0,1)="P",1*$C37,0))</f>
        <v>0</v>
      </c>
      <c r="CW37" s="62" t="e">
        <f t="shared" si="19"/>
        <v>#REF!</v>
      </c>
      <c r="CX37" s="62" t="e">
        <f t="shared" si="20"/>
        <v>#REF!</v>
      </c>
      <c r="CY37" s="62" t="e">
        <f t="shared" si="21"/>
        <v>#REF!</v>
      </c>
      <c r="CZ37" s="62" t="e">
        <f t="shared" si="22"/>
        <v>#REF!</v>
      </c>
      <c r="DA37" s="62" t="e">
        <f t="shared" si="23"/>
        <v>#REF!</v>
      </c>
      <c r="DB37" s="62" t="e">
        <f t="shared" si="24"/>
        <v>#REF!</v>
      </c>
      <c r="DC37" s="62" t="e">
        <f t="shared" si="25"/>
        <v>#REF!</v>
      </c>
      <c r="DD37" s="62" t="e">
        <f t="shared" si="26"/>
        <v>#REF!</v>
      </c>
      <c r="DE37" s="62" t="e">
        <f t="shared" si="27"/>
        <v>#REF!</v>
      </c>
      <c r="DF37" s="62" t="e">
        <f t="shared" si="28"/>
        <v>#REF!</v>
      </c>
      <c r="DG37" s="62" t="e">
        <f t="shared" si="29"/>
        <v>#REF!</v>
      </c>
      <c r="DH37" s="62" t="e">
        <f t="shared" si="30"/>
        <v>#REF!</v>
      </c>
      <c r="DI37" s="62" t="e">
        <f t="shared" si="31"/>
        <v>#REF!</v>
      </c>
      <c r="DJ37" s="62" t="e">
        <f t="shared" si="32"/>
        <v>#REF!</v>
      </c>
      <c r="DK37" s="62" t="e">
        <f t="shared" si="33"/>
        <v>#REF!</v>
      </c>
      <c r="DL37" s="62" t="e">
        <f t="shared" si="34"/>
        <v>#REF!</v>
      </c>
      <c r="DM37" s="62" t="e">
        <f t="shared" si="35"/>
        <v>#REF!</v>
      </c>
      <c r="DN37" s="62" t="e">
        <f t="shared" si="36"/>
        <v>#REF!</v>
      </c>
      <c r="DO37" s="62" t="e">
        <f t="shared" si="37"/>
        <v>#REF!</v>
      </c>
      <c r="DP37" s="62" t="e">
        <f t="shared" si="38"/>
        <v>#REF!</v>
      </c>
      <c r="DQ37" s="62" t="e">
        <f t="shared" si="39"/>
        <v>#REF!</v>
      </c>
      <c r="DR37" s="62" t="e">
        <f t="shared" si="40"/>
        <v>#REF!</v>
      </c>
      <c r="DS37" s="62" t="e">
        <f t="shared" si="41"/>
        <v>#REF!</v>
      </c>
      <c r="DT37" s="62" t="e">
        <f t="shared" si="42"/>
        <v>#REF!</v>
      </c>
      <c r="DU37" s="62" t="e">
        <f t="shared" si="43"/>
        <v>#REF!</v>
      </c>
      <c r="DV37" s="62" t="e">
        <f t="shared" si="44"/>
        <v>#REF!</v>
      </c>
      <c r="DW37" s="62" t="e">
        <f t="shared" si="45"/>
        <v>#REF!</v>
      </c>
      <c r="DX37" s="62" t="e">
        <f t="shared" si="46"/>
        <v>#REF!</v>
      </c>
      <c r="DY37" s="62" t="e">
        <f t="shared" si="47"/>
        <v>#REF!</v>
      </c>
      <c r="DZ37" s="62" t="e">
        <f t="shared" si="48"/>
        <v>#REF!</v>
      </c>
      <c r="EA37" s="63">
        <f t="shared" si="68"/>
        <v>0</v>
      </c>
      <c r="EB37" s="63">
        <f t="shared" si="2"/>
        <v>0.16666666666666666</v>
      </c>
      <c r="EC37" s="63">
        <f t="shared" si="3"/>
        <v>0.33333333333333331</v>
      </c>
      <c r="ED37" s="63">
        <f t="shared" si="4"/>
        <v>0.5</v>
      </c>
      <c r="EE37" s="63">
        <f t="shared" si="5"/>
        <v>0.33333333333333331</v>
      </c>
      <c r="EF37" s="63">
        <f t="shared" si="6"/>
        <v>0.16666666666666666</v>
      </c>
      <c r="EG37" s="63">
        <f t="shared" si="7"/>
        <v>0</v>
      </c>
      <c r="EH37" s="63">
        <f t="shared" si="8"/>
        <v>0.16666666666666666</v>
      </c>
      <c r="EI37" s="63">
        <f t="shared" si="9"/>
        <v>0.33333333333333331</v>
      </c>
      <c r="EJ37" s="63">
        <f t="shared" si="10"/>
        <v>0.5</v>
      </c>
      <c r="EK37" s="63">
        <f t="shared" si="11"/>
        <v>0.33333333333333331</v>
      </c>
      <c r="EL37" s="63">
        <f t="shared" si="12"/>
        <v>0.16666666666666666</v>
      </c>
      <c r="EM37" s="63">
        <f t="shared" si="13"/>
        <v>0</v>
      </c>
      <c r="EN37" s="63">
        <f t="shared" si="14"/>
        <v>0</v>
      </c>
      <c r="EO37" s="63">
        <f t="shared" si="15"/>
        <v>0</v>
      </c>
      <c r="EP37" s="63">
        <f t="shared" si="16"/>
        <v>0</v>
      </c>
      <c r="FU37" s="51">
        <v>46844</v>
      </c>
      <c r="FV37" t="s">
        <v>22</v>
      </c>
      <c r="FW37" t="s">
        <v>22</v>
      </c>
      <c r="FX37" t="s">
        <v>22</v>
      </c>
      <c r="FY37" t="s">
        <v>22</v>
      </c>
      <c r="FZ37" t="s">
        <v>22</v>
      </c>
      <c r="GA37" t="s">
        <v>22</v>
      </c>
      <c r="GB37" t="s">
        <v>22</v>
      </c>
      <c r="GC37" t="s">
        <v>22</v>
      </c>
      <c r="GD37" t="s">
        <v>22</v>
      </c>
      <c r="GE37" t="s">
        <v>22</v>
      </c>
      <c r="GF37" t="s">
        <v>22</v>
      </c>
      <c r="GG37" t="s">
        <v>22</v>
      </c>
      <c r="GH37" t="s">
        <v>22</v>
      </c>
      <c r="GI37" t="s">
        <v>22</v>
      </c>
      <c r="GJ37" t="s">
        <v>22</v>
      </c>
      <c r="GK37" t="s">
        <v>22</v>
      </c>
      <c r="GL37" t="s">
        <v>22</v>
      </c>
      <c r="GM37" t="s">
        <v>22</v>
      </c>
      <c r="GN37" t="s">
        <v>22</v>
      </c>
      <c r="GO37" t="s">
        <v>22</v>
      </c>
      <c r="GP37" t="s">
        <v>22</v>
      </c>
      <c r="GQ37" t="s">
        <v>22</v>
      </c>
      <c r="GR37" t="s">
        <v>22</v>
      </c>
      <c r="GS37" t="s">
        <v>22</v>
      </c>
      <c r="GT37" t="s">
        <v>22</v>
      </c>
      <c r="GU37" t="s">
        <v>22</v>
      </c>
      <c r="GV37" t="s">
        <v>22</v>
      </c>
      <c r="GW37" t="s">
        <v>22</v>
      </c>
      <c r="GX37" t="s">
        <v>22</v>
      </c>
      <c r="GY37" t="s">
        <v>22</v>
      </c>
      <c r="GZ37" t="s">
        <v>22</v>
      </c>
      <c r="HA37" t="s">
        <v>22</v>
      </c>
      <c r="HB37" t="s">
        <v>22</v>
      </c>
      <c r="HC37" t="s">
        <v>22</v>
      </c>
      <c r="HD37" t="s">
        <v>22</v>
      </c>
      <c r="HE37" t="s">
        <v>22</v>
      </c>
      <c r="HF37" t="s">
        <v>22</v>
      </c>
      <c r="HG37" t="s">
        <v>22</v>
      </c>
      <c r="HH37" t="s">
        <v>22</v>
      </c>
      <c r="HI37" t="s">
        <v>22</v>
      </c>
      <c r="HJ37" t="s">
        <v>22</v>
      </c>
      <c r="HK37" t="s">
        <v>22</v>
      </c>
      <c r="HL37" t="s">
        <v>22</v>
      </c>
      <c r="HM37" t="s">
        <v>22</v>
      </c>
      <c r="HN37" t="s">
        <v>22</v>
      </c>
      <c r="HO37" cm="1">
        <f t="array" ref="HO37">SUMPRODUCT(--(FV37:HN37&lt;&gt;""))</f>
        <v>0</v>
      </c>
    </row>
    <row r="38" spans="1:223">
      <c r="A38" t="str">
        <f t="shared" si="18"/>
        <v>6A.1</v>
      </c>
      <c r="B38" t="s">
        <v>69</v>
      </c>
      <c r="C38" s="27">
        <v>2</v>
      </c>
      <c r="D38" s="30">
        <v>2</v>
      </c>
      <c r="E38" s="31">
        <f>IF($D38=0,0,IF(_xlfn.XLOOKUP($B38,'TH_MLG GRADE 10'!$B$7:$B$49,'TH_MLG GRADE 10'!C$7:C$49,"",0,1)="P",1*$D38,0))</f>
        <v>0</v>
      </c>
      <c r="F38" s="31">
        <f>IF($D38=0,0,IF(_xlfn.XLOOKUP($B38,'TH_MLG GRADE 10'!$B$7:$B$49,'TH_MLG GRADE 10'!D$7:D$49,"",0,1)="P",1*$D38,0))</f>
        <v>2</v>
      </c>
      <c r="G38" s="31">
        <f>IF($D38=0,0,IF(_xlfn.XLOOKUP($B38,'TH_MLG GRADE 10'!$B$7:$B$49,'TH_MLG GRADE 10'!E$7:E$49,"",0,1)="P",1*$D38,0))</f>
        <v>0</v>
      </c>
      <c r="H38" s="31">
        <f>IF($D38=0,0,IF(_xlfn.XLOOKUP($B38,'TH_MLG GRADE 10'!$B$7:$B$49,'TH_MLG GRADE 10'!I$7:I$49,"",0,1)="P",1*$D38,0))</f>
        <v>2</v>
      </c>
      <c r="I38" s="31">
        <f>IF($D38=0,0,IF(_xlfn.XLOOKUP($B38,'TH_MLG GRADE 10'!$B$7:$B$49,'TH_MLG GRADE 10'!J$7:J$49,"",0,1)="P",1*$D38,0))</f>
        <v>2</v>
      </c>
      <c r="J38" s="31">
        <f>IF($D38=0,0,IF(_xlfn.XLOOKUP($B38,'TH_MLG GRADE 10'!$B$7:$B$49,'TH_MLG GRADE 10'!K$7:K$49,"",0,1)="P",1*$D38,0))</f>
        <v>2</v>
      </c>
      <c r="K38" s="31">
        <f>IF($D38=0,0,IF(_xlfn.XLOOKUP($B38,'TH_MLG GRADE 10'!$B$7:$B$49,'TH_MLG GRADE 10'!O$7:O$49,"",0,1)="P",1*$D38,0))</f>
        <v>0</v>
      </c>
      <c r="L38" s="31">
        <f>IF($D38=0,0,IF(_xlfn.XLOOKUP($B38,'TH_MLG GRADE 10'!$B$7:$B$49,'TH_MLG GRADE 10'!P$7:P$49,"",0,1)="P",1*$D38,0))</f>
        <v>0</v>
      </c>
      <c r="M38" s="31">
        <f>IF($D38=0,0,IF(_xlfn.XLOOKUP($B38,'TH_MLG GRADE 10'!$B$7:$B$49,'TH_MLG GRADE 10'!Q$7:Q$49,"",0,1)="P",1*$D38,0))</f>
        <v>0</v>
      </c>
      <c r="N38" s="31">
        <f>IF($D38=0,0,IF(_xlfn.XLOOKUP($B38,'TH_MLG GRADE 10'!$B$7:$B$49,'TH_MLG GRADE 10'!AA$7:AA$49,"",0,1)="P",1*$D38,0))</f>
        <v>0</v>
      </c>
      <c r="O38" s="31">
        <f>IF($D38=0,0,IF(_xlfn.XLOOKUP($B38,'TH_MLG GRADE 10'!$B$7:$B$49,'TH_MLG GRADE 10'!AB$7:AB$49,"",0,1)="P",1*$D38,0))</f>
        <v>0</v>
      </c>
      <c r="P38" s="31">
        <f>IF($D38=0,0,IF(_xlfn.XLOOKUP($B38,'TH_MLG GRADE 10'!$B$7:$B$49,'TH_MLG GRADE 10'!AC$7:AC$49,"",0,1)="P",1*$D38,0))</f>
        <v>0</v>
      </c>
      <c r="Q38" s="31">
        <f>IF($D38=0,0,IF(_xlfn.XLOOKUP($B38,'TH_MLG GRADE 10'!$B$7:$B$49,'TH_MLG GRADE 10'!AG$7:AG$49,"",0,1)="P",1*$D38,0))</f>
        <v>0</v>
      </c>
      <c r="R38" s="31">
        <f>IF($D38=0,0,IF(_xlfn.XLOOKUP($B38,'TH_MLG GRADE 10'!$B$7:$B$49,'TH_MLG GRADE 10'!AH$7:AH$49,"",0,1)="P",1*$D38,0))</f>
        <v>0</v>
      </c>
      <c r="S38" s="31">
        <f>IF($D38=0,0,IF(_xlfn.XLOOKUP($B38,'TH_MLG GRADE 10'!$B$7:$B$49,'TH_MLG GRADE 10'!AI$7:AI$49,"",0,1)="P",1*$D38,0))</f>
        <v>0</v>
      </c>
      <c r="T38" s="31">
        <f>IF($D38=0,0,IF(_xlfn.XLOOKUP($B38,'TH_MLG GRADE 10'!$B$7:$B$49,'TH_MLG GRADE 10'!AM$7:AM$49,"",0,1)="P",1*$D38,0))</f>
        <v>0</v>
      </c>
      <c r="U38" s="31">
        <f>IF($D38=0,0,IF(_xlfn.XLOOKUP($B38,'TH_MLG GRADE 10'!$B$7:$B$49,'TH_MLG GRADE 10'!AN$7:AN$49,"",0,1)="P",1*$D38,0))</f>
        <v>0</v>
      </c>
      <c r="V38" s="31">
        <f>IF($D38=0,0,IF(_xlfn.XLOOKUP($B38,'TH_MLG GRADE 10'!$B$7:$B$49,'TH_MLG GRADE 10'!AO$7:AO$49,"",0,1)="P",1*$D38,0))</f>
        <v>0</v>
      </c>
      <c r="W38" s="31">
        <f>IF($D38=0,0,IF(_xlfn.XLOOKUP($B38,'TH_MLG GRADE 10'!$B$7:$B$49,'TH_MLG GRADE 10'!AY$7:AY$49,"",0,1)="P",1*$D38,0))</f>
        <v>0</v>
      </c>
      <c r="X38" s="31">
        <f>IF($D38=0,0,IF(_xlfn.XLOOKUP($B38,'TH_MLG GRADE 10'!$B$7:$B$49,'TH_MLG GRADE 10'!AZ$7:AZ$49,"",0,1)="P",1*$D38,0))</f>
        <v>0</v>
      </c>
      <c r="Y38" s="31">
        <f>IF($D38=0,0,IF(_xlfn.XLOOKUP($B38,'TH_MLG GRADE 10'!$B$7:$B$49,'TH_MLG GRADE 10'!BA$7:BA$49,"",0,1)="P",1*$D38,0))</f>
        <v>0</v>
      </c>
      <c r="Z38" s="31">
        <f>IF($D38=0,0,IF(_xlfn.XLOOKUP($B38,'TH_MLG GRADE 10'!$B$7:$B$49,'TH_MLG GRADE 10'!BE$7:BE$49,"",0,1)="P",1*$D38,0))</f>
        <v>0</v>
      </c>
      <c r="AA38" s="31">
        <f>IF($D38=0,0,IF(_xlfn.XLOOKUP($B38,'TH_MLG GRADE 10'!$B$7:$B$49,'TH_MLG GRADE 10'!BF$7:BF$49,"",0,1)="P",1*$D38,0))</f>
        <v>0</v>
      </c>
      <c r="AB38" s="31">
        <f>IF($D38=0,0,IF(_xlfn.XLOOKUP($B38,'TH_MLG GRADE 10'!$B$7:$B$49,'TH_MLG GRADE 10'!BG$7:BG$49,"",0,1)="P",1*$D38,0))</f>
        <v>0</v>
      </c>
      <c r="AC38" s="31" t="e">
        <f>IF($D38=0,0,IF(_xlfn.XLOOKUP($B38,'TH_MLG GRADE 10'!$B$7:$B$49,'TH_MLG GRADE 10'!#REF!,"",0,1)="P",1*$D38,0))</f>
        <v>#REF!</v>
      </c>
      <c r="AD38" s="31" t="e">
        <f>IF($D38=0,0,IF(_xlfn.XLOOKUP($B38,'TH_MLG GRADE 10'!$B$7:$B$49,'TH_MLG GRADE 10'!#REF!,"",0,1)="P",1*$D38,0))</f>
        <v>#REF!</v>
      </c>
      <c r="AE38" s="31" t="e">
        <f>IF($D38=0,0,IF(_xlfn.XLOOKUP($B38,'TH_MLG GRADE 10'!$B$7:$B$49,'TH_MLG GRADE 10'!#REF!,"",0,1)="P",1*$D38,0))</f>
        <v>#REF!</v>
      </c>
      <c r="AF38" s="31" t="e">
        <f>IF($D38=0,0,IF(_xlfn.XLOOKUP($B38,'TH_MLG GRADE 10'!$B$7:$B$49,'TH_MLG GRADE 10'!#REF!,"",0,1)="P",1*$D38,0))</f>
        <v>#REF!</v>
      </c>
      <c r="AG38" s="31" t="e">
        <f>IF($D38=0,0,IF(_xlfn.XLOOKUP($B38,'TH_MLG GRADE 10'!$B$7:$B$49,'TH_MLG GRADE 10'!#REF!,"",0,1)="P",1*$D38,0))</f>
        <v>#REF!</v>
      </c>
      <c r="AH38" s="31" t="e">
        <f>IF($D38=0,0,IF(_xlfn.XLOOKUP($B38,'TH_MLG GRADE 10'!$B$7:$B$49,'TH_MLG GRADE 10'!#REF!,"",0,1)="P",1*$D38,0))</f>
        <v>#REF!</v>
      </c>
      <c r="AI38" s="32">
        <f>IF($D38=0,0,IF(_xlfn.XLOOKUP($B38,'TH_CMI GRADE 10'!$B$7:$B$49,'TH_CMI GRADE 10'!C$7:C$49,"",0,1)="P",1*$D38,0))</f>
        <v>0</v>
      </c>
      <c r="AJ38" s="32">
        <f>IF($D38=0,0,IF(_xlfn.XLOOKUP($B38,'TH_CMI GRADE 10'!$B$7:$B$49,'TH_CMI GRADE 10'!D$7:D$49,"",0,1)="P",1*$D38,0))</f>
        <v>0</v>
      </c>
      <c r="AK38" s="32">
        <f>IF($D38=0,0,IF(_xlfn.XLOOKUP($B38,'TH_CMI GRADE 10'!$B$7:$B$49,'TH_CMI GRADE 10'!H$7:H$49,"",0,1)="P",1*$D38,0))</f>
        <v>0</v>
      </c>
      <c r="AL38" s="32">
        <f>IF($D38=0,0,IF(_xlfn.XLOOKUP($B38,'TH_CMI GRADE 10'!$B$7:$B$49,'TH_CMI GRADE 10'!I$7:I$49,"",0,1)="P",1*$D38,0))</f>
        <v>0</v>
      </c>
      <c r="AM38" s="32">
        <f>IF($D38=0,0,IF(_xlfn.XLOOKUP($B38,'TH_CMI GRADE 10'!$B$7:$B$49,'TH_CMI GRADE 10'!J$7:J$49,"",0,1)="P",1*$D38,0))</f>
        <v>0</v>
      </c>
      <c r="AN38" s="32">
        <f>IF($D38=0,0,IF(_xlfn.XLOOKUP($B38,'TH_CMI GRADE 10'!$B$7:$B$49,'TH_CMI GRADE 10'!K$7:K$49,"",0,1)="P",1*$D38,0))</f>
        <v>0</v>
      </c>
      <c r="AO38" s="32">
        <f>IF($D38=0,0,IF(_xlfn.XLOOKUP($B38,'TH_CMI GRADE 10'!$B$7:$B$49,'TH_CMI GRADE 10'!O$7:O$49,"",0,1)="P",1*$D38,0))</f>
        <v>2</v>
      </c>
      <c r="AP38" s="32">
        <f>IF($D38=0,0,IF(_xlfn.XLOOKUP($B38,'TH_CMI GRADE 10'!$B$7:$B$49,'TH_CMI GRADE 10'!P$7:P$49,"",0,1)="P",1*$D38,0))</f>
        <v>2</v>
      </c>
      <c r="AQ38" s="32">
        <f>IF($D38=0,0,IF(_xlfn.XLOOKUP($B38,'TH_CMI GRADE 10'!$B$7:$B$49,'TH_CMI GRADE 10'!Q$7:Q$49,"",0,1)="P",1*$D38,0))</f>
        <v>2</v>
      </c>
      <c r="AR38" s="32">
        <f>IF($D38=0,0,IF(_xlfn.XLOOKUP($B38,'TH_CMI GRADE 10'!$B$7:$B$49,'TH_CMI GRADE 10'!U$7:U$49,"",0,1)="P",1*$D38,0))</f>
        <v>2</v>
      </c>
      <c r="AS38" s="32">
        <f>IF($D38=0,0,IF(_xlfn.XLOOKUP($B38,'TH_CMI GRADE 10'!$B$7:$B$49,'TH_CMI GRADE 10'!V$7:V$49,"",0,1)="P",1*$D38,0))</f>
        <v>2</v>
      </c>
      <c r="AT38" s="32">
        <f>IF($D38=0,0,IF(_xlfn.XLOOKUP($B38,'TH_CMI GRADE 10'!$B$7:$B$49,'TH_CMI GRADE 10'!W$7:W$49,"",0,1)="P",1*$D38,0))</f>
        <v>2</v>
      </c>
      <c r="AU38" s="32">
        <f>IF($D38=0,0,IF(_xlfn.XLOOKUP($B38,'TH_CMI GRADE 10'!$B$7:$B$49,'TH_CMI GRADE 10'!AA$7:AA$49,"",0,1)="P",1*$D38,0))</f>
        <v>0</v>
      </c>
      <c r="AV38" s="32">
        <f>IF($D38=0,0,IF(_xlfn.XLOOKUP($B38,'TH_CMI GRADE 10'!$B$7:$B$49,'TH_CMI GRADE 10'!AB$7:AB$49,"",0,1)="P",1*$D38,0))</f>
        <v>0</v>
      </c>
      <c r="AW38" s="32">
        <f>IF($D38=0,0,IF(_xlfn.XLOOKUP($B38,'TH_CMI GRADE 10'!$B$7:$B$49,'TH_CMI GRADE 10'!AC$7:AC$49,"",0,1)="P",1*$D38,0))</f>
        <v>0</v>
      </c>
      <c r="AX38" s="32">
        <f>IF($D38=0,0,IF(_xlfn.XLOOKUP($B38,'TH_CMI GRADE 10'!$B$7:$B$49,'TH_CMI GRADE 10'!AG$7:AG$49,"",0,1)="P",1*$D38,0))</f>
        <v>0</v>
      </c>
      <c r="AY38" s="32">
        <f>IF($D38=0,0,IF(_xlfn.XLOOKUP($B38,'TH_CMI GRADE 10'!$B$7:$B$49,'TH_CMI GRADE 10'!AH$7:AH$49,"",0,1)="P",1*$D38,0))</f>
        <v>0</v>
      </c>
      <c r="AZ38" s="32">
        <f>IF($D38=0,0,IF(_xlfn.XLOOKUP($B38,'TH_CMI GRADE 10'!$B$7:$B$49,'TH_CMI GRADE 10'!AI$7:AI$49,"",0,1)="P",1*$D38,0))</f>
        <v>0</v>
      </c>
      <c r="BA38" s="31" t="e">
        <f>IF($C38=0,0,IF(_xlfn.XLOOKUP($B38,'PW_MLG GRADE 10'!$B$7:$B$31,'PW_MLG GRADE 10'!#REF!,"",0,1)="P",1*$C38,0))</f>
        <v>#REF!</v>
      </c>
      <c r="BB38" s="31" t="e">
        <f>IF($C38=0,0,IF(_xlfn.XLOOKUP($B38,'PW_MLG GRADE 10'!$B$7:$B$31,'PW_MLG GRADE 10'!#REF!,"",0,1)="P",1*$C38,0))</f>
        <v>#REF!</v>
      </c>
      <c r="BC38" s="31" t="e">
        <f>IF($C38=0,0,IF(_xlfn.XLOOKUP($B38,'PW_MLG GRADE 10'!$B$7:$B$31,'PW_MLG GRADE 10'!#REF!,"",0,1)="P",1*$C38,0))</f>
        <v>#REF!</v>
      </c>
      <c r="BD38" s="31" t="e">
        <f>IF($C38=0,0,IF(_xlfn.XLOOKUP($B38,'PW_MLG GRADE 10'!$B$7:$B$31,'PW_MLG GRADE 10'!#REF!,"",0,1)="P",1*$C38,0))</f>
        <v>#REF!</v>
      </c>
      <c r="BE38" s="31" t="e">
        <f>IF($C38=0,0,IF(_xlfn.XLOOKUP($B38,'PW_MLG GRADE 10'!$B$7:$B$31,'PW_MLG GRADE 10'!#REF!,"",0,1)="P",1*$C38,0))</f>
        <v>#REF!</v>
      </c>
      <c r="BF38" s="31" t="e">
        <f>IF($C38=0,0,IF(_xlfn.XLOOKUP($B38,'PW_MLG GRADE 10'!$B$7:$B$31,'PW_MLG GRADE 10'!#REF!,"",0,1)="P",1*$C38,0))</f>
        <v>#REF!</v>
      </c>
      <c r="BG38" s="31" t="e">
        <f>IF($C38=0,0,IF(_xlfn.XLOOKUP($B38,'PW_MLG GRADE 10'!$B$7:$B$31,'PW_MLG GRADE 10'!#REF!,"",0,1)="P",1*$C38,0))</f>
        <v>#REF!</v>
      </c>
      <c r="BH38" s="31" t="e">
        <f>IF($C38=0,0,IF(_xlfn.XLOOKUP($B38,'PW_MLG GRADE 10'!$B$7:$B$31,'PW_MLG GRADE 10'!#REF!,"",0,1)="P",1*$C38,0))</f>
        <v>#REF!</v>
      </c>
      <c r="BI38" s="31" t="e">
        <f>IF($C38=0,0,IF(_xlfn.XLOOKUP($B38,'PW_MLG GRADE 10'!$B$7:$B$31,'PW_MLG GRADE 10'!#REF!,"",0,1)="P",1*$C38,0))</f>
        <v>#REF!</v>
      </c>
      <c r="BJ38" s="31" t="e">
        <f>IF($C38=0,0,IF(_xlfn.XLOOKUP($B38,'PW_MLG GRADE 10'!$B$7:$B$31,'PW_MLG GRADE 10'!#REF!,"",0,1)="P",1*$C38,0))</f>
        <v>#REF!</v>
      </c>
      <c r="BK38" s="31" t="e">
        <f>IF($C38=0,0,IF(_xlfn.XLOOKUP($B38,'PW_MLG GRADE 10'!$B$7:$B$31,'PW_MLG GRADE 10'!#REF!,"",0,1)="P",1*$C38,0))</f>
        <v>#REF!</v>
      </c>
      <c r="BL38" s="31" t="e">
        <f>IF($C38=0,0,IF(_xlfn.XLOOKUP($B38,'PW_MLG GRADE 10'!$B$7:$B$31,'PW_MLG GRADE 10'!#REF!,"",0,1)="P",1*$C38,0))</f>
        <v>#REF!</v>
      </c>
      <c r="BM38" s="31" t="e">
        <f>IF($C38=0,0,IF(_xlfn.XLOOKUP($B38,'PW_MLG GRADE 10'!$B$7:$B$31,'PW_MLG GRADE 10'!#REF!,"",0,1)="P",1*$C38,0))</f>
        <v>#REF!</v>
      </c>
      <c r="BN38" s="31" t="e">
        <f>IF($C38=0,0,IF(_xlfn.XLOOKUP($B38,'PW_MLG GRADE 10'!$B$7:$B$31,'PW_MLG GRADE 10'!#REF!,"",0,1)="P",1*$C38,0))</f>
        <v>#REF!</v>
      </c>
      <c r="BO38" s="31" t="e">
        <f>IF($C38=0,0,IF(_xlfn.XLOOKUP($B38,'PW_MLG GRADE 10'!$B$7:$B$31,'PW_MLG GRADE 10'!#REF!,"",0,1)="P",1*$C38,0))</f>
        <v>#REF!</v>
      </c>
      <c r="BP38" s="31" t="e">
        <f>IF($C38=0,0,IF(_xlfn.XLOOKUP($B38,'PW_MLG GRADE 10'!$B$7:$B$31,'PW_MLG GRADE 10'!#REF!,"",0,1)="P",1*$C38,0))</f>
        <v>#REF!</v>
      </c>
      <c r="BQ38" s="31" t="e">
        <f>IF($C38=0,0,IF(_xlfn.XLOOKUP($B38,'PW_MLG GRADE 10'!$B$7:$B$31,'PW_MLG GRADE 10'!#REF!,"",0,1)="P",1*$C38,0))</f>
        <v>#REF!</v>
      </c>
      <c r="BR38" s="31" t="e">
        <f>IF($C38=0,0,IF(_xlfn.XLOOKUP($B38,'PW_MLG GRADE 10'!$B$7:$B$31,'PW_MLG GRADE 10'!#REF!,"",0,1)="P",1*$C38,0))</f>
        <v>#REF!</v>
      </c>
      <c r="BS38" s="31" t="e">
        <f>IF($C38=0,0,IF(_xlfn.XLOOKUP($B38,'PW_MLG GRADE 10'!$B$7:$B$31,'PW_MLG GRADE 10'!#REF!,"",0,1)="P",1*$C38,0))</f>
        <v>#REF!</v>
      </c>
      <c r="BT38" s="31" t="e">
        <f>IF($C38=0,0,IF(_xlfn.XLOOKUP($B38,'PW_MLG GRADE 10'!$B$7:$B$31,'PW_MLG GRADE 10'!#REF!,"",0,1)="P",1*$C38,0))</f>
        <v>#REF!</v>
      </c>
      <c r="BU38" s="31" t="e">
        <f>IF($C38=0,0,IF(_xlfn.XLOOKUP($B38,'PW_MLG GRADE 10'!$B$7:$B$31,'PW_MLG GRADE 10'!#REF!,"",0,1)="P",1*$C38,0))</f>
        <v>#REF!</v>
      </c>
      <c r="BV38" s="31" t="e">
        <f>IF($C38=0,0,IF(_xlfn.XLOOKUP($B38,'PW_MLG GRADE 10'!$B$7:$B$31,'PW_MLG GRADE 10'!#REF!,"",0,1)="P",1*$C38,0))</f>
        <v>#REF!</v>
      </c>
      <c r="BW38" s="31" t="e">
        <f>IF($C38=0,0,IF(_xlfn.XLOOKUP($B38,'PW_MLG GRADE 10'!$B$7:$B$31,'PW_MLG GRADE 10'!#REF!,"",0,1)="P",1*$C38,0))</f>
        <v>#REF!</v>
      </c>
      <c r="BX38" s="31" t="e">
        <f>IF($C38=0,0,IF(_xlfn.XLOOKUP($B38,'PW_MLG GRADE 10'!$B$7:$B$31,'PW_MLG GRADE 10'!#REF!,"",0,1)="P",1*$C38,0))</f>
        <v>#REF!</v>
      </c>
      <c r="BY38" s="31" t="e">
        <f>IF($C38=0,0,IF(_xlfn.XLOOKUP($B38,'PW_MLG GRADE 10'!$B$7:$B$31,'PW_MLG GRADE 10'!#REF!,"",0,1)="P",1*$C38,0))</f>
        <v>#REF!</v>
      </c>
      <c r="BZ38" s="31" t="e">
        <f>IF($C38=0,0,IF(_xlfn.XLOOKUP($B38,'PW_MLG GRADE 10'!$B$7:$B$31,'PW_MLG GRADE 10'!#REF!,"",0,1)="P",1*$C38,0))</f>
        <v>#REF!</v>
      </c>
      <c r="CA38" s="31" t="e">
        <f>IF($C38=0,0,IF(_xlfn.XLOOKUP($B38,'PW_MLG GRADE 10'!$B$7:$B$31,'PW_MLG GRADE 10'!#REF!,"",0,1)="P",1*$C38,0))</f>
        <v>#REF!</v>
      </c>
      <c r="CB38" s="31" t="e">
        <f>IF($C38=0,0,IF(_xlfn.XLOOKUP($B38,'PW_MLG GRADE 10'!$B$7:$B$31,'PW_MLG GRADE 10'!#REF!,"",0,1)="P",1*$C38,0))</f>
        <v>#REF!</v>
      </c>
      <c r="CC38" s="31" t="e">
        <f>IF($C38=0,0,IF(_xlfn.XLOOKUP($B38,'PW_MLG GRADE 10'!$B$7:$B$31,'PW_MLG GRADE 10'!#REF!,"",0,1)="P",1*$C38,0))</f>
        <v>#REF!</v>
      </c>
      <c r="CD38" s="31" t="e">
        <f>IF($C38=0,0,IF(_xlfn.XLOOKUP($B38,'PW_MLG GRADE 10'!$B$7:$B$31,'PW_MLG GRADE 10'!#REF!,"",0,1)="P",1*$C38,0))</f>
        <v>#REF!</v>
      </c>
      <c r="CE38" s="32">
        <f>IF($C38=0,0,IF(_xlfn.XLOOKUP($B38,'PW_CMI GRADE 10'!$B$7:$B$31,'PW_CMI GRADE 10'!C$7:C$31,"",0,1)="P",1*$C38,0))</f>
        <v>0</v>
      </c>
      <c r="CF38" s="32">
        <f>IF($C38=0,0,IF(_xlfn.XLOOKUP($B38,'PW_CMI GRADE 10'!$B$7:$B$31,'PW_CMI GRADE 10'!D$7:D$31,"",0,1)="P",1*$C38,0))</f>
        <v>0</v>
      </c>
      <c r="CG38" s="32">
        <f>IF($C38=0,0,IF(_xlfn.XLOOKUP($B38,'PW_CMI GRADE 10'!$B$7:$B$31,'PW_CMI GRADE 10'!E$7:E$31,"",0,1)="P",1*$C38,0))</f>
        <v>0</v>
      </c>
      <c r="CH38" s="32">
        <f>IF($C38=0,0,IF(_xlfn.XLOOKUP($B38,'PW_CMI GRADE 10'!$B$7:$B$31,'PW_CMI GRADE 10'!F$7:F$31,"",0,1)="P",1*$C38,0))</f>
        <v>0</v>
      </c>
      <c r="CI38" s="32">
        <f>IF($C38=0,0,IF(_xlfn.XLOOKUP($B38,'PW_CMI GRADE 10'!$B$7:$B$31,'PW_CMI GRADE 10'!G$7:G$31,"",0,1)="P",1*$C38,0))</f>
        <v>0</v>
      </c>
      <c r="CJ38" s="32">
        <f>IF($C38=0,0,IF(_xlfn.XLOOKUP($B38,'PW_CMI GRADE 10'!$B$7:$B$31,'PW_CMI GRADE 10'!H$7:H$31,"",0,1)="P",1*$C38,0))</f>
        <v>0</v>
      </c>
      <c r="CK38" s="32">
        <f>IF($C38=0,0,IF(_xlfn.XLOOKUP($B38,'PW_CMI GRADE 10'!$B$7:$B$31,'PW_CMI GRADE 10'!I$7:I$31,"",0,1)="P",1*$C38,0))</f>
        <v>0</v>
      </c>
      <c r="CL38" s="32">
        <f>IF($C38=0,0,IF(_xlfn.XLOOKUP($B38,'PW_CMI GRADE 10'!$B$7:$B$31,'PW_CMI GRADE 10'!J$7:J$31,"",0,1)="P",1*$C38,0))</f>
        <v>0</v>
      </c>
      <c r="CM38" s="32">
        <f>IF($C38=0,0,IF(_xlfn.XLOOKUP($B38,'PW_CMI GRADE 10'!$B$7:$B$31,'PW_CMI GRADE 10'!K$7:K$31,"",0,1)="P",1*$C38,0))</f>
        <v>0</v>
      </c>
      <c r="CN38" s="32">
        <f>IF($C38=0,0,IF(_xlfn.XLOOKUP($B38,'PW_CMI GRADE 10'!$B$7:$B$31,'PW_CMI GRADE 10'!L$7:L$31,"",0,1)="P",1*$C38,0))</f>
        <v>0</v>
      </c>
      <c r="CO38" s="32">
        <f>IF($C38=0,0,IF(_xlfn.XLOOKUP($B38,'PW_CMI GRADE 10'!$B$7:$B$31,'PW_CMI GRADE 10'!M$7:M$31,"",0,1)="P",1*$C38,0))</f>
        <v>0</v>
      </c>
      <c r="CP38" s="32">
        <f>IF($C38=0,0,IF(_xlfn.XLOOKUP($B38,'PW_CMI GRADE 10'!$B$7:$B$31,'PW_CMI GRADE 10'!N$7:N$31,"",0,1)="P",1*$C38,0))</f>
        <v>0</v>
      </c>
      <c r="CQ38" s="32">
        <f>IF($C38=0,0,IF(_xlfn.XLOOKUP($B38,'PW_CMI GRADE 10'!$B$7:$B$31,'PW_CMI GRADE 10'!O$7:O$31,"",0,1)="P",1*$C38,0))</f>
        <v>2</v>
      </c>
      <c r="CR38" s="32">
        <f>IF($C38=0,0,IF(_xlfn.XLOOKUP($B38,'PW_CMI GRADE 10'!$B$7:$B$31,'PW_CMI GRADE 10'!P$7:P$31,"",0,1)="P",1*$C38,0))</f>
        <v>2</v>
      </c>
      <c r="CS38" s="32">
        <f>IF($C38=0,0,IF(_xlfn.XLOOKUP($B38,'PW_CMI GRADE 10'!$B$7:$B$31,'PW_CMI GRADE 10'!Q$7:Q$31,"",0,1)="P",1*$C38,0))</f>
        <v>2</v>
      </c>
      <c r="CT38" s="32">
        <f>IF($C38=0,0,IF(_xlfn.XLOOKUP($B38,'PW_CMI GRADE 10'!$B$7:$B$31,'PW_CMI GRADE 10'!R$7:R$31,"",0,1)="P",1*$C38,0))</f>
        <v>0</v>
      </c>
      <c r="CU38" s="32">
        <f>IF($C38=0,0,IF(_xlfn.XLOOKUP($B38,'PW_CMI GRADE 10'!$B$7:$B$31,'PW_CMI GRADE 10'!S$7:S$31,"",0,1)="P",1*$C38,0))</f>
        <v>0</v>
      </c>
      <c r="CV38" s="32">
        <f>IF($C38=0,0,IF(_xlfn.XLOOKUP($B38,'PW_CMI GRADE 10'!$B$7:$B$31,'PW_CMI GRADE 10'!T$7:T$31,"",0,1)="P",1*$C38,0))</f>
        <v>0</v>
      </c>
      <c r="CW38" s="62" t="e">
        <f t="shared" si="19"/>
        <v>#REF!</v>
      </c>
      <c r="CX38" s="62" t="e">
        <f t="shared" si="20"/>
        <v>#REF!</v>
      </c>
      <c r="CY38" s="62" t="e">
        <f t="shared" si="21"/>
        <v>#REF!</v>
      </c>
      <c r="CZ38" s="62" t="e">
        <f t="shared" si="22"/>
        <v>#REF!</v>
      </c>
      <c r="DA38" s="62" t="e">
        <f t="shared" si="23"/>
        <v>#REF!</v>
      </c>
      <c r="DB38" s="62" t="e">
        <f t="shared" si="24"/>
        <v>#REF!</v>
      </c>
      <c r="DC38" s="62" t="e">
        <f t="shared" si="25"/>
        <v>#REF!</v>
      </c>
      <c r="DD38" s="62" t="e">
        <f t="shared" si="26"/>
        <v>#REF!</v>
      </c>
      <c r="DE38" s="62" t="e">
        <f t="shared" si="27"/>
        <v>#REF!</v>
      </c>
      <c r="DF38" s="62" t="e">
        <f t="shared" si="28"/>
        <v>#REF!</v>
      </c>
      <c r="DG38" s="62" t="e">
        <f t="shared" si="29"/>
        <v>#REF!</v>
      </c>
      <c r="DH38" s="62" t="e">
        <f t="shared" si="30"/>
        <v>#REF!</v>
      </c>
      <c r="DI38" s="62" t="e">
        <f t="shared" si="31"/>
        <v>#REF!</v>
      </c>
      <c r="DJ38" s="62" t="e">
        <f t="shared" si="32"/>
        <v>#REF!</v>
      </c>
      <c r="DK38" s="62" t="e">
        <f t="shared" si="33"/>
        <v>#REF!</v>
      </c>
      <c r="DL38" s="62" t="e">
        <f t="shared" si="34"/>
        <v>#REF!</v>
      </c>
      <c r="DM38" s="62" t="e">
        <f t="shared" si="35"/>
        <v>#REF!</v>
      </c>
      <c r="DN38" s="62" t="e">
        <f t="shared" si="36"/>
        <v>#REF!</v>
      </c>
      <c r="DO38" s="62" t="e">
        <f t="shared" si="37"/>
        <v>#REF!</v>
      </c>
      <c r="DP38" s="62" t="e">
        <f t="shared" si="38"/>
        <v>#REF!</v>
      </c>
      <c r="DQ38" s="62" t="e">
        <f t="shared" si="39"/>
        <v>#REF!</v>
      </c>
      <c r="DR38" s="62" t="e">
        <f t="shared" si="40"/>
        <v>#REF!</v>
      </c>
      <c r="DS38" s="62" t="e">
        <f t="shared" si="41"/>
        <v>#REF!</v>
      </c>
      <c r="DT38" s="62" t="e">
        <f t="shared" si="42"/>
        <v>#REF!</v>
      </c>
      <c r="DU38" s="62" t="e">
        <f t="shared" si="43"/>
        <v>#REF!</v>
      </c>
      <c r="DV38" s="62" t="e">
        <f t="shared" si="44"/>
        <v>#REF!</v>
      </c>
      <c r="DW38" s="62" t="e">
        <f t="shared" si="45"/>
        <v>#REF!</v>
      </c>
      <c r="DX38" s="62" t="e">
        <f t="shared" si="46"/>
        <v>#REF!</v>
      </c>
      <c r="DY38" s="62" t="e">
        <f t="shared" si="47"/>
        <v>#REF!</v>
      </c>
      <c r="DZ38" s="62" t="e">
        <f t="shared" si="48"/>
        <v>#REF!</v>
      </c>
      <c r="EA38" s="63">
        <f t="shared" si="68"/>
        <v>0</v>
      </c>
      <c r="EB38" s="63">
        <f t="shared" si="2"/>
        <v>0</v>
      </c>
      <c r="EC38" s="63">
        <f t="shared" si="3"/>
        <v>0</v>
      </c>
      <c r="ED38" s="63">
        <f t="shared" si="4"/>
        <v>0</v>
      </c>
      <c r="EE38" s="63">
        <f t="shared" si="5"/>
        <v>0.16666666666666666</v>
      </c>
      <c r="EF38" s="63">
        <f t="shared" si="6"/>
        <v>0.33333333333333331</v>
      </c>
      <c r="EG38" s="63">
        <f t="shared" si="7"/>
        <v>0.5</v>
      </c>
      <c r="EH38" s="63">
        <f t="shared" si="8"/>
        <v>0.5</v>
      </c>
      <c r="EI38" s="63">
        <f t="shared" si="9"/>
        <v>0.5</v>
      </c>
      <c r="EJ38" s="63">
        <f t="shared" si="10"/>
        <v>0.5</v>
      </c>
      <c r="EK38" s="63">
        <f t="shared" si="11"/>
        <v>0.5</v>
      </c>
      <c r="EL38" s="63">
        <f t="shared" si="12"/>
        <v>0.5</v>
      </c>
      <c r="EM38" s="63">
        <f t="shared" si="13"/>
        <v>0.5</v>
      </c>
      <c r="EN38" s="63">
        <f t="shared" si="14"/>
        <v>0.33333333333333331</v>
      </c>
      <c r="EO38" s="63">
        <f t="shared" si="15"/>
        <v>0.16666666666666666</v>
      </c>
      <c r="EP38" s="63">
        <f t="shared" si="16"/>
        <v>0</v>
      </c>
      <c r="FU38" s="51">
        <v>46874</v>
      </c>
      <c r="FV38" t="s">
        <v>22</v>
      </c>
      <c r="FW38" t="s">
        <v>22</v>
      </c>
      <c r="FX38" t="s">
        <v>22</v>
      </c>
      <c r="FY38" t="s">
        <v>22</v>
      </c>
      <c r="FZ38" t="s">
        <v>22</v>
      </c>
      <c r="GA38" t="s">
        <v>22</v>
      </c>
      <c r="GB38" t="s">
        <v>22</v>
      </c>
      <c r="GC38" t="s">
        <v>22</v>
      </c>
      <c r="GD38" t="s">
        <v>22</v>
      </c>
      <c r="GE38" t="s">
        <v>22</v>
      </c>
      <c r="GF38" t="s">
        <v>22</v>
      </c>
      <c r="GG38" t="s">
        <v>22</v>
      </c>
      <c r="GH38" t="s">
        <v>22</v>
      </c>
      <c r="GI38" t="s">
        <v>22</v>
      </c>
      <c r="GJ38" t="s">
        <v>22</v>
      </c>
      <c r="GK38" t="s">
        <v>22</v>
      </c>
      <c r="GL38" t="s">
        <v>22</v>
      </c>
      <c r="GM38" t="s">
        <v>22</v>
      </c>
      <c r="GN38" t="s">
        <v>22</v>
      </c>
      <c r="GO38" t="s">
        <v>22</v>
      </c>
      <c r="GP38" t="s">
        <v>22</v>
      </c>
      <c r="GQ38" t="s">
        <v>22</v>
      </c>
      <c r="GR38" t="s">
        <v>22</v>
      </c>
      <c r="GS38" t="s">
        <v>22</v>
      </c>
      <c r="GT38" t="s">
        <v>22</v>
      </c>
      <c r="GU38" t="s">
        <v>22</v>
      </c>
      <c r="GV38" t="s">
        <v>22</v>
      </c>
      <c r="GW38" t="s">
        <v>22</v>
      </c>
      <c r="GX38" t="s">
        <v>22</v>
      </c>
      <c r="GY38" t="s">
        <v>22</v>
      </c>
      <c r="GZ38" t="s">
        <v>22</v>
      </c>
      <c r="HA38" t="s">
        <v>22</v>
      </c>
      <c r="HB38" t="s">
        <v>22</v>
      </c>
      <c r="HC38" t="s">
        <v>22</v>
      </c>
      <c r="HD38" t="s">
        <v>22</v>
      </c>
      <c r="HE38" t="s">
        <v>22</v>
      </c>
      <c r="HF38" t="s">
        <v>22</v>
      </c>
      <c r="HG38" t="s">
        <v>22</v>
      </c>
      <c r="HH38" t="s">
        <v>22</v>
      </c>
      <c r="HI38" t="s">
        <v>22</v>
      </c>
      <c r="HJ38" t="s">
        <v>22</v>
      </c>
      <c r="HK38" t="s">
        <v>22</v>
      </c>
      <c r="HL38" t="s">
        <v>22</v>
      </c>
      <c r="HM38" t="s">
        <v>22</v>
      </c>
      <c r="HN38" t="s">
        <v>22</v>
      </c>
      <c r="HO38" cm="1">
        <f t="array" ref="HO38">SUMPRODUCT(--(FV38:HN38&lt;&gt;""))</f>
        <v>0</v>
      </c>
    </row>
    <row r="39" spans="1:223">
      <c r="A39" t="str">
        <f t="shared" si="18"/>
        <v>6A.1</v>
      </c>
      <c r="B39" t="s">
        <v>70</v>
      </c>
      <c r="C39" s="27">
        <v>3</v>
      </c>
      <c r="D39" s="27">
        <v>2</v>
      </c>
      <c r="E39" s="31">
        <f>IF($D39=0,0,IF(_xlfn.XLOOKUP($B39,'TH_MLG GRADE 10'!$B$7:$B$49,'TH_MLG GRADE 10'!C$7:C$49,"",0,1)="P",1*$D39,0))</f>
        <v>2</v>
      </c>
      <c r="F39" s="31">
        <f>IF($D39=0,0,IF(_xlfn.XLOOKUP($B39,'TH_MLG GRADE 10'!$B$7:$B$49,'TH_MLG GRADE 10'!D$7:D$49,"",0,1)="P",1*$D39,0))</f>
        <v>2</v>
      </c>
      <c r="G39" s="31">
        <f>IF($D39=0,0,IF(_xlfn.XLOOKUP($B39,'TH_MLG GRADE 10'!$B$7:$B$49,'TH_MLG GRADE 10'!E$7:E$49,"",0,1)="P",1*$D39,0))</f>
        <v>0</v>
      </c>
      <c r="H39" s="31">
        <f>IF($D39=0,0,IF(_xlfn.XLOOKUP($B39,'TH_MLG GRADE 10'!$B$7:$B$49,'TH_MLG GRADE 10'!I$7:I$49,"",0,1)="P",1*$D39,0))</f>
        <v>2</v>
      </c>
      <c r="I39" s="31">
        <f>IF($D39=0,0,IF(_xlfn.XLOOKUP($B39,'TH_MLG GRADE 10'!$B$7:$B$49,'TH_MLG GRADE 10'!J$7:J$49,"",0,1)="P",1*$D39,0))</f>
        <v>2</v>
      </c>
      <c r="J39" s="31">
        <f>IF($D39=0,0,IF(_xlfn.XLOOKUP($B39,'TH_MLG GRADE 10'!$B$7:$B$49,'TH_MLG GRADE 10'!K$7:K$49,"",0,1)="P",1*$D39,0))</f>
        <v>2</v>
      </c>
      <c r="K39" s="31">
        <f>IF($D39=0,0,IF(_xlfn.XLOOKUP($B39,'TH_MLG GRADE 10'!$B$7:$B$49,'TH_MLG GRADE 10'!O$7:O$49,"",0,1)="P",1*$D39,0))</f>
        <v>0</v>
      </c>
      <c r="L39" s="31">
        <f>IF($D39=0,0,IF(_xlfn.XLOOKUP($B39,'TH_MLG GRADE 10'!$B$7:$B$49,'TH_MLG GRADE 10'!P$7:P$49,"",0,1)="P",1*$D39,0))</f>
        <v>0</v>
      </c>
      <c r="M39" s="31">
        <f>IF($D39=0,0,IF(_xlfn.XLOOKUP($B39,'TH_MLG GRADE 10'!$B$7:$B$49,'TH_MLG GRADE 10'!Q$7:Q$49,"",0,1)="P",1*$D39,0))</f>
        <v>0</v>
      </c>
      <c r="N39" s="31">
        <f>IF($D39=0,0,IF(_xlfn.XLOOKUP($B39,'TH_MLG GRADE 10'!$B$7:$B$49,'TH_MLG GRADE 10'!AA$7:AA$49,"",0,1)="P",1*$D39,0))</f>
        <v>0</v>
      </c>
      <c r="O39" s="31">
        <f>IF($D39=0,0,IF(_xlfn.XLOOKUP($B39,'TH_MLG GRADE 10'!$B$7:$B$49,'TH_MLG GRADE 10'!AB$7:AB$49,"",0,1)="P",1*$D39,0))</f>
        <v>0</v>
      </c>
      <c r="P39" s="31">
        <f>IF($D39=0,0,IF(_xlfn.XLOOKUP($B39,'TH_MLG GRADE 10'!$B$7:$B$49,'TH_MLG GRADE 10'!AC$7:AC$49,"",0,1)="P",1*$D39,0))</f>
        <v>0</v>
      </c>
      <c r="Q39" s="31">
        <f>IF($D39=0,0,IF(_xlfn.XLOOKUP($B39,'TH_MLG GRADE 10'!$B$7:$B$49,'TH_MLG GRADE 10'!AG$7:AG$49,"",0,1)="P",1*$D39,0))</f>
        <v>0</v>
      </c>
      <c r="R39" s="31">
        <f>IF($D39=0,0,IF(_xlfn.XLOOKUP($B39,'TH_MLG GRADE 10'!$B$7:$B$49,'TH_MLG GRADE 10'!AH$7:AH$49,"",0,1)="P",1*$D39,0))</f>
        <v>0</v>
      </c>
      <c r="S39" s="31">
        <f>IF($D39=0,0,IF(_xlfn.XLOOKUP($B39,'TH_MLG GRADE 10'!$B$7:$B$49,'TH_MLG GRADE 10'!AI$7:AI$49,"",0,1)="P",1*$D39,0))</f>
        <v>0</v>
      </c>
      <c r="T39" s="31">
        <f>IF($D39=0,0,IF(_xlfn.XLOOKUP($B39,'TH_MLG GRADE 10'!$B$7:$B$49,'TH_MLG GRADE 10'!AM$7:AM$49,"",0,1)="P",1*$D39,0))</f>
        <v>0</v>
      </c>
      <c r="U39" s="31">
        <f>IF($D39=0,0,IF(_xlfn.XLOOKUP($B39,'TH_MLG GRADE 10'!$B$7:$B$49,'TH_MLG GRADE 10'!AN$7:AN$49,"",0,1)="P",1*$D39,0))</f>
        <v>0</v>
      </c>
      <c r="V39" s="31">
        <f>IF($D39=0,0,IF(_xlfn.XLOOKUP($B39,'TH_MLG GRADE 10'!$B$7:$B$49,'TH_MLG GRADE 10'!AO$7:AO$49,"",0,1)="P",1*$D39,0))</f>
        <v>0</v>
      </c>
      <c r="W39" s="31">
        <f>IF($D39=0,0,IF(_xlfn.XLOOKUP($B39,'TH_MLG GRADE 10'!$B$7:$B$49,'TH_MLG GRADE 10'!AY$7:AY$49,"",0,1)="P",1*$D39,0))</f>
        <v>0</v>
      </c>
      <c r="X39" s="31">
        <f>IF($D39=0,0,IF(_xlfn.XLOOKUP($B39,'TH_MLG GRADE 10'!$B$7:$B$49,'TH_MLG GRADE 10'!AZ$7:AZ$49,"",0,1)="P",1*$D39,0))</f>
        <v>0</v>
      </c>
      <c r="Y39" s="31">
        <f>IF($D39=0,0,IF(_xlfn.XLOOKUP($B39,'TH_MLG GRADE 10'!$B$7:$B$49,'TH_MLG GRADE 10'!BA$7:BA$49,"",0,1)="P",1*$D39,0))</f>
        <v>0</v>
      </c>
      <c r="Z39" s="31">
        <f>IF($D39=0,0,IF(_xlfn.XLOOKUP($B39,'TH_MLG GRADE 10'!$B$7:$B$49,'TH_MLG GRADE 10'!BE$7:BE$49,"",0,1)="P",1*$D39,0))</f>
        <v>0</v>
      </c>
      <c r="AA39" s="31">
        <f>IF($D39=0,0,IF(_xlfn.XLOOKUP($B39,'TH_MLG GRADE 10'!$B$7:$B$49,'TH_MLG GRADE 10'!BF$7:BF$49,"",0,1)="P",1*$D39,0))</f>
        <v>0</v>
      </c>
      <c r="AB39" s="31">
        <f>IF($D39=0,0,IF(_xlfn.XLOOKUP($B39,'TH_MLG GRADE 10'!$B$7:$B$49,'TH_MLG GRADE 10'!BG$7:BG$49,"",0,1)="P",1*$D39,0))</f>
        <v>0</v>
      </c>
      <c r="AC39" s="31" t="e">
        <f>IF($D39=0,0,IF(_xlfn.XLOOKUP($B39,'TH_MLG GRADE 10'!$B$7:$B$49,'TH_MLG GRADE 10'!#REF!,"",0,1)="P",1*$D39,0))</f>
        <v>#REF!</v>
      </c>
      <c r="AD39" s="31" t="e">
        <f>IF($D39=0,0,IF(_xlfn.XLOOKUP($B39,'TH_MLG GRADE 10'!$B$7:$B$49,'TH_MLG GRADE 10'!#REF!,"",0,1)="P",1*$D39,0))</f>
        <v>#REF!</v>
      </c>
      <c r="AE39" s="31" t="e">
        <f>IF($D39=0,0,IF(_xlfn.XLOOKUP($B39,'TH_MLG GRADE 10'!$B$7:$B$49,'TH_MLG GRADE 10'!#REF!,"",0,1)="P",1*$D39,0))</f>
        <v>#REF!</v>
      </c>
      <c r="AF39" s="31" t="e">
        <f>IF($D39=0,0,IF(_xlfn.XLOOKUP($B39,'TH_MLG GRADE 10'!$B$7:$B$49,'TH_MLG GRADE 10'!#REF!,"",0,1)="P",1*$D39,0))</f>
        <v>#REF!</v>
      </c>
      <c r="AG39" s="31" t="e">
        <f>IF($D39=0,0,IF(_xlfn.XLOOKUP($B39,'TH_MLG GRADE 10'!$B$7:$B$49,'TH_MLG GRADE 10'!#REF!,"",0,1)="P",1*$D39,0))</f>
        <v>#REF!</v>
      </c>
      <c r="AH39" s="31" t="e">
        <f>IF($D39=0,0,IF(_xlfn.XLOOKUP($B39,'TH_MLG GRADE 10'!$B$7:$B$49,'TH_MLG GRADE 10'!#REF!,"",0,1)="P",1*$D39,0))</f>
        <v>#REF!</v>
      </c>
      <c r="AI39" s="32">
        <f>IF($D39=0,0,IF(_xlfn.XLOOKUP($B39,'TH_CMI GRADE 10'!$B$7:$B$49,'TH_CMI GRADE 10'!C$7:C$49,"",0,1)="P",1*$D39,0))</f>
        <v>0</v>
      </c>
      <c r="AJ39" s="32">
        <f>IF($D39=0,0,IF(_xlfn.XLOOKUP($B39,'TH_CMI GRADE 10'!$B$7:$B$49,'TH_CMI GRADE 10'!D$7:D$49,"",0,1)="P",1*$D39,0))</f>
        <v>0</v>
      </c>
      <c r="AK39" s="32">
        <f>IF($D39=0,0,IF(_xlfn.XLOOKUP($B39,'TH_CMI GRADE 10'!$B$7:$B$49,'TH_CMI GRADE 10'!H$7:H$49,"",0,1)="P",1*$D39,0))</f>
        <v>0</v>
      </c>
      <c r="AL39" s="32">
        <f>IF($D39=0,0,IF(_xlfn.XLOOKUP($B39,'TH_CMI GRADE 10'!$B$7:$B$49,'TH_CMI GRADE 10'!I$7:I$49,"",0,1)="P",1*$D39,0))</f>
        <v>0</v>
      </c>
      <c r="AM39" s="32">
        <f>IF($D39=0,0,IF(_xlfn.XLOOKUP($B39,'TH_CMI GRADE 10'!$B$7:$B$49,'TH_CMI GRADE 10'!J$7:J$49,"",0,1)="P",1*$D39,0))</f>
        <v>0</v>
      </c>
      <c r="AN39" s="32">
        <f>IF($D39=0,0,IF(_xlfn.XLOOKUP($B39,'TH_CMI GRADE 10'!$B$7:$B$49,'TH_CMI GRADE 10'!K$7:K$49,"",0,1)="P",1*$D39,0))</f>
        <v>0</v>
      </c>
      <c r="AO39" s="32">
        <f>IF($D39=0,0,IF(_xlfn.XLOOKUP($B39,'TH_CMI GRADE 10'!$B$7:$B$49,'TH_CMI GRADE 10'!O$7:O$49,"",0,1)="P",1*$D39,0))</f>
        <v>2</v>
      </c>
      <c r="AP39" s="32">
        <f>IF($D39=0,0,IF(_xlfn.XLOOKUP($B39,'TH_CMI GRADE 10'!$B$7:$B$49,'TH_CMI GRADE 10'!P$7:P$49,"",0,1)="P",1*$D39,0))</f>
        <v>2</v>
      </c>
      <c r="AQ39" s="32">
        <f>IF($D39=0,0,IF(_xlfn.XLOOKUP($B39,'TH_CMI GRADE 10'!$B$7:$B$49,'TH_CMI GRADE 10'!Q$7:Q$49,"",0,1)="P",1*$D39,0))</f>
        <v>2</v>
      </c>
      <c r="AR39" s="32">
        <f>IF($D39=0,0,IF(_xlfn.XLOOKUP($B39,'TH_CMI GRADE 10'!$B$7:$B$49,'TH_CMI GRADE 10'!U$7:U$49,"",0,1)="P",1*$D39,0))</f>
        <v>2</v>
      </c>
      <c r="AS39" s="32">
        <f>IF($D39=0,0,IF(_xlfn.XLOOKUP($B39,'TH_CMI GRADE 10'!$B$7:$B$49,'TH_CMI GRADE 10'!V$7:V$49,"",0,1)="P",1*$D39,0))</f>
        <v>2</v>
      </c>
      <c r="AT39" s="32">
        <f>IF($D39=0,0,IF(_xlfn.XLOOKUP($B39,'TH_CMI GRADE 10'!$B$7:$B$49,'TH_CMI GRADE 10'!W$7:W$49,"",0,1)="P",1*$D39,0))</f>
        <v>2</v>
      </c>
      <c r="AU39" s="32">
        <f>IF($D39=0,0,IF(_xlfn.XLOOKUP($B39,'TH_CMI GRADE 10'!$B$7:$B$49,'TH_CMI GRADE 10'!AA$7:AA$49,"",0,1)="P",1*$D39,0))</f>
        <v>0</v>
      </c>
      <c r="AV39" s="32">
        <f>IF($D39=0,0,IF(_xlfn.XLOOKUP($B39,'TH_CMI GRADE 10'!$B$7:$B$49,'TH_CMI GRADE 10'!AB$7:AB$49,"",0,1)="P",1*$D39,0))</f>
        <v>0</v>
      </c>
      <c r="AW39" s="32">
        <f>IF($D39=0,0,IF(_xlfn.XLOOKUP($B39,'TH_CMI GRADE 10'!$B$7:$B$49,'TH_CMI GRADE 10'!AC$7:AC$49,"",0,1)="P",1*$D39,0))</f>
        <v>0</v>
      </c>
      <c r="AX39" s="32">
        <f>IF($D39=0,0,IF(_xlfn.XLOOKUP($B39,'TH_CMI GRADE 10'!$B$7:$B$49,'TH_CMI GRADE 10'!AG$7:AG$49,"",0,1)="P",1*$D39,0))</f>
        <v>0</v>
      </c>
      <c r="AY39" s="32">
        <f>IF($D39=0,0,IF(_xlfn.XLOOKUP($B39,'TH_CMI GRADE 10'!$B$7:$B$49,'TH_CMI GRADE 10'!AH$7:AH$49,"",0,1)="P",1*$D39,0))</f>
        <v>0</v>
      </c>
      <c r="AZ39" s="32">
        <f>IF($D39=0,0,IF(_xlfn.XLOOKUP($B39,'TH_CMI GRADE 10'!$B$7:$B$49,'TH_CMI GRADE 10'!AI$7:AI$49,"",0,1)="P",1*$D39,0))</f>
        <v>0</v>
      </c>
      <c r="BA39" s="31" t="e">
        <f>IF($C39=0,0,IF(_xlfn.XLOOKUP($B39,'PW_MLG GRADE 10'!$B$7:$B$31,'PW_MLG GRADE 10'!#REF!,"",0,1)="P",1*$C39,0))</f>
        <v>#REF!</v>
      </c>
      <c r="BB39" s="31" t="e">
        <f>IF($C39=0,0,IF(_xlfn.XLOOKUP($B39,'PW_MLG GRADE 10'!$B$7:$B$31,'PW_MLG GRADE 10'!#REF!,"",0,1)="P",1*$C39,0))</f>
        <v>#REF!</v>
      </c>
      <c r="BC39" s="31" t="e">
        <f>IF($C39=0,0,IF(_xlfn.XLOOKUP($B39,'PW_MLG GRADE 10'!$B$7:$B$31,'PW_MLG GRADE 10'!#REF!,"",0,1)="P",1*$C39,0))</f>
        <v>#REF!</v>
      </c>
      <c r="BD39" s="31" t="e">
        <f>IF($C39=0,0,IF(_xlfn.XLOOKUP($B39,'PW_MLG GRADE 10'!$B$7:$B$31,'PW_MLG GRADE 10'!#REF!,"",0,1)="P",1*$C39,0))</f>
        <v>#REF!</v>
      </c>
      <c r="BE39" s="31" t="e">
        <f>IF($C39=0,0,IF(_xlfn.XLOOKUP($B39,'PW_MLG GRADE 10'!$B$7:$B$31,'PW_MLG GRADE 10'!#REF!,"",0,1)="P",1*$C39,0))</f>
        <v>#REF!</v>
      </c>
      <c r="BF39" s="31" t="e">
        <f>IF($C39=0,0,IF(_xlfn.XLOOKUP($B39,'PW_MLG GRADE 10'!$B$7:$B$31,'PW_MLG GRADE 10'!#REF!,"",0,1)="P",1*$C39,0))</f>
        <v>#REF!</v>
      </c>
      <c r="BG39" s="31" t="e">
        <f>IF($C39=0,0,IF(_xlfn.XLOOKUP($B39,'PW_MLG GRADE 10'!$B$7:$B$31,'PW_MLG GRADE 10'!#REF!,"",0,1)="P",1*$C39,0))</f>
        <v>#REF!</v>
      </c>
      <c r="BH39" s="31" t="e">
        <f>IF($C39=0,0,IF(_xlfn.XLOOKUP($B39,'PW_MLG GRADE 10'!$B$7:$B$31,'PW_MLG GRADE 10'!#REF!,"",0,1)="P",1*$C39,0))</f>
        <v>#REF!</v>
      </c>
      <c r="BI39" s="31" t="e">
        <f>IF($C39=0,0,IF(_xlfn.XLOOKUP($B39,'PW_MLG GRADE 10'!$B$7:$B$31,'PW_MLG GRADE 10'!#REF!,"",0,1)="P",1*$C39,0))</f>
        <v>#REF!</v>
      </c>
      <c r="BJ39" s="31" t="e">
        <f>IF($C39=0,0,IF(_xlfn.XLOOKUP($B39,'PW_MLG GRADE 10'!$B$7:$B$31,'PW_MLG GRADE 10'!#REF!,"",0,1)="P",1*$C39,0))</f>
        <v>#REF!</v>
      </c>
      <c r="BK39" s="31" t="e">
        <f>IF($C39=0,0,IF(_xlfn.XLOOKUP($B39,'PW_MLG GRADE 10'!$B$7:$B$31,'PW_MLG GRADE 10'!#REF!,"",0,1)="P",1*$C39,0))</f>
        <v>#REF!</v>
      </c>
      <c r="BL39" s="31" t="e">
        <f>IF($C39=0,0,IF(_xlfn.XLOOKUP($B39,'PW_MLG GRADE 10'!$B$7:$B$31,'PW_MLG GRADE 10'!#REF!,"",0,1)="P",1*$C39,0))</f>
        <v>#REF!</v>
      </c>
      <c r="BM39" s="31" t="e">
        <f>IF($C39=0,0,IF(_xlfn.XLOOKUP($B39,'PW_MLG GRADE 10'!$B$7:$B$31,'PW_MLG GRADE 10'!#REF!,"",0,1)="P",1*$C39,0))</f>
        <v>#REF!</v>
      </c>
      <c r="BN39" s="31" t="e">
        <f>IF($C39=0,0,IF(_xlfn.XLOOKUP($B39,'PW_MLG GRADE 10'!$B$7:$B$31,'PW_MLG GRADE 10'!#REF!,"",0,1)="P",1*$C39,0))</f>
        <v>#REF!</v>
      </c>
      <c r="BO39" s="31" t="e">
        <f>IF($C39=0,0,IF(_xlfn.XLOOKUP($B39,'PW_MLG GRADE 10'!$B$7:$B$31,'PW_MLG GRADE 10'!#REF!,"",0,1)="P",1*$C39,0))</f>
        <v>#REF!</v>
      </c>
      <c r="BP39" s="31" t="e">
        <f>IF($C39=0,0,IF(_xlfn.XLOOKUP($B39,'PW_MLG GRADE 10'!$B$7:$B$31,'PW_MLG GRADE 10'!#REF!,"",0,1)="P",1*$C39,0))</f>
        <v>#REF!</v>
      </c>
      <c r="BQ39" s="31" t="e">
        <f>IF($C39=0,0,IF(_xlfn.XLOOKUP($B39,'PW_MLG GRADE 10'!$B$7:$B$31,'PW_MLG GRADE 10'!#REF!,"",0,1)="P",1*$C39,0))</f>
        <v>#REF!</v>
      </c>
      <c r="BR39" s="31" t="e">
        <f>IF($C39=0,0,IF(_xlfn.XLOOKUP($B39,'PW_MLG GRADE 10'!$B$7:$B$31,'PW_MLG GRADE 10'!#REF!,"",0,1)="P",1*$C39,0))</f>
        <v>#REF!</v>
      </c>
      <c r="BS39" s="31" t="e">
        <f>IF($C39=0,0,IF(_xlfn.XLOOKUP($B39,'PW_MLG GRADE 10'!$B$7:$B$31,'PW_MLG GRADE 10'!#REF!,"",0,1)="P",1*$C39,0))</f>
        <v>#REF!</v>
      </c>
      <c r="BT39" s="31" t="e">
        <f>IF($C39=0,0,IF(_xlfn.XLOOKUP($B39,'PW_MLG GRADE 10'!$B$7:$B$31,'PW_MLG GRADE 10'!#REF!,"",0,1)="P",1*$C39,0))</f>
        <v>#REF!</v>
      </c>
      <c r="BU39" s="31" t="e">
        <f>IF($C39=0,0,IF(_xlfn.XLOOKUP($B39,'PW_MLG GRADE 10'!$B$7:$B$31,'PW_MLG GRADE 10'!#REF!,"",0,1)="P",1*$C39,0))</f>
        <v>#REF!</v>
      </c>
      <c r="BV39" s="31" t="e">
        <f>IF($C39=0,0,IF(_xlfn.XLOOKUP($B39,'PW_MLG GRADE 10'!$B$7:$B$31,'PW_MLG GRADE 10'!#REF!,"",0,1)="P",1*$C39,0))</f>
        <v>#REF!</v>
      </c>
      <c r="BW39" s="31" t="e">
        <f>IF($C39=0,0,IF(_xlfn.XLOOKUP($B39,'PW_MLG GRADE 10'!$B$7:$B$31,'PW_MLG GRADE 10'!#REF!,"",0,1)="P",1*$C39,0))</f>
        <v>#REF!</v>
      </c>
      <c r="BX39" s="31" t="e">
        <f>IF($C39=0,0,IF(_xlfn.XLOOKUP($B39,'PW_MLG GRADE 10'!$B$7:$B$31,'PW_MLG GRADE 10'!#REF!,"",0,1)="P",1*$C39,0))</f>
        <v>#REF!</v>
      </c>
      <c r="BY39" s="31" t="e">
        <f>IF($C39=0,0,IF(_xlfn.XLOOKUP($B39,'PW_MLG GRADE 10'!$B$7:$B$31,'PW_MLG GRADE 10'!#REF!,"",0,1)="P",1*$C39,0))</f>
        <v>#REF!</v>
      </c>
      <c r="BZ39" s="31" t="e">
        <f>IF($C39=0,0,IF(_xlfn.XLOOKUP($B39,'PW_MLG GRADE 10'!$B$7:$B$31,'PW_MLG GRADE 10'!#REF!,"",0,1)="P",1*$C39,0))</f>
        <v>#REF!</v>
      </c>
      <c r="CA39" s="31" t="e">
        <f>IF($C39=0,0,IF(_xlfn.XLOOKUP($B39,'PW_MLG GRADE 10'!$B$7:$B$31,'PW_MLG GRADE 10'!#REF!,"",0,1)="P",1*$C39,0))</f>
        <v>#REF!</v>
      </c>
      <c r="CB39" s="31" t="e">
        <f>IF($C39=0,0,IF(_xlfn.XLOOKUP($B39,'PW_MLG GRADE 10'!$B$7:$B$31,'PW_MLG GRADE 10'!#REF!,"",0,1)="P",1*$C39,0))</f>
        <v>#REF!</v>
      </c>
      <c r="CC39" s="31" t="e">
        <f>IF($C39=0,0,IF(_xlfn.XLOOKUP($B39,'PW_MLG GRADE 10'!$B$7:$B$31,'PW_MLG GRADE 10'!#REF!,"",0,1)="P",1*$C39,0))</f>
        <v>#REF!</v>
      </c>
      <c r="CD39" s="31" t="e">
        <f>IF($C39=0,0,IF(_xlfn.XLOOKUP($B39,'PW_MLG GRADE 10'!$B$7:$B$31,'PW_MLG GRADE 10'!#REF!,"",0,1)="P",1*$C39,0))</f>
        <v>#REF!</v>
      </c>
      <c r="CE39" s="32">
        <f>IF($C39=0,0,IF(_xlfn.XLOOKUP($B39,'PW_CMI GRADE 10'!$B$7:$B$31,'PW_CMI GRADE 10'!C$7:C$31,"",0,1)="P",1*$C39,0))</f>
        <v>0</v>
      </c>
      <c r="CF39" s="32">
        <f>IF($C39=0,0,IF(_xlfn.XLOOKUP($B39,'PW_CMI GRADE 10'!$B$7:$B$31,'PW_CMI GRADE 10'!D$7:D$31,"",0,1)="P",1*$C39,0))</f>
        <v>0</v>
      </c>
      <c r="CG39" s="32">
        <f>IF($C39=0,0,IF(_xlfn.XLOOKUP($B39,'PW_CMI GRADE 10'!$B$7:$B$31,'PW_CMI GRADE 10'!E$7:E$31,"",0,1)="P",1*$C39,0))</f>
        <v>0</v>
      </c>
      <c r="CH39" s="32">
        <f>IF($C39=0,0,IF(_xlfn.XLOOKUP($B39,'PW_CMI GRADE 10'!$B$7:$B$31,'PW_CMI GRADE 10'!F$7:F$31,"",0,1)="P",1*$C39,0))</f>
        <v>0</v>
      </c>
      <c r="CI39" s="32">
        <f>IF($C39=0,0,IF(_xlfn.XLOOKUP($B39,'PW_CMI GRADE 10'!$B$7:$B$31,'PW_CMI GRADE 10'!G$7:G$31,"",0,1)="P",1*$C39,0))</f>
        <v>0</v>
      </c>
      <c r="CJ39" s="32">
        <f>IF($C39=0,0,IF(_xlfn.XLOOKUP($B39,'PW_CMI GRADE 10'!$B$7:$B$31,'PW_CMI GRADE 10'!H$7:H$31,"",0,1)="P",1*$C39,0))</f>
        <v>0</v>
      </c>
      <c r="CK39" s="32">
        <f>IF($C39=0,0,IF(_xlfn.XLOOKUP($B39,'PW_CMI GRADE 10'!$B$7:$B$31,'PW_CMI GRADE 10'!I$7:I$31,"",0,1)="P",1*$C39,0))</f>
        <v>0</v>
      </c>
      <c r="CL39" s="32">
        <f>IF($C39=0,0,IF(_xlfn.XLOOKUP($B39,'PW_CMI GRADE 10'!$B$7:$B$31,'PW_CMI GRADE 10'!J$7:J$31,"",0,1)="P",1*$C39,0))</f>
        <v>0</v>
      </c>
      <c r="CM39" s="32">
        <f>IF($C39=0,0,IF(_xlfn.XLOOKUP($B39,'PW_CMI GRADE 10'!$B$7:$B$31,'PW_CMI GRADE 10'!K$7:K$31,"",0,1)="P",1*$C39,0))</f>
        <v>0</v>
      </c>
      <c r="CN39" s="32">
        <f>IF($C39=0,0,IF(_xlfn.XLOOKUP($B39,'PW_CMI GRADE 10'!$B$7:$B$31,'PW_CMI GRADE 10'!L$7:L$31,"",0,1)="P",1*$C39,0))</f>
        <v>0</v>
      </c>
      <c r="CO39" s="32">
        <f>IF($C39=0,0,IF(_xlfn.XLOOKUP($B39,'PW_CMI GRADE 10'!$B$7:$B$31,'PW_CMI GRADE 10'!M$7:M$31,"",0,1)="P",1*$C39,0))</f>
        <v>0</v>
      </c>
      <c r="CP39" s="32">
        <f>IF($C39=0,0,IF(_xlfn.XLOOKUP($B39,'PW_CMI GRADE 10'!$B$7:$B$31,'PW_CMI GRADE 10'!N$7:N$31,"",0,1)="P",1*$C39,0))</f>
        <v>0</v>
      </c>
      <c r="CQ39" s="32">
        <f>IF($C39=0,0,IF(_xlfn.XLOOKUP($B39,'PW_CMI GRADE 10'!$B$7:$B$31,'PW_CMI GRADE 10'!O$7:O$31,"",0,1)="P",1*$C39,0))</f>
        <v>0</v>
      </c>
      <c r="CR39" s="32">
        <f>IF($C39=0,0,IF(_xlfn.XLOOKUP($B39,'PW_CMI GRADE 10'!$B$7:$B$31,'PW_CMI GRADE 10'!P$7:P$31,"",0,1)="P",1*$C39,0))</f>
        <v>0</v>
      </c>
      <c r="CS39" s="32">
        <f>IF($C39=0,0,IF(_xlfn.XLOOKUP($B39,'PW_CMI GRADE 10'!$B$7:$B$31,'PW_CMI GRADE 10'!Q$7:Q$31,"",0,1)="P",1*$C39,0))</f>
        <v>0</v>
      </c>
      <c r="CT39" s="32">
        <f>IF($C39=0,0,IF(_xlfn.XLOOKUP($B39,'PW_CMI GRADE 10'!$B$7:$B$31,'PW_CMI GRADE 10'!R$7:R$31,"",0,1)="P",1*$C39,0))</f>
        <v>0</v>
      </c>
      <c r="CU39" s="32">
        <f>IF($C39=0,0,IF(_xlfn.XLOOKUP($B39,'PW_CMI GRADE 10'!$B$7:$B$31,'PW_CMI GRADE 10'!S$7:S$31,"",0,1)="P",1*$C39,0))</f>
        <v>0</v>
      </c>
      <c r="CV39" s="32">
        <f>IF($C39=0,0,IF(_xlfn.XLOOKUP($B39,'PW_CMI GRADE 10'!$B$7:$B$31,'PW_CMI GRADE 10'!T$7:T$31,"",0,1)="P",1*$C39,0))</f>
        <v>0</v>
      </c>
      <c r="CW39" s="62" t="e">
        <f t="shared" si="19"/>
        <v>#REF!</v>
      </c>
      <c r="CX39" s="62" t="e">
        <f t="shared" si="20"/>
        <v>#REF!</v>
      </c>
      <c r="CY39" s="62" t="e">
        <f t="shared" si="21"/>
        <v>#REF!</v>
      </c>
      <c r="CZ39" s="62" t="e">
        <f t="shared" si="22"/>
        <v>#REF!</v>
      </c>
      <c r="DA39" s="62" t="e">
        <f t="shared" si="23"/>
        <v>#REF!</v>
      </c>
      <c r="DB39" s="62" t="e">
        <f t="shared" si="24"/>
        <v>#REF!</v>
      </c>
      <c r="DC39" s="62" t="e">
        <f t="shared" si="25"/>
        <v>#REF!</v>
      </c>
      <c r="DD39" s="62" t="e">
        <f t="shared" si="26"/>
        <v>#REF!</v>
      </c>
      <c r="DE39" s="62" t="e">
        <f t="shared" si="27"/>
        <v>#REF!</v>
      </c>
      <c r="DF39" s="62" t="e">
        <f t="shared" si="28"/>
        <v>#REF!</v>
      </c>
      <c r="DG39" s="62" t="e">
        <f t="shared" si="29"/>
        <v>#REF!</v>
      </c>
      <c r="DH39" s="62" t="e">
        <f t="shared" si="30"/>
        <v>#REF!</v>
      </c>
      <c r="DI39" s="62" t="e">
        <f t="shared" si="31"/>
        <v>#REF!</v>
      </c>
      <c r="DJ39" s="62" t="e">
        <f t="shared" si="32"/>
        <v>#REF!</v>
      </c>
      <c r="DK39" s="62" t="e">
        <f t="shared" si="33"/>
        <v>#REF!</v>
      </c>
      <c r="DL39" s="62" t="e">
        <f t="shared" si="34"/>
        <v>#REF!</v>
      </c>
      <c r="DM39" s="62" t="e">
        <f t="shared" si="35"/>
        <v>#REF!</v>
      </c>
      <c r="DN39" s="62" t="e">
        <f t="shared" si="36"/>
        <v>#REF!</v>
      </c>
      <c r="DO39" s="62" t="e">
        <f t="shared" si="37"/>
        <v>#REF!</v>
      </c>
      <c r="DP39" s="62" t="e">
        <f t="shared" si="38"/>
        <v>#REF!</v>
      </c>
      <c r="DQ39" s="62" t="e">
        <f t="shared" si="39"/>
        <v>#REF!</v>
      </c>
      <c r="DR39" s="62" t="e">
        <f t="shared" si="40"/>
        <v>#REF!</v>
      </c>
      <c r="DS39" s="62" t="e">
        <f t="shared" si="41"/>
        <v>#REF!</v>
      </c>
      <c r="DT39" s="62" t="e">
        <f t="shared" si="42"/>
        <v>#REF!</v>
      </c>
      <c r="DU39" s="62" t="e">
        <f t="shared" si="43"/>
        <v>#REF!</v>
      </c>
      <c r="DV39" s="62" t="e">
        <f t="shared" si="44"/>
        <v>#REF!</v>
      </c>
      <c r="DW39" s="62" t="e">
        <f t="shared" si="45"/>
        <v>#REF!</v>
      </c>
      <c r="DX39" s="62" t="e">
        <f t="shared" si="46"/>
        <v>#REF!</v>
      </c>
      <c r="DY39" s="62" t="e">
        <f t="shared" si="47"/>
        <v>#REF!</v>
      </c>
      <c r="DZ39" s="62" t="e">
        <f t="shared" si="48"/>
        <v>#REF!</v>
      </c>
      <c r="EA39" s="63">
        <f t="shared" si="68"/>
        <v>0</v>
      </c>
      <c r="EB39" s="63">
        <f t="shared" si="2"/>
        <v>0</v>
      </c>
      <c r="EC39" s="63">
        <f t="shared" si="3"/>
        <v>0</v>
      </c>
      <c r="ED39" s="63">
        <f t="shared" si="4"/>
        <v>0</v>
      </c>
      <c r="EE39" s="63">
        <f t="shared" si="5"/>
        <v>0.13333333333333333</v>
      </c>
      <c r="EF39" s="63">
        <f t="shared" si="6"/>
        <v>0.26666666666666666</v>
      </c>
      <c r="EG39" s="63">
        <f t="shared" si="7"/>
        <v>0.4</v>
      </c>
      <c r="EH39" s="63">
        <f t="shared" si="8"/>
        <v>0.4</v>
      </c>
      <c r="EI39" s="63">
        <f t="shared" si="9"/>
        <v>0.4</v>
      </c>
      <c r="EJ39" s="63">
        <f t="shared" si="10"/>
        <v>0.4</v>
      </c>
      <c r="EK39" s="63">
        <f t="shared" si="11"/>
        <v>0.26666666666666666</v>
      </c>
      <c r="EL39" s="63">
        <f t="shared" si="12"/>
        <v>0.13333333333333333</v>
      </c>
      <c r="EM39" s="63">
        <f t="shared" si="13"/>
        <v>0</v>
      </c>
      <c r="EN39" s="63">
        <f t="shared" si="14"/>
        <v>0</v>
      </c>
      <c r="EO39" s="63">
        <f t="shared" si="15"/>
        <v>0</v>
      </c>
      <c r="EP39" s="63">
        <f t="shared" si="16"/>
        <v>0</v>
      </c>
      <c r="FU39" s="51">
        <v>46905</v>
      </c>
      <c r="FV39" t="s">
        <v>22</v>
      </c>
      <c r="FW39" t="s">
        <v>22</v>
      </c>
      <c r="FX39" t="s">
        <v>22</v>
      </c>
      <c r="FY39" t="s">
        <v>22</v>
      </c>
      <c r="FZ39" t="s">
        <v>22</v>
      </c>
      <c r="GA39" t="s">
        <v>22</v>
      </c>
      <c r="GB39" t="s">
        <v>22</v>
      </c>
      <c r="GC39" t="s">
        <v>22</v>
      </c>
      <c r="GD39" t="s">
        <v>22</v>
      </c>
      <c r="GE39" t="s">
        <v>22</v>
      </c>
      <c r="GF39" t="s">
        <v>22</v>
      </c>
      <c r="GG39" t="s">
        <v>22</v>
      </c>
      <c r="GH39" t="s">
        <v>22</v>
      </c>
      <c r="GI39" t="s">
        <v>22</v>
      </c>
      <c r="GJ39" t="s">
        <v>22</v>
      </c>
      <c r="GK39" t="s">
        <v>22</v>
      </c>
      <c r="GL39" t="s">
        <v>22</v>
      </c>
      <c r="GM39" t="s">
        <v>22</v>
      </c>
      <c r="GN39" t="s">
        <v>22</v>
      </c>
      <c r="GO39" t="s">
        <v>22</v>
      </c>
      <c r="GP39" t="s">
        <v>22</v>
      </c>
      <c r="GQ39" t="s">
        <v>22</v>
      </c>
      <c r="GR39" t="s">
        <v>22</v>
      </c>
      <c r="GS39" t="s">
        <v>22</v>
      </c>
      <c r="GT39" t="s">
        <v>22</v>
      </c>
      <c r="GU39" t="s">
        <v>22</v>
      </c>
      <c r="GV39" t="s">
        <v>22</v>
      </c>
      <c r="GW39" t="s">
        <v>22</v>
      </c>
      <c r="GX39" t="s">
        <v>22</v>
      </c>
      <c r="GY39" t="s">
        <v>22</v>
      </c>
      <c r="GZ39" t="s">
        <v>22</v>
      </c>
      <c r="HA39" t="s">
        <v>22</v>
      </c>
      <c r="HB39" t="s">
        <v>22</v>
      </c>
      <c r="HC39" t="s">
        <v>22</v>
      </c>
      <c r="HD39" t="s">
        <v>22</v>
      </c>
      <c r="HE39" t="s">
        <v>22</v>
      </c>
      <c r="HF39" t="s">
        <v>22</v>
      </c>
      <c r="HG39" t="s">
        <v>22</v>
      </c>
      <c r="HH39" t="s">
        <v>22</v>
      </c>
      <c r="HI39" t="s">
        <v>22</v>
      </c>
      <c r="HJ39" t="s">
        <v>22</v>
      </c>
      <c r="HK39" t="s">
        <v>22</v>
      </c>
      <c r="HL39" t="s">
        <v>22</v>
      </c>
      <c r="HM39" t="s">
        <v>22</v>
      </c>
      <c r="HN39" t="s">
        <v>22</v>
      </c>
      <c r="HO39" cm="1">
        <f t="array" ref="HO39">SUMPRODUCT(--(FV39:HN39&lt;&gt;""))</f>
        <v>0</v>
      </c>
    </row>
    <row r="40" spans="1:223">
      <c r="A40" t="str">
        <f t="shared" si="18"/>
        <v>6A.2</v>
      </c>
      <c r="B40" t="s">
        <v>71</v>
      </c>
      <c r="C40" s="27">
        <v>0</v>
      </c>
      <c r="D40" s="27">
        <v>1</v>
      </c>
      <c r="E40" s="31">
        <f>IF($D40=0,0,IF(_xlfn.XLOOKUP($B40,'TH_MLG GRADE 10'!$B$7:$B$49,'TH_MLG GRADE 10'!C$7:C$49,"",0,1)="P",1*$D40,0))</f>
        <v>1</v>
      </c>
      <c r="F40" s="31">
        <f>IF($D40=0,0,IF(_xlfn.XLOOKUP($B40,'TH_MLG GRADE 10'!$B$7:$B$49,'TH_MLG GRADE 10'!D$7:D$49,"",0,1)="P",1*$D40,0))</f>
        <v>1</v>
      </c>
      <c r="G40" s="31">
        <f>IF($D40=0,0,IF(_xlfn.XLOOKUP($B40,'TH_MLG GRADE 10'!$B$7:$B$49,'TH_MLG GRADE 10'!E$7:E$49,"",0,1)="P",1*$D40,0))</f>
        <v>0</v>
      </c>
      <c r="H40" s="31">
        <f>IF($D40=0,0,IF(_xlfn.XLOOKUP($B40,'TH_MLG GRADE 10'!$B$7:$B$49,'TH_MLG GRADE 10'!I$7:I$49,"",0,1)="P",1*$D40,0))</f>
        <v>1</v>
      </c>
      <c r="I40" s="31">
        <f>IF($D40=0,0,IF(_xlfn.XLOOKUP($B40,'TH_MLG GRADE 10'!$B$7:$B$49,'TH_MLG GRADE 10'!J$7:J$49,"",0,1)="P",1*$D40,0))</f>
        <v>1</v>
      </c>
      <c r="J40" s="31">
        <f>IF($D40=0,0,IF(_xlfn.XLOOKUP($B40,'TH_MLG GRADE 10'!$B$7:$B$49,'TH_MLG GRADE 10'!K$7:K$49,"",0,1)="P",1*$D40,0))</f>
        <v>1</v>
      </c>
      <c r="K40" s="31">
        <f>IF($D40=0,0,IF(_xlfn.XLOOKUP($B40,'TH_MLG GRADE 10'!$B$7:$B$49,'TH_MLG GRADE 10'!O$7:O$49,"",0,1)="P",1*$D40,0))</f>
        <v>0</v>
      </c>
      <c r="L40" s="31">
        <f>IF($D40=0,0,IF(_xlfn.XLOOKUP($B40,'TH_MLG GRADE 10'!$B$7:$B$49,'TH_MLG GRADE 10'!P$7:P$49,"",0,1)="P",1*$D40,0))</f>
        <v>0</v>
      </c>
      <c r="M40" s="31">
        <f>IF($D40=0,0,IF(_xlfn.XLOOKUP($B40,'TH_MLG GRADE 10'!$B$7:$B$49,'TH_MLG GRADE 10'!Q$7:Q$49,"",0,1)="P",1*$D40,0))</f>
        <v>0</v>
      </c>
      <c r="N40" s="31">
        <f>IF($D40=0,0,IF(_xlfn.XLOOKUP($B40,'TH_MLG GRADE 10'!$B$7:$B$49,'TH_MLG GRADE 10'!AA$7:AA$49,"",0,1)="P",1*$D40,0))</f>
        <v>0</v>
      </c>
      <c r="O40" s="31">
        <f>IF($D40=0,0,IF(_xlfn.XLOOKUP($B40,'TH_MLG GRADE 10'!$B$7:$B$49,'TH_MLG GRADE 10'!AB$7:AB$49,"",0,1)="P",1*$D40,0))</f>
        <v>0</v>
      </c>
      <c r="P40" s="31">
        <f>IF($D40=0,0,IF(_xlfn.XLOOKUP($B40,'TH_MLG GRADE 10'!$B$7:$B$49,'TH_MLG GRADE 10'!AC$7:AC$49,"",0,1)="P",1*$D40,0))</f>
        <v>0</v>
      </c>
      <c r="Q40" s="31">
        <f>IF($D40=0,0,IF(_xlfn.XLOOKUP($B40,'TH_MLG GRADE 10'!$B$7:$B$49,'TH_MLG GRADE 10'!AG$7:AG$49,"",0,1)="P",1*$D40,0))</f>
        <v>0</v>
      </c>
      <c r="R40" s="31">
        <f>IF($D40=0,0,IF(_xlfn.XLOOKUP($B40,'TH_MLG GRADE 10'!$B$7:$B$49,'TH_MLG GRADE 10'!AH$7:AH$49,"",0,1)="P",1*$D40,0))</f>
        <v>0</v>
      </c>
      <c r="S40" s="31">
        <f>IF($D40=0,0,IF(_xlfn.XLOOKUP($B40,'TH_MLG GRADE 10'!$B$7:$B$49,'TH_MLG GRADE 10'!AI$7:AI$49,"",0,1)="P",1*$D40,0))</f>
        <v>0</v>
      </c>
      <c r="T40" s="31">
        <f>IF($D40=0,0,IF(_xlfn.XLOOKUP($B40,'TH_MLG GRADE 10'!$B$7:$B$49,'TH_MLG GRADE 10'!AM$7:AM$49,"",0,1)="P",1*$D40,0))</f>
        <v>0</v>
      </c>
      <c r="U40" s="31">
        <f>IF($D40=0,0,IF(_xlfn.XLOOKUP($B40,'TH_MLG GRADE 10'!$B$7:$B$49,'TH_MLG GRADE 10'!AN$7:AN$49,"",0,1)="P",1*$D40,0))</f>
        <v>0</v>
      </c>
      <c r="V40" s="31">
        <f>IF($D40=0,0,IF(_xlfn.XLOOKUP($B40,'TH_MLG GRADE 10'!$B$7:$B$49,'TH_MLG GRADE 10'!AO$7:AO$49,"",0,1)="P",1*$D40,0))</f>
        <v>0</v>
      </c>
      <c r="W40" s="31">
        <f>IF($D40=0,0,IF(_xlfn.XLOOKUP($B40,'TH_MLG GRADE 10'!$B$7:$B$49,'TH_MLG GRADE 10'!AY$7:AY$49,"",0,1)="P",1*$D40,0))</f>
        <v>0</v>
      </c>
      <c r="X40" s="31">
        <f>IF($D40=0,0,IF(_xlfn.XLOOKUP($B40,'TH_MLG GRADE 10'!$B$7:$B$49,'TH_MLG GRADE 10'!AZ$7:AZ$49,"",0,1)="P",1*$D40,0))</f>
        <v>0</v>
      </c>
      <c r="Y40" s="31">
        <f>IF($D40=0,0,IF(_xlfn.XLOOKUP($B40,'TH_MLG GRADE 10'!$B$7:$B$49,'TH_MLG GRADE 10'!BA$7:BA$49,"",0,1)="P",1*$D40,0))</f>
        <v>0</v>
      </c>
      <c r="Z40" s="31">
        <f>IF($D40=0,0,IF(_xlfn.XLOOKUP($B40,'TH_MLG GRADE 10'!$B$7:$B$49,'TH_MLG GRADE 10'!BE$7:BE$49,"",0,1)="P",1*$D40,0))</f>
        <v>0</v>
      </c>
      <c r="AA40" s="31">
        <f>IF($D40=0,0,IF(_xlfn.XLOOKUP($B40,'TH_MLG GRADE 10'!$B$7:$B$49,'TH_MLG GRADE 10'!BF$7:BF$49,"",0,1)="P",1*$D40,0))</f>
        <v>0</v>
      </c>
      <c r="AB40" s="31">
        <f>IF($D40=0,0,IF(_xlfn.XLOOKUP($B40,'TH_MLG GRADE 10'!$B$7:$B$49,'TH_MLG GRADE 10'!BG$7:BG$49,"",0,1)="P",1*$D40,0))</f>
        <v>0</v>
      </c>
      <c r="AC40" s="31" t="e">
        <f>IF($D40=0,0,IF(_xlfn.XLOOKUP($B40,'TH_MLG GRADE 10'!$B$7:$B$49,'TH_MLG GRADE 10'!#REF!,"",0,1)="P",1*$D40,0))</f>
        <v>#REF!</v>
      </c>
      <c r="AD40" s="31" t="e">
        <f>IF($D40=0,0,IF(_xlfn.XLOOKUP($B40,'TH_MLG GRADE 10'!$B$7:$B$49,'TH_MLG GRADE 10'!#REF!,"",0,1)="P",1*$D40,0))</f>
        <v>#REF!</v>
      </c>
      <c r="AE40" s="31" t="e">
        <f>IF($D40=0,0,IF(_xlfn.XLOOKUP($B40,'TH_MLG GRADE 10'!$B$7:$B$49,'TH_MLG GRADE 10'!#REF!,"",0,1)="P",1*$D40,0))</f>
        <v>#REF!</v>
      </c>
      <c r="AF40" s="31" t="e">
        <f>IF($D40=0,0,IF(_xlfn.XLOOKUP($B40,'TH_MLG GRADE 10'!$B$7:$B$49,'TH_MLG GRADE 10'!#REF!,"",0,1)="P",1*$D40,0))</f>
        <v>#REF!</v>
      </c>
      <c r="AG40" s="31" t="e">
        <f>IF($D40=0,0,IF(_xlfn.XLOOKUP($B40,'TH_MLG GRADE 10'!$B$7:$B$49,'TH_MLG GRADE 10'!#REF!,"",0,1)="P",1*$D40,0))</f>
        <v>#REF!</v>
      </c>
      <c r="AH40" s="31" t="e">
        <f>IF($D40=0,0,IF(_xlfn.XLOOKUP($B40,'TH_MLG GRADE 10'!$B$7:$B$49,'TH_MLG GRADE 10'!#REF!,"",0,1)="P",1*$D40,0))</f>
        <v>#REF!</v>
      </c>
      <c r="AI40" s="32">
        <f>IF($D40=0,0,IF(_xlfn.XLOOKUP($B40,'TH_CMI GRADE 10'!$B$7:$B$49,'TH_CMI GRADE 10'!C$7:C$49,"",0,1)="P",1*$D40,0))</f>
        <v>0</v>
      </c>
      <c r="AJ40" s="32">
        <f>IF($D40=0,0,IF(_xlfn.XLOOKUP($B40,'TH_CMI GRADE 10'!$B$7:$B$49,'TH_CMI GRADE 10'!D$7:D$49,"",0,1)="P",1*$D40,0))</f>
        <v>0</v>
      </c>
      <c r="AK40" s="32">
        <f>IF($D40=0,0,IF(_xlfn.XLOOKUP($B40,'TH_CMI GRADE 10'!$B$7:$B$49,'TH_CMI GRADE 10'!H$7:H$49,"",0,1)="P",1*$D40,0))</f>
        <v>0</v>
      </c>
      <c r="AL40" s="32">
        <f>IF($D40=0,0,IF(_xlfn.XLOOKUP($B40,'TH_CMI GRADE 10'!$B$7:$B$49,'TH_CMI GRADE 10'!I$7:I$49,"",0,1)="P",1*$D40,0))</f>
        <v>0</v>
      </c>
      <c r="AM40" s="32">
        <f>IF($D40=0,0,IF(_xlfn.XLOOKUP($B40,'TH_CMI GRADE 10'!$B$7:$B$49,'TH_CMI GRADE 10'!J$7:J$49,"",0,1)="P",1*$D40,0))</f>
        <v>0</v>
      </c>
      <c r="AN40" s="32">
        <f>IF($D40=0,0,IF(_xlfn.XLOOKUP($B40,'TH_CMI GRADE 10'!$B$7:$B$49,'TH_CMI GRADE 10'!K$7:K$49,"",0,1)="P",1*$D40,0))</f>
        <v>0</v>
      </c>
      <c r="AO40" s="32">
        <f>IF($D40=0,0,IF(_xlfn.XLOOKUP($B40,'TH_CMI GRADE 10'!$B$7:$B$49,'TH_CMI GRADE 10'!O$7:O$49,"",0,1)="P",1*$D40,0))</f>
        <v>1</v>
      </c>
      <c r="AP40" s="32">
        <f>IF($D40=0,0,IF(_xlfn.XLOOKUP($B40,'TH_CMI GRADE 10'!$B$7:$B$49,'TH_CMI GRADE 10'!P$7:P$49,"",0,1)="P",1*$D40,0))</f>
        <v>0</v>
      </c>
      <c r="AQ40" s="32">
        <f>IF($D40=0,0,IF(_xlfn.XLOOKUP($B40,'TH_CMI GRADE 10'!$B$7:$B$49,'TH_CMI GRADE 10'!Q$7:Q$49,"",0,1)="P",1*$D40,0))</f>
        <v>0</v>
      </c>
      <c r="AR40" s="32">
        <f>IF($D40=0,0,IF(_xlfn.XLOOKUP($B40,'TH_CMI GRADE 10'!$B$7:$B$49,'TH_CMI GRADE 10'!U$7:U$49,"",0,1)="P",1*$D40,0))</f>
        <v>1</v>
      </c>
      <c r="AS40" s="32">
        <f>IF($D40=0,0,IF(_xlfn.XLOOKUP($B40,'TH_CMI GRADE 10'!$B$7:$B$49,'TH_CMI GRADE 10'!V$7:V$49,"",0,1)="P",1*$D40,0))</f>
        <v>0</v>
      </c>
      <c r="AT40" s="32">
        <f>IF($D40=0,0,IF(_xlfn.XLOOKUP($B40,'TH_CMI GRADE 10'!$B$7:$B$49,'TH_CMI GRADE 10'!W$7:W$49,"",0,1)="P",1*$D40,0))</f>
        <v>1</v>
      </c>
      <c r="AU40" s="32">
        <f>IF($D40=0,0,IF(_xlfn.XLOOKUP($B40,'TH_CMI GRADE 10'!$B$7:$B$49,'TH_CMI GRADE 10'!AA$7:AA$49,"",0,1)="P",1*$D40,0))</f>
        <v>0</v>
      </c>
      <c r="AV40" s="32">
        <f>IF($D40=0,0,IF(_xlfn.XLOOKUP($B40,'TH_CMI GRADE 10'!$B$7:$B$49,'TH_CMI GRADE 10'!AB$7:AB$49,"",0,1)="P",1*$D40,0))</f>
        <v>0</v>
      </c>
      <c r="AW40" s="32">
        <f>IF($D40=0,0,IF(_xlfn.XLOOKUP($B40,'TH_CMI GRADE 10'!$B$7:$B$49,'TH_CMI GRADE 10'!AC$7:AC$49,"",0,1)="P",1*$D40,0))</f>
        <v>0</v>
      </c>
      <c r="AX40" s="32">
        <f>IF($D40=0,0,IF(_xlfn.XLOOKUP($B40,'TH_CMI GRADE 10'!$B$7:$B$49,'TH_CMI GRADE 10'!AG$7:AG$49,"",0,1)="P",1*$D40,0))</f>
        <v>0</v>
      </c>
      <c r="AY40" s="32">
        <f>IF($D40=0,0,IF(_xlfn.XLOOKUP($B40,'TH_CMI GRADE 10'!$B$7:$B$49,'TH_CMI GRADE 10'!AH$7:AH$49,"",0,1)="P",1*$D40,0))</f>
        <v>0</v>
      </c>
      <c r="AZ40" s="32">
        <f>IF($D40=0,0,IF(_xlfn.XLOOKUP($B40,'TH_CMI GRADE 10'!$B$7:$B$49,'TH_CMI GRADE 10'!AI$7:AI$49,"",0,1)="P",1*$D40,0))</f>
        <v>0</v>
      </c>
      <c r="BA40" s="31">
        <f>IF($C40=0,0,IF(_xlfn.XLOOKUP($B40,'PW_MLG GRADE 10'!$B$7:$B$31,'PW_MLG GRADE 10'!#REF!,"",0,1)="P",1*$C40,0))</f>
        <v>0</v>
      </c>
      <c r="BB40" s="31">
        <f>IF($C40=0,0,IF(_xlfn.XLOOKUP($B40,'PW_MLG GRADE 10'!$B$7:$B$31,'PW_MLG GRADE 10'!#REF!,"",0,1)="P",1*$C40,0))</f>
        <v>0</v>
      </c>
      <c r="BC40" s="31">
        <f>IF($C40=0,0,IF(_xlfn.XLOOKUP($B40,'PW_MLG GRADE 10'!$B$7:$B$31,'PW_MLG GRADE 10'!#REF!,"",0,1)="P",1*$C40,0))</f>
        <v>0</v>
      </c>
      <c r="BD40" s="31">
        <f>IF($C40=0,0,IF(_xlfn.XLOOKUP($B40,'PW_MLG GRADE 10'!$B$7:$B$31,'PW_MLG GRADE 10'!#REF!,"",0,1)="P",1*$C40,0))</f>
        <v>0</v>
      </c>
      <c r="BE40" s="31">
        <f>IF($C40=0,0,IF(_xlfn.XLOOKUP($B40,'PW_MLG GRADE 10'!$B$7:$B$31,'PW_MLG GRADE 10'!#REF!,"",0,1)="P",1*$C40,0))</f>
        <v>0</v>
      </c>
      <c r="BF40" s="31">
        <f>IF($C40=0,0,IF(_xlfn.XLOOKUP($B40,'PW_MLG GRADE 10'!$B$7:$B$31,'PW_MLG GRADE 10'!#REF!,"",0,1)="P",1*$C40,0))</f>
        <v>0</v>
      </c>
      <c r="BG40" s="31">
        <f>IF($C40=0,0,IF(_xlfn.XLOOKUP($B40,'PW_MLG GRADE 10'!$B$7:$B$31,'PW_MLG GRADE 10'!#REF!,"",0,1)="P",1*$C40,0))</f>
        <v>0</v>
      </c>
      <c r="BH40" s="31">
        <f>IF($C40=0,0,IF(_xlfn.XLOOKUP($B40,'PW_MLG GRADE 10'!$B$7:$B$31,'PW_MLG GRADE 10'!#REF!,"",0,1)="P",1*$C40,0))</f>
        <v>0</v>
      </c>
      <c r="BI40" s="31">
        <f>IF($C40=0,0,IF(_xlfn.XLOOKUP($B40,'PW_MLG GRADE 10'!$B$7:$B$31,'PW_MLG GRADE 10'!#REF!,"",0,1)="P",1*$C40,0))</f>
        <v>0</v>
      </c>
      <c r="BJ40" s="31">
        <f>IF($C40=0,0,IF(_xlfn.XLOOKUP($B40,'PW_MLG GRADE 10'!$B$7:$B$31,'PW_MLG GRADE 10'!#REF!,"",0,1)="P",1*$C40,0))</f>
        <v>0</v>
      </c>
      <c r="BK40" s="31">
        <f>IF($C40=0,0,IF(_xlfn.XLOOKUP($B40,'PW_MLG GRADE 10'!$B$7:$B$31,'PW_MLG GRADE 10'!#REF!,"",0,1)="P",1*$C40,0))</f>
        <v>0</v>
      </c>
      <c r="BL40" s="31">
        <f>IF($C40=0,0,IF(_xlfn.XLOOKUP($B40,'PW_MLG GRADE 10'!$B$7:$B$31,'PW_MLG GRADE 10'!#REF!,"",0,1)="P",1*$C40,0))</f>
        <v>0</v>
      </c>
      <c r="BM40" s="31">
        <f>IF($C40=0,0,IF(_xlfn.XLOOKUP($B40,'PW_MLG GRADE 10'!$B$7:$B$31,'PW_MLG GRADE 10'!#REF!,"",0,1)="P",1*$C40,0))</f>
        <v>0</v>
      </c>
      <c r="BN40" s="31">
        <f>IF($C40=0,0,IF(_xlfn.XLOOKUP($B40,'PW_MLG GRADE 10'!$B$7:$B$31,'PW_MLG GRADE 10'!#REF!,"",0,1)="P",1*$C40,0))</f>
        <v>0</v>
      </c>
      <c r="BO40" s="31">
        <f>IF($C40=0,0,IF(_xlfn.XLOOKUP($B40,'PW_MLG GRADE 10'!$B$7:$B$31,'PW_MLG GRADE 10'!#REF!,"",0,1)="P",1*$C40,0))</f>
        <v>0</v>
      </c>
      <c r="BP40" s="31">
        <f>IF($C40=0,0,IF(_xlfn.XLOOKUP($B40,'PW_MLG GRADE 10'!$B$7:$B$31,'PW_MLG GRADE 10'!#REF!,"",0,1)="P",1*$C40,0))</f>
        <v>0</v>
      </c>
      <c r="BQ40" s="31">
        <f>IF($C40=0,0,IF(_xlfn.XLOOKUP($B40,'PW_MLG GRADE 10'!$B$7:$B$31,'PW_MLG GRADE 10'!#REF!,"",0,1)="P",1*$C40,0))</f>
        <v>0</v>
      </c>
      <c r="BR40" s="31">
        <f>IF($C40=0,0,IF(_xlfn.XLOOKUP($B40,'PW_MLG GRADE 10'!$B$7:$B$31,'PW_MLG GRADE 10'!#REF!,"",0,1)="P",1*$C40,0))</f>
        <v>0</v>
      </c>
      <c r="BS40" s="31">
        <f>IF($C40=0,0,IF(_xlfn.XLOOKUP($B40,'PW_MLG GRADE 10'!$B$7:$B$31,'PW_MLG GRADE 10'!#REF!,"",0,1)="P",1*$C40,0))</f>
        <v>0</v>
      </c>
      <c r="BT40" s="31">
        <f>IF($C40=0,0,IF(_xlfn.XLOOKUP($B40,'PW_MLG GRADE 10'!$B$7:$B$31,'PW_MLG GRADE 10'!#REF!,"",0,1)="P",1*$C40,0))</f>
        <v>0</v>
      </c>
      <c r="BU40" s="31">
        <f>IF($C40=0,0,IF(_xlfn.XLOOKUP($B40,'PW_MLG GRADE 10'!$B$7:$B$31,'PW_MLG GRADE 10'!#REF!,"",0,1)="P",1*$C40,0))</f>
        <v>0</v>
      </c>
      <c r="BV40" s="31">
        <f>IF($C40=0,0,IF(_xlfn.XLOOKUP($B40,'PW_MLG GRADE 10'!$B$7:$B$31,'PW_MLG GRADE 10'!#REF!,"",0,1)="P",1*$C40,0))</f>
        <v>0</v>
      </c>
      <c r="BW40" s="31">
        <f>IF($C40=0,0,IF(_xlfn.XLOOKUP($B40,'PW_MLG GRADE 10'!$B$7:$B$31,'PW_MLG GRADE 10'!#REF!,"",0,1)="P",1*$C40,0))</f>
        <v>0</v>
      </c>
      <c r="BX40" s="31">
        <f>IF($C40=0,0,IF(_xlfn.XLOOKUP($B40,'PW_MLG GRADE 10'!$B$7:$B$31,'PW_MLG GRADE 10'!#REF!,"",0,1)="P",1*$C40,0))</f>
        <v>0</v>
      </c>
      <c r="BY40" s="31">
        <f>IF($C40=0,0,IF(_xlfn.XLOOKUP($B40,'PW_MLG GRADE 10'!$B$7:$B$31,'PW_MLG GRADE 10'!#REF!,"",0,1)="P",1*$C40,0))</f>
        <v>0</v>
      </c>
      <c r="BZ40" s="31">
        <f>IF($C40=0,0,IF(_xlfn.XLOOKUP($B40,'PW_MLG GRADE 10'!$B$7:$B$31,'PW_MLG GRADE 10'!#REF!,"",0,1)="P",1*$C40,0))</f>
        <v>0</v>
      </c>
      <c r="CA40" s="31">
        <f>IF($C40=0,0,IF(_xlfn.XLOOKUP($B40,'PW_MLG GRADE 10'!$B$7:$B$31,'PW_MLG GRADE 10'!#REF!,"",0,1)="P",1*$C40,0))</f>
        <v>0</v>
      </c>
      <c r="CB40" s="31">
        <f>IF($C40=0,0,IF(_xlfn.XLOOKUP($B40,'PW_MLG GRADE 10'!$B$7:$B$31,'PW_MLG GRADE 10'!#REF!,"",0,1)="P",1*$C40,0))</f>
        <v>0</v>
      </c>
      <c r="CC40" s="31">
        <f>IF($C40=0,0,IF(_xlfn.XLOOKUP($B40,'PW_MLG GRADE 10'!$B$7:$B$31,'PW_MLG GRADE 10'!#REF!,"",0,1)="P",1*$C40,0))</f>
        <v>0</v>
      </c>
      <c r="CD40" s="31">
        <f>IF($C40=0,0,IF(_xlfn.XLOOKUP($B40,'PW_MLG GRADE 10'!$B$7:$B$31,'PW_MLG GRADE 10'!#REF!,"",0,1)="P",1*$C40,0))</f>
        <v>0</v>
      </c>
      <c r="CE40" s="32">
        <f>IF($C40=0,0,IF(_xlfn.XLOOKUP($B40,'PW_CMI GRADE 10'!$B$7:$B$31,'PW_CMI GRADE 10'!C$7:C$31,"",0,1)="P",1*$C40,0))</f>
        <v>0</v>
      </c>
      <c r="CF40" s="32">
        <f>IF($C40=0,0,IF(_xlfn.XLOOKUP($B40,'PW_CMI GRADE 10'!$B$7:$B$31,'PW_CMI GRADE 10'!D$7:D$31,"",0,1)="P",1*$C40,0))</f>
        <v>0</v>
      </c>
      <c r="CG40" s="32">
        <f>IF($C40=0,0,IF(_xlfn.XLOOKUP($B40,'PW_CMI GRADE 10'!$B$7:$B$31,'PW_CMI GRADE 10'!E$7:E$31,"",0,1)="P",1*$C40,0))</f>
        <v>0</v>
      </c>
      <c r="CH40" s="32">
        <f>IF($C40=0,0,IF(_xlfn.XLOOKUP($B40,'PW_CMI GRADE 10'!$B$7:$B$31,'PW_CMI GRADE 10'!F$7:F$31,"",0,1)="P",1*$C40,0))</f>
        <v>0</v>
      </c>
      <c r="CI40" s="32">
        <f>IF($C40=0,0,IF(_xlfn.XLOOKUP($B40,'PW_CMI GRADE 10'!$B$7:$B$31,'PW_CMI GRADE 10'!G$7:G$31,"",0,1)="P",1*$C40,0))</f>
        <v>0</v>
      </c>
      <c r="CJ40" s="32">
        <f>IF($C40=0,0,IF(_xlfn.XLOOKUP($B40,'PW_CMI GRADE 10'!$B$7:$B$31,'PW_CMI GRADE 10'!H$7:H$31,"",0,1)="P",1*$C40,0))</f>
        <v>0</v>
      </c>
      <c r="CK40" s="32">
        <f>IF($C40=0,0,IF(_xlfn.XLOOKUP($B40,'PW_CMI GRADE 10'!$B$7:$B$31,'PW_CMI GRADE 10'!I$7:I$31,"",0,1)="P",1*$C40,0))</f>
        <v>0</v>
      </c>
      <c r="CL40" s="32">
        <f>IF($C40=0,0,IF(_xlfn.XLOOKUP($B40,'PW_CMI GRADE 10'!$B$7:$B$31,'PW_CMI GRADE 10'!J$7:J$31,"",0,1)="P",1*$C40,0))</f>
        <v>0</v>
      </c>
      <c r="CM40" s="32">
        <f>IF($C40=0,0,IF(_xlfn.XLOOKUP($B40,'PW_CMI GRADE 10'!$B$7:$B$31,'PW_CMI GRADE 10'!K$7:K$31,"",0,1)="P",1*$C40,0))</f>
        <v>0</v>
      </c>
      <c r="CN40" s="32">
        <f>IF($C40=0,0,IF(_xlfn.XLOOKUP($B40,'PW_CMI GRADE 10'!$B$7:$B$31,'PW_CMI GRADE 10'!L$7:L$31,"",0,1)="P",1*$C40,0))</f>
        <v>0</v>
      </c>
      <c r="CO40" s="32">
        <f>IF($C40=0,0,IF(_xlfn.XLOOKUP($B40,'PW_CMI GRADE 10'!$B$7:$B$31,'PW_CMI GRADE 10'!M$7:M$31,"",0,1)="P",1*$C40,0))</f>
        <v>0</v>
      </c>
      <c r="CP40" s="32">
        <f>IF($C40=0,0,IF(_xlfn.XLOOKUP($B40,'PW_CMI GRADE 10'!$B$7:$B$31,'PW_CMI GRADE 10'!N$7:N$31,"",0,1)="P",1*$C40,0))</f>
        <v>0</v>
      </c>
      <c r="CQ40" s="32">
        <f>IF($C40=0,0,IF(_xlfn.XLOOKUP($B40,'PW_CMI GRADE 10'!$B$7:$B$31,'PW_CMI GRADE 10'!O$7:O$31,"",0,1)="P",1*$C40,0))</f>
        <v>0</v>
      </c>
      <c r="CR40" s="32">
        <f>IF($C40=0,0,IF(_xlfn.XLOOKUP($B40,'PW_CMI GRADE 10'!$B$7:$B$31,'PW_CMI GRADE 10'!P$7:P$31,"",0,1)="P",1*$C40,0))</f>
        <v>0</v>
      </c>
      <c r="CS40" s="32">
        <f>IF($C40=0,0,IF(_xlfn.XLOOKUP($B40,'PW_CMI GRADE 10'!$B$7:$B$31,'PW_CMI GRADE 10'!Q$7:Q$31,"",0,1)="P",1*$C40,0))</f>
        <v>0</v>
      </c>
      <c r="CT40" s="32">
        <f>IF($C40=0,0,IF(_xlfn.XLOOKUP($B40,'PW_CMI GRADE 10'!$B$7:$B$31,'PW_CMI GRADE 10'!R$7:R$31,"",0,1)="P",1*$C40,0))</f>
        <v>0</v>
      </c>
      <c r="CU40" s="32">
        <f>IF($C40=0,0,IF(_xlfn.XLOOKUP($B40,'PW_CMI GRADE 10'!$B$7:$B$31,'PW_CMI GRADE 10'!S$7:S$31,"",0,1)="P",1*$C40,0))</f>
        <v>0</v>
      </c>
      <c r="CV40" s="32">
        <f>IF($C40=0,0,IF(_xlfn.XLOOKUP($B40,'PW_CMI GRADE 10'!$B$7:$B$31,'PW_CMI GRADE 10'!T$7:T$31,"",0,1)="P",1*$C40,0))</f>
        <v>0</v>
      </c>
      <c r="CW40" s="62">
        <f t="shared" si="19"/>
        <v>0.66666666666666663</v>
      </c>
      <c r="CX40" s="62">
        <f t="shared" si="20"/>
        <v>0.66666666666666663</v>
      </c>
      <c r="CY40" s="62">
        <f t="shared" si="21"/>
        <v>0.66666666666666663</v>
      </c>
      <c r="CZ40" s="62">
        <f t="shared" si="22"/>
        <v>1</v>
      </c>
      <c r="DA40" s="62">
        <f t="shared" si="23"/>
        <v>0.66666666666666663</v>
      </c>
      <c r="DB40" s="62">
        <f t="shared" si="24"/>
        <v>0.33333333333333331</v>
      </c>
      <c r="DC40" s="62">
        <f t="shared" si="25"/>
        <v>0</v>
      </c>
      <c r="DD40" s="62">
        <f t="shared" si="26"/>
        <v>0</v>
      </c>
      <c r="DE40" s="62">
        <f t="shared" si="27"/>
        <v>0</v>
      </c>
      <c r="DF40" s="62">
        <f t="shared" si="28"/>
        <v>0</v>
      </c>
      <c r="DG40" s="62">
        <f t="shared" si="29"/>
        <v>0</v>
      </c>
      <c r="DH40" s="62">
        <f t="shared" si="30"/>
        <v>0</v>
      </c>
      <c r="DI40" s="62">
        <f t="shared" si="31"/>
        <v>0</v>
      </c>
      <c r="DJ40" s="62">
        <f t="shared" si="32"/>
        <v>0</v>
      </c>
      <c r="DK40" s="62">
        <f t="shared" si="33"/>
        <v>0</v>
      </c>
      <c r="DL40" s="62">
        <f t="shared" si="34"/>
        <v>0</v>
      </c>
      <c r="DM40" s="62">
        <f t="shared" si="35"/>
        <v>0</v>
      </c>
      <c r="DN40" s="62">
        <f t="shared" si="36"/>
        <v>0</v>
      </c>
      <c r="DO40" s="62">
        <f t="shared" si="37"/>
        <v>0</v>
      </c>
      <c r="DP40" s="62">
        <f t="shared" si="38"/>
        <v>0</v>
      </c>
      <c r="DQ40" s="62">
        <f t="shared" si="39"/>
        <v>0</v>
      </c>
      <c r="DR40" s="62">
        <f t="shared" si="40"/>
        <v>0</v>
      </c>
      <c r="DS40" s="62" t="e">
        <f t="shared" si="41"/>
        <v>#REF!</v>
      </c>
      <c r="DT40" s="62" t="e">
        <f t="shared" si="42"/>
        <v>#REF!</v>
      </c>
      <c r="DU40" s="62" t="e">
        <f t="shared" si="43"/>
        <v>#REF!</v>
      </c>
      <c r="DV40" s="62" t="e">
        <f t="shared" si="44"/>
        <v>#REF!</v>
      </c>
      <c r="DW40" s="62" t="e">
        <f t="shared" si="45"/>
        <v>#REF!</v>
      </c>
      <c r="DX40" s="62" t="e">
        <f t="shared" si="46"/>
        <v>#REF!</v>
      </c>
      <c r="DY40" s="62" t="e">
        <f t="shared" si="47"/>
        <v>#REF!</v>
      </c>
      <c r="DZ40" s="62" t="e">
        <f t="shared" si="48"/>
        <v>#REF!</v>
      </c>
      <c r="EA40" s="63">
        <f t="shared" si="68"/>
        <v>0</v>
      </c>
      <c r="EB40" s="63">
        <f t="shared" si="2"/>
        <v>0</v>
      </c>
      <c r="EC40" s="63">
        <f t="shared" si="3"/>
        <v>0</v>
      </c>
      <c r="ED40" s="63">
        <f t="shared" si="4"/>
        <v>0</v>
      </c>
      <c r="EE40" s="63">
        <f t="shared" si="5"/>
        <v>0.33333333333333331</v>
      </c>
      <c r="EF40" s="63">
        <f t="shared" si="6"/>
        <v>0.33333333333333331</v>
      </c>
      <c r="EG40" s="63">
        <f t="shared" si="7"/>
        <v>0.33333333333333331</v>
      </c>
      <c r="EH40" s="63">
        <f t="shared" si="8"/>
        <v>0.33333333333333331</v>
      </c>
      <c r="EI40" s="63">
        <f t="shared" si="9"/>
        <v>0.33333333333333331</v>
      </c>
      <c r="EJ40" s="63">
        <f t="shared" si="10"/>
        <v>0.66666666666666663</v>
      </c>
      <c r="EK40" s="63">
        <f t="shared" si="11"/>
        <v>0.33333333333333331</v>
      </c>
      <c r="EL40" s="63">
        <f t="shared" si="12"/>
        <v>0.33333333333333331</v>
      </c>
      <c r="EM40" s="63">
        <f t="shared" si="13"/>
        <v>0</v>
      </c>
      <c r="EN40" s="63">
        <f t="shared" si="14"/>
        <v>0</v>
      </c>
      <c r="EO40" s="63">
        <f t="shared" si="15"/>
        <v>0</v>
      </c>
      <c r="EP40" s="63">
        <f t="shared" si="16"/>
        <v>0</v>
      </c>
      <c r="FU40" s="51">
        <v>46935</v>
      </c>
      <c r="FV40" t="s">
        <v>22</v>
      </c>
      <c r="FW40" t="s">
        <v>22</v>
      </c>
      <c r="FX40" t="s">
        <v>22</v>
      </c>
      <c r="FY40" t="s">
        <v>22</v>
      </c>
      <c r="FZ40" t="s">
        <v>22</v>
      </c>
      <c r="GA40" t="s">
        <v>22</v>
      </c>
      <c r="GB40" t="s">
        <v>22</v>
      </c>
      <c r="GC40" t="s">
        <v>22</v>
      </c>
      <c r="GD40" t="s">
        <v>22</v>
      </c>
      <c r="GE40" t="s">
        <v>22</v>
      </c>
      <c r="GF40" t="s">
        <v>22</v>
      </c>
      <c r="GG40" t="s">
        <v>22</v>
      </c>
      <c r="GH40" t="s">
        <v>22</v>
      </c>
      <c r="GI40" t="s">
        <v>22</v>
      </c>
      <c r="GJ40" t="s">
        <v>22</v>
      </c>
      <c r="GK40" t="s">
        <v>22</v>
      </c>
      <c r="GL40" t="s">
        <v>22</v>
      </c>
      <c r="GM40" t="s">
        <v>22</v>
      </c>
      <c r="GN40" t="s">
        <v>22</v>
      </c>
      <c r="GO40" t="s">
        <v>22</v>
      </c>
      <c r="GP40" t="s">
        <v>22</v>
      </c>
      <c r="GQ40" t="s">
        <v>22</v>
      </c>
      <c r="GR40" t="s">
        <v>22</v>
      </c>
      <c r="GS40" t="s">
        <v>22</v>
      </c>
      <c r="GT40" t="s">
        <v>22</v>
      </c>
      <c r="GU40" t="s">
        <v>22</v>
      </c>
      <c r="GV40" t="s">
        <v>22</v>
      </c>
      <c r="GW40" t="s">
        <v>22</v>
      </c>
      <c r="GX40" t="s">
        <v>22</v>
      </c>
      <c r="GY40" t="s">
        <v>22</v>
      </c>
      <c r="GZ40" t="s">
        <v>22</v>
      </c>
      <c r="HA40" t="s">
        <v>22</v>
      </c>
      <c r="HB40" t="s">
        <v>22</v>
      </c>
      <c r="HC40" t="s">
        <v>22</v>
      </c>
      <c r="HD40" t="s">
        <v>22</v>
      </c>
      <c r="HE40" t="s">
        <v>22</v>
      </c>
      <c r="HF40" t="s">
        <v>22</v>
      </c>
      <c r="HG40" t="s">
        <v>22</v>
      </c>
      <c r="HH40" t="s">
        <v>22</v>
      </c>
      <c r="HI40" t="s">
        <v>22</v>
      </c>
      <c r="HJ40" t="s">
        <v>22</v>
      </c>
      <c r="HK40" t="s">
        <v>22</v>
      </c>
      <c r="HL40" t="s">
        <v>22</v>
      </c>
      <c r="HM40" t="s">
        <v>22</v>
      </c>
      <c r="HN40" t="s">
        <v>22</v>
      </c>
      <c r="HO40" cm="1">
        <f t="array" ref="HO40">SUMPRODUCT(--(FV40:HN40&lt;&gt;""))</f>
        <v>0</v>
      </c>
    </row>
    <row r="41" spans="1:223">
      <c r="A41" t="str">
        <f t="shared" si="18"/>
        <v>6A.2</v>
      </c>
      <c r="B41" t="s">
        <v>72</v>
      </c>
      <c r="C41" s="27">
        <v>4</v>
      </c>
      <c r="D41" s="27">
        <v>1</v>
      </c>
      <c r="E41" s="31">
        <f>IF($D41=0,0,IF(_xlfn.XLOOKUP($B41,'TH_MLG GRADE 10'!$B$7:$B$49,'TH_MLG GRADE 10'!C$7:C$49,"",0,1)="P",1*$D41,0))</f>
        <v>1</v>
      </c>
      <c r="F41" s="31">
        <f>IF($D41=0,0,IF(_xlfn.XLOOKUP($B41,'TH_MLG GRADE 10'!$B$7:$B$49,'TH_MLG GRADE 10'!D$7:D$49,"",0,1)="P",1*$D41,0))</f>
        <v>1</v>
      </c>
      <c r="G41" s="31">
        <f>IF($D41=0,0,IF(_xlfn.XLOOKUP($B41,'TH_MLG GRADE 10'!$B$7:$B$49,'TH_MLG GRADE 10'!E$7:E$49,"",0,1)="P",1*$D41,0))</f>
        <v>0</v>
      </c>
      <c r="H41" s="31">
        <f>IF($D41=0,0,IF(_xlfn.XLOOKUP($B41,'TH_MLG GRADE 10'!$B$7:$B$49,'TH_MLG GRADE 10'!I$7:I$49,"",0,1)="P",1*$D41,0))</f>
        <v>1</v>
      </c>
      <c r="I41" s="31">
        <f>IF($D41=0,0,IF(_xlfn.XLOOKUP($B41,'TH_MLG GRADE 10'!$B$7:$B$49,'TH_MLG GRADE 10'!J$7:J$49,"",0,1)="P",1*$D41,0))</f>
        <v>1</v>
      </c>
      <c r="J41" s="31">
        <f>IF($D41=0,0,IF(_xlfn.XLOOKUP($B41,'TH_MLG GRADE 10'!$B$7:$B$49,'TH_MLG GRADE 10'!K$7:K$49,"",0,1)="P",1*$D41,0))</f>
        <v>1</v>
      </c>
      <c r="K41" s="31">
        <f>IF($D41=0,0,IF(_xlfn.XLOOKUP($B41,'TH_MLG GRADE 10'!$B$7:$B$49,'TH_MLG GRADE 10'!O$7:O$49,"",0,1)="P",1*$D41,0))</f>
        <v>0</v>
      </c>
      <c r="L41" s="31">
        <f>IF($D41=0,0,IF(_xlfn.XLOOKUP($B41,'TH_MLG GRADE 10'!$B$7:$B$49,'TH_MLG GRADE 10'!P$7:P$49,"",0,1)="P",1*$D41,0))</f>
        <v>0</v>
      </c>
      <c r="M41" s="31">
        <f>IF($D41=0,0,IF(_xlfn.XLOOKUP($B41,'TH_MLG GRADE 10'!$B$7:$B$49,'TH_MLG GRADE 10'!Q$7:Q$49,"",0,1)="P",1*$D41,0))</f>
        <v>0</v>
      </c>
      <c r="N41" s="31">
        <f>IF($D41=0,0,IF(_xlfn.XLOOKUP($B41,'TH_MLG GRADE 10'!$B$7:$B$49,'TH_MLG GRADE 10'!AA$7:AA$49,"",0,1)="P",1*$D41,0))</f>
        <v>0</v>
      </c>
      <c r="O41" s="31">
        <f>IF($D41=0,0,IF(_xlfn.XLOOKUP($B41,'TH_MLG GRADE 10'!$B$7:$B$49,'TH_MLG GRADE 10'!AB$7:AB$49,"",0,1)="P",1*$D41,0))</f>
        <v>0</v>
      </c>
      <c r="P41" s="31">
        <f>IF($D41=0,0,IF(_xlfn.XLOOKUP($B41,'TH_MLG GRADE 10'!$B$7:$B$49,'TH_MLG GRADE 10'!AC$7:AC$49,"",0,1)="P",1*$D41,0))</f>
        <v>0</v>
      </c>
      <c r="Q41" s="31">
        <f>IF($D41=0,0,IF(_xlfn.XLOOKUP($B41,'TH_MLG GRADE 10'!$B$7:$B$49,'TH_MLG GRADE 10'!AG$7:AG$49,"",0,1)="P",1*$D41,0))</f>
        <v>0</v>
      </c>
      <c r="R41" s="31">
        <f>IF($D41=0,0,IF(_xlfn.XLOOKUP($B41,'TH_MLG GRADE 10'!$B$7:$B$49,'TH_MLG GRADE 10'!AH$7:AH$49,"",0,1)="P",1*$D41,0))</f>
        <v>0</v>
      </c>
      <c r="S41" s="31">
        <f>IF($D41=0,0,IF(_xlfn.XLOOKUP($B41,'TH_MLG GRADE 10'!$B$7:$B$49,'TH_MLG GRADE 10'!AI$7:AI$49,"",0,1)="P",1*$D41,0))</f>
        <v>0</v>
      </c>
      <c r="T41" s="31">
        <f>IF($D41=0,0,IF(_xlfn.XLOOKUP($B41,'TH_MLG GRADE 10'!$B$7:$B$49,'TH_MLG GRADE 10'!AM$7:AM$49,"",0,1)="P",1*$D41,0))</f>
        <v>0</v>
      </c>
      <c r="U41" s="31">
        <f>IF($D41=0,0,IF(_xlfn.XLOOKUP($B41,'TH_MLG GRADE 10'!$B$7:$B$49,'TH_MLG GRADE 10'!AN$7:AN$49,"",0,1)="P",1*$D41,0))</f>
        <v>0</v>
      </c>
      <c r="V41" s="31">
        <f>IF($D41=0,0,IF(_xlfn.XLOOKUP($B41,'TH_MLG GRADE 10'!$B$7:$B$49,'TH_MLG GRADE 10'!AO$7:AO$49,"",0,1)="P",1*$D41,0))</f>
        <v>0</v>
      </c>
      <c r="W41" s="31">
        <f>IF($D41=0,0,IF(_xlfn.XLOOKUP($B41,'TH_MLG GRADE 10'!$B$7:$B$49,'TH_MLG GRADE 10'!AY$7:AY$49,"",0,1)="P",1*$D41,0))</f>
        <v>0</v>
      </c>
      <c r="X41" s="31">
        <f>IF($D41=0,0,IF(_xlfn.XLOOKUP($B41,'TH_MLG GRADE 10'!$B$7:$B$49,'TH_MLG GRADE 10'!AZ$7:AZ$49,"",0,1)="P",1*$D41,0))</f>
        <v>0</v>
      </c>
      <c r="Y41" s="31">
        <f>IF($D41=0,0,IF(_xlfn.XLOOKUP($B41,'TH_MLG GRADE 10'!$B$7:$B$49,'TH_MLG GRADE 10'!BA$7:BA$49,"",0,1)="P",1*$D41,0))</f>
        <v>0</v>
      </c>
      <c r="Z41" s="31">
        <f>IF($D41=0,0,IF(_xlfn.XLOOKUP($B41,'TH_MLG GRADE 10'!$B$7:$B$49,'TH_MLG GRADE 10'!BE$7:BE$49,"",0,1)="P",1*$D41,0))</f>
        <v>0</v>
      </c>
      <c r="AA41" s="31">
        <f>IF($D41=0,0,IF(_xlfn.XLOOKUP($B41,'TH_MLG GRADE 10'!$B$7:$B$49,'TH_MLG GRADE 10'!BF$7:BF$49,"",0,1)="P",1*$D41,0))</f>
        <v>0</v>
      </c>
      <c r="AB41" s="31">
        <f>IF($D41=0,0,IF(_xlfn.XLOOKUP($B41,'TH_MLG GRADE 10'!$B$7:$B$49,'TH_MLG GRADE 10'!BG$7:BG$49,"",0,1)="P",1*$D41,0))</f>
        <v>0</v>
      </c>
      <c r="AC41" s="31" t="e">
        <f>IF($D41=0,0,IF(_xlfn.XLOOKUP($B41,'TH_MLG GRADE 10'!$B$7:$B$49,'TH_MLG GRADE 10'!#REF!,"",0,1)="P",1*$D41,0))</f>
        <v>#REF!</v>
      </c>
      <c r="AD41" s="31" t="e">
        <f>IF($D41=0,0,IF(_xlfn.XLOOKUP($B41,'TH_MLG GRADE 10'!$B$7:$B$49,'TH_MLG GRADE 10'!#REF!,"",0,1)="P",1*$D41,0))</f>
        <v>#REF!</v>
      </c>
      <c r="AE41" s="31" t="e">
        <f>IF($D41=0,0,IF(_xlfn.XLOOKUP($B41,'TH_MLG GRADE 10'!$B$7:$B$49,'TH_MLG GRADE 10'!#REF!,"",0,1)="P",1*$D41,0))</f>
        <v>#REF!</v>
      </c>
      <c r="AF41" s="31" t="e">
        <f>IF($D41=0,0,IF(_xlfn.XLOOKUP($B41,'TH_MLG GRADE 10'!$B$7:$B$49,'TH_MLG GRADE 10'!#REF!,"",0,1)="P",1*$D41,0))</f>
        <v>#REF!</v>
      </c>
      <c r="AG41" s="31" t="e">
        <f>IF($D41=0,0,IF(_xlfn.XLOOKUP($B41,'TH_MLG GRADE 10'!$B$7:$B$49,'TH_MLG GRADE 10'!#REF!,"",0,1)="P",1*$D41,0))</f>
        <v>#REF!</v>
      </c>
      <c r="AH41" s="31" t="e">
        <f>IF($D41=0,0,IF(_xlfn.XLOOKUP($B41,'TH_MLG GRADE 10'!$B$7:$B$49,'TH_MLG GRADE 10'!#REF!,"",0,1)="P",1*$D41,0))</f>
        <v>#REF!</v>
      </c>
      <c r="AI41" s="32">
        <f>IF($D41=0,0,IF(_xlfn.XLOOKUP($B41,'TH_CMI GRADE 10'!$B$7:$B$49,'TH_CMI GRADE 10'!C$7:C$49,"",0,1)="P",1*$D41,0))</f>
        <v>0</v>
      </c>
      <c r="AJ41" s="32">
        <f>IF($D41=0,0,IF(_xlfn.XLOOKUP($B41,'TH_CMI GRADE 10'!$B$7:$B$49,'TH_CMI GRADE 10'!D$7:D$49,"",0,1)="P",1*$D41,0))</f>
        <v>0</v>
      </c>
      <c r="AK41" s="32">
        <f>IF($D41=0,0,IF(_xlfn.XLOOKUP($B41,'TH_CMI GRADE 10'!$B$7:$B$49,'TH_CMI GRADE 10'!H$7:H$49,"",0,1)="P",1*$D41,0))</f>
        <v>0</v>
      </c>
      <c r="AL41" s="32">
        <f>IF($D41=0,0,IF(_xlfn.XLOOKUP($B41,'TH_CMI GRADE 10'!$B$7:$B$49,'TH_CMI GRADE 10'!I$7:I$49,"",0,1)="P",1*$D41,0))</f>
        <v>0</v>
      </c>
      <c r="AM41" s="32">
        <f>IF($D41=0,0,IF(_xlfn.XLOOKUP($B41,'TH_CMI GRADE 10'!$B$7:$B$49,'TH_CMI GRADE 10'!J$7:J$49,"",0,1)="P",1*$D41,0))</f>
        <v>0</v>
      </c>
      <c r="AN41" s="32">
        <f>IF($D41=0,0,IF(_xlfn.XLOOKUP($B41,'TH_CMI GRADE 10'!$B$7:$B$49,'TH_CMI GRADE 10'!K$7:K$49,"",0,1)="P",1*$D41,0))</f>
        <v>0</v>
      </c>
      <c r="AO41" s="32">
        <f>IF($D41=0,0,IF(_xlfn.XLOOKUP($B41,'TH_CMI GRADE 10'!$B$7:$B$49,'TH_CMI GRADE 10'!O$7:O$49,"",0,1)="P",1*$D41,0))</f>
        <v>1</v>
      </c>
      <c r="AP41" s="32">
        <f>IF($D41=0,0,IF(_xlfn.XLOOKUP($B41,'TH_CMI GRADE 10'!$B$7:$B$49,'TH_CMI GRADE 10'!P$7:P$49,"",0,1)="P",1*$D41,0))</f>
        <v>1</v>
      </c>
      <c r="AQ41" s="32">
        <f>IF($D41=0,0,IF(_xlfn.XLOOKUP($B41,'TH_CMI GRADE 10'!$B$7:$B$49,'TH_CMI GRADE 10'!Q$7:Q$49,"",0,1)="P",1*$D41,0))</f>
        <v>0</v>
      </c>
      <c r="AR41" s="32">
        <f>IF($D41=0,0,IF(_xlfn.XLOOKUP($B41,'TH_CMI GRADE 10'!$B$7:$B$49,'TH_CMI GRADE 10'!U$7:U$49,"",0,1)="P",1*$D41,0))</f>
        <v>1</v>
      </c>
      <c r="AS41" s="32">
        <f>IF($D41=0,0,IF(_xlfn.XLOOKUP($B41,'TH_CMI GRADE 10'!$B$7:$B$49,'TH_CMI GRADE 10'!V$7:V$49,"",0,1)="P",1*$D41,0))</f>
        <v>1</v>
      </c>
      <c r="AT41" s="32">
        <f>IF($D41=0,0,IF(_xlfn.XLOOKUP($B41,'TH_CMI GRADE 10'!$B$7:$B$49,'TH_CMI GRADE 10'!W$7:W$49,"",0,1)="P",1*$D41,0))</f>
        <v>1</v>
      </c>
      <c r="AU41" s="32">
        <f>IF($D41=0,0,IF(_xlfn.XLOOKUP($B41,'TH_CMI GRADE 10'!$B$7:$B$49,'TH_CMI GRADE 10'!AA$7:AA$49,"",0,1)="P",1*$D41,0))</f>
        <v>0</v>
      </c>
      <c r="AV41" s="32">
        <f>IF($D41=0,0,IF(_xlfn.XLOOKUP($B41,'TH_CMI GRADE 10'!$B$7:$B$49,'TH_CMI GRADE 10'!AB$7:AB$49,"",0,1)="P",1*$D41,0))</f>
        <v>0</v>
      </c>
      <c r="AW41" s="32">
        <f>IF($D41=0,0,IF(_xlfn.XLOOKUP($B41,'TH_CMI GRADE 10'!$B$7:$B$49,'TH_CMI GRADE 10'!AC$7:AC$49,"",0,1)="P",1*$D41,0))</f>
        <v>0</v>
      </c>
      <c r="AX41" s="32">
        <f>IF($D41=0,0,IF(_xlfn.XLOOKUP($B41,'TH_CMI GRADE 10'!$B$7:$B$49,'TH_CMI GRADE 10'!AG$7:AG$49,"",0,1)="P",1*$D41,0))</f>
        <v>0</v>
      </c>
      <c r="AY41" s="32">
        <f>IF($D41=0,0,IF(_xlfn.XLOOKUP($B41,'TH_CMI GRADE 10'!$B$7:$B$49,'TH_CMI GRADE 10'!AH$7:AH$49,"",0,1)="P",1*$D41,0))</f>
        <v>0</v>
      </c>
      <c r="AZ41" s="32">
        <f>IF($D41=0,0,IF(_xlfn.XLOOKUP($B41,'TH_CMI GRADE 10'!$B$7:$B$49,'TH_CMI GRADE 10'!AI$7:AI$49,"",0,1)="P",1*$D41,0))</f>
        <v>0</v>
      </c>
      <c r="BA41" s="31" t="e">
        <f>IF($C41=0,0,IF(_xlfn.XLOOKUP($B41,'PW_MLG GRADE 10'!$B$7:$B$31,'PW_MLG GRADE 10'!#REF!,"",0,1)="P",1*$C41,0))</f>
        <v>#REF!</v>
      </c>
      <c r="BB41" s="31" t="e">
        <f>IF($C41=0,0,IF(_xlfn.XLOOKUP($B41,'PW_MLG GRADE 10'!$B$7:$B$31,'PW_MLG GRADE 10'!#REF!,"",0,1)="P",1*$C41,0))</f>
        <v>#REF!</v>
      </c>
      <c r="BC41" s="31" t="e">
        <f>IF($C41=0,0,IF(_xlfn.XLOOKUP($B41,'PW_MLG GRADE 10'!$B$7:$B$31,'PW_MLG GRADE 10'!#REF!,"",0,1)="P",1*$C41,0))</f>
        <v>#REF!</v>
      </c>
      <c r="BD41" s="31" t="e">
        <f>IF($C41=0,0,IF(_xlfn.XLOOKUP($B41,'PW_MLG GRADE 10'!$B$7:$B$31,'PW_MLG GRADE 10'!#REF!,"",0,1)="P",1*$C41,0))</f>
        <v>#REF!</v>
      </c>
      <c r="BE41" s="31" t="e">
        <f>IF($C41=0,0,IF(_xlfn.XLOOKUP($B41,'PW_MLG GRADE 10'!$B$7:$B$31,'PW_MLG GRADE 10'!#REF!,"",0,1)="P",1*$C41,0))</f>
        <v>#REF!</v>
      </c>
      <c r="BF41" s="31" t="e">
        <f>IF($C41=0,0,IF(_xlfn.XLOOKUP($B41,'PW_MLG GRADE 10'!$B$7:$B$31,'PW_MLG GRADE 10'!#REF!,"",0,1)="P",1*$C41,0))</f>
        <v>#REF!</v>
      </c>
      <c r="BG41" s="31" t="e">
        <f>IF($C41=0,0,IF(_xlfn.XLOOKUP($B41,'PW_MLG GRADE 10'!$B$7:$B$31,'PW_MLG GRADE 10'!#REF!,"",0,1)="P",1*$C41,0))</f>
        <v>#REF!</v>
      </c>
      <c r="BH41" s="31" t="e">
        <f>IF($C41=0,0,IF(_xlfn.XLOOKUP($B41,'PW_MLG GRADE 10'!$B$7:$B$31,'PW_MLG GRADE 10'!#REF!,"",0,1)="P",1*$C41,0))</f>
        <v>#REF!</v>
      </c>
      <c r="BI41" s="31" t="e">
        <f>IF($C41=0,0,IF(_xlfn.XLOOKUP($B41,'PW_MLG GRADE 10'!$B$7:$B$31,'PW_MLG GRADE 10'!#REF!,"",0,1)="P",1*$C41,0))</f>
        <v>#REF!</v>
      </c>
      <c r="BJ41" s="31" t="e">
        <f>IF($C41=0,0,IF(_xlfn.XLOOKUP($B41,'PW_MLG GRADE 10'!$B$7:$B$31,'PW_MLG GRADE 10'!#REF!,"",0,1)="P",1*$C41,0))</f>
        <v>#REF!</v>
      </c>
      <c r="BK41" s="31" t="e">
        <f>IF($C41=0,0,IF(_xlfn.XLOOKUP($B41,'PW_MLG GRADE 10'!$B$7:$B$31,'PW_MLG GRADE 10'!#REF!,"",0,1)="P",1*$C41,0))</f>
        <v>#REF!</v>
      </c>
      <c r="BL41" s="31" t="e">
        <f>IF($C41=0,0,IF(_xlfn.XLOOKUP($B41,'PW_MLG GRADE 10'!$B$7:$B$31,'PW_MLG GRADE 10'!#REF!,"",0,1)="P",1*$C41,0))</f>
        <v>#REF!</v>
      </c>
      <c r="BM41" s="31" t="e">
        <f>IF($C41=0,0,IF(_xlfn.XLOOKUP($B41,'PW_MLG GRADE 10'!$B$7:$B$31,'PW_MLG GRADE 10'!#REF!,"",0,1)="P",1*$C41,0))</f>
        <v>#REF!</v>
      </c>
      <c r="BN41" s="31" t="e">
        <f>IF($C41=0,0,IF(_xlfn.XLOOKUP($B41,'PW_MLG GRADE 10'!$B$7:$B$31,'PW_MLG GRADE 10'!#REF!,"",0,1)="P",1*$C41,0))</f>
        <v>#REF!</v>
      </c>
      <c r="BO41" s="31" t="e">
        <f>IF($C41=0,0,IF(_xlfn.XLOOKUP($B41,'PW_MLG GRADE 10'!$B$7:$B$31,'PW_MLG GRADE 10'!#REF!,"",0,1)="P",1*$C41,0))</f>
        <v>#REF!</v>
      </c>
      <c r="BP41" s="31" t="e">
        <f>IF($C41=0,0,IF(_xlfn.XLOOKUP($B41,'PW_MLG GRADE 10'!$B$7:$B$31,'PW_MLG GRADE 10'!#REF!,"",0,1)="P",1*$C41,0))</f>
        <v>#REF!</v>
      </c>
      <c r="BQ41" s="31" t="e">
        <f>IF($C41=0,0,IF(_xlfn.XLOOKUP($B41,'PW_MLG GRADE 10'!$B$7:$B$31,'PW_MLG GRADE 10'!#REF!,"",0,1)="P",1*$C41,0))</f>
        <v>#REF!</v>
      </c>
      <c r="BR41" s="31" t="e">
        <f>IF($C41=0,0,IF(_xlfn.XLOOKUP($B41,'PW_MLG GRADE 10'!$B$7:$B$31,'PW_MLG GRADE 10'!#REF!,"",0,1)="P",1*$C41,0))</f>
        <v>#REF!</v>
      </c>
      <c r="BS41" s="31" t="e">
        <f>IF($C41=0,0,IF(_xlfn.XLOOKUP($B41,'PW_MLG GRADE 10'!$B$7:$B$31,'PW_MLG GRADE 10'!#REF!,"",0,1)="P",1*$C41,0))</f>
        <v>#REF!</v>
      </c>
      <c r="BT41" s="31" t="e">
        <f>IF($C41=0,0,IF(_xlfn.XLOOKUP($B41,'PW_MLG GRADE 10'!$B$7:$B$31,'PW_MLG GRADE 10'!#REF!,"",0,1)="P",1*$C41,0))</f>
        <v>#REF!</v>
      </c>
      <c r="BU41" s="31" t="e">
        <f>IF($C41=0,0,IF(_xlfn.XLOOKUP($B41,'PW_MLG GRADE 10'!$B$7:$B$31,'PW_MLG GRADE 10'!#REF!,"",0,1)="P",1*$C41,0))</f>
        <v>#REF!</v>
      </c>
      <c r="BV41" s="31" t="e">
        <f>IF($C41=0,0,IF(_xlfn.XLOOKUP($B41,'PW_MLG GRADE 10'!$B$7:$B$31,'PW_MLG GRADE 10'!#REF!,"",0,1)="P",1*$C41,0))</f>
        <v>#REF!</v>
      </c>
      <c r="BW41" s="31" t="e">
        <f>IF($C41=0,0,IF(_xlfn.XLOOKUP($B41,'PW_MLG GRADE 10'!$B$7:$B$31,'PW_MLG GRADE 10'!#REF!,"",0,1)="P",1*$C41,0))</f>
        <v>#REF!</v>
      </c>
      <c r="BX41" s="31" t="e">
        <f>IF($C41=0,0,IF(_xlfn.XLOOKUP($B41,'PW_MLG GRADE 10'!$B$7:$B$31,'PW_MLG GRADE 10'!#REF!,"",0,1)="P",1*$C41,0))</f>
        <v>#REF!</v>
      </c>
      <c r="BY41" s="31" t="e">
        <f>IF($C41=0,0,IF(_xlfn.XLOOKUP($B41,'PW_MLG GRADE 10'!$B$7:$B$31,'PW_MLG GRADE 10'!#REF!,"",0,1)="P",1*$C41,0))</f>
        <v>#REF!</v>
      </c>
      <c r="BZ41" s="31" t="e">
        <f>IF($C41=0,0,IF(_xlfn.XLOOKUP($B41,'PW_MLG GRADE 10'!$B$7:$B$31,'PW_MLG GRADE 10'!#REF!,"",0,1)="P",1*$C41,0))</f>
        <v>#REF!</v>
      </c>
      <c r="CA41" s="31" t="e">
        <f>IF($C41=0,0,IF(_xlfn.XLOOKUP($B41,'PW_MLG GRADE 10'!$B$7:$B$31,'PW_MLG GRADE 10'!#REF!,"",0,1)="P",1*$C41,0))</f>
        <v>#REF!</v>
      </c>
      <c r="CB41" s="31" t="e">
        <f>IF($C41=0,0,IF(_xlfn.XLOOKUP($B41,'PW_MLG GRADE 10'!$B$7:$B$31,'PW_MLG GRADE 10'!#REF!,"",0,1)="P",1*$C41,0))</f>
        <v>#REF!</v>
      </c>
      <c r="CC41" s="31" t="e">
        <f>IF($C41=0,0,IF(_xlfn.XLOOKUP($B41,'PW_MLG GRADE 10'!$B$7:$B$31,'PW_MLG GRADE 10'!#REF!,"",0,1)="P",1*$C41,0))</f>
        <v>#REF!</v>
      </c>
      <c r="CD41" s="31" t="e">
        <f>IF($C41=0,0,IF(_xlfn.XLOOKUP($B41,'PW_MLG GRADE 10'!$B$7:$B$31,'PW_MLG GRADE 10'!#REF!,"",0,1)="P",1*$C41,0))</f>
        <v>#REF!</v>
      </c>
      <c r="CE41" s="32">
        <f>IF($C41=0,0,IF(_xlfn.XLOOKUP($B41,'PW_CMI GRADE 10'!$B$7:$B$31,'PW_CMI GRADE 10'!C$7:C$31,"",0,1)="P",1*$C41,0))</f>
        <v>0</v>
      </c>
      <c r="CF41" s="32">
        <f>IF($C41=0,0,IF(_xlfn.XLOOKUP($B41,'PW_CMI GRADE 10'!$B$7:$B$31,'PW_CMI GRADE 10'!D$7:D$31,"",0,1)="P",1*$C41,0))</f>
        <v>0</v>
      </c>
      <c r="CG41" s="32">
        <f>IF($C41=0,0,IF(_xlfn.XLOOKUP($B41,'PW_CMI GRADE 10'!$B$7:$B$31,'PW_CMI GRADE 10'!E$7:E$31,"",0,1)="P",1*$C41,0))</f>
        <v>0</v>
      </c>
      <c r="CH41" s="32">
        <f>IF($C41=0,0,IF(_xlfn.XLOOKUP($B41,'PW_CMI GRADE 10'!$B$7:$B$31,'PW_CMI GRADE 10'!F$7:F$31,"",0,1)="P",1*$C41,0))</f>
        <v>0</v>
      </c>
      <c r="CI41" s="32">
        <f>IF($C41=0,0,IF(_xlfn.XLOOKUP($B41,'PW_CMI GRADE 10'!$B$7:$B$31,'PW_CMI GRADE 10'!G$7:G$31,"",0,1)="P",1*$C41,0))</f>
        <v>0</v>
      </c>
      <c r="CJ41" s="32">
        <f>IF($C41=0,0,IF(_xlfn.XLOOKUP($B41,'PW_CMI GRADE 10'!$B$7:$B$31,'PW_CMI GRADE 10'!H$7:H$31,"",0,1)="P",1*$C41,0))</f>
        <v>0</v>
      </c>
      <c r="CK41" s="32">
        <f>IF($C41=0,0,IF(_xlfn.XLOOKUP($B41,'PW_CMI GRADE 10'!$B$7:$B$31,'PW_CMI GRADE 10'!I$7:I$31,"",0,1)="P",1*$C41,0))</f>
        <v>0</v>
      </c>
      <c r="CL41" s="32">
        <f>IF($C41=0,0,IF(_xlfn.XLOOKUP($B41,'PW_CMI GRADE 10'!$B$7:$B$31,'PW_CMI GRADE 10'!J$7:J$31,"",0,1)="P",1*$C41,0))</f>
        <v>0</v>
      </c>
      <c r="CM41" s="32">
        <f>IF($C41=0,0,IF(_xlfn.XLOOKUP($B41,'PW_CMI GRADE 10'!$B$7:$B$31,'PW_CMI GRADE 10'!K$7:K$31,"",0,1)="P",1*$C41,0))</f>
        <v>0</v>
      </c>
      <c r="CN41" s="32">
        <f>IF($C41=0,0,IF(_xlfn.XLOOKUP($B41,'PW_CMI GRADE 10'!$B$7:$B$31,'PW_CMI GRADE 10'!L$7:L$31,"",0,1)="P",1*$C41,0))</f>
        <v>0</v>
      </c>
      <c r="CO41" s="32">
        <f>IF($C41=0,0,IF(_xlfn.XLOOKUP($B41,'PW_CMI GRADE 10'!$B$7:$B$31,'PW_CMI GRADE 10'!M$7:M$31,"",0,1)="P",1*$C41,0))</f>
        <v>0</v>
      </c>
      <c r="CP41" s="32">
        <f>IF($C41=0,0,IF(_xlfn.XLOOKUP($B41,'PW_CMI GRADE 10'!$B$7:$B$31,'PW_CMI GRADE 10'!N$7:N$31,"",0,1)="P",1*$C41,0))</f>
        <v>0</v>
      </c>
      <c r="CQ41" s="32">
        <f>IF($C41=0,0,IF(_xlfn.XLOOKUP($B41,'PW_CMI GRADE 10'!$B$7:$B$31,'PW_CMI GRADE 10'!O$7:O$31,"",0,1)="P",1*$C41,0))</f>
        <v>0</v>
      </c>
      <c r="CR41" s="32">
        <f>IF($C41=0,0,IF(_xlfn.XLOOKUP($B41,'PW_CMI GRADE 10'!$B$7:$B$31,'PW_CMI GRADE 10'!P$7:P$31,"",0,1)="P",1*$C41,0))</f>
        <v>0</v>
      </c>
      <c r="CS41" s="32">
        <f>IF($C41=0,0,IF(_xlfn.XLOOKUP($B41,'PW_CMI GRADE 10'!$B$7:$B$31,'PW_CMI GRADE 10'!Q$7:Q$31,"",0,1)="P",1*$C41,0))</f>
        <v>0</v>
      </c>
      <c r="CT41" s="32">
        <f>IF($C41=0,0,IF(_xlfn.XLOOKUP($B41,'PW_CMI GRADE 10'!$B$7:$B$31,'PW_CMI GRADE 10'!R$7:R$31,"",0,1)="P",1*$C41,0))</f>
        <v>0</v>
      </c>
      <c r="CU41" s="32">
        <f>IF($C41=0,0,IF(_xlfn.XLOOKUP($B41,'PW_CMI GRADE 10'!$B$7:$B$31,'PW_CMI GRADE 10'!S$7:S$31,"",0,1)="P",1*$C41,0))</f>
        <v>0</v>
      </c>
      <c r="CV41" s="32">
        <f>IF($C41=0,0,IF(_xlfn.XLOOKUP($B41,'PW_CMI GRADE 10'!$B$7:$B$31,'PW_CMI GRADE 10'!T$7:T$31,"",0,1)="P",1*$C41,0))</f>
        <v>0</v>
      </c>
      <c r="CW41" s="62" t="e">
        <f t="shared" si="19"/>
        <v>#REF!</v>
      </c>
      <c r="CX41" s="62" t="e">
        <f t="shared" si="20"/>
        <v>#REF!</v>
      </c>
      <c r="CY41" s="62" t="e">
        <f t="shared" si="21"/>
        <v>#REF!</v>
      </c>
      <c r="CZ41" s="62" t="e">
        <f t="shared" si="22"/>
        <v>#REF!</v>
      </c>
      <c r="DA41" s="62" t="e">
        <f t="shared" si="23"/>
        <v>#REF!</v>
      </c>
      <c r="DB41" s="62" t="e">
        <f t="shared" si="24"/>
        <v>#REF!</v>
      </c>
      <c r="DC41" s="62" t="e">
        <f t="shared" si="25"/>
        <v>#REF!</v>
      </c>
      <c r="DD41" s="62" t="e">
        <f t="shared" si="26"/>
        <v>#REF!</v>
      </c>
      <c r="DE41" s="62" t="e">
        <f t="shared" si="27"/>
        <v>#REF!</v>
      </c>
      <c r="DF41" s="62" t="e">
        <f t="shared" si="28"/>
        <v>#REF!</v>
      </c>
      <c r="DG41" s="62" t="e">
        <f t="shared" si="29"/>
        <v>#REF!</v>
      </c>
      <c r="DH41" s="62" t="e">
        <f t="shared" si="30"/>
        <v>#REF!</v>
      </c>
      <c r="DI41" s="62" t="e">
        <f t="shared" si="31"/>
        <v>#REF!</v>
      </c>
      <c r="DJ41" s="62" t="e">
        <f t="shared" si="32"/>
        <v>#REF!</v>
      </c>
      <c r="DK41" s="62" t="e">
        <f t="shared" si="33"/>
        <v>#REF!</v>
      </c>
      <c r="DL41" s="62" t="e">
        <f t="shared" si="34"/>
        <v>#REF!</v>
      </c>
      <c r="DM41" s="62" t="e">
        <f t="shared" si="35"/>
        <v>#REF!</v>
      </c>
      <c r="DN41" s="62" t="e">
        <f t="shared" si="36"/>
        <v>#REF!</v>
      </c>
      <c r="DO41" s="62" t="e">
        <f t="shared" si="37"/>
        <v>#REF!</v>
      </c>
      <c r="DP41" s="62" t="e">
        <f t="shared" si="38"/>
        <v>#REF!</v>
      </c>
      <c r="DQ41" s="62" t="e">
        <f t="shared" si="39"/>
        <v>#REF!</v>
      </c>
      <c r="DR41" s="62" t="e">
        <f t="shared" si="40"/>
        <v>#REF!</v>
      </c>
      <c r="DS41" s="62" t="e">
        <f t="shared" si="41"/>
        <v>#REF!</v>
      </c>
      <c r="DT41" s="62" t="e">
        <f t="shared" si="42"/>
        <v>#REF!</v>
      </c>
      <c r="DU41" s="62" t="e">
        <f t="shared" si="43"/>
        <v>#REF!</v>
      </c>
      <c r="DV41" s="62" t="e">
        <f t="shared" si="44"/>
        <v>#REF!</v>
      </c>
      <c r="DW41" s="62" t="e">
        <f t="shared" si="45"/>
        <v>#REF!</v>
      </c>
      <c r="DX41" s="62" t="e">
        <f t="shared" si="46"/>
        <v>#REF!</v>
      </c>
      <c r="DY41" s="62" t="e">
        <f t="shared" si="47"/>
        <v>#REF!</v>
      </c>
      <c r="DZ41" s="62" t="e">
        <f t="shared" si="48"/>
        <v>#REF!</v>
      </c>
      <c r="EA41" s="63">
        <f t="shared" si="68"/>
        <v>0</v>
      </c>
      <c r="EB41" s="63">
        <f t="shared" si="2"/>
        <v>0</v>
      </c>
      <c r="EC41" s="63">
        <f t="shared" si="3"/>
        <v>0</v>
      </c>
      <c r="ED41" s="63">
        <f t="shared" si="4"/>
        <v>0</v>
      </c>
      <c r="EE41" s="63">
        <f t="shared" si="5"/>
        <v>6.6666666666666666E-2</v>
      </c>
      <c r="EF41" s="63">
        <f t="shared" si="6"/>
        <v>0.13333333333333333</v>
      </c>
      <c r="EG41" s="63">
        <f t="shared" si="7"/>
        <v>0.13333333333333333</v>
      </c>
      <c r="EH41" s="63">
        <f t="shared" si="8"/>
        <v>0.13333333333333333</v>
      </c>
      <c r="EI41" s="63">
        <f t="shared" si="9"/>
        <v>0.13333333333333333</v>
      </c>
      <c r="EJ41" s="63">
        <f t="shared" si="10"/>
        <v>0.2</v>
      </c>
      <c r="EK41" s="63">
        <f t="shared" si="11"/>
        <v>0.13333333333333333</v>
      </c>
      <c r="EL41" s="63">
        <f t="shared" si="12"/>
        <v>6.6666666666666666E-2</v>
      </c>
      <c r="EM41" s="63">
        <f t="shared" si="13"/>
        <v>0</v>
      </c>
      <c r="EN41" s="63">
        <f t="shared" si="14"/>
        <v>0</v>
      </c>
      <c r="EO41" s="63">
        <f t="shared" si="15"/>
        <v>0</v>
      </c>
      <c r="EP41" s="63">
        <f t="shared" si="16"/>
        <v>0</v>
      </c>
      <c r="FU41" s="51">
        <v>46966</v>
      </c>
      <c r="FV41" t="s">
        <v>22</v>
      </c>
      <c r="FW41" t="s">
        <v>22</v>
      </c>
      <c r="FX41" t="s">
        <v>22</v>
      </c>
      <c r="FY41" t="s">
        <v>22</v>
      </c>
      <c r="FZ41" t="s">
        <v>22</v>
      </c>
      <c r="GA41" t="s">
        <v>22</v>
      </c>
      <c r="GB41" t="s">
        <v>22</v>
      </c>
      <c r="GC41" t="s">
        <v>22</v>
      </c>
      <c r="GD41" t="s">
        <v>22</v>
      </c>
      <c r="GE41" t="s">
        <v>22</v>
      </c>
      <c r="GF41" t="s">
        <v>22</v>
      </c>
      <c r="GG41" t="s">
        <v>22</v>
      </c>
      <c r="GH41" t="s">
        <v>22</v>
      </c>
      <c r="GI41" t="s">
        <v>22</v>
      </c>
      <c r="GJ41" t="s">
        <v>22</v>
      </c>
      <c r="GK41" t="s">
        <v>22</v>
      </c>
      <c r="GL41" t="s">
        <v>22</v>
      </c>
      <c r="GM41" t="s">
        <v>22</v>
      </c>
      <c r="GN41" t="s">
        <v>22</v>
      </c>
      <c r="GO41" t="s">
        <v>22</v>
      </c>
      <c r="GP41" t="s">
        <v>22</v>
      </c>
      <c r="GQ41" t="s">
        <v>22</v>
      </c>
      <c r="GR41" t="s">
        <v>22</v>
      </c>
      <c r="GS41" t="s">
        <v>22</v>
      </c>
      <c r="GT41" t="s">
        <v>22</v>
      </c>
      <c r="GU41" t="s">
        <v>22</v>
      </c>
      <c r="GV41" t="s">
        <v>22</v>
      </c>
      <c r="GW41" t="s">
        <v>22</v>
      </c>
      <c r="GX41" t="s">
        <v>22</v>
      </c>
      <c r="GY41" t="s">
        <v>22</v>
      </c>
      <c r="GZ41" t="s">
        <v>22</v>
      </c>
      <c r="HA41" t="s">
        <v>22</v>
      </c>
      <c r="HB41" t="s">
        <v>22</v>
      </c>
      <c r="HC41" t="s">
        <v>22</v>
      </c>
      <c r="HD41" t="s">
        <v>22</v>
      </c>
      <c r="HE41" t="s">
        <v>22</v>
      </c>
      <c r="HF41" t="s">
        <v>22</v>
      </c>
      <c r="HG41" t="s">
        <v>22</v>
      </c>
      <c r="HH41" t="s">
        <v>22</v>
      </c>
      <c r="HI41" t="s">
        <v>22</v>
      </c>
      <c r="HJ41" t="s">
        <v>22</v>
      </c>
      <c r="HK41" t="s">
        <v>22</v>
      </c>
      <c r="HL41" t="s">
        <v>22</v>
      </c>
      <c r="HM41" t="s">
        <v>22</v>
      </c>
      <c r="HN41" t="s">
        <v>22</v>
      </c>
      <c r="HO41" cm="1">
        <f t="array" ref="HO41">SUMPRODUCT(--(FV41:HN41&lt;&gt;""))</f>
        <v>0</v>
      </c>
    </row>
    <row r="42" spans="1:223">
      <c r="A42" t="str">
        <f t="shared" si="18"/>
        <v>6A.2</v>
      </c>
      <c r="B42" t="s">
        <v>73</v>
      </c>
      <c r="C42" s="27">
        <v>3</v>
      </c>
      <c r="D42" s="27">
        <v>2</v>
      </c>
      <c r="E42" s="31">
        <f>IF($D42=0,0,IF(_xlfn.XLOOKUP($B42,'TH_MLG GRADE 10'!$B$7:$B$49,'TH_MLG GRADE 10'!C$7:C$49,"",0,1)="P",1*$D42,0))</f>
        <v>2</v>
      </c>
      <c r="F42" s="31">
        <f>IF($D42=0,0,IF(_xlfn.XLOOKUP($B42,'TH_MLG GRADE 10'!$B$7:$B$49,'TH_MLG GRADE 10'!D$7:D$49,"",0,1)="P",1*$D42,0))</f>
        <v>2</v>
      </c>
      <c r="G42" s="31">
        <f>IF($D42=0,0,IF(_xlfn.XLOOKUP($B42,'TH_MLG GRADE 10'!$B$7:$B$49,'TH_MLG GRADE 10'!E$7:E$49,"",0,1)="P",1*$D42,0))</f>
        <v>0</v>
      </c>
      <c r="H42" s="31">
        <f>IF($D42=0,0,IF(_xlfn.XLOOKUP($B42,'TH_MLG GRADE 10'!$B$7:$B$49,'TH_MLG GRADE 10'!I$7:I$49,"",0,1)="P",1*$D42,0))</f>
        <v>2</v>
      </c>
      <c r="I42" s="31">
        <f>IF($D42=0,0,IF(_xlfn.XLOOKUP($B42,'TH_MLG GRADE 10'!$B$7:$B$49,'TH_MLG GRADE 10'!J$7:J$49,"",0,1)="P",1*$D42,0))</f>
        <v>2</v>
      </c>
      <c r="J42" s="31">
        <f>IF($D42=0,0,IF(_xlfn.XLOOKUP($B42,'TH_MLG GRADE 10'!$B$7:$B$49,'TH_MLG GRADE 10'!K$7:K$49,"",0,1)="P",1*$D42,0))</f>
        <v>2</v>
      </c>
      <c r="K42" s="31">
        <f>IF($D42=0,0,IF(_xlfn.XLOOKUP($B42,'TH_MLG GRADE 10'!$B$7:$B$49,'TH_MLG GRADE 10'!O$7:O$49,"",0,1)="P",1*$D42,0))</f>
        <v>0</v>
      </c>
      <c r="L42" s="31">
        <f>IF($D42=0,0,IF(_xlfn.XLOOKUP($B42,'TH_MLG GRADE 10'!$B$7:$B$49,'TH_MLG GRADE 10'!P$7:P$49,"",0,1)="P",1*$D42,0))</f>
        <v>0</v>
      </c>
      <c r="M42" s="31">
        <f>IF($D42=0,0,IF(_xlfn.XLOOKUP($B42,'TH_MLG GRADE 10'!$B$7:$B$49,'TH_MLG GRADE 10'!Q$7:Q$49,"",0,1)="P",1*$D42,0))</f>
        <v>0</v>
      </c>
      <c r="N42" s="31">
        <f>IF($D42=0,0,IF(_xlfn.XLOOKUP($B42,'TH_MLG GRADE 10'!$B$7:$B$49,'TH_MLG GRADE 10'!AA$7:AA$49,"",0,1)="P",1*$D42,0))</f>
        <v>0</v>
      </c>
      <c r="O42" s="31">
        <f>IF($D42=0,0,IF(_xlfn.XLOOKUP($B42,'TH_MLG GRADE 10'!$B$7:$B$49,'TH_MLG GRADE 10'!AB$7:AB$49,"",0,1)="P",1*$D42,0))</f>
        <v>0</v>
      </c>
      <c r="P42" s="31">
        <f>IF($D42=0,0,IF(_xlfn.XLOOKUP($B42,'TH_MLG GRADE 10'!$B$7:$B$49,'TH_MLG GRADE 10'!AC$7:AC$49,"",0,1)="P",1*$D42,0))</f>
        <v>0</v>
      </c>
      <c r="Q42" s="31">
        <f>IF($D42=0,0,IF(_xlfn.XLOOKUP($B42,'TH_MLG GRADE 10'!$B$7:$B$49,'TH_MLG GRADE 10'!AG$7:AG$49,"",0,1)="P",1*$D42,0))</f>
        <v>0</v>
      </c>
      <c r="R42" s="31">
        <f>IF($D42=0,0,IF(_xlfn.XLOOKUP($B42,'TH_MLG GRADE 10'!$B$7:$B$49,'TH_MLG GRADE 10'!AH$7:AH$49,"",0,1)="P",1*$D42,0))</f>
        <v>0</v>
      </c>
      <c r="S42" s="31">
        <f>IF($D42=0,0,IF(_xlfn.XLOOKUP($B42,'TH_MLG GRADE 10'!$B$7:$B$49,'TH_MLG GRADE 10'!AI$7:AI$49,"",0,1)="P",1*$D42,0))</f>
        <v>0</v>
      </c>
      <c r="T42" s="31">
        <f>IF($D42=0,0,IF(_xlfn.XLOOKUP($B42,'TH_MLG GRADE 10'!$B$7:$B$49,'TH_MLG GRADE 10'!AM$7:AM$49,"",0,1)="P",1*$D42,0))</f>
        <v>0</v>
      </c>
      <c r="U42" s="31">
        <f>IF($D42=0,0,IF(_xlfn.XLOOKUP($B42,'TH_MLG GRADE 10'!$B$7:$B$49,'TH_MLG GRADE 10'!AN$7:AN$49,"",0,1)="P",1*$D42,0))</f>
        <v>0</v>
      </c>
      <c r="V42" s="31">
        <f>IF($D42=0,0,IF(_xlfn.XLOOKUP($B42,'TH_MLG GRADE 10'!$B$7:$B$49,'TH_MLG GRADE 10'!AO$7:AO$49,"",0,1)="P",1*$D42,0))</f>
        <v>0</v>
      </c>
      <c r="W42" s="31">
        <f>IF($D42=0,0,IF(_xlfn.XLOOKUP($B42,'TH_MLG GRADE 10'!$B$7:$B$49,'TH_MLG GRADE 10'!AY$7:AY$49,"",0,1)="P",1*$D42,0))</f>
        <v>0</v>
      </c>
      <c r="X42" s="31">
        <f>IF($D42=0,0,IF(_xlfn.XLOOKUP($B42,'TH_MLG GRADE 10'!$B$7:$B$49,'TH_MLG GRADE 10'!AZ$7:AZ$49,"",0,1)="P",1*$D42,0))</f>
        <v>0</v>
      </c>
      <c r="Y42" s="31">
        <f>IF($D42=0,0,IF(_xlfn.XLOOKUP($B42,'TH_MLG GRADE 10'!$B$7:$B$49,'TH_MLG GRADE 10'!BA$7:BA$49,"",0,1)="P",1*$D42,0))</f>
        <v>0</v>
      </c>
      <c r="Z42" s="31">
        <f>IF($D42=0,0,IF(_xlfn.XLOOKUP($B42,'TH_MLG GRADE 10'!$B$7:$B$49,'TH_MLG GRADE 10'!BE$7:BE$49,"",0,1)="P",1*$D42,0))</f>
        <v>0</v>
      </c>
      <c r="AA42" s="31">
        <f>IF($D42=0,0,IF(_xlfn.XLOOKUP($B42,'TH_MLG GRADE 10'!$B$7:$B$49,'TH_MLG GRADE 10'!BF$7:BF$49,"",0,1)="P",1*$D42,0))</f>
        <v>0</v>
      </c>
      <c r="AB42" s="31">
        <f>IF($D42=0,0,IF(_xlfn.XLOOKUP($B42,'TH_MLG GRADE 10'!$B$7:$B$49,'TH_MLG GRADE 10'!BG$7:BG$49,"",0,1)="P",1*$D42,0))</f>
        <v>0</v>
      </c>
      <c r="AC42" s="31" t="e">
        <f>IF($D42=0,0,IF(_xlfn.XLOOKUP($B42,'TH_MLG GRADE 10'!$B$7:$B$49,'TH_MLG GRADE 10'!#REF!,"",0,1)="P",1*$D42,0))</f>
        <v>#REF!</v>
      </c>
      <c r="AD42" s="31" t="e">
        <f>IF($D42=0,0,IF(_xlfn.XLOOKUP($B42,'TH_MLG GRADE 10'!$B$7:$B$49,'TH_MLG GRADE 10'!#REF!,"",0,1)="P",1*$D42,0))</f>
        <v>#REF!</v>
      </c>
      <c r="AE42" s="31" t="e">
        <f>IF($D42=0,0,IF(_xlfn.XLOOKUP($B42,'TH_MLG GRADE 10'!$B$7:$B$49,'TH_MLG GRADE 10'!#REF!,"",0,1)="P",1*$D42,0))</f>
        <v>#REF!</v>
      </c>
      <c r="AF42" s="31" t="e">
        <f>IF($D42=0,0,IF(_xlfn.XLOOKUP($B42,'TH_MLG GRADE 10'!$B$7:$B$49,'TH_MLG GRADE 10'!#REF!,"",0,1)="P",1*$D42,0))</f>
        <v>#REF!</v>
      </c>
      <c r="AG42" s="31" t="e">
        <f>IF($D42=0,0,IF(_xlfn.XLOOKUP($B42,'TH_MLG GRADE 10'!$B$7:$B$49,'TH_MLG GRADE 10'!#REF!,"",0,1)="P",1*$D42,0))</f>
        <v>#REF!</v>
      </c>
      <c r="AH42" s="31" t="e">
        <f>IF($D42=0,0,IF(_xlfn.XLOOKUP($B42,'TH_MLG GRADE 10'!$B$7:$B$49,'TH_MLG GRADE 10'!#REF!,"",0,1)="P",1*$D42,0))</f>
        <v>#REF!</v>
      </c>
      <c r="AI42" s="32">
        <f>IF($D42=0,0,IF(_xlfn.XLOOKUP($B42,'TH_CMI GRADE 10'!$B$7:$B$49,'TH_CMI GRADE 10'!C$7:C$49,"",0,1)="P",1*$D42,0))</f>
        <v>0</v>
      </c>
      <c r="AJ42" s="32">
        <f>IF($D42=0,0,IF(_xlfn.XLOOKUP($B42,'TH_CMI GRADE 10'!$B$7:$B$49,'TH_CMI GRADE 10'!D$7:D$49,"",0,1)="P",1*$D42,0))</f>
        <v>0</v>
      </c>
      <c r="AK42" s="32">
        <f>IF($D42=0,0,IF(_xlfn.XLOOKUP($B42,'TH_CMI GRADE 10'!$B$7:$B$49,'TH_CMI GRADE 10'!H$7:H$49,"",0,1)="P",1*$D42,0))</f>
        <v>0</v>
      </c>
      <c r="AL42" s="32">
        <f>IF($D42=0,0,IF(_xlfn.XLOOKUP($B42,'TH_CMI GRADE 10'!$B$7:$B$49,'TH_CMI GRADE 10'!I$7:I$49,"",0,1)="P",1*$D42,0))</f>
        <v>0</v>
      </c>
      <c r="AM42" s="32">
        <f>IF($D42=0,0,IF(_xlfn.XLOOKUP($B42,'TH_CMI GRADE 10'!$B$7:$B$49,'TH_CMI GRADE 10'!J$7:J$49,"",0,1)="P",1*$D42,0))</f>
        <v>0</v>
      </c>
      <c r="AN42" s="32">
        <f>IF($D42=0,0,IF(_xlfn.XLOOKUP($B42,'TH_CMI GRADE 10'!$B$7:$B$49,'TH_CMI GRADE 10'!K$7:K$49,"",0,1)="P",1*$D42,0))</f>
        <v>0</v>
      </c>
      <c r="AO42" s="32">
        <f>IF($D42=0,0,IF(_xlfn.XLOOKUP($B42,'TH_CMI GRADE 10'!$B$7:$B$49,'TH_CMI GRADE 10'!O$7:O$49,"",0,1)="P",1*$D42,0))</f>
        <v>2</v>
      </c>
      <c r="AP42" s="32">
        <f>IF($D42=0,0,IF(_xlfn.XLOOKUP($B42,'TH_CMI GRADE 10'!$B$7:$B$49,'TH_CMI GRADE 10'!P$7:P$49,"",0,1)="P",1*$D42,0))</f>
        <v>2</v>
      </c>
      <c r="AQ42" s="32">
        <f>IF($D42=0,0,IF(_xlfn.XLOOKUP($B42,'TH_CMI GRADE 10'!$B$7:$B$49,'TH_CMI GRADE 10'!Q$7:Q$49,"",0,1)="P",1*$D42,0))</f>
        <v>2</v>
      </c>
      <c r="AR42" s="32">
        <f>IF($D42=0,0,IF(_xlfn.XLOOKUP($B42,'TH_CMI GRADE 10'!$B$7:$B$49,'TH_CMI GRADE 10'!U$7:U$49,"",0,1)="P",1*$D42,0))</f>
        <v>2</v>
      </c>
      <c r="AS42" s="32">
        <f>IF($D42=0,0,IF(_xlfn.XLOOKUP($B42,'TH_CMI GRADE 10'!$B$7:$B$49,'TH_CMI GRADE 10'!V$7:V$49,"",0,1)="P",1*$D42,0))</f>
        <v>2</v>
      </c>
      <c r="AT42" s="32">
        <f>IF($D42=0,0,IF(_xlfn.XLOOKUP($B42,'TH_CMI GRADE 10'!$B$7:$B$49,'TH_CMI GRADE 10'!W$7:W$49,"",0,1)="P",1*$D42,0))</f>
        <v>2</v>
      </c>
      <c r="AU42" s="32">
        <f>IF($D42=0,0,IF(_xlfn.XLOOKUP($B42,'TH_CMI GRADE 10'!$B$7:$B$49,'TH_CMI GRADE 10'!AA$7:AA$49,"",0,1)="P",1*$D42,0))</f>
        <v>0</v>
      </c>
      <c r="AV42" s="32">
        <f>IF($D42=0,0,IF(_xlfn.XLOOKUP($B42,'TH_CMI GRADE 10'!$B$7:$B$49,'TH_CMI GRADE 10'!AB$7:AB$49,"",0,1)="P",1*$D42,0))</f>
        <v>0</v>
      </c>
      <c r="AW42" s="32">
        <f>IF($D42=0,0,IF(_xlfn.XLOOKUP($B42,'TH_CMI GRADE 10'!$B$7:$B$49,'TH_CMI GRADE 10'!AC$7:AC$49,"",0,1)="P",1*$D42,0))</f>
        <v>0</v>
      </c>
      <c r="AX42" s="32">
        <f>IF($D42=0,0,IF(_xlfn.XLOOKUP($B42,'TH_CMI GRADE 10'!$B$7:$B$49,'TH_CMI GRADE 10'!AG$7:AG$49,"",0,1)="P",1*$D42,0))</f>
        <v>0</v>
      </c>
      <c r="AY42" s="32">
        <f>IF($D42=0,0,IF(_xlfn.XLOOKUP($B42,'TH_CMI GRADE 10'!$B$7:$B$49,'TH_CMI GRADE 10'!AH$7:AH$49,"",0,1)="P",1*$D42,0))</f>
        <v>0</v>
      </c>
      <c r="AZ42" s="32">
        <f>IF($D42=0,0,IF(_xlfn.XLOOKUP($B42,'TH_CMI GRADE 10'!$B$7:$B$49,'TH_CMI GRADE 10'!AI$7:AI$49,"",0,1)="P",1*$D42,0))</f>
        <v>0</v>
      </c>
      <c r="BA42" s="31" t="e">
        <f>IF($C42=0,0,IF(_xlfn.XLOOKUP($B42,'PW_MLG GRADE 10'!$B$7:$B$31,'PW_MLG GRADE 10'!#REF!,"",0,1)="P",1*$C42,0))</f>
        <v>#REF!</v>
      </c>
      <c r="BB42" s="31" t="e">
        <f>IF($C42=0,0,IF(_xlfn.XLOOKUP($B42,'PW_MLG GRADE 10'!$B$7:$B$31,'PW_MLG GRADE 10'!#REF!,"",0,1)="P",1*$C42,0))</f>
        <v>#REF!</v>
      </c>
      <c r="BC42" s="31" t="e">
        <f>IF($C42=0,0,IF(_xlfn.XLOOKUP($B42,'PW_MLG GRADE 10'!$B$7:$B$31,'PW_MLG GRADE 10'!#REF!,"",0,1)="P",1*$C42,0))</f>
        <v>#REF!</v>
      </c>
      <c r="BD42" s="31" t="e">
        <f>IF($C42=0,0,IF(_xlfn.XLOOKUP($B42,'PW_MLG GRADE 10'!$B$7:$B$31,'PW_MLG GRADE 10'!#REF!,"",0,1)="P",1*$C42,0))</f>
        <v>#REF!</v>
      </c>
      <c r="BE42" s="31" t="e">
        <f>IF($C42=0,0,IF(_xlfn.XLOOKUP($B42,'PW_MLG GRADE 10'!$B$7:$B$31,'PW_MLG GRADE 10'!#REF!,"",0,1)="P",1*$C42,0))</f>
        <v>#REF!</v>
      </c>
      <c r="BF42" s="31" t="e">
        <f>IF($C42=0,0,IF(_xlfn.XLOOKUP($B42,'PW_MLG GRADE 10'!$B$7:$B$31,'PW_MLG GRADE 10'!#REF!,"",0,1)="P",1*$C42,0))</f>
        <v>#REF!</v>
      </c>
      <c r="BG42" s="31" t="e">
        <f>IF($C42=0,0,IF(_xlfn.XLOOKUP($B42,'PW_MLG GRADE 10'!$B$7:$B$31,'PW_MLG GRADE 10'!#REF!,"",0,1)="P",1*$C42,0))</f>
        <v>#REF!</v>
      </c>
      <c r="BH42" s="31" t="e">
        <f>IF($C42=0,0,IF(_xlfn.XLOOKUP($B42,'PW_MLG GRADE 10'!$B$7:$B$31,'PW_MLG GRADE 10'!#REF!,"",0,1)="P",1*$C42,0))</f>
        <v>#REF!</v>
      </c>
      <c r="BI42" s="31" t="e">
        <f>IF($C42=0,0,IF(_xlfn.XLOOKUP($B42,'PW_MLG GRADE 10'!$B$7:$B$31,'PW_MLG GRADE 10'!#REF!,"",0,1)="P",1*$C42,0))</f>
        <v>#REF!</v>
      </c>
      <c r="BJ42" s="31" t="e">
        <f>IF($C42=0,0,IF(_xlfn.XLOOKUP($B42,'PW_MLG GRADE 10'!$B$7:$B$31,'PW_MLG GRADE 10'!#REF!,"",0,1)="P",1*$C42,0))</f>
        <v>#REF!</v>
      </c>
      <c r="BK42" s="31" t="e">
        <f>IF($C42=0,0,IF(_xlfn.XLOOKUP($B42,'PW_MLG GRADE 10'!$B$7:$B$31,'PW_MLG GRADE 10'!#REF!,"",0,1)="P",1*$C42,0))</f>
        <v>#REF!</v>
      </c>
      <c r="BL42" s="31" t="e">
        <f>IF($C42=0,0,IF(_xlfn.XLOOKUP($B42,'PW_MLG GRADE 10'!$B$7:$B$31,'PW_MLG GRADE 10'!#REF!,"",0,1)="P",1*$C42,0))</f>
        <v>#REF!</v>
      </c>
      <c r="BM42" s="31" t="e">
        <f>IF($C42=0,0,IF(_xlfn.XLOOKUP($B42,'PW_MLG GRADE 10'!$B$7:$B$31,'PW_MLG GRADE 10'!#REF!,"",0,1)="P",1*$C42,0))</f>
        <v>#REF!</v>
      </c>
      <c r="BN42" s="31" t="e">
        <f>IF($C42=0,0,IF(_xlfn.XLOOKUP($B42,'PW_MLG GRADE 10'!$B$7:$B$31,'PW_MLG GRADE 10'!#REF!,"",0,1)="P",1*$C42,0))</f>
        <v>#REF!</v>
      </c>
      <c r="BO42" s="31" t="e">
        <f>IF($C42=0,0,IF(_xlfn.XLOOKUP($B42,'PW_MLG GRADE 10'!$B$7:$B$31,'PW_MLG GRADE 10'!#REF!,"",0,1)="P",1*$C42,0))</f>
        <v>#REF!</v>
      </c>
      <c r="BP42" s="31" t="e">
        <f>IF($C42=0,0,IF(_xlfn.XLOOKUP($B42,'PW_MLG GRADE 10'!$B$7:$B$31,'PW_MLG GRADE 10'!#REF!,"",0,1)="P",1*$C42,0))</f>
        <v>#REF!</v>
      </c>
      <c r="BQ42" s="31" t="e">
        <f>IF($C42=0,0,IF(_xlfn.XLOOKUP($B42,'PW_MLG GRADE 10'!$B$7:$B$31,'PW_MLG GRADE 10'!#REF!,"",0,1)="P",1*$C42,0))</f>
        <v>#REF!</v>
      </c>
      <c r="BR42" s="31" t="e">
        <f>IF($C42=0,0,IF(_xlfn.XLOOKUP($B42,'PW_MLG GRADE 10'!$B$7:$B$31,'PW_MLG GRADE 10'!#REF!,"",0,1)="P",1*$C42,0))</f>
        <v>#REF!</v>
      </c>
      <c r="BS42" s="31" t="e">
        <f>IF($C42=0,0,IF(_xlfn.XLOOKUP($B42,'PW_MLG GRADE 10'!$B$7:$B$31,'PW_MLG GRADE 10'!#REF!,"",0,1)="P",1*$C42,0))</f>
        <v>#REF!</v>
      </c>
      <c r="BT42" s="31" t="e">
        <f>IF($C42=0,0,IF(_xlfn.XLOOKUP($B42,'PW_MLG GRADE 10'!$B$7:$B$31,'PW_MLG GRADE 10'!#REF!,"",0,1)="P",1*$C42,0))</f>
        <v>#REF!</v>
      </c>
      <c r="BU42" s="31" t="e">
        <f>IF($C42=0,0,IF(_xlfn.XLOOKUP($B42,'PW_MLG GRADE 10'!$B$7:$B$31,'PW_MLG GRADE 10'!#REF!,"",0,1)="P",1*$C42,0))</f>
        <v>#REF!</v>
      </c>
      <c r="BV42" s="31" t="e">
        <f>IF($C42=0,0,IF(_xlfn.XLOOKUP($B42,'PW_MLG GRADE 10'!$B$7:$B$31,'PW_MLG GRADE 10'!#REF!,"",0,1)="P",1*$C42,0))</f>
        <v>#REF!</v>
      </c>
      <c r="BW42" s="31" t="e">
        <f>IF($C42=0,0,IF(_xlfn.XLOOKUP($B42,'PW_MLG GRADE 10'!$B$7:$B$31,'PW_MLG GRADE 10'!#REF!,"",0,1)="P",1*$C42,0))</f>
        <v>#REF!</v>
      </c>
      <c r="BX42" s="31" t="e">
        <f>IF($C42=0,0,IF(_xlfn.XLOOKUP($B42,'PW_MLG GRADE 10'!$B$7:$B$31,'PW_MLG GRADE 10'!#REF!,"",0,1)="P",1*$C42,0))</f>
        <v>#REF!</v>
      </c>
      <c r="BY42" s="31" t="e">
        <f>IF($C42=0,0,IF(_xlfn.XLOOKUP($B42,'PW_MLG GRADE 10'!$B$7:$B$31,'PW_MLG GRADE 10'!#REF!,"",0,1)="P",1*$C42,0))</f>
        <v>#REF!</v>
      </c>
      <c r="BZ42" s="31" t="e">
        <f>IF($C42=0,0,IF(_xlfn.XLOOKUP($B42,'PW_MLG GRADE 10'!$B$7:$B$31,'PW_MLG GRADE 10'!#REF!,"",0,1)="P",1*$C42,0))</f>
        <v>#REF!</v>
      </c>
      <c r="CA42" s="31" t="e">
        <f>IF($C42=0,0,IF(_xlfn.XLOOKUP($B42,'PW_MLG GRADE 10'!$B$7:$B$31,'PW_MLG GRADE 10'!#REF!,"",0,1)="P",1*$C42,0))</f>
        <v>#REF!</v>
      </c>
      <c r="CB42" s="31" t="e">
        <f>IF($C42=0,0,IF(_xlfn.XLOOKUP($B42,'PW_MLG GRADE 10'!$B$7:$B$31,'PW_MLG GRADE 10'!#REF!,"",0,1)="P",1*$C42,0))</f>
        <v>#REF!</v>
      </c>
      <c r="CC42" s="31" t="e">
        <f>IF($C42=0,0,IF(_xlfn.XLOOKUP($B42,'PW_MLG GRADE 10'!$B$7:$B$31,'PW_MLG GRADE 10'!#REF!,"",0,1)="P",1*$C42,0))</f>
        <v>#REF!</v>
      </c>
      <c r="CD42" s="31" t="e">
        <f>IF($C42=0,0,IF(_xlfn.XLOOKUP($B42,'PW_MLG GRADE 10'!$B$7:$B$31,'PW_MLG GRADE 10'!#REF!,"",0,1)="P",1*$C42,0))</f>
        <v>#REF!</v>
      </c>
      <c r="CE42" s="32">
        <f>IF($C42=0,0,IF(_xlfn.XLOOKUP($B42,'PW_CMI GRADE 10'!$B$7:$B$31,'PW_CMI GRADE 10'!C$7:C$31,"",0,1)="P",1*$C42,0))</f>
        <v>0</v>
      </c>
      <c r="CF42" s="32">
        <f>IF($C42=0,0,IF(_xlfn.XLOOKUP($B42,'PW_CMI GRADE 10'!$B$7:$B$31,'PW_CMI GRADE 10'!D$7:D$31,"",0,1)="P",1*$C42,0))</f>
        <v>0</v>
      </c>
      <c r="CG42" s="32">
        <f>IF($C42=0,0,IF(_xlfn.XLOOKUP($B42,'PW_CMI GRADE 10'!$B$7:$B$31,'PW_CMI GRADE 10'!E$7:E$31,"",0,1)="P",1*$C42,0))</f>
        <v>0</v>
      </c>
      <c r="CH42" s="32">
        <f>IF($C42=0,0,IF(_xlfn.XLOOKUP($B42,'PW_CMI GRADE 10'!$B$7:$B$31,'PW_CMI GRADE 10'!F$7:F$31,"",0,1)="P",1*$C42,0))</f>
        <v>0</v>
      </c>
      <c r="CI42" s="32">
        <f>IF($C42=0,0,IF(_xlfn.XLOOKUP($B42,'PW_CMI GRADE 10'!$B$7:$B$31,'PW_CMI GRADE 10'!G$7:G$31,"",0,1)="P",1*$C42,0))</f>
        <v>0</v>
      </c>
      <c r="CJ42" s="32">
        <f>IF($C42=0,0,IF(_xlfn.XLOOKUP($B42,'PW_CMI GRADE 10'!$B$7:$B$31,'PW_CMI GRADE 10'!H$7:H$31,"",0,1)="P",1*$C42,0))</f>
        <v>0</v>
      </c>
      <c r="CK42" s="32">
        <f>IF($C42=0,0,IF(_xlfn.XLOOKUP($B42,'PW_CMI GRADE 10'!$B$7:$B$31,'PW_CMI GRADE 10'!I$7:I$31,"",0,1)="P",1*$C42,0))</f>
        <v>0</v>
      </c>
      <c r="CL42" s="32">
        <f>IF($C42=0,0,IF(_xlfn.XLOOKUP($B42,'PW_CMI GRADE 10'!$B$7:$B$31,'PW_CMI GRADE 10'!J$7:J$31,"",0,1)="P",1*$C42,0))</f>
        <v>0</v>
      </c>
      <c r="CM42" s="32">
        <f>IF($C42=0,0,IF(_xlfn.XLOOKUP($B42,'PW_CMI GRADE 10'!$B$7:$B$31,'PW_CMI GRADE 10'!K$7:K$31,"",0,1)="P",1*$C42,0))</f>
        <v>0</v>
      </c>
      <c r="CN42" s="32">
        <f>IF($C42=0,0,IF(_xlfn.XLOOKUP($B42,'PW_CMI GRADE 10'!$B$7:$B$31,'PW_CMI GRADE 10'!L$7:L$31,"",0,1)="P",1*$C42,0))</f>
        <v>0</v>
      </c>
      <c r="CO42" s="32">
        <f>IF($C42=0,0,IF(_xlfn.XLOOKUP($B42,'PW_CMI GRADE 10'!$B$7:$B$31,'PW_CMI GRADE 10'!M$7:M$31,"",0,1)="P",1*$C42,0))</f>
        <v>0</v>
      </c>
      <c r="CP42" s="32">
        <f>IF($C42=0,0,IF(_xlfn.XLOOKUP($B42,'PW_CMI GRADE 10'!$B$7:$B$31,'PW_CMI GRADE 10'!N$7:N$31,"",0,1)="P",1*$C42,0))</f>
        <v>0</v>
      </c>
      <c r="CQ42" s="32">
        <f>IF($C42=0,0,IF(_xlfn.XLOOKUP($B42,'PW_CMI GRADE 10'!$B$7:$B$31,'PW_CMI GRADE 10'!O$7:O$31,"",0,1)="P",1*$C42,0))</f>
        <v>0</v>
      </c>
      <c r="CR42" s="32">
        <f>IF($C42=0,0,IF(_xlfn.XLOOKUP($B42,'PW_CMI GRADE 10'!$B$7:$B$31,'PW_CMI GRADE 10'!P$7:P$31,"",0,1)="P",1*$C42,0))</f>
        <v>0</v>
      </c>
      <c r="CS42" s="32">
        <f>IF($C42=0,0,IF(_xlfn.XLOOKUP($B42,'PW_CMI GRADE 10'!$B$7:$B$31,'PW_CMI GRADE 10'!Q$7:Q$31,"",0,1)="P",1*$C42,0))</f>
        <v>0</v>
      </c>
      <c r="CT42" s="32">
        <f>IF($C42=0,0,IF(_xlfn.XLOOKUP($B42,'PW_CMI GRADE 10'!$B$7:$B$31,'PW_CMI GRADE 10'!R$7:R$31,"",0,1)="P",1*$C42,0))</f>
        <v>0</v>
      </c>
      <c r="CU42" s="32">
        <f>IF($C42=0,0,IF(_xlfn.XLOOKUP($B42,'PW_CMI GRADE 10'!$B$7:$B$31,'PW_CMI GRADE 10'!S$7:S$31,"",0,1)="P",1*$C42,0))</f>
        <v>0</v>
      </c>
      <c r="CV42" s="32">
        <f>IF($C42=0,0,IF(_xlfn.XLOOKUP($B42,'PW_CMI GRADE 10'!$B$7:$B$31,'PW_CMI GRADE 10'!T$7:T$31,"",0,1)="P",1*$C42,0))</f>
        <v>0</v>
      </c>
      <c r="CW42" s="62" t="e">
        <f t="shared" si="19"/>
        <v>#REF!</v>
      </c>
      <c r="CX42" s="62" t="e">
        <f t="shared" si="20"/>
        <v>#REF!</v>
      </c>
      <c r="CY42" s="62" t="e">
        <f t="shared" si="21"/>
        <v>#REF!</v>
      </c>
      <c r="CZ42" s="62" t="e">
        <f t="shared" si="22"/>
        <v>#REF!</v>
      </c>
      <c r="DA42" s="62" t="e">
        <f t="shared" si="23"/>
        <v>#REF!</v>
      </c>
      <c r="DB42" s="62" t="e">
        <f t="shared" si="24"/>
        <v>#REF!</v>
      </c>
      <c r="DC42" s="62" t="e">
        <f t="shared" si="25"/>
        <v>#REF!</v>
      </c>
      <c r="DD42" s="62" t="e">
        <f t="shared" si="26"/>
        <v>#REF!</v>
      </c>
      <c r="DE42" s="62" t="e">
        <f t="shared" si="27"/>
        <v>#REF!</v>
      </c>
      <c r="DF42" s="62" t="e">
        <f t="shared" si="28"/>
        <v>#REF!</v>
      </c>
      <c r="DG42" s="62" t="e">
        <f t="shared" si="29"/>
        <v>#REF!</v>
      </c>
      <c r="DH42" s="62" t="e">
        <f t="shared" si="30"/>
        <v>#REF!</v>
      </c>
      <c r="DI42" s="62" t="e">
        <f t="shared" si="31"/>
        <v>#REF!</v>
      </c>
      <c r="DJ42" s="62" t="e">
        <f t="shared" si="32"/>
        <v>#REF!</v>
      </c>
      <c r="DK42" s="62" t="e">
        <f t="shared" si="33"/>
        <v>#REF!</v>
      </c>
      <c r="DL42" s="62" t="e">
        <f t="shared" si="34"/>
        <v>#REF!</v>
      </c>
      <c r="DM42" s="62" t="e">
        <f t="shared" si="35"/>
        <v>#REF!</v>
      </c>
      <c r="DN42" s="62" t="e">
        <f t="shared" si="36"/>
        <v>#REF!</v>
      </c>
      <c r="DO42" s="62" t="e">
        <f t="shared" si="37"/>
        <v>#REF!</v>
      </c>
      <c r="DP42" s="62" t="e">
        <f t="shared" si="38"/>
        <v>#REF!</v>
      </c>
      <c r="DQ42" s="62" t="e">
        <f t="shared" si="39"/>
        <v>#REF!</v>
      </c>
      <c r="DR42" s="62" t="e">
        <f t="shared" si="40"/>
        <v>#REF!</v>
      </c>
      <c r="DS42" s="62" t="e">
        <f t="shared" si="41"/>
        <v>#REF!</v>
      </c>
      <c r="DT42" s="62" t="e">
        <f t="shared" si="42"/>
        <v>#REF!</v>
      </c>
      <c r="DU42" s="62" t="e">
        <f t="shared" si="43"/>
        <v>#REF!</v>
      </c>
      <c r="DV42" s="62" t="e">
        <f t="shared" si="44"/>
        <v>#REF!</v>
      </c>
      <c r="DW42" s="62" t="e">
        <f t="shared" si="45"/>
        <v>#REF!</v>
      </c>
      <c r="DX42" s="62" t="e">
        <f t="shared" si="46"/>
        <v>#REF!</v>
      </c>
      <c r="DY42" s="62" t="e">
        <f t="shared" si="47"/>
        <v>#REF!</v>
      </c>
      <c r="DZ42" s="62" t="e">
        <f t="shared" si="48"/>
        <v>#REF!</v>
      </c>
      <c r="EA42" s="63">
        <f t="shared" si="68"/>
        <v>0</v>
      </c>
      <c r="EB42" s="63">
        <f t="shared" si="2"/>
        <v>0</v>
      </c>
      <c r="EC42" s="63">
        <f t="shared" si="3"/>
        <v>0</v>
      </c>
      <c r="ED42" s="63">
        <f t="shared" si="4"/>
        <v>0</v>
      </c>
      <c r="EE42" s="63">
        <f t="shared" si="5"/>
        <v>0.13333333333333333</v>
      </c>
      <c r="EF42" s="63">
        <f t="shared" si="6"/>
        <v>0.26666666666666666</v>
      </c>
      <c r="EG42" s="63">
        <f t="shared" si="7"/>
        <v>0.4</v>
      </c>
      <c r="EH42" s="63">
        <f t="shared" si="8"/>
        <v>0.4</v>
      </c>
      <c r="EI42" s="63">
        <f t="shared" si="9"/>
        <v>0.4</v>
      </c>
      <c r="EJ42" s="63">
        <f t="shared" si="10"/>
        <v>0.4</v>
      </c>
      <c r="EK42" s="63">
        <f t="shared" si="11"/>
        <v>0.26666666666666666</v>
      </c>
      <c r="EL42" s="63">
        <f t="shared" si="12"/>
        <v>0.13333333333333333</v>
      </c>
      <c r="EM42" s="63">
        <f t="shared" si="13"/>
        <v>0</v>
      </c>
      <c r="EN42" s="63">
        <f t="shared" si="14"/>
        <v>0</v>
      </c>
      <c r="EO42" s="63">
        <f t="shared" si="15"/>
        <v>0</v>
      </c>
      <c r="EP42" s="63">
        <f t="shared" si="16"/>
        <v>0</v>
      </c>
      <c r="FU42" s="51">
        <v>46997</v>
      </c>
      <c r="FV42" t="s">
        <v>22</v>
      </c>
      <c r="FW42" t="s">
        <v>22</v>
      </c>
      <c r="FX42" t="s">
        <v>22</v>
      </c>
      <c r="FY42" t="s">
        <v>22</v>
      </c>
      <c r="FZ42" t="s">
        <v>22</v>
      </c>
      <c r="GA42" t="s">
        <v>22</v>
      </c>
      <c r="GB42" t="s">
        <v>22</v>
      </c>
      <c r="GC42" t="s">
        <v>22</v>
      </c>
      <c r="GD42" t="s">
        <v>22</v>
      </c>
      <c r="GE42" t="s">
        <v>22</v>
      </c>
      <c r="GF42" t="s">
        <v>22</v>
      </c>
      <c r="GG42" t="s">
        <v>22</v>
      </c>
      <c r="GH42" t="s">
        <v>22</v>
      </c>
      <c r="GI42" t="s">
        <v>22</v>
      </c>
      <c r="GJ42" t="s">
        <v>22</v>
      </c>
      <c r="GK42" t="s">
        <v>22</v>
      </c>
      <c r="GL42" t="s">
        <v>22</v>
      </c>
      <c r="GM42" t="s">
        <v>22</v>
      </c>
      <c r="GN42" t="s">
        <v>22</v>
      </c>
      <c r="GO42" t="s">
        <v>22</v>
      </c>
      <c r="GP42" t="s">
        <v>22</v>
      </c>
      <c r="GQ42" t="s">
        <v>22</v>
      </c>
      <c r="GR42" t="s">
        <v>22</v>
      </c>
      <c r="GS42" t="s">
        <v>22</v>
      </c>
      <c r="GT42" t="s">
        <v>22</v>
      </c>
      <c r="GU42" t="s">
        <v>22</v>
      </c>
      <c r="GV42" t="s">
        <v>22</v>
      </c>
      <c r="GW42" t="s">
        <v>22</v>
      </c>
      <c r="GX42" t="s">
        <v>22</v>
      </c>
      <c r="GY42" t="s">
        <v>22</v>
      </c>
      <c r="GZ42" t="s">
        <v>22</v>
      </c>
      <c r="HA42" t="s">
        <v>22</v>
      </c>
      <c r="HB42" t="s">
        <v>22</v>
      </c>
      <c r="HC42" t="s">
        <v>22</v>
      </c>
      <c r="HD42" t="s">
        <v>22</v>
      </c>
      <c r="HE42" t="s">
        <v>22</v>
      </c>
      <c r="HF42" t="s">
        <v>22</v>
      </c>
      <c r="HG42" t="s">
        <v>22</v>
      </c>
      <c r="HH42" t="s">
        <v>22</v>
      </c>
      <c r="HI42" t="s">
        <v>22</v>
      </c>
      <c r="HJ42" t="s">
        <v>22</v>
      </c>
      <c r="HK42" t="s">
        <v>22</v>
      </c>
      <c r="HL42" t="s">
        <v>22</v>
      </c>
      <c r="HM42" t="s">
        <v>22</v>
      </c>
      <c r="HN42" t="s">
        <v>22</v>
      </c>
      <c r="HO42" cm="1">
        <f t="array" ref="HO42">SUMPRODUCT(--(FV42:HN42&lt;&gt;""))</f>
        <v>0</v>
      </c>
    </row>
    <row r="43" spans="1:223">
      <c r="A43" t="str">
        <f t="shared" si="18"/>
        <v>7A.1</v>
      </c>
      <c r="B43" t="s">
        <v>74</v>
      </c>
      <c r="C43" s="28"/>
      <c r="D43" s="29">
        <v>2</v>
      </c>
      <c r="E43" s="31">
        <f>IF($D43=0,0,IF(_xlfn.XLOOKUP($B43,'TH_MLG GRADE 10'!$B$7:$B$49,'TH_MLG GRADE 10'!C$7:C$49,"",0,1)="P",1*$D43,0))</f>
        <v>0</v>
      </c>
      <c r="F43" s="31">
        <f>IF($D43=0,0,IF(_xlfn.XLOOKUP($B43,'TH_MLG GRADE 10'!$B$7:$B$49,'TH_MLG GRADE 10'!D$7:D$49,"",0,1)="P",1*$D43,0))</f>
        <v>0</v>
      </c>
      <c r="G43" s="31">
        <f>IF($D43=0,0,IF(_xlfn.XLOOKUP($B43,'TH_MLG GRADE 10'!$B$7:$B$49,'TH_MLG GRADE 10'!E$7:E$49,"",0,1)="P",1*$D43,0))</f>
        <v>0</v>
      </c>
      <c r="H43" s="31">
        <f>IF($D43=0,0,IF(_xlfn.XLOOKUP($B43,'TH_MLG GRADE 10'!$B$7:$B$49,'TH_MLG GRADE 10'!I$7:I$49,"",0,1)="P",1*$D43,0))</f>
        <v>0</v>
      </c>
      <c r="I43" s="31">
        <f>IF($D43=0,0,IF(_xlfn.XLOOKUP($B43,'TH_MLG GRADE 10'!$B$7:$B$49,'TH_MLG GRADE 10'!J$7:J$49,"",0,1)="P",1*$D43,0))</f>
        <v>0</v>
      </c>
      <c r="J43" s="31">
        <f>IF($D43=0,0,IF(_xlfn.XLOOKUP($B43,'TH_MLG GRADE 10'!$B$7:$B$49,'TH_MLG GRADE 10'!K$7:K$49,"",0,1)="P",1*$D43,0))</f>
        <v>0</v>
      </c>
      <c r="K43" s="31">
        <f>IF($D43=0,0,IF(_xlfn.XLOOKUP($B43,'TH_MLG GRADE 10'!$B$7:$B$49,'TH_MLG GRADE 10'!O$7:O$49,"",0,1)="P",1*$D43,0))</f>
        <v>0</v>
      </c>
      <c r="L43" s="31">
        <f>IF($D43=0,0,IF(_xlfn.XLOOKUP($B43,'TH_MLG GRADE 10'!$B$7:$B$49,'TH_MLG GRADE 10'!P$7:P$49,"",0,1)="P",1*$D43,0))</f>
        <v>0</v>
      </c>
      <c r="M43" s="31">
        <f>IF($D43=0,0,IF(_xlfn.XLOOKUP($B43,'TH_MLG GRADE 10'!$B$7:$B$49,'TH_MLG GRADE 10'!Q$7:Q$49,"",0,1)="P",1*$D43,0))</f>
        <v>0</v>
      </c>
      <c r="N43" s="31">
        <f>IF($D43=0,0,IF(_xlfn.XLOOKUP($B43,'TH_MLG GRADE 10'!$B$7:$B$49,'TH_MLG GRADE 10'!AA$7:AA$49,"",0,1)="P",1*$D43,0))</f>
        <v>0</v>
      </c>
      <c r="O43" s="31">
        <f>IF($D43=0,0,IF(_xlfn.XLOOKUP($B43,'TH_MLG GRADE 10'!$B$7:$B$49,'TH_MLG GRADE 10'!AB$7:AB$49,"",0,1)="P",1*$D43,0))</f>
        <v>0</v>
      </c>
      <c r="P43" s="31">
        <f>IF($D43=0,0,IF(_xlfn.XLOOKUP($B43,'TH_MLG GRADE 10'!$B$7:$B$49,'TH_MLG GRADE 10'!AC$7:AC$49,"",0,1)="P",1*$D43,0))</f>
        <v>0</v>
      </c>
      <c r="Q43" s="31">
        <f>IF($D43=0,0,IF(_xlfn.XLOOKUP($B43,'TH_MLG GRADE 10'!$B$7:$B$49,'TH_MLG GRADE 10'!AG$7:AG$49,"",0,1)="P",1*$D43,0))</f>
        <v>0</v>
      </c>
      <c r="R43" s="31">
        <f>IF($D43=0,0,IF(_xlfn.XLOOKUP($B43,'TH_MLG GRADE 10'!$B$7:$B$49,'TH_MLG GRADE 10'!AH$7:AH$49,"",0,1)="P",1*$D43,0))</f>
        <v>0</v>
      </c>
      <c r="S43" s="31">
        <f>IF($D43=0,0,IF(_xlfn.XLOOKUP($B43,'TH_MLG GRADE 10'!$B$7:$B$49,'TH_MLG GRADE 10'!AI$7:AI$49,"",0,1)="P",1*$D43,0))</f>
        <v>0</v>
      </c>
      <c r="T43" s="31">
        <f>IF($D43=0,0,IF(_xlfn.XLOOKUP($B43,'TH_MLG GRADE 10'!$B$7:$B$49,'TH_MLG GRADE 10'!AM$7:AM$49,"",0,1)="P",1*$D43,0))</f>
        <v>2</v>
      </c>
      <c r="U43" s="31">
        <f>IF($D43=0,0,IF(_xlfn.XLOOKUP($B43,'TH_MLG GRADE 10'!$B$7:$B$49,'TH_MLG GRADE 10'!AN$7:AN$49,"",0,1)="P",1*$D43,0))</f>
        <v>2</v>
      </c>
      <c r="V43" s="31">
        <f>IF($D43=0,0,IF(_xlfn.XLOOKUP($B43,'TH_MLG GRADE 10'!$B$7:$B$49,'TH_MLG GRADE 10'!AO$7:AO$49,"",0,1)="P",1*$D43,0))</f>
        <v>2</v>
      </c>
      <c r="W43" s="31">
        <f>IF($D43=0,0,IF(_xlfn.XLOOKUP($B43,'TH_MLG GRADE 10'!$B$7:$B$49,'TH_MLG GRADE 10'!AY$7:AY$49,"",0,1)="P",1*$D43,0))</f>
        <v>2</v>
      </c>
      <c r="X43" s="31">
        <f>IF($D43=0,0,IF(_xlfn.XLOOKUP($B43,'TH_MLG GRADE 10'!$B$7:$B$49,'TH_MLG GRADE 10'!AZ$7:AZ$49,"",0,1)="P",1*$D43,0))</f>
        <v>2</v>
      </c>
      <c r="Y43" s="31">
        <f>IF($D43=0,0,IF(_xlfn.XLOOKUP($B43,'TH_MLG GRADE 10'!$B$7:$B$49,'TH_MLG GRADE 10'!BA$7:BA$49,"",0,1)="P",1*$D43,0))</f>
        <v>2</v>
      </c>
      <c r="Z43" s="31">
        <f>IF($D43=0,0,IF(_xlfn.XLOOKUP($B43,'TH_MLG GRADE 10'!$B$7:$B$49,'TH_MLG GRADE 10'!BE$7:BE$49,"",0,1)="P",1*$D43,0))</f>
        <v>0</v>
      </c>
      <c r="AA43" s="31">
        <f>IF($D43=0,0,IF(_xlfn.XLOOKUP($B43,'TH_MLG GRADE 10'!$B$7:$B$49,'TH_MLG GRADE 10'!BF$7:BF$49,"",0,1)="P",1*$D43,0))</f>
        <v>0</v>
      </c>
      <c r="AB43" s="31">
        <f>IF($D43=0,0,IF(_xlfn.XLOOKUP($B43,'TH_MLG GRADE 10'!$B$7:$B$49,'TH_MLG GRADE 10'!BG$7:BG$49,"",0,1)="P",1*$D43,0))</f>
        <v>0</v>
      </c>
      <c r="AC43" s="31" t="e">
        <f>IF($D43=0,0,IF(_xlfn.XLOOKUP($B43,'TH_MLG GRADE 10'!$B$7:$B$49,'TH_MLG GRADE 10'!#REF!,"",0,1)="P",1*$D43,0))</f>
        <v>#REF!</v>
      </c>
      <c r="AD43" s="31" t="e">
        <f>IF($D43=0,0,IF(_xlfn.XLOOKUP($B43,'TH_MLG GRADE 10'!$B$7:$B$49,'TH_MLG GRADE 10'!#REF!,"",0,1)="P",1*$D43,0))</f>
        <v>#REF!</v>
      </c>
      <c r="AE43" s="31" t="e">
        <f>IF($D43=0,0,IF(_xlfn.XLOOKUP($B43,'TH_MLG GRADE 10'!$B$7:$B$49,'TH_MLG GRADE 10'!#REF!,"",0,1)="P",1*$D43,0))</f>
        <v>#REF!</v>
      </c>
      <c r="AF43" s="31" t="e">
        <f>IF($D43=0,0,IF(_xlfn.XLOOKUP($B43,'TH_MLG GRADE 10'!$B$7:$B$49,'TH_MLG GRADE 10'!#REF!,"",0,1)="P",1*$D43,0))</f>
        <v>#REF!</v>
      </c>
      <c r="AG43" s="31" t="e">
        <f>IF($D43=0,0,IF(_xlfn.XLOOKUP($B43,'TH_MLG GRADE 10'!$B$7:$B$49,'TH_MLG GRADE 10'!#REF!,"",0,1)="P",1*$D43,0))</f>
        <v>#REF!</v>
      </c>
      <c r="AH43" s="31" t="e">
        <f>IF($D43=0,0,IF(_xlfn.XLOOKUP($B43,'TH_MLG GRADE 10'!$B$7:$B$49,'TH_MLG GRADE 10'!#REF!,"",0,1)="P",1*$D43,0))</f>
        <v>#REF!</v>
      </c>
      <c r="AI43" s="32">
        <f>IF($D43=0,0,IF(_xlfn.XLOOKUP($B43,'TH_CMI GRADE 10'!$B$7:$B$49,'TH_CMI GRADE 10'!C$7:C$49,"",0,1)="P",1*$D43,0))</f>
        <v>2</v>
      </c>
      <c r="AJ43" s="32">
        <f>IF($D43=0,0,IF(_xlfn.XLOOKUP($B43,'TH_CMI GRADE 10'!$B$7:$B$49,'TH_CMI GRADE 10'!D$7:D$49,"",0,1)="P",1*$D43,0))</f>
        <v>2</v>
      </c>
      <c r="AK43" s="32">
        <f>IF($D43=0,0,IF(_xlfn.XLOOKUP($B43,'TH_CMI GRADE 10'!$B$7:$B$49,'TH_CMI GRADE 10'!H$7:H$49,"",0,1)="P",1*$D43,0))</f>
        <v>0</v>
      </c>
      <c r="AL43" s="32">
        <f>IF($D43=0,0,IF(_xlfn.XLOOKUP($B43,'TH_CMI GRADE 10'!$B$7:$B$49,'TH_CMI GRADE 10'!I$7:I$49,"",0,1)="P",1*$D43,0))</f>
        <v>0</v>
      </c>
      <c r="AM43" s="32">
        <f>IF($D43=0,0,IF(_xlfn.XLOOKUP($B43,'TH_CMI GRADE 10'!$B$7:$B$49,'TH_CMI GRADE 10'!J$7:J$49,"",0,1)="P",1*$D43,0))</f>
        <v>0</v>
      </c>
      <c r="AN43" s="32">
        <f>IF($D43=0,0,IF(_xlfn.XLOOKUP($B43,'TH_CMI GRADE 10'!$B$7:$B$49,'TH_CMI GRADE 10'!K$7:K$49,"",0,1)="P",1*$D43,0))</f>
        <v>0</v>
      </c>
      <c r="AO43" s="32">
        <f>IF($D43=0,0,IF(_xlfn.XLOOKUP($B43,'TH_CMI GRADE 10'!$B$7:$B$49,'TH_CMI GRADE 10'!O$7:O$49,"",0,1)="P",1*$D43,0))</f>
        <v>0</v>
      </c>
      <c r="AP43" s="32">
        <f>IF($D43=0,0,IF(_xlfn.XLOOKUP($B43,'TH_CMI GRADE 10'!$B$7:$B$49,'TH_CMI GRADE 10'!P$7:P$49,"",0,1)="P",1*$D43,0))</f>
        <v>0</v>
      </c>
      <c r="AQ43" s="32">
        <f>IF($D43=0,0,IF(_xlfn.XLOOKUP($B43,'TH_CMI GRADE 10'!$B$7:$B$49,'TH_CMI GRADE 10'!Q$7:Q$49,"",0,1)="P",1*$D43,0))</f>
        <v>0</v>
      </c>
      <c r="AR43" s="32">
        <f>IF($D43=0,0,IF(_xlfn.XLOOKUP($B43,'TH_CMI GRADE 10'!$B$7:$B$49,'TH_CMI GRADE 10'!U$7:U$49,"",0,1)="P",1*$D43,0))</f>
        <v>2</v>
      </c>
      <c r="AS43" s="32">
        <f>IF($D43=0,0,IF(_xlfn.XLOOKUP($B43,'TH_CMI GRADE 10'!$B$7:$B$49,'TH_CMI GRADE 10'!V$7:V$49,"",0,1)="P",1*$D43,0))</f>
        <v>2</v>
      </c>
      <c r="AT43" s="32">
        <f>IF($D43=0,0,IF(_xlfn.XLOOKUP($B43,'TH_CMI GRADE 10'!$B$7:$B$49,'TH_CMI GRADE 10'!W$7:W$49,"",0,1)="P",1*$D43,0))</f>
        <v>2</v>
      </c>
      <c r="AU43" s="32">
        <f>IF($D43=0,0,IF(_xlfn.XLOOKUP($B43,'TH_CMI GRADE 10'!$B$7:$B$49,'TH_CMI GRADE 10'!AA$7:AA$49,"",0,1)="P",1*$D43,0))</f>
        <v>0</v>
      </c>
      <c r="AV43" s="32">
        <f>IF($D43=0,0,IF(_xlfn.XLOOKUP($B43,'TH_CMI GRADE 10'!$B$7:$B$49,'TH_CMI GRADE 10'!AB$7:AB$49,"",0,1)="P",1*$D43,0))</f>
        <v>0</v>
      </c>
      <c r="AW43" s="32">
        <f>IF($D43=0,0,IF(_xlfn.XLOOKUP($B43,'TH_CMI GRADE 10'!$B$7:$B$49,'TH_CMI GRADE 10'!AC$7:AC$49,"",0,1)="P",1*$D43,0))</f>
        <v>0</v>
      </c>
      <c r="AX43" s="32">
        <f>IF($D43=0,0,IF(_xlfn.XLOOKUP($B43,'TH_CMI GRADE 10'!$B$7:$B$49,'TH_CMI GRADE 10'!AG$7:AG$49,"",0,1)="P",1*$D43,0))</f>
        <v>0</v>
      </c>
      <c r="AY43" s="32">
        <f>IF($D43=0,0,IF(_xlfn.XLOOKUP($B43,'TH_CMI GRADE 10'!$B$7:$B$49,'TH_CMI GRADE 10'!AH$7:AH$49,"",0,1)="P",1*$D43,0))</f>
        <v>0</v>
      </c>
      <c r="AZ43" s="32">
        <f>IF($D43=0,0,IF(_xlfn.XLOOKUP($B43,'TH_CMI GRADE 10'!$B$7:$B$49,'TH_CMI GRADE 10'!AI$7:AI$49,"",0,1)="P",1*$D43,0))</f>
        <v>0</v>
      </c>
      <c r="BA43" s="31">
        <f>IF($C43=0,0,IF(_xlfn.XLOOKUP($B43,'PW_MLG GRADE 10'!$B$7:$B$31,'PW_MLG GRADE 10'!#REF!,"",0,1)="P",1*$C43,0))</f>
        <v>0</v>
      </c>
      <c r="BB43" s="31">
        <f>IF($C43=0,0,IF(_xlfn.XLOOKUP($B43,'PW_MLG GRADE 10'!$B$7:$B$31,'PW_MLG GRADE 10'!#REF!,"",0,1)="P",1*$C43,0))</f>
        <v>0</v>
      </c>
      <c r="BC43" s="31">
        <f>IF($C43=0,0,IF(_xlfn.XLOOKUP($B43,'PW_MLG GRADE 10'!$B$7:$B$31,'PW_MLG GRADE 10'!#REF!,"",0,1)="P",1*$C43,0))</f>
        <v>0</v>
      </c>
      <c r="BD43" s="31">
        <f>IF($C43=0,0,IF(_xlfn.XLOOKUP($B43,'PW_MLG GRADE 10'!$B$7:$B$31,'PW_MLG GRADE 10'!#REF!,"",0,1)="P",1*$C43,0))</f>
        <v>0</v>
      </c>
      <c r="BE43" s="31">
        <f>IF($C43=0,0,IF(_xlfn.XLOOKUP($B43,'PW_MLG GRADE 10'!$B$7:$B$31,'PW_MLG GRADE 10'!#REF!,"",0,1)="P",1*$C43,0))</f>
        <v>0</v>
      </c>
      <c r="BF43" s="31">
        <f>IF($C43=0,0,IF(_xlfn.XLOOKUP($B43,'PW_MLG GRADE 10'!$B$7:$B$31,'PW_MLG GRADE 10'!#REF!,"",0,1)="P",1*$C43,0))</f>
        <v>0</v>
      </c>
      <c r="BG43" s="31">
        <f>IF($C43=0,0,IF(_xlfn.XLOOKUP($B43,'PW_MLG GRADE 10'!$B$7:$B$31,'PW_MLG GRADE 10'!#REF!,"",0,1)="P",1*$C43,0))</f>
        <v>0</v>
      </c>
      <c r="BH43" s="31">
        <f>IF($C43=0,0,IF(_xlfn.XLOOKUP($B43,'PW_MLG GRADE 10'!$B$7:$B$31,'PW_MLG GRADE 10'!#REF!,"",0,1)="P",1*$C43,0))</f>
        <v>0</v>
      </c>
      <c r="BI43" s="31">
        <f>IF($C43=0,0,IF(_xlfn.XLOOKUP($B43,'PW_MLG GRADE 10'!$B$7:$B$31,'PW_MLG GRADE 10'!#REF!,"",0,1)="P",1*$C43,0))</f>
        <v>0</v>
      </c>
      <c r="BJ43" s="31">
        <f>IF($C43=0,0,IF(_xlfn.XLOOKUP($B43,'PW_MLG GRADE 10'!$B$7:$B$31,'PW_MLG GRADE 10'!#REF!,"",0,1)="P",1*$C43,0))</f>
        <v>0</v>
      </c>
      <c r="BK43" s="31">
        <f>IF($C43=0,0,IF(_xlfn.XLOOKUP($B43,'PW_MLG GRADE 10'!$B$7:$B$31,'PW_MLG GRADE 10'!#REF!,"",0,1)="P",1*$C43,0))</f>
        <v>0</v>
      </c>
      <c r="BL43" s="31">
        <f>IF($C43=0,0,IF(_xlfn.XLOOKUP($B43,'PW_MLG GRADE 10'!$B$7:$B$31,'PW_MLG GRADE 10'!#REF!,"",0,1)="P",1*$C43,0))</f>
        <v>0</v>
      </c>
      <c r="BM43" s="31">
        <f>IF($C43=0,0,IF(_xlfn.XLOOKUP($B43,'PW_MLG GRADE 10'!$B$7:$B$31,'PW_MLG GRADE 10'!#REF!,"",0,1)="P",1*$C43,0))</f>
        <v>0</v>
      </c>
      <c r="BN43" s="31">
        <f>IF($C43=0,0,IF(_xlfn.XLOOKUP($B43,'PW_MLG GRADE 10'!$B$7:$B$31,'PW_MLG GRADE 10'!#REF!,"",0,1)="P",1*$C43,0))</f>
        <v>0</v>
      </c>
      <c r="BO43" s="31">
        <f>IF($C43=0,0,IF(_xlfn.XLOOKUP($B43,'PW_MLG GRADE 10'!$B$7:$B$31,'PW_MLG GRADE 10'!#REF!,"",0,1)="P",1*$C43,0))</f>
        <v>0</v>
      </c>
      <c r="BP43" s="31">
        <f>IF($C43=0,0,IF(_xlfn.XLOOKUP($B43,'PW_MLG GRADE 10'!$B$7:$B$31,'PW_MLG GRADE 10'!#REF!,"",0,1)="P",1*$C43,0))</f>
        <v>0</v>
      </c>
      <c r="BQ43" s="31">
        <f>IF($C43=0,0,IF(_xlfn.XLOOKUP($B43,'PW_MLG GRADE 10'!$B$7:$B$31,'PW_MLG GRADE 10'!#REF!,"",0,1)="P",1*$C43,0))</f>
        <v>0</v>
      </c>
      <c r="BR43" s="31">
        <f>IF($C43=0,0,IF(_xlfn.XLOOKUP($B43,'PW_MLG GRADE 10'!$B$7:$B$31,'PW_MLG GRADE 10'!#REF!,"",0,1)="P",1*$C43,0))</f>
        <v>0</v>
      </c>
      <c r="BS43" s="31">
        <f>IF($C43=0,0,IF(_xlfn.XLOOKUP($B43,'PW_MLG GRADE 10'!$B$7:$B$31,'PW_MLG GRADE 10'!#REF!,"",0,1)="P",1*$C43,0))</f>
        <v>0</v>
      </c>
      <c r="BT43" s="31">
        <f>IF($C43=0,0,IF(_xlfn.XLOOKUP($B43,'PW_MLG GRADE 10'!$B$7:$B$31,'PW_MLG GRADE 10'!#REF!,"",0,1)="P",1*$C43,0))</f>
        <v>0</v>
      </c>
      <c r="BU43" s="31">
        <f>IF($C43=0,0,IF(_xlfn.XLOOKUP($B43,'PW_MLG GRADE 10'!$B$7:$B$31,'PW_MLG GRADE 10'!#REF!,"",0,1)="P",1*$C43,0))</f>
        <v>0</v>
      </c>
      <c r="BV43" s="31">
        <f>IF($C43=0,0,IF(_xlfn.XLOOKUP($B43,'PW_MLG GRADE 10'!$B$7:$B$31,'PW_MLG GRADE 10'!#REF!,"",0,1)="P",1*$C43,0))</f>
        <v>0</v>
      </c>
      <c r="BW43" s="31">
        <f>IF($C43=0,0,IF(_xlfn.XLOOKUP($B43,'PW_MLG GRADE 10'!$B$7:$B$31,'PW_MLG GRADE 10'!#REF!,"",0,1)="P",1*$C43,0))</f>
        <v>0</v>
      </c>
      <c r="BX43" s="31">
        <f>IF($C43=0,0,IF(_xlfn.XLOOKUP($B43,'PW_MLG GRADE 10'!$B$7:$B$31,'PW_MLG GRADE 10'!#REF!,"",0,1)="P",1*$C43,0))</f>
        <v>0</v>
      </c>
      <c r="BY43" s="31">
        <f>IF($C43=0,0,IF(_xlfn.XLOOKUP($B43,'PW_MLG GRADE 10'!$B$7:$B$31,'PW_MLG GRADE 10'!#REF!,"",0,1)="P",1*$C43,0))</f>
        <v>0</v>
      </c>
      <c r="BZ43" s="31">
        <f>IF($C43=0,0,IF(_xlfn.XLOOKUP($B43,'PW_MLG GRADE 10'!$B$7:$B$31,'PW_MLG GRADE 10'!#REF!,"",0,1)="P",1*$C43,0))</f>
        <v>0</v>
      </c>
      <c r="CA43" s="31">
        <f>IF($C43=0,0,IF(_xlfn.XLOOKUP($B43,'PW_MLG GRADE 10'!$B$7:$B$31,'PW_MLG GRADE 10'!#REF!,"",0,1)="P",1*$C43,0))</f>
        <v>0</v>
      </c>
      <c r="CB43" s="31">
        <f>IF($C43=0,0,IF(_xlfn.XLOOKUP($B43,'PW_MLG GRADE 10'!$B$7:$B$31,'PW_MLG GRADE 10'!#REF!,"",0,1)="P",1*$C43,0))</f>
        <v>0</v>
      </c>
      <c r="CC43" s="31">
        <f>IF($C43=0,0,IF(_xlfn.XLOOKUP($B43,'PW_MLG GRADE 10'!$B$7:$B$31,'PW_MLG GRADE 10'!#REF!,"",0,1)="P",1*$C43,0))</f>
        <v>0</v>
      </c>
      <c r="CD43" s="31">
        <f>IF($C43=0,0,IF(_xlfn.XLOOKUP($B43,'PW_MLG GRADE 10'!$B$7:$B$31,'PW_MLG GRADE 10'!#REF!,"",0,1)="P",1*$C43,0))</f>
        <v>0</v>
      </c>
      <c r="CE43" s="32">
        <f>IF($C43=0,0,IF(_xlfn.XLOOKUP($B43,'PW_CMI GRADE 10'!$B$7:$B$31,'PW_CMI GRADE 10'!C$7:C$31,"",0,1)="P",1*$C43,0))</f>
        <v>0</v>
      </c>
      <c r="CF43" s="32">
        <f>IF($C43=0,0,IF(_xlfn.XLOOKUP($B43,'PW_CMI GRADE 10'!$B$7:$B$31,'PW_CMI GRADE 10'!D$7:D$31,"",0,1)="P",1*$C43,0))</f>
        <v>0</v>
      </c>
      <c r="CG43" s="32">
        <f>IF($C43=0,0,IF(_xlfn.XLOOKUP($B43,'PW_CMI GRADE 10'!$B$7:$B$31,'PW_CMI GRADE 10'!E$7:E$31,"",0,1)="P",1*$C43,0))</f>
        <v>0</v>
      </c>
      <c r="CH43" s="32">
        <f>IF($C43=0,0,IF(_xlfn.XLOOKUP($B43,'PW_CMI GRADE 10'!$B$7:$B$31,'PW_CMI GRADE 10'!F$7:F$31,"",0,1)="P",1*$C43,0))</f>
        <v>0</v>
      </c>
      <c r="CI43" s="32">
        <f>IF($C43=0,0,IF(_xlfn.XLOOKUP($B43,'PW_CMI GRADE 10'!$B$7:$B$31,'PW_CMI GRADE 10'!G$7:G$31,"",0,1)="P",1*$C43,0))</f>
        <v>0</v>
      </c>
      <c r="CJ43" s="32">
        <f>IF($C43=0,0,IF(_xlfn.XLOOKUP($B43,'PW_CMI GRADE 10'!$B$7:$B$31,'PW_CMI GRADE 10'!H$7:H$31,"",0,1)="P",1*$C43,0))</f>
        <v>0</v>
      </c>
      <c r="CK43" s="32">
        <f>IF($C43=0,0,IF(_xlfn.XLOOKUP($B43,'PW_CMI GRADE 10'!$B$7:$B$31,'PW_CMI GRADE 10'!I$7:I$31,"",0,1)="P",1*$C43,0))</f>
        <v>0</v>
      </c>
      <c r="CL43" s="32">
        <f>IF($C43=0,0,IF(_xlfn.XLOOKUP($B43,'PW_CMI GRADE 10'!$B$7:$B$31,'PW_CMI GRADE 10'!J$7:J$31,"",0,1)="P",1*$C43,0))</f>
        <v>0</v>
      </c>
      <c r="CM43" s="32">
        <f>IF($C43=0,0,IF(_xlfn.XLOOKUP($B43,'PW_CMI GRADE 10'!$B$7:$B$31,'PW_CMI GRADE 10'!K$7:K$31,"",0,1)="P",1*$C43,0))</f>
        <v>0</v>
      </c>
      <c r="CN43" s="32">
        <f>IF($C43=0,0,IF(_xlfn.XLOOKUP($B43,'PW_CMI GRADE 10'!$B$7:$B$31,'PW_CMI GRADE 10'!L$7:L$31,"",0,1)="P",1*$C43,0))</f>
        <v>0</v>
      </c>
      <c r="CO43" s="32">
        <f>IF($C43=0,0,IF(_xlfn.XLOOKUP($B43,'PW_CMI GRADE 10'!$B$7:$B$31,'PW_CMI GRADE 10'!M$7:M$31,"",0,1)="P",1*$C43,0))</f>
        <v>0</v>
      </c>
      <c r="CP43" s="32">
        <f>IF($C43=0,0,IF(_xlfn.XLOOKUP($B43,'PW_CMI GRADE 10'!$B$7:$B$31,'PW_CMI GRADE 10'!N$7:N$31,"",0,1)="P",1*$C43,0))</f>
        <v>0</v>
      </c>
      <c r="CQ43" s="32">
        <f>IF($C43=0,0,IF(_xlfn.XLOOKUP($B43,'PW_CMI GRADE 10'!$B$7:$B$31,'PW_CMI GRADE 10'!O$7:O$31,"",0,1)="P",1*$C43,0))</f>
        <v>0</v>
      </c>
      <c r="CR43" s="32">
        <f>IF($C43=0,0,IF(_xlfn.XLOOKUP($B43,'PW_CMI GRADE 10'!$B$7:$B$31,'PW_CMI GRADE 10'!P$7:P$31,"",0,1)="P",1*$C43,0))</f>
        <v>0</v>
      </c>
      <c r="CS43" s="32">
        <f>IF($C43=0,0,IF(_xlfn.XLOOKUP($B43,'PW_CMI GRADE 10'!$B$7:$B$31,'PW_CMI GRADE 10'!Q$7:Q$31,"",0,1)="P",1*$C43,0))</f>
        <v>0</v>
      </c>
      <c r="CT43" s="32">
        <f>IF($C43=0,0,IF(_xlfn.XLOOKUP($B43,'PW_CMI GRADE 10'!$B$7:$B$31,'PW_CMI GRADE 10'!R$7:R$31,"",0,1)="P",1*$C43,0))</f>
        <v>0</v>
      </c>
      <c r="CU43" s="32">
        <f>IF($C43=0,0,IF(_xlfn.XLOOKUP($B43,'PW_CMI GRADE 10'!$B$7:$B$31,'PW_CMI GRADE 10'!S$7:S$31,"",0,1)="P",1*$C43,0))</f>
        <v>0</v>
      </c>
      <c r="CV43" s="32">
        <f>IF($C43=0,0,IF(_xlfn.XLOOKUP($B43,'PW_CMI GRADE 10'!$B$7:$B$31,'PW_CMI GRADE 10'!T$7:T$31,"",0,1)="P",1*$C43,0))</f>
        <v>0</v>
      </c>
      <c r="CW43" s="62">
        <f t="shared" si="19"/>
        <v>0</v>
      </c>
      <c r="CX43" s="62">
        <f t="shared" si="20"/>
        <v>0</v>
      </c>
      <c r="CY43" s="62">
        <f t="shared" si="21"/>
        <v>0</v>
      </c>
      <c r="CZ43" s="62">
        <f t="shared" si="22"/>
        <v>0</v>
      </c>
      <c r="DA43" s="62">
        <f t="shared" si="23"/>
        <v>0</v>
      </c>
      <c r="DB43" s="62">
        <f t="shared" si="24"/>
        <v>0</v>
      </c>
      <c r="DC43" s="62">
        <f t="shared" si="25"/>
        <v>0</v>
      </c>
      <c r="DD43" s="62">
        <f t="shared" si="26"/>
        <v>0</v>
      </c>
      <c r="DE43" s="62">
        <f t="shared" si="27"/>
        <v>0</v>
      </c>
      <c r="DF43" s="62">
        <f t="shared" si="28"/>
        <v>0</v>
      </c>
      <c r="DG43" s="62">
        <f t="shared" si="29"/>
        <v>0</v>
      </c>
      <c r="DH43" s="62">
        <f t="shared" si="30"/>
        <v>0</v>
      </c>
      <c r="DI43" s="62">
        <f t="shared" si="31"/>
        <v>0</v>
      </c>
      <c r="DJ43" s="62">
        <f t="shared" si="32"/>
        <v>0.33333333333333331</v>
      </c>
      <c r="DK43" s="62">
        <f t="shared" si="33"/>
        <v>0.66666666666666663</v>
      </c>
      <c r="DL43" s="62">
        <f t="shared" si="34"/>
        <v>1</v>
      </c>
      <c r="DM43" s="62">
        <f t="shared" si="35"/>
        <v>1</v>
      </c>
      <c r="DN43" s="62">
        <f t="shared" si="36"/>
        <v>1</v>
      </c>
      <c r="DO43" s="62">
        <f t="shared" si="37"/>
        <v>1</v>
      </c>
      <c r="DP43" s="62">
        <f t="shared" si="38"/>
        <v>0.66666666666666663</v>
      </c>
      <c r="DQ43" s="62">
        <f t="shared" si="39"/>
        <v>0.33333333333333331</v>
      </c>
      <c r="DR43" s="62">
        <f t="shared" si="40"/>
        <v>0</v>
      </c>
      <c r="DS43" s="62" t="e">
        <f t="shared" si="41"/>
        <v>#REF!</v>
      </c>
      <c r="DT43" s="62" t="e">
        <f t="shared" si="42"/>
        <v>#REF!</v>
      </c>
      <c r="DU43" s="62" t="e">
        <f t="shared" si="43"/>
        <v>#REF!</v>
      </c>
      <c r="DV43" s="62" t="e">
        <f t="shared" si="44"/>
        <v>#REF!</v>
      </c>
      <c r="DW43" s="62" t="e">
        <f t="shared" si="45"/>
        <v>#REF!</v>
      </c>
      <c r="DX43" s="62" t="e">
        <f t="shared" si="46"/>
        <v>#REF!</v>
      </c>
      <c r="DY43" s="62" t="e">
        <f t="shared" si="47"/>
        <v>#REF!</v>
      </c>
      <c r="DZ43" s="62" t="e">
        <f t="shared" si="48"/>
        <v>#REF!</v>
      </c>
      <c r="EA43" s="63">
        <f t="shared" si="68"/>
        <v>0.66666666666666663</v>
      </c>
      <c r="EB43" s="63">
        <f t="shared" si="2"/>
        <v>0.33333333333333331</v>
      </c>
      <c r="EC43" s="63">
        <f t="shared" si="3"/>
        <v>0</v>
      </c>
      <c r="ED43" s="63">
        <f t="shared" si="4"/>
        <v>0</v>
      </c>
      <c r="EE43" s="63">
        <f t="shared" si="5"/>
        <v>0</v>
      </c>
      <c r="EF43" s="63">
        <f t="shared" si="6"/>
        <v>0</v>
      </c>
      <c r="EG43" s="63">
        <f t="shared" si="7"/>
        <v>0</v>
      </c>
      <c r="EH43" s="63">
        <f t="shared" si="8"/>
        <v>0.33333333333333331</v>
      </c>
      <c r="EI43" s="63">
        <f t="shared" si="9"/>
        <v>0.66666666666666663</v>
      </c>
      <c r="EJ43" s="63">
        <f t="shared" si="10"/>
        <v>1</v>
      </c>
      <c r="EK43" s="63">
        <f t="shared" si="11"/>
        <v>0.66666666666666663</v>
      </c>
      <c r="EL43" s="63">
        <f t="shared" si="12"/>
        <v>0.33333333333333331</v>
      </c>
      <c r="EM43" s="63">
        <f t="shared" si="13"/>
        <v>0</v>
      </c>
      <c r="EN43" s="63">
        <f t="shared" si="14"/>
        <v>0</v>
      </c>
      <c r="EO43" s="63">
        <f t="shared" si="15"/>
        <v>0</v>
      </c>
      <c r="EP43" s="63">
        <f t="shared" si="16"/>
        <v>0</v>
      </c>
      <c r="FU43" s="51">
        <v>47027</v>
      </c>
      <c r="FV43" t="s">
        <v>22</v>
      </c>
      <c r="FW43" t="s">
        <v>22</v>
      </c>
      <c r="FX43" t="s">
        <v>22</v>
      </c>
      <c r="FY43" t="s">
        <v>22</v>
      </c>
      <c r="FZ43" t="s">
        <v>22</v>
      </c>
      <c r="GA43" t="s">
        <v>22</v>
      </c>
      <c r="GB43" t="s">
        <v>22</v>
      </c>
      <c r="GC43" t="s">
        <v>22</v>
      </c>
      <c r="GD43" t="s">
        <v>22</v>
      </c>
      <c r="GE43" t="s">
        <v>22</v>
      </c>
      <c r="GF43" t="s">
        <v>22</v>
      </c>
      <c r="GG43" t="s">
        <v>22</v>
      </c>
      <c r="GH43" t="s">
        <v>22</v>
      </c>
      <c r="GI43" t="s">
        <v>22</v>
      </c>
      <c r="GJ43" t="s">
        <v>22</v>
      </c>
      <c r="GK43" t="s">
        <v>22</v>
      </c>
      <c r="GL43" t="s">
        <v>22</v>
      </c>
      <c r="GM43" t="s">
        <v>22</v>
      </c>
      <c r="GN43" t="s">
        <v>22</v>
      </c>
      <c r="GO43" t="s">
        <v>22</v>
      </c>
      <c r="GP43" t="s">
        <v>22</v>
      </c>
      <c r="GQ43" t="s">
        <v>22</v>
      </c>
      <c r="GR43" t="s">
        <v>22</v>
      </c>
      <c r="GS43" t="s">
        <v>22</v>
      </c>
      <c r="GT43" t="s">
        <v>22</v>
      </c>
      <c r="GU43" t="s">
        <v>22</v>
      </c>
      <c r="GV43" t="s">
        <v>22</v>
      </c>
      <c r="GW43" t="s">
        <v>22</v>
      </c>
      <c r="GX43" t="s">
        <v>22</v>
      </c>
      <c r="GY43" t="s">
        <v>22</v>
      </c>
      <c r="GZ43" t="s">
        <v>22</v>
      </c>
      <c r="HA43" t="s">
        <v>22</v>
      </c>
      <c r="HB43" t="s">
        <v>22</v>
      </c>
      <c r="HC43" t="s">
        <v>22</v>
      </c>
      <c r="HD43" t="s">
        <v>22</v>
      </c>
      <c r="HE43" t="s">
        <v>22</v>
      </c>
      <c r="HF43" t="s">
        <v>22</v>
      </c>
      <c r="HG43" t="s">
        <v>22</v>
      </c>
      <c r="HH43" t="s">
        <v>22</v>
      </c>
      <c r="HI43" t="s">
        <v>22</v>
      </c>
      <c r="HJ43" t="s">
        <v>22</v>
      </c>
      <c r="HK43" t="s">
        <v>22</v>
      </c>
      <c r="HL43" t="s">
        <v>22</v>
      </c>
      <c r="HM43" t="s">
        <v>22</v>
      </c>
      <c r="HN43" t="s">
        <v>22</v>
      </c>
      <c r="HO43" cm="1">
        <f t="array" ref="HO43">SUMPRODUCT(--(FV43:HN43&lt;&gt;""))</f>
        <v>0</v>
      </c>
    </row>
    <row r="44" spans="1:223">
      <c r="A44" t="str">
        <f t="shared" si="18"/>
        <v>7A.1</v>
      </c>
      <c r="B44" t="s">
        <v>75</v>
      </c>
      <c r="C44" s="28"/>
      <c r="D44" s="29">
        <v>2</v>
      </c>
      <c r="E44" s="31">
        <f>IF($D44=0,0,IF(_xlfn.XLOOKUP($B44,'TH_MLG GRADE 10'!$B$7:$B$49,'TH_MLG GRADE 10'!C$7:C$49,"",0,1)="P",1*$D44,0))</f>
        <v>0</v>
      </c>
      <c r="F44" s="31">
        <f>IF($D44=0,0,IF(_xlfn.XLOOKUP($B44,'TH_MLG GRADE 10'!$B$7:$B$49,'TH_MLG GRADE 10'!D$7:D$49,"",0,1)="P",1*$D44,0))</f>
        <v>0</v>
      </c>
      <c r="G44" s="31">
        <f>IF($D44=0,0,IF(_xlfn.XLOOKUP($B44,'TH_MLG GRADE 10'!$B$7:$B$49,'TH_MLG GRADE 10'!E$7:E$49,"",0,1)="P",1*$D44,0))</f>
        <v>0</v>
      </c>
      <c r="H44" s="31">
        <f>IF($D44=0,0,IF(_xlfn.XLOOKUP($B44,'TH_MLG GRADE 10'!$B$7:$B$49,'TH_MLG GRADE 10'!I$7:I$49,"",0,1)="P",1*$D44,0))</f>
        <v>0</v>
      </c>
      <c r="I44" s="31">
        <f>IF($D44=0,0,IF(_xlfn.XLOOKUP($B44,'TH_MLG GRADE 10'!$B$7:$B$49,'TH_MLG GRADE 10'!J$7:J$49,"",0,1)="P",1*$D44,0))</f>
        <v>0</v>
      </c>
      <c r="J44" s="31">
        <f>IF($D44=0,0,IF(_xlfn.XLOOKUP($B44,'TH_MLG GRADE 10'!$B$7:$B$49,'TH_MLG GRADE 10'!K$7:K$49,"",0,1)="P",1*$D44,0))</f>
        <v>0</v>
      </c>
      <c r="K44" s="31">
        <f>IF($D44=0,0,IF(_xlfn.XLOOKUP($B44,'TH_MLG GRADE 10'!$B$7:$B$49,'TH_MLG GRADE 10'!O$7:O$49,"",0,1)="P",1*$D44,0))</f>
        <v>0</v>
      </c>
      <c r="L44" s="31">
        <f>IF($D44=0,0,IF(_xlfn.XLOOKUP($B44,'TH_MLG GRADE 10'!$B$7:$B$49,'TH_MLG GRADE 10'!P$7:P$49,"",0,1)="P",1*$D44,0))</f>
        <v>0</v>
      </c>
      <c r="M44" s="31">
        <f>IF($D44=0,0,IF(_xlfn.XLOOKUP($B44,'TH_MLG GRADE 10'!$B$7:$B$49,'TH_MLG GRADE 10'!Q$7:Q$49,"",0,1)="P",1*$D44,0))</f>
        <v>0</v>
      </c>
      <c r="N44" s="31">
        <f>IF($D44=0,0,IF(_xlfn.XLOOKUP($B44,'TH_MLG GRADE 10'!$B$7:$B$49,'TH_MLG GRADE 10'!AA$7:AA$49,"",0,1)="P",1*$D44,0))</f>
        <v>0</v>
      </c>
      <c r="O44" s="31">
        <f>IF($D44=0,0,IF(_xlfn.XLOOKUP($B44,'TH_MLG GRADE 10'!$B$7:$B$49,'TH_MLG GRADE 10'!AB$7:AB$49,"",0,1)="P",1*$D44,0))</f>
        <v>0</v>
      </c>
      <c r="P44" s="31">
        <f>IF($D44=0,0,IF(_xlfn.XLOOKUP($B44,'TH_MLG GRADE 10'!$B$7:$B$49,'TH_MLG GRADE 10'!AC$7:AC$49,"",0,1)="P",1*$D44,0))</f>
        <v>0</v>
      </c>
      <c r="Q44" s="31">
        <f>IF($D44=0,0,IF(_xlfn.XLOOKUP($B44,'TH_MLG GRADE 10'!$B$7:$B$49,'TH_MLG GRADE 10'!AG$7:AG$49,"",0,1)="P",1*$D44,0))</f>
        <v>0</v>
      </c>
      <c r="R44" s="31">
        <f>IF($D44=0,0,IF(_xlfn.XLOOKUP($B44,'TH_MLG GRADE 10'!$B$7:$B$49,'TH_MLG GRADE 10'!AH$7:AH$49,"",0,1)="P",1*$D44,0))</f>
        <v>0</v>
      </c>
      <c r="S44" s="31">
        <f>IF($D44=0,0,IF(_xlfn.XLOOKUP($B44,'TH_MLG GRADE 10'!$B$7:$B$49,'TH_MLG GRADE 10'!AI$7:AI$49,"",0,1)="P",1*$D44,0))</f>
        <v>0</v>
      </c>
      <c r="T44" s="31">
        <f>IF($D44=0,0,IF(_xlfn.XLOOKUP($B44,'TH_MLG GRADE 10'!$B$7:$B$49,'TH_MLG GRADE 10'!AM$7:AM$49,"",0,1)="P",1*$D44,0))</f>
        <v>2</v>
      </c>
      <c r="U44" s="31">
        <f>IF($D44=0,0,IF(_xlfn.XLOOKUP($B44,'TH_MLG GRADE 10'!$B$7:$B$49,'TH_MLG GRADE 10'!AN$7:AN$49,"",0,1)="P",1*$D44,0))</f>
        <v>2</v>
      </c>
      <c r="V44" s="31">
        <f>IF($D44=0,0,IF(_xlfn.XLOOKUP($B44,'TH_MLG GRADE 10'!$B$7:$B$49,'TH_MLG GRADE 10'!AO$7:AO$49,"",0,1)="P",1*$D44,0))</f>
        <v>2</v>
      </c>
      <c r="W44" s="31">
        <f>IF($D44=0,0,IF(_xlfn.XLOOKUP($B44,'TH_MLG GRADE 10'!$B$7:$B$49,'TH_MLG GRADE 10'!AY$7:AY$49,"",0,1)="P",1*$D44,0))</f>
        <v>2</v>
      </c>
      <c r="X44" s="31">
        <f>IF($D44=0,0,IF(_xlfn.XLOOKUP($B44,'TH_MLG GRADE 10'!$B$7:$B$49,'TH_MLG GRADE 10'!AZ$7:AZ$49,"",0,1)="P",1*$D44,0))</f>
        <v>2</v>
      </c>
      <c r="Y44" s="31">
        <f>IF($D44=0,0,IF(_xlfn.XLOOKUP($B44,'TH_MLG GRADE 10'!$B$7:$B$49,'TH_MLG GRADE 10'!BA$7:BA$49,"",0,1)="P",1*$D44,0))</f>
        <v>2</v>
      </c>
      <c r="Z44" s="31">
        <f>IF($D44=0,0,IF(_xlfn.XLOOKUP($B44,'TH_MLG GRADE 10'!$B$7:$B$49,'TH_MLG GRADE 10'!BE$7:BE$49,"",0,1)="P",1*$D44,0))</f>
        <v>0</v>
      </c>
      <c r="AA44" s="31">
        <f>IF($D44=0,0,IF(_xlfn.XLOOKUP($B44,'TH_MLG GRADE 10'!$B$7:$B$49,'TH_MLG GRADE 10'!BF$7:BF$49,"",0,1)="P",1*$D44,0))</f>
        <v>0</v>
      </c>
      <c r="AB44" s="31">
        <f>IF($D44=0,0,IF(_xlfn.XLOOKUP($B44,'TH_MLG GRADE 10'!$B$7:$B$49,'TH_MLG GRADE 10'!BG$7:BG$49,"",0,1)="P",1*$D44,0))</f>
        <v>0</v>
      </c>
      <c r="AC44" s="31" t="e">
        <f>IF($D44=0,0,IF(_xlfn.XLOOKUP($B44,'TH_MLG GRADE 10'!$B$7:$B$49,'TH_MLG GRADE 10'!#REF!,"",0,1)="P",1*$D44,0))</f>
        <v>#REF!</v>
      </c>
      <c r="AD44" s="31" t="e">
        <f>IF($D44=0,0,IF(_xlfn.XLOOKUP($B44,'TH_MLG GRADE 10'!$B$7:$B$49,'TH_MLG GRADE 10'!#REF!,"",0,1)="P",1*$D44,0))</f>
        <v>#REF!</v>
      </c>
      <c r="AE44" s="31" t="e">
        <f>IF($D44=0,0,IF(_xlfn.XLOOKUP($B44,'TH_MLG GRADE 10'!$B$7:$B$49,'TH_MLG GRADE 10'!#REF!,"",0,1)="P",1*$D44,0))</f>
        <v>#REF!</v>
      </c>
      <c r="AF44" s="31" t="e">
        <f>IF($D44=0,0,IF(_xlfn.XLOOKUP($B44,'TH_MLG GRADE 10'!$B$7:$B$49,'TH_MLG GRADE 10'!#REF!,"",0,1)="P",1*$D44,0))</f>
        <v>#REF!</v>
      </c>
      <c r="AG44" s="31" t="e">
        <f>IF($D44=0,0,IF(_xlfn.XLOOKUP($B44,'TH_MLG GRADE 10'!$B$7:$B$49,'TH_MLG GRADE 10'!#REF!,"",0,1)="P",1*$D44,0))</f>
        <v>#REF!</v>
      </c>
      <c r="AH44" s="31" t="e">
        <f>IF($D44=0,0,IF(_xlfn.XLOOKUP($B44,'TH_MLG GRADE 10'!$B$7:$B$49,'TH_MLG GRADE 10'!#REF!,"",0,1)="P",1*$D44,0))</f>
        <v>#REF!</v>
      </c>
      <c r="AI44" s="32">
        <f>IF($D44=0,0,IF(_xlfn.XLOOKUP($B44,'TH_CMI GRADE 10'!$B$7:$B$49,'TH_CMI GRADE 10'!C$7:C$49,"",0,1)="P",1*$D44,0))</f>
        <v>2</v>
      </c>
      <c r="AJ44" s="32">
        <f>IF($D44=0,0,IF(_xlfn.XLOOKUP($B44,'TH_CMI GRADE 10'!$B$7:$B$49,'TH_CMI GRADE 10'!D$7:D$49,"",0,1)="P",1*$D44,0))</f>
        <v>2</v>
      </c>
      <c r="AK44" s="32">
        <f>IF($D44=0,0,IF(_xlfn.XLOOKUP($B44,'TH_CMI GRADE 10'!$B$7:$B$49,'TH_CMI GRADE 10'!H$7:H$49,"",0,1)="P",1*$D44,0))</f>
        <v>0</v>
      </c>
      <c r="AL44" s="32">
        <f>IF($D44=0,0,IF(_xlfn.XLOOKUP($B44,'TH_CMI GRADE 10'!$B$7:$B$49,'TH_CMI GRADE 10'!I$7:I$49,"",0,1)="P",1*$D44,0))</f>
        <v>0</v>
      </c>
      <c r="AM44" s="32">
        <f>IF($D44=0,0,IF(_xlfn.XLOOKUP($B44,'TH_CMI GRADE 10'!$B$7:$B$49,'TH_CMI GRADE 10'!J$7:J$49,"",0,1)="P",1*$D44,0))</f>
        <v>0</v>
      </c>
      <c r="AN44" s="32">
        <f>IF($D44=0,0,IF(_xlfn.XLOOKUP($B44,'TH_CMI GRADE 10'!$B$7:$B$49,'TH_CMI GRADE 10'!K$7:K$49,"",0,1)="P",1*$D44,0))</f>
        <v>0</v>
      </c>
      <c r="AO44" s="32">
        <f>IF($D44=0,0,IF(_xlfn.XLOOKUP($B44,'TH_CMI GRADE 10'!$B$7:$B$49,'TH_CMI GRADE 10'!O$7:O$49,"",0,1)="P",1*$D44,0))</f>
        <v>0</v>
      </c>
      <c r="AP44" s="32">
        <f>IF($D44=0,0,IF(_xlfn.XLOOKUP($B44,'TH_CMI GRADE 10'!$B$7:$B$49,'TH_CMI GRADE 10'!P$7:P$49,"",0,1)="P",1*$D44,0))</f>
        <v>0</v>
      </c>
      <c r="AQ44" s="32">
        <f>IF($D44=0,0,IF(_xlfn.XLOOKUP($B44,'TH_CMI GRADE 10'!$B$7:$B$49,'TH_CMI GRADE 10'!Q$7:Q$49,"",0,1)="P",1*$D44,0))</f>
        <v>0</v>
      </c>
      <c r="AR44" s="32">
        <f>IF($D44=0,0,IF(_xlfn.XLOOKUP($B44,'TH_CMI GRADE 10'!$B$7:$B$49,'TH_CMI GRADE 10'!U$7:U$49,"",0,1)="P",1*$D44,0))</f>
        <v>2</v>
      </c>
      <c r="AS44" s="32">
        <f>IF($D44=0,0,IF(_xlfn.XLOOKUP($B44,'TH_CMI GRADE 10'!$B$7:$B$49,'TH_CMI GRADE 10'!V$7:V$49,"",0,1)="P",1*$D44,0))</f>
        <v>2</v>
      </c>
      <c r="AT44" s="32">
        <f>IF($D44=0,0,IF(_xlfn.XLOOKUP($B44,'TH_CMI GRADE 10'!$B$7:$B$49,'TH_CMI GRADE 10'!W$7:W$49,"",0,1)="P",1*$D44,0))</f>
        <v>2</v>
      </c>
      <c r="AU44" s="32">
        <f>IF($D44=0,0,IF(_xlfn.XLOOKUP($B44,'TH_CMI GRADE 10'!$B$7:$B$49,'TH_CMI GRADE 10'!AA$7:AA$49,"",0,1)="P",1*$D44,0))</f>
        <v>0</v>
      </c>
      <c r="AV44" s="32">
        <f>IF($D44=0,0,IF(_xlfn.XLOOKUP($B44,'TH_CMI GRADE 10'!$B$7:$B$49,'TH_CMI GRADE 10'!AB$7:AB$49,"",0,1)="P",1*$D44,0))</f>
        <v>0</v>
      </c>
      <c r="AW44" s="32">
        <f>IF($D44=0,0,IF(_xlfn.XLOOKUP($B44,'TH_CMI GRADE 10'!$B$7:$B$49,'TH_CMI GRADE 10'!AC$7:AC$49,"",0,1)="P",1*$D44,0))</f>
        <v>0</v>
      </c>
      <c r="AX44" s="32">
        <f>IF($D44=0,0,IF(_xlfn.XLOOKUP($B44,'TH_CMI GRADE 10'!$B$7:$B$49,'TH_CMI GRADE 10'!AG$7:AG$49,"",0,1)="P",1*$D44,0))</f>
        <v>0</v>
      </c>
      <c r="AY44" s="32">
        <f>IF($D44=0,0,IF(_xlfn.XLOOKUP($B44,'TH_CMI GRADE 10'!$B$7:$B$49,'TH_CMI GRADE 10'!AH$7:AH$49,"",0,1)="P",1*$D44,0))</f>
        <v>0</v>
      </c>
      <c r="AZ44" s="32">
        <f>IF($D44=0,0,IF(_xlfn.XLOOKUP($B44,'TH_CMI GRADE 10'!$B$7:$B$49,'TH_CMI GRADE 10'!AI$7:AI$49,"",0,1)="P",1*$D44,0))</f>
        <v>0</v>
      </c>
      <c r="BA44" s="31">
        <f>IF($C44=0,0,IF(_xlfn.XLOOKUP($B44,'PW_MLG GRADE 10'!$B$7:$B$31,'PW_MLG GRADE 10'!#REF!,"",0,1)="P",1*$C44,0))</f>
        <v>0</v>
      </c>
      <c r="BB44" s="31">
        <f>IF($C44=0,0,IF(_xlfn.XLOOKUP($B44,'PW_MLG GRADE 10'!$B$7:$B$31,'PW_MLG GRADE 10'!#REF!,"",0,1)="P",1*$C44,0))</f>
        <v>0</v>
      </c>
      <c r="BC44" s="31">
        <f>IF($C44=0,0,IF(_xlfn.XLOOKUP($B44,'PW_MLG GRADE 10'!$B$7:$B$31,'PW_MLG GRADE 10'!#REF!,"",0,1)="P",1*$C44,0))</f>
        <v>0</v>
      </c>
      <c r="BD44" s="31">
        <f>IF($C44=0,0,IF(_xlfn.XLOOKUP($B44,'PW_MLG GRADE 10'!$B$7:$B$31,'PW_MLG GRADE 10'!#REF!,"",0,1)="P",1*$C44,0))</f>
        <v>0</v>
      </c>
      <c r="BE44" s="31">
        <f>IF($C44=0,0,IF(_xlfn.XLOOKUP($B44,'PW_MLG GRADE 10'!$B$7:$B$31,'PW_MLG GRADE 10'!#REF!,"",0,1)="P",1*$C44,0))</f>
        <v>0</v>
      </c>
      <c r="BF44" s="31">
        <f>IF($C44=0,0,IF(_xlfn.XLOOKUP($B44,'PW_MLG GRADE 10'!$B$7:$B$31,'PW_MLG GRADE 10'!#REF!,"",0,1)="P",1*$C44,0))</f>
        <v>0</v>
      </c>
      <c r="BG44" s="31">
        <f>IF($C44=0,0,IF(_xlfn.XLOOKUP($B44,'PW_MLG GRADE 10'!$B$7:$B$31,'PW_MLG GRADE 10'!#REF!,"",0,1)="P",1*$C44,0))</f>
        <v>0</v>
      </c>
      <c r="BH44" s="31">
        <f>IF($C44=0,0,IF(_xlfn.XLOOKUP($B44,'PW_MLG GRADE 10'!$B$7:$B$31,'PW_MLG GRADE 10'!#REF!,"",0,1)="P",1*$C44,0))</f>
        <v>0</v>
      </c>
      <c r="BI44" s="31">
        <f>IF($C44=0,0,IF(_xlfn.XLOOKUP($B44,'PW_MLG GRADE 10'!$B$7:$B$31,'PW_MLG GRADE 10'!#REF!,"",0,1)="P",1*$C44,0))</f>
        <v>0</v>
      </c>
      <c r="BJ44" s="31">
        <f>IF($C44=0,0,IF(_xlfn.XLOOKUP($B44,'PW_MLG GRADE 10'!$B$7:$B$31,'PW_MLG GRADE 10'!#REF!,"",0,1)="P",1*$C44,0))</f>
        <v>0</v>
      </c>
      <c r="BK44" s="31">
        <f>IF($C44=0,0,IF(_xlfn.XLOOKUP($B44,'PW_MLG GRADE 10'!$B$7:$B$31,'PW_MLG GRADE 10'!#REF!,"",0,1)="P",1*$C44,0))</f>
        <v>0</v>
      </c>
      <c r="BL44" s="31">
        <f>IF($C44=0,0,IF(_xlfn.XLOOKUP($B44,'PW_MLG GRADE 10'!$B$7:$B$31,'PW_MLG GRADE 10'!#REF!,"",0,1)="P",1*$C44,0))</f>
        <v>0</v>
      </c>
      <c r="BM44" s="31">
        <f>IF($C44=0,0,IF(_xlfn.XLOOKUP($B44,'PW_MLG GRADE 10'!$B$7:$B$31,'PW_MLG GRADE 10'!#REF!,"",0,1)="P",1*$C44,0))</f>
        <v>0</v>
      </c>
      <c r="BN44" s="31">
        <f>IF($C44=0,0,IF(_xlfn.XLOOKUP($B44,'PW_MLG GRADE 10'!$B$7:$B$31,'PW_MLG GRADE 10'!#REF!,"",0,1)="P",1*$C44,0))</f>
        <v>0</v>
      </c>
      <c r="BO44" s="31">
        <f>IF($C44=0,0,IF(_xlfn.XLOOKUP($B44,'PW_MLG GRADE 10'!$B$7:$B$31,'PW_MLG GRADE 10'!#REF!,"",0,1)="P",1*$C44,0))</f>
        <v>0</v>
      </c>
      <c r="BP44" s="31">
        <f>IF($C44=0,0,IF(_xlfn.XLOOKUP($B44,'PW_MLG GRADE 10'!$B$7:$B$31,'PW_MLG GRADE 10'!#REF!,"",0,1)="P",1*$C44,0))</f>
        <v>0</v>
      </c>
      <c r="BQ44" s="31">
        <f>IF($C44=0,0,IF(_xlfn.XLOOKUP($B44,'PW_MLG GRADE 10'!$B$7:$B$31,'PW_MLG GRADE 10'!#REF!,"",0,1)="P",1*$C44,0))</f>
        <v>0</v>
      </c>
      <c r="BR44" s="31">
        <f>IF($C44=0,0,IF(_xlfn.XLOOKUP($B44,'PW_MLG GRADE 10'!$B$7:$B$31,'PW_MLG GRADE 10'!#REF!,"",0,1)="P",1*$C44,0))</f>
        <v>0</v>
      </c>
      <c r="BS44" s="31">
        <f>IF($C44=0,0,IF(_xlfn.XLOOKUP($B44,'PW_MLG GRADE 10'!$B$7:$B$31,'PW_MLG GRADE 10'!#REF!,"",0,1)="P",1*$C44,0))</f>
        <v>0</v>
      </c>
      <c r="BT44" s="31">
        <f>IF($C44=0,0,IF(_xlfn.XLOOKUP($B44,'PW_MLG GRADE 10'!$B$7:$B$31,'PW_MLG GRADE 10'!#REF!,"",0,1)="P",1*$C44,0))</f>
        <v>0</v>
      </c>
      <c r="BU44" s="31">
        <f>IF($C44=0,0,IF(_xlfn.XLOOKUP($B44,'PW_MLG GRADE 10'!$B$7:$B$31,'PW_MLG GRADE 10'!#REF!,"",0,1)="P",1*$C44,0))</f>
        <v>0</v>
      </c>
      <c r="BV44" s="31">
        <f>IF($C44=0,0,IF(_xlfn.XLOOKUP($B44,'PW_MLG GRADE 10'!$B$7:$B$31,'PW_MLG GRADE 10'!#REF!,"",0,1)="P",1*$C44,0))</f>
        <v>0</v>
      </c>
      <c r="BW44" s="31">
        <f>IF($C44=0,0,IF(_xlfn.XLOOKUP($B44,'PW_MLG GRADE 10'!$B$7:$B$31,'PW_MLG GRADE 10'!#REF!,"",0,1)="P",1*$C44,0))</f>
        <v>0</v>
      </c>
      <c r="BX44" s="31">
        <f>IF($C44=0,0,IF(_xlfn.XLOOKUP($B44,'PW_MLG GRADE 10'!$B$7:$B$31,'PW_MLG GRADE 10'!#REF!,"",0,1)="P",1*$C44,0))</f>
        <v>0</v>
      </c>
      <c r="BY44" s="31">
        <f>IF($C44=0,0,IF(_xlfn.XLOOKUP($B44,'PW_MLG GRADE 10'!$B$7:$B$31,'PW_MLG GRADE 10'!#REF!,"",0,1)="P",1*$C44,0))</f>
        <v>0</v>
      </c>
      <c r="BZ44" s="31">
        <f>IF($C44=0,0,IF(_xlfn.XLOOKUP($B44,'PW_MLG GRADE 10'!$B$7:$B$31,'PW_MLG GRADE 10'!#REF!,"",0,1)="P",1*$C44,0))</f>
        <v>0</v>
      </c>
      <c r="CA44" s="31">
        <f>IF($C44=0,0,IF(_xlfn.XLOOKUP($B44,'PW_MLG GRADE 10'!$B$7:$B$31,'PW_MLG GRADE 10'!#REF!,"",0,1)="P",1*$C44,0))</f>
        <v>0</v>
      </c>
      <c r="CB44" s="31">
        <f>IF($C44=0,0,IF(_xlfn.XLOOKUP($B44,'PW_MLG GRADE 10'!$B$7:$B$31,'PW_MLG GRADE 10'!#REF!,"",0,1)="P",1*$C44,0))</f>
        <v>0</v>
      </c>
      <c r="CC44" s="31">
        <f>IF($C44=0,0,IF(_xlfn.XLOOKUP($B44,'PW_MLG GRADE 10'!$B$7:$B$31,'PW_MLG GRADE 10'!#REF!,"",0,1)="P",1*$C44,0))</f>
        <v>0</v>
      </c>
      <c r="CD44" s="31">
        <f>IF($C44=0,0,IF(_xlfn.XLOOKUP($B44,'PW_MLG GRADE 10'!$B$7:$B$31,'PW_MLG GRADE 10'!#REF!,"",0,1)="P",1*$C44,0))</f>
        <v>0</v>
      </c>
      <c r="CE44" s="32">
        <f>IF($C44=0,0,IF(_xlfn.XLOOKUP($B44,'PW_CMI GRADE 10'!$B$7:$B$31,'PW_CMI GRADE 10'!C$7:C$31,"",0,1)="P",1*$C44,0))</f>
        <v>0</v>
      </c>
      <c r="CF44" s="32">
        <f>IF($C44=0,0,IF(_xlfn.XLOOKUP($B44,'PW_CMI GRADE 10'!$B$7:$B$31,'PW_CMI GRADE 10'!D$7:D$31,"",0,1)="P",1*$C44,0))</f>
        <v>0</v>
      </c>
      <c r="CG44" s="32">
        <f>IF($C44=0,0,IF(_xlfn.XLOOKUP($B44,'PW_CMI GRADE 10'!$B$7:$B$31,'PW_CMI GRADE 10'!E$7:E$31,"",0,1)="P",1*$C44,0))</f>
        <v>0</v>
      </c>
      <c r="CH44" s="32">
        <f>IF($C44=0,0,IF(_xlfn.XLOOKUP($B44,'PW_CMI GRADE 10'!$B$7:$B$31,'PW_CMI GRADE 10'!F$7:F$31,"",0,1)="P",1*$C44,0))</f>
        <v>0</v>
      </c>
      <c r="CI44" s="32">
        <f>IF($C44=0,0,IF(_xlfn.XLOOKUP($B44,'PW_CMI GRADE 10'!$B$7:$B$31,'PW_CMI GRADE 10'!G$7:G$31,"",0,1)="P",1*$C44,0))</f>
        <v>0</v>
      </c>
      <c r="CJ44" s="32">
        <f>IF($C44=0,0,IF(_xlfn.XLOOKUP($B44,'PW_CMI GRADE 10'!$B$7:$B$31,'PW_CMI GRADE 10'!H$7:H$31,"",0,1)="P",1*$C44,0))</f>
        <v>0</v>
      </c>
      <c r="CK44" s="32">
        <f>IF($C44=0,0,IF(_xlfn.XLOOKUP($B44,'PW_CMI GRADE 10'!$B$7:$B$31,'PW_CMI GRADE 10'!I$7:I$31,"",0,1)="P",1*$C44,0))</f>
        <v>0</v>
      </c>
      <c r="CL44" s="32">
        <f>IF($C44=0,0,IF(_xlfn.XLOOKUP($B44,'PW_CMI GRADE 10'!$B$7:$B$31,'PW_CMI GRADE 10'!J$7:J$31,"",0,1)="P",1*$C44,0))</f>
        <v>0</v>
      </c>
      <c r="CM44" s="32">
        <f>IF($C44=0,0,IF(_xlfn.XLOOKUP($B44,'PW_CMI GRADE 10'!$B$7:$B$31,'PW_CMI GRADE 10'!K$7:K$31,"",0,1)="P",1*$C44,0))</f>
        <v>0</v>
      </c>
      <c r="CN44" s="32">
        <f>IF($C44=0,0,IF(_xlfn.XLOOKUP($B44,'PW_CMI GRADE 10'!$B$7:$B$31,'PW_CMI GRADE 10'!L$7:L$31,"",0,1)="P",1*$C44,0))</f>
        <v>0</v>
      </c>
      <c r="CO44" s="32">
        <f>IF($C44=0,0,IF(_xlfn.XLOOKUP($B44,'PW_CMI GRADE 10'!$B$7:$B$31,'PW_CMI GRADE 10'!M$7:M$31,"",0,1)="P",1*$C44,0))</f>
        <v>0</v>
      </c>
      <c r="CP44" s="32">
        <f>IF($C44=0,0,IF(_xlfn.XLOOKUP($B44,'PW_CMI GRADE 10'!$B$7:$B$31,'PW_CMI GRADE 10'!N$7:N$31,"",0,1)="P",1*$C44,0))</f>
        <v>0</v>
      </c>
      <c r="CQ44" s="32">
        <f>IF($C44=0,0,IF(_xlfn.XLOOKUP($B44,'PW_CMI GRADE 10'!$B$7:$B$31,'PW_CMI GRADE 10'!O$7:O$31,"",0,1)="P",1*$C44,0))</f>
        <v>0</v>
      </c>
      <c r="CR44" s="32">
        <f>IF($C44=0,0,IF(_xlfn.XLOOKUP($B44,'PW_CMI GRADE 10'!$B$7:$B$31,'PW_CMI GRADE 10'!P$7:P$31,"",0,1)="P",1*$C44,0))</f>
        <v>0</v>
      </c>
      <c r="CS44" s="32">
        <f>IF($C44=0,0,IF(_xlfn.XLOOKUP($B44,'PW_CMI GRADE 10'!$B$7:$B$31,'PW_CMI GRADE 10'!Q$7:Q$31,"",0,1)="P",1*$C44,0))</f>
        <v>0</v>
      </c>
      <c r="CT44" s="32">
        <f>IF($C44=0,0,IF(_xlfn.XLOOKUP($B44,'PW_CMI GRADE 10'!$B$7:$B$31,'PW_CMI GRADE 10'!R$7:R$31,"",0,1)="P",1*$C44,0))</f>
        <v>0</v>
      </c>
      <c r="CU44" s="32">
        <f>IF($C44=0,0,IF(_xlfn.XLOOKUP($B44,'PW_CMI GRADE 10'!$B$7:$B$31,'PW_CMI GRADE 10'!S$7:S$31,"",0,1)="P",1*$C44,0))</f>
        <v>0</v>
      </c>
      <c r="CV44" s="32">
        <f>IF($C44=0,0,IF(_xlfn.XLOOKUP($B44,'PW_CMI GRADE 10'!$B$7:$B$31,'PW_CMI GRADE 10'!T$7:T$31,"",0,1)="P",1*$C44,0))</f>
        <v>0</v>
      </c>
      <c r="CW44" s="62">
        <f t="shared" si="19"/>
        <v>0</v>
      </c>
      <c r="CX44" s="62">
        <f t="shared" si="20"/>
        <v>0</v>
      </c>
      <c r="CY44" s="62">
        <f t="shared" si="21"/>
        <v>0</v>
      </c>
      <c r="CZ44" s="62">
        <f t="shared" si="22"/>
        <v>0</v>
      </c>
      <c r="DA44" s="62">
        <f t="shared" si="23"/>
        <v>0</v>
      </c>
      <c r="DB44" s="62">
        <f t="shared" si="24"/>
        <v>0</v>
      </c>
      <c r="DC44" s="62">
        <f t="shared" si="25"/>
        <v>0</v>
      </c>
      <c r="DD44" s="62">
        <f t="shared" si="26"/>
        <v>0</v>
      </c>
      <c r="DE44" s="62">
        <f t="shared" si="27"/>
        <v>0</v>
      </c>
      <c r="DF44" s="62">
        <f t="shared" si="28"/>
        <v>0</v>
      </c>
      <c r="DG44" s="62">
        <f t="shared" si="29"/>
        <v>0</v>
      </c>
      <c r="DH44" s="62">
        <f t="shared" si="30"/>
        <v>0</v>
      </c>
      <c r="DI44" s="62">
        <f t="shared" si="31"/>
        <v>0</v>
      </c>
      <c r="DJ44" s="62">
        <f t="shared" si="32"/>
        <v>0.33333333333333331</v>
      </c>
      <c r="DK44" s="62">
        <f t="shared" si="33"/>
        <v>0.66666666666666663</v>
      </c>
      <c r="DL44" s="62">
        <f t="shared" si="34"/>
        <v>1</v>
      </c>
      <c r="DM44" s="62">
        <f t="shared" si="35"/>
        <v>1</v>
      </c>
      <c r="DN44" s="62">
        <f t="shared" si="36"/>
        <v>1</v>
      </c>
      <c r="DO44" s="62">
        <f t="shared" si="37"/>
        <v>1</v>
      </c>
      <c r="DP44" s="62">
        <f t="shared" si="38"/>
        <v>0.66666666666666663</v>
      </c>
      <c r="DQ44" s="62">
        <f t="shared" si="39"/>
        <v>0.33333333333333331</v>
      </c>
      <c r="DR44" s="62">
        <f t="shared" si="40"/>
        <v>0</v>
      </c>
      <c r="DS44" s="62" t="e">
        <f t="shared" si="41"/>
        <v>#REF!</v>
      </c>
      <c r="DT44" s="62" t="e">
        <f t="shared" si="42"/>
        <v>#REF!</v>
      </c>
      <c r="DU44" s="62" t="e">
        <f t="shared" si="43"/>
        <v>#REF!</v>
      </c>
      <c r="DV44" s="62" t="e">
        <f t="shared" si="44"/>
        <v>#REF!</v>
      </c>
      <c r="DW44" s="62" t="e">
        <f t="shared" si="45"/>
        <v>#REF!</v>
      </c>
      <c r="DX44" s="62" t="e">
        <f t="shared" si="46"/>
        <v>#REF!</v>
      </c>
      <c r="DY44" s="62" t="e">
        <f t="shared" si="47"/>
        <v>#REF!</v>
      </c>
      <c r="DZ44" s="62" t="e">
        <f t="shared" si="48"/>
        <v>#REF!</v>
      </c>
      <c r="EA44" s="63">
        <f t="shared" si="68"/>
        <v>0.66666666666666663</v>
      </c>
      <c r="EB44" s="63">
        <f t="shared" si="2"/>
        <v>0.33333333333333331</v>
      </c>
      <c r="EC44" s="63">
        <f t="shared" si="3"/>
        <v>0</v>
      </c>
      <c r="ED44" s="63">
        <f t="shared" si="4"/>
        <v>0</v>
      </c>
      <c r="EE44" s="63">
        <f t="shared" si="5"/>
        <v>0</v>
      </c>
      <c r="EF44" s="63">
        <f t="shared" si="6"/>
        <v>0</v>
      </c>
      <c r="EG44" s="63">
        <f t="shared" si="7"/>
        <v>0</v>
      </c>
      <c r="EH44" s="63">
        <f t="shared" si="8"/>
        <v>0.33333333333333331</v>
      </c>
      <c r="EI44" s="63">
        <f t="shared" si="9"/>
        <v>0.66666666666666663</v>
      </c>
      <c r="EJ44" s="63">
        <f t="shared" si="10"/>
        <v>1</v>
      </c>
      <c r="EK44" s="63">
        <f t="shared" si="11"/>
        <v>0.66666666666666663</v>
      </c>
      <c r="EL44" s="63">
        <f t="shared" si="12"/>
        <v>0.33333333333333331</v>
      </c>
      <c r="EM44" s="63">
        <f t="shared" si="13"/>
        <v>0</v>
      </c>
      <c r="EN44" s="63">
        <f t="shared" si="14"/>
        <v>0</v>
      </c>
      <c r="EO44" s="63">
        <f t="shared" si="15"/>
        <v>0</v>
      </c>
      <c r="EP44" s="63">
        <f t="shared" si="16"/>
        <v>0</v>
      </c>
      <c r="FU44" s="51">
        <v>47058</v>
      </c>
      <c r="FV44" t="s">
        <v>22</v>
      </c>
      <c r="FW44" t="s">
        <v>22</v>
      </c>
      <c r="FX44" t="s">
        <v>22</v>
      </c>
      <c r="FY44" t="s">
        <v>22</v>
      </c>
      <c r="FZ44" t="s">
        <v>22</v>
      </c>
      <c r="GA44" t="s">
        <v>22</v>
      </c>
      <c r="GB44" t="s">
        <v>22</v>
      </c>
      <c r="GC44" t="s">
        <v>22</v>
      </c>
      <c r="GD44" t="s">
        <v>22</v>
      </c>
      <c r="GE44" t="s">
        <v>22</v>
      </c>
      <c r="GF44" t="s">
        <v>22</v>
      </c>
      <c r="GG44" t="s">
        <v>22</v>
      </c>
      <c r="GH44" t="s">
        <v>22</v>
      </c>
      <c r="GI44" t="s">
        <v>22</v>
      </c>
      <c r="GJ44" t="s">
        <v>22</v>
      </c>
      <c r="GK44" t="s">
        <v>22</v>
      </c>
      <c r="GL44" t="s">
        <v>22</v>
      </c>
      <c r="GM44" t="s">
        <v>22</v>
      </c>
      <c r="GN44" t="s">
        <v>22</v>
      </c>
      <c r="GO44" t="s">
        <v>22</v>
      </c>
      <c r="GP44" t="s">
        <v>22</v>
      </c>
      <c r="GQ44" t="s">
        <v>22</v>
      </c>
      <c r="GR44" t="s">
        <v>22</v>
      </c>
      <c r="GS44" t="s">
        <v>22</v>
      </c>
      <c r="GT44" t="s">
        <v>22</v>
      </c>
      <c r="GU44" t="s">
        <v>22</v>
      </c>
      <c r="GV44" t="s">
        <v>22</v>
      </c>
      <c r="GW44" t="s">
        <v>22</v>
      </c>
      <c r="GX44" t="s">
        <v>22</v>
      </c>
      <c r="GY44" t="s">
        <v>22</v>
      </c>
      <c r="GZ44" t="s">
        <v>22</v>
      </c>
      <c r="HA44" t="s">
        <v>22</v>
      </c>
      <c r="HB44" t="s">
        <v>22</v>
      </c>
      <c r="HC44" t="s">
        <v>22</v>
      </c>
      <c r="HD44" t="s">
        <v>22</v>
      </c>
      <c r="HE44" t="s">
        <v>22</v>
      </c>
      <c r="HF44" t="s">
        <v>22</v>
      </c>
      <c r="HG44" t="s">
        <v>22</v>
      </c>
      <c r="HH44" t="s">
        <v>22</v>
      </c>
      <c r="HI44" t="s">
        <v>22</v>
      </c>
      <c r="HJ44" t="s">
        <v>22</v>
      </c>
      <c r="HK44" t="s">
        <v>22</v>
      </c>
      <c r="HL44" t="s">
        <v>22</v>
      </c>
      <c r="HM44" t="s">
        <v>22</v>
      </c>
      <c r="HN44" t="s">
        <v>22</v>
      </c>
      <c r="HO44" cm="1">
        <f t="array" ref="HO44">SUMPRODUCT(--(FV44:HN44&lt;&gt;""))</f>
        <v>0</v>
      </c>
    </row>
    <row r="45" spans="1:223">
      <c r="A45" t="str">
        <f t="shared" si="18"/>
        <v>7A.1</v>
      </c>
      <c r="B45" t="s">
        <v>76</v>
      </c>
      <c r="C45" s="28"/>
      <c r="D45" s="29">
        <v>2</v>
      </c>
      <c r="E45" s="31">
        <f>IF($D45=0,0,IF(_xlfn.XLOOKUP($B45,'TH_MLG GRADE 10'!$B$7:$B$49,'TH_MLG GRADE 10'!C$7:C$49,"",0,1)="P",1*$D45,0))</f>
        <v>0</v>
      </c>
      <c r="F45" s="31">
        <f>IF($D45=0,0,IF(_xlfn.XLOOKUP($B45,'TH_MLG GRADE 10'!$B$7:$B$49,'TH_MLG GRADE 10'!D$7:D$49,"",0,1)="P",1*$D45,0))</f>
        <v>0</v>
      </c>
      <c r="G45" s="31">
        <f>IF($D45=0,0,IF(_xlfn.XLOOKUP($B45,'TH_MLG GRADE 10'!$B$7:$B$49,'TH_MLG GRADE 10'!E$7:E$49,"",0,1)="P",1*$D45,0))</f>
        <v>0</v>
      </c>
      <c r="H45" s="31">
        <f>IF($D45=0,0,IF(_xlfn.XLOOKUP($B45,'TH_MLG GRADE 10'!$B$7:$B$49,'TH_MLG GRADE 10'!I$7:I$49,"",0,1)="P",1*$D45,0))</f>
        <v>0</v>
      </c>
      <c r="I45" s="31">
        <f>IF($D45=0,0,IF(_xlfn.XLOOKUP($B45,'TH_MLG GRADE 10'!$B$7:$B$49,'TH_MLG GRADE 10'!J$7:J$49,"",0,1)="P",1*$D45,0))</f>
        <v>0</v>
      </c>
      <c r="J45" s="31">
        <f>IF($D45=0,0,IF(_xlfn.XLOOKUP($B45,'TH_MLG GRADE 10'!$B$7:$B$49,'TH_MLG GRADE 10'!K$7:K$49,"",0,1)="P",1*$D45,0))</f>
        <v>0</v>
      </c>
      <c r="K45" s="31">
        <f>IF($D45=0,0,IF(_xlfn.XLOOKUP($B45,'TH_MLG GRADE 10'!$B$7:$B$49,'TH_MLG GRADE 10'!O$7:O$49,"",0,1)="P",1*$D45,0))</f>
        <v>0</v>
      </c>
      <c r="L45" s="31">
        <f>IF($D45=0,0,IF(_xlfn.XLOOKUP($B45,'TH_MLG GRADE 10'!$B$7:$B$49,'TH_MLG GRADE 10'!P$7:P$49,"",0,1)="P",1*$D45,0))</f>
        <v>0</v>
      </c>
      <c r="M45" s="31">
        <f>IF($D45=0,0,IF(_xlfn.XLOOKUP($B45,'TH_MLG GRADE 10'!$B$7:$B$49,'TH_MLG GRADE 10'!Q$7:Q$49,"",0,1)="P",1*$D45,0))</f>
        <v>0</v>
      </c>
      <c r="N45" s="31">
        <f>IF($D45=0,0,IF(_xlfn.XLOOKUP($B45,'TH_MLG GRADE 10'!$B$7:$B$49,'TH_MLG GRADE 10'!AA$7:AA$49,"",0,1)="P",1*$D45,0))</f>
        <v>0</v>
      </c>
      <c r="O45" s="31">
        <f>IF($D45=0,0,IF(_xlfn.XLOOKUP($B45,'TH_MLG GRADE 10'!$B$7:$B$49,'TH_MLG GRADE 10'!AB$7:AB$49,"",0,1)="P",1*$D45,0))</f>
        <v>0</v>
      </c>
      <c r="P45" s="31">
        <f>IF($D45=0,0,IF(_xlfn.XLOOKUP($B45,'TH_MLG GRADE 10'!$B$7:$B$49,'TH_MLG GRADE 10'!AC$7:AC$49,"",0,1)="P",1*$D45,0))</f>
        <v>0</v>
      </c>
      <c r="Q45" s="31">
        <f>IF($D45=0,0,IF(_xlfn.XLOOKUP($B45,'TH_MLG GRADE 10'!$B$7:$B$49,'TH_MLG GRADE 10'!AG$7:AG$49,"",0,1)="P",1*$D45,0))</f>
        <v>0</v>
      </c>
      <c r="R45" s="31">
        <f>IF($D45=0,0,IF(_xlfn.XLOOKUP($B45,'TH_MLG GRADE 10'!$B$7:$B$49,'TH_MLG GRADE 10'!AH$7:AH$49,"",0,1)="P",1*$D45,0))</f>
        <v>0</v>
      </c>
      <c r="S45" s="31">
        <f>IF($D45=0,0,IF(_xlfn.XLOOKUP($B45,'TH_MLG GRADE 10'!$B$7:$B$49,'TH_MLG GRADE 10'!AI$7:AI$49,"",0,1)="P",1*$D45,0))</f>
        <v>0</v>
      </c>
      <c r="T45" s="31">
        <f>IF($D45=0,0,IF(_xlfn.XLOOKUP($B45,'TH_MLG GRADE 10'!$B$7:$B$49,'TH_MLG GRADE 10'!AM$7:AM$49,"",0,1)="P",1*$D45,0))</f>
        <v>2</v>
      </c>
      <c r="U45" s="31">
        <f>IF($D45=0,0,IF(_xlfn.XLOOKUP($B45,'TH_MLG GRADE 10'!$B$7:$B$49,'TH_MLG GRADE 10'!AN$7:AN$49,"",0,1)="P",1*$D45,0))</f>
        <v>2</v>
      </c>
      <c r="V45" s="31">
        <f>IF($D45=0,0,IF(_xlfn.XLOOKUP($B45,'TH_MLG GRADE 10'!$B$7:$B$49,'TH_MLG GRADE 10'!AO$7:AO$49,"",0,1)="P",1*$D45,0))</f>
        <v>2</v>
      </c>
      <c r="W45" s="31">
        <f>IF($D45=0,0,IF(_xlfn.XLOOKUP($B45,'TH_MLG GRADE 10'!$B$7:$B$49,'TH_MLG GRADE 10'!AY$7:AY$49,"",0,1)="P",1*$D45,0))</f>
        <v>2</v>
      </c>
      <c r="X45" s="31">
        <f>IF($D45=0,0,IF(_xlfn.XLOOKUP($B45,'TH_MLG GRADE 10'!$B$7:$B$49,'TH_MLG GRADE 10'!AZ$7:AZ$49,"",0,1)="P",1*$D45,0))</f>
        <v>2</v>
      </c>
      <c r="Y45" s="31">
        <f>IF($D45=0,0,IF(_xlfn.XLOOKUP($B45,'TH_MLG GRADE 10'!$B$7:$B$49,'TH_MLG GRADE 10'!BA$7:BA$49,"",0,1)="P",1*$D45,0))</f>
        <v>2</v>
      </c>
      <c r="Z45" s="31">
        <f>IF($D45=0,0,IF(_xlfn.XLOOKUP($B45,'TH_MLG GRADE 10'!$B$7:$B$49,'TH_MLG GRADE 10'!BE$7:BE$49,"",0,1)="P",1*$D45,0))</f>
        <v>0</v>
      </c>
      <c r="AA45" s="31">
        <f>IF($D45=0,0,IF(_xlfn.XLOOKUP($B45,'TH_MLG GRADE 10'!$B$7:$B$49,'TH_MLG GRADE 10'!BF$7:BF$49,"",0,1)="P",1*$D45,0))</f>
        <v>0</v>
      </c>
      <c r="AB45" s="31">
        <f>IF($D45=0,0,IF(_xlfn.XLOOKUP($B45,'TH_MLG GRADE 10'!$B$7:$B$49,'TH_MLG GRADE 10'!BG$7:BG$49,"",0,1)="P",1*$D45,0))</f>
        <v>0</v>
      </c>
      <c r="AC45" s="31" t="e">
        <f>IF($D45=0,0,IF(_xlfn.XLOOKUP($B45,'TH_MLG GRADE 10'!$B$7:$B$49,'TH_MLG GRADE 10'!#REF!,"",0,1)="P",1*$D45,0))</f>
        <v>#REF!</v>
      </c>
      <c r="AD45" s="31" t="e">
        <f>IF($D45=0,0,IF(_xlfn.XLOOKUP($B45,'TH_MLG GRADE 10'!$B$7:$B$49,'TH_MLG GRADE 10'!#REF!,"",0,1)="P",1*$D45,0))</f>
        <v>#REF!</v>
      </c>
      <c r="AE45" s="31" t="e">
        <f>IF($D45=0,0,IF(_xlfn.XLOOKUP($B45,'TH_MLG GRADE 10'!$B$7:$B$49,'TH_MLG GRADE 10'!#REF!,"",0,1)="P",1*$D45,0))</f>
        <v>#REF!</v>
      </c>
      <c r="AF45" s="31" t="e">
        <f>IF($D45=0,0,IF(_xlfn.XLOOKUP($B45,'TH_MLG GRADE 10'!$B$7:$B$49,'TH_MLG GRADE 10'!#REF!,"",0,1)="P",1*$D45,0))</f>
        <v>#REF!</v>
      </c>
      <c r="AG45" s="31" t="e">
        <f>IF($D45=0,0,IF(_xlfn.XLOOKUP($B45,'TH_MLG GRADE 10'!$B$7:$B$49,'TH_MLG GRADE 10'!#REF!,"",0,1)="P",1*$D45,0))</f>
        <v>#REF!</v>
      </c>
      <c r="AH45" s="31" t="e">
        <f>IF($D45=0,0,IF(_xlfn.XLOOKUP($B45,'TH_MLG GRADE 10'!$B$7:$B$49,'TH_MLG GRADE 10'!#REF!,"",0,1)="P",1*$D45,0))</f>
        <v>#REF!</v>
      </c>
      <c r="AI45" s="32">
        <f>IF($D45=0,0,IF(_xlfn.XLOOKUP($B45,'TH_CMI GRADE 10'!$B$7:$B$49,'TH_CMI GRADE 10'!C$7:C$49,"",0,1)="P",1*$D45,0))</f>
        <v>2</v>
      </c>
      <c r="AJ45" s="32">
        <f>IF($D45=0,0,IF(_xlfn.XLOOKUP($B45,'TH_CMI GRADE 10'!$B$7:$B$49,'TH_CMI GRADE 10'!D$7:D$49,"",0,1)="P",1*$D45,0))</f>
        <v>2</v>
      </c>
      <c r="AK45" s="32">
        <f>IF($D45=0,0,IF(_xlfn.XLOOKUP($B45,'TH_CMI GRADE 10'!$B$7:$B$49,'TH_CMI GRADE 10'!H$7:H$49,"",0,1)="P",1*$D45,0))</f>
        <v>0</v>
      </c>
      <c r="AL45" s="32">
        <f>IF($D45=0,0,IF(_xlfn.XLOOKUP($B45,'TH_CMI GRADE 10'!$B$7:$B$49,'TH_CMI GRADE 10'!I$7:I$49,"",0,1)="P",1*$D45,0))</f>
        <v>0</v>
      </c>
      <c r="AM45" s="32">
        <f>IF($D45=0,0,IF(_xlfn.XLOOKUP($B45,'TH_CMI GRADE 10'!$B$7:$B$49,'TH_CMI GRADE 10'!J$7:J$49,"",0,1)="P",1*$D45,0))</f>
        <v>0</v>
      </c>
      <c r="AN45" s="32">
        <f>IF($D45=0,0,IF(_xlfn.XLOOKUP($B45,'TH_CMI GRADE 10'!$B$7:$B$49,'TH_CMI GRADE 10'!K$7:K$49,"",0,1)="P",1*$D45,0))</f>
        <v>0</v>
      </c>
      <c r="AO45" s="32">
        <f>IF($D45=0,0,IF(_xlfn.XLOOKUP($B45,'TH_CMI GRADE 10'!$B$7:$B$49,'TH_CMI GRADE 10'!O$7:O$49,"",0,1)="P",1*$D45,0))</f>
        <v>0</v>
      </c>
      <c r="AP45" s="32">
        <f>IF($D45=0,0,IF(_xlfn.XLOOKUP($B45,'TH_CMI GRADE 10'!$B$7:$B$49,'TH_CMI GRADE 10'!P$7:P$49,"",0,1)="P",1*$D45,0))</f>
        <v>0</v>
      </c>
      <c r="AQ45" s="32">
        <f>IF($D45=0,0,IF(_xlfn.XLOOKUP($B45,'TH_CMI GRADE 10'!$B$7:$B$49,'TH_CMI GRADE 10'!Q$7:Q$49,"",0,1)="P",1*$D45,0))</f>
        <v>0</v>
      </c>
      <c r="AR45" s="32">
        <f>IF($D45=0,0,IF(_xlfn.XLOOKUP($B45,'TH_CMI GRADE 10'!$B$7:$B$49,'TH_CMI GRADE 10'!U$7:U$49,"",0,1)="P",1*$D45,0))</f>
        <v>2</v>
      </c>
      <c r="AS45" s="32">
        <f>IF($D45=0,0,IF(_xlfn.XLOOKUP($B45,'TH_CMI GRADE 10'!$B$7:$B$49,'TH_CMI GRADE 10'!V$7:V$49,"",0,1)="P",1*$D45,0))</f>
        <v>2</v>
      </c>
      <c r="AT45" s="32">
        <f>IF($D45=0,0,IF(_xlfn.XLOOKUP($B45,'TH_CMI GRADE 10'!$B$7:$B$49,'TH_CMI GRADE 10'!W$7:W$49,"",0,1)="P",1*$D45,0))</f>
        <v>2</v>
      </c>
      <c r="AU45" s="32">
        <f>IF($D45=0,0,IF(_xlfn.XLOOKUP($B45,'TH_CMI GRADE 10'!$B$7:$B$49,'TH_CMI GRADE 10'!AA$7:AA$49,"",0,1)="P",1*$D45,0))</f>
        <v>0</v>
      </c>
      <c r="AV45" s="32">
        <f>IF($D45=0,0,IF(_xlfn.XLOOKUP($B45,'TH_CMI GRADE 10'!$B$7:$B$49,'TH_CMI GRADE 10'!AB$7:AB$49,"",0,1)="P",1*$D45,0))</f>
        <v>0</v>
      </c>
      <c r="AW45" s="32">
        <f>IF($D45=0,0,IF(_xlfn.XLOOKUP($B45,'TH_CMI GRADE 10'!$B$7:$B$49,'TH_CMI GRADE 10'!AC$7:AC$49,"",0,1)="P",1*$D45,0))</f>
        <v>0</v>
      </c>
      <c r="AX45" s="32">
        <f>IF($D45=0,0,IF(_xlfn.XLOOKUP($B45,'TH_CMI GRADE 10'!$B$7:$B$49,'TH_CMI GRADE 10'!AG$7:AG$49,"",0,1)="P",1*$D45,0))</f>
        <v>0</v>
      </c>
      <c r="AY45" s="32">
        <f>IF($D45=0,0,IF(_xlfn.XLOOKUP($B45,'TH_CMI GRADE 10'!$B$7:$B$49,'TH_CMI GRADE 10'!AH$7:AH$49,"",0,1)="P",1*$D45,0))</f>
        <v>0</v>
      </c>
      <c r="AZ45" s="32">
        <f>IF($D45=0,0,IF(_xlfn.XLOOKUP($B45,'TH_CMI GRADE 10'!$B$7:$B$49,'TH_CMI GRADE 10'!AI$7:AI$49,"",0,1)="P",1*$D45,0))</f>
        <v>0</v>
      </c>
      <c r="BA45" s="31">
        <f>IF($C45=0,0,IF(_xlfn.XLOOKUP($B45,'PW_MLG GRADE 10'!$B$7:$B$31,'PW_MLG GRADE 10'!#REF!,"",0,1)="P",1*$C45,0))</f>
        <v>0</v>
      </c>
      <c r="BB45" s="31">
        <f>IF($C45=0,0,IF(_xlfn.XLOOKUP($B45,'PW_MLG GRADE 10'!$B$7:$B$31,'PW_MLG GRADE 10'!#REF!,"",0,1)="P",1*$C45,0))</f>
        <v>0</v>
      </c>
      <c r="BC45" s="31">
        <f>IF($C45=0,0,IF(_xlfn.XLOOKUP($B45,'PW_MLG GRADE 10'!$B$7:$B$31,'PW_MLG GRADE 10'!#REF!,"",0,1)="P",1*$C45,0))</f>
        <v>0</v>
      </c>
      <c r="BD45" s="31">
        <f>IF($C45=0,0,IF(_xlfn.XLOOKUP($B45,'PW_MLG GRADE 10'!$B$7:$B$31,'PW_MLG GRADE 10'!#REF!,"",0,1)="P",1*$C45,0))</f>
        <v>0</v>
      </c>
      <c r="BE45" s="31">
        <f>IF($C45=0,0,IF(_xlfn.XLOOKUP($B45,'PW_MLG GRADE 10'!$B$7:$B$31,'PW_MLG GRADE 10'!#REF!,"",0,1)="P",1*$C45,0))</f>
        <v>0</v>
      </c>
      <c r="BF45" s="31">
        <f>IF($C45=0,0,IF(_xlfn.XLOOKUP($B45,'PW_MLG GRADE 10'!$B$7:$B$31,'PW_MLG GRADE 10'!#REF!,"",0,1)="P",1*$C45,0))</f>
        <v>0</v>
      </c>
      <c r="BG45" s="31">
        <f>IF($C45=0,0,IF(_xlfn.XLOOKUP($B45,'PW_MLG GRADE 10'!$B$7:$B$31,'PW_MLG GRADE 10'!#REF!,"",0,1)="P",1*$C45,0))</f>
        <v>0</v>
      </c>
      <c r="BH45" s="31">
        <f>IF($C45=0,0,IF(_xlfn.XLOOKUP($B45,'PW_MLG GRADE 10'!$B$7:$B$31,'PW_MLG GRADE 10'!#REF!,"",0,1)="P",1*$C45,0))</f>
        <v>0</v>
      </c>
      <c r="BI45" s="31">
        <f>IF($C45=0,0,IF(_xlfn.XLOOKUP($B45,'PW_MLG GRADE 10'!$B$7:$B$31,'PW_MLG GRADE 10'!#REF!,"",0,1)="P",1*$C45,0))</f>
        <v>0</v>
      </c>
      <c r="BJ45" s="31">
        <f>IF($C45=0,0,IF(_xlfn.XLOOKUP($B45,'PW_MLG GRADE 10'!$B$7:$B$31,'PW_MLG GRADE 10'!#REF!,"",0,1)="P",1*$C45,0))</f>
        <v>0</v>
      </c>
      <c r="BK45" s="31">
        <f>IF($C45=0,0,IF(_xlfn.XLOOKUP($B45,'PW_MLG GRADE 10'!$B$7:$B$31,'PW_MLG GRADE 10'!#REF!,"",0,1)="P",1*$C45,0))</f>
        <v>0</v>
      </c>
      <c r="BL45" s="31">
        <f>IF($C45=0,0,IF(_xlfn.XLOOKUP($B45,'PW_MLG GRADE 10'!$B$7:$B$31,'PW_MLG GRADE 10'!#REF!,"",0,1)="P",1*$C45,0))</f>
        <v>0</v>
      </c>
      <c r="BM45" s="31">
        <f>IF($C45=0,0,IF(_xlfn.XLOOKUP($B45,'PW_MLG GRADE 10'!$B$7:$B$31,'PW_MLG GRADE 10'!#REF!,"",0,1)="P",1*$C45,0))</f>
        <v>0</v>
      </c>
      <c r="BN45" s="31">
        <f>IF($C45=0,0,IF(_xlfn.XLOOKUP($B45,'PW_MLG GRADE 10'!$B$7:$B$31,'PW_MLG GRADE 10'!#REF!,"",0,1)="P",1*$C45,0))</f>
        <v>0</v>
      </c>
      <c r="BO45" s="31">
        <f>IF($C45=0,0,IF(_xlfn.XLOOKUP($B45,'PW_MLG GRADE 10'!$B$7:$B$31,'PW_MLG GRADE 10'!#REF!,"",0,1)="P",1*$C45,0))</f>
        <v>0</v>
      </c>
      <c r="BP45" s="31">
        <f>IF($C45=0,0,IF(_xlfn.XLOOKUP($B45,'PW_MLG GRADE 10'!$B$7:$B$31,'PW_MLG GRADE 10'!#REF!,"",0,1)="P",1*$C45,0))</f>
        <v>0</v>
      </c>
      <c r="BQ45" s="31">
        <f>IF($C45=0,0,IF(_xlfn.XLOOKUP($B45,'PW_MLG GRADE 10'!$B$7:$B$31,'PW_MLG GRADE 10'!#REF!,"",0,1)="P",1*$C45,0))</f>
        <v>0</v>
      </c>
      <c r="BR45" s="31">
        <f>IF($C45=0,0,IF(_xlfn.XLOOKUP($B45,'PW_MLG GRADE 10'!$B$7:$B$31,'PW_MLG GRADE 10'!#REF!,"",0,1)="P",1*$C45,0))</f>
        <v>0</v>
      </c>
      <c r="BS45" s="31">
        <f>IF($C45=0,0,IF(_xlfn.XLOOKUP($B45,'PW_MLG GRADE 10'!$B$7:$B$31,'PW_MLG GRADE 10'!#REF!,"",0,1)="P",1*$C45,0))</f>
        <v>0</v>
      </c>
      <c r="BT45" s="31">
        <f>IF($C45=0,0,IF(_xlfn.XLOOKUP($B45,'PW_MLG GRADE 10'!$B$7:$B$31,'PW_MLG GRADE 10'!#REF!,"",0,1)="P",1*$C45,0))</f>
        <v>0</v>
      </c>
      <c r="BU45" s="31">
        <f>IF($C45=0,0,IF(_xlfn.XLOOKUP($B45,'PW_MLG GRADE 10'!$B$7:$B$31,'PW_MLG GRADE 10'!#REF!,"",0,1)="P",1*$C45,0))</f>
        <v>0</v>
      </c>
      <c r="BV45" s="31">
        <f>IF($C45=0,0,IF(_xlfn.XLOOKUP($B45,'PW_MLG GRADE 10'!$B$7:$B$31,'PW_MLG GRADE 10'!#REF!,"",0,1)="P",1*$C45,0))</f>
        <v>0</v>
      </c>
      <c r="BW45" s="31">
        <f>IF($C45=0,0,IF(_xlfn.XLOOKUP($B45,'PW_MLG GRADE 10'!$B$7:$B$31,'PW_MLG GRADE 10'!#REF!,"",0,1)="P",1*$C45,0))</f>
        <v>0</v>
      </c>
      <c r="BX45" s="31">
        <f>IF($C45=0,0,IF(_xlfn.XLOOKUP($B45,'PW_MLG GRADE 10'!$B$7:$B$31,'PW_MLG GRADE 10'!#REF!,"",0,1)="P",1*$C45,0))</f>
        <v>0</v>
      </c>
      <c r="BY45" s="31">
        <f>IF($C45=0,0,IF(_xlfn.XLOOKUP($B45,'PW_MLG GRADE 10'!$B$7:$B$31,'PW_MLG GRADE 10'!#REF!,"",0,1)="P",1*$C45,0))</f>
        <v>0</v>
      </c>
      <c r="BZ45" s="31">
        <f>IF($C45=0,0,IF(_xlfn.XLOOKUP($B45,'PW_MLG GRADE 10'!$B$7:$B$31,'PW_MLG GRADE 10'!#REF!,"",0,1)="P",1*$C45,0))</f>
        <v>0</v>
      </c>
      <c r="CA45" s="31">
        <f>IF($C45=0,0,IF(_xlfn.XLOOKUP($B45,'PW_MLG GRADE 10'!$B$7:$B$31,'PW_MLG GRADE 10'!#REF!,"",0,1)="P",1*$C45,0))</f>
        <v>0</v>
      </c>
      <c r="CB45" s="31">
        <f>IF($C45=0,0,IF(_xlfn.XLOOKUP($B45,'PW_MLG GRADE 10'!$B$7:$B$31,'PW_MLG GRADE 10'!#REF!,"",0,1)="P",1*$C45,0))</f>
        <v>0</v>
      </c>
      <c r="CC45" s="31">
        <f>IF($C45=0,0,IF(_xlfn.XLOOKUP($B45,'PW_MLG GRADE 10'!$B$7:$B$31,'PW_MLG GRADE 10'!#REF!,"",0,1)="P",1*$C45,0))</f>
        <v>0</v>
      </c>
      <c r="CD45" s="31">
        <f>IF($C45=0,0,IF(_xlfn.XLOOKUP($B45,'PW_MLG GRADE 10'!$B$7:$B$31,'PW_MLG GRADE 10'!#REF!,"",0,1)="P",1*$C45,0))</f>
        <v>0</v>
      </c>
      <c r="CE45" s="32">
        <f>IF($C45=0,0,IF(_xlfn.XLOOKUP($B45,'PW_CMI GRADE 10'!$B$7:$B$31,'PW_CMI GRADE 10'!C$7:C$31,"",0,1)="P",1*$C45,0))</f>
        <v>0</v>
      </c>
      <c r="CF45" s="32">
        <f>IF($C45=0,0,IF(_xlfn.XLOOKUP($B45,'PW_CMI GRADE 10'!$B$7:$B$31,'PW_CMI GRADE 10'!D$7:D$31,"",0,1)="P",1*$C45,0))</f>
        <v>0</v>
      </c>
      <c r="CG45" s="32">
        <f>IF($C45=0,0,IF(_xlfn.XLOOKUP($B45,'PW_CMI GRADE 10'!$B$7:$B$31,'PW_CMI GRADE 10'!E$7:E$31,"",0,1)="P",1*$C45,0))</f>
        <v>0</v>
      </c>
      <c r="CH45" s="32">
        <f>IF($C45=0,0,IF(_xlfn.XLOOKUP($B45,'PW_CMI GRADE 10'!$B$7:$B$31,'PW_CMI GRADE 10'!F$7:F$31,"",0,1)="P",1*$C45,0))</f>
        <v>0</v>
      </c>
      <c r="CI45" s="32">
        <f>IF($C45=0,0,IF(_xlfn.XLOOKUP($B45,'PW_CMI GRADE 10'!$B$7:$B$31,'PW_CMI GRADE 10'!G$7:G$31,"",0,1)="P",1*$C45,0))</f>
        <v>0</v>
      </c>
      <c r="CJ45" s="32">
        <f>IF($C45=0,0,IF(_xlfn.XLOOKUP($B45,'PW_CMI GRADE 10'!$B$7:$B$31,'PW_CMI GRADE 10'!H$7:H$31,"",0,1)="P",1*$C45,0))</f>
        <v>0</v>
      </c>
      <c r="CK45" s="32">
        <f>IF($C45=0,0,IF(_xlfn.XLOOKUP($B45,'PW_CMI GRADE 10'!$B$7:$B$31,'PW_CMI GRADE 10'!I$7:I$31,"",0,1)="P",1*$C45,0))</f>
        <v>0</v>
      </c>
      <c r="CL45" s="32">
        <f>IF($C45=0,0,IF(_xlfn.XLOOKUP($B45,'PW_CMI GRADE 10'!$B$7:$B$31,'PW_CMI GRADE 10'!J$7:J$31,"",0,1)="P",1*$C45,0))</f>
        <v>0</v>
      </c>
      <c r="CM45" s="32">
        <f>IF($C45=0,0,IF(_xlfn.XLOOKUP($B45,'PW_CMI GRADE 10'!$B$7:$B$31,'PW_CMI GRADE 10'!K$7:K$31,"",0,1)="P",1*$C45,0))</f>
        <v>0</v>
      </c>
      <c r="CN45" s="32">
        <f>IF($C45=0,0,IF(_xlfn.XLOOKUP($B45,'PW_CMI GRADE 10'!$B$7:$B$31,'PW_CMI GRADE 10'!L$7:L$31,"",0,1)="P",1*$C45,0))</f>
        <v>0</v>
      </c>
      <c r="CO45" s="32">
        <f>IF($C45=0,0,IF(_xlfn.XLOOKUP($B45,'PW_CMI GRADE 10'!$B$7:$B$31,'PW_CMI GRADE 10'!M$7:M$31,"",0,1)="P",1*$C45,0))</f>
        <v>0</v>
      </c>
      <c r="CP45" s="32">
        <f>IF($C45=0,0,IF(_xlfn.XLOOKUP($B45,'PW_CMI GRADE 10'!$B$7:$B$31,'PW_CMI GRADE 10'!N$7:N$31,"",0,1)="P",1*$C45,0))</f>
        <v>0</v>
      </c>
      <c r="CQ45" s="32">
        <f>IF($C45=0,0,IF(_xlfn.XLOOKUP($B45,'PW_CMI GRADE 10'!$B$7:$B$31,'PW_CMI GRADE 10'!O$7:O$31,"",0,1)="P",1*$C45,0))</f>
        <v>0</v>
      </c>
      <c r="CR45" s="32">
        <f>IF($C45=0,0,IF(_xlfn.XLOOKUP($B45,'PW_CMI GRADE 10'!$B$7:$B$31,'PW_CMI GRADE 10'!P$7:P$31,"",0,1)="P",1*$C45,0))</f>
        <v>0</v>
      </c>
      <c r="CS45" s="32">
        <f>IF($C45=0,0,IF(_xlfn.XLOOKUP($B45,'PW_CMI GRADE 10'!$B$7:$B$31,'PW_CMI GRADE 10'!Q$7:Q$31,"",0,1)="P",1*$C45,0))</f>
        <v>0</v>
      </c>
      <c r="CT45" s="32">
        <f>IF($C45=0,0,IF(_xlfn.XLOOKUP($B45,'PW_CMI GRADE 10'!$B$7:$B$31,'PW_CMI GRADE 10'!R$7:R$31,"",0,1)="P",1*$C45,0))</f>
        <v>0</v>
      </c>
      <c r="CU45" s="32">
        <f>IF($C45=0,0,IF(_xlfn.XLOOKUP($B45,'PW_CMI GRADE 10'!$B$7:$B$31,'PW_CMI GRADE 10'!S$7:S$31,"",0,1)="P",1*$C45,0))</f>
        <v>0</v>
      </c>
      <c r="CV45" s="32">
        <f>IF($C45=0,0,IF(_xlfn.XLOOKUP($B45,'PW_CMI GRADE 10'!$B$7:$B$31,'PW_CMI GRADE 10'!T$7:T$31,"",0,1)="P",1*$C45,0))</f>
        <v>0</v>
      </c>
      <c r="CW45" s="62">
        <f t="shared" si="19"/>
        <v>0</v>
      </c>
      <c r="CX45" s="62">
        <f t="shared" si="20"/>
        <v>0</v>
      </c>
      <c r="CY45" s="62">
        <f t="shared" si="21"/>
        <v>0</v>
      </c>
      <c r="CZ45" s="62">
        <f t="shared" si="22"/>
        <v>0</v>
      </c>
      <c r="DA45" s="62">
        <f t="shared" si="23"/>
        <v>0</v>
      </c>
      <c r="DB45" s="62">
        <f t="shared" si="24"/>
        <v>0</v>
      </c>
      <c r="DC45" s="62">
        <f t="shared" si="25"/>
        <v>0</v>
      </c>
      <c r="DD45" s="62">
        <f t="shared" si="26"/>
        <v>0</v>
      </c>
      <c r="DE45" s="62">
        <f t="shared" si="27"/>
        <v>0</v>
      </c>
      <c r="DF45" s="62">
        <f t="shared" si="28"/>
        <v>0</v>
      </c>
      <c r="DG45" s="62">
        <f t="shared" si="29"/>
        <v>0</v>
      </c>
      <c r="DH45" s="62">
        <f t="shared" si="30"/>
        <v>0</v>
      </c>
      <c r="DI45" s="62">
        <f t="shared" si="31"/>
        <v>0</v>
      </c>
      <c r="DJ45" s="62">
        <f t="shared" si="32"/>
        <v>0.33333333333333331</v>
      </c>
      <c r="DK45" s="62">
        <f t="shared" si="33"/>
        <v>0.66666666666666663</v>
      </c>
      <c r="DL45" s="62">
        <f t="shared" si="34"/>
        <v>1</v>
      </c>
      <c r="DM45" s="62">
        <f t="shared" si="35"/>
        <v>1</v>
      </c>
      <c r="DN45" s="62">
        <f t="shared" si="36"/>
        <v>1</v>
      </c>
      <c r="DO45" s="62">
        <f t="shared" si="37"/>
        <v>1</v>
      </c>
      <c r="DP45" s="62">
        <f t="shared" si="38"/>
        <v>0.66666666666666663</v>
      </c>
      <c r="DQ45" s="62">
        <f t="shared" si="39"/>
        <v>0.33333333333333331</v>
      </c>
      <c r="DR45" s="62">
        <f t="shared" si="40"/>
        <v>0</v>
      </c>
      <c r="DS45" s="62" t="e">
        <f t="shared" si="41"/>
        <v>#REF!</v>
      </c>
      <c r="DT45" s="62" t="e">
        <f t="shared" si="42"/>
        <v>#REF!</v>
      </c>
      <c r="DU45" s="62" t="e">
        <f t="shared" si="43"/>
        <v>#REF!</v>
      </c>
      <c r="DV45" s="62" t="e">
        <f t="shared" si="44"/>
        <v>#REF!</v>
      </c>
      <c r="DW45" s="62" t="e">
        <f t="shared" si="45"/>
        <v>#REF!</v>
      </c>
      <c r="DX45" s="62" t="e">
        <f t="shared" si="46"/>
        <v>#REF!</v>
      </c>
      <c r="DY45" s="62" t="e">
        <f t="shared" si="47"/>
        <v>#REF!</v>
      </c>
      <c r="DZ45" s="62" t="e">
        <f t="shared" si="48"/>
        <v>#REF!</v>
      </c>
      <c r="EA45" s="63">
        <f t="shared" si="68"/>
        <v>0.66666666666666663</v>
      </c>
      <c r="EB45" s="63">
        <f t="shared" si="2"/>
        <v>0.33333333333333331</v>
      </c>
      <c r="EC45" s="63">
        <f t="shared" si="3"/>
        <v>0</v>
      </c>
      <c r="ED45" s="63">
        <f t="shared" si="4"/>
        <v>0</v>
      </c>
      <c r="EE45" s="63">
        <f t="shared" si="5"/>
        <v>0</v>
      </c>
      <c r="EF45" s="63">
        <f t="shared" si="6"/>
        <v>0</v>
      </c>
      <c r="EG45" s="63">
        <f t="shared" si="7"/>
        <v>0</v>
      </c>
      <c r="EH45" s="63">
        <f t="shared" si="8"/>
        <v>0.33333333333333331</v>
      </c>
      <c r="EI45" s="63">
        <f t="shared" si="9"/>
        <v>0.66666666666666663</v>
      </c>
      <c r="EJ45" s="63">
        <f t="shared" si="10"/>
        <v>1</v>
      </c>
      <c r="EK45" s="63">
        <f t="shared" si="11"/>
        <v>0.66666666666666663</v>
      </c>
      <c r="EL45" s="63">
        <f t="shared" si="12"/>
        <v>0.33333333333333331</v>
      </c>
      <c r="EM45" s="63">
        <f t="shared" si="13"/>
        <v>0</v>
      </c>
      <c r="EN45" s="63">
        <f t="shared" si="14"/>
        <v>0</v>
      </c>
      <c r="EO45" s="63">
        <f t="shared" si="15"/>
        <v>0</v>
      </c>
      <c r="EP45" s="63">
        <f t="shared" si="16"/>
        <v>0</v>
      </c>
      <c r="FU45" s="51">
        <v>47088</v>
      </c>
      <c r="FV45" t="s">
        <v>22</v>
      </c>
      <c r="FW45" t="s">
        <v>22</v>
      </c>
      <c r="FX45" t="s">
        <v>22</v>
      </c>
      <c r="FY45" t="s">
        <v>22</v>
      </c>
      <c r="FZ45" t="s">
        <v>22</v>
      </c>
      <c r="GA45" t="s">
        <v>22</v>
      </c>
      <c r="GB45" t="s">
        <v>22</v>
      </c>
      <c r="GC45" t="s">
        <v>22</v>
      </c>
      <c r="GD45" t="s">
        <v>22</v>
      </c>
      <c r="GE45" t="s">
        <v>22</v>
      </c>
      <c r="GF45" t="s">
        <v>22</v>
      </c>
      <c r="GG45" t="s">
        <v>22</v>
      </c>
      <c r="GH45" t="s">
        <v>22</v>
      </c>
      <c r="GI45" t="s">
        <v>22</v>
      </c>
      <c r="GJ45" t="s">
        <v>22</v>
      </c>
      <c r="GK45" t="s">
        <v>22</v>
      </c>
      <c r="GL45" t="s">
        <v>22</v>
      </c>
      <c r="GM45" t="s">
        <v>22</v>
      </c>
      <c r="GN45" t="s">
        <v>22</v>
      </c>
      <c r="GO45" t="s">
        <v>22</v>
      </c>
      <c r="GP45" t="s">
        <v>22</v>
      </c>
      <c r="GQ45" t="s">
        <v>22</v>
      </c>
      <c r="GR45" t="s">
        <v>22</v>
      </c>
      <c r="GS45" t="s">
        <v>22</v>
      </c>
      <c r="GT45" t="s">
        <v>22</v>
      </c>
      <c r="GU45" t="s">
        <v>22</v>
      </c>
      <c r="GV45" t="s">
        <v>22</v>
      </c>
      <c r="GW45" t="s">
        <v>22</v>
      </c>
      <c r="GX45" t="s">
        <v>22</v>
      </c>
      <c r="GY45" t="s">
        <v>22</v>
      </c>
      <c r="GZ45" t="s">
        <v>22</v>
      </c>
      <c r="HA45" t="s">
        <v>22</v>
      </c>
      <c r="HB45" t="s">
        <v>22</v>
      </c>
      <c r="HC45" t="s">
        <v>22</v>
      </c>
      <c r="HD45" t="s">
        <v>22</v>
      </c>
      <c r="HE45" t="s">
        <v>22</v>
      </c>
      <c r="HF45" t="s">
        <v>22</v>
      </c>
      <c r="HG45" t="s">
        <v>22</v>
      </c>
      <c r="HH45" t="s">
        <v>22</v>
      </c>
      <c r="HI45" t="s">
        <v>22</v>
      </c>
      <c r="HJ45" t="s">
        <v>22</v>
      </c>
      <c r="HK45" t="s">
        <v>22</v>
      </c>
      <c r="HL45" t="s">
        <v>22</v>
      </c>
      <c r="HM45" t="s">
        <v>22</v>
      </c>
      <c r="HN45" t="s">
        <v>22</v>
      </c>
      <c r="HO45" cm="1">
        <f t="array" ref="HO45">SUMPRODUCT(--(FV45:HN45&lt;&gt;""))</f>
        <v>0</v>
      </c>
    </row>
    <row r="46" spans="1:223">
      <c r="A46" t="str">
        <f t="shared" si="18"/>
        <v>7A.1</v>
      </c>
      <c r="B46" t="s">
        <v>77</v>
      </c>
      <c r="C46" s="27"/>
      <c r="D46" s="30">
        <v>2</v>
      </c>
      <c r="E46" s="31">
        <f>IF($D46=0,0,IF(_xlfn.XLOOKUP($B46,'TH_MLG GRADE 10'!$B$7:$B$49,'TH_MLG GRADE 10'!C$7:C$49,"",0,1)="P",1*$D46,0))</f>
        <v>0</v>
      </c>
      <c r="F46" s="31">
        <f>IF($D46=0,0,IF(_xlfn.XLOOKUP($B46,'TH_MLG GRADE 10'!$B$7:$B$49,'TH_MLG GRADE 10'!D$7:D$49,"",0,1)="P",1*$D46,0))</f>
        <v>0</v>
      </c>
      <c r="G46" s="31">
        <f>IF($D46=0,0,IF(_xlfn.XLOOKUP($B46,'TH_MLG GRADE 10'!$B$7:$B$49,'TH_MLG GRADE 10'!E$7:E$49,"",0,1)="P",1*$D46,0))</f>
        <v>0</v>
      </c>
      <c r="H46" s="31">
        <f>IF($D46=0,0,IF(_xlfn.XLOOKUP($B46,'TH_MLG GRADE 10'!$B$7:$B$49,'TH_MLG GRADE 10'!I$7:I$49,"",0,1)="P",1*$D46,0))</f>
        <v>0</v>
      </c>
      <c r="I46" s="31">
        <f>IF($D46=0,0,IF(_xlfn.XLOOKUP($B46,'TH_MLG GRADE 10'!$B$7:$B$49,'TH_MLG GRADE 10'!J$7:J$49,"",0,1)="P",1*$D46,0))</f>
        <v>0</v>
      </c>
      <c r="J46" s="31">
        <f>IF($D46=0,0,IF(_xlfn.XLOOKUP($B46,'TH_MLG GRADE 10'!$B$7:$B$49,'TH_MLG GRADE 10'!K$7:K$49,"",0,1)="P",1*$D46,0))</f>
        <v>0</v>
      </c>
      <c r="K46" s="31">
        <f>IF($D46=0,0,IF(_xlfn.XLOOKUP($B46,'TH_MLG GRADE 10'!$B$7:$B$49,'TH_MLG GRADE 10'!O$7:O$49,"",0,1)="P",1*$D46,0))</f>
        <v>0</v>
      </c>
      <c r="L46" s="31">
        <f>IF($D46=0,0,IF(_xlfn.XLOOKUP($B46,'TH_MLG GRADE 10'!$B$7:$B$49,'TH_MLG GRADE 10'!P$7:P$49,"",0,1)="P",1*$D46,0))</f>
        <v>0</v>
      </c>
      <c r="M46" s="31">
        <f>IF($D46=0,0,IF(_xlfn.XLOOKUP($B46,'TH_MLG GRADE 10'!$B$7:$B$49,'TH_MLG GRADE 10'!Q$7:Q$49,"",0,1)="P",1*$D46,0))</f>
        <v>0</v>
      </c>
      <c r="N46" s="31">
        <f>IF($D46=0,0,IF(_xlfn.XLOOKUP($B46,'TH_MLG GRADE 10'!$B$7:$B$49,'TH_MLG GRADE 10'!AA$7:AA$49,"",0,1)="P",1*$D46,0))</f>
        <v>0</v>
      </c>
      <c r="O46" s="31">
        <f>IF($D46=0,0,IF(_xlfn.XLOOKUP($B46,'TH_MLG GRADE 10'!$B$7:$B$49,'TH_MLG GRADE 10'!AB$7:AB$49,"",0,1)="P",1*$D46,0))</f>
        <v>0</v>
      </c>
      <c r="P46" s="31">
        <f>IF($D46=0,0,IF(_xlfn.XLOOKUP($B46,'TH_MLG GRADE 10'!$B$7:$B$49,'TH_MLG GRADE 10'!AC$7:AC$49,"",0,1)="P",1*$D46,0))</f>
        <v>0</v>
      </c>
      <c r="Q46" s="31">
        <f>IF($D46=0,0,IF(_xlfn.XLOOKUP($B46,'TH_MLG GRADE 10'!$B$7:$B$49,'TH_MLG GRADE 10'!AG$7:AG$49,"",0,1)="P",1*$D46,0))</f>
        <v>0</v>
      </c>
      <c r="R46" s="31">
        <f>IF($D46=0,0,IF(_xlfn.XLOOKUP($B46,'TH_MLG GRADE 10'!$B$7:$B$49,'TH_MLG GRADE 10'!AH$7:AH$49,"",0,1)="P",1*$D46,0))</f>
        <v>0</v>
      </c>
      <c r="S46" s="31">
        <f>IF($D46=0,0,IF(_xlfn.XLOOKUP($B46,'TH_MLG GRADE 10'!$B$7:$B$49,'TH_MLG GRADE 10'!AI$7:AI$49,"",0,1)="P",1*$D46,0))</f>
        <v>0</v>
      </c>
      <c r="T46" s="31">
        <f>IF($D46=0,0,IF(_xlfn.XLOOKUP($B46,'TH_MLG GRADE 10'!$B$7:$B$49,'TH_MLG GRADE 10'!AM$7:AM$49,"",0,1)="P",1*$D46,0))</f>
        <v>2</v>
      </c>
      <c r="U46" s="31">
        <f>IF($D46=0,0,IF(_xlfn.XLOOKUP($B46,'TH_MLG GRADE 10'!$B$7:$B$49,'TH_MLG GRADE 10'!AN$7:AN$49,"",0,1)="P",1*$D46,0))</f>
        <v>2</v>
      </c>
      <c r="V46" s="31">
        <f>IF($D46=0,0,IF(_xlfn.XLOOKUP($B46,'TH_MLG GRADE 10'!$B$7:$B$49,'TH_MLG GRADE 10'!AO$7:AO$49,"",0,1)="P",1*$D46,0))</f>
        <v>2</v>
      </c>
      <c r="W46" s="31">
        <f>IF($D46=0,0,IF(_xlfn.XLOOKUP($B46,'TH_MLG GRADE 10'!$B$7:$B$49,'TH_MLG GRADE 10'!AY$7:AY$49,"",0,1)="P",1*$D46,0))</f>
        <v>2</v>
      </c>
      <c r="X46" s="31">
        <f>IF($D46=0,0,IF(_xlfn.XLOOKUP($B46,'TH_MLG GRADE 10'!$B$7:$B$49,'TH_MLG GRADE 10'!AZ$7:AZ$49,"",0,1)="P",1*$D46,0))</f>
        <v>2</v>
      </c>
      <c r="Y46" s="31">
        <f>IF($D46=0,0,IF(_xlfn.XLOOKUP($B46,'TH_MLG GRADE 10'!$B$7:$B$49,'TH_MLG GRADE 10'!BA$7:BA$49,"",0,1)="P",1*$D46,0))</f>
        <v>2</v>
      </c>
      <c r="Z46" s="31">
        <f>IF($D46=0,0,IF(_xlfn.XLOOKUP($B46,'TH_MLG GRADE 10'!$B$7:$B$49,'TH_MLG GRADE 10'!BE$7:BE$49,"",0,1)="P",1*$D46,0))</f>
        <v>0</v>
      </c>
      <c r="AA46" s="31">
        <f>IF($D46=0,0,IF(_xlfn.XLOOKUP($B46,'TH_MLG GRADE 10'!$B$7:$B$49,'TH_MLG GRADE 10'!BF$7:BF$49,"",0,1)="P",1*$D46,0))</f>
        <v>0</v>
      </c>
      <c r="AB46" s="31">
        <f>IF($D46=0,0,IF(_xlfn.XLOOKUP($B46,'TH_MLG GRADE 10'!$B$7:$B$49,'TH_MLG GRADE 10'!BG$7:BG$49,"",0,1)="P",1*$D46,0))</f>
        <v>0</v>
      </c>
      <c r="AC46" s="31" t="e">
        <f>IF($D46=0,0,IF(_xlfn.XLOOKUP($B46,'TH_MLG GRADE 10'!$B$7:$B$49,'TH_MLG GRADE 10'!#REF!,"",0,1)="P",1*$D46,0))</f>
        <v>#REF!</v>
      </c>
      <c r="AD46" s="31" t="e">
        <f>IF($D46=0,0,IF(_xlfn.XLOOKUP($B46,'TH_MLG GRADE 10'!$B$7:$B$49,'TH_MLG GRADE 10'!#REF!,"",0,1)="P",1*$D46,0))</f>
        <v>#REF!</v>
      </c>
      <c r="AE46" s="31" t="e">
        <f>IF($D46=0,0,IF(_xlfn.XLOOKUP($B46,'TH_MLG GRADE 10'!$B$7:$B$49,'TH_MLG GRADE 10'!#REF!,"",0,1)="P",1*$D46,0))</f>
        <v>#REF!</v>
      </c>
      <c r="AF46" s="31" t="e">
        <f>IF($D46=0,0,IF(_xlfn.XLOOKUP($B46,'TH_MLG GRADE 10'!$B$7:$B$49,'TH_MLG GRADE 10'!#REF!,"",0,1)="P",1*$D46,0))</f>
        <v>#REF!</v>
      </c>
      <c r="AG46" s="31" t="e">
        <f>IF($D46=0,0,IF(_xlfn.XLOOKUP($B46,'TH_MLG GRADE 10'!$B$7:$B$49,'TH_MLG GRADE 10'!#REF!,"",0,1)="P",1*$D46,0))</f>
        <v>#REF!</v>
      </c>
      <c r="AH46" s="31" t="e">
        <f>IF($D46=0,0,IF(_xlfn.XLOOKUP($B46,'TH_MLG GRADE 10'!$B$7:$B$49,'TH_MLG GRADE 10'!#REF!,"",0,1)="P",1*$D46,0))</f>
        <v>#REF!</v>
      </c>
      <c r="AI46" s="32">
        <f>IF($D46=0,0,IF(_xlfn.XLOOKUP($B46,'TH_CMI GRADE 10'!$B$7:$B$49,'TH_CMI GRADE 10'!C$7:C$49,"",0,1)="P",1*$D46,0))</f>
        <v>2</v>
      </c>
      <c r="AJ46" s="32">
        <f>IF($D46=0,0,IF(_xlfn.XLOOKUP($B46,'TH_CMI GRADE 10'!$B$7:$B$49,'TH_CMI GRADE 10'!D$7:D$49,"",0,1)="P",1*$D46,0))</f>
        <v>2</v>
      </c>
      <c r="AK46" s="32">
        <f>IF($D46=0,0,IF(_xlfn.XLOOKUP($B46,'TH_CMI GRADE 10'!$B$7:$B$49,'TH_CMI GRADE 10'!H$7:H$49,"",0,1)="P",1*$D46,0))</f>
        <v>0</v>
      </c>
      <c r="AL46" s="32">
        <f>IF($D46=0,0,IF(_xlfn.XLOOKUP($B46,'TH_CMI GRADE 10'!$B$7:$B$49,'TH_CMI GRADE 10'!I$7:I$49,"",0,1)="P",1*$D46,0))</f>
        <v>0</v>
      </c>
      <c r="AM46" s="32">
        <f>IF($D46=0,0,IF(_xlfn.XLOOKUP($B46,'TH_CMI GRADE 10'!$B$7:$B$49,'TH_CMI GRADE 10'!J$7:J$49,"",0,1)="P",1*$D46,0))</f>
        <v>0</v>
      </c>
      <c r="AN46" s="32">
        <f>IF($D46=0,0,IF(_xlfn.XLOOKUP($B46,'TH_CMI GRADE 10'!$B$7:$B$49,'TH_CMI GRADE 10'!K$7:K$49,"",0,1)="P",1*$D46,0))</f>
        <v>0</v>
      </c>
      <c r="AO46" s="32">
        <f>IF($D46=0,0,IF(_xlfn.XLOOKUP($B46,'TH_CMI GRADE 10'!$B$7:$B$49,'TH_CMI GRADE 10'!O$7:O$49,"",0,1)="P",1*$D46,0))</f>
        <v>0</v>
      </c>
      <c r="AP46" s="32">
        <f>IF($D46=0,0,IF(_xlfn.XLOOKUP($B46,'TH_CMI GRADE 10'!$B$7:$B$49,'TH_CMI GRADE 10'!P$7:P$49,"",0,1)="P",1*$D46,0))</f>
        <v>0</v>
      </c>
      <c r="AQ46" s="32">
        <f>IF($D46=0,0,IF(_xlfn.XLOOKUP($B46,'TH_CMI GRADE 10'!$B$7:$B$49,'TH_CMI GRADE 10'!Q$7:Q$49,"",0,1)="P",1*$D46,0))</f>
        <v>0</v>
      </c>
      <c r="AR46" s="32">
        <f>IF($D46=0,0,IF(_xlfn.XLOOKUP($B46,'TH_CMI GRADE 10'!$B$7:$B$49,'TH_CMI GRADE 10'!U$7:U$49,"",0,1)="P",1*$D46,0))</f>
        <v>2</v>
      </c>
      <c r="AS46" s="32">
        <f>IF($D46=0,0,IF(_xlfn.XLOOKUP($B46,'TH_CMI GRADE 10'!$B$7:$B$49,'TH_CMI GRADE 10'!V$7:V$49,"",0,1)="P",1*$D46,0))</f>
        <v>2</v>
      </c>
      <c r="AT46" s="32">
        <f>IF($D46=0,0,IF(_xlfn.XLOOKUP($B46,'TH_CMI GRADE 10'!$B$7:$B$49,'TH_CMI GRADE 10'!W$7:W$49,"",0,1)="P",1*$D46,0))</f>
        <v>2</v>
      </c>
      <c r="AU46" s="32">
        <f>IF($D46=0,0,IF(_xlfn.XLOOKUP($B46,'TH_CMI GRADE 10'!$B$7:$B$49,'TH_CMI GRADE 10'!AA$7:AA$49,"",0,1)="P",1*$D46,0))</f>
        <v>0</v>
      </c>
      <c r="AV46" s="32">
        <f>IF($D46=0,0,IF(_xlfn.XLOOKUP($B46,'TH_CMI GRADE 10'!$B$7:$B$49,'TH_CMI GRADE 10'!AB$7:AB$49,"",0,1)="P",1*$D46,0))</f>
        <v>0</v>
      </c>
      <c r="AW46" s="32">
        <f>IF($D46=0,0,IF(_xlfn.XLOOKUP($B46,'TH_CMI GRADE 10'!$B$7:$B$49,'TH_CMI GRADE 10'!AC$7:AC$49,"",0,1)="P",1*$D46,0))</f>
        <v>0</v>
      </c>
      <c r="AX46" s="32">
        <f>IF($D46=0,0,IF(_xlfn.XLOOKUP($B46,'TH_CMI GRADE 10'!$B$7:$B$49,'TH_CMI GRADE 10'!AG$7:AG$49,"",0,1)="P",1*$D46,0))</f>
        <v>0</v>
      </c>
      <c r="AY46" s="32">
        <f>IF($D46=0,0,IF(_xlfn.XLOOKUP($B46,'TH_CMI GRADE 10'!$B$7:$B$49,'TH_CMI GRADE 10'!AH$7:AH$49,"",0,1)="P",1*$D46,0))</f>
        <v>0</v>
      </c>
      <c r="AZ46" s="32">
        <f>IF($D46=0,0,IF(_xlfn.XLOOKUP($B46,'TH_CMI GRADE 10'!$B$7:$B$49,'TH_CMI GRADE 10'!AI$7:AI$49,"",0,1)="P",1*$D46,0))</f>
        <v>0</v>
      </c>
      <c r="BA46" s="31">
        <f>IF($C46=0,0,IF(_xlfn.XLOOKUP($B46,'PW_MLG GRADE 10'!$B$7:$B$31,'PW_MLG GRADE 10'!#REF!,"",0,1)="P",1*$C46,0))</f>
        <v>0</v>
      </c>
      <c r="BB46" s="31">
        <f>IF($C46=0,0,IF(_xlfn.XLOOKUP($B46,'PW_MLG GRADE 10'!$B$7:$B$31,'PW_MLG GRADE 10'!#REF!,"",0,1)="P",1*$C46,0))</f>
        <v>0</v>
      </c>
      <c r="BC46" s="31">
        <f>IF($C46=0,0,IF(_xlfn.XLOOKUP($B46,'PW_MLG GRADE 10'!$B$7:$B$31,'PW_MLG GRADE 10'!#REF!,"",0,1)="P",1*$C46,0))</f>
        <v>0</v>
      </c>
      <c r="BD46" s="31">
        <f>IF($C46=0,0,IF(_xlfn.XLOOKUP($B46,'PW_MLG GRADE 10'!$B$7:$B$31,'PW_MLG GRADE 10'!#REF!,"",0,1)="P",1*$C46,0))</f>
        <v>0</v>
      </c>
      <c r="BE46" s="31">
        <f>IF($C46=0,0,IF(_xlfn.XLOOKUP($B46,'PW_MLG GRADE 10'!$B$7:$B$31,'PW_MLG GRADE 10'!#REF!,"",0,1)="P",1*$C46,0))</f>
        <v>0</v>
      </c>
      <c r="BF46" s="31">
        <f>IF($C46=0,0,IF(_xlfn.XLOOKUP($B46,'PW_MLG GRADE 10'!$B$7:$B$31,'PW_MLG GRADE 10'!#REF!,"",0,1)="P",1*$C46,0))</f>
        <v>0</v>
      </c>
      <c r="BG46" s="31">
        <f>IF($C46=0,0,IF(_xlfn.XLOOKUP($B46,'PW_MLG GRADE 10'!$B$7:$B$31,'PW_MLG GRADE 10'!#REF!,"",0,1)="P",1*$C46,0))</f>
        <v>0</v>
      </c>
      <c r="BH46" s="31">
        <f>IF($C46=0,0,IF(_xlfn.XLOOKUP($B46,'PW_MLG GRADE 10'!$B$7:$B$31,'PW_MLG GRADE 10'!#REF!,"",0,1)="P",1*$C46,0))</f>
        <v>0</v>
      </c>
      <c r="BI46" s="31">
        <f>IF($C46=0,0,IF(_xlfn.XLOOKUP($B46,'PW_MLG GRADE 10'!$B$7:$B$31,'PW_MLG GRADE 10'!#REF!,"",0,1)="P",1*$C46,0))</f>
        <v>0</v>
      </c>
      <c r="BJ46" s="31">
        <f>IF($C46=0,0,IF(_xlfn.XLOOKUP($B46,'PW_MLG GRADE 10'!$B$7:$B$31,'PW_MLG GRADE 10'!#REF!,"",0,1)="P",1*$C46,0))</f>
        <v>0</v>
      </c>
      <c r="BK46" s="31">
        <f>IF($C46=0,0,IF(_xlfn.XLOOKUP($B46,'PW_MLG GRADE 10'!$B$7:$B$31,'PW_MLG GRADE 10'!#REF!,"",0,1)="P",1*$C46,0))</f>
        <v>0</v>
      </c>
      <c r="BL46" s="31">
        <f>IF($C46=0,0,IF(_xlfn.XLOOKUP($B46,'PW_MLG GRADE 10'!$B$7:$B$31,'PW_MLG GRADE 10'!#REF!,"",0,1)="P",1*$C46,0))</f>
        <v>0</v>
      </c>
      <c r="BM46" s="31">
        <f>IF($C46=0,0,IF(_xlfn.XLOOKUP($B46,'PW_MLG GRADE 10'!$B$7:$B$31,'PW_MLG GRADE 10'!#REF!,"",0,1)="P",1*$C46,0))</f>
        <v>0</v>
      </c>
      <c r="BN46" s="31">
        <f>IF($C46=0,0,IF(_xlfn.XLOOKUP($B46,'PW_MLG GRADE 10'!$B$7:$B$31,'PW_MLG GRADE 10'!#REF!,"",0,1)="P",1*$C46,0))</f>
        <v>0</v>
      </c>
      <c r="BO46" s="31">
        <f>IF($C46=0,0,IF(_xlfn.XLOOKUP($B46,'PW_MLG GRADE 10'!$B$7:$B$31,'PW_MLG GRADE 10'!#REF!,"",0,1)="P",1*$C46,0))</f>
        <v>0</v>
      </c>
      <c r="BP46" s="31">
        <f>IF($C46=0,0,IF(_xlfn.XLOOKUP($B46,'PW_MLG GRADE 10'!$B$7:$B$31,'PW_MLG GRADE 10'!#REF!,"",0,1)="P",1*$C46,0))</f>
        <v>0</v>
      </c>
      <c r="BQ46" s="31">
        <f>IF($C46=0,0,IF(_xlfn.XLOOKUP($B46,'PW_MLG GRADE 10'!$B$7:$B$31,'PW_MLG GRADE 10'!#REF!,"",0,1)="P",1*$C46,0))</f>
        <v>0</v>
      </c>
      <c r="BR46" s="31">
        <f>IF($C46=0,0,IF(_xlfn.XLOOKUP($B46,'PW_MLG GRADE 10'!$B$7:$B$31,'PW_MLG GRADE 10'!#REF!,"",0,1)="P",1*$C46,0))</f>
        <v>0</v>
      </c>
      <c r="BS46" s="31">
        <f>IF($C46=0,0,IF(_xlfn.XLOOKUP($B46,'PW_MLG GRADE 10'!$B$7:$B$31,'PW_MLG GRADE 10'!#REF!,"",0,1)="P",1*$C46,0))</f>
        <v>0</v>
      </c>
      <c r="BT46" s="31">
        <f>IF($C46=0,0,IF(_xlfn.XLOOKUP($B46,'PW_MLG GRADE 10'!$B$7:$B$31,'PW_MLG GRADE 10'!#REF!,"",0,1)="P",1*$C46,0))</f>
        <v>0</v>
      </c>
      <c r="BU46" s="31">
        <f>IF($C46=0,0,IF(_xlfn.XLOOKUP($B46,'PW_MLG GRADE 10'!$B$7:$B$31,'PW_MLG GRADE 10'!#REF!,"",0,1)="P",1*$C46,0))</f>
        <v>0</v>
      </c>
      <c r="BV46" s="31">
        <f>IF($C46=0,0,IF(_xlfn.XLOOKUP($B46,'PW_MLG GRADE 10'!$B$7:$B$31,'PW_MLG GRADE 10'!#REF!,"",0,1)="P",1*$C46,0))</f>
        <v>0</v>
      </c>
      <c r="BW46" s="31">
        <f>IF($C46=0,0,IF(_xlfn.XLOOKUP($B46,'PW_MLG GRADE 10'!$B$7:$B$31,'PW_MLG GRADE 10'!#REF!,"",0,1)="P",1*$C46,0))</f>
        <v>0</v>
      </c>
      <c r="BX46" s="31">
        <f>IF($C46=0,0,IF(_xlfn.XLOOKUP($B46,'PW_MLG GRADE 10'!$B$7:$B$31,'PW_MLG GRADE 10'!#REF!,"",0,1)="P",1*$C46,0))</f>
        <v>0</v>
      </c>
      <c r="BY46" s="31">
        <f>IF($C46=0,0,IF(_xlfn.XLOOKUP($B46,'PW_MLG GRADE 10'!$B$7:$B$31,'PW_MLG GRADE 10'!#REF!,"",0,1)="P",1*$C46,0))</f>
        <v>0</v>
      </c>
      <c r="BZ46" s="31">
        <f>IF($C46=0,0,IF(_xlfn.XLOOKUP($B46,'PW_MLG GRADE 10'!$B$7:$B$31,'PW_MLG GRADE 10'!#REF!,"",0,1)="P",1*$C46,0))</f>
        <v>0</v>
      </c>
      <c r="CA46" s="31">
        <f>IF($C46=0,0,IF(_xlfn.XLOOKUP($B46,'PW_MLG GRADE 10'!$B$7:$B$31,'PW_MLG GRADE 10'!#REF!,"",0,1)="P",1*$C46,0))</f>
        <v>0</v>
      </c>
      <c r="CB46" s="31">
        <f>IF($C46=0,0,IF(_xlfn.XLOOKUP($B46,'PW_MLG GRADE 10'!$B$7:$B$31,'PW_MLG GRADE 10'!#REF!,"",0,1)="P",1*$C46,0))</f>
        <v>0</v>
      </c>
      <c r="CC46" s="31">
        <f>IF($C46=0,0,IF(_xlfn.XLOOKUP($B46,'PW_MLG GRADE 10'!$B$7:$B$31,'PW_MLG GRADE 10'!#REF!,"",0,1)="P",1*$C46,0))</f>
        <v>0</v>
      </c>
      <c r="CD46" s="31">
        <f>IF($C46=0,0,IF(_xlfn.XLOOKUP($B46,'PW_MLG GRADE 10'!$B$7:$B$31,'PW_MLG GRADE 10'!#REF!,"",0,1)="P",1*$C46,0))</f>
        <v>0</v>
      </c>
      <c r="CE46" s="32">
        <f>IF($C46=0,0,IF(_xlfn.XLOOKUP($B46,'PW_CMI GRADE 10'!$B$7:$B$31,'PW_CMI GRADE 10'!C$7:C$31,"",0,1)="P",1*$C46,0))</f>
        <v>0</v>
      </c>
      <c r="CF46" s="32">
        <f>IF($C46=0,0,IF(_xlfn.XLOOKUP($B46,'PW_CMI GRADE 10'!$B$7:$B$31,'PW_CMI GRADE 10'!D$7:D$31,"",0,1)="P",1*$C46,0))</f>
        <v>0</v>
      </c>
      <c r="CG46" s="32">
        <f>IF($C46=0,0,IF(_xlfn.XLOOKUP($B46,'PW_CMI GRADE 10'!$B$7:$B$31,'PW_CMI GRADE 10'!E$7:E$31,"",0,1)="P",1*$C46,0))</f>
        <v>0</v>
      </c>
      <c r="CH46" s="32">
        <f>IF($C46=0,0,IF(_xlfn.XLOOKUP($B46,'PW_CMI GRADE 10'!$B$7:$B$31,'PW_CMI GRADE 10'!F$7:F$31,"",0,1)="P",1*$C46,0))</f>
        <v>0</v>
      </c>
      <c r="CI46" s="32">
        <f>IF($C46=0,0,IF(_xlfn.XLOOKUP($B46,'PW_CMI GRADE 10'!$B$7:$B$31,'PW_CMI GRADE 10'!G$7:G$31,"",0,1)="P",1*$C46,0))</f>
        <v>0</v>
      </c>
      <c r="CJ46" s="32">
        <f>IF($C46=0,0,IF(_xlfn.XLOOKUP($B46,'PW_CMI GRADE 10'!$B$7:$B$31,'PW_CMI GRADE 10'!H$7:H$31,"",0,1)="P",1*$C46,0))</f>
        <v>0</v>
      </c>
      <c r="CK46" s="32">
        <f>IF($C46=0,0,IF(_xlfn.XLOOKUP($B46,'PW_CMI GRADE 10'!$B$7:$B$31,'PW_CMI GRADE 10'!I$7:I$31,"",0,1)="P",1*$C46,0))</f>
        <v>0</v>
      </c>
      <c r="CL46" s="32">
        <f>IF($C46=0,0,IF(_xlfn.XLOOKUP($B46,'PW_CMI GRADE 10'!$B$7:$B$31,'PW_CMI GRADE 10'!J$7:J$31,"",0,1)="P",1*$C46,0))</f>
        <v>0</v>
      </c>
      <c r="CM46" s="32">
        <f>IF($C46=0,0,IF(_xlfn.XLOOKUP($B46,'PW_CMI GRADE 10'!$B$7:$B$31,'PW_CMI GRADE 10'!K$7:K$31,"",0,1)="P",1*$C46,0))</f>
        <v>0</v>
      </c>
      <c r="CN46" s="32">
        <f>IF($C46=0,0,IF(_xlfn.XLOOKUP($B46,'PW_CMI GRADE 10'!$B$7:$B$31,'PW_CMI GRADE 10'!L$7:L$31,"",0,1)="P",1*$C46,0))</f>
        <v>0</v>
      </c>
      <c r="CO46" s="32">
        <f>IF($C46=0,0,IF(_xlfn.XLOOKUP($B46,'PW_CMI GRADE 10'!$B$7:$B$31,'PW_CMI GRADE 10'!M$7:M$31,"",0,1)="P",1*$C46,0))</f>
        <v>0</v>
      </c>
      <c r="CP46" s="32">
        <f>IF($C46=0,0,IF(_xlfn.XLOOKUP($B46,'PW_CMI GRADE 10'!$B$7:$B$31,'PW_CMI GRADE 10'!N$7:N$31,"",0,1)="P",1*$C46,0))</f>
        <v>0</v>
      </c>
      <c r="CQ46" s="32">
        <f>IF($C46=0,0,IF(_xlfn.XLOOKUP($B46,'PW_CMI GRADE 10'!$B$7:$B$31,'PW_CMI GRADE 10'!O$7:O$31,"",0,1)="P",1*$C46,0))</f>
        <v>0</v>
      </c>
      <c r="CR46" s="32">
        <f>IF($C46=0,0,IF(_xlfn.XLOOKUP($B46,'PW_CMI GRADE 10'!$B$7:$B$31,'PW_CMI GRADE 10'!P$7:P$31,"",0,1)="P",1*$C46,0))</f>
        <v>0</v>
      </c>
      <c r="CS46" s="32">
        <f>IF($C46=0,0,IF(_xlfn.XLOOKUP($B46,'PW_CMI GRADE 10'!$B$7:$B$31,'PW_CMI GRADE 10'!Q$7:Q$31,"",0,1)="P",1*$C46,0))</f>
        <v>0</v>
      </c>
      <c r="CT46" s="32">
        <f>IF($C46=0,0,IF(_xlfn.XLOOKUP($B46,'PW_CMI GRADE 10'!$B$7:$B$31,'PW_CMI GRADE 10'!R$7:R$31,"",0,1)="P",1*$C46,0))</f>
        <v>0</v>
      </c>
      <c r="CU46" s="32">
        <f>IF($C46=0,0,IF(_xlfn.XLOOKUP($B46,'PW_CMI GRADE 10'!$B$7:$B$31,'PW_CMI GRADE 10'!S$7:S$31,"",0,1)="P",1*$C46,0))</f>
        <v>0</v>
      </c>
      <c r="CV46" s="32">
        <f>IF($C46=0,0,IF(_xlfn.XLOOKUP($B46,'PW_CMI GRADE 10'!$B$7:$B$31,'PW_CMI GRADE 10'!T$7:T$31,"",0,1)="P",1*$C46,0))</f>
        <v>0</v>
      </c>
      <c r="CW46" s="62">
        <f t="shared" si="19"/>
        <v>0</v>
      </c>
      <c r="CX46" s="62">
        <f t="shared" si="20"/>
        <v>0</v>
      </c>
      <c r="CY46" s="62">
        <f t="shared" si="21"/>
        <v>0</v>
      </c>
      <c r="CZ46" s="62">
        <f t="shared" si="22"/>
        <v>0</v>
      </c>
      <c r="DA46" s="62">
        <f t="shared" si="23"/>
        <v>0</v>
      </c>
      <c r="DB46" s="62">
        <f t="shared" si="24"/>
        <v>0</v>
      </c>
      <c r="DC46" s="62">
        <f t="shared" si="25"/>
        <v>0</v>
      </c>
      <c r="DD46" s="62">
        <f t="shared" si="26"/>
        <v>0</v>
      </c>
      <c r="DE46" s="62">
        <f t="shared" si="27"/>
        <v>0</v>
      </c>
      <c r="DF46" s="62">
        <f t="shared" si="28"/>
        <v>0</v>
      </c>
      <c r="DG46" s="62">
        <f t="shared" si="29"/>
        <v>0</v>
      </c>
      <c r="DH46" s="62">
        <f t="shared" si="30"/>
        <v>0</v>
      </c>
      <c r="DI46" s="62">
        <f t="shared" si="31"/>
        <v>0</v>
      </c>
      <c r="DJ46" s="62">
        <f t="shared" si="32"/>
        <v>0.33333333333333331</v>
      </c>
      <c r="DK46" s="62">
        <f t="shared" si="33"/>
        <v>0.66666666666666663</v>
      </c>
      <c r="DL46" s="62">
        <f t="shared" si="34"/>
        <v>1</v>
      </c>
      <c r="DM46" s="62">
        <f t="shared" si="35"/>
        <v>1</v>
      </c>
      <c r="DN46" s="62">
        <f t="shared" si="36"/>
        <v>1</v>
      </c>
      <c r="DO46" s="62">
        <f t="shared" si="37"/>
        <v>1</v>
      </c>
      <c r="DP46" s="62">
        <f t="shared" si="38"/>
        <v>0.66666666666666663</v>
      </c>
      <c r="DQ46" s="62">
        <f t="shared" si="39"/>
        <v>0.33333333333333331</v>
      </c>
      <c r="DR46" s="62">
        <f t="shared" si="40"/>
        <v>0</v>
      </c>
      <c r="DS46" s="62" t="e">
        <f t="shared" si="41"/>
        <v>#REF!</v>
      </c>
      <c r="DT46" s="62" t="e">
        <f t="shared" si="42"/>
        <v>#REF!</v>
      </c>
      <c r="DU46" s="62" t="e">
        <f t="shared" si="43"/>
        <v>#REF!</v>
      </c>
      <c r="DV46" s="62" t="e">
        <f t="shared" si="44"/>
        <v>#REF!</v>
      </c>
      <c r="DW46" s="62" t="e">
        <f t="shared" si="45"/>
        <v>#REF!</v>
      </c>
      <c r="DX46" s="62" t="e">
        <f t="shared" si="46"/>
        <v>#REF!</v>
      </c>
      <c r="DY46" s="62" t="e">
        <f t="shared" si="47"/>
        <v>#REF!</v>
      </c>
      <c r="DZ46" s="62" t="e">
        <f t="shared" si="48"/>
        <v>#REF!</v>
      </c>
      <c r="EA46" s="63">
        <f t="shared" si="68"/>
        <v>0.66666666666666663</v>
      </c>
      <c r="EB46" s="63">
        <f t="shared" si="2"/>
        <v>0.33333333333333331</v>
      </c>
      <c r="EC46" s="63">
        <f t="shared" si="3"/>
        <v>0</v>
      </c>
      <c r="ED46" s="63">
        <f t="shared" si="4"/>
        <v>0</v>
      </c>
      <c r="EE46" s="63">
        <f t="shared" si="5"/>
        <v>0</v>
      </c>
      <c r="EF46" s="63">
        <f t="shared" si="6"/>
        <v>0</v>
      </c>
      <c r="EG46" s="63">
        <f t="shared" si="7"/>
        <v>0</v>
      </c>
      <c r="EH46" s="63">
        <f t="shared" si="8"/>
        <v>0.33333333333333331</v>
      </c>
      <c r="EI46" s="63">
        <f t="shared" si="9"/>
        <v>0.66666666666666663</v>
      </c>
      <c r="EJ46" s="63">
        <f t="shared" si="10"/>
        <v>1</v>
      </c>
      <c r="EK46" s="63">
        <f t="shared" si="11"/>
        <v>0.66666666666666663</v>
      </c>
      <c r="EL46" s="63">
        <f t="shared" si="12"/>
        <v>0.33333333333333331</v>
      </c>
      <c r="EM46" s="63">
        <f t="shared" si="13"/>
        <v>0</v>
      </c>
      <c r="EN46" s="63">
        <f t="shared" si="14"/>
        <v>0</v>
      </c>
      <c r="EO46" s="63">
        <f t="shared" si="15"/>
        <v>0</v>
      </c>
      <c r="EP46" s="63">
        <f t="shared" si="16"/>
        <v>0</v>
      </c>
      <c r="FU46" s="51">
        <v>47119</v>
      </c>
      <c r="FV46" t="s">
        <v>22</v>
      </c>
      <c r="FW46" t="s">
        <v>22</v>
      </c>
      <c r="FX46" t="s">
        <v>22</v>
      </c>
      <c r="FY46" t="s">
        <v>22</v>
      </c>
      <c r="FZ46" t="s">
        <v>22</v>
      </c>
      <c r="GA46" t="s">
        <v>22</v>
      </c>
      <c r="GB46" t="s">
        <v>22</v>
      </c>
      <c r="GC46" t="s">
        <v>22</v>
      </c>
      <c r="GD46" t="s">
        <v>22</v>
      </c>
      <c r="GE46" t="s">
        <v>22</v>
      </c>
      <c r="GF46" t="s">
        <v>22</v>
      </c>
      <c r="GG46" t="s">
        <v>22</v>
      </c>
      <c r="GH46" t="s">
        <v>22</v>
      </c>
      <c r="GI46" t="s">
        <v>22</v>
      </c>
      <c r="GJ46" t="s">
        <v>22</v>
      </c>
      <c r="GK46" t="s">
        <v>22</v>
      </c>
      <c r="GL46" t="s">
        <v>22</v>
      </c>
      <c r="GM46" t="s">
        <v>22</v>
      </c>
      <c r="GN46" t="s">
        <v>22</v>
      </c>
      <c r="GO46" t="s">
        <v>22</v>
      </c>
      <c r="GP46" t="s">
        <v>22</v>
      </c>
      <c r="GQ46" t="s">
        <v>22</v>
      </c>
      <c r="GR46" t="s">
        <v>22</v>
      </c>
      <c r="GS46" t="s">
        <v>22</v>
      </c>
      <c r="GT46" t="s">
        <v>22</v>
      </c>
      <c r="GU46" t="s">
        <v>22</v>
      </c>
      <c r="GV46" t="s">
        <v>22</v>
      </c>
      <c r="GW46" t="s">
        <v>22</v>
      </c>
      <c r="GX46" t="s">
        <v>22</v>
      </c>
      <c r="GY46" t="s">
        <v>22</v>
      </c>
      <c r="GZ46" t="s">
        <v>22</v>
      </c>
      <c r="HA46" t="s">
        <v>22</v>
      </c>
      <c r="HB46" t="s">
        <v>22</v>
      </c>
      <c r="HC46" t="s">
        <v>22</v>
      </c>
      <c r="HD46" t="s">
        <v>22</v>
      </c>
      <c r="HE46" t="s">
        <v>22</v>
      </c>
      <c r="HF46" t="s">
        <v>22</v>
      </c>
      <c r="HG46" t="s">
        <v>22</v>
      </c>
      <c r="HH46" t="s">
        <v>22</v>
      </c>
      <c r="HI46" t="s">
        <v>22</v>
      </c>
      <c r="HJ46" t="s">
        <v>22</v>
      </c>
      <c r="HK46" t="s">
        <v>22</v>
      </c>
      <c r="HL46" t="s">
        <v>22</v>
      </c>
      <c r="HM46" t="s">
        <v>22</v>
      </c>
      <c r="HN46" t="s">
        <v>22</v>
      </c>
      <c r="HO46" cm="1">
        <f t="array" ref="HO46">SUMPRODUCT(--(FV46:HN46&lt;&gt;""))</f>
        <v>0</v>
      </c>
    </row>
    <row r="47" spans="1:223">
      <c r="A47" t="str">
        <f t="shared" si="18"/>
        <v>7A.1</v>
      </c>
      <c r="B47" t="s">
        <v>78</v>
      </c>
      <c r="C47" s="27"/>
      <c r="D47" s="30">
        <v>2</v>
      </c>
      <c r="E47" s="31">
        <f>IF($D47=0,0,IF(_xlfn.XLOOKUP($B47,'TH_MLG GRADE 10'!$B$7:$B$49,'TH_MLG GRADE 10'!C$7:C$49,"",0,1)="P",1*$D47,0))</f>
        <v>0</v>
      </c>
      <c r="F47" s="31">
        <f>IF($D47=0,0,IF(_xlfn.XLOOKUP($B47,'TH_MLG GRADE 10'!$B$7:$B$49,'TH_MLG GRADE 10'!D$7:D$49,"",0,1)="P",1*$D47,0))</f>
        <v>0</v>
      </c>
      <c r="G47" s="31">
        <f>IF($D47=0,0,IF(_xlfn.XLOOKUP($B47,'TH_MLG GRADE 10'!$B$7:$B$49,'TH_MLG GRADE 10'!E$7:E$49,"",0,1)="P",1*$D47,0))</f>
        <v>0</v>
      </c>
      <c r="H47" s="31">
        <f>IF($D47=0,0,IF(_xlfn.XLOOKUP($B47,'TH_MLG GRADE 10'!$B$7:$B$49,'TH_MLG GRADE 10'!I$7:I$49,"",0,1)="P",1*$D47,0))</f>
        <v>0</v>
      </c>
      <c r="I47" s="31">
        <f>IF($D47=0,0,IF(_xlfn.XLOOKUP($B47,'TH_MLG GRADE 10'!$B$7:$B$49,'TH_MLG GRADE 10'!J$7:J$49,"",0,1)="P",1*$D47,0))</f>
        <v>0</v>
      </c>
      <c r="J47" s="31">
        <f>IF($D47=0,0,IF(_xlfn.XLOOKUP($B47,'TH_MLG GRADE 10'!$B$7:$B$49,'TH_MLG GRADE 10'!K$7:K$49,"",0,1)="P",1*$D47,0))</f>
        <v>0</v>
      </c>
      <c r="K47" s="31">
        <f>IF($D47=0,0,IF(_xlfn.XLOOKUP($B47,'TH_MLG GRADE 10'!$B$7:$B$49,'TH_MLG GRADE 10'!O$7:O$49,"",0,1)="P",1*$D47,0))</f>
        <v>0</v>
      </c>
      <c r="L47" s="31">
        <f>IF($D47=0,0,IF(_xlfn.XLOOKUP($B47,'TH_MLG GRADE 10'!$B$7:$B$49,'TH_MLG GRADE 10'!P$7:P$49,"",0,1)="P",1*$D47,0))</f>
        <v>0</v>
      </c>
      <c r="M47" s="31">
        <f>IF($D47=0,0,IF(_xlfn.XLOOKUP($B47,'TH_MLG GRADE 10'!$B$7:$B$49,'TH_MLG GRADE 10'!Q$7:Q$49,"",0,1)="P",1*$D47,0))</f>
        <v>0</v>
      </c>
      <c r="N47" s="31">
        <f>IF($D47=0,0,IF(_xlfn.XLOOKUP($B47,'TH_MLG GRADE 10'!$B$7:$B$49,'TH_MLG GRADE 10'!AA$7:AA$49,"",0,1)="P",1*$D47,0))</f>
        <v>0</v>
      </c>
      <c r="O47" s="31">
        <f>IF($D47=0,0,IF(_xlfn.XLOOKUP($B47,'TH_MLG GRADE 10'!$B$7:$B$49,'TH_MLG GRADE 10'!AB$7:AB$49,"",0,1)="P",1*$D47,0))</f>
        <v>0</v>
      </c>
      <c r="P47" s="31">
        <f>IF($D47=0,0,IF(_xlfn.XLOOKUP($B47,'TH_MLG GRADE 10'!$B$7:$B$49,'TH_MLG GRADE 10'!AC$7:AC$49,"",0,1)="P",1*$D47,0))</f>
        <v>0</v>
      </c>
      <c r="Q47" s="31">
        <f>IF($D47=0,0,IF(_xlfn.XLOOKUP($B47,'TH_MLG GRADE 10'!$B$7:$B$49,'TH_MLG GRADE 10'!AG$7:AG$49,"",0,1)="P",1*$D47,0))</f>
        <v>0</v>
      </c>
      <c r="R47" s="31">
        <f>IF($D47=0,0,IF(_xlfn.XLOOKUP($B47,'TH_MLG GRADE 10'!$B$7:$B$49,'TH_MLG GRADE 10'!AH$7:AH$49,"",0,1)="P",1*$D47,0))</f>
        <v>0</v>
      </c>
      <c r="S47" s="31">
        <f>IF($D47=0,0,IF(_xlfn.XLOOKUP($B47,'TH_MLG GRADE 10'!$B$7:$B$49,'TH_MLG GRADE 10'!AI$7:AI$49,"",0,1)="P",1*$D47,0))</f>
        <v>0</v>
      </c>
      <c r="T47" s="31">
        <f>IF($D47=0,0,IF(_xlfn.XLOOKUP($B47,'TH_MLG GRADE 10'!$B$7:$B$49,'TH_MLG GRADE 10'!AM$7:AM$49,"",0,1)="P",1*$D47,0))</f>
        <v>2</v>
      </c>
      <c r="U47" s="31">
        <f>IF($D47=0,0,IF(_xlfn.XLOOKUP($B47,'TH_MLG GRADE 10'!$B$7:$B$49,'TH_MLG GRADE 10'!AN$7:AN$49,"",0,1)="P",1*$D47,0))</f>
        <v>2</v>
      </c>
      <c r="V47" s="31">
        <f>IF($D47=0,0,IF(_xlfn.XLOOKUP($B47,'TH_MLG GRADE 10'!$B$7:$B$49,'TH_MLG GRADE 10'!AO$7:AO$49,"",0,1)="P",1*$D47,0))</f>
        <v>2</v>
      </c>
      <c r="W47" s="31">
        <f>IF($D47=0,0,IF(_xlfn.XLOOKUP($B47,'TH_MLG GRADE 10'!$B$7:$B$49,'TH_MLG GRADE 10'!AY$7:AY$49,"",0,1)="P",1*$D47,0))</f>
        <v>2</v>
      </c>
      <c r="X47" s="31">
        <f>IF($D47=0,0,IF(_xlfn.XLOOKUP($B47,'TH_MLG GRADE 10'!$B$7:$B$49,'TH_MLG GRADE 10'!AZ$7:AZ$49,"",0,1)="P",1*$D47,0))</f>
        <v>2</v>
      </c>
      <c r="Y47" s="31">
        <f>IF($D47=0,0,IF(_xlfn.XLOOKUP($B47,'TH_MLG GRADE 10'!$B$7:$B$49,'TH_MLG GRADE 10'!BA$7:BA$49,"",0,1)="P",1*$D47,0))</f>
        <v>2</v>
      </c>
      <c r="Z47" s="31">
        <f>IF($D47=0,0,IF(_xlfn.XLOOKUP($B47,'TH_MLG GRADE 10'!$B$7:$B$49,'TH_MLG GRADE 10'!BE$7:BE$49,"",0,1)="P",1*$D47,0))</f>
        <v>0</v>
      </c>
      <c r="AA47" s="31">
        <f>IF($D47=0,0,IF(_xlfn.XLOOKUP($B47,'TH_MLG GRADE 10'!$B$7:$B$49,'TH_MLG GRADE 10'!BF$7:BF$49,"",0,1)="P",1*$D47,0))</f>
        <v>0</v>
      </c>
      <c r="AB47" s="31">
        <f>IF($D47=0,0,IF(_xlfn.XLOOKUP($B47,'TH_MLG GRADE 10'!$B$7:$B$49,'TH_MLG GRADE 10'!BG$7:BG$49,"",0,1)="P",1*$D47,0))</f>
        <v>0</v>
      </c>
      <c r="AC47" s="31" t="e">
        <f>IF($D47=0,0,IF(_xlfn.XLOOKUP($B47,'TH_MLG GRADE 10'!$B$7:$B$49,'TH_MLG GRADE 10'!#REF!,"",0,1)="P",1*$D47,0))</f>
        <v>#REF!</v>
      </c>
      <c r="AD47" s="31" t="e">
        <f>IF($D47=0,0,IF(_xlfn.XLOOKUP($B47,'TH_MLG GRADE 10'!$B$7:$B$49,'TH_MLG GRADE 10'!#REF!,"",0,1)="P",1*$D47,0))</f>
        <v>#REF!</v>
      </c>
      <c r="AE47" s="31" t="e">
        <f>IF($D47=0,0,IF(_xlfn.XLOOKUP($B47,'TH_MLG GRADE 10'!$B$7:$B$49,'TH_MLG GRADE 10'!#REF!,"",0,1)="P",1*$D47,0))</f>
        <v>#REF!</v>
      </c>
      <c r="AF47" s="31" t="e">
        <f>IF($D47=0,0,IF(_xlfn.XLOOKUP($B47,'TH_MLG GRADE 10'!$B$7:$B$49,'TH_MLG GRADE 10'!#REF!,"",0,1)="P",1*$D47,0))</f>
        <v>#REF!</v>
      </c>
      <c r="AG47" s="31" t="e">
        <f>IF($D47=0,0,IF(_xlfn.XLOOKUP($B47,'TH_MLG GRADE 10'!$B$7:$B$49,'TH_MLG GRADE 10'!#REF!,"",0,1)="P",1*$D47,0))</f>
        <v>#REF!</v>
      </c>
      <c r="AH47" s="31" t="e">
        <f>IF($D47=0,0,IF(_xlfn.XLOOKUP($B47,'TH_MLG GRADE 10'!$B$7:$B$49,'TH_MLG GRADE 10'!#REF!,"",0,1)="P",1*$D47,0))</f>
        <v>#REF!</v>
      </c>
      <c r="AI47" s="32">
        <f>IF($D47=0,0,IF(_xlfn.XLOOKUP($B47,'TH_CMI GRADE 10'!$B$7:$B$49,'TH_CMI GRADE 10'!C$7:C$49,"",0,1)="P",1*$D47,0))</f>
        <v>2</v>
      </c>
      <c r="AJ47" s="32">
        <f>IF($D47=0,0,IF(_xlfn.XLOOKUP($B47,'TH_CMI GRADE 10'!$B$7:$B$49,'TH_CMI GRADE 10'!D$7:D$49,"",0,1)="P",1*$D47,0))</f>
        <v>2</v>
      </c>
      <c r="AK47" s="32">
        <f>IF($D47=0,0,IF(_xlfn.XLOOKUP($B47,'TH_CMI GRADE 10'!$B$7:$B$49,'TH_CMI GRADE 10'!H$7:H$49,"",0,1)="P",1*$D47,0))</f>
        <v>0</v>
      </c>
      <c r="AL47" s="32">
        <f>IF($D47=0,0,IF(_xlfn.XLOOKUP($B47,'TH_CMI GRADE 10'!$B$7:$B$49,'TH_CMI GRADE 10'!I$7:I$49,"",0,1)="P",1*$D47,0))</f>
        <v>0</v>
      </c>
      <c r="AM47" s="32">
        <f>IF($D47=0,0,IF(_xlfn.XLOOKUP($B47,'TH_CMI GRADE 10'!$B$7:$B$49,'TH_CMI GRADE 10'!J$7:J$49,"",0,1)="P",1*$D47,0))</f>
        <v>0</v>
      </c>
      <c r="AN47" s="32">
        <f>IF($D47=0,0,IF(_xlfn.XLOOKUP($B47,'TH_CMI GRADE 10'!$B$7:$B$49,'TH_CMI GRADE 10'!K$7:K$49,"",0,1)="P",1*$D47,0))</f>
        <v>0</v>
      </c>
      <c r="AO47" s="32">
        <f>IF($D47=0,0,IF(_xlfn.XLOOKUP($B47,'TH_CMI GRADE 10'!$B$7:$B$49,'TH_CMI GRADE 10'!O$7:O$49,"",0,1)="P",1*$D47,0))</f>
        <v>0</v>
      </c>
      <c r="AP47" s="32">
        <f>IF($D47=0,0,IF(_xlfn.XLOOKUP($B47,'TH_CMI GRADE 10'!$B$7:$B$49,'TH_CMI GRADE 10'!P$7:P$49,"",0,1)="P",1*$D47,0))</f>
        <v>0</v>
      </c>
      <c r="AQ47" s="32">
        <f>IF($D47=0,0,IF(_xlfn.XLOOKUP($B47,'TH_CMI GRADE 10'!$B$7:$B$49,'TH_CMI GRADE 10'!Q$7:Q$49,"",0,1)="P",1*$D47,0))</f>
        <v>0</v>
      </c>
      <c r="AR47" s="32">
        <f>IF($D47=0,0,IF(_xlfn.XLOOKUP($B47,'TH_CMI GRADE 10'!$B$7:$B$49,'TH_CMI GRADE 10'!U$7:U$49,"",0,1)="P",1*$D47,0))</f>
        <v>2</v>
      </c>
      <c r="AS47" s="32">
        <f>IF($D47=0,0,IF(_xlfn.XLOOKUP($B47,'TH_CMI GRADE 10'!$B$7:$B$49,'TH_CMI GRADE 10'!V$7:V$49,"",0,1)="P",1*$D47,0))</f>
        <v>2</v>
      </c>
      <c r="AT47" s="32">
        <f>IF($D47=0,0,IF(_xlfn.XLOOKUP($B47,'TH_CMI GRADE 10'!$B$7:$B$49,'TH_CMI GRADE 10'!W$7:W$49,"",0,1)="P",1*$D47,0))</f>
        <v>2</v>
      </c>
      <c r="AU47" s="32">
        <f>IF($D47=0,0,IF(_xlfn.XLOOKUP($B47,'TH_CMI GRADE 10'!$B$7:$B$49,'TH_CMI GRADE 10'!AA$7:AA$49,"",0,1)="P",1*$D47,0))</f>
        <v>0</v>
      </c>
      <c r="AV47" s="32">
        <f>IF($D47=0,0,IF(_xlfn.XLOOKUP($B47,'TH_CMI GRADE 10'!$B$7:$B$49,'TH_CMI GRADE 10'!AB$7:AB$49,"",0,1)="P",1*$D47,0))</f>
        <v>0</v>
      </c>
      <c r="AW47" s="32">
        <f>IF($D47=0,0,IF(_xlfn.XLOOKUP($B47,'TH_CMI GRADE 10'!$B$7:$B$49,'TH_CMI GRADE 10'!AC$7:AC$49,"",0,1)="P",1*$D47,0))</f>
        <v>0</v>
      </c>
      <c r="AX47" s="32">
        <f>IF($D47=0,0,IF(_xlfn.XLOOKUP($B47,'TH_CMI GRADE 10'!$B$7:$B$49,'TH_CMI GRADE 10'!AG$7:AG$49,"",0,1)="P",1*$D47,0))</f>
        <v>0</v>
      </c>
      <c r="AY47" s="32">
        <f>IF($D47=0,0,IF(_xlfn.XLOOKUP($B47,'TH_CMI GRADE 10'!$B$7:$B$49,'TH_CMI GRADE 10'!AH$7:AH$49,"",0,1)="P",1*$D47,0))</f>
        <v>0</v>
      </c>
      <c r="AZ47" s="32">
        <f>IF($D47=0,0,IF(_xlfn.XLOOKUP($B47,'TH_CMI GRADE 10'!$B$7:$B$49,'TH_CMI GRADE 10'!AI$7:AI$49,"",0,1)="P",1*$D47,0))</f>
        <v>0</v>
      </c>
      <c r="BA47" s="31">
        <f>IF($C47=0,0,IF(_xlfn.XLOOKUP($B47,'PW_MLG GRADE 10'!$B$7:$B$31,'PW_MLG GRADE 10'!#REF!,"",0,1)="P",1*$C47,0))</f>
        <v>0</v>
      </c>
      <c r="BB47" s="31">
        <f>IF($C47=0,0,IF(_xlfn.XLOOKUP($B47,'PW_MLG GRADE 10'!$B$7:$B$31,'PW_MLG GRADE 10'!#REF!,"",0,1)="P",1*$C47,0))</f>
        <v>0</v>
      </c>
      <c r="BC47" s="31">
        <f>IF($C47=0,0,IF(_xlfn.XLOOKUP($B47,'PW_MLG GRADE 10'!$B$7:$B$31,'PW_MLG GRADE 10'!#REF!,"",0,1)="P",1*$C47,0))</f>
        <v>0</v>
      </c>
      <c r="BD47" s="31">
        <f>IF($C47=0,0,IF(_xlfn.XLOOKUP($B47,'PW_MLG GRADE 10'!$B$7:$B$31,'PW_MLG GRADE 10'!#REF!,"",0,1)="P",1*$C47,0))</f>
        <v>0</v>
      </c>
      <c r="BE47" s="31">
        <f>IF($C47=0,0,IF(_xlfn.XLOOKUP($B47,'PW_MLG GRADE 10'!$B$7:$B$31,'PW_MLG GRADE 10'!#REF!,"",0,1)="P",1*$C47,0))</f>
        <v>0</v>
      </c>
      <c r="BF47" s="31">
        <f>IF($C47=0,0,IF(_xlfn.XLOOKUP($B47,'PW_MLG GRADE 10'!$B$7:$B$31,'PW_MLG GRADE 10'!#REF!,"",0,1)="P",1*$C47,0))</f>
        <v>0</v>
      </c>
      <c r="BG47" s="31">
        <f>IF($C47=0,0,IF(_xlfn.XLOOKUP($B47,'PW_MLG GRADE 10'!$B$7:$B$31,'PW_MLG GRADE 10'!#REF!,"",0,1)="P",1*$C47,0))</f>
        <v>0</v>
      </c>
      <c r="BH47" s="31">
        <f>IF($C47=0,0,IF(_xlfn.XLOOKUP($B47,'PW_MLG GRADE 10'!$B$7:$B$31,'PW_MLG GRADE 10'!#REF!,"",0,1)="P",1*$C47,0))</f>
        <v>0</v>
      </c>
      <c r="BI47" s="31">
        <f>IF($C47=0,0,IF(_xlfn.XLOOKUP($B47,'PW_MLG GRADE 10'!$B$7:$B$31,'PW_MLG GRADE 10'!#REF!,"",0,1)="P",1*$C47,0))</f>
        <v>0</v>
      </c>
      <c r="BJ47" s="31">
        <f>IF($C47=0,0,IF(_xlfn.XLOOKUP($B47,'PW_MLG GRADE 10'!$B$7:$B$31,'PW_MLG GRADE 10'!#REF!,"",0,1)="P",1*$C47,0))</f>
        <v>0</v>
      </c>
      <c r="BK47" s="31">
        <f>IF($C47=0,0,IF(_xlfn.XLOOKUP($B47,'PW_MLG GRADE 10'!$B$7:$B$31,'PW_MLG GRADE 10'!#REF!,"",0,1)="P",1*$C47,0))</f>
        <v>0</v>
      </c>
      <c r="BL47" s="31">
        <f>IF($C47=0,0,IF(_xlfn.XLOOKUP($B47,'PW_MLG GRADE 10'!$B$7:$B$31,'PW_MLG GRADE 10'!#REF!,"",0,1)="P",1*$C47,0))</f>
        <v>0</v>
      </c>
      <c r="BM47" s="31">
        <f>IF($C47=0,0,IF(_xlfn.XLOOKUP($B47,'PW_MLG GRADE 10'!$B$7:$B$31,'PW_MLG GRADE 10'!#REF!,"",0,1)="P",1*$C47,0))</f>
        <v>0</v>
      </c>
      <c r="BN47" s="31">
        <f>IF($C47=0,0,IF(_xlfn.XLOOKUP($B47,'PW_MLG GRADE 10'!$B$7:$B$31,'PW_MLG GRADE 10'!#REF!,"",0,1)="P",1*$C47,0))</f>
        <v>0</v>
      </c>
      <c r="BO47" s="31">
        <f>IF($C47=0,0,IF(_xlfn.XLOOKUP($B47,'PW_MLG GRADE 10'!$B$7:$B$31,'PW_MLG GRADE 10'!#REF!,"",0,1)="P",1*$C47,0))</f>
        <v>0</v>
      </c>
      <c r="BP47" s="31">
        <f>IF($C47=0,0,IF(_xlfn.XLOOKUP($B47,'PW_MLG GRADE 10'!$B$7:$B$31,'PW_MLG GRADE 10'!#REF!,"",0,1)="P",1*$C47,0))</f>
        <v>0</v>
      </c>
      <c r="BQ47" s="31">
        <f>IF($C47=0,0,IF(_xlfn.XLOOKUP($B47,'PW_MLG GRADE 10'!$B$7:$B$31,'PW_MLG GRADE 10'!#REF!,"",0,1)="P",1*$C47,0))</f>
        <v>0</v>
      </c>
      <c r="BR47" s="31">
        <f>IF($C47=0,0,IF(_xlfn.XLOOKUP($B47,'PW_MLG GRADE 10'!$B$7:$B$31,'PW_MLG GRADE 10'!#REF!,"",0,1)="P",1*$C47,0))</f>
        <v>0</v>
      </c>
      <c r="BS47" s="31">
        <f>IF($C47=0,0,IF(_xlfn.XLOOKUP($B47,'PW_MLG GRADE 10'!$B$7:$B$31,'PW_MLG GRADE 10'!#REF!,"",0,1)="P",1*$C47,0))</f>
        <v>0</v>
      </c>
      <c r="BT47" s="31">
        <f>IF($C47=0,0,IF(_xlfn.XLOOKUP($B47,'PW_MLG GRADE 10'!$B$7:$B$31,'PW_MLG GRADE 10'!#REF!,"",0,1)="P",1*$C47,0))</f>
        <v>0</v>
      </c>
      <c r="BU47" s="31">
        <f>IF($C47=0,0,IF(_xlfn.XLOOKUP($B47,'PW_MLG GRADE 10'!$B$7:$B$31,'PW_MLG GRADE 10'!#REF!,"",0,1)="P",1*$C47,0))</f>
        <v>0</v>
      </c>
      <c r="BV47" s="31">
        <f>IF($C47=0,0,IF(_xlfn.XLOOKUP($B47,'PW_MLG GRADE 10'!$B$7:$B$31,'PW_MLG GRADE 10'!#REF!,"",0,1)="P",1*$C47,0))</f>
        <v>0</v>
      </c>
      <c r="BW47" s="31">
        <f>IF($C47=0,0,IF(_xlfn.XLOOKUP($B47,'PW_MLG GRADE 10'!$B$7:$B$31,'PW_MLG GRADE 10'!#REF!,"",0,1)="P",1*$C47,0))</f>
        <v>0</v>
      </c>
      <c r="BX47" s="31">
        <f>IF($C47=0,0,IF(_xlfn.XLOOKUP($B47,'PW_MLG GRADE 10'!$B$7:$B$31,'PW_MLG GRADE 10'!#REF!,"",0,1)="P",1*$C47,0))</f>
        <v>0</v>
      </c>
      <c r="BY47" s="31">
        <f>IF($C47=0,0,IF(_xlfn.XLOOKUP($B47,'PW_MLG GRADE 10'!$B$7:$B$31,'PW_MLG GRADE 10'!#REF!,"",0,1)="P",1*$C47,0))</f>
        <v>0</v>
      </c>
      <c r="BZ47" s="31">
        <f>IF($C47=0,0,IF(_xlfn.XLOOKUP($B47,'PW_MLG GRADE 10'!$B$7:$B$31,'PW_MLG GRADE 10'!#REF!,"",0,1)="P",1*$C47,0))</f>
        <v>0</v>
      </c>
      <c r="CA47" s="31">
        <f>IF($C47=0,0,IF(_xlfn.XLOOKUP($B47,'PW_MLG GRADE 10'!$B$7:$B$31,'PW_MLG GRADE 10'!#REF!,"",0,1)="P",1*$C47,0))</f>
        <v>0</v>
      </c>
      <c r="CB47" s="31">
        <f>IF($C47=0,0,IF(_xlfn.XLOOKUP($B47,'PW_MLG GRADE 10'!$B$7:$B$31,'PW_MLG GRADE 10'!#REF!,"",0,1)="P",1*$C47,0))</f>
        <v>0</v>
      </c>
      <c r="CC47" s="31">
        <f>IF($C47=0,0,IF(_xlfn.XLOOKUP($B47,'PW_MLG GRADE 10'!$B$7:$B$31,'PW_MLG GRADE 10'!#REF!,"",0,1)="P",1*$C47,0))</f>
        <v>0</v>
      </c>
      <c r="CD47" s="31">
        <f>IF($C47=0,0,IF(_xlfn.XLOOKUP($B47,'PW_MLG GRADE 10'!$B$7:$B$31,'PW_MLG GRADE 10'!#REF!,"",0,1)="P",1*$C47,0))</f>
        <v>0</v>
      </c>
      <c r="CE47" s="32">
        <f>IF($C47=0,0,IF(_xlfn.XLOOKUP($B47,'PW_CMI GRADE 10'!$B$7:$B$31,'PW_CMI GRADE 10'!C$7:C$31,"",0,1)="P",1*$C47,0))</f>
        <v>0</v>
      </c>
      <c r="CF47" s="32">
        <f>IF($C47=0,0,IF(_xlfn.XLOOKUP($B47,'PW_CMI GRADE 10'!$B$7:$B$31,'PW_CMI GRADE 10'!D$7:D$31,"",0,1)="P",1*$C47,0))</f>
        <v>0</v>
      </c>
      <c r="CG47" s="32">
        <f>IF($C47=0,0,IF(_xlfn.XLOOKUP($B47,'PW_CMI GRADE 10'!$B$7:$B$31,'PW_CMI GRADE 10'!E$7:E$31,"",0,1)="P",1*$C47,0))</f>
        <v>0</v>
      </c>
      <c r="CH47" s="32">
        <f>IF($C47=0,0,IF(_xlfn.XLOOKUP($B47,'PW_CMI GRADE 10'!$B$7:$B$31,'PW_CMI GRADE 10'!F$7:F$31,"",0,1)="P",1*$C47,0))</f>
        <v>0</v>
      </c>
      <c r="CI47" s="32">
        <f>IF($C47=0,0,IF(_xlfn.XLOOKUP($B47,'PW_CMI GRADE 10'!$B$7:$B$31,'PW_CMI GRADE 10'!G$7:G$31,"",0,1)="P",1*$C47,0))</f>
        <v>0</v>
      </c>
      <c r="CJ47" s="32">
        <f>IF($C47=0,0,IF(_xlfn.XLOOKUP($B47,'PW_CMI GRADE 10'!$B$7:$B$31,'PW_CMI GRADE 10'!H$7:H$31,"",0,1)="P",1*$C47,0))</f>
        <v>0</v>
      </c>
      <c r="CK47" s="32">
        <f>IF($C47=0,0,IF(_xlfn.XLOOKUP($B47,'PW_CMI GRADE 10'!$B$7:$B$31,'PW_CMI GRADE 10'!I$7:I$31,"",0,1)="P",1*$C47,0))</f>
        <v>0</v>
      </c>
      <c r="CL47" s="32">
        <f>IF($C47=0,0,IF(_xlfn.XLOOKUP($B47,'PW_CMI GRADE 10'!$B$7:$B$31,'PW_CMI GRADE 10'!J$7:J$31,"",0,1)="P",1*$C47,0))</f>
        <v>0</v>
      </c>
      <c r="CM47" s="32">
        <f>IF($C47=0,0,IF(_xlfn.XLOOKUP($B47,'PW_CMI GRADE 10'!$B$7:$B$31,'PW_CMI GRADE 10'!K$7:K$31,"",0,1)="P",1*$C47,0))</f>
        <v>0</v>
      </c>
      <c r="CN47" s="32">
        <f>IF($C47=0,0,IF(_xlfn.XLOOKUP($B47,'PW_CMI GRADE 10'!$B$7:$B$31,'PW_CMI GRADE 10'!L$7:L$31,"",0,1)="P",1*$C47,0))</f>
        <v>0</v>
      </c>
      <c r="CO47" s="32">
        <f>IF($C47=0,0,IF(_xlfn.XLOOKUP($B47,'PW_CMI GRADE 10'!$B$7:$B$31,'PW_CMI GRADE 10'!M$7:M$31,"",0,1)="P",1*$C47,0))</f>
        <v>0</v>
      </c>
      <c r="CP47" s="32">
        <f>IF($C47=0,0,IF(_xlfn.XLOOKUP($B47,'PW_CMI GRADE 10'!$B$7:$B$31,'PW_CMI GRADE 10'!N$7:N$31,"",0,1)="P",1*$C47,0))</f>
        <v>0</v>
      </c>
      <c r="CQ47" s="32">
        <f>IF($C47=0,0,IF(_xlfn.XLOOKUP($B47,'PW_CMI GRADE 10'!$B$7:$B$31,'PW_CMI GRADE 10'!O$7:O$31,"",0,1)="P",1*$C47,0))</f>
        <v>0</v>
      </c>
      <c r="CR47" s="32">
        <f>IF($C47=0,0,IF(_xlfn.XLOOKUP($B47,'PW_CMI GRADE 10'!$B$7:$B$31,'PW_CMI GRADE 10'!P$7:P$31,"",0,1)="P",1*$C47,0))</f>
        <v>0</v>
      </c>
      <c r="CS47" s="32">
        <f>IF($C47=0,0,IF(_xlfn.XLOOKUP($B47,'PW_CMI GRADE 10'!$B$7:$B$31,'PW_CMI GRADE 10'!Q$7:Q$31,"",0,1)="P",1*$C47,0))</f>
        <v>0</v>
      </c>
      <c r="CT47" s="32">
        <f>IF($C47=0,0,IF(_xlfn.XLOOKUP($B47,'PW_CMI GRADE 10'!$B$7:$B$31,'PW_CMI GRADE 10'!R$7:R$31,"",0,1)="P",1*$C47,0))</f>
        <v>0</v>
      </c>
      <c r="CU47" s="32">
        <f>IF($C47=0,0,IF(_xlfn.XLOOKUP($B47,'PW_CMI GRADE 10'!$B$7:$B$31,'PW_CMI GRADE 10'!S$7:S$31,"",0,1)="P",1*$C47,0))</f>
        <v>0</v>
      </c>
      <c r="CV47" s="32">
        <f>IF($C47=0,0,IF(_xlfn.XLOOKUP($B47,'PW_CMI GRADE 10'!$B$7:$B$31,'PW_CMI GRADE 10'!T$7:T$31,"",0,1)="P",1*$C47,0))</f>
        <v>0</v>
      </c>
      <c r="CW47" s="62">
        <f t="shared" si="19"/>
        <v>0</v>
      </c>
      <c r="CX47" s="62">
        <f t="shared" si="20"/>
        <v>0</v>
      </c>
      <c r="CY47" s="62">
        <f t="shared" si="21"/>
        <v>0</v>
      </c>
      <c r="CZ47" s="62">
        <f t="shared" si="22"/>
        <v>0</v>
      </c>
      <c r="DA47" s="62">
        <f t="shared" si="23"/>
        <v>0</v>
      </c>
      <c r="DB47" s="62">
        <f t="shared" si="24"/>
        <v>0</v>
      </c>
      <c r="DC47" s="62">
        <f t="shared" si="25"/>
        <v>0</v>
      </c>
      <c r="DD47" s="62">
        <f t="shared" si="26"/>
        <v>0</v>
      </c>
      <c r="DE47" s="62">
        <f t="shared" si="27"/>
        <v>0</v>
      </c>
      <c r="DF47" s="62">
        <f t="shared" si="28"/>
        <v>0</v>
      </c>
      <c r="DG47" s="62">
        <f t="shared" si="29"/>
        <v>0</v>
      </c>
      <c r="DH47" s="62">
        <f t="shared" si="30"/>
        <v>0</v>
      </c>
      <c r="DI47" s="62">
        <f t="shared" si="31"/>
        <v>0</v>
      </c>
      <c r="DJ47" s="62">
        <f t="shared" si="32"/>
        <v>0.33333333333333331</v>
      </c>
      <c r="DK47" s="62">
        <f t="shared" si="33"/>
        <v>0.66666666666666663</v>
      </c>
      <c r="DL47" s="62">
        <f t="shared" si="34"/>
        <v>1</v>
      </c>
      <c r="DM47" s="62">
        <f t="shared" si="35"/>
        <v>1</v>
      </c>
      <c r="DN47" s="62">
        <f t="shared" si="36"/>
        <v>1</v>
      </c>
      <c r="DO47" s="62">
        <f t="shared" si="37"/>
        <v>1</v>
      </c>
      <c r="DP47" s="62">
        <f t="shared" si="38"/>
        <v>0.66666666666666663</v>
      </c>
      <c r="DQ47" s="62">
        <f t="shared" si="39"/>
        <v>0.33333333333333331</v>
      </c>
      <c r="DR47" s="62">
        <f t="shared" si="40"/>
        <v>0</v>
      </c>
      <c r="DS47" s="62" t="e">
        <f t="shared" si="41"/>
        <v>#REF!</v>
      </c>
      <c r="DT47" s="62" t="e">
        <f t="shared" si="42"/>
        <v>#REF!</v>
      </c>
      <c r="DU47" s="62" t="e">
        <f t="shared" si="43"/>
        <v>#REF!</v>
      </c>
      <c r="DV47" s="62" t="e">
        <f t="shared" si="44"/>
        <v>#REF!</v>
      </c>
      <c r="DW47" s="62" t="e">
        <f t="shared" si="45"/>
        <v>#REF!</v>
      </c>
      <c r="DX47" s="62" t="e">
        <f t="shared" si="46"/>
        <v>#REF!</v>
      </c>
      <c r="DY47" s="62" t="e">
        <f t="shared" si="47"/>
        <v>#REF!</v>
      </c>
      <c r="DZ47" s="62" t="e">
        <f t="shared" si="48"/>
        <v>#REF!</v>
      </c>
      <c r="EA47" s="63">
        <f t="shared" si="68"/>
        <v>0.66666666666666663</v>
      </c>
      <c r="EB47" s="63">
        <f t="shared" si="2"/>
        <v>0.33333333333333331</v>
      </c>
      <c r="EC47" s="63">
        <f t="shared" si="3"/>
        <v>0</v>
      </c>
      <c r="ED47" s="63">
        <f t="shared" si="4"/>
        <v>0</v>
      </c>
      <c r="EE47" s="63">
        <f t="shared" si="5"/>
        <v>0</v>
      </c>
      <c r="EF47" s="63">
        <f t="shared" si="6"/>
        <v>0</v>
      </c>
      <c r="EG47" s="63">
        <f t="shared" si="7"/>
        <v>0</v>
      </c>
      <c r="EH47" s="63">
        <f t="shared" si="8"/>
        <v>0.33333333333333331</v>
      </c>
      <c r="EI47" s="63">
        <f t="shared" si="9"/>
        <v>0.66666666666666663</v>
      </c>
      <c r="EJ47" s="63">
        <f t="shared" si="10"/>
        <v>1</v>
      </c>
      <c r="EK47" s="63">
        <f t="shared" si="11"/>
        <v>0.66666666666666663</v>
      </c>
      <c r="EL47" s="63">
        <f t="shared" si="12"/>
        <v>0.33333333333333331</v>
      </c>
      <c r="EM47" s="63">
        <f t="shared" si="13"/>
        <v>0</v>
      </c>
      <c r="EN47" s="63">
        <f t="shared" si="14"/>
        <v>0</v>
      </c>
      <c r="EO47" s="63">
        <f t="shared" si="15"/>
        <v>0</v>
      </c>
      <c r="EP47" s="63">
        <f t="shared" si="16"/>
        <v>0</v>
      </c>
      <c r="FU47" s="51">
        <v>47150</v>
      </c>
      <c r="FV47" t="s">
        <v>22</v>
      </c>
      <c r="FW47" t="s">
        <v>22</v>
      </c>
      <c r="FX47" t="s">
        <v>22</v>
      </c>
      <c r="FY47" t="s">
        <v>22</v>
      </c>
      <c r="FZ47" t="s">
        <v>22</v>
      </c>
      <c r="GA47" t="s">
        <v>22</v>
      </c>
      <c r="GB47" t="s">
        <v>22</v>
      </c>
      <c r="GC47" t="s">
        <v>22</v>
      </c>
      <c r="GD47" t="s">
        <v>22</v>
      </c>
      <c r="GE47" t="s">
        <v>22</v>
      </c>
      <c r="GF47" t="s">
        <v>22</v>
      </c>
      <c r="GG47" t="s">
        <v>22</v>
      </c>
      <c r="GH47" t="s">
        <v>22</v>
      </c>
      <c r="GI47" t="s">
        <v>22</v>
      </c>
      <c r="GJ47" t="s">
        <v>22</v>
      </c>
      <c r="GK47" t="s">
        <v>22</v>
      </c>
      <c r="GL47" t="s">
        <v>22</v>
      </c>
      <c r="GM47" t="s">
        <v>22</v>
      </c>
      <c r="GN47" t="s">
        <v>22</v>
      </c>
      <c r="GO47" t="s">
        <v>22</v>
      </c>
      <c r="GP47" t="s">
        <v>22</v>
      </c>
      <c r="GQ47" t="s">
        <v>22</v>
      </c>
      <c r="GR47" t="s">
        <v>22</v>
      </c>
      <c r="GS47" t="s">
        <v>22</v>
      </c>
      <c r="GT47" t="s">
        <v>22</v>
      </c>
      <c r="GU47" t="s">
        <v>22</v>
      </c>
      <c r="GV47" t="s">
        <v>22</v>
      </c>
      <c r="GW47" t="s">
        <v>22</v>
      </c>
      <c r="GX47" t="s">
        <v>22</v>
      </c>
      <c r="GY47" t="s">
        <v>22</v>
      </c>
      <c r="GZ47" t="s">
        <v>22</v>
      </c>
      <c r="HA47" t="s">
        <v>22</v>
      </c>
      <c r="HB47" t="s">
        <v>22</v>
      </c>
      <c r="HC47" t="s">
        <v>22</v>
      </c>
      <c r="HD47" t="s">
        <v>22</v>
      </c>
      <c r="HE47" t="s">
        <v>22</v>
      </c>
      <c r="HF47" t="s">
        <v>22</v>
      </c>
      <c r="HG47" t="s">
        <v>22</v>
      </c>
      <c r="HH47" t="s">
        <v>22</v>
      </c>
      <c r="HI47" t="s">
        <v>22</v>
      </c>
      <c r="HJ47" t="s">
        <v>22</v>
      </c>
      <c r="HK47" t="s">
        <v>22</v>
      </c>
      <c r="HL47" t="s">
        <v>22</v>
      </c>
      <c r="HM47" t="s">
        <v>22</v>
      </c>
      <c r="HN47" t="s">
        <v>22</v>
      </c>
      <c r="HO47" cm="1">
        <f t="array" ref="HO47">SUMPRODUCT(--(FV47:HN47&lt;&gt;""))</f>
        <v>0</v>
      </c>
    </row>
    <row r="48" spans="1:223">
      <c r="A48" t="str">
        <f t="shared" si="18"/>
        <v>7A.1</v>
      </c>
      <c r="B48" t="s">
        <v>79</v>
      </c>
      <c r="C48" s="28"/>
      <c r="D48" s="29">
        <v>2</v>
      </c>
      <c r="E48" s="31">
        <f>IF($D48=0,0,IF(_xlfn.XLOOKUP($B48,'TH_MLG GRADE 10'!$B$7:$B$49,'TH_MLG GRADE 10'!C$7:C$49,"",0,1)="P",1*$D48,0))</f>
        <v>0</v>
      </c>
      <c r="F48" s="31">
        <f>IF($D48=0,0,IF(_xlfn.XLOOKUP($B48,'TH_MLG GRADE 10'!$B$7:$B$49,'TH_MLG GRADE 10'!D$7:D$49,"",0,1)="P",1*$D48,0))</f>
        <v>0</v>
      </c>
      <c r="G48" s="31">
        <f>IF($D48=0,0,IF(_xlfn.XLOOKUP($B48,'TH_MLG GRADE 10'!$B$7:$B$49,'TH_MLG GRADE 10'!E$7:E$49,"",0,1)="P",1*$D48,0))</f>
        <v>0</v>
      </c>
      <c r="H48" s="31">
        <f>IF($D48=0,0,IF(_xlfn.XLOOKUP($B48,'TH_MLG GRADE 10'!$B$7:$B$49,'TH_MLG GRADE 10'!I$7:I$49,"",0,1)="P",1*$D48,0))</f>
        <v>0</v>
      </c>
      <c r="I48" s="31">
        <f>IF($D48=0,0,IF(_xlfn.XLOOKUP($B48,'TH_MLG GRADE 10'!$B$7:$B$49,'TH_MLG GRADE 10'!J$7:J$49,"",0,1)="P",1*$D48,0))</f>
        <v>0</v>
      </c>
      <c r="J48" s="31">
        <f>IF($D48=0,0,IF(_xlfn.XLOOKUP($B48,'TH_MLG GRADE 10'!$B$7:$B$49,'TH_MLG GRADE 10'!K$7:K$49,"",0,1)="P",1*$D48,0))</f>
        <v>0</v>
      </c>
      <c r="K48" s="31">
        <f>IF($D48=0,0,IF(_xlfn.XLOOKUP($B48,'TH_MLG GRADE 10'!$B$7:$B$49,'TH_MLG GRADE 10'!O$7:O$49,"",0,1)="P",1*$D48,0))</f>
        <v>0</v>
      </c>
      <c r="L48" s="31">
        <f>IF($D48=0,0,IF(_xlfn.XLOOKUP($B48,'TH_MLG GRADE 10'!$B$7:$B$49,'TH_MLG GRADE 10'!P$7:P$49,"",0,1)="P",1*$D48,0))</f>
        <v>0</v>
      </c>
      <c r="M48" s="31">
        <f>IF($D48=0,0,IF(_xlfn.XLOOKUP($B48,'TH_MLG GRADE 10'!$B$7:$B$49,'TH_MLG GRADE 10'!Q$7:Q$49,"",0,1)="P",1*$D48,0))</f>
        <v>0</v>
      </c>
      <c r="N48" s="31">
        <f>IF($D48=0,0,IF(_xlfn.XLOOKUP($B48,'TH_MLG GRADE 10'!$B$7:$B$49,'TH_MLG GRADE 10'!AA$7:AA$49,"",0,1)="P",1*$D48,0))</f>
        <v>0</v>
      </c>
      <c r="O48" s="31">
        <f>IF($D48=0,0,IF(_xlfn.XLOOKUP($B48,'TH_MLG GRADE 10'!$B$7:$B$49,'TH_MLG GRADE 10'!AB$7:AB$49,"",0,1)="P",1*$D48,0))</f>
        <v>0</v>
      </c>
      <c r="P48" s="31">
        <f>IF($D48=0,0,IF(_xlfn.XLOOKUP($B48,'TH_MLG GRADE 10'!$B$7:$B$49,'TH_MLG GRADE 10'!AC$7:AC$49,"",0,1)="P",1*$D48,0))</f>
        <v>0</v>
      </c>
      <c r="Q48" s="31">
        <f>IF($D48=0,0,IF(_xlfn.XLOOKUP($B48,'TH_MLG GRADE 10'!$B$7:$B$49,'TH_MLG GRADE 10'!AG$7:AG$49,"",0,1)="P",1*$D48,0))</f>
        <v>0</v>
      </c>
      <c r="R48" s="31">
        <f>IF($D48=0,0,IF(_xlfn.XLOOKUP($B48,'TH_MLG GRADE 10'!$B$7:$B$49,'TH_MLG GRADE 10'!AH$7:AH$49,"",0,1)="P",1*$D48,0))</f>
        <v>0</v>
      </c>
      <c r="S48" s="31">
        <f>IF($D48=0,0,IF(_xlfn.XLOOKUP($B48,'TH_MLG GRADE 10'!$B$7:$B$49,'TH_MLG GRADE 10'!AI$7:AI$49,"",0,1)="P",1*$D48,0))</f>
        <v>0</v>
      </c>
      <c r="T48" s="31">
        <f>IF($D48=0,0,IF(_xlfn.XLOOKUP($B48,'TH_MLG GRADE 10'!$B$7:$B$49,'TH_MLG GRADE 10'!AM$7:AM$49,"",0,1)="P",1*$D48,0))</f>
        <v>2</v>
      </c>
      <c r="U48" s="31">
        <f>IF($D48=0,0,IF(_xlfn.XLOOKUP($B48,'TH_MLG GRADE 10'!$B$7:$B$49,'TH_MLG GRADE 10'!AN$7:AN$49,"",0,1)="P",1*$D48,0))</f>
        <v>2</v>
      </c>
      <c r="V48" s="31">
        <f>IF($D48=0,0,IF(_xlfn.XLOOKUP($B48,'TH_MLG GRADE 10'!$B$7:$B$49,'TH_MLG GRADE 10'!AO$7:AO$49,"",0,1)="P",1*$D48,0))</f>
        <v>2</v>
      </c>
      <c r="W48" s="31">
        <f>IF($D48=0,0,IF(_xlfn.XLOOKUP($B48,'TH_MLG GRADE 10'!$B$7:$B$49,'TH_MLG GRADE 10'!AY$7:AY$49,"",0,1)="P",1*$D48,0))</f>
        <v>2</v>
      </c>
      <c r="X48" s="31">
        <f>IF($D48=0,0,IF(_xlfn.XLOOKUP($B48,'TH_MLG GRADE 10'!$B$7:$B$49,'TH_MLG GRADE 10'!AZ$7:AZ$49,"",0,1)="P",1*$D48,0))</f>
        <v>2</v>
      </c>
      <c r="Y48" s="31">
        <f>IF($D48=0,0,IF(_xlfn.XLOOKUP($B48,'TH_MLG GRADE 10'!$B$7:$B$49,'TH_MLG GRADE 10'!BA$7:BA$49,"",0,1)="P",1*$D48,0))</f>
        <v>2</v>
      </c>
      <c r="Z48" s="31">
        <f>IF($D48=0,0,IF(_xlfn.XLOOKUP($B48,'TH_MLG GRADE 10'!$B$7:$B$49,'TH_MLG GRADE 10'!BE$7:BE$49,"",0,1)="P",1*$D48,0))</f>
        <v>0</v>
      </c>
      <c r="AA48" s="31">
        <f>IF($D48=0,0,IF(_xlfn.XLOOKUP($B48,'TH_MLG GRADE 10'!$B$7:$B$49,'TH_MLG GRADE 10'!BF$7:BF$49,"",0,1)="P",1*$D48,0))</f>
        <v>0</v>
      </c>
      <c r="AB48" s="31">
        <f>IF($D48=0,0,IF(_xlfn.XLOOKUP($B48,'TH_MLG GRADE 10'!$B$7:$B$49,'TH_MLG GRADE 10'!BG$7:BG$49,"",0,1)="P",1*$D48,0))</f>
        <v>0</v>
      </c>
      <c r="AC48" s="31" t="e">
        <f>IF($D48=0,0,IF(_xlfn.XLOOKUP($B48,'TH_MLG GRADE 10'!$B$7:$B$49,'TH_MLG GRADE 10'!#REF!,"",0,1)="P",1*$D48,0))</f>
        <v>#REF!</v>
      </c>
      <c r="AD48" s="31" t="e">
        <f>IF($D48=0,0,IF(_xlfn.XLOOKUP($B48,'TH_MLG GRADE 10'!$B$7:$B$49,'TH_MLG GRADE 10'!#REF!,"",0,1)="P",1*$D48,0))</f>
        <v>#REF!</v>
      </c>
      <c r="AE48" s="31" t="e">
        <f>IF($D48=0,0,IF(_xlfn.XLOOKUP($B48,'TH_MLG GRADE 10'!$B$7:$B$49,'TH_MLG GRADE 10'!#REF!,"",0,1)="P",1*$D48,0))</f>
        <v>#REF!</v>
      </c>
      <c r="AF48" s="31" t="e">
        <f>IF($D48=0,0,IF(_xlfn.XLOOKUP($B48,'TH_MLG GRADE 10'!$B$7:$B$49,'TH_MLG GRADE 10'!#REF!,"",0,1)="P",1*$D48,0))</f>
        <v>#REF!</v>
      </c>
      <c r="AG48" s="31" t="e">
        <f>IF($D48=0,0,IF(_xlfn.XLOOKUP($B48,'TH_MLG GRADE 10'!$B$7:$B$49,'TH_MLG GRADE 10'!#REF!,"",0,1)="P",1*$D48,0))</f>
        <v>#REF!</v>
      </c>
      <c r="AH48" s="31" t="e">
        <f>IF($D48=0,0,IF(_xlfn.XLOOKUP($B48,'TH_MLG GRADE 10'!$B$7:$B$49,'TH_MLG GRADE 10'!#REF!,"",0,1)="P",1*$D48,0))</f>
        <v>#REF!</v>
      </c>
      <c r="AI48" s="32">
        <f>IF($D48=0,0,IF(_xlfn.XLOOKUP($B48,'TH_CMI GRADE 10'!$B$7:$B$49,'TH_CMI GRADE 10'!C$7:C$49,"",0,1)="P",1*$D48,0))</f>
        <v>2</v>
      </c>
      <c r="AJ48" s="32">
        <f>IF($D48=0,0,IF(_xlfn.XLOOKUP($B48,'TH_CMI GRADE 10'!$B$7:$B$49,'TH_CMI GRADE 10'!D$7:D$49,"",0,1)="P",1*$D48,0))</f>
        <v>2</v>
      </c>
      <c r="AK48" s="32">
        <f>IF($D48=0,0,IF(_xlfn.XLOOKUP($B48,'TH_CMI GRADE 10'!$B$7:$B$49,'TH_CMI GRADE 10'!H$7:H$49,"",0,1)="P",1*$D48,0))</f>
        <v>0</v>
      </c>
      <c r="AL48" s="32">
        <f>IF($D48=0,0,IF(_xlfn.XLOOKUP($B48,'TH_CMI GRADE 10'!$B$7:$B$49,'TH_CMI GRADE 10'!I$7:I$49,"",0,1)="P",1*$D48,0))</f>
        <v>0</v>
      </c>
      <c r="AM48" s="32">
        <f>IF($D48=0,0,IF(_xlfn.XLOOKUP($B48,'TH_CMI GRADE 10'!$B$7:$B$49,'TH_CMI GRADE 10'!J$7:J$49,"",0,1)="P",1*$D48,0))</f>
        <v>0</v>
      </c>
      <c r="AN48" s="32">
        <f>IF($D48=0,0,IF(_xlfn.XLOOKUP($B48,'TH_CMI GRADE 10'!$B$7:$B$49,'TH_CMI GRADE 10'!K$7:K$49,"",0,1)="P",1*$D48,0))</f>
        <v>0</v>
      </c>
      <c r="AO48" s="32">
        <f>IF($D48=0,0,IF(_xlfn.XLOOKUP($B48,'TH_CMI GRADE 10'!$B$7:$B$49,'TH_CMI GRADE 10'!O$7:O$49,"",0,1)="P",1*$D48,0))</f>
        <v>0</v>
      </c>
      <c r="AP48" s="32">
        <f>IF($D48=0,0,IF(_xlfn.XLOOKUP($B48,'TH_CMI GRADE 10'!$B$7:$B$49,'TH_CMI GRADE 10'!P$7:P$49,"",0,1)="P",1*$D48,0))</f>
        <v>0</v>
      </c>
      <c r="AQ48" s="32">
        <f>IF($D48=0,0,IF(_xlfn.XLOOKUP($B48,'TH_CMI GRADE 10'!$B$7:$B$49,'TH_CMI GRADE 10'!Q$7:Q$49,"",0,1)="P",1*$D48,0))</f>
        <v>0</v>
      </c>
      <c r="AR48" s="32">
        <f>IF($D48=0,0,IF(_xlfn.XLOOKUP($B48,'TH_CMI GRADE 10'!$B$7:$B$49,'TH_CMI GRADE 10'!U$7:U$49,"",0,1)="P",1*$D48,0))</f>
        <v>2</v>
      </c>
      <c r="AS48" s="32">
        <f>IF($D48=0,0,IF(_xlfn.XLOOKUP($B48,'TH_CMI GRADE 10'!$B$7:$B$49,'TH_CMI GRADE 10'!V$7:V$49,"",0,1)="P",1*$D48,0))</f>
        <v>2</v>
      </c>
      <c r="AT48" s="32">
        <f>IF($D48=0,0,IF(_xlfn.XLOOKUP($B48,'TH_CMI GRADE 10'!$B$7:$B$49,'TH_CMI GRADE 10'!W$7:W$49,"",0,1)="P",1*$D48,0))</f>
        <v>2</v>
      </c>
      <c r="AU48" s="32">
        <f>IF($D48=0,0,IF(_xlfn.XLOOKUP($B48,'TH_CMI GRADE 10'!$B$7:$B$49,'TH_CMI GRADE 10'!AA$7:AA$49,"",0,1)="P",1*$D48,0))</f>
        <v>0</v>
      </c>
      <c r="AV48" s="32">
        <f>IF($D48=0,0,IF(_xlfn.XLOOKUP($B48,'TH_CMI GRADE 10'!$B$7:$B$49,'TH_CMI GRADE 10'!AB$7:AB$49,"",0,1)="P",1*$D48,0))</f>
        <v>0</v>
      </c>
      <c r="AW48" s="32">
        <f>IF($D48=0,0,IF(_xlfn.XLOOKUP($B48,'TH_CMI GRADE 10'!$B$7:$B$49,'TH_CMI GRADE 10'!AC$7:AC$49,"",0,1)="P",1*$D48,0))</f>
        <v>0</v>
      </c>
      <c r="AX48" s="32">
        <f>IF($D48=0,0,IF(_xlfn.XLOOKUP($B48,'TH_CMI GRADE 10'!$B$7:$B$49,'TH_CMI GRADE 10'!AG$7:AG$49,"",0,1)="P",1*$D48,0))</f>
        <v>0</v>
      </c>
      <c r="AY48" s="32">
        <f>IF($D48=0,0,IF(_xlfn.XLOOKUP($B48,'TH_CMI GRADE 10'!$B$7:$B$49,'TH_CMI GRADE 10'!AH$7:AH$49,"",0,1)="P",1*$D48,0))</f>
        <v>0</v>
      </c>
      <c r="AZ48" s="32">
        <f>IF($D48=0,0,IF(_xlfn.XLOOKUP($B48,'TH_CMI GRADE 10'!$B$7:$B$49,'TH_CMI GRADE 10'!AI$7:AI$49,"",0,1)="P",1*$D48,0))</f>
        <v>0</v>
      </c>
      <c r="BA48" s="31">
        <f>IF($C48=0,0,IF(_xlfn.XLOOKUP($B48,'PW_MLG GRADE 10'!$B$7:$B$31,'PW_MLG GRADE 10'!#REF!,"",0,1)="P",1*$C48,0))</f>
        <v>0</v>
      </c>
      <c r="BB48" s="31">
        <f>IF($C48=0,0,IF(_xlfn.XLOOKUP($B48,'PW_MLG GRADE 10'!$B$7:$B$31,'PW_MLG GRADE 10'!#REF!,"",0,1)="P",1*$C48,0))</f>
        <v>0</v>
      </c>
      <c r="BC48" s="31">
        <f>IF($C48=0,0,IF(_xlfn.XLOOKUP($B48,'PW_MLG GRADE 10'!$B$7:$B$31,'PW_MLG GRADE 10'!#REF!,"",0,1)="P",1*$C48,0))</f>
        <v>0</v>
      </c>
      <c r="BD48" s="31">
        <f>IF($C48=0,0,IF(_xlfn.XLOOKUP($B48,'PW_MLG GRADE 10'!$B$7:$B$31,'PW_MLG GRADE 10'!#REF!,"",0,1)="P",1*$C48,0))</f>
        <v>0</v>
      </c>
      <c r="BE48" s="31">
        <f>IF($C48=0,0,IF(_xlfn.XLOOKUP($B48,'PW_MLG GRADE 10'!$B$7:$B$31,'PW_MLG GRADE 10'!#REF!,"",0,1)="P",1*$C48,0))</f>
        <v>0</v>
      </c>
      <c r="BF48" s="31">
        <f>IF($C48=0,0,IF(_xlfn.XLOOKUP($B48,'PW_MLG GRADE 10'!$B$7:$B$31,'PW_MLG GRADE 10'!#REF!,"",0,1)="P",1*$C48,0))</f>
        <v>0</v>
      </c>
      <c r="BG48" s="31">
        <f>IF($C48=0,0,IF(_xlfn.XLOOKUP($B48,'PW_MLG GRADE 10'!$B$7:$B$31,'PW_MLG GRADE 10'!#REF!,"",0,1)="P",1*$C48,0))</f>
        <v>0</v>
      </c>
      <c r="BH48" s="31">
        <f>IF($C48=0,0,IF(_xlfn.XLOOKUP($B48,'PW_MLG GRADE 10'!$B$7:$B$31,'PW_MLG GRADE 10'!#REF!,"",0,1)="P",1*$C48,0))</f>
        <v>0</v>
      </c>
      <c r="BI48" s="31">
        <f>IF($C48=0,0,IF(_xlfn.XLOOKUP($B48,'PW_MLG GRADE 10'!$B$7:$B$31,'PW_MLG GRADE 10'!#REF!,"",0,1)="P",1*$C48,0))</f>
        <v>0</v>
      </c>
      <c r="BJ48" s="31">
        <f>IF($C48=0,0,IF(_xlfn.XLOOKUP($B48,'PW_MLG GRADE 10'!$B$7:$B$31,'PW_MLG GRADE 10'!#REF!,"",0,1)="P",1*$C48,0))</f>
        <v>0</v>
      </c>
      <c r="BK48" s="31">
        <f>IF($C48=0,0,IF(_xlfn.XLOOKUP($B48,'PW_MLG GRADE 10'!$B$7:$B$31,'PW_MLG GRADE 10'!#REF!,"",0,1)="P",1*$C48,0))</f>
        <v>0</v>
      </c>
      <c r="BL48" s="31">
        <f>IF($C48=0,0,IF(_xlfn.XLOOKUP($B48,'PW_MLG GRADE 10'!$B$7:$B$31,'PW_MLG GRADE 10'!#REF!,"",0,1)="P",1*$C48,0))</f>
        <v>0</v>
      </c>
      <c r="BM48" s="31">
        <f>IF($C48=0,0,IF(_xlfn.XLOOKUP($B48,'PW_MLG GRADE 10'!$B$7:$B$31,'PW_MLG GRADE 10'!#REF!,"",0,1)="P",1*$C48,0))</f>
        <v>0</v>
      </c>
      <c r="BN48" s="31">
        <f>IF($C48=0,0,IF(_xlfn.XLOOKUP($B48,'PW_MLG GRADE 10'!$B$7:$B$31,'PW_MLG GRADE 10'!#REF!,"",0,1)="P",1*$C48,0))</f>
        <v>0</v>
      </c>
      <c r="BO48" s="31">
        <f>IF($C48=0,0,IF(_xlfn.XLOOKUP($B48,'PW_MLG GRADE 10'!$B$7:$B$31,'PW_MLG GRADE 10'!#REF!,"",0,1)="P",1*$C48,0))</f>
        <v>0</v>
      </c>
      <c r="BP48" s="31">
        <f>IF($C48=0,0,IF(_xlfn.XLOOKUP($B48,'PW_MLG GRADE 10'!$B$7:$B$31,'PW_MLG GRADE 10'!#REF!,"",0,1)="P",1*$C48,0))</f>
        <v>0</v>
      </c>
      <c r="BQ48" s="31">
        <f>IF($C48=0,0,IF(_xlfn.XLOOKUP($B48,'PW_MLG GRADE 10'!$B$7:$B$31,'PW_MLG GRADE 10'!#REF!,"",0,1)="P",1*$C48,0))</f>
        <v>0</v>
      </c>
      <c r="BR48" s="31">
        <f>IF($C48=0,0,IF(_xlfn.XLOOKUP($B48,'PW_MLG GRADE 10'!$B$7:$B$31,'PW_MLG GRADE 10'!#REF!,"",0,1)="P",1*$C48,0))</f>
        <v>0</v>
      </c>
      <c r="BS48" s="31">
        <f>IF($C48=0,0,IF(_xlfn.XLOOKUP($B48,'PW_MLG GRADE 10'!$B$7:$B$31,'PW_MLG GRADE 10'!#REF!,"",0,1)="P",1*$C48,0))</f>
        <v>0</v>
      </c>
      <c r="BT48" s="31">
        <f>IF($C48=0,0,IF(_xlfn.XLOOKUP($B48,'PW_MLG GRADE 10'!$B$7:$B$31,'PW_MLG GRADE 10'!#REF!,"",0,1)="P",1*$C48,0))</f>
        <v>0</v>
      </c>
      <c r="BU48" s="31">
        <f>IF($C48=0,0,IF(_xlfn.XLOOKUP($B48,'PW_MLG GRADE 10'!$B$7:$B$31,'PW_MLG GRADE 10'!#REF!,"",0,1)="P",1*$C48,0))</f>
        <v>0</v>
      </c>
      <c r="BV48" s="31">
        <f>IF($C48=0,0,IF(_xlfn.XLOOKUP($B48,'PW_MLG GRADE 10'!$B$7:$B$31,'PW_MLG GRADE 10'!#REF!,"",0,1)="P",1*$C48,0))</f>
        <v>0</v>
      </c>
      <c r="BW48" s="31">
        <f>IF($C48=0,0,IF(_xlfn.XLOOKUP($B48,'PW_MLG GRADE 10'!$B$7:$B$31,'PW_MLG GRADE 10'!#REF!,"",0,1)="P",1*$C48,0))</f>
        <v>0</v>
      </c>
      <c r="BX48" s="31">
        <f>IF($C48=0,0,IF(_xlfn.XLOOKUP($B48,'PW_MLG GRADE 10'!$B$7:$B$31,'PW_MLG GRADE 10'!#REF!,"",0,1)="P",1*$C48,0))</f>
        <v>0</v>
      </c>
      <c r="BY48" s="31">
        <f>IF($C48=0,0,IF(_xlfn.XLOOKUP($B48,'PW_MLG GRADE 10'!$B$7:$B$31,'PW_MLG GRADE 10'!#REF!,"",0,1)="P",1*$C48,0))</f>
        <v>0</v>
      </c>
      <c r="BZ48" s="31">
        <f>IF($C48=0,0,IF(_xlfn.XLOOKUP($B48,'PW_MLG GRADE 10'!$B$7:$B$31,'PW_MLG GRADE 10'!#REF!,"",0,1)="P",1*$C48,0))</f>
        <v>0</v>
      </c>
      <c r="CA48" s="31">
        <f>IF($C48=0,0,IF(_xlfn.XLOOKUP($B48,'PW_MLG GRADE 10'!$B$7:$B$31,'PW_MLG GRADE 10'!#REF!,"",0,1)="P",1*$C48,0))</f>
        <v>0</v>
      </c>
      <c r="CB48" s="31">
        <f>IF($C48=0,0,IF(_xlfn.XLOOKUP($B48,'PW_MLG GRADE 10'!$B$7:$B$31,'PW_MLG GRADE 10'!#REF!,"",0,1)="P",1*$C48,0))</f>
        <v>0</v>
      </c>
      <c r="CC48" s="31">
        <f>IF($C48=0,0,IF(_xlfn.XLOOKUP($B48,'PW_MLG GRADE 10'!$B$7:$B$31,'PW_MLG GRADE 10'!#REF!,"",0,1)="P",1*$C48,0))</f>
        <v>0</v>
      </c>
      <c r="CD48" s="31">
        <f>IF($C48=0,0,IF(_xlfn.XLOOKUP($B48,'PW_MLG GRADE 10'!$B$7:$B$31,'PW_MLG GRADE 10'!#REF!,"",0,1)="P",1*$C48,0))</f>
        <v>0</v>
      </c>
      <c r="CE48" s="32">
        <f>IF($C48=0,0,IF(_xlfn.XLOOKUP($B48,'PW_CMI GRADE 10'!$B$7:$B$31,'PW_CMI GRADE 10'!C$7:C$31,"",0,1)="P",1*$C48,0))</f>
        <v>0</v>
      </c>
      <c r="CF48" s="32">
        <f>IF($C48=0,0,IF(_xlfn.XLOOKUP($B48,'PW_CMI GRADE 10'!$B$7:$B$31,'PW_CMI GRADE 10'!D$7:D$31,"",0,1)="P",1*$C48,0))</f>
        <v>0</v>
      </c>
      <c r="CG48" s="32">
        <f>IF($C48=0,0,IF(_xlfn.XLOOKUP($B48,'PW_CMI GRADE 10'!$B$7:$B$31,'PW_CMI GRADE 10'!E$7:E$31,"",0,1)="P",1*$C48,0))</f>
        <v>0</v>
      </c>
      <c r="CH48" s="32">
        <f>IF($C48=0,0,IF(_xlfn.XLOOKUP($B48,'PW_CMI GRADE 10'!$B$7:$B$31,'PW_CMI GRADE 10'!F$7:F$31,"",0,1)="P",1*$C48,0))</f>
        <v>0</v>
      </c>
      <c r="CI48" s="32">
        <f>IF($C48=0,0,IF(_xlfn.XLOOKUP($B48,'PW_CMI GRADE 10'!$B$7:$B$31,'PW_CMI GRADE 10'!G$7:G$31,"",0,1)="P",1*$C48,0))</f>
        <v>0</v>
      </c>
      <c r="CJ48" s="32">
        <f>IF($C48=0,0,IF(_xlfn.XLOOKUP($B48,'PW_CMI GRADE 10'!$B$7:$B$31,'PW_CMI GRADE 10'!H$7:H$31,"",0,1)="P",1*$C48,0))</f>
        <v>0</v>
      </c>
      <c r="CK48" s="32">
        <f>IF($C48=0,0,IF(_xlfn.XLOOKUP($B48,'PW_CMI GRADE 10'!$B$7:$B$31,'PW_CMI GRADE 10'!I$7:I$31,"",0,1)="P",1*$C48,0))</f>
        <v>0</v>
      </c>
      <c r="CL48" s="32">
        <f>IF($C48=0,0,IF(_xlfn.XLOOKUP($B48,'PW_CMI GRADE 10'!$B$7:$B$31,'PW_CMI GRADE 10'!J$7:J$31,"",0,1)="P",1*$C48,0))</f>
        <v>0</v>
      </c>
      <c r="CM48" s="32">
        <f>IF($C48=0,0,IF(_xlfn.XLOOKUP($B48,'PW_CMI GRADE 10'!$B$7:$B$31,'PW_CMI GRADE 10'!K$7:K$31,"",0,1)="P",1*$C48,0))</f>
        <v>0</v>
      </c>
      <c r="CN48" s="32">
        <f>IF($C48=0,0,IF(_xlfn.XLOOKUP($B48,'PW_CMI GRADE 10'!$B$7:$B$31,'PW_CMI GRADE 10'!L$7:L$31,"",0,1)="P",1*$C48,0))</f>
        <v>0</v>
      </c>
      <c r="CO48" s="32">
        <f>IF($C48=0,0,IF(_xlfn.XLOOKUP($B48,'PW_CMI GRADE 10'!$B$7:$B$31,'PW_CMI GRADE 10'!M$7:M$31,"",0,1)="P",1*$C48,0))</f>
        <v>0</v>
      </c>
      <c r="CP48" s="32">
        <f>IF($C48=0,0,IF(_xlfn.XLOOKUP($B48,'PW_CMI GRADE 10'!$B$7:$B$31,'PW_CMI GRADE 10'!N$7:N$31,"",0,1)="P",1*$C48,0))</f>
        <v>0</v>
      </c>
      <c r="CQ48" s="32">
        <f>IF($C48=0,0,IF(_xlfn.XLOOKUP($B48,'PW_CMI GRADE 10'!$B$7:$B$31,'PW_CMI GRADE 10'!O$7:O$31,"",0,1)="P",1*$C48,0))</f>
        <v>0</v>
      </c>
      <c r="CR48" s="32">
        <f>IF($C48=0,0,IF(_xlfn.XLOOKUP($B48,'PW_CMI GRADE 10'!$B$7:$B$31,'PW_CMI GRADE 10'!P$7:P$31,"",0,1)="P",1*$C48,0))</f>
        <v>0</v>
      </c>
      <c r="CS48" s="32">
        <f>IF($C48=0,0,IF(_xlfn.XLOOKUP($B48,'PW_CMI GRADE 10'!$B$7:$B$31,'PW_CMI GRADE 10'!Q$7:Q$31,"",0,1)="P",1*$C48,0))</f>
        <v>0</v>
      </c>
      <c r="CT48" s="32">
        <f>IF($C48=0,0,IF(_xlfn.XLOOKUP($B48,'PW_CMI GRADE 10'!$B$7:$B$31,'PW_CMI GRADE 10'!R$7:R$31,"",0,1)="P",1*$C48,0))</f>
        <v>0</v>
      </c>
      <c r="CU48" s="32">
        <f>IF($C48=0,0,IF(_xlfn.XLOOKUP($B48,'PW_CMI GRADE 10'!$B$7:$B$31,'PW_CMI GRADE 10'!S$7:S$31,"",0,1)="P",1*$C48,0))</f>
        <v>0</v>
      </c>
      <c r="CV48" s="32">
        <f>IF($C48=0,0,IF(_xlfn.XLOOKUP($B48,'PW_CMI GRADE 10'!$B$7:$B$31,'PW_CMI GRADE 10'!T$7:T$31,"",0,1)="P",1*$C48,0))</f>
        <v>0</v>
      </c>
      <c r="CW48" s="62">
        <f t="shared" si="19"/>
        <v>0</v>
      </c>
      <c r="CX48" s="62">
        <f t="shared" si="20"/>
        <v>0</v>
      </c>
      <c r="CY48" s="62">
        <f t="shared" si="21"/>
        <v>0</v>
      </c>
      <c r="CZ48" s="62">
        <f t="shared" si="22"/>
        <v>0</v>
      </c>
      <c r="DA48" s="62">
        <f t="shared" si="23"/>
        <v>0</v>
      </c>
      <c r="DB48" s="62">
        <f t="shared" si="24"/>
        <v>0</v>
      </c>
      <c r="DC48" s="62">
        <f t="shared" si="25"/>
        <v>0</v>
      </c>
      <c r="DD48" s="62">
        <f t="shared" si="26"/>
        <v>0</v>
      </c>
      <c r="DE48" s="62">
        <f t="shared" si="27"/>
        <v>0</v>
      </c>
      <c r="DF48" s="62">
        <f t="shared" si="28"/>
        <v>0</v>
      </c>
      <c r="DG48" s="62">
        <f t="shared" si="29"/>
        <v>0</v>
      </c>
      <c r="DH48" s="62">
        <f t="shared" si="30"/>
        <v>0</v>
      </c>
      <c r="DI48" s="62">
        <f t="shared" si="31"/>
        <v>0</v>
      </c>
      <c r="DJ48" s="62">
        <f t="shared" si="32"/>
        <v>0.33333333333333331</v>
      </c>
      <c r="DK48" s="62">
        <f t="shared" si="33"/>
        <v>0.66666666666666663</v>
      </c>
      <c r="DL48" s="62">
        <f t="shared" si="34"/>
        <v>1</v>
      </c>
      <c r="DM48" s="62">
        <f t="shared" si="35"/>
        <v>1</v>
      </c>
      <c r="DN48" s="62">
        <f t="shared" si="36"/>
        <v>1</v>
      </c>
      <c r="DO48" s="62">
        <f t="shared" si="37"/>
        <v>1</v>
      </c>
      <c r="DP48" s="62">
        <f t="shared" si="38"/>
        <v>0.66666666666666663</v>
      </c>
      <c r="DQ48" s="62">
        <f t="shared" si="39"/>
        <v>0.33333333333333331</v>
      </c>
      <c r="DR48" s="62">
        <f t="shared" si="40"/>
        <v>0</v>
      </c>
      <c r="DS48" s="62" t="e">
        <f t="shared" si="41"/>
        <v>#REF!</v>
      </c>
      <c r="DT48" s="62" t="e">
        <f t="shared" si="42"/>
        <v>#REF!</v>
      </c>
      <c r="DU48" s="62" t="e">
        <f t="shared" si="43"/>
        <v>#REF!</v>
      </c>
      <c r="DV48" s="62" t="e">
        <f t="shared" si="44"/>
        <v>#REF!</v>
      </c>
      <c r="DW48" s="62" t="e">
        <f t="shared" si="45"/>
        <v>#REF!</v>
      </c>
      <c r="DX48" s="62" t="e">
        <f t="shared" si="46"/>
        <v>#REF!</v>
      </c>
      <c r="DY48" s="62" t="e">
        <f t="shared" si="47"/>
        <v>#REF!</v>
      </c>
      <c r="DZ48" s="62" t="e">
        <f t="shared" si="48"/>
        <v>#REF!</v>
      </c>
      <c r="EA48" s="63">
        <f t="shared" si="68"/>
        <v>0.66666666666666663</v>
      </c>
      <c r="EB48" s="63">
        <f t="shared" si="2"/>
        <v>0.33333333333333331</v>
      </c>
      <c r="EC48" s="63">
        <f t="shared" si="3"/>
        <v>0</v>
      </c>
      <c r="ED48" s="63">
        <f t="shared" si="4"/>
        <v>0</v>
      </c>
      <c r="EE48" s="63">
        <f t="shared" si="5"/>
        <v>0</v>
      </c>
      <c r="EF48" s="63">
        <f t="shared" si="6"/>
        <v>0</v>
      </c>
      <c r="EG48" s="63">
        <f t="shared" si="7"/>
        <v>0</v>
      </c>
      <c r="EH48" s="63">
        <f t="shared" si="8"/>
        <v>0.33333333333333331</v>
      </c>
      <c r="EI48" s="63">
        <f t="shared" si="9"/>
        <v>0.66666666666666663</v>
      </c>
      <c r="EJ48" s="63">
        <f t="shared" si="10"/>
        <v>1</v>
      </c>
      <c r="EK48" s="63">
        <f t="shared" si="11"/>
        <v>0.66666666666666663</v>
      </c>
      <c r="EL48" s="63">
        <f t="shared" si="12"/>
        <v>0.33333333333333331</v>
      </c>
      <c r="EM48" s="63">
        <f t="shared" si="13"/>
        <v>0</v>
      </c>
      <c r="EN48" s="63">
        <f t="shared" si="14"/>
        <v>0</v>
      </c>
      <c r="EO48" s="63">
        <f t="shared" si="15"/>
        <v>0</v>
      </c>
      <c r="EP48" s="63">
        <f t="shared" si="16"/>
        <v>0</v>
      </c>
      <c r="FU48" s="51">
        <v>47178</v>
      </c>
      <c r="FV48" t="s">
        <v>22</v>
      </c>
      <c r="FW48" t="s">
        <v>22</v>
      </c>
      <c r="FX48" t="s">
        <v>22</v>
      </c>
      <c r="FY48" t="s">
        <v>22</v>
      </c>
      <c r="FZ48" t="s">
        <v>22</v>
      </c>
      <c r="GA48" t="s">
        <v>22</v>
      </c>
      <c r="GB48" t="s">
        <v>22</v>
      </c>
      <c r="GC48" t="s">
        <v>22</v>
      </c>
      <c r="GD48" t="s">
        <v>22</v>
      </c>
      <c r="GE48" t="s">
        <v>22</v>
      </c>
      <c r="GF48" t="s">
        <v>22</v>
      </c>
      <c r="GG48" t="s">
        <v>22</v>
      </c>
      <c r="GH48" t="s">
        <v>22</v>
      </c>
      <c r="GI48" t="s">
        <v>22</v>
      </c>
      <c r="GJ48" t="s">
        <v>22</v>
      </c>
      <c r="GK48" t="s">
        <v>22</v>
      </c>
      <c r="GL48" t="s">
        <v>22</v>
      </c>
      <c r="GM48" t="s">
        <v>22</v>
      </c>
      <c r="GN48" t="s">
        <v>22</v>
      </c>
      <c r="GO48" t="s">
        <v>22</v>
      </c>
      <c r="GP48" t="s">
        <v>22</v>
      </c>
      <c r="GQ48" t="s">
        <v>22</v>
      </c>
      <c r="GR48" t="s">
        <v>22</v>
      </c>
      <c r="GS48" t="s">
        <v>22</v>
      </c>
      <c r="GT48" t="s">
        <v>22</v>
      </c>
      <c r="GU48" t="s">
        <v>22</v>
      </c>
      <c r="GV48" t="s">
        <v>22</v>
      </c>
      <c r="GW48" t="s">
        <v>22</v>
      </c>
      <c r="GX48" t="s">
        <v>22</v>
      </c>
      <c r="GY48" t="s">
        <v>22</v>
      </c>
      <c r="GZ48" t="s">
        <v>22</v>
      </c>
      <c r="HA48" t="s">
        <v>22</v>
      </c>
      <c r="HB48" t="s">
        <v>22</v>
      </c>
      <c r="HC48" t="s">
        <v>22</v>
      </c>
      <c r="HD48" t="s">
        <v>22</v>
      </c>
      <c r="HE48" t="s">
        <v>22</v>
      </c>
      <c r="HF48" t="s">
        <v>22</v>
      </c>
      <c r="HG48" t="s">
        <v>22</v>
      </c>
      <c r="HH48" t="s">
        <v>22</v>
      </c>
      <c r="HI48" t="s">
        <v>22</v>
      </c>
      <c r="HJ48" t="s">
        <v>22</v>
      </c>
      <c r="HK48" t="s">
        <v>22</v>
      </c>
      <c r="HL48" t="s">
        <v>22</v>
      </c>
      <c r="HM48" t="s">
        <v>22</v>
      </c>
      <c r="HN48" t="s">
        <v>22</v>
      </c>
      <c r="HO48" cm="1">
        <f t="array" ref="HO48">SUMPRODUCT(--(FV48:HN48&lt;&gt;""))</f>
        <v>0</v>
      </c>
    </row>
    <row r="49" spans="1:223">
      <c r="FU49" s="51">
        <v>47209</v>
      </c>
      <c r="FV49" t="s">
        <v>22</v>
      </c>
      <c r="FW49" t="s">
        <v>22</v>
      </c>
      <c r="FX49" t="s">
        <v>22</v>
      </c>
      <c r="FY49" t="s">
        <v>22</v>
      </c>
      <c r="FZ49" t="s">
        <v>22</v>
      </c>
      <c r="GA49" t="s">
        <v>22</v>
      </c>
      <c r="GB49" t="s">
        <v>22</v>
      </c>
      <c r="GC49" t="s">
        <v>22</v>
      </c>
      <c r="GD49" t="s">
        <v>22</v>
      </c>
      <c r="GE49" t="s">
        <v>22</v>
      </c>
      <c r="GF49" t="s">
        <v>22</v>
      </c>
      <c r="GG49" t="s">
        <v>22</v>
      </c>
      <c r="GH49" t="s">
        <v>22</v>
      </c>
      <c r="GI49" t="s">
        <v>22</v>
      </c>
      <c r="GJ49" t="s">
        <v>22</v>
      </c>
      <c r="GK49" t="s">
        <v>22</v>
      </c>
      <c r="GL49" t="s">
        <v>22</v>
      </c>
      <c r="GM49" t="s">
        <v>22</v>
      </c>
      <c r="GN49" t="s">
        <v>22</v>
      </c>
      <c r="GO49" t="s">
        <v>22</v>
      </c>
      <c r="GP49" t="s">
        <v>22</v>
      </c>
      <c r="GQ49" t="s">
        <v>22</v>
      </c>
      <c r="GR49" t="s">
        <v>22</v>
      </c>
      <c r="GS49" t="s">
        <v>22</v>
      </c>
      <c r="GT49" t="s">
        <v>22</v>
      </c>
      <c r="GU49" t="s">
        <v>22</v>
      </c>
      <c r="GV49" t="s">
        <v>22</v>
      </c>
      <c r="GW49" t="s">
        <v>22</v>
      </c>
      <c r="GX49" t="s">
        <v>22</v>
      </c>
      <c r="GY49" t="s">
        <v>22</v>
      </c>
      <c r="GZ49" t="s">
        <v>22</v>
      </c>
      <c r="HA49" t="s">
        <v>22</v>
      </c>
      <c r="HB49" t="s">
        <v>22</v>
      </c>
      <c r="HC49" t="s">
        <v>22</v>
      </c>
      <c r="HD49" t="s">
        <v>22</v>
      </c>
      <c r="HE49" t="s">
        <v>22</v>
      </c>
      <c r="HF49" t="s">
        <v>22</v>
      </c>
      <c r="HG49" t="s">
        <v>22</v>
      </c>
      <c r="HH49" t="s">
        <v>22</v>
      </c>
      <c r="HI49" t="s">
        <v>22</v>
      </c>
      <c r="HJ49" t="s">
        <v>22</v>
      </c>
      <c r="HK49" t="s">
        <v>22</v>
      </c>
      <c r="HL49" t="s">
        <v>22</v>
      </c>
      <c r="HM49" t="s">
        <v>22</v>
      </c>
      <c r="HN49" t="s">
        <v>22</v>
      </c>
      <c r="HO49" cm="1">
        <f t="array" ref="HO49">SUMPRODUCT(--(FV49:HN49&lt;&gt;""))</f>
        <v>0</v>
      </c>
    </row>
    <row r="50" spans="1:223">
      <c r="FU50" s="51">
        <v>47239</v>
      </c>
      <c r="FV50" t="s">
        <v>22</v>
      </c>
      <c r="FW50" t="s">
        <v>22</v>
      </c>
      <c r="FX50" t="s">
        <v>22</v>
      </c>
      <c r="FY50" t="s">
        <v>22</v>
      </c>
      <c r="FZ50" t="s">
        <v>22</v>
      </c>
      <c r="GA50" t="s">
        <v>22</v>
      </c>
      <c r="GB50" t="s">
        <v>22</v>
      </c>
      <c r="GC50" t="s">
        <v>22</v>
      </c>
      <c r="GD50" t="s">
        <v>22</v>
      </c>
      <c r="GE50" t="s">
        <v>22</v>
      </c>
      <c r="GF50" t="s">
        <v>22</v>
      </c>
      <c r="GG50" t="s">
        <v>22</v>
      </c>
      <c r="GH50" t="s">
        <v>22</v>
      </c>
      <c r="GI50" t="s">
        <v>22</v>
      </c>
      <c r="GJ50" t="s">
        <v>22</v>
      </c>
      <c r="GK50" t="s">
        <v>22</v>
      </c>
      <c r="GL50" t="s">
        <v>22</v>
      </c>
      <c r="GM50" t="s">
        <v>22</v>
      </c>
      <c r="GN50" t="s">
        <v>22</v>
      </c>
      <c r="GO50" t="s">
        <v>22</v>
      </c>
      <c r="GP50" t="s">
        <v>22</v>
      </c>
      <c r="GQ50" t="s">
        <v>22</v>
      </c>
      <c r="GR50" t="s">
        <v>22</v>
      </c>
      <c r="GS50" t="s">
        <v>22</v>
      </c>
      <c r="GT50" t="s">
        <v>22</v>
      </c>
      <c r="GU50" t="s">
        <v>22</v>
      </c>
      <c r="GV50" t="s">
        <v>22</v>
      </c>
      <c r="GW50" t="s">
        <v>22</v>
      </c>
      <c r="GX50" t="s">
        <v>22</v>
      </c>
      <c r="GY50" t="s">
        <v>22</v>
      </c>
      <c r="GZ50" t="s">
        <v>22</v>
      </c>
      <c r="HA50" t="s">
        <v>22</v>
      </c>
      <c r="HB50" t="s">
        <v>22</v>
      </c>
      <c r="HC50" t="s">
        <v>22</v>
      </c>
      <c r="HD50" t="s">
        <v>22</v>
      </c>
      <c r="HE50" t="s">
        <v>22</v>
      </c>
      <c r="HF50" t="s">
        <v>22</v>
      </c>
      <c r="HG50" t="s">
        <v>22</v>
      </c>
      <c r="HH50" t="s">
        <v>22</v>
      </c>
      <c r="HI50" t="s">
        <v>22</v>
      </c>
      <c r="HJ50" t="s">
        <v>22</v>
      </c>
      <c r="HK50" t="s">
        <v>22</v>
      </c>
      <c r="HL50" t="s">
        <v>22</v>
      </c>
      <c r="HM50" t="s">
        <v>22</v>
      </c>
      <c r="HN50" t="s">
        <v>22</v>
      </c>
      <c r="HO50" cm="1">
        <f t="array" ref="HO50">SUMPRODUCT(--(FV50:HN50&lt;&gt;""))</f>
        <v>0</v>
      </c>
    </row>
    <row r="51" spans="1:223" ht="66">
      <c r="E51" s="36" t="e" cm="1" vm="4">
        <f t="array" aca="1" ref="E51" ca="1">_xlfn.ANCHORARRAY(E1)</f>
        <v>#VALUE!</v>
      </c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7" t="e" cm="1" vm="4">
        <f t="array" aca="1" ref="AI51" ca="1">_xlfn.ANCHORARRAY(AI1)</f>
        <v>#VALUE!</v>
      </c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6" t="e" cm="1" vm="3">
        <f t="array" aca="1" ref="BA51" ca="1">E51:AZ51</f>
        <v>#VALUE!</v>
      </c>
      <c r="BB51" s="36" t="e">
        <f>#N/A</f>
        <v>#N/A</v>
      </c>
      <c r="BC51" s="36" t="e">
        <f>#N/A</f>
        <v>#N/A</v>
      </c>
      <c r="BD51" s="36" t="e">
        <f>#N/A</f>
        <v>#N/A</v>
      </c>
      <c r="BE51" s="36" t="e">
        <f>#N/A</f>
        <v>#N/A</v>
      </c>
      <c r="BF51" s="36" t="e">
        <f>#N/A</f>
        <v>#N/A</v>
      </c>
      <c r="BG51" s="36" t="e">
        <f>#N/A</f>
        <v>#N/A</v>
      </c>
      <c r="BH51" s="36" t="e">
        <f>#N/A</f>
        <v>#N/A</v>
      </c>
      <c r="BI51" s="36" t="e">
        <f>#N/A</f>
        <v>#N/A</v>
      </c>
      <c r="BJ51" s="36" t="e">
        <f>#N/A</f>
        <v>#N/A</v>
      </c>
      <c r="BK51" s="36" t="e">
        <f>#N/A</f>
        <v>#N/A</v>
      </c>
      <c r="BL51" s="36" t="e">
        <f>#N/A</f>
        <v>#N/A</v>
      </c>
      <c r="BM51" s="36" t="e">
        <f>#N/A</f>
        <v>#N/A</v>
      </c>
      <c r="BN51" s="36" t="e">
        <f>#N/A</f>
        <v>#N/A</v>
      </c>
      <c r="BO51" s="36" t="e">
        <f>#N/A</f>
        <v>#N/A</v>
      </c>
      <c r="BP51" s="36" t="e">
        <f>#N/A</f>
        <v>#N/A</v>
      </c>
      <c r="BQ51" s="36" t="e">
        <f>#N/A</f>
        <v>#N/A</v>
      </c>
      <c r="BR51" s="36" t="e">
        <f>#N/A</f>
        <v>#N/A</v>
      </c>
      <c r="BS51" s="36" t="e">
        <f>#N/A</f>
        <v>#N/A</v>
      </c>
      <c r="BT51" s="36" t="e">
        <f>#N/A</f>
        <v>#N/A</v>
      </c>
      <c r="BU51" s="36" t="e">
        <f>#N/A</f>
        <v>#N/A</v>
      </c>
      <c r="BV51" s="36" t="e">
        <f>#N/A</f>
        <v>#N/A</v>
      </c>
      <c r="BW51" s="36" t="e">
        <f>#N/A</f>
        <v>#N/A</v>
      </c>
      <c r="BX51" s="36" t="e">
        <f>#N/A</f>
        <v>#N/A</v>
      </c>
      <c r="BY51" s="36" t="e">
        <f>#N/A</f>
        <v>#N/A</v>
      </c>
      <c r="BZ51" s="36" t="e">
        <f>#N/A</f>
        <v>#N/A</v>
      </c>
      <c r="CA51" s="36" t="e">
        <f>#N/A</f>
        <v>#N/A</v>
      </c>
      <c r="CB51" s="36" t="e">
        <f>#N/A</f>
        <v>#N/A</v>
      </c>
      <c r="CC51" s="36" t="e">
        <f>#N/A</f>
        <v>#N/A</v>
      </c>
      <c r="CD51" s="36" t="e">
        <f>#N/A</f>
        <v>#N/A</v>
      </c>
      <c r="CE51" s="37" t="e">
        <f>#N/A</f>
        <v>#N/A</v>
      </c>
      <c r="CF51" s="37" t="e">
        <f>#N/A</f>
        <v>#N/A</v>
      </c>
      <c r="CG51" s="37" t="e">
        <f>#N/A</f>
        <v>#N/A</v>
      </c>
      <c r="CH51" s="37" t="e">
        <f>#N/A</f>
        <v>#N/A</v>
      </c>
      <c r="CI51" s="37" t="e">
        <f>#N/A</f>
        <v>#N/A</v>
      </c>
      <c r="CJ51" s="37" t="e">
        <f>#N/A</f>
        <v>#N/A</v>
      </c>
      <c r="CK51" s="37" t="e">
        <f>#N/A</f>
        <v>#N/A</v>
      </c>
      <c r="CL51" s="37" t="e">
        <f>#N/A</f>
        <v>#N/A</v>
      </c>
      <c r="CM51" s="37" t="e">
        <f>#N/A</f>
        <v>#N/A</v>
      </c>
      <c r="CN51" s="37" t="e">
        <f>#N/A</f>
        <v>#N/A</v>
      </c>
      <c r="CO51" s="37" t="e">
        <f>#N/A</f>
        <v>#N/A</v>
      </c>
      <c r="CP51" s="37" t="e">
        <f>#N/A</f>
        <v>#N/A</v>
      </c>
      <c r="CQ51" s="37" t="e">
        <f>#N/A</f>
        <v>#N/A</v>
      </c>
      <c r="CR51" s="37" t="e">
        <f>#N/A</f>
        <v>#N/A</v>
      </c>
      <c r="CS51" s="37" t="e">
        <f>#N/A</f>
        <v>#N/A</v>
      </c>
      <c r="CT51" s="37" t="e">
        <f>#N/A</f>
        <v>#N/A</v>
      </c>
      <c r="CU51" s="37" t="e">
        <f>#N/A</f>
        <v>#N/A</v>
      </c>
      <c r="CV51" s="37" t="e">
        <f>#N/A</f>
        <v>#N/A</v>
      </c>
      <c r="CW51" s="36" t="e" cm="1" vm="3">
        <f t="array" aca="1" ref="CW51" ca="1">E51:AZ51</f>
        <v>#VALUE!</v>
      </c>
      <c r="CX51" s="36" t="e">
        <f>#N/A</f>
        <v>#N/A</v>
      </c>
      <c r="CY51" s="36" t="e">
        <f>#N/A</f>
        <v>#N/A</v>
      </c>
      <c r="CZ51" s="36" t="e">
        <f>#N/A</f>
        <v>#N/A</v>
      </c>
      <c r="DA51" s="36" t="e">
        <f>#N/A</f>
        <v>#N/A</v>
      </c>
      <c r="DB51" s="36" t="e">
        <f>#N/A</f>
        <v>#N/A</v>
      </c>
      <c r="DC51" s="36" t="e">
        <f>#N/A</f>
        <v>#N/A</v>
      </c>
      <c r="DD51" s="36" t="e">
        <f>#N/A</f>
        <v>#N/A</v>
      </c>
      <c r="DE51" s="36" t="e">
        <f>#N/A</f>
        <v>#N/A</v>
      </c>
      <c r="DF51" s="36" t="e">
        <f>#N/A</f>
        <v>#N/A</v>
      </c>
      <c r="DG51" s="36" t="e">
        <f>#N/A</f>
        <v>#N/A</v>
      </c>
      <c r="DH51" s="36" t="e">
        <f>#N/A</f>
        <v>#N/A</v>
      </c>
      <c r="DI51" s="36" t="e">
        <f>#N/A</f>
        <v>#N/A</v>
      </c>
      <c r="DJ51" s="36" t="e">
        <f>#N/A</f>
        <v>#N/A</v>
      </c>
      <c r="DK51" s="36" t="e">
        <f>#N/A</f>
        <v>#N/A</v>
      </c>
      <c r="DL51" s="36" t="e">
        <f>#N/A</f>
        <v>#N/A</v>
      </c>
      <c r="DM51" s="36" t="e">
        <f>#N/A</f>
        <v>#N/A</v>
      </c>
      <c r="DN51" s="36" t="e">
        <f>#N/A</f>
        <v>#N/A</v>
      </c>
      <c r="DO51" s="36" t="e">
        <f>#N/A</f>
        <v>#N/A</v>
      </c>
      <c r="DP51" s="36" t="e">
        <f>#N/A</f>
        <v>#N/A</v>
      </c>
      <c r="DQ51" s="36" t="e">
        <f>#N/A</f>
        <v>#N/A</v>
      </c>
      <c r="DR51" s="36" t="e">
        <f>#N/A</f>
        <v>#N/A</v>
      </c>
      <c r="DS51" s="36" t="e">
        <f>#N/A</f>
        <v>#N/A</v>
      </c>
      <c r="DT51" s="36" t="e">
        <f>#N/A</f>
        <v>#N/A</v>
      </c>
      <c r="DU51" s="36" t="e">
        <f>#N/A</f>
        <v>#N/A</v>
      </c>
      <c r="DV51" s="36" t="e">
        <f>#N/A</f>
        <v>#N/A</v>
      </c>
      <c r="DW51" s="36" t="e">
        <f>#N/A</f>
        <v>#N/A</v>
      </c>
      <c r="DX51" s="36" t="e">
        <f>#N/A</f>
        <v>#N/A</v>
      </c>
      <c r="DY51" s="36" t="e">
        <f>#N/A</f>
        <v>#N/A</v>
      </c>
      <c r="DZ51" s="36" t="e">
        <f>#N/A</f>
        <v>#N/A</v>
      </c>
      <c r="EA51" s="37" t="e">
        <f>#N/A</f>
        <v>#N/A</v>
      </c>
      <c r="EB51" s="37" t="e">
        <f>#N/A</f>
        <v>#N/A</v>
      </c>
      <c r="EC51" s="37" t="e">
        <f>#N/A</f>
        <v>#N/A</v>
      </c>
      <c r="ED51" s="37" t="e">
        <f>#N/A</f>
        <v>#N/A</v>
      </c>
      <c r="EE51" s="37" t="e">
        <f>#N/A</f>
        <v>#N/A</v>
      </c>
      <c r="EF51" s="37" t="e">
        <f>#N/A</f>
        <v>#N/A</v>
      </c>
      <c r="EG51" s="37" t="e">
        <f>#N/A</f>
        <v>#N/A</v>
      </c>
      <c r="EH51" s="37" t="e">
        <f>#N/A</f>
        <v>#N/A</v>
      </c>
      <c r="EI51" s="37" t="e">
        <f>#N/A</f>
        <v>#N/A</v>
      </c>
      <c r="EJ51" s="37" t="e">
        <f>#N/A</f>
        <v>#N/A</v>
      </c>
      <c r="EK51" s="37" t="e">
        <f>#N/A</f>
        <v>#N/A</v>
      </c>
      <c r="EL51" s="37" t="e">
        <f>#N/A</f>
        <v>#N/A</v>
      </c>
      <c r="EM51" s="37" t="e">
        <f>#N/A</f>
        <v>#N/A</v>
      </c>
      <c r="EN51" s="37" t="e">
        <f>#N/A</f>
        <v>#N/A</v>
      </c>
      <c r="EO51" s="37" t="e">
        <f>#N/A</f>
        <v>#N/A</v>
      </c>
      <c r="EP51" s="37" t="e">
        <f>#N/A</f>
        <v>#N/A</v>
      </c>
      <c r="EQ51" s="37" t="e">
        <f>#N/A</f>
        <v>#N/A</v>
      </c>
      <c r="ER51" s="37" t="e">
        <f>#N/A</f>
        <v>#N/A</v>
      </c>
    </row>
    <row r="52" spans="1:223">
      <c r="E52" s="31" t="s">
        <v>202</v>
      </c>
      <c r="BA52" s="31" t="s">
        <v>203</v>
      </c>
      <c r="CW52" s="31" t="s">
        <v>391</v>
      </c>
    </row>
    <row r="53" spans="1:223" ht="60.6">
      <c r="A53" s="64" t="s">
        <v>392</v>
      </c>
      <c r="B53" s="64" t="s">
        <v>28</v>
      </c>
      <c r="C53" s="64" t="s">
        <v>203</v>
      </c>
      <c r="D53" s="64" t="s">
        <v>202</v>
      </c>
      <c r="E53" s="65" t="s">
        <v>29</v>
      </c>
      <c r="F53" s="65" t="s">
        <v>30</v>
      </c>
      <c r="G53" s="65" t="s">
        <v>393</v>
      </c>
      <c r="H53" s="65" t="s">
        <v>29</v>
      </c>
      <c r="I53" s="65" t="s">
        <v>30</v>
      </c>
      <c r="J53" s="65" t="s">
        <v>393</v>
      </c>
      <c r="K53" s="65" t="s">
        <v>29</v>
      </c>
      <c r="L53" s="65" t="s">
        <v>30</v>
      </c>
      <c r="M53" s="65" t="s">
        <v>393</v>
      </c>
      <c r="N53" s="65" t="s">
        <v>29</v>
      </c>
      <c r="O53" s="65" t="s">
        <v>30</v>
      </c>
      <c r="P53" s="65" t="s">
        <v>393</v>
      </c>
      <c r="Q53" s="65" t="s">
        <v>29</v>
      </c>
      <c r="R53" s="65" t="s">
        <v>30</v>
      </c>
      <c r="S53" s="65" t="s">
        <v>393</v>
      </c>
      <c r="T53" s="65" t="s">
        <v>29</v>
      </c>
      <c r="U53" s="65" t="s">
        <v>30</v>
      </c>
      <c r="V53" s="65" t="s">
        <v>393</v>
      </c>
      <c r="W53" s="65" t="s">
        <v>29</v>
      </c>
      <c r="X53" s="65" t="s">
        <v>30</v>
      </c>
      <c r="Y53" s="65" t="s">
        <v>393</v>
      </c>
      <c r="Z53" s="65" t="s">
        <v>29</v>
      </c>
      <c r="AA53" s="65" t="s">
        <v>30</v>
      </c>
      <c r="AB53" s="65" t="s">
        <v>393</v>
      </c>
      <c r="AC53" s="65" t="s">
        <v>29</v>
      </c>
      <c r="AD53" s="65" t="s">
        <v>30</v>
      </c>
      <c r="AE53" s="65" t="s">
        <v>393</v>
      </c>
      <c r="AF53" s="65" t="s">
        <v>29</v>
      </c>
      <c r="AG53" s="65" t="s">
        <v>30</v>
      </c>
      <c r="AH53" s="65" t="s">
        <v>393</v>
      </c>
      <c r="AI53" s="66" t="s">
        <v>29</v>
      </c>
      <c r="AJ53" s="66" t="s">
        <v>30</v>
      </c>
      <c r="AK53" s="66" t="s">
        <v>393</v>
      </c>
      <c r="AL53" s="66" t="s">
        <v>29</v>
      </c>
      <c r="AM53" s="66" t="s">
        <v>30</v>
      </c>
      <c r="AN53" s="66" t="s">
        <v>393</v>
      </c>
      <c r="AO53" s="66" t="s">
        <v>29</v>
      </c>
      <c r="AP53" s="66" t="s">
        <v>30</v>
      </c>
      <c r="AQ53" s="66" t="s">
        <v>393</v>
      </c>
      <c r="AR53" s="66" t="s">
        <v>29</v>
      </c>
      <c r="AS53" s="66" t="s">
        <v>30</v>
      </c>
      <c r="AT53" s="66" t="s">
        <v>393</v>
      </c>
      <c r="AU53" s="66" t="s">
        <v>29</v>
      </c>
      <c r="AV53" s="66" t="s">
        <v>30</v>
      </c>
      <c r="AW53" s="66" t="s">
        <v>393</v>
      </c>
      <c r="AX53" s="66" t="s">
        <v>29</v>
      </c>
      <c r="AY53" s="66" t="s">
        <v>30</v>
      </c>
      <c r="AZ53" s="66" t="s">
        <v>393</v>
      </c>
      <c r="BA53" s="65" t="str" cm="1">
        <f t="array" ref="BA53:CV53">E53:AZ53</f>
        <v>A</v>
      </c>
      <c r="BB53" s="65" t="str">
        <v>B</v>
      </c>
      <c r="BC53" s="65" t="str">
        <v>C/D</v>
      </c>
      <c r="BD53" s="65" t="str">
        <v>A</v>
      </c>
      <c r="BE53" s="65" t="str">
        <v>B</v>
      </c>
      <c r="BF53" s="65" t="str">
        <v>C/D</v>
      </c>
      <c r="BG53" s="65" t="str">
        <v>A</v>
      </c>
      <c r="BH53" s="65" t="str">
        <v>B</v>
      </c>
      <c r="BI53" s="65" t="str">
        <v>C/D</v>
      </c>
      <c r="BJ53" s="65" t="str">
        <v>A</v>
      </c>
      <c r="BK53" s="65" t="str">
        <v>B</v>
      </c>
      <c r="BL53" s="65" t="str">
        <v>C/D</v>
      </c>
      <c r="BM53" s="65" t="str">
        <v>A</v>
      </c>
      <c r="BN53" s="65" t="str">
        <v>B</v>
      </c>
      <c r="BO53" s="65" t="str">
        <v>C/D</v>
      </c>
      <c r="BP53" s="65" t="str">
        <v>A</v>
      </c>
      <c r="BQ53" s="65" t="str">
        <v>B</v>
      </c>
      <c r="BR53" s="65" t="str">
        <v>C/D</v>
      </c>
      <c r="BS53" s="65" t="str">
        <v>A</v>
      </c>
      <c r="BT53" s="65" t="str">
        <v>B</v>
      </c>
      <c r="BU53" s="65" t="str">
        <v>C/D</v>
      </c>
      <c r="BV53" s="65" t="str">
        <v>A</v>
      </c>
      <c r="BW53" s="65" t="str">
        <v>B</v>
      </c>
      <c r="BX53" s="65" t="str">
        <v>C/D</v>
      </c>
      <c r="BY53" s="65" t="str">
        <v>A</v>
      </c>
      <c r="BZ53" s="65" t="str">
        <v>B</v>
      </c>
      <c r="CA53" s="65" t="str">
        <v>C/D</v>
      </c>
      <c r="CB53" s="65" t="str">
        <v>A</v>
      </c>
      <c r="CC53" s="65" t="str">
        <v>B</v>
      </c>
      <c r="CD53" s="65" t="str">
        <v>C/D</v>
      </c>
      <c r="CE53" s="66" t="str">
        <v>A</v>
      </c>
      <c r="CF53" s="66" t="str">
        <v>B</v>
      </c>
      <c r="CG53" s="66" t="str">
        <v>C/D</v>
      </c>
      <c r="CH53" s="66" t="str">
        <v>A</v>
      </c>
      <c r="CI53" s="66" t="str">
        <v>B</v>
      </c>
      <c r="CJ53" s="66" t="str">
        <v>C/D</v>
      </c>
      <c r="CK53" s="66" t="str">
        <v>A</v>
      </c>
      <c r="CL53" s="66" t="str">
        <v>B</v>
      </c>
      <c r="CM53" s="66" t="str">
        <v>C/D</v>
      </c>
      <c r="CN53" s="66" t="str">
        <v>A</v>
      </c>
      <c r="CO53" s="66" t="str">
        <v>B</v>
      </c>
      <c r="CP53" s="66" t="str">
        <v>C/D</v>
      </c>
      <c r="CQ53" s="66" t="str">
        <v>A</v>
      </c>
      <c r="CR53" s="66" t="str">
        <v>B</v>
      </c>
      <c r="CS53" s="66" t="str">
        <v>C/D</v>
      </c>
      <c r="CT53" s="66" t="str">
        <v>A</v>
      </c>
      <c r="CU53" s="66" t="str">
        <v>B</v>
      </c>
      <c r="CV53" s="66" t="str">
        <v>C/D</v>
      </c>
      <c r="ET53" t="s">
        <v>394</v>
      </c>
      <c r="EU53" s="34" t="s">
        <v>34</v>
      </c>
      <c r="EV53" s="34" t="s">
        <v>164</v>
      </c>
      <c r="EW53" s="34" t="s">
        <v>165</v>
      </c>
      <c r="EX53" s="34" t="s">
        <v>166</v>
      </c>
      <c r="EY53" s="34" t="s">
        <v>167</v>
      </c>
      <c r="EZ53" s="34" t="s">
        <v>168</v>
      </c>
      <c r="FA53" s="34" t="s">
        <v>169</v>
      </c>
      <c r="FB53" s="34" t="s">
        <v>170</v>
      </c>
      <c r="FC53" s="34" t="s">
        <v>171</v>
      </c>
      <c r="FD53" s="34" t="s">
        <v>172</v>
      </c>
      <c r="FE53" s="34" t="s">
        <v>395</v>
      </c>
      <c r="FF53" s="35" t="s">
        <v>186</v>
      </c>
      <c r="FG53" s="35" t="s">
        <v>187</v>
      </c>
      <c r="FH53" s="35" t="s">
        <v>188</v>
      </c>
      <c r="FI53" s="35" t="s">
        <v>189</v>
      </c>
      <c r="FJ53" s="35" t="s">
        <v>190</v>
      </c>
      <c r="FK53" s="35" t="s">
        <v>191</v>
      </c>
      <c r="FL53" s="35" t="s">
        <v>396</v>
      </c>
      <c r="FM53" s="34" t="s">
        <v>397</v>
      </c>
      <c r="FN53" s="34" t="s">
        <v>398</v>
      </c>
      <c r="FO53" s="35" t="s">
        <v>29</v>
      </c>
      <c r="FP53" s="35"/>
    </row>
    <row r="54" spans="1:223">
      <c r="A54" s="64" t="str">
        <f>LEFT(B54,LEN(B54)-2)</f>
        <v>1.1</v>
      </c>
      <c r="B54" s="64" t="s">
        <v>35</v>
      </c>
      <c r="C54" s="30">
        <v>0</v>
      </c>
      <c r="D54" s="30">
        <v>3</v>
      </c>
      <c r="E54" s="65">
        <f ca="1">IF(AND($D4&lt;&gt;0,_xlfn.XLOOKUP($B4,'TH_MLG GRADE 10'!$B$7:$B$49,'TH_MLG GRADE 10'!C$7:C$49,"",0,1)="P",
   _xlfn.XLOOKUP($B4,'TH_MLG GRADE 10'!$B$7:$B$49,'TH_MLG GRADE 10'!$BK$7:$BK$49,"",0,1)&lt;=TODAY()-MOD(WEEKDAY(TODAY(),2)-5,7)),$D4,0)</f>
        <v>3</v>
      </c>
      <c r="F54" s="65">
        <f ca="1">IF(AND($D4&lt;&gt;0,_xlfn.XLOOKUP($B4,'TH_MLG GRADE 10'!$B$7:$B$49,'TH_MLG GRADE 10'!D$7:D$49,"",0,1)="P",
   _xlfn.XLOOKUP($B4,'TH_MLG GRADE 10'!$B$7:$B$49,'TH_MLG GRADE 10'!$BL$7:$BL$49,"",0,1)&lt;=TODAY()-MOD(WEEKDAY(TODAY(),2)-5,7)),$D4,0)</f>
        <v>3</v>
      </c>
      <c r="G54" s="65">
        <f ca="1">IF(AND($D4&lt;&gt;0,_xlfn.XLOOKUP($B4,'TH_MLG GRADE 10'!$B$7:$B$49,'TH_MLG GRADE 10'!E$7:E$49,"",0,1)="P",
   _xlfn.XLOOKUP($B4,'TH_MLG GRADE 10'!$B$7:$B$49,'TH_MLG GRADE 10'!$BM$7:$BM$49,"",0,1)&lt;=TODAY()-MOD(WEEKDAY(TODAY(),2)-5,7)),$D4,0)</f>
        <v>0</v>
      </c>
      <c r="H54" s="65">
        <f ca="1">IF(AND($D4&lt;&gt;0,_xlfn.XLOOKUP($B4,'TH_MLG GRADE 10'!$B$7:$B$49,'TH_MLG GRADE 10'!I$7:I$49,"",0,1)="P",
   _xlfn.XLOOKUP($B4,'TH_MLG GRADE 10'!$B$7:$B$49,'TH_MLG GRADE 10'!$BK$7:$BK$49,"",0,1)&lt;=TODAY()-MOD(WEEKDAY(TODAY(),2)-5,7)),$D4,0)</f>
        <v>3</v>
      </c>
      <c r="I54" s="65">
        <f ca="1">IF(AND($D4&lt;&gt;0,_xlfn.XLOOKUP($B4,'TH_MLG GRADE 10'!$B$7:$B$49,'TH_MLG GRADE 10'!J$7:J$49,"",0,1)="P",
   _xlfn.XLOOKUP($B4,'TH_MLG GRADE 10'!$B$7:$B$49,'TH_MLG GRADE 10'!$BL$7:$BL$49,"",0,1)&lt;=TODAY()-MOD(WEEKDAY(TODAY(),2)-5,7)),$D4,0)</f>
        <v>3</v>
      </c>
      <c r="J54" s="65">
        <f ca="1">IF(AND($D4&lt;&gt;0,_xlfn.XLOOKUP($B4,'TH_MLG GRADE 10'!$B$7:$B$49,'TH_MLG GRADE 10'!K$7:K$49,"",0,1)="P",
   _xlfn.XLOOKUP($B4,'TH_MLG GRADE 10'!$B$7:$B$49,'TH_MLG GRADE 10'!$BM$7:$BM$49,"",0,1)&lt;=TODAY()-MOD(WEEKDAY(TODAY(),2)-5,7)),$D4,0)</f>
        <v>3</v>
      </c>
      <c r="K54" s="65">
        <f ca="1">IF(AND($D4&lt;&gt;0,_xlfn.XLOOKUP($B4,'TH_MLG GRADE 10'!$B$7:$B$49,'TH_MLG GRADE 10'!O$7:O$49,"",0,1)="P",
   _xlfn.XLOOKUP($B4,'TH_MLG GRADE 10'!$B$7:$B$49,'TH_MLG GRADE 10'!$BK$7:$BK$49,"",0,1)&lt;=TODAY()-MOD(WEEKDAY(TODAY(),2)-5,7)),$D4,0)</f>
        <v>3</v>
      </c>
      <c r="L54" s="65">
        <f ca="1">IF(AND($D4&lt;&gt;0,_xlfn.XLOOKUP($B4,'TH_MLG GRADE 10'!$B$7:$B$49,'TH_MLG GRADE 10'!P$7:P$49,"",0,1)="P",
   _xlfn.XLOOKUP($B4,'TH_MLG GRADE 10'!$B$7:$B$49,'TH_MLG GRADE 10'!$BL$7:$BL$49,"",0,1)&lt;=TODAY()-MOD(WEEKDAY(TODAY(),2)-5,7)),$D4,0)</f>
        <v>0</v>
      </c>
      <c r="M54" s="65">
        <f ca="1">IF(AND($D4&lt;&gt;0,_xlfn.XLOOKUP($B4,'TH_MLG GRADE 10'!$B$7:$B$49,'TH_MLG GRADE 10'!Q$7:Q$49,"",0,1)="P",
   _xlfn.XLOOKUP($B4,'TH_MLG GRADE 10'!$B$7:$B$49,'TH_MLG GRADE 10'!$BM$7:$BM$49,"",0,1)&lt;=TODAY()-MOD(WEEKDAY(TODAY(),2)-5,7)),$D4,0)</f>
        <v>0</v>
      </c>
      <c r="N54" s="65">
        <f ca="1">IF(AND($D4&lt;&gt;0,_xlfn.XLOOKUP($B4,'TH_MLG GRADE 10'!$B$7:$B$49,'TH_MLG GRADE 10'!AA$7:AA$49,"",0,1)="P",
   _xlfn.XLOOKUP($B4,'TH_MLG GRADE 10'!$B$7:$B$49,'TH_MLG GRADE 10'!$BK$7:$BK$49,"",0,1)&lt;=TODAY()-MOD(WEEKDAY(TODAY(),2)-5,7)),$D4,0)</f>
        <v>0</v>
      </c>
      <c r="O54" s="65">
        <f ca="1">IF(AND($D4&lt;&gt;0,_xlfn.XLOOKUP($B4,'TH_MLG GRADE 10'!$B$7:$B$49,'TH_MLG GRADE 10'!AB$7:AB$49,"",0,1)="P",
   _xlfn.XLOOKUP($B4,'TH_MLG GRADE 10'!$B$7:$B$49,'TH_MLG GRADE 10'!$BL$7:$BL$49,"",0,1)&lt;=TODAY()-MOD(WEEKDAY(TODAY(),2)-5,7)),$D4,0)</f>
        <v>0</v>
      </c>
      <c r="P54" s="65">
        <f ca="1">IF(AND($D4&lt;&gt;0,_xlfn.XLOOKUP($B4,'TH_MLG GRADE 10'!$B$7:$B$49,'TH_MLG GRADE 10'!AC$7:AC$49,"",0,1)="P",
   _xlfn.XLOOKUP($B4,'TH_MLG GRADE 10'!$B$7:$B$49,'TH_MLG GRADE 10'!$BM$7:$BM$49,"",0,1)&lt;=TODAY()-MOD(WEEKDAY(TODAY(),2)-5,7)),$D4,0)</f>
        <v>0</v>
      </c>
      <c r="Q54" s="65">
        <f ca="1">IF(AND($D4&lt;&gt;0,_xlfn.XLOOKUP($B4,'TH_MLG GRADE 10'!$B$7:$B$49,'TH_MLG GRADE 10'!AG$7:AG$49,"",0,1)="P",
   _xlfn.XLOOKUP($B4,'TH_MLG GRADE 10'!$B$7:$B$49,'TH_MLG GRADE 10'!$BK$7:$BK$49,"",0,1)&lt;=TODAY()-MOD(WEEKDAY(TODAY(),2)-5,7)),$D4,0)</f>
        <v>0</v>
      </c>
      <c r="R54" s="65">
        <f ca="1">IF(AND($D4&lt;&gt;0,_xlfn.XLOOKUP($B4,'TH_MLG GRADE 10'!$B$7:$B$49,'TH_MLG GRADE 10'!AH$7:AH$49,"",0,1)="P",
   _xlfn.XLOOKUP($B4,'TH_MLG GRADE 10'!$B$7:$B$49,'TH_MLG GRADE 10'!$BL$7:$BL$49,"",0,1)&lt;=TODAY()-MOD(WEEKDAY(TODAY(),2)-5,7)),$D4,0)</f>
        <v>0</v>
      </c>
      <c r="S54" s="65">
        <f ca="1">IF(AND($D4&lt;&gt;0,_xlfn.XLOOKUP($B4,'TH_MLG GRADE 10'!$B$7:$B$49,'TH_MLG GRADE 10'!AI$7:AI$49,"",0,1)="P",
   _xlfn.XLOOKUP($B4,'TH_MLG GRADE 10'!$B$7:$B$49,'TH_MLG GRADE 10'!$BM$7:$BM$49,"",0,1)&lt;=TODAY()-MOD(WEEKDAY(TODAY(),2)-5,7)),$D4,0)</f>
        <v>0</v>
      </c>
      <c r="T54" s="65">
        <f ca="1">IF(AND($D4&lt;&gt;0,_xlfn.XLOOKUP($B4,'TH_MLG GRADE 10'!$B$7:$B$49,'TH_MLG GRADE 10'!AM$7:AM$49,"",0,1)="P",
   _xlfn.XLOOKUP($B4,'TH_MLG GRADE 10'!$B$7:$B$49,'TH_MLG GRADE 10'!$BK$7:$BK$49,"",0,1)&lt;=TODAY()-MOD(WEEKDAY(TODAY(),2)-5,7)),$D4,0)</f>
        <v>0</v>
      </c>
      <c r="U54" s="65">
        <f ca="1">IF(AND($D4&lt;&gt;0,_xlfn.XLOOKUP($B4,'TH_MLG GRADE 10'!$B$7:$B$49,'TH_MLG GRADE 10'!AN$7:AN$49,"",0,1)="P",
   _xlfn.XLOOKUP($B4,'TH_MLG GRADE 10'!$B$7:$B$49,'TH_MLG GRADE 10'!$BL$7:$BL$49,"",0,1)&lt;=TODAY()-MOD(WEEKDAY(TODAY(),2)-5,7)),$D4,0)</f>
        <v>0</v>
      </c>
      <c r="V54" s="65">
        <f ca="1">IF(AND($D4&lt;&gt;0,_xlfn.XLOOKUP($B4,'TH_MLG GRADE 10'!$B$7:$B$49,'TH_MLG GRADE 10'!AO$7:AO$49,"",0,1)="P",
   _xlfn.XLOOKUP($B4,'TH_MLG GRADE 10'!$B$7:$B$49,'TH_MLG GRADE 10'!$BM$7:$BM$49,"",0,1)&lt;=TODAY()-MOD(WEEKDAY(TODAY(),2)-5,7)),$D4,0)</f>
        <v>0</v>
      </c>
      <c r="W54" s="65">
        <f ca="1">IF(AND($D4&lt;&gt;0,_xlfn.XLOOKUP($B4,'TH_MLG GRADE 10'!$B$7:$B$49,'TH_MLG GRADE 10'!AY$7:AY$49,"",0,1)="P",
   _xlfn.XLOOKUP($B4,'TH_MLG GRADE 10'!$B$7:$B$49,'TH_MLG GRADE 10'!$BK$7:$BK$49,"",0,1)&lt;=TODAY()-MOD(WEEKDAY(TODAY(),2)-5,7)),$D4,0)</f>
        <v>0</v>
      </c>
      <c r="X54" s="65">
        <f ca="1">IF(AND($D4&lt;&gt;0,_xlfn.XLOOKUP($B4,'TH_MLG GRADE 10'!$B$7:$B$49,'TH_MLG GRADE 10'!AZ$7:AZ$49,"",0,1)="P",
   _xlfn.XLOOKUP($B4,'TH_MLG GRADE 10'!$B$7:$B$49,'TH_MLG GRADE 10'!$BL$7:$BL$49,"",0,1)&lt;=TODAY()-MOD(WEEKDAY(TODAY(),2)-5,7)),$D4,0)</f>
        <v>0</v>
      </c>
      <c r="Y54" s="65">
        <f ca="1">IF(AND($D4&lt;&gt;0,_xlfn.XLOOKUP($B4,'TH_MLG GRADE 10'!$B$7:$B$49,'TH_MLG GRADE 10'!BA$7:BA$49,"",0,1)="P",
   _xlfn.XLOOKUP($B4,'TH_MLG GRADE 10'!$B$7:$B$49,'TH_MLG GRADE 10'!$BM$7:$BM$49,"",0,1)&lt;=TODAY()-MOD(WEEKDAY(TODAY(),2)-5,7)),$D4,0)</f>
        <v>0</v>
      </c>
      <c r="Z54" s="65">
        <f ca="1">IF(AND($D4&lt;&gt;0,_xlfn.XLOOKUP($B4,'TH_MLG GRADE 10'!$B$7:$B$49,'TH_MLG GRADE 10'!BE$7:BE$49,"",0,1)="P",
   _xlfn.XLOOKUP($B4,'TH_MLG GRADE 10'!$B$7:$B$49,'TH_MLG GRADE 10'!$BK$7:$BK$49,"",0,1)&lt;=TODAY()-MOD(WEEKDAY(TODAY(),2)-5,7)),$D4,0)</f>
        <v>0</v>
      </c>
      <c r="AA54" s="65">
        <f ca="1">IF(AND($D4&lt;&gt;0,_xlfn.XLOOKUP($B4,'TH_MLG GRADE 10'!$B$7:$B$49,'TH_MLG GRADE 10'!BF$7:BF$49,"",0,1)="P",
   _xlfn.XLOOKUP($B4,'TH_MLG GRADE 10'!$B$7:$B$49,'TH_MLG GRADE 10'!$BL$7:$BL$49,"",0,1)&lt;=TODAY()-MOD(WEEKDAY(TODAY(),2)-5,7)),$D4,0)</f>
        <v>0</v>
      </c>
      <c r="AB54" s="65">
        <f ca="1">IF(AND($D4&lt;&gt;0,_xlfn.XLOOKUP($B4,'TH_MLG GRADE 10'!$B$7:$B$49,'TH_MLG GRADE 10'!BG$7:BG$49,"",0,1)="P",
   _xlfn.XLOOKUP($B4,'TH_MLG GRADE 10'!$B$7:$B$49,'TH_MLG GRADE 10'!$BM$7:$BM$49,"",0,1)&lt;=TODAY()-MOD(WEEKDAY(TODAY(),2)-5,7)),$D4,0)</f>
        <v>0</v>
      </c>
      <c r="AC54" s="65" t="e">
        <f ca="1">IF(AND($D4&lt;&gt;0,_xlfn.XLOOKUP($B4,'TH_MLG GRADE 10'!$B$7:$B$49,'TH_MLG GRADE 10'!#REF!,"",0,1)="P",
   _xlfn.XLOOKUP($B4,'TH_MLG GRADE 10'!$B$7:$B$49,'TH_MLG GRADE 10'!$BK$7:$BK$49,"",0,1)&lt;=TODAY()-MOD(WEEKDAY(TODAY(),2)-5,7)),$D4,0)</f>
        <v>#REF!</v>
      </c>
      <c r="AD54" s="65" t="e">
        <f ca="1">IF(AND($D4&lt;&gt;0,_xlfn.XLOOKUP($B4,'TH_MLG GRADE 10'!$B$7:$B$49,'TH_MLG GRADE 10'!#REF!,"",0,1)="P",
   _xlfn.XLOOKUP($B4,'TH_MLG GRADE 10'!$B$7:$B$49,'TH_MLG GRADE 10'!$BL$7:$BL$49,"",0,1)&lt;=TODAY()-MOD(WEEKDAY(TODAY(),2)-5,7)),$D4,0)</f>
        <v>#REF!</v>
      </c>
      <c r="AE54" s="65" t="e">
        <f ca="1">IF(AND($D4&lt;&gt;0,_xlfn.XLOOKUP($B4,'TH_MLG GRADE 10'!$B$7:$B$49,'TH_MLG GRADE 10'!#REF!,"",0,1)="P",
   _xlfn.XLOOKUP($B4,'TH_MLG GRADE 10'!$B$7:$B$49,'TH_MLG GRADE 10'!$BM$7:$BM$49,"",0,1)&lt;=TODAY()-MOD(WEEKDAY(TODAY(),2)-5,7)),$D4,0)</f>
        <v>#REF!</v>
      </c>
      <c r="AF54" s="65" t="e">
        <f ca="1">IF(AND($D4&lt;&gt;0,_xlfn.XLOOKUP($B4,'TH_MLG GRADE 10'!$B$7:$B$49,'TH_MLG GRADE 10'!#REF!,"",0,1)="P",
   _xlfn.XLOOKUP($B4,'TH_MLG GRADE 10'!$B$7:$B$49,'TH_MLG GRADE 10'!$BK$7:$BK$49,"",0,1)&lt;=TODAY()-MOD(WEEKDAY(TODAY(),2)-5,7)),$D4,0)</f>
        <v>#REF!</v>
      </c>
      <c r="AG54" s="65" t="e">
        <f ca="1">IF(AND($D4&lt;&gt;0,_xlfn.XLOOKUP($B4,'TH_MLG GRADE 10'!$B$7:$B$49,'TH_MLG GRADE 10'!#REF!,"",0,1)="P",
   _xlfn.XLOOKUP($B4,'TH_MLG GRADE 10'!$B$7:$B$49,'TH_MLG GRADE 10'!$BL$7:$BL$49,"",0,1)&lt;=TODAY()-MOD(WEEKDAY(TODAY(),2)-5,7)),$D4,0)</f>
        <v>#REF!</v>
      </c>
      <c r="AH54" s="65" t="e">
        <f ca="1">IF(AND($D4&lt;&gt;0,_xlfn.XLOOKUP($B4,'TH_MLG GRADE 10'!$B$7:$B$49,'TH_MLG GRADE 10'!#REF!,"",0,1)="P",
   _xlfn.XLOOKUP($B4,'TH_MLG GRADE 10'!$B$7:$B$49,'TH_MLG GRADE 10'!$BM$7:$BM$49,"",0,1)&lt;=TODAY()-MOD(WEEKDAY(TODAY(),2)-5,7)),$D4,0)</f>
        <v>#REF!</v>
      </c>
      <c r="AI54" s="67">
        <f ca="1">IF(AND($D4&lt;&gt;0,_xlfn.XLOOKUP($B4,'TH_CMI GRADE 10'!$B$7:$B$49,'TH_CMI GRADE 10'!C$7:C$49,"",0,1)="P",
   _xlfn.XLOOKUP($B4,'TH_CMI GRADE 10'!$B$7:$B$49,'TH_CMI GRADE 10'!$AS$7:$AS$49,"",0,1)&lt;=TODAY()-MOD(WEEKDAY(TODAY(),2)-5,7)),$D4,0)</f>
        <v>3</v>
      </c>
      <c r="AJ54" s="67">
        <f ca="1">IF(AND($D4&lt;&gt;0,_xlfn.XLOOKUP($B4,'TH_CMI GRADE 10'!$B$7:$B$49,'TH_CMI GRADE 10'!D$7:D$49,"",0,1)="P",
   _xlfn.XLOOKUP($B4,'TH_CMI GRADE 10'!$B$7:$B$49,'TH_CMI GRADE 10'!$AT$7:$AT$49,"",0,1)&lt;=TODAY()-MOD(WEEKDAY(TODAY(),2)-5,7)),$D4,0)</f>
        <v>3</v>
      </c>
      <c r="AK54" s="67" t="e">
        <f ca="1">IF(AND($D4&lt;&gt;0,_xlfn.XLOOKUP($B4,'TH_CMI GRADE 10'!$B$7:$B$49,'TH_CMI GRADE 10'!H$7:H$49,"",0,1)="P",
   _xlfn.XLOOKUP($B4,'TH_CMI GRADE 10'!$B$7:$B$49,'TH_CMI GRADE 10'!#REF!,"",0,1)&lt;=TODAY()-MOD(WEEKDAY(TODAY(),2)-5,7)),$D4,0)</f>
        <v>#REF!</v>
      </c>
      <c r="AL54" s="67">
        <f ca="1">IF(AND($D4&lt;&gt;0,_xlfn.XLOOKUP($B4,'TH_CMI GRADE 10'!$B$7:$B$49,'TH_CMI GRADE 10'!I$7:I$49,"",0,1)="P",
   _xlfn.XLOOKUP($B4,'TH_CMI GRADE 10'!$B$7:$B$49,'TH_CMI GRADE 10'!$AS$7:$AS$49,"",0,1)&lt;=TODAY()-MOD(WEEKDAY(TODAY(),2)-5,7)),$D4,0)</f>
        <v>0</v>
      </c>
      <c r="AM54" s="67">
        <f ca="1">IF(AND($D4&lt;&gt;0,_xlfn.XLOOKUP($B4,'TH_CMI GRADE 10'!$B$7:$B$49,'TH_CMI GRADE 10'!J$7:J$49,"",0,1)="P",
   _xlfn.XLOOKUP($B4,'TH_CMI GRADE 10'!$B$7:$B$49,'TH_CMI GRADE 10'!$AT$7:$AT$49,"",0,1)&lt;=TODAY()-MOD(WEEKDAY(TODAY(),2)-5,7)),$D4,0)</f>
        <v>0</v>
      </c>
      <c r="AN54" s="67" t="e">
        <f ca="1">IF(AND($D4&lt;&gt;0,_xlfn.XLOOKUP($B4,'TH_CMI GRADE 10'!$B$7:$B$49,'TH_CMI GRADE 10'!K$7:K$49,"",0,1)="P",
   _xlfn.XLOOKUP($B4,'TH_CMI GRADE 10'!$B$7:$B$49,'TH_CMI GRADE 10'!#REF!,"",0,1)&lt;=TODAY()-MOD(WEEKDAY(TODAY(),2)-5,7)),$D4,0)</f>
        <v>#REF!</v>
      </c>
      <c r="AO54" s="67">
        <f ca="1">IF(AND($D4&lt;&gt;0,_xlfn.XLOOKUP($B4,'TH_CMI GRADE 10'!$B$7:$B$49,'TH_CMI GRADE 10'!O$7:O$49,"",0,1)="P",
   _xlfn.XLOOKUP($B4,'TH_CMI GRADE 10'!$B$7:$B$49,'TH_CMI GRADE 10'!$AS$7:$AS$49,"",0,1)&lt;=TODAY()-MOD(WEEKDAY(TODAY(),2)-5,7)),$D4,0)</f>
        <v>0</v>
      </c>
      <c r="AP54" s="67">
        <f ca="1">IF(AND($D4&lt;&gt;0,_xlfn.XLOOKUP($B4,'TH_CMI GRADE 10'!$B$7:$B$49,'TH_CMI GRADE 10'!P$7:P$49,"",0,1)="P",
   _xlfn.XLOOKUP($B4,'TH_CMI GRADE 10'!$B$7:$B$49,'TH_CMI GRADE 10'!$AT$7:$AT$49,"",0,1)&lt;=TODAY()-MOD(WEEKDAY(TODAY(),2)-5,7)),$D4,0)</f>
        <v>0</v>
      </c>
      <c r="AQ54" s="67" t="e">
        <f ca="1">IF(AND($D4&lt;&gt;0,_xlfn.XLOOKUP($B4,'TH_CMI GRADE 10'!$B$7:$B$49,'TH_CMI GRADE 10'!Q$7:Q$49,"",0,1)="P",
   _xlfn.XLOOKUP($B4,'TH_CMI GRADE 10'!$B$7:$B$49,'TH_CMI GRADE 10'!#REF!,"",0,1)&lt;=TODAY()-MOD(WEEKDAY(TODAY(),2)-5,7)),$D4,0)</f>
        <v>#REF!</v>
      </c>
      <c r="AR54" s="67">
        <f ca="1">IF(AND($D4&lt;&gt;0,_xlfn.XLOOKUP($B4,'TH_CMI GRADE 10'!$B$7:$B$49,'TH_CMI GRADE 10'!U$7:U$49,"",0,1)="P",
   _xlfn.XLOOKUP($B4,'TH_CMI GRADE 10'!$B$7:$B$49,'TH_CMI GRADE 10'!$AS$7:$AS$49,"",0,1)&lt;=TODAY()-MOD(WEEKDAY(TODAY(),2)-5,7)),$D4,0)</f>
        <v>3</v>
      </c>
      <c r="AS54" s="67">
        <f ca="1">IF(AND($D4&lt;&gt;0,_xlfn.XLOOKUP($B4,'TH_CMI GRADE 10'!$B$7:$B$49,'TH_CMI GRADE 10'!V$7:V$49,"",0,1)="P",
   _xlfn.XLOOKUP($B4,'TH_CMI GRADE 10'!$B$7:$B$49,'TH_CMI GRADE 10'!$AT$7:$AT$49,"",0,1)&lt;=TODAY()-MOD(WEEKDAY(TODAY(),2)-5,7)),$D4,0)</f>
        <v>3</v>
      </c>
      <c r="AT54" s="67" t="e">
        <f ca="1">IF(AND($D4&lt;&gt;0,_xlfn.XLOOKUP($B4,'TH_CMI GRADE 10'!$B$7:$B$49,'TH_CMI GRADE 10'!W$7:W$49,"",0,1)="P",
   _xlfn.XLOOKUP($B4,'TH_CMI GRADE 10'!$B$7:$B$49,'TH_CMI GRADE 10'!#REF!,"",0,1)&lt;=TODAY()-MOD(WEEKDAY(TODAY(),2)-5,7)),$D4,0)</f>
        <v>#REF!</v>
      </c>
      <c r="AU54" s="67">
        <f ca="1">IF(AND($D4&lt;&gt;0,_xlfn.XLOOKUP($B4,'TH_CMI GRADE 10'!$B$7:$B$49,'TH_CMI GRADE 10'!AA$7:AA$49,"",0,1)="P",
   _xlfn.XLOOKUP($B4,'TH_CMI GRADE 10'!$B$7:$B$49,'TH_CMI GRADE 10'!$AS$7:$AS$49,"",0,1)&lt;=TODAY()-MOD(WEEKDAY(TODAY(),2)-5,7)),$D4,0)</f>
        <v>0</v>
      </c>
      <c r="AV54" s="67">
        <f ca="1">IF(AND($D4&lt;&gt;0,_xlfn.XLOOKUP($B4,'TH_CMI GRADE 10'!$B$7:$B$49,'TH_CMI GRADE 10'!AB$7:AB$49,"",0,1)="P",
   _xlfn.XLOOKUP($B4,'TH_CMI GRADE 10'!$B$7:$B$49,'TH_CMI GRADE 10'!$AT$7:$AT$49,"",0,1)&lt;=TODAY()-MOD(WEEKDAY(TODAY(),2)-5,7)),$D4,0)</f>
        <v>0</v>
      </c>
      <c r="AW54" s="67" t="e">
        <f ca="1">IF(AND($D4&lt;&gt;0,_xlfn.XLOOKUP($B4,'TH_CMI GRADE 10'!$B$7:$B$49,'TH_CMI GRADE 10'!AC$7:AC$49,"",0,1)="P",
   _xlfn.XLOOKUP($B4,'TH_CMI GRADE 10'!$B$7:$B$49,'TH_CMI GRADE 10'!#REF!,"",0,1)&lt;=TODAY()-MOD(WEEKDAY(TODAY(),2)-5,7)),$D4,0)</f>
        <v>#REF!</v>
      </c>
      <c r="AX54" s="67">
        <f ca="1">IF(AND($D4&lt;&gt;0,_xlfn.XLOOKUP($B4,'TH_CMI GRADE 10'!$B$7:$B$49,'TH_CMI GRADE 10'!AG$7:AG$49,"",0,1)="P",
   _xlfn.XLOOKUP($B4,'TH_CMI GRADE 10'!$B$7:$B$49,'TH_CMI GRADE 10'!$AS$7:$AS$49,"",0,1)&lt;=TODAY()-MOD(WEEKDAY(TODAY(),2)-5,7)),$D4,0)</f>
        <v>0</v>
      </c>
      <c r="AY54" s="67">
        <f ca="1">IF(AND($D4&lt;&gt;0,_xlfn.XLOOKUP($B4,'TH_CMI GRADE 10'!$B$7:$B$49,'TH_CMI GRADE 10'!AH$7:AH$49,"",0,1)="P",
   _xlfn.XLOOKUP($B4,'TH_CMI GRADE 10'!$B$7:$B$49,'TH_CMI GRADE 10'!$AT$7:$AT$49,"",0,1)&lt;=TODAY()-MOD(WEEKDAY(TODAY(),2)-5,7)),$D4,0)</f>
        <v>0</v>
      </c>
      <c r="AZ54" s="67" t="e">
        <f ca="1">IF(AND($D4&lt;&gt;0,_xlfn.XLOOKUP($B4,'TH_CMI GRADE 10'!$B$7:$B$49,'TH_CMI GRADE 10'!AI$7:AI$49,"",0,1)="P",
   _xlfn.XLOOKUP($B4,'TH_CMI GRADE 10'!$B$7:$B$49,'TH_CMI GRADE 10'!#REF!,"",0,1)&lt;=TODAY()-MOD(WEEKDAY(TODAY(),2)-5,7)),$D4,0)</f>
        <v>#REF!</v>
      </c>
      <c r="BA54" s="65" t="e">
        <f ca="1">IF(AND($D4&lt;&gt;0,_xlfn.XLOOKUP($B4,'PW_MLG GRADE 10'!$B$7:$B$31,'PW_MLG GRADE 10'!R$7:R$31,"",0,1)="P",
   _xlfn.XLOOKUP($B4,'PW_MLG GRADE 10'!$B$7:$B$31,'PW_MLG GRADE 10'!#REF!,"",0,1)&lt;=TODAY()-MOD(WEEKDAY(TODAY(),2)-5,7)),$D4,0)</f>
        <v>#REF!</v>
      </c>
      <c r="BB54" s="65" t="e">
        <f ca="1">IF(AND($D4&lt;&gt;0,_xlfn.XLOOKUP($B4,'PW_MLG GRADE 10'!$B$7:$B$31,'PW_MLG GRADE 10'!S$7:S$31,"",0,1)="P",
   _xlfn.XLOOKUP($B4,'PW_MLG GRADE 10'!$B$7:$B$31,'PW_MLG GRADE 10'!#REF!,"",0,1)&lt;=TODAY()-MOD(WEEKDAY(TODAY(),2)-5,7)),$D4,0)</f>
        <v>#REF!</v>
      </c>
      <c r="BC54" s="65" t="e">
        <f ca="1">IF(AND($D4&lt;&gt;0,_xlfn.XLOOKUP($B4,'PW_MLG GRADE 10'!$B$7:$B$31,'PW_MLG GRADE 10'!T$7:T$31,"",0,1)="P",
   _xlfn.XLOOKUP($B4,'PW_MLG GRADE 10'!$B$7:$B$31,'PW_MLG GRADE 10'!#REF!,"",0,1)&lt;=TODAY()-MOD(WEEKDAY(TODAY(),2)-5,7)),$D4,0)</f>
        <v>#REF!</v>
      </c>
      <c r="BD54" s="65" t="e">
        <f ca="1">IF(AND($D4&lt;&gt;0,_xlfn.XLOOKUP($B4,'PW_MLG GRADE 10'!$B$7:$B$31,'PW_MLG GRADE 10'!AA$7:AA$31,"",0,1)="P",
   _xlfn.XLOOKUP($B4,'PW_MLG GRADE 10'!$B$7:$B$31,'PW_MLG GRADE 10'!#REF!,"",0,1)&lt;=TODAY()-MOD(WEEKDAY(TODAY(),2)-5,7)),$D4,0)</f>
        <v>#REF!</v>
      </c>
      <c r="BE54" s="65" t="e">
        <f ca="1">IF(AND($D4&lt;&gt;0,_xlfn.XLOOKUP($B4,'PW_MLG GRADE 10'!$B$7:$B$31,'PW_MLG GRADE 10'!AB$7:AB$31,"",0,1)="P",
   _xlfn.XLOOKUP($B4,'PW_MLG GRADE 10'!$B$7:$B$31,'PW_MLG GRADE 10'!#REF!,"",0,1)&lt;=TODAY()-MOD(WEEKDAY(TODAY(),2)-5,7)),$D4,0)</f>
        <v>#REF!</v>
      </c>
      <c r="BF54" s="65" t="e">
        <f ca="1">IF(AND($D4&lt;&gt;0,_xlfn.XLOOKUP($B4,'PW_MLG GRADE 10'!$B$7:$B$31,'PW_MLG GRADE 10'!AC$7:AC$31,"",0,1)="P",
   _xlfn.XLOOKUP($B4,'PW_MLG GRADE 10'!$B$7:$B$31,'PW_MLG GRADE 10'!#REF!,"",0,1)&lt;=TODAY()-MOD(WEEKDAY(TODAY(),2)-5,7)),$D4,0)</f>
        <v>#REF!</v>
      </c>
      <c r="BG54" s="65" t="e">
        <f ca="1">IF(AND($D4&lt;&gt;0,_xlfn.XLOOKUP($B4,'PW_MLG GRADE 10'!$B$7:$B$31,'PW_MLG GRADE 10'!AD$7:AD$31,"",0,1)="P",
   _xlfn.XLOOKUP($B4,'PW_MLG GRADE 10'!$B$7:$B$31,'PW_MLG GRADE 10'!#REF!,"",0,1)&lt;=TODAY()-MOD(WEEKDAY(TODAY(),2)-5,7)),$D4,0)</f>
        <v>#REF!</v>
      </c>
      <c r="BH54" s="65" t="e">
        <f ca="1">IF(AND($D4&lt;&gt;0,_xlfn.XLOOKUP($B4,'PW_MLG GRADE 10'!$B$7:$B$31,'PW_MLG GRADE 10'!AE$7:AE$31,"",0,1)="P",
   _xlfn.XLOOKUP($B4,'PW_MLG GRADE 10'!$B$7:$B$31,'PW_MLG GRADE 10'!#REF!,"",0,1)&lt;=TODAY()-MOD(WEEKDAY(TODAY(),2)-5,7)),$D4,0)</f>
        <v>#REF!</v>
      </c>
      <c r="BI54" s="65" t="e">
        <f ca="1">IF(AND($D4&lt;&gt;0,_xlfn.XLOOKUP($B4,'PW_MLG GRADE 10'!$B$7:$B$31,'PW_MLG GRADE 10'!AF$7:AF$31,"",0,1)="P",
   _xlfn.XLOOKUP($B4,'PW_MLG GRADE 10'!$B$7:$B$31,'PW_MLG GRADE 10'!#REF!,"",0,1)&lt;=TODAY()-MOD(WEEKDAY(TODAY(),2)-5,7)),$D4,0)</f>
        <v>#REF!</v>
      </c>
      <c r="BJ54" s="65" t="e">
        <f ca="1">IF(AND($D4&lt;&gt;0,_xlfn.XLOOKUP($B4,'PW_MLG GRADE 10'!$B$7:$B$31,'PW_MLG GRADE 10'!AG$7:AG$31,"",0,1)="P",
   _xlfn.XLOOKUP($B4,'PW_MLG GRADE 10'!$B$7:$B$31,'PW_MLG GRADE 10'!#REF!,"",0,1)&lt;=TODAY()-MOD(WEEKDAY(TODAY(),2)-5,7)),$D4,0)</f>
        <v>#REF!</v>
      </c>
      <c r="BK54" s="65" t="e">
        <f ca="1">IF(AND($D4&lt;&gt;0,_xlfn.XLOOKUP($B4,'PW_MLG GRADE 10'!$B$7:$B$31,'PW_MLG GRADE 10'!AH$7:AH$31,"",0,1)="P",
   _xlfn.XLOOKUP($B4,'PW_MLG GRADE 10'!$B$7:$B$31,'PW_MLG GRADE 10'!#REF!,"",0,1)&lt;=TODAY()-MOD(WEEKDAY(TODAY(),2)-5,7)),$D4,0)</f>
        <v>#REF!</v>
      </c>
      <c r="BL54" s="65" t="e">
        <f ca="1">IF(AND($D4&lt;&gt;0,_xlfn.XLOOKUP($B4,'PW_MLG GRADE 10'!$B$7:$B$31,'PW_MLG GRADE 10'!AI$7:AI$31,"",0,1)="P",
   _xlfn.XLOOKUP($B4,'PW_MLG GRADE 10'!$B$7:$B$31,'PW_MLG GRADE 10'!#REF!,"",0,1)&lt;=TODAY()-MOD(WEEKDAY(TODAY(),2)-5,7)),$D4,0)</f>
        <v>#REF!</v>
      </c>
      <c r="BM54" s="65" t="e">
        <f ca="1">IF(AND($D4&lt;&gt;0,_xlfn.XLOOKUP($B4,'PW_MLG GRADE 10'!$B$7:$B$31,'PW_MLG GRADE 10'!AJ$7:AJ$31,"",0,1)="P",
   _xlfn.XLOOKUP($B4,'PW_MLG GRADE 10'!$B$7:$B$31,'PW_MLG GRADE 10'!#REF!,"",0,1)&lt;=TODAY()-MOD(WEEKDAY(TODAY(),2)-5,7)),$D4,0)</f>
        <v>#REF!</v>
      </c>
      <c r="BN54" s="65" t="e">
        <f ca="1">IF(AND($D4&lt;&gt;0,_xlfn.XLOOKUP($B4,'PW_MLG GRADE 10'!$B$7:$B$31,'PW_MLG GRADE 10'!AK$7:AK$31,"",0,1)="P",
   _xlfn.XLOOKUP($B4,'PW_MLG GRADE 10'!$B$7:$B$31,'PW_MLG GRADE 10'!#REF!,"",0,1)&lt;=TODAY()-MOD(WEEKDAY(TODAY(),2)-5,7)),$D4,0)</f>
        <v>#REF!</v>
      </c>
      <c r="BO54" s="65" t="e">
        <f ca="1">IF(AND($D4&lt;&gt;0,_xlfn.XLOOKUP($B4,'PW_MLG GRADE 10'!$B$7:$B$31,'PW_MLG GRADE 10'!AL$7:AL$31,"",0,1)="P",
   _xlfn.XLOOKUP($B4,'PW_MLG GRADE 10'!$B$7:$B$31,'PW_MLG GRADE 10'!#REF!,"",0,1)&lt;=TODAY()-MOD(WEEKDAY(TODAY(),2)-5,7)),$D4,0)</f>
        <v>#REF!</v>
      </c>
      <c r="BP54" s="65" t="e">
        <f ca="1">IF(AND($D4&lt;&gt;0,_xlfn.XLOOKUP($B4,'PW_MLG GRADE 10'!$B$7:$B$31,'PW_MLG GRADE 10'!AM$7:AM$31,"",0,1)="P",
   _xlfn.XLOOKUP($B4,'PW_MLG GRADE 10'!$B$7:$B$31,'PW_MLG GRADE 10'!#REF!,"",0,1)&lt;=TODAY()-MOD(WEEKDAY(TODAY(),2)-5,7)),$D4,0)</f>
        <v>#REF!</v>
      </c>
      <c r="BQ54" s="65" t="e">
        <f ca="1">IF(AND($D4&lt;&gt;0,_xlfn.XLOOKUP($B4,'PW_MLG GRADE 10'!$B$7:$B$31,'PW_MLG GRADE 10'!AN$7:AN$31,"",0,1)="P",
   _xlfn.XLOOKUP($B4,'PW_MLG GRADE 10'!$B$7:$B$31,'PW_MLG GRADE 10'!#REF!,"",0,1)&lt;=TODAY()-MOD(WEEKDAY(TODAY(),2)-5,7)),$D4,0)</f>
        <v>#REF!</v>
      </c>
      <c r="BR54" s="65" t="e">
        <f ca="1">IF(AND($D4&lt;&gt;0,_xlfn.XLOOKUP($B4,'PW_MLG GRADE 10'!$B$7:$B$31,'PW_MLG GRADE 10'!AO$7:AO$31,"",0,1)="P",
   _xlfn.XLOOKUP($B4,'PW_MLG GRADE 10'!$B$7:$B$31,'PW_MLG GRADE 10'!#REF!,"",0,1)&lt;=TODAY()-MOD(WEEKDAY(TODAY(),2)-5,7)),$D4,0)</f>
        <v>#REF!</v>
      </c>
      <c r="BS54" s="65" t="e">
        <f ca="1">IF(AND($D4&lt;&gt;0,_xlfn.XLOOKUP($B4,'PW_MLG GRADE 10'!$B$7:$B$31,'PW_MLG GRADE 10'!AP$7:AP$31,"",0,1)="P",
   _xlfn.XLOOKUP($B4,'PW_MLG GRADE 10'!$B$7:$B$31,'PW_MLG GRADE 10'!#REF!,"",0,1)&lt;=TODAY()-MOD(WEEKDAY(TODAY(),2)-5,7)),$D4,0)</f>
        <v>#REF!</v>
      </c>
      <c r="BT54" s="65" t="e">
        <f ca="1">IF(AND($D4&lt;&gt;0,_xlfn.XLOOKUP($B4,'PW_MLG GRADE 10'!$B$7:$B$31,'PW_MLG GRADE 10'!AQ$7:AQ$31,"",0,1)="P",
   _xlfn.XLOOKUP($B4,'PW_MLG GRADE 10'!$B$7:$B$31,'PW_MLG GRADE 10'!#REF!,"",0,1)&lt;=TODAY()-MOD(WEEKDAY(TODAY(),2)-5,7)),$D4,0)</f>
        <v>#REF!</v>
      </c>
      <c r="BU54" s="65" t="e">
        <f ca="1">IF(AND($D4&lt;&gt;0,_xlfn.XLOOKUP($B4,'PW_MLG GRADE 10'!$B$7:$B$31,'PW_MLG GRADE 10'!AR$7:AR$31,"",0,1)="P",
   _xlfn.XLOOKUP($B4,'PW_MLG GRADE 10'!$B$7:$B$31,'PW_MLG GRADE 10'!#REF!,"",0,1)&lt;=TODAY()-MOD(WEEKDAY(TODAY(),2)-5,7)),$D4,0)</f>
        <v>#REF!</v>
      </c>
      <c r="BV54" s="65" t="e">
        <f ca="1">IF(AND($D4&lt;&gt;0,_xlfn.XLOOKUP($B4,'PW_MLG GRADE 10'!$B$7:$B$31,'PW_MLG GRADE 10'!AY$7:AY$31,"",0,1)="P",
   _xlfn.XLOOKUP($B4,'PW_MLG GRADE 10'!$B$7:$B$31,'PW_MLG GRADE 10'!#REF!,"",0,1)&lt;=TODAY()-MOD(WEEKDAY(TODAY(),2)-5,7)),$D4,0)</f>
        <v>#REF!</v>
      </c>
      <c r="BW54" s="65" t="e">
        <f ca="1">IF(AND($D4&lt;&gt;0,_xlfn.XLOOKUP($B4,'PW_MLG GRADE 10'!$B$7:$B$31,'PW_MLG GRADE 10'!AZ$7:AZ$31,"",0,1)="P",
   _xlfn.XLOOKUP($B4,'PW_MLG GRADE 10'!$B$7:$B$31,'PW_MLG GRADE 10'!#REF!,"",0,1)&lt;=TODAY()-MOD(WEEKDAY(TODAY(),2)-5,7)),$D4,0)</f>
        <v>#REF!</v>
      </c>
      <c r="BX54" s="65" t="e">
        <f ca="1">IF(AND($D4&lt;&gt;0,_xlfn.XLOOKUP($B4,'PW_MLG GRADE 10'!$B$7:$B$31,'PW_MLG GRADE 10'!BA$7:BA$31,"",0,1)="P",
   _xlfn.XLOOKUP($B4,'PW_MLG GRADE 10'!$B$7:$B$31,'PW_MLG GRADE 10'!#REF!,"",0,1)&lt;=TODAY()-MOD(WEEKDAY(TODAY(),2)-5,7)),$D4,0)</f>
        <v>#REF!</v>
      </c>
      <c r="BY54" s="65" t="e">
        <f ca="1">IF(AND($D4&lt;&gt;0,_xlfn.XLOOKUP($B4,'PW_MLG GRADE 10'!$B$7:$B$31,'PW_MLG GRADE 10'!BB$7:BB$31,"",0,1)="P",
   _xlfn.XLOOKUP($B4,'PW_MLG GRADE 10'!$B$7:$B$31,'PW_MLG GRADE 10'!#REF!,"",0,1)&lt;=TODAY()-MOD(WEEKDAY(TODAY(),2)-5,7)),$D4,0)</f>
        <v>#REF!</v>
      </c>
      <c r="BZ54" s="65" t="e">
        <f ca="1">IF(AND($D4&lt;&gt;0,_xlfn.XLOOKUP($B4,'PW_MLG GRADE 10'!$B$7:$B$31,'PW_MLG GRADE 10'!BC$7:BC$31,"",0,1)="P",
   _xlfn.XLOOKUP($B4,'PW_MLG GRADE 10'!$B$7:$B$31,'PW_MLG GRADE 10'!#REF!,"",0,1)&lt;=TODAY()-MOD(WEEKDAY(TODAY(),2)-5,7)),$D4,0)</f>
        <v>#REF!</v>
      </c>
      <c r="CA54" s="65" t="e">
        <f ca="1">IF(AND($D4&lt;&gt;0,_xlfn.XLOOKUP($B4,'PW_MLG GRADE 10'!$B$7:$B$31,'PW_MLG GRADE 10'!BD$7:BD$31,"",0,1)="P",
   _xlfn.XLOOKUP($B4,'PW_MLG GRADE 10'!$B$7:$B$31,'PW_MLG GRADE 10'!#REF!,"",0,1)&lt;=TODAY()-MOD(WEEKDAY(TODAY(),2)-5,7)),$D4,0)</f>
        <v>#REF!</v>
      </c>
      <c r="CB54" s="65" t="e">
        <f ca="1">IF(AND($D4&lt;&gt;0,_xlfn.XLOOKUP($B4,'PW_MLG GRADE 10'!$B$7:$B$31,'PW_MLG GRADE 10'!BE$7:BE$31,"",0,1)="P",
   _xlfn.XLOOKUP($B4,'PW_MLG GRADE 10'!$B$7:$B$31,'PW_MLG GRADE 10'!#REF!,"",0,1)&lt;=TODAY()-MOD(WEEKDAY(TODAY(),2)-5,7)),$D4,0)</f>
        <v>#REF!</v>
      </c>
      <c r="CC54" s="65" t="e">
        <f ca="1">IF(AND($D4&lt;&gt;0,_xlfn.XLOOKUP($B4,'PW_MLG GRADE 10'!$B$7:$B$31,'PW_MLG GRADE 10'!BF$7:BF$31,"",0,1)="P",
   _xlfn.XLOOKUP($B4,'PW_MLG GRADE 10'!$B$7:$B$31,'PW_MLG GRADE 10'!#REF!,"",0,1)&lt;=TODAY()-MOD(WEEKDAY(TODAY(),2)-5,7)),$D4,0)</f>
        <v>#REF!</v>
      </c>
      <c r="CD54" s="65" t="e">
        <f ca="1">IF(AND($D4&lt;&gt;0,_xlfn.XLOOKUP($B4,'PW_MLG GRADE 10'!$B$7:$B$31,'PW_MLG GRADE 10'!BG$7:BG$31,"",0,1)="P",
   _xlfn.XLOOKUP($B4,'PW_MLG GRADE 10'!$B$7:$B$31,'PW_MLG GRADE 10'!#REF!,"",0,1)&lt;=TODAY()-MOD(WEEKDAY(TODAY(),2)-5,7)),$D4,0)</f>
        <v>#REF!</v>
      </c>
      <c r="CE54" s="67">
        <f ca="1">IF(AND($D4&lt;&gt;0,_xlfn.XLOOKUP($B4,'PW_CMI GRADE 10'!$B$7:$B$31,'PW_CMI GRADE 10'!AY$7:AY$31,"",0,1)="P",
   _xlfn.XLOOKUP($B4,'PW_CMI GRADE 10'!$B$7:$B$31,'PW_CMI GRADE 10'!$U$7:$U$31,"",0,1)&lt;=TODAY()-MOD(WEEKDAY(TODAY(),2)-5,7)),$D4,0)</f>
        <v>0</v>
      </c>
      <c r="CF54" s="67">
        <f ca="1">IF(AND($D4&lt;&gt;0,_xlfn.XLOOKUP($B4,'PW_CMI GRADE 10'!$B$7:$B$31,'PW_CMI GRADE 10'!AZ$7:AZ$31,"",0,1)="P",
   _xlfn.XLOOKUP($B4,'PW_CMI GRADE 10'!$B$7:$B$31,'PW_CMI GRADE 10'!$V$7:$V$31,"",0,1)&lt;=TODAY()-MOD(WEEKDAY(TODAY(),2)-5,7)),$D4,0)</f>
        <v>0</v>
      </c>
      <c r="CG54" s="67">
        <f ca="1">IF(AND($D4&lt;&gt;0,_xlfn.XLOOKUP($B4,'PW_CMI GRADE 10'!$B$7:$B$31,'PW_CMI GRADE 10'!BA$7:BA$31,"",0,1)="P",
   _xlfn.XLOOKUP($B4,'PW_CMI GRADE 10'!$B$7:$B$31,'PW_CMI GRADE 10'!$W$7:$W$31,"",0,1)&lt;=TODAY()-MOD(WEEKDAY(TODAY(),2)-5,7)),$D4,0)</f>
        <v>0</v>
      </c>
      <c r="CH54" s="67">
        <f ca="1">IF(AND($D4&lt;&gt;0,_xlfn.XLOOKUP($B4,'PW_CMI GRADE 10'!$B$7:$B$31,'PW_CMI GRADE 10'!BB$7:BB$31,"",0,1)="P",
   _xlfn.XLOOKUP($B4,'PW_CMI GRADE 10'!$B$7:$B$31,'PW_CMI GRADE 10'!$U$7:$U$31,"",0,1)&lt;=TODAY()-MOD(WEEKDAY(TODAY(),2)-5,7)),$D4,0)</f>
        <v>0</v>
      </c>
      <c r="CI54" s="67">
        <f ca="1">IF(AND($D4&lt;&gt;0,_xlfn.XLOOKUP($B4,'PW_CMI GRADE 10'!$B$7:$B$31,'PW_CMI GRADE 10'!BC$7:BC$31,"",0,1)="P",
   _xlfn.XLOOKUP($B4,'PW_CMI GRADE 10'!$B$7:$B$31,'PW_CMI GRADE 10'!$V$7:$V$31,"",0,1)&lt;=TODAY()-MOD(WEEKDAY(TODAY(),2)-5,7)),$D4,0)</f>
        <v>0</v>
      </c>
      <c r="CJ54" s="67">
        <f ca="1">IF(AND($D4&lt;&gt;0,_xlfn.XLOOKUP($B4,'PW_CMI GRADE 10'!$B$7:$B$31,'PW_CMI GRADE 10'!BD$7:BD$31,"",0,1)="P",
   _xlfn.XLOOKUP($B4,'PW_CMI GRADE 10'!$B$7:$B$31,'PW_CMI GRADE 10'!$W$7:$W$31,"",0,1)&lt;=TODAY()-MOD(WEEKDAY(TODAY(),2)-5,7)),$D4,0)</f>
        <v>0</v>
      </c>
      <c r="CK54" s="67">
        <f ca="1">IF(AND($D4&lt;&gt;0,_xlfn.XLOOKUP($B4,'PW_CMI GRADE 10'!$B$7:$B$31,'PW_CMI GRADE 10'!BE$7:BE$31,"",0,1)="P",
   _xlfn.XLOOKUP($B4,'PW_CMI GRADE 10'!$B$7:$B$31,'PW_CMI GRADE 10'!$U$7:$U$31,"",0,1)&lt;=TODAY()-MOD(WEEKDAY(TODAY(),2)-5,7)),$D4,0)</f>
        <v>0</v>
      </c>
      <c r="CL54" s="67">
        <f ca="1">IF(AND($D4&lt;&gt;0,_xlfn.XLOOKUP($B4,'PW_CMI GRADE 10'!$B$7:$B$31,'PW_CMI GRADE 10'!BF$7:BF$31,"",0,1)="P",
   _xlfn.XLOOKUP($B4,'PW_CMI GRADE 10'!$B$7:$B$31,'PW_CMI GRADE 10'!$V$7:$V$31,"",0,1)&lt;=TODAY()-MOD(WEEKDAY(TODAY(),2)-5,7)),$D4,0)</f>
        <v>0</v>
      </c>
      <c r="CM54" s="67">
        <f ca="1">IF(AND($D4&lt;&gt;0,_xlfn.XLOOKUP($B4,'PW_CMI GRADE 10'!$B$7:$B$31,'PW_CMI GRADE 10'!BG$7:BG$31,"",0,1)="P",
   _xlfn.XLOOKUP($B4,'PW_CMI GRADE 10'!$B$7:$B$31,'PW_CMI GRADE 10'!$W$7:$W$31,"",0,1)&lt;=TODAY()-MOD(WEEKDAY(TODAY(),2)-5,7)),$D4,0)</f>
        <v>0</v>
      </c>
      <c r="CN54" s="67">
        <f ca="1">IF(AND($D4&lt;&gt;0,_xlfn.XLOOKUP($B4,'PW_CMI GRADE 10'!$B$7:$B$31,'PW_CMI GRADE 10'!BH$7:BH$31,"",0,1)="P",
   _xlfn.XLOOKUP($B4,'PW_CMI GRADE 10'!$B$7:$B$31,'PW_CMI GRADE 10'!$U$7:$U$31,"",0,1)&lt;=TODAY()-MOD(WEEKDAY(TODAY(),2)-5,7)),$D4,0)</f>
        <v>0</v>
      </c>
      <c r="CO54" s="67">
        <f ca="1">IF(AND($D4&lt;&gt;0,_xlfn.XLOOKUP($B4,'PW_CMI GRADE 10'!$B$7:$B$31,'PW_CMI GRADE 10'!BI$7:BI$31,"",0,1)="P",
   _xlfn.XLOOKUP($B4,'PW_CMI GRADE 10'!$B$7:$B$31,'PW_CMI GRADE 10'!$V$7:$V$31,"",0,1)&lt;=TODAY()-MOD(WEEKDAY(TODAY(),2)-5,7)),$D4,0)</f>
        <v>0</v>
      </c>
      <c r="CP54" s="67">
        <f ca="1">IF(AND($D4&lt;&gt;0,_xlfn.XLOOKUP($B4,'PW_CMI GRADE 10'!$B$7:$B$31,'PW_CMI GRADE 10'!BJ$7:BJ$31,"",0,1)="P",
   _xlfn.XLOOKUP($B4,'PW_CMI GRADE 10'!$B$7:$B$31,'PW_CMI GRADE 10'!$W$7:$W$31,"",0,1)&lt;=TODAY()-MOD(WEEKDAY(TODAY(),2)-5,7)),$D4,0)</f>
        <v>0</v>
      </c>
      <c r="CQ54" s="67">
        <f ca="1">IF(AND($D4&lt;&gt;0,_xlfn.XLOOKUP($B4,'PW_CMI GRADE 10'!$B$7:$B$31,'PW_CMI GRADE 10'!BK$7:BK$31,"",0,1)="P",
   _xlfn.XLOOKUP($B4,'PW_CMI GRADE 10'!$B$7:$B$31,'PW_CMI GRADE 10'!$U$7:$U$31,"",0,1)&lt;=TODAY()-MOD(WEEKDAY(TODAY(),2)-5,7)),$D4,0)</f>
        <v>0</v>
      </c>
      <c r="CR54" s="67">
        <f ca="1">IF(AND($D4&lt;&gt;0,_xlfn.XLOOKUP($B4,'PW_CMI GRADE 10'!$B$7:$B$31,'PW_CMI GRADE 10'!BL$7:BL$31,"",0,1)="P",
   _xlfn.XLOOKUP($B4,'PW_CMI GRADE 10'!$B$7:$B$31,'PW_CMI GRADE 10'!$V$7:$V$31,"",0,1)&lt;=TODAY()-MOD(WEEKDAY(TODAY(),2)-5,7)),$D4,0)</f>
        <v>0</v>
      </c>
      <c r="CS54" s="67">
        <f ca="1">IF(AND($D4&lt;&gt;0,_xlfn.XLOOKUP($B4,'PW_CMI GRADE 10'!$B$7:$B$31,'PW_CMI GRADE 10'!BM$7:BM$31,"",0,1)="P",
   _xlfn.XLOOKUP($B4,'PW_CMI GRADE 10'!$B$7:$B$31,'PW_CMI GRADE 10'!$W$7:$W$31,"",0,1)&lt;=TODAY()-MOD(WEEKDAY(TODAY(),2)-5,7)),$D4,0)</f>
        <v>0</v>
      </c>
      <c r="CT54" s="67">
        <f ca="1">IF(AND($D4&lt;&gt;0,_xlfn.XLOOKUP($B4,'PW_CMI GRADE 10'!$B$7:$B$31,'PW_CMI GRADE 10'!BN$7:BN$31,"",0,1)="P",
   _xlfn.XLOOKUP($B4,'PW_CMI GRADE 10'!$B$7:$B$31,'PW_CMI GRADE 10'!$U$7:$U$31,"",0,1)&lt;=TODAY()-MOD(WEEKDAY(TODAY(),2)-5,7)),$D4,0)</f>
        <v>0</v>
      </c>
      <c r="CU54" s="67">
        <f ca="1">IF(AND($D4&lt;&gt;0,_xlfn.XLOOKUP($B4,'PW_CMI GRADE 10'!$B$7:$B$31,'PW_CMI GRADE 10'!BO$7:BO$31,"",0,1)="P",
   _xlfn.XLOOKUP($B4,'PW_CMI GRADE 10'!$B$7:$B$31,'PW_CMI GRADE 10'!$V$7:$V$31,"",0,1)&lt;=TODAY()-MOD(WEEKDAY(TODAY(),2)-5,7)),$D4,0)</f>
        <v>0</v>
      </c>
      <c r="CV54" s="67">
        <f ca="1">IF(AND($D4&lt;&gt;0,_xlfn.XLOOKUP($B4,'PW_CMI GRADE 10'!$B$7:$B$31,'PW_CMI GRADE 10'!BP$7:BP$31,"",0,1)="P",
   _xlfn.XLOOKUP($B4,'PW_CMI GRADE 10'!$B$7:$B$31,'PW_CMI GRADE 10'!$W$7:$W$31,"",0,1)&lt;=TODAY()-MOD(WEEKDAY(TODAY(),2)-5,7)),$D4,0)</f>
        <v>0</v>
      </c>
      <c r="CW54" s="62" t="e">
        <f ca="1">(SUM(E54:G54)+SUM(BA54:BC54))/(IF(OR($C54=0,$D54=0),3,6)*($C54+$D54))</f>
        <v>#REF!</v>
      </c>
      <c r="CX54" s="62" t="e">
        <f t="shared" ref="CX54:CX98" ca="1" si="69">(SUM(F54:H54)+SUM(BB54:BD54))/(IF(OR($C54=0,$D54=0),3,6)*($C54+$D54))</f>
        <v>#REF!</v>
      </c>
      <c r="CY54" s="62" t="e">
        <f t="shared" ref="CY54:CY98" ca="1" si="70">(SUM(G54:I54)+SUM(BC54:BE54))/(IF(OR($C54=0,$D54=0),3,6)*($C54+$D54))</f>
        <v>#REF!</v>
      </c>
      <c r="CZ54" s="62" t="e">
        <f t="shared" ref="CZ54:CZ98" ca="1" si="71">(SUM(H54:J54)+SUM(BD54:BF54))/(IF(OR($C54=0,$D54=0),3,6)*($C54+$D54))</f>
        <v>#REF!</v>
      </c>
      <c r="DA54" s="62" t="e">
        <f t="shared" ref="DA54:DA98" ca="1" si="72">(SUM(I54:K54)+SUM(BE54:BG54))/(IF(OR($C54=0,$D54=0),3,6)*($C54+$D54))</f>
        <v>#REF!</v>
      </c>
      <c r="DB54" s="62" t="e">
        <f t="shared" ref="DB54:DB98" ca="1" si="73">(SUM(J54:L54)+SUM(BF54:BH54))/(IF(OR($C54=0,$D54=0),3,6)*($C54+$D54))</f>
        <v>#REF!</v>
      </c>
      <c r="DC54" s="62" t="e">
        <f t="shared" ref="DC54:DC98" ca="1" si="74">(SUM(K54:M54)+SUM(BG54:BI54))/(IF(OR($C54=0,$D54=0),3,6)*($C54+$D54))</f>
        <v>#REF!</v>
      </c>
      <c r="DD54" s="62" t="e">
        <f t="shared" ref="DD54:DD98" ca="1" si="75">(SUM(L54:N54)+SUM(BH54:BJ54))/(IF(OR($C54=0,$D54=0),3,6)*($C54+$D54))</f>
        <v>#REF!</v>
      </c>
      <c r="DE54" s="62" t="e">
        <f t="shared" ref="DE54:DE98" ca="1" si="76">(SUM(M54:O54)+SUM(BI54:BK54))/(IF(OR($C54=0,$D54=0),3,6)*($C54+$D54))</f>
        <v>#REF!</v>
      </c>
      <c r="DF54" s="62" t="e">
        <f t="shared" ref="DF54:DF98" ca="1" si="77">(SUM(N54:P54)+SUM(BJ54:BL54))/(IF(OR($C54=0,$D54=0),3,6)*($C54+$D54))</f>
        <v>#REF!</v>
      </c>
      <c r="DG54" s="62" t="e">
        <f t="shared" ref="DG54:DG98" ca="1" si="78">(SUM(O54:Q54)+SUM(BK54:BM54))/(IF(OR($C54=0,$D54=0),3,6)*($C54+$D54))</f>
        <v>#REF!</v>
      </c>
      <c r="DH54" s="62" t="e">
        <f t="shared" ref="DH54:DH98" ca="1" si="79">(SUM(P54:R54)+SUM(BL54:BN54))/(IF(OR($C54=0,$D54=0),3,6)*($C54+$D54))</f>
        <v>#REF!</v>
      </c>
      <c r="DI54" s="62" t="e">
        <f t="shared" ref="DI54:DI98" ca="1" si="80">(SUM(Q54:S54)+SUM(BM54:BO54))/(IF(OR($C54=0,$D54=0),3,6)*($C54+$D54))</f>
        <v>#REF!</v>
      </c>
      <c r="DJ54" s="62" t="e">
        <f t="shared" ref="DJ54:DJ98" ca="1" si="81">(SUM(R54:T54)+SUM(BN54:BP54))/(IF(OR($C54=0,$D54=0),3,6)*($C54+$D54))</f>
        <v>#REF!</v>
      </c>
      <c r="DK54" s="62" t="e">
        <f t="shared" ref="DK54:DK98" ca="1" si="82">(SUM(S54:U54)+SUM(BO54:BQ54))/(IF(OR($C54=0,$D54=0),3,6)*($C54+$D54))</f>
        <v>#REF!</v>
      </c>
      <c r="DL54" s="62" t="e">
        <f t="shared" ref="DL54:DL98" ca="1" si="83">(SUM(T54:V54)+SUM(BP54:BR54))/(IF(OR($C54=0,$D54=0),3,6)*($C54+$D54))</f>
        <v>#REF!</v>
      </c>
      <c r="DM54" s="62" t="e">
        <f t="shared" ref="DM54:DM98" ca="1" si="84">(SUM(U54:W54)+SUM(BQ54:BS54))/(IF(OR($C54=0,$D54=0),3,6)*($C54+$D54))</f>
        <v>#REF!</v>
      </c>
      <c r="DN54" s="62" t="e">
        <f t="shared" ref="DN54:DN98" ca="1" si="85">(SUM(V54:X54)+SUM(BR54:BT54))/(IF(OR($C54=0,$D54=0),3,6)*($C54+$D54))</f>
        <v>#REF!</v>
      </c>
      <c r="DO54" s="62" t="e">
        <f t="shared" ref="DO54:DO98" ca="1" si="86">(SUM(W54:Y54)+SUM(BS54:BU54))/(IF(OR($C54=0,$D54=0),3,6)*($C54+$D54))</f>
        <v>#REF!</v>
      </c>
      <c r="DP54" s="62" t="e">
        <f t="shared" ref="DP54:DP98" ca="1" si="87">(SUM(X54:Z54)+SUM(BT54:BV54))/(IF(OR($C54=0,$D54=0),3,6)*($C54+$D54))</f>
        <v>#REF!</v>
      </c>
      <c r="DQ54" s="62" t="e">
        <f t="shared" ref="DQ54:DQ98" ca="1" si="88">(SUM(Y54:AA54)+SUM(BU54:BW54))/(IF(OR($C54=0,$D54=0),3,6)*($C54+$D54))</f>
        <v>#REF!</v>
      </c>
      <c r="DR54" s="62" t="e">
        <f t="shared" ref="DR54:DR98" ca="1" si="89">(SUM(Z54:AB54)+SUM(BV54:BX54))/(IF(OR($C54=0,$D54=0),3,6)*($C54+$D54))</f>
        <v>#REF!</v>
      </c>
      <c r="DS54" s="62" t="e">
        <f t="shared" ref="DS54:DS98" ca="1" si="90">(SUM(AA54:AC54)+SUM(BW54:BY54))/(IF(OR($C54=0,$D54=0),3,6)*($C54+$D54))</f>
        <v>#REF!</v>
      </c>
      <c r="DT54" s="62" t="e">
        <f t="shared" ref="DT54:DT98" ca="1" si="91">(SUM(AB54:AD54)+SUM(BX54:BZ54))/(IF(OR($C54=0,$D54=0),3,6)*($C54+$D54))</f>
        <v>#REF!</v>
      </c>
      <c r="DU54" s="62" t="e">
        <f t="shared" ref="DU54:DU98" ca="1" si="92">(SUM(AC54:AE54)+SUM(BY54:CA54))/(IF(OR($C54=0,$D54=0),3,6)*($C54+$D54))</f>
        <v>#REF!</v>
      </c>
      <c r="DV54" s="62" t="e">
        <f t="shared" ref="DV54:DV98" ca="1" si="93">(SUM(AD54:AF54)+SUM(BZ54:CB54))/(IF(OR($C54=0,$D54=0),3,6)*($C54+$D54))</f>
        <v>#REF!</v>
      </c>
      <c r="DW54" s="62" t="e">
        <f t="shared" ref="DW54:DW98" ca="1" si="94">(SUM(AE54:AG54)+SUM(CA54:CC54))/(IF(OR($C54=0,$D54=0),3,6)*($C54+$D54))</f>
        <v>#REF!</v>
      </c>
      <c r="DX54" s="62" t="e">
        <f t="shared" ref="DX54:DX98" ca="1" si="95">(SUM(AF54:AH54)+SUM(CB54:CD54))/(IF(OR($C54=0,$D54=0),3,6)*($C54+$D54))</f>
        <v>#REF!</v>
      </c>
      <c r="DY54" s="62" t="e">
        <f t="shared" ref="DY54:DY98" ca="1" si="96">(SUM(AG54:AI54)+SUM(CC54:CE54))/(IF(OR($C54=0,$D54=0),3,6)*($C54+$D54))</f>
        <v>#REF!</v>
      </c>
      <c r="DZ54" s="62" t="e">
        <f t="shared" ref="DZ54:DZ98" ca="1" si="97">(SUM(AH54:AJ54)+SUM(CD54:CF54))/(IF(OR($C54=0,$D54=0),3,6)*($C54+$D54))</f>
        <v>#REF!</v>
      </c>
      <c r="EA54" s="63" t="e">
        <f t="shared" ref="EA54:EA98" ca="1" si="98">(SUM(AI54:AK54)+SUM(CE54:CG54))/(IF(OR($C$4=0,$D$4=0),3,6)*($C54+$D54))</f>
        <v>#REF!</v>
      </c>
      <c r="EB54" s="63" t="e">
        <f t="shared" ref="EB54:EB98" ca="1" si="99">(SUM(AJ54:AL54)+SUM(CF54:CH54))/(IF(OR($C$4=0,$D$4=0),3,6)*($C54+$D54))</f>
        <v>#REF!</v>
      </c>
      <c r="EC54" s="63" t="e">
        <f t="shared" ref="EC54:EC98" ca="1" si="100">(SUM(AK54:AM54)+SUM(CG54:CI54))/(IF(OR($C$4=0,$D$4=0),3,6)*($C54+$D54))</f>
        <v>#REF!</v>
      </c>
      <c r="ED54" s="63" t="e">
        <f t="shared" ref="ED54:ED98" ca="1" si="101">(SUM(AL54:AN54)+SUM(CH54:CJ54))/(IF(OR($C$4=0,$D$4=0),3,6)*($C54+$D54))</f>
        <v>#REF!</v>
      </c>
      <c r="EE54" s="63" t="e">
        <f t="shared" ref="EE54:EE98" ca="1" si="102">(SUM(AM54:AO54)+SUM(CI54:CK54))/(IF(OR($C$4=0,$D$4=0),3,6)*($C54+$D54))</f>
        <v>#REF!</v>
      </c>
      <c r="EF54" s="63" t="e">
        <f t="shared" ref="EF54:EF98" ca="1" si="103">(SUM(AN54:AP54)+SUM(CJ54:CL54))/(IF(OR($C$4=0,$D$4=0),3,6)*($C54+$D54))</f>
        <v>#REF!</v>
      </c>
      <c r="EG54" s="63" t="e">
        <f t="shared" ref="EG54:EG98" ca="1" si="104">(SUM(AO54:AQ54)+SUM(CK54:CM54))/(IF(OR($C$4=0,$D$4=0),3,6)*($C54+$D54))</f>
        <v>#REF!</v>
      </c>
      <c r="EH54" s="63" t="e">
        <f t="shared" ref="EH54:EH98" ca="1" si="105">(SUM(AP54:AR54)+SUM(CL54:CN54))/(IF(OR($C$4=0,$D$4=0),3,6)*($C54+$D54))</f>
        <v>#REF!</v>
      </c>
      <c r="EI54" s="63" t="e">
        <f t="shared" ref="EI54:EI98" ca="1" si="106">(SUM(AQ54:AS54)+SUM(CM54:CO54))/(IF(OR($C$4=0,$D$4=0),3,6)*($C54+$D54))</f>
        <v>#REF!</v>
      </c>
      <c r="EJ54" s="63" t="e">
        <f t="shared" ref="EJ54:EJ98" ca="1" si="107">(SUM(AR54:AT54)+SUM(CN54:CP54))/(IF(OR($C$4=0,$D$4=0),3,6)*($C54+$D54))</f>
        <v>#REF!</v>
      </c>
      <c r="EK54" s="63" t="e">
        <f t="shared" ref="EK54:EK98" ca="1" si="108">(SUM(AS54:AU54)+SUM(CO54:CQ54))/(IF(OR($C$4=0,$D$4=0),3,6)*($C54+$D54))</f>
        <v>#REF!</v>
      </c>
      <c r="EL54" s="63" t="e">
        <f t="shared" ref="EL54:EL98" ca="1" si="109">(SUM(AT54:AV54)+SUM(CP54:CR54))/(IF(OR($C$4=0,$D$4=0),3,6)*($C54+$D54))</f>
        <v>#REF!</v>
      </c>
      <c r="EM54" s="63" t="e">
        <f t="shared" ref="EM54:EM98" ca="1" si="110">(SUM(AU54:AW54)+SUM(CQ54:CS54))/(IF(OR($C$4=0,$D$4=0),3,6)*($C54+$D54))</f>
        <v>#REF!</v>
      </c>
      <c r="EN54" s="63" t="e">
        <f t="shared" ref="EN54:EN98" ca="1" si="111">(SUM(AV54:AX54)+SUM(CR54:CT54))/(IF(OR($C$4=0,$D$4=0),3,6)*($C54+$D54))</f>
        <v>#REF!</v>
      </c>
      <c r="EO54" s="63" t="e">
        <f t="shared" ref="EO54:EO98" ca="1" si="112">(SUM(AW54:AY54)+SUM(CS54:CU54))/(IF(OR($C$4=0,$D$4=0),3,6)*($C54+$D54))</f>
        <v>#REF!</v>
      </c>
      <c r="EP54" s="63" t="e">
        <f t="shared" ref="EP54:EP98" ca="1" si="113">(SUM(AX54:AZ54)+SUM(CT54:CV54))/(IF(OR($C$4=0,$D$4=0),3,6)*($C54+$D54))</f>
        <v>#REF!</v>
      </c>
      <c r="EQ54" s="33"/>
      <c r="ER54" s="33"/>
      <c r="ET54" t="str" cm="1">
        <f t="array" ref="ET54:ET70">_xlfn.UNIQUE(Data!A54:A98)</f>
        <v>1.1</v>
      </c>
      <c r="EU54" s="38" t="e">
        <f t="shared" ref="EU54:EU70" ca="1" si="114">AVERAGEIF($A$54:$A$98,$ET54,CW$54:CW$98)</f>
        <v>#REF!</v>
      </c>
      <c r="EV54" s="38" t="e">
        <f t="shared" ref="EV54:EV70" ca="1" si="115">AVERAGEIF($A$54:$A$98,$ET54,CZ$54:CZ$98)</f>
        <v>#REF!</v>
      </c>
      <c r="EW54" s="38" t="e">
        <f t="shared" ref="EW54:EW70" ca="1" si="116">AVERAGEIF($A$54:$A$98,$ET54,DC$54:DC$98)</f>
        <v>#REF!</v>
      </c>
      <c r="EX54" s="38" t="e">
        <f t="shared" ref="EX54:EX70" ca="1" si="117">AVERAGEIF($A$54:$A$98,$ET54,DF$54:DF$98)</f>
        <v>#REF!</v>
      </c>
      <c r="EY54" s="38" t="e">
        <f t="shared" ref="EY54:EY70" ca="1" si="118">AVERAGEIF($A$54:$A$98,$ET54,DI$54:DI$98)</f>
        <v>#REF!</v>
      </c>
      <c r="EZ54" s="38" t="e">
        <f t="shared" ref="EZ54:EZ70" ca="1" si="119">AVERAGEIF($A$54:$A$98,$ET54,DL$54:DL$98)</f>
        <v>#REF!</v>
      </c>
      <c r="FA54" s="38" t="e">
        <f t="shared" ref="FA54:FA70" ca="1" si="120">AVERAGEIF($A$54:$A$98,$ET54,DO$54:DO$98)</f>
        <v>#REF!</v>
      </c>
      <c r="FB54" s="38" t="e">
        <f t="shared" ref="FB54:FB70" ca="1" si="121">AVERAGEIF($A$54:$A$98,$ET54,DR$54:DR$98)</f>
        <v>#REF!</v>
      </c>
      <c r="FC54" s="38" t="e">
        <f t="shared" ref="FC54:FC70" ca="1" si="122">AVERAGEIF($A$54:$A$98,$ET54,DU$54:DU$98)</f>
        <v>#REF!</v>
      </c>
      <c r="FD54" s="38" t="e">
        <f t="shared" ref="FD54:FD70" ca="1" si="123">AVERAGEIF($A$54:$A$98,$ET54,DX$54:DX$98)</f>
        <v>#REF!</v>
      </c>
      <c r="FE54" s="38">
        <f ca="1">IFERROR(AVERAGEIF(EU54:FD54,"&lt;&gt;0",EU54:FD54),0)</f>
        <v>0</v>
      </c>
      <c r="FF54" s="38" t="e">
        <f t="shared" ref="FF54:FF70" ca="1" si="124">AVERAGEIF($A$54:$A$98,$ET54,EA$54:EA$98)</f>
        <v>#REF!</v>
      </c>
      <c r="FG54" s="38" t="e">
        <f t="shared" ref="FG54:FG70" ca="1" si="125">AVERAGEIF($A$54:$A$98,$ET54,ED$54:ED$98)</f>
        <v>#REF!</v>
      </c>
      <c r="FH54" s="38" t="e">
        <f t="shared" ref="FH54:FH70" ca="1" si="126">AVERAGEIF($A$54:$A$98,$ET54,EG$54:EG$98)</f>
        <v>#REF!</v>
      </c>
      <c r="FI54" s="38" t="e">
        <f t="shared" ref="FI54:FI70" ca="1" si="127">AVERAGEIF($A$54:$A$98,$ET54,EJ$54:EJ$98)</f>
        <v>#REF!</v>
      </c>
      <c r="FJ54" s="38" t="e">
        <f t="shared" ref="FJ54:FJ70" ca="1" si="128">AVERAGEIF($A$54:$A$98,$ET54,EM$54:EM$98)</f>
        <v>#REF!</v>
      </c>
      <c r="FK54" s="38" t="e">
        <f t="shared" ref="FK54:FK70" ca="1" si="129">AVERAGEIF($A$54:$A$98,$ET54,EP$54:EP$98)</f>
        <v>#REF!</v>
      </c>
      <c r="FL54" s="38">
        <f t="shared" ref="FL54:FL70" ca="1" si="130">IFERROR(AVERAGEIF(FF54:FK54,"&lt;&gt;0",FF54:FK54),0)</f>
        <v>0</v>
      </c>
      <c r="FM54" s="38">
        <v>1</v>
      </c>
      <c r="FN54" s="38">
        <f>(($C54+$D54)*2)/(($D54+$C54)*3)</f>
        <v>0.66666666666666663</v>
      </c>
      <c r="FO54" s="38">
        <f>(($C54+$D54))/(($D54+$C54)*3)</f>
        <v>0.33333333333333331</v>
      </c>
    </row>
    <row r="55" spans="1:223">
      <c r="A55" s="64" t="str">
        <f t="shared" ref="A55:A98" si="131">LEFT(B55,LEN(B55)-2)</f>
        <v>2.1</v>
      </c>
      <c r="B55" s="64" t="s">
        <v>36</v>
      </c>
      <c r="C55" s="29">
        <v>1</v>
      </c>
      <c r="D55" s="29">
        <v>2</v>
      </c>
      <c r="E55" s="65">
        <f ca="1">IF(AND($D5&lt;&gt;0,_xlfn.XLOOKUP($B5,'TH_MLG GRADE 10'!$B$7:$B$49,'TH_MLG GRADE 10'!C$7:C$49,"",0,1)="P",
   _xlfn.XLOOKUP($B5,'TH_MLG GRADE 10'!$B$7:$B$49,'TH_MLG GRADE 10'!$BK$7:$BK$49,"",0,1)&lt;=TODAY()-MOD(WEEKDAY(TODAY(),2)-5,7)),$D5,0)</f>
        <v>0</v>
      </c>
      <c r="F55" s="65">
        <f ca="1">IF(AND($D5&lt;&gt;0,_xlfn.XLOOKUP($B5,'TH_MLG GRADE 10'!$B$7:$B$49,'TH_MLG GRADE 10'!D$7:D$49,"",0,1)="P",
   _xlfn.XLOOKUP($B5,'TH_MLG GRADE 10'!$B$7:$B$49,'TH_MLG GRADE 10'!$BL$7:$BL$49,"",0,1)&lt;=TODAY()-MOD(WEEKDAY(TODAY(),2)-5,7)),$D5,0)</f>
        <v>0</v>
      </c>
      <c r="G55" s="65">
        <f ca="1">IF(AND($D5&lt;&gt;0,_xlfn.XLOOKUP($B5,'TH_MLG GRADE 10'!$B$7:$B$49,'TH_MLG GRADE 10'!E$7:E$49,"",0,1)="P",
   _xlfn.XLOOKUP($B5,'TH_MLG GRADE 10'!$B$7:$B$49,'TH_MLG GRADE 10'!$BM$7:$BM$49,"",0,1)&lt;=TODAY()-MOD(WEEKDAY(TODAY(),2)-5,7)),$D5,0)</f>
        <v>0</v>
      </c>
      <c r="H55" s="65">
        <f ca="1">IF(AND($D5&lt;&gt;0,_xlfn.XLOOKUP($B5,'TH_MLG GRADE 10'!$B$7:$B$49,'TH_MLG GRADE 10'!I$7:I$49,"",0,1)="P",
   _xlfn.XLOOKUP($B5,'TH_MLG GRADE 10'!$B$7:$B$49,'TH_MLG GRADE 10'!$BK$7:$BK$49,"",0,1)&lt;=TODAY()-MOD(WEEKDAY(TODAY(),2)-5,7)),$D5,0)</f>
        <v>0</v>
      </c>
      <c r="I55" s="65">
        <f ca="1">IF(AND($D5&lt;&gt;0,_xlfn.XLOOKUP($B5,'TH_MLG GRADE 10'!$B$7:$B$49,'TH_MLG GRADE 10'!J$7:J$49,"",0,1)="P",
   _xlfn.XLOOKUP($B5,'TH_MLG GRADE 10'!$B$7:$B$49,'TH_MLG GRADE 10'!$BL$7:$BL$49,"",0,1)&lt;=TODAY()-MOD(WEEKDAY(TODAY(),2)-5,7)),$D5,0)</f>
        <v>0</v>
      </c>
      <c r="J55" s="65">
        <f ca="1">IF(AND($D5&lt;&gt;0,_xlfn.XLOOKUP($B5,'TH_MLG GRADE 10'!$B$7:$B$49,'TH_MLG GRADE 10'!K$7:K$49,"",0,1)="P",
   _xlfn.XLOOKUP($B5,'TH_MLG GRADE 10'!$B$7:$B$49,'TH_MLG GRADE 10'!$BM$7:$BM$49,"",0,1)&lt;=TODAY()-MOD(WEEKDAY(TODAY(),2)-5,7)),$D5,0)</f>
        <v>0</v>
      </c>
      <c r="K55" s="65">
        <f ca="1">IF(AND($D5&lt;&gt;0,_xlfn.XLOOKUP($B5,'TH_MLG GRADE 10'!$B$7:$B$49,'TH_MLG GRADE 10'!O$7:O$49,"",0,1)="P",
   _xlfn.XLOOKUP($B5,'TH_MLG GRADE 10'!$B$7:$B$49,'TH_MLG GRADE 10'!$BK$7:$BK$49,"",0,1)&lt;=TODAY()-MOD(WEEKDAY(TODAY(),2)-5,7)),$D5,0)</f>
        <v>0</v>
      </c>
      <c r="L55" s="65">
        <f ca="1">IF(AND($D5&lt;&gt;0,_xlfn.XLOOKUP($B5,'TH_MLG GRADE 10'!$B$7:$B$49,'TH_MLG GRADE 10'!P$7:P$49,"",0,1)="P",
   _xlfn.XLOOKUP($B5,'TH_MLG GRADE 10'!$B$7:$B$49,'TH_MLG GRADE 10'!$BL$7:$BL$49,"",0,1)&lt;=TODAY()-MOD(WEEKDAY(TODAY(),2)-5,7)),$D5,0)</f>
        <v>0</v>
      </c>
      <c r="M55" s="65">
        <f ca="1">IF(AND($D5&lt;&gt;0,_xlfn.XLOOKUP($B5,'TH_MLG GRADE 10'!$B$7:$B$49,'TH_MLG GRADE 10'!Q$7:Q$49,"",0,1)="P",
   _xlfn.XLOOKUP($B5,'TH_MLG GRADE 10'!$B$7:$B$49,'TH_MLG GRADE 10'!$BM$7:$BM$49,"",0,1)&lt;=TODAY()-MOD(WEEKDAY(TODAY(),2)-5,7)),$D5,0)</f>
        <v>0</v>
      </c>
      <c r="N55" s="65">
        <f ca="1">IF(AND($D5&lt;&gt;0,_xlfn.XLOOKUP($B5,'TH_MLG GRADE 10'!$B$7:$B$49,'TH_MLG GRADE 10'!AA$7:AA$49,"",0,1)="P",
   _xlfn.XLOOKUP($B5,'TH_MLG GRADE 10'!$B$7:$B$49,'TH_MLG GRADE 10'!$BK$7:$BK$49,"",0,1)&lt;=TODAY()-MOD(WEEKDAY(TODAY(),2)-5,7)),$D5,0)</f>
        <v>0</v>
      </c>
      <c r="O55" s="65">
        <f ca="1">IF(AND($D5&lt;&gt;0,_xlfn.XLOOKUP($B5,'TH_MLG GRADE 10'!$B$7:$B$49,'TH_MLG GRADE 10'!AB$7:AB$49,"",0,1)="P",
   _xlfn.XLOOKUP($B5,'TH_MLG GRADE 10'!$B$7:$B$49,'TH_MLG GRADE 10'!$BL$7:$BL$49,"",0,1)&lt;=TODAY()-MOD(WEEKDAY(TODAY(),2)-5,7)),$D5,0)</f>
        <v>0</v>
      </c>
      <c r="P55" s="65">
        <f ca="1">IF(AND($D5&lt;&gt;0,_xlfn.XLOOKUP($B5,'TH_MLG GRADE 10'!$B$7:$B$49,'TH_MLG GRADE 10'!AC$7:AC$49,"",0,1)="P",
   _xlfn.XLOOKUP($B5,'TH_MLG GRADE 10'!$B$7:$B$49,'TH_MLG GRADE 10'!$BM$7:$BM$49,"",0,1)&lt;=TODAY()-MOD(WEEKDAY(TODAY(),2)-5,7)),$D5,0)</f>
        <v>0</v>
      </c>
      <c r="Q55" s="65">
        <f ca="1">IF(AND($D5&lt;&gt;0,_xlfn.XLOOKUP($B5,'TH_MLG GRADE 10'!$B$7:$B$49,'TH_MLG GRADE 10'!AG$7:AG$49,"",0,1)="P",
   _xlfn.XLOOKUP($B5,'TH_MLG GRADE 10'!$B$7:$B$49,'TH_MLG GRADE 10'!$BK$7:$BK$49,"",0,1)&lt;=TODAY()-MOD(WEEKDAY(TODAY(),2)-5,7)),$D5,0)</f>
        <v>0</v>
      </c>
      <c r="R55" s="65">
        <f ca="1">IF(AND($D5&lt;&gt;0,_xlfn.XLOOKUP($B5,'TH_MLG GRADE 10'!$B$7:$B$49,'TH_MLG GRADE 10'!AH$7:AH$49,"",0,1)="P",
   _xlfn.XLOOKUP($B5,'TH_MLG GRADE 10'!$B$7:$B$49,'TH_MLG GRADE 10'!$BL$7:$BL$49,"",0,1)&lt;=TODAY()-MOD(WEEKDAY(TODAY(),2)-5,7)),$D5,0)</f>
        <v>0</v>
      </c>
      <c r="S55" s="65">
        <f ca="1">IF(AND($D5&lt;&gt;0,_xlfn.XLOOKUP($B5,'TH_MLG GRADE 10'!$B$7:$B$49,'TH_MLG GRADE 10'!AI$7:AI$49,"",0,1)="P",
   _xlfn.XLOOKUP($B5,'TH_MLG GRADE 10'!$B$7:$B$49,'TH_MLG GRADE 10'!$BM$7:$BM$49,"",0,1)&lt;=TODAY()-MOD(WEEKDAY(TODAY(),2)-5,7)),$D5,0)</f>
        <v>0</v>
      </c>
      <c r="T55" s="65">
        <f ca="1">IF(AND($D5&lt;&gt;0,_xlfn.XLOOKUP($B5,'TH_MLG GRADE 10'!$B$7:$B$49,'TH_MLG GRADE 10'!AM$7:AM$49,"",0,1)="P",
   _xlfn.XLOOKUP($B5,'TH_MLG GRADE 10'!$B$7:$B$49,'TH_MLG GRADE 10'!$BK$7:$BK$49,"",0,1)&lt;=TODAY()-MOD(WEEKDAY(TODAY(),2)-5,7)),$D5,0)</f>
        <v>2</v>
      </c>
      <c r="U55" s="65">
        <f ca="1">IF(AND($D5&lt;&gt;0,_xlfn.XLOOKUP($B5,'TH_MLG GRADE 10'!$B$7:$B$49,'TH_MLG GRADE 10'!AN$7:AN$49,"",0,1)="P",
   _xlfn.XLOOKUP($B5,'TH_MLG GRADE 10'!$B$7:$B$49,'TH_MLG GRADE 10'!$BL$7:$BL$49,"",0,1)&lt;=TODAY()-MOD(WEEKDAY(TODAY(),2)-5,7)),$D5,0)</f>
        <v>2</v>
      </c>
      <c r="V55" s="65">
        <f ca="1">IF(AND($D5&lt;&gt;0,_xlfn.XLOOKUP($B5,'TH_MLG GRADE 10'!$B$7:$B$49,'TH_MLG GRADE 10'!AO$7:AO$49,"",0,1)="P",
   _xlfn.XLOOKUP($B5,'TH_MLG GRADE 10'!$B$7:$B$49,'TH_MLG GRADE 10'!$BM$7:$BM$49,"",0,1)&lt;=TODAY()-MOD(WEEKDAY(TODAY(),2)-5,7)),$D5,0)</f>
        <v>0</v>
      </c>
      <c r="W55" s="65">
        <f ca="1">IF(AND($D5&lt;&gt;0,_xlfn.XLOOKUP($B5,'TH_MLG GRADE 10'!$B$7:$B$49,'TH_MLG GRADE 10'!AY$7:AY$49,"",0,1)="P",
   _xlfn.XLOOKUP($B5,'TH_MLG GRADE 10'!$B$7:$B$49,'TH_MLG GRADE 10'!$BK$7:$BK$49,"",0,1)&lt;=TODAY()-MOD(WEEKDAY(TODAY(),2)-5,7)),$D5,0)</f>
        <v>2</v>
      </c>
      <c r="X55" s="65">
        <f ca="1">IF(AND($D5&lt;&gt;0,_xlfn.XLOOKUP($B5,'TH_MLG GRADE 10'!$B$7:$B$49,'TH_MLG GRADE 10'!AZ$7:AZ$49,"",0,1)="P",
   _xlfn.XLOOKUP($B5,'TH_MLG GRADE 10'!$B$7:$B$49,'TH_MLG GRADE 10'!$BL$7:$BL$49,"",0,1)&lt;=TODAY()-MOD(WEEKDAY(TODAY(),2)-5,7)),$D5,0)</f>
        <v>2</v>
      </c>
      <c r="Y55" s="65">
        <f ca="1">IF(AND($D5&lt;&gt;0,_xlfn.XLOOKUP($B5,'TH_MLG GRADE 10'!$B$7:$B$49,'TH_MLG GRADE 10'!BA$7:BA$49,"",0,1)="P",
   _xlfn.XLOOKUP($B5,'TH_MLG GRADE 10'!$B$7:$B$49,'TH_MLG GRADE 10'!$BM$7:$BM$49,"",0,1)&lt;=TODAY()-MOD(WEEKDAY(TODAY(),2)-5,7)),$D5,0)</f>
        <v>2</v>
      </c>
      <c r="Z55" s="65">
        <f ca="1">IF(AND($D5&lt;&gt;0,_xlfn.XLOOKUP($B5,'TH_MLG GRADE 10'!$B$7:$B$49,'TH_MLG GRADE 10'!BE$7:BE$49,"",0,1)="P",
   _xlfn.XLOOKUP($B5,'TH_MLG GRADE 10'!$B$7:$B$49,'TH_MLG GRADE 10'!$BK$7:$BK$49,"",0,1)&lt;=TODAY()-MOD(WEEKDAY(TODAY(),2)-5,7)),$D5,0)</f>
        <v>0</v>
      </c>
      <c r="AA55" s="65">
        <f ca="1">IF(AND($D5&lt;&gt;0,_xlfn.XLOOKUP($B5,'TH_MLG GRADE 10'!$B$7:$B$49,'TH_MLG GRADE 10'!BF$7:BF$49,"",0,1)="P",
   _xlfn.XLOOKUP($B5,'TH_MLG GRADE 10'!$B$7:$B$49,'TH_MLG GRADE 10'!$BL$7:$BL$49,"",0,1)&lt;=TODAY()-MOD(WEEKDAY(TODAY(),2)-5,7)),$D5,0)</f>
        <v>0</v>
      </c>
      <c r="AB55" s="65">
        <f ca="1">IF(AND($D5&lt;&gt;0,_xlfn.XLOOKUP($B5,'TH_MLG GRADE 10'!$B$7:$B$49,'TH_MLG GRADE 10'!BG$7:BG$49,"",0,1)="P",
   _xlfn.XLOOKUP($B5,'TH_MLG GRADE 10'!$B$7:$B$49,'TH_MLG GRADE 10'!$BM$7:$BM$49,"",0,1)&lt;=TODAY()-MOD(WEEKDAY(TODAY(),2)-5,7)),$D5,0)</f>
        <v>0</v>
      </c>
      <c r="AC55" s="65" t="e">
        <f ca="1">IF(AND($D5&lt;&gt;0,_xlfn.XLOOKUP($B5,'TH_MLG GRADE 10'!$B$7:$B$49,'TH_MLG GRADE 10'!#REF!,"",0,1)="P",
   _xlfn.XLOOKUP($B5,'TH_MLG GRADE 10'!$B$7:$B$49,'TH_MLG GRADE 10'!$BK$7:$BK$49,"",0,1)&lt;=TODAY()-MOD(WEEKDAY(TODAY(),2)-5,7)),$D5,0)</f>
        <v>#REF!</v>
      </c>
      <c r="AD55" s="65" t="e">
        <f ca="1">IF(AND($D5&lt;&gt;0,_xlfn.XLOOKUP($B5,'TH_MLG GRADE 10'!$B$7:$B$49,'TH_MLG GRADE 10'!#REF!,"",0,1)="P",
   _xlfn.XLOOKUP($B5,'TH_MLG GRADE 10'!$B$7:$B$49,'TH_MLG GRADE 10'!$BL$7:$BL$49,"",0,1)&lt;=TODAY()-MOD(WEEKDAY(TODAY(),2)-5,7)),$D5,0)</f>
        <v>#REF!</v>
      </c>
      <c r="AE55" s="65" t="e">
        <f ca="1">IF(AND($D5&lt;&gt;0,_xlfn.XLOOKUP($B5,'TH_MLG GRADE 10'!$B$7:$B$49,'TH_MLG GRADE 10'!#REF!,"",0,1)="P",
   _xlfn.XLOOKUP($B5,'TH_MLG GRADE 10'!$B$7:$B$49,'TH_MLG GRADE 10'!$BM$7:$BM$49,"",0,1)&lt;=TODAY()-MOD(WEEKDAY(TODAY(),2)-5,7)),$D5,0)</f>
        <v>#REF!</v>
      </c>
      <c r="AF55" s="65" t="e">
        <f ca="1">IF(AND($D5&lt;&gt;0,_xlfn.XLOOKUP($B5,'TH_MLG GRADE 10'!$B$7:$B$49,'TH_MLG GRADE 10'!#REF!,"",0,1)="P",
   _xlfn.XLOOKUP($B5,'TH_MLG GRADE 10'!$B$7:$B$49,'TH_MLG GRADE 10'!$BK$7:$BK$49,"",0,1)&lt;=TODAY()-MOD(WEEKDAY(TODAY(),2)-5,7)),$D5,0)</f>
        <v>#REF!</v>
      </c>
      <c r="AG55" s="65" t="e">
        <f ca="1">IF(AND($D5&lt;&gt;0,_xlfn.XLOOKUP($B5,'TH_MLG GRADE 10'!$B$7:$B$49,'TH_MLG GRADE 10'!#REF!,"",0,1)="P",
   _xlfn.XLOOKUP($B5,'TH_MLG GRADE 10'!$B$7:$B$49,'TH_MLG GRADE 10'!$BL$7:$BL$49,"",0,1)&lt;=TODAY()-MOD(WEEKDAY(TODAY(),2)-5,7)),$D5,0)</f>
        <v>#REF!</v>
      </c>
      <c r="AH55" s="65" t="e">
        <f ca="1">IF(AND($D5&lt;&gt;0,_xlfn.XLOOKUP($B5,'TH_MLG GRADE 10'!$B$7:$B$49,'TH_MLG GRADE 10'!#REF!,"",0,1)="P",
   _xlfn.XLOOKUP($B5,'TH_MLG GRADE 10'!$B$7:$B$49,'TH_MLG GRADE 10'!$BM$7:$BM$49,"",0,1)&lt;=TODAY()-MOD(WEEKDAY(TODAY(),2)-5,7)),$D5,0)</f>
        <v>#REF!</v>
      </c>
      <c r="AI55" s="67">
        <f ca="1">IF(AND($D5&lt;&gt;0,_xlfn.XLOOKUP($B5,'TH_CMI GRADE 10'!$B$7:$B$49,'TH_CMI GRADE 10'!C$7:C$49,"",0,1)="P",
   _xlfn.XLOOKUP($B5,'TH_CMI GRADE 10'!$B$7:$B$49,'TH_CMI GRADE 10'!$AS$7:$AS$49,"",0,1)&lt;=TODAY()-MOD(WEEKDAY(TODAY(),2)-5,7)),$D5,0)</f>
        <v>0</v>
      </c>
      <c r="AJ55" s="67">
        <f ca="1">IF(AND($D5&lt;&gt;0,_xlfn.XLOOKUP($B5,'TH_CMI GRADE 10'!$B$7:$B$49,'TH_CMI GRADE 10'!D$7:D$49,"",0,1)="P",
   _xlfn.XLOOKUP($B5,'TH_CMI GRADE 10'!$B$7:$B$49,'TH_CMI GRADE 10'!$AT$7:$AT$49,"",0,1)&lt;=TODAY()-MOD(WEEKDAY(TODAY(),2)-5,7)),$D5,0)</f>
        <v>0</v>
      </c>
      <c r="AK55" s="67" t="e">
        <f ca="1">IF(AND($D5&lt;&gt;0,_xlfn.XLOOKUP($B5,'TH_CMI GRADE 10'!$B$7:$B$49,'TH_CMI GRADE 10'!H$7:H$49,"",0,1)="P",
   _xlfn.XLOOKUP($B5,'TH_CMI GRADE 10'!$B$7:$B$49,'TH_CMI GRADE 10'!#REF!,"",0,1)&lt;=TODAY()-MOD(WEEKDAY(TODAY(),2)-5,7)),$D5,0)</f>
        <v>#REF!</v>
      </c>
      <c r="AL55" s="67">
        <f ca="1">IF(AND($D5&lt;&gt;0,_xlfn.XLOOKUP($B5,'TH_CMI GRADE 10'!$B$7:$B$49,'TH_CMI GRADE 10'!I$7:I$49,"",0,1)="P",
   _xlfn.XLOOKUP($B5,'TH_CMI GRADE 10'!$B$7:$B$49,'TH_CMI GRADE 10'!$AS$7:$AS$49,"",0,1)&lt;=TODAY()-MOD(WEEKDAY(TODAY(),2)-5,7)),$D5,0)</f>
        <v>0</v>
      </c>
      <c r="AM55" s="67">
        <f ca="1">IF(AND($D5&lt;&gt;0,_xlfn.XLOOKUP($B5,'TH_CMI GRADE 10'!$B$7:$B$49,'TH_CMI GRADE 10'!J$7:J$49,"",0,1)="P",
   _xlfn.XLOOKUP($B5,'TH_CMI GRADE 10'!$B$7:$B$49,'TH_CMI GRADE 10'!$AT$7:$AT$49,"",0,1)&lt;=TODAY()-MOD(WEEKDAY(TODAY(),2)-5,7)),$D5,0)</f>
        <v>0</v>
      </c>
      <c r="AN55" s="67" t="e">
        <f ca="1">IF(AND($D5&lt;&gt;0,_xlfn.XLOOKUP($B5,'TH_CMI GRADE 10'!$B$7:$B$49,'TH_CMI GRADE 10'!K$7:K$49,"",0,1)="P",
   _xlfn.XLOOKUP($B5,'TH_CMI GRADE 10'!$B$7:$B$49,'TH_CMI GRADE 10'!#REF!,"",0,1)&lt;=TODAY()-MOD(WEEKDAY(TODAY(),2)-5,7)),$D5,0)</f>
        <v>#REF!</v>
      </c>
      <c r="AO55" s="67">
        <f ca="1">IF(AND($D5&lt;&gt;0,_xlfn.XLOOKUP($B5,'TH_CMI GRADE 10'!$B$7:$B$49,'TH_CMI GRADE 10'!O$7:O$49,"",0,1)="P",
   _xlfn.XLOOKUP($B5,'TH_CMI GRADE 10'!$B$7:$B$49,'TH_CMI GRADE 10'!$AS$7:$AS$49,"",0,1)&lt;=TODAY()-MOD(WEEKDAY(TODAY(),2)-5,7)),$D5,0)</f>
        <v>0</v>
      </c>
      <c r="AP55" s="67">
        <f ca="1">IF(AND($D5&lt;&gt;0,_xlfn.XLOOKUP($B5,'TH_CMI GRADE 10'!$B$7:$B$49,'TH_CMI GRADE 10'!P$7:P$49,"",0,1)="P",
   _xlfn.XLOOKUP($B5,'TH_CMI GRADE 10'!$B$7:$B$49,'TH_CMI GRADE 10'!$AT$7:$AT$49,"",0,1)&lt;=TODAY()-MOD(WEEKDAY(TODAY(),2)-5,7)),$D5,0)</f>
        <v>0</v>
      </c>
      <c r="AQ55" s="67" t="e">
        <f ca="1">IF(AND($D5&lt;&gt;0,_xlfn.XLOOKUP($B5,'TH_CMI GRADE 10'!$B$7:$B$49,'TH_CMI GRADE 10'!Q$7:Q$49,"",0,1)="P",
   _xlfn.XLOOKUP($B5,'TH_CMI GRADE 10'!$B$7:$B$49,'TH_CMI GRADE 10'!#REF!,"",0,1)&lt;=TODAY()-MOD(WEEKDAY(TODAY(),2)-5,7)),$D5,0)</f>
        <v>#REF!</v>
      </c>
      <c r="AR55" s="67">
        <f ca="1">IF(AND($D5&lt;&gt;0,_xlfn.XLOOKUP($B5,'TH_CMI GRADE 10'!$B$7:$B$49,'TH_CMI GRADE 10'!U$7:U$49,"",0,1)="P",
   _xlfn.XLOOKUP($B5,'TH_CMI GRADE 10'!$B$7:$B$49,'TH_CMI GRADE 10'!$AS$7:$AS$49,"",0,1)&lt;=TODAY()-MOD(WEEKDAY(TODAY(),2)-5,7)),$D5,0)</f>
        <v>0</v>
      </c>
      <c r="AS55" s="67">
        <f ca="1">IF(AND($D5&lt;&gt;0,_xlfn.XLOOKUP($B5,'TH_CMI GRADE 10'!$B$7:$B$49,'TH_CMI GRADE 10'!V$7:V$49,"",0,1)="P",
   _xlfn.XLOOKUP($B5,'TH_CMI GRADE 10'!$B$7:$B$49,'TH_CMI GRADE 10'!$AT$7:$AT$49,"",0,1)&lt;=TODAY()-MOD(WEEKDAY(TODAY(),2)-5,7)),$D5,0)</f>
        <v>0</v>
      </c>
      <c r="AT55" s="67" t="e">
        <f ca="1">IF(AND($D5&lt;&gt;0,_xlfn.XLOOKUP($B5,'TH_CMI GRADE 10'!$B$7:$B$49,'TH_CMI GRADE 10'!W$7:W$49,"",0,1)="P",
   _xlfn.XLOOKUP($B5,'TH_CMI GRADE 10'!$B$7:$B$49,'TH_CMI GRADE 10'!#REF!,"",0,1)&lt;=TODAY()-MOD(WEEKDAY(TODAY(),2)-5,7)),$D5,0)</f>
        <v>#REF!</v>
      </c>
      <c r="AU55" s="67">
        <f ca="1">IF(AND($D5&lt;&gt;0,_xlfn.XLOOKUP($B5,'TH_CMI GRADE 10'!$B$7:$B$49,'TH_CMI GRADE 10'!AA$7:AA$49,"",0,1)="P",
   _xlfn.XLOOKUP($B5,'TH_CMI GRADE 10'!$B$7:$B$49,'TH_CMI GRADE 10'!$AS$7:$AS$49,"",0,1)&lt;=TODAY()-MOD(WEEKDAY(TODAY(),2)-5,7)),$D5,0)</f>
        <v>2</v>
      </c>
      <c r="AV55" s="67">
        <f ca="1">IF(AND($D5&lt;&gt;0,_xlfn.XLOOKUP($B5,'TH_CMI GRADE 10'!$B$7:$B$49,'TH_CMI GRADE 10'!AB$7:AB$49,"",0,1)="P",
   _xlfn.XLOOKUP($B5,'TH_CMI GRADE 10'!$B$7:$B$49,'TH_CMI GRADE 10'!$AT$7:$AT$49,"",0,1)&lt;=TODAY()-MOD(WEEKDAY(TODAY(),2)-5,7)),$D5,0)</f>
        <v>2</v>
      </c>
      <c r="AW55" s="67" t="e">
        <f ca="1">IF(AND($D5&lt;&gt;0,_xlfn.XLOOKUP($B5,'TH_CMI GRADE 10'!$B$7:$B$49,'TH_CMI GRADE 10'!AC$7:AC$49,"",0,1)="P",
   _xlfn.XLOOKUP($B5,'TH_CMI GRADE 10'!$B$7:$B$49,'TH_CMI GRADE 10'!#REF!,"",0,1)&lt;=TODAY()-MOD(WEEKDAY(TODAY(),2)-5,7)),$D5,0)</f>
        <v>#REF!</v>
      </c>
      <c r="AX55" s="67">
        <f ca="1">IF(AND($D5&lt;&gt;0,_xlfn.XLOOKUP($B5,'TH_CMI GRADE 10'!$B$7:$B$49,'TH_CMI GRADE 10'!AG$7:AG$49,"",0,1)="P",
   _xlfn.XLOOKUP($B5,'TH_CMI GRADE 10'!$B$7:$B$49,'TH_CMI GRADE 10'!$AS$7:$AS$49,"",0,1)&lt;=TODAY()-MOD(WEEKDAY(TODAY(),2)-5,7)),$D5,0)</f>
        <v>2</v>
      </c>
      <c r="AY55" s="67">
        <f ca="1">IF(AND($D5&lt;&gt;0,_xlfn.XLOOKUP($B5,'TH_CMI GRADE 10'!$B$7:$B$49,'TH_CMI GRADE 10'!AH$7:AH$49,"",0,1)="P",
   _xlfn.XLOOKUP($B5,'TH_CMI GRADE 10'!$B$7:$B$49,'TH_CMI GRADE 10'!$AT$7:$AT$49,"",0,1)&lt;=TODAY()-MOD(WEEKDAY(TODAY(),2)-5,7)),$D5,0)</f>
        <v>2</v>
      </c>
      <c r="AZ55" s="67" t="e">
        <f ca="1">IF(AND($D5&lt;&gt;0,_xlfn.XLOOKUP($B5,'TH_CMI GRADE 10'!$B$7:$B$49,'TH_CMI GRADE 10'!AI$7:AI$49,"",0,1)="P",
   _xlfn.XLOOKUP($B5,'TH_CMI GRADE 10'!$B$7:$B$49,'TH_CMI GRADE 10'!#REF!,"",0,1)&lt;=TODAY()-MOD(WEEKDAY(TODAY(),2)-5,7)),$D5,0)</f>
        <v>#REF!</v>
      </c>
      <c r="BA55" s="65" t="e">
        <f ca="1">IF(AND($D5&lt;&gt;0,_xlfn.XLOOKUP($B5,'PW_MLG GRADE 10'!$B$7:$B$31,'PW_MLG GRADE 10'!R$7:R$31,"",0,1)="P",
   _xlfn.XLOOKUP($B5,'PW_MLG GRADE 10'!$B$7:$B$31,'PW_MLG GRADE 10'!#REF!,"",0,1)&lt;=TODAY()-MOD(WEEKDAY(TODAY(),2)-5,7)),$D5,0)</f>
        <v>#REF!</v>
      </c>
      <c r="BB55" s="65" t="e">
        <f ca="1">IF(AND($D5&lt;&gt;0,_xlfn.XLOOKUP($B5,'PW_MLG GRADE 10'!$B$7:$B$31,'PW_MLG GRADE 10'!S$7:S$31,"",0,1)="P",
   _xlfn.XLOOKUP($B5,'PW_MLG GRADE 10'!$B$7:$B$31,'PW_MLG GRADE 10'!#REF!,"",0,1)&lt;=TODAY()-MOD(WEEKDAY(TODAY(),2)-5,7)),$D5,0)</f>
        <v>#REF!</v>
      </c>
      <c r="BC55" s="65" t="e">
        <f ca="1">IF(AND($D5&lt;&gt;0,_xlfn.XLOOKUP($B5,'PW_MLG GRADE 10'!$B$7:$B$31,'PW_MLG GRADE 10'!T$7:T$31,"",0,1)="P",
   _xlfn.XLOOKUP($B5,'PW_MLG GRADE 10'!$B$7:$B$31,'PW_MLG GRADE 10'!#REF!,"",0,1)&lt;=TODAY()-MOD(WEEKDAY(TODAY(),2)-5,7)),$D5,0)</f>
        <v>#REF!</v>
      </c>
      <c r="BD55" s="65" t="e">
        <f ca="1">IF(AND($D5&lt;&gt;0,_xlfn.XLOOKUP($B5,'PW_MLG GRADE 10'!$B$7:$B$31,'PW_MLG GRADE 10'!AA$7:AA$31,"",0,1)="P",
   _xlfn.XLOOKUP($B5,'PW_MLG GRADE 10'!$B$7:$B$31,'PW_MLG GRADE 10'!#REF!,"",0,1)&lt;=TODAY()-MOD(WEEKDAY(TODAY(),2)-5,7)),$D5,0)</f>
        <v>#REF!</v>
      </c>
      <c r="BE55" s="65" t="e">
        <f ca="1">IF(AND($D5&lt;&gt;0,_xlfn.XLOOKUP($B5,'PW_MLG GRADE 10'!$B$7:$B$31,'PW_MLG GRADE 10'!AB$7:AB$31,"",0,1)="P",
   _xlfn.XLOOKUP($B5,'PW_MLG GRADE 10'!$B$7:$B$31,'PW_MLG GRADE 10'!#REF!,"",0,1)&lt;=TODAY()-MOD(WEEKDAY(TODAY(),2)-5,7)),$D5,0)</f>
        <v>#REF!</v>
      </c>
      <c r="BF55" s="65" t="e">
        <f ca="1">IF(AND($D5&lt;&gt;0,_xlfn.XLOOKUP($B5,'PW_MLG GRADE 10'!$B$7:$B$31,'PW_MLG GRADE 10'!AC$7:AC$31,"",0,1)="P",
   _xlfn.XLOOKUP($B5,'PW_MLG GRADE 10'!$B$7:$B$31,'PW_MLG GRADE 10'!#REF!,"",0,1)&lt;=TODAY()-MOD(WEEKDAY(TODAY(),2)-5,7)),$D5,0)</f>
        <v>#REF!</v>
      </c>
      <c r="BG55" s="65" t="e">
        <f ca="1">IF(AND($D5&lt;&gt;0,_xlfn.XLOOKUP($B5,'PW_MLG GRADE 10'!$B$7:$B$31,'PW_MLG GRADE 10'!AD$7:AD$31,"",0,1)="P",
   _xlfn.XLOOKUP($B5,'PW_MLG GRADE 10'!$B$7:$B$31,'PW_MLG GRADE 10'!#REF!,"",0,1)&lt;=TODAY()-MOD(WEEKDAY(TODAY(),2)-5,7)),$D5,0)</f>
        <v>#REF!</v>
      </c>
      <c r="BH55" s="65" t="e">
        <f ca="1">IF(AND($D5&lt;&gt;0,_xlfn.XLOOKUP($B5,'PW_MLG GRADE 10'!$B$7:$B$31,'PW_MLG GRADE 10'!AE$7:AE$31,"",0,1)="P",
   _xlfn.XLOOKUP($B5,'PW_MLG GRADE 10'!$B$7:$B$31,'PW_MLG GRADE 10'!#REF!,"",0,1)&lt;=TODAY()-MOD(WEEKDAY(TODAY(),2)-5,7)),$D5,0)</f>
        <v>#REF!</v>
      </c>
      <c r="BI55" s="65" t="e">
        <f ca="1">IF(AND($D5&lt;&gt;0,_xlfn.XLOOKUP($B5,'PW_MLG GRADE 10'!$B$7:$B$31,'PW_MLG GRADE 10'!AF$7:AF$31,"",0,1)="P",
   _xlfn.XLOOKUP($B5,'PW_MLG GRADE 10'!$B$7:$B$31,'PW_MLG GRADE 10'!#REF!,"",0,1)&lt;=TODAY()-MOD(WEEKDAY(TODAY(),2)-5,7)),$D5,0)</f>
        <v>#REF!</v>
      </c>
      <c r="BJ55" s="65" t="e">
        <f ca="1">IF(AND($D5&lt;&gt;0,_xlfn.XLOOKUP($B5,'PW_MLG GRADE 10'!$B$7:$B$31,'PW_MLG GRADE 10'!AG$7:AG$31,"",0,1)="P",
   _xlfn.XLOOKUP($B5,'PW_MLG GRADE 10'!$B$7:$B$31,'PW_MLG GRADE 10'!#REF!,"",0,1)&lt;=TODAY()-MOD(WEEKDAY(TODAY(),2)-5,7)),$D5,0)</f>
        <v>#REF!</v>
      </c>
      <c r="BK55" s="65" t="e">
        <f ca="1">IF(AND($D5&lt;&gt;0,_xlfn.XLOOKUP($B5,'PW_MLG GRADE 10'!$B$7:$B$31,'PW_MLG GRADE 10'!AH$7:AH$31,"",0,1)="P",
   _xlfn.XLOOKUP($B5,'PW_MLG GRADE 10'!$B$7:$B$31,'PW_MLG GRADE 10'!#REF!,"",0,1)&lt;=TODAY()-MOD(WEEKDAY(TODAY(),2)-5,7)),$D5,0)</f>
        <v>#REF!</v>
      </c>
      <c r="BL55" s="65" t="e">
        <f ca="1">IF(AND($D5&lt;&gt;0,_xlfn.XLOOKUP($B5,'PW_MLG GRADE 10'!$B$7:$B$31,'PW_MLG GRADE 10'!AI$7:AI$31,"",0,1)="P",
   _xlfn.XLOOKUP($B5,'PW_MLG GRADE 10'!$B$7:$B$31,'PW_MLG GRADE 10'!#REF!,"",0,1)&lt;=TODAY()-MOD(WEEKDAY(TODAY(),2)-5,7)),$D5,0)</f>
        <v>#REF!</v>
      </c>
      <c r="BM55" s="65" t="e">
        <f ca="1">IF(AND($D5&lt;&gt;0,_xlfn.XLOOKUP($B5,'PW_MLG GRADE 10'!$B$7:$B$31,'PW_MLG GRADE 10'!AJ$7:AJ$31,"",0,1)="P",
   _xlfn.XLOOKUP($B5,'PW_MLG GRADE 10'!$B$7:$B$31,'PW_MLG GRADE 10'!#REF!,"",0,1)&lt;=TODAY()-MOD(WEEKDAY(TODAY(),2)-5,7)),$D5,0)</f>
        <v>#REF!</v>
      </c>
      <c r="BN55" s="65" t="e">
        <f ca="1">IF(AND($D5&lt;&gt;0,_xlfn.XLOOKUP($B5,'PW_MLG GRADE 10'!$B$7:$B$31,'PW_MLG GRADE 10'!AK$7:AK$31,"",0,1)="P",
   _xlfn.XLOOKUP($B5,'PW_MLG GRADE 10'!$B$7:$B$31,'PW_MLG GRADE 10'!#REF!,"",0,1)&lt;=TODAY()-MOD(WEEKDAY(TODAY(),2)-5,7)),$D5,0)</f>
        <v>#REF!</v>
      </c>
      <c r="BO55" s="65" t="e">
        <f ca="1">IF(AND($D5&lt;&gt;0,_xlfn.XLOOKUP($B5,'PW_MLG GRADE 10'!$B$7:$B$31,'PW_MLG GRADE 10'!AL$7:AL$31,"",0,1)="P",
   _xlfn.XLOOKUP($B5,'PW_MLG GRADE 10'!$B$7:$B$31,'PW_MLG GRADE 10'!#REF!,"",0,1)&lt;=TODAY()-MOD(WEEKDAY(TODAY(),2)-5,7)),$D5,0)</f>
        <v>#REF!</v>
      </c>
      <c r="BP55" s="65" t="e">
        <f ca="1">IF(AND($D5&lt;&gt;0,_xlfn.XLOOKUP($B5,'PW_MLG GRADE 10'!$B$7:$B$31,'PW_MLG GRADE 10'!AM$7:AM$31,"",0,1)="P",
   _xlfn.XLOOKUP($B5,'PW_MLG GRADE 10'!$B$7:$B$31,'PW_MLG GRADE 10'!#REF!,"",0,1)&lt;=TODAY()-MOD(WEEKDAY(TODAY(),2)-5,7)),$D5,0)</f>
        <v>#REF!</v>
      </c>
      <c r="BQ55" s="65" t="e">
        <f ca="1">IF(AND($D5&lt;&gt;0,_xlfn.XLOOKUP($B5,'PW_MLG GRADE 10'!$B$7:$B$31,'PW_MLG GRADE 10'!AN$7:AN$31,"",0,1)="P",
   _xlfn.XLOOKUP($B5,'PW_MLG GRADE 10'!$B$7:$B$31,'PW_MLG GRADE 10'!#REF!,"",0,1)&lt;=TODAY()-MOD(WEEKDAY(TODAY(),2)-5,7)),$D5,0)</f>
        <v>#REF!</v>
      </c>
      <c r="BR55" s="65" t="e">
        <f ca="1">IF(AND($D5&lt;&gt;0,_xlfn.XLOOKUP($B5,'PW_MLG GRADE 10'!$B$7:$B$31,'PW_MLG GRADE 10'!AO$7:AO$31,"",0,1)="P",
   _xlfn.XLOOKUP($B5,'PW_MLG GRADE 10'!$B$7:$B$31,'PW_MLG GRADE 10'!#REF!,"",0,1)&lt;=TODAY()-MOD(WEEKDAY(TODAY(),2)-5,7)),$D5,0)</f>
        <v>#REF!</v>
      </c>
      <c r="BS55" s="65" t="e">
        <f ca="1">IF(AND($D5&lt;&gt;0,_xlfn.XLOOKUP($B5,'PW_MLG GRADE 10'!$B$7:$B$31,'PW_MLG GRADE 10'!AP$7:AP$31,"",0,1)="P",
   _xlfn.XLOOKUP($B5,'PW_MLG GRADE 10'!$B$7:$B$31,'PW_MLG GRADE 10'!#REF!,"",0,1)&lt;=TODAY()-MOD(WEEKDAY(TODAY(),2)-5,7)),$D5,0)</f>
        <v>#REF!</v>
      </c>
      <c r="BT55" s="65" t="e">
        <f ca="1">IF(AND($D5&lt;&gt;0,_xlfn.XLOOKUP($B5,'PW_MLG GRADE 10'!$B$7:$B$31,'PW_MLG GRADE 10'!AQ$7:AQ$31,"",0,1)="P",
   _xlfn.XLOOKUP($B5,'PW_MLG GRADE 10'!$B$7:$B$31,'PW_MLG GRADE 10'!#REF!,"",0,1)&lt;=TODAY()-MOD(WEEKDAY(TODAY(),2)-5,7)),$D5,0)</f>
        <v>#REF!</v>
      </c>
      <c r="BU55" s="65" t="e">
        <f ca="1">IF(AND($D5&lt;&gt;0,_xlfn.XLOOKUP($B5,'PW_MLG GRADE 10'!$B$7:$B$31,'PW_MLG GRADE 10'!AR$7:AR$31,"",0,1)="P",
   _xlfn.XLOOKUP($B5,'PW_MLG GRADE 10'!$B$7:$B$31,'PW_MLG GRADE 10'!#REF!,"",0,1)&lt;=TODAY()-MOD(WEEKDAY(TODAY(),2)-5,7)),$D5,0)</f>
        <v>#REF!</v>
      </c>
      <c r="BV55" s="65" t="e">
        <f ca="1">IF(AND($D5&lt;&gt;0,_xlfn.XLOOKUP($B5,'PW_MLG GRADE 10'!$B$7:$B$31,'PW_MLG GRADE 10'!AY$7:AY$31,"",0,1)="P",
   _xlfn.XLOOKUP($B5,'PW_MLG GRADE 10'!$B$7:$B$31,'PW_MLG GRADE 10'!#REF!,"",0,1)&lt;=TODAY()-MOD(WEEKDAY(TODAY(),2)-5,7)),$D5,0)</f>
        <v>#REF!</v>
      </c>
      <c r="BW55" s="65" t="e">
        <f ca="1">IF(AND($D5&lt;&gt;0,_xlfn.XLOOKUP($B5,'PW_MLG GRADE 10'!$B$7:$B$31,'PW_MLG GRADE 10'!AZ$7:AZ$31,"",0,1)="P",
   _xlfn.XLOOKUP($B5,'PW_MLG GRADE 10'!$B$7:$B$31,'PW_MLG GRADE 10'!#REF!,"",0,1)&lt;=TODAY()-MOD(WEEKDAY(TODAY(),2)-5,7)),$D5,0)</f>
        <v>#REF!</v>
      </c>
      <c r="BX55" s="65" t="e">
        <f ca="1">IF(AND($D5&lt;&gt;0,_xlfn.XLOOKUP($B5,'PW_MLG GRADE 10'!$B$7:$B$31,'PW_MLG GRADE 10'!BA$7:BA$31,"",0,1)="P",
   _xlfn.XLOOKUP($B5,'PW_MLG GRADE 10'!$B$7:$B$31,'PW_MLG GRADE 10'!#REF!,"",0,1)&lt;=TODAY()-MOD(WEEKDAY(TODAY(),2)-5,7)),$D5,0)</f>
        <v>#REF!</v>
      </c>
      <c r="BY55" s="65" t="e">
        <f ca="1">IF(AND($D5&lt;&gt;0,_xlfn.XLOOKUP($B5,'PW_MLG GRADE 10'!$B$7:$B$31,'PW_MLG GRADE 10'!BB$7:BB$31,"",0,1)="P",
   _xlfn.XLOOKUP($B5,'PW_MLG GRADE 10'!$B$7:$B$31,'PW_MLG GRADE 10'!#REF!,"",0,1)&lt;=TODAY()-MOD(WEEKDAY(TODAY(),2)-5,7)),$D5,0)</f>
        <v>#REF!</v>
      </c>
      <c r="BZ55" s="65" t="e">
        <f ca="1">IF(AND($D5&lt;&gt;0,_xlfn.XLOOKUP($B5,'PW_MLG GRADE 10'!$B$7:$B$31,'PW_MLG GRADE 10'!BC$7:BC$31,"",0,1)="P",
   _xlfn.XLOOKUP($B5,'PW_MLG GRADE 10'!$B$7:$B$31,'PW_MLG GRADE 10'!#REF!,"",0,1)&lt;=TODAY()-MOD(WEEKDAY(TODAY(),2)-5,7)),$D5,0)</f>
        <v>#REF!</v>
      </c>
      <c r="CA55" s="65" t="e">
        <f ca="1">IF(AND($D5&lt;&gt;0,_xlfn.XLOOKUP($B5,'PW_MLG GRADE 10'!$B$7:$B$31,'PW_MLG GRADE 10'!BD$7:BD$31,"",0,1)="P",
   _xlfn.XLOOKUP($B5,'PW_MLG GRADE 10'!$B$7:$B$31,'PW_MLG GRADE 10'!#REF!,"",0,1)&lt;=TODAY()-MOD(WEEKDAY(TODAY(),2)-5,7)),$D5,0)</f>
        <v>#REF!</v>
      </c>
      <c r="CB55" s="65" t="e">
        <f ca="1">IF(AND($D5&lt;&gt;0,_xlfn.XLOOKUP($B5,'PW_MLG GRADE 10'!$B$7:$B$31,'PW_MLG GRADE 10'!BE$7:BE$31,"",0,1)="P",
   _xlfn.XLOOKUP($B5,'PW_MLG GRADE 10'!$B$7:$B$31,'PW_MLG GRADE 10'!#REF!,"",0,1)&lt;=TODAY()-MOD(WEEKDAY(TODAY(),2)-5,7)),$D5,0)</f>
        <v>#REF!</v>
      </c>
      <c r="CC55" s="65" t="e">
        <f ca="1">IF(AND($D5&lt;&gt;0,_xlfn.XLOOKUP($B5,'PW_MLG GRADE 10'!$B$7:$B$31,'PW_MLG GRADE 10'!BF$7:BF$31,"",0,1)="P",
   _xlfn.XLOOKUP($B5,'PW_MLG GRADE 10'!$B$7:$B$31,'PW_MLG GRADE 10'!#REF!,"",0,1)&lt;=TODAY()-MOD(WEEKDAY(TODAY(),2)-5,7)),$D5,0)</f>
        <v>#REF!</v>
      </c>
      <c r="CD55" s="65" t="e">
        <f ca="1">IF(AND($D5&lt;&gt;0,_xlfn.XLOOKUP($B5,'PW_MLG GRADE 10'!$B$7:$B$31,'PW_MLG GRADE 10'!BG$7:BG$31,"",0,1)="P",
   _xlfn.XLOOKUP($B5,'PW_MLG GRADE 10'!$B$7:$B$31,'PW_MLG GRADE 10'!#REF!,"",0,1)&lt;=TODAY()-MOD(WEEKDAY(TODAY(),2)-5,7)),$D5,0)</f>
        <v>#REF!</v>
      </c>
      <c r="CE55" s="67">
        <f ca="1">IF(AND($D5&lt;&gt;0,_xlfn.XLOOKUP($B5,'PW_CMI GRADE 10'!$B$7:$B$31,'PW_CMI GRADE 10'!AY$7:AY$31,"",0,1)="P",
   _xlfn.XLOOKUP($B5,'PW_CMI GRADE 10'!$B$7:$B$31,'PW_CMI GRADE 10'!$U$7:$U$31,"",0,1)&lt;=TODAY()-MOD(WEEKDAY(TODAY(),2)-5,7)),$D5,0)</f>
        <v>0</v>
      </c>
      <c r="CF55" s="67">
        <f ca="1">IF(AND($D5&lt;&gt;0,_xlfn.XLOOKUP($B5,'PW_CMI GRADE 10'!$B$7:$B$31,'PW_CMI GRADE 10'!AZ$7:AZ$31,"",0,1)="P",
   _xlfn.XLOOKUP($B5,'PW_CMI GRADE 10'!$B$7:$B$31,'PW_CMI GRADE 10'!$V$7:$V$31,"",0,1)&lt;=TODAY()-MOD(WEEKDAY(TODAY(),2)-5,7)),$D5,0)</f>
        <v>0</v>
      </c>
      <c r="CG55" s="67">
        <f ca="1">IF(AND($D5&lt;&gt;0,_xlfn.XLOOKUP($B5,'PW_CMI GRADE 10'!$B$7:$B$31,'PW_CMI GRADE 10'!BA$7:BA$31,"",0,1)="P",
   _xlfn.XLOOKUP($B5,'PW_CMI GRADE 10'!$B$7:$B$31,'PW_CMI GRADE 10'!$W$7:$W$31,"",0,1)&lt;=TODAY()-MOD(WEEKDAY(TODAY(),2)-5,7)),$D5,0)</f>
        <v>0</v>
      </c>
      <c r="CH55" s="67">
        <f ca="1">IF(AND($D5&lt;&gt;0,_xlfn.XLOOKUP($B5,'PW_CMI GRADE 10'!$B$7:$B$31,'PW_CMI GRADE 10'!BB$7:BB$31,"",0,1)="P",
   _xlfn.XLOOKUP($B5,'PW_CMI GRADE 10'!$B$7:$B$31,'PW_CMI GRADE 10'!$U$7:$U$31,"",0,1)&lt;=TODAY()-MOD(WEEKDAY(TODAY(),2)-5,7)),$D5,0)</f>
        <v>0</v>
      </c>
      <c r="CI55" s="67">
        <f ca="1">IF(AND($D5&lt;&gt;0,_xlfn.XLOOKUP($B5,'PW_CMI GRADE 10'!$B$7:$B$31,'PW_CMI GRADE 10'!BC$7:BC$31,"",0,1)="P",
   _xlfn.XLOOKUP($B5,'PW_CMI GRADE 10'!$B$7:$B$31,'PW_CMI GRADE 10'!$V$7:$V$31,"",0,1)&lt;=TODAY()-MOD(WEEKDAY(TODAY(),2)-5,7)),$D5,0)</f>
        <v>0</v>
      </c>
      <c r="CJ55" s="67">
        <f ca="1">IF(AND($D5&lt;&gt;0,_xlfn.XLOOKUP($B5,'PW_CMI GRADE 10'!$B$7:$B$31,'PW_CMI GRADE 10'!BD$7:BD$31,"",0,1)="P",
   _xlfn.XLOOKUP($B5,'PW_CMI GRADE 10'!$B$7:$B$31,'PW_CMI GRADE 10'!$W$7:$W$31,"",0,1)&lt;=TODAY()-MOD(WEEKDAY(TODAY(),2)-5,7)),$D5,0)</f>
        <v>0</v>
      </c>
      <c r="CK55" s="67">
        <f ca="1">IF(AND($D5&lt;&gt;0,_xlfn.XLOOKUP($B5,'PW_CMI GRADE 10'!$B$7:$B$31,'PW_CMI GRADE 10'!BE$7:BE$31,"",0,1)="P",
   _xlfn.XLOOKUP($B5,'PW_CMI GRADE 10'!$B$7:$B$31,'PW_CMI GRADE 10'!$U$7:$U$31,"",0,1)&lt;=TODAY()-MOD(WEEKDAY(TODAY(),2)-5,7)),$D5,0)</f>
        <v>0</v>
      </c>
      <c r="CL55" s="67">
        <f ca="1">IF(AND($D5&lt;&gt;0,_xlfn.XLOOKUP($B5,'PW_CMI GRADE 10'!$B$7:$B$31,'PW_CMI GRADE 10'!BF$7:BF$31,"",0,1)="P",
   _xlfn.XLOOKUP($B5,'PW_CMI GRADE 10'!$B$7:$B$31,'PW_CMI GRADE 10'!$V$7:$V$31,"",0,1)&lt;=TODAY()-MOD(WEEKDAY(TODAY(),2)-5,7)),$D5,0)</f>
        <v>0</v>
      </c>
      <c r="CM55" s="67">
        <f ca="1">IF(AND($D5&lt;&gt;0,_xlfn.XLOOKUP($B5,'PW_CMI GRADE 10'!$B$7:$B$31,'PW_CMI GRADE 10'!BG$7:BG$31,"",0,1)="P",
   _xlfn.XLOOKUP($B5,'PW_CMI GRADE 10'!$B$7:$B$31,'PW_CMI GRADE 10'!$W$7:$W$31,"",0,1)&lt;=TODAY()-MOD(WEEKDAY(TODAY(),2)-5,7)),$D5,0)</f>
        <v>0</v>
      </c>
      <c r="CN55" s="67">
        <f ca="1">IF(AND($D5&lt;&gt;0,_xlfn.XLOOKUP($B5,'PW_CMI GRADE 10'!$B$7:$B$31,'PW_CMI GRADE 10'!BH$7:BH$31,"",0,1)="P",
   _xlfn.XLOOKUP($B5,'PW_CMI GRADE 10'!$B$7:$B$31,'PW_CMI GRADE 10'!$U$7:$U$31,"",0,1)&lt;=TODAY()-MOD(WEEKDAY(TODAY(),2)-5,7)),$D5,0)</f>
        <v>0</v>
      </c>
      <c r="CO55" s="67">
        <f ca="1">IF(AND($D5&lt;&gt;0,_xlfn.XLOOKUP($B5,'PW_CMI GRADE 10'!$B$7:$B$31,'PW_CMI GRADE 10'!BI$7:BI$31,"",0,1)="P",
   _xlfn.XLOOKUP($B5,'PW_CMI GRADE 10'!$B$7:$B$31,'PW_CMI GRADE 10'!$V$7:$V$31,"",0,1)&lt;=TODAY()-MOD(WEEKDAY(TODAY(),2)-5,7)),$D5,0)</f>
        <v>0</v>
      </c>
      <c r="CP55" s="67">
        <f ca="1">IF(AND($D5&lt;&gt;0,_xlfn.XLOOKUP($B5,'PW_CMI GRADE 10'!$B$7:$B$31,'PW_CMI GRADE 10'!BJ$7:BJ$31,"",0,1)="P",
   _xlfn.XLOOKUP($B5,'PW_CMI GRADE 10'!$B$7:$B$31,'PW_CMI GRADE 10'!$W$7:$W$31,"",0,1)&lt;=TODAY()-MOD(WEEKDAY(TODAY(),2)-5,7)),$D5,0)</f>
        <v>0</v>
      </c>
      <c r="CQ55" s="67">
        <f ca="1">IF(AND($D5&lt;&gt;0,_xlfn.XLOOKUP($B5,'PW_CMI GRADE 10'!$B$7:$B$31,'PW_CMI GRADE 10'!BK$7:BK$31,"",0,1)="P",
   _xlfn.XLOOKUP($B5,'PW_CMI GRADE 10'!$B$7:$B$31,'PW_CMI GRADE 10'!$U$7:$U$31,"",0,1)&lt;=TODAY()-MOD(WEEKDAY(TODAY(),2)-5,7)),$D5,0)</f>
        <v>0</v>
      </c>
      <c r="CR55" s="67">
        <f ca="1">IF(AND($D5&lt;&gt;0,_xlfn.XLOOKUP($B5,'PW_CMI GRADE 10'!$B$7:$B$31,'PW_CMI GRADE 10'!BL$7:BL$31,"",0,1)="P",
   _xlfn.XLOOKUP($B5,'PW_CMI GRADE 10'!$B$7:$B$31,'PW_CMI GRADE 10'!$V$7:$V$31,"",0,1)&lt;=TODAY()-MOD(WEEKDAY(TODAY(),2)-5,7)),$D5,0)</f>
        <v>0</v>
      </c>
      <c r="CS55" s="67">
        <f ca="1">IF(AND($D5&lt;&gt;0,_xlfn.XLOOKUP($B5,'PW_CMI GRADE 10'!$B$7:$B$31,'PW_CMI GRADE 10'!BM$7:BM$31,"",0,1)="P",
   _xlfn.XLOOKUP($B5,'PW_CMI GRADE 10'!$B$7:$B$31,'PW_CMI GRADE 10'!$W$7:$W$31,"",0,1)&lt;=TODAY()-MOD(WEEKDAY(TODAY(),2)-5,7)),$D5,0)</f>
        <v>0</v>
      </c>
      <c r="CT55" s="67">
        <f ca="1">IF(AND($D5&lt;&gt;0,_xlfn.XLOOKUP($B5,'PW_CMI GRADE 10'!$B$7:$B$31,'PW_CMI GRADE 10'!BN$7:BN$31,"",0,1)="P",
   _xlfn.XLOOKUP($B5,'PW_CMI GRADE 10'!$B$7:$B$31,'PW_CMI GRADE 10'!$U$7:$U$31,"",0,1)&lt;=TODAY()-MOD(WEEKDAY(TODAY(),2)-5,7)),$D5,0)</f>
        <v>0</v>
      </c>
      <c r="CU55" s="67">
        <f ca="1">IF(AND($D5&lt;&gt;0,_xlfn.XLOOKUP($B5,'PW_CMI GRADE 10'!$B$7:$B$31,'PW_CMI GRADE 10'!BO$7:BO$31,"",0,1)="P",
   _xlfn.XLOOKUP($B5,'PW_CMI GRADE 10'!$B$7:$B$31,'PW_CMI GRADE 10'!$V$7:$V$31,"",0,1)&lt;=TODAY()-MOD(WEEKDAY(TODAY(),2)-5,7)),$D5,0)</f>
        <v>0</v>
      </c>
      <c r="CV55" s="67">
        <f ca="1">IF(AND($D5&lt;&gt;0,_xlfn.XLOOKUP($B5,'PW_CMI GRADE 10'!$B$7:$B$31,'PW_CMI GRADE 10'!BP$7:BP$31,"",0,1)="P",
   _xlfn.XLOOKUP($B5,'PW_CMI GRADE 10'!$B$7:$B$31,'PW_CMI GRADE 10'!$W$7:$W$31,"",0,1)&lt;=TODAY()-MOD(WEEKDAY(TODAY(),2)-5,7)),$D5,0)</f>
        <v>0</v>
      </c>
      <c r="CW55" s="62" t="e">
        <f t="shared" ref="CW55:CW98" ca="1" si="132">(SUM(E55:G55)+SUM(BA55:BC55))/(IF(OR($C55=0,$D55=0),3,6)*($C55+$D55))</f>
        <v>#REF!</v>
      </c>
      <c r="CX55" s="62" t="e">
        <f t="shared" ca="1" si="69"/>
        <v>#REF!</v>
      </c>
      <c r="CY55" s="62" t="e">
        <f t="shared" ca="1" si="70"/>
        <v>#REF!</v>
      </c>
      <c r="CZ55" s="62" t="e">
        <f t="shared" ca="1" si="71"/>
        <v>#REF!</v>
      </c>
      <c r="DA55" s="62" t="e">
        <f t="shared" ca="1" si="72"/>
        <v>#REF!</v>
      </c>
      <c r="DB55" s="62" t="e">
        <f t="shared" ca="1" si="73"/>
        <v>#REF!</v>
      </c>
      <c r="DC55" s="62" t="e">
        <f t="shared" ca="1" si="74"/>
        <v>#REF!</v>
      </c>
      <c r="DD55" s="62" t="e">
        <f t="shared" ca="1" si="75"/>
        <v>#REF!</v>
      </c>
      <c r="DE55" s="62" t="e">
        <f t="shared" ca="1" si="76"/>
        <v>#REF!</v>
      </c>
      <c r="DF55" s="62" t="e">
        <f t="shared" ca="1" si="77"/>
        <v>#REF!</v>
      </c>
      <c r="DG55" s="62" t="e">
        <f t="shared" ca="1" si="78"/>
        <v>#REF!</v>
      </c>
      <c r="DH55" s="62" t="e">
        <f t="shared" ca="1" si="79"/>
        <v>#REF!</v>
      </c>
      <c r="DI55" s="62" t="e">
        <f t="shared" ca="1" si="80"/>
        <v>#REF!</v>
      </c>
      <c r="DJ55" s="62" t="e">
        <f t="shared" ca="1" si="81"/>
        <v>#REF!</v>
      </c>
      <c r="DK55" s="62" t="e">
        <f t="shared" ca="1" si="82"/>
        <v>#REF!</v>
      </c>
      <c r="DL55" s="62" t="e">
        <f t="shared" ca="1" si="83"/>
        <v>#REF!</v>
      </c>
      <c r="DM55" s="62" t="e">
        <f t="shared" ca="1" si="84"/>
        <v>#REF!</v>
      </c>
      <c r="DN55" s="62" t="e">
        <f t="shared" ca="1" si="85"/>
        <v>#REF!</v>
      </c>
      <c r="DO55" s="62" t="e">
        <f t="shared" ca="1" si="86"/>
        <v>#REF!</v>
      </c>
      <c r="DP55" s="62" t="e">
        <f t="shared" ca="1" si="87"/>
        <v>#REF!</v>
      </c>
      <c r="DQ55" s="62" t="e">
        <f t="shared" ca="1" si="88"/>
        <v>#REF!</v>
      </c>
      <c r="DR55" s="62" t="e">
        <f t="shared" ca="1" si="89"/>
        <v>#REF!</v>
      </c>
      <c r="DS55" s="62" t="e">
        <f t="shared" ca="1" si="90"/>
        <v>#REF!</v>
      </c>
      <c r="DT55" s="62" t="e">
        <f t="shared" ca="1" si="91"/>
        <v>#REF!</v>
      </c>
      <c r="DU55" s="62" t="e">
        <f t="shared" ca="1" si="92"/>
        <v>#REF!</v>
      </c>
      <c r="DV55" s="62" t="e">
        <f t="shared" ca="1" si="93"/>
        <v>#REF!</v>
      </c>
      <c r="DW55" s="62" t="e">
        <f t="shared" ca="1" si="94"/>
        <v>#REF!</v>
      </c>
      <c r="DX55" s="62" t="e">
        <f t="shared" ca="1" si="95"/>
        <v>#REF!</v>
      </c>
      <c r="DY55" s="62" t="e">
        <f t="shared" ca="1" si="96"/>
        <v>#REF!</v>
      </c>
      <c r="DZ55" s="62" t="e">
        <f t="shared" ca="1" si="97"/>
        <v>#REF!</v>
      </c>
      <c r="EA55" s="63" t="e">
        <f t="shared" ca="1" si="98"/>
        <v>#REF!</v>
      </c>
      <c r="EB55" s="63" t="e">
        <f t="shared" ca="1" si="99"/>
        <v>#REF!</v>
      </c>
      <c r="EC55" s="63" t="e">
        <f t="shared" ca="1" si="100"/>
        <v>#REF!</v>
      </c>
      <c r="ED55" s="63" t="e">
        <f t="shared" ca="1" si="101"/>
        <v>#REF!</v>
      </c>
      <c r="EE55" s="63" t="e">
        <f t="shared" ca="1" si="102"/>
        <v>#REF!</v>
      </c>
      <c r="EF55" s="63" t="e">
        <f t="shared" ca="1" si="103"/>
        <v>#REF!</v>
      </c>
      <c r="EG55" s="63" t="e">
        <f t="shared" ca="1" si="104"/>
        <v>#REF!</v>
      </c>
      <c r="EH55" s="63" t="e">
        <f t="shared" ca="1" si="105"/>
        <v>#REF!</v>
      </c>
      <c r="EI55" s="63" t="e">
        <f t="shared" ca="1" si="106"/>
        <v>#REF!</v>
      </c>
      <c r="EJ55" s="63" t="e">
        <f t="shared" ca="1" si="107"/>
        <v>#REF!</v>
      </c>
      <c r="EK55" s="63" t="e">
        <f t="shared" ca="1" si="108"/>
        <v>#REF!</v>
      </c>
      <c r="EL55" s="63" t="e">
        <f t="shared" ca="1" si="109"/>
        <v>#REF!</v>
      </c>
      <c r="EM55" s="63" t="e">
        <f t="shared" ca="1" si="110"/>
        <v>#REF!</v>
      </c>
      <c r="EN55" s="63" t="e">
        <f t="shared" ca="1" si="111"/>
        <v>#REF!</v>
      </c>
      <c r="EO55" s="63" t="e">
        <f t="shared" ca="1" si="112"/>
        <v>#REF!</v>
      </c>
      <c r="EP55" s="63" t="e">
        <f t="shared" ca="1" si="113"/>
        <v>#REF!</v>
      </c>
      <c r="ET55" t="str">
        <v>2.1</v>
      </c>
      <c r="EU55" s="38" t="e">
        <f t="shared" ca="1" si="114"/>
        <v>#REF!</v>
      </c>
      <c r="EV55" s="38" t="e">
        <f t="shared" ca="1" si="115"/>
        <v>#REF!</v>
      </c>
      <c r="EW55" s="38" t="e">
        <f t="shared" ca="1" si="116"/>
        <v>#REF!</v>
      </c>
      <c r="EX55" s="38" t="e">
        <f t="shared" ca="1" si="117"/>
        <v>#REF!</v>
      </c>
      <c r="EY55" s="38" t="e">
        <f t="shared" ca="1" si="118"/>
        <v>#REF!</v>
      </c>
      <c r="EZ55" s="38" t="e">
        <f t="shared" ca="1" si="119"/>
        <v>#REF!</v>
      </c>
      <c r="FA55" s="38" t="e">
        <f t="shared" ca="1" si="120"/>
        <v>#REF!</v>
      </c>
      <c r="FB55" s="38" t="e">
        <f t="shared" ca="1" si="121"/>
        <v>#REF!</v>
      </c>
      <c r="FC55" s="38" t="e">
        <f t="shared" ca="1" si="122"/>
        <v>#REF!</v>
      </c>
      <c r="FD55" s="38" t="e">
        <f t="shared" ca="1" si="123"/>
        <v>#REF!</v>
      </c>
      <c r="FE55" s="38">
        <f t="shared" ref="FE55:FE70" ca="1" si="133">IFERROR(AVERAGEIF(EU55:FD55,"&lt;&gt;0",EU55:FD55),0)</f>
        <v>0</v>
      </c>
      <c r="FF55" s="38" t="e">
        <f t="shared" ca="1" si="124"/>
        <v>#REF!</v>
      </c>
      <c r="FG55" s="38" t="e">
        <f t="shared" ca="1" si="125"/>
        <v>#REF!</v>
      </c>
      <c r="FH55" s="38" t="e">
        <f t="shared" ca="1" si="126"/>
        <v>#REF!</v>
      </c>
      <c r="FI55" s="38" t="e">
        <f t="shared" ca="1" si="127"/>
        <v>#REF!</v>
      </c>
      <c r="FJ55" s="38" t="e">
        <f t="shared" ca="1" si="128"/>
        <v>#REF!</v>
      </c>
      <c r="FK55" s="38" t="e">
        <f t="shared" ca="1" si="129"/>
        <v>#REF!</v>
      </c>
      <c r="FL55" s="38">
        <f t="shared" ca="1" si="130"/>
        <v>0</v>
      </c>
      <c r="FM55" s="38">
        <v>1</v>
      </c>
      <c r="FN55" s="38">
        <f t="shared" ref="FN55:FN70" si="134">(($C55+$D55)*2)/(($D55+$C55)*3)</f>
        <v>0.66666666666666663</v>
      </c>
      <c r="FO55" s="38">
        <f t="shared" ref="FO55:FO70" si="135">(($C55+$D55))/(($D55+$C55)*3)</f>
        <v>0.33333333333333331</v>
      </c>
    </row>
    <row r="56" spans="1:223">
      <c r="A56" s="64" t="str">
        <f t="shared" si="131"/>
        <v>2.1</v>
      </c>
      <c r="B56" s="64" t="s">
        <v>37</v>
      </c>
      <c r="C56" s="29">
        <v>3</v>
      </c>
      <c r="D56" s="29">
        <v>1</v>
      </c>
      <c r="E56" s="65">
        <f ca="1">IF(AND($D6&lt;&gt;0,_xlfn.XLOOKUP($B6,'TH_MLG GRADE 10'!$B$7:$B$49,'TH_MLG GRADE 10'!C$7:C$49,"",0,1)="P",
   _xlfn.XLOOKUP($B6,'TH_MLG GRADE 10'!$B$7:$B$49,'TH_MLG GRADE 10'!$BK$7:$BK$49,"",0,1)&lt;=TODAY()-MOD(WEEKDAY(TODAY(),2)-5,7)),$D6,0)</f>
        <v>0</v>
      </c>
      <c r="F56" s="65">
        <f ca="1">IF(AND($D6&lt;&gt;0,_xlfn.XLOOKUP($B6,'TH_MLG GRADE 10'!$B$7:$B$49,'TH_MLG GRADE 10'!D$7:D$49,"",0,1)="P",
   _xlfn.XLOOKUP($B6,'TH_MLG GRADE 10'!$B$7:$B$49,'TH_MLG GRADE 10'!$BL$7:$BL$49,"",0,1)&lt;=TODAY()-MOD(WEEKDAY(TODAY(),2)-5,7)),$D6,0)</f>
        <v>0</v>
      </c>
      <c r="G56" s="65">
        <f ca="1">IF(AND($D6&lt;&gt;0,_xlfn.XLOOKUP($B6,'TH_MLG GRADE 10'!$B$7:$B$49,'TH_MLG GRADE 10'!E$7:E$49,"",0,1)="P",
   _xlfn.XLOOKUP($B6,'TH_MLG GRADE 10'!$B$7:$B$49,'TH_MLG GRADE 10'!$BM$7:$BM$49,"",0,1)&lt;=TODAY()-MOD(WEEKDAY(TODAY(),2)-5,7)),$D6,0)</f>
        <v>0</v>
      </c>
      <c r="H56" s="65">
        <f ca="1">IF(AND($D6&lt;&gt;0,_xlfn.XLOOKUP($B6,'TH_MLG GRADE 10'!$B$7:$B$49,'TH_MLG GRADE 10'!I$7:I$49,"",0,1)="P",
   _xlfn.XLOOKUP($B6,'TH_MLG GRADE 10'!$B$7:$B$49,'TH_MLG GRADE 10'!$BK$7:$BK$49,"",0,1)&lt;=TODAY()-MOD(WEEKDAY(TODAY(),2)-5,7)),$D6,0)</f>
        <v>0</v>
      </c>
      <c r="I56" s="65">
        <f ca="1">IF(AND($D6&lt;&gt;0,_xlfn.XLOOKUP($B6,'TH_MLG GRADE 10'!$B$7:$B$49,'TH_MLG GRADE 10'!J$7:J$49,"",0,1)="P",
   _xlfn.XLOOKUP($B6,'TH_MLG GRADE 10'!$B$7:$B$49,'TH_MLG GRADE 10'!$BL$7:$BL$49,"",0,1)&lt;=TODAY()-MOD(WEEKDAY(TODAY(),2)-5,7)),$D6,0)</f>
        <v>0</v>
      </c>
      <c r="J56" s="65">
        <f ca="1">IF(AND($D6&lt;&gt;0,_xlfn.XLOOKUP($B6,'TH_MLG GRADE 10'!$B$7:$B$49,'TH_MLG GRADE 10'!K$7:K$49,"",0,1)="P",
   _xlfn.XLOOKUP($B6,'TH_MLG GRADE 10'!$B$7:$B$49,'TH_MLG GRADE 10'!$BM$7:$BM$49,"",0,1)&lt;=TODAY()-MOD(WEEKDAY(TODAY(),2)-5,7)),$D6,0)</f>
        <v>0</v>
      </c>
      <c r="K56" s="65">
        <f ca="1">IF(AND($D6&lt;&gt;0,_xlfn.XLOOKUP($B6,'TH_MLG GRADE 10'!$B$7:$B$49,'TH_MLG GRADE 10'!O$7:O$49,"",0,1)="P",
   _xlfn.XLOOKUP($B6,'TH_MLG GRADE 10'!$B$7:$B$49,'TH_MLG GRADE 10'!$BK$7:$BK$49,"",0,1)&lt;=TODAY()-MOD(WEEKDAY(TODAY(),2)-5,7)),$D6,0)</f>
        <v>0</v>
      </c>
      <c r="L56" s="65">
        <f ca="1">IF(AND($D6&lt;&gt;0,_xlfn.XLOOKUP($B6,'TH_MLG GRADE 10'!$B$7:$B$49,'TH_MLG GRADE 10'!P$7:P$49,"",0,1)="P",
   _xlfn.XLOOKUP($B6,'TH_MLG GRADE 10'!$B$7:$B$49,'TH_MLG GRADE 10'!$BL$7:$BL$49,"",0,1)&lt;=TODAY()-MOD(WEEKDAY(TODAY(),2)-5,7)),$D6,0)</f>
        <v>0</v>
      </c>
      <c r="M56" s="65">
        <f ca="1">IF(AND($D6&lt;&gt;0,_xlfn.XLOOKUP($B6,'TH_MLG GRADE 10'!$B$7:$B$49,'TH_MLG GRADE 10'!Q$7:Q$49,"",0,1)="P",
   _xlfn.XLOOKUP($B6,'TH_MLG GRADE 10'!$B$7:$B$49,'TH_MLG GRADE 10'!$BM$7:$BM$49,"",0,1)&lt;=TODAY()-MOD(WEEKDAY(TODAY(),2)-5,7)),$D6,0)</f>
        <v>0</v>
      </c>
      <c r="N56" s="65">
        <f ca="1">IF(AND($D6&lt;&gt;0,_xlfn.XLOOKUP($B6,'TH_MLG GRADE 10'!$B$7:$B$49,'TH_MLG GRADE 10'!AA$7:AA$49,"",0,1)="P",
   _xlfn.XLOOKUP($B6,'TH_MLG GRADE 10'!$B$7:$B$49,'TH_MLG GRADE 10'!$BK$7:$BK$49,"",0,1)&lt;=TODAY()-MOD(WEEKDAY(TODAY(),2)-5,7)),$D6,0)</f>
        <v>0</v>
      </c>
      <c r="O56" s="65">
        <f ca="1">IF(AND($D6&lt;&gt;0,_xlfn.XLOOKUP($B6,'TH_MLG GRADE 10'!$B$7:$B$49,'TH_MLG GRADE 10'!AB$7:AB$49,"",0,1)="P",
   _xlfn.XLOOKUP($B6,'TH_MLG GRADE 10'!$B$7:$B$49,'TH_MLG GRADE 10'!$BL$7:$BL$49,"",0,1)&lt;=TODAY()-MOD(WEEKDAY(TODAY(),2)-5,7)),$D6,0)</f>
        <v>0</v>
      </c>
      <c r="P56" s="65">
        <f ca="1">IF(AND($D6&lt;&gt;0,_xlfn.XLOOKUP($B6,'TH_MLG GRADE 10'!$B$7:$B$49,'TH_MLG GRADE 10'!AC$7:AC$49,"",0,1)="P",
   _xlfn.XLOOKUP($B6,'TH_MLG GRADE 10'!$B$7:$B$49,'TH_MLG GRADE 10'!$BM$7:$BM$49,"",0,1)&lt;=TODAY()-MOD(WEEKDAY(TODAY(),2)-5,7)),$D6,0)</f>
        <v>0</v>
      </c>
      <c r="Q56" s="65">
        <f ca="1">IF(AND($D6&lt;&gt;0,_xlfn.XLOOKUP($B6,'TH_MLG GRADE 10'!$B$7:$B$49,'TH_MLG GRADE 10'!AG$7:AG$49,"",0,1)="P",
   _xlfn.XLOOKUP($B6,'TH_MLG GRADE 10'!$B$7:$B$49,'TH_MLG GRADE 10'!$BK$7:$BK$49,"",0,1)&lt;=TODAY()-MOD(WEEKDAY(TODAY(),2)-5,7)),$D6,0)</f>
        <v>0</v>
      </c>
      <c r="R56" s="65">
        <f ca="1">IF(AND($D6&lt;&gt;0,_xlfn.XLOOKUP($B6,'TH_MLG GRADE 10'!$B$7:$B$49,'TH_MLG GRADE 10'!AH$7:AH$49,"",0,1)="P",
   _xlfn.XLOOKUP($B6,'TH_MLG GRADE 10'!$B$7:$B$49,'TH_MLG GRADE 10'!$BL$7:$BL$49,"",0,1)&lt;=TODAY()-MOD(WEEKDAY(TODAY(),2)-5,7)),$D6,0)</f>
        <v>0</v>
      </c>
      <c r="S56" s="65">
        <f ca="1">IF(AND($D6&lt;&gt;0,_xlfn.XLOOKUP($B6,'TH_MLG GRADE 10'!$B$7:$B$49,'TH_MLG GRADE 10'!AI$7:AI$49,"",0,1)="P",
   _xlfn.XLOOKUP($B6,'TH_MLG GRADE 10'!$B$7:$B$49,'TH_MLG GRADE 10'!$BM$7:$BM$49,"",0,1)&lt;=TODAY()-MOD(WEEKDAY(TODAY(),2)-5,7)),$D6,0)</f>
        <v>0</v>
      </c>
      <c r="T56" s="65">
        <f ca="1">IF(AND($D6&lt;&gt;0,_xlfn.XLOOKUP($B6,'TH_MLG GRADE 10'!$B$7:$B$49,'TH_MLG GRADE 10'!AM$7:AM$49,"",0,1)="P",
   _xlfn.XLOOKUP($B6,'TH_MLG GRADE 10'!$B$7:$B$49,'TH_MLG GRADE 10'!$BK$7:$BK$49,"",0,1)&lt;=TODAY()-MOD(WEEKDAY(TODAY(),2)-5,7)),$D6,0)</f>
        <v>1</v>
      </c>
      <c r="U56" s="65">
        <f ca="1">IF(AND($D6&lt;&gt;0,_xlfn.XLOOKUP($B6,'TH_MLG GRADE 10'!$B$7:$B$49,'TH_MLG GRADE 10'!AN$7:AN$49,"",0,1)="P",
   _xlfn.XLOOKUP($B6,'TH_MLG GRADE 10'!$B$7:$B$49,'TH_MLG GRADE 10'!$BL$7:$BL$49,"",0,1)&lt;=TODAY()-MOD(WEEKDAY(TODAY(),2)-5,7)),$D6,0)</f>
        <v>1</v>
      </c>
      <c r="V56" s="65">
        <f ca="1">IF(AND($D6&lt;&gt;0,_xlfn.XLOOKUP($B6,'TH_MLG GRADE 10'!$B$7:$B$49,'TH_MLG GRADE 10'!AO$7:AO$49,"",0,1)="P",
   _xlfn.XLOOKUP($B6,'TH_MLG GRADE 10'!$B$7:$B$49,'TH_MLG GRADE 10'!$BM$7:$BM$49,"",0,1)&lt;=TODAY()-MOD(WEEKDAY(TODAY(),2)-5,7)),$D6,0)</f>
        <v>1</v>
      </c>
      <c r="W56" s="65">
        <f ca="1">IF(AND($D6&lt;&gt;0,_xlfn.XLOOKUP($B6,'TH_MLG GRADE 10'!$B$7:$B$49,'TH_MLG GRADE 10'!AY$7:AY$49,"",0,1)="P",
   _xlfn.XLOOKUP($B6,'TH_MLG GRADE 10'!$B$7:$B$49,'TH_MLG GRADE 10'!$BK$7:$BK$49,"",0,1)&lt;=TODAY()-MOD(WEEKDAY(TODAY(),2)-5,7)),$D6,0)</f>
        <v>1</v>
      </c>
      <c r="X56" s="65">
        <f ca="1">IF(AND($D6&lt;&gt;0,_xlfn.XLOOKUP($B6,'TH_MLG GRADE 10'!$B$7:$B$49,'TH_MLG GRADE 10'!AZ$7:AZ$49,"",0,1)="P",
   _xlfn.XLOOKUP($B6,'TH_MLG GRADE 10'!$B$7:$B$49,'TH_MLG GRADE 10'!$BL$7:$BL$49,"",0,1)&lt;=TODAY()-MOD(WEEKDAY(TODAY(),2)-5,7)),$D6,0)</f>
        <v>1</v>
      </c>
      <c r="Y56" s="65">
        <f ca="1">IF(AND($D6&lt;&gt;0,_xlfn.XLOOKUP($B6,'TH_MLG GRADE 10'!$B$7:$B$49,'TH_MLG GRADE 10'!BA$7:BA$49,"",0,1)="P",
   _xlfn.XLOOKUP($B6,'TH_MLG GRADE 10'!$B$7:$B$49,'TH_MLG GRADE 10'!$BM$7:$BM$49,"",0,1)&lt;=TODAY()-MOD(WEEKDAY(TODAY(),2)-5,7)),$D6,0)</f>
        <v>0</v>
      </c>
      <c r="Z56" s="65">
        <f ca="1">IF(AND($D6&lt;&gt;0,_xlfn.XLOOKUP($B6,'TH_MLG GRADE 10'!$B$7:$B$49,'TH_MLG GRADE 10'!BE$7:BE$49,"",0,1)="P",
   _xlfn.XLOOKUP($B6,'TH_MLG GRADE 10'!$B$7:$B$49,'TH_MLG GRADE 10'!$BK$7:$BK$49,"",0,1)&lt;=TODAY()-MOD(WEEKDAY(TODAY(),2)-5,7)),$D6,0)</f>
        <v>0</v>
      </c>
      <c r="AA56" s="65">
        <f ca="1">IF(AND($D6&lt;&gt;0,_xlfn.XLOOKUP($B6,'TH_MLG GRADE 10'!$B$7:$B$49,'TH_MLG GRADE 10'!BF$7:BF$49,"",0,1)="P",
   _xlfn.XLOOKUP($B6,'TH_MLG GRADE 10'!$B$7:$B$49,'TH_MLG GRADE 10'!$BL$7:$BL$49,"",0,1)&lt;=TODAY()-MOD(WEEKDAY(TODAY(),2)-5,7)),$D6,0)</f>
        <v>0</v>
      </c>
      <c r="AB56" s="65">
        <f ca="1">IF(AND($D6&lt;&gt;0,_xlfn.XLOOKUP($B6,'TH_MLG GRADE 10'!$B$7:$B$49,'TH_MLG GRADE 10'!BG$7:BG$49,"",0,1)="P",
   _xlfn.XLOOKUP($B6,'TH_MLG GRADE 10'!$B$7:$B$49,'TH_MLG GRADE 10'!$BM$7:$BM$49,"",0,1)&lt;=TODAY()-MOD(WEEKDAY(TODAY(),2)-5,7)),$D6,0)</f>
        <v>0</v>
      </c>
      <c r="AC56" s="65" t="e">
        <f ca="1">IF(AND($D6&lt;&gt;0,_xlfn.XLOOKUP($B6,'TH_MLG GRADE 10'!$B$7:$B$49,'TH_MLG GRADE 10'!#REF!,"",0,1)="P",
   _xlfn.XLOOKUP($B6,'TH_MLG GRADE 10'!$B$7:$B$49,'TH_MLG GRADE 10'!$BK$7:$BK$49,"",0,1)&lt;=TODAY()-MOD(WEEKDAY(TODAY(),2)-5,7)),$D6,0)</f>
        <v>#REF!</v>
      </c>
      <c r="AD56" s="65" t="e">
        <f ca="1">IF(AND($D6&lt;&gt;0,_xlfn.XLOOKUP($B6,'TH_MLG GRADE 10'!$B$7:$B$49,'TH_MLG GRADE 10'!#REF!,"",0,1)="P",
   _xlfn.XLOOKUP($B6,'TH_MLG GRADE 10'!$B$7:$B$49,'TH_MLG GRADE 10'!$BL$7:$BL$49,"",0,1)&lt;=TODAY()-MOD(WEEKDAY(TODAY(),2)-5,7)),$D6,0)</f>
        <v>#REF!</v>
      </c>
      <c r="AE56" s="65" t="e">
        <f ca="1">IF(AND($D6&lt;&gt;0,_xlfn.XLOOKUP($B6,'TH_MLG GRADE 10'!$B$7:$B$49,'TH_MLG GRADE 10'!#REF!,"",0,1)="P",
   _xlfn.XLOOKUP($B6,'TH_MLG GRADE 10'!$B$7:$B$49,'TH_MLG GRADE 10'!$BM$7:$BM$49,"",0,1)&lt;=TODAY()-MOD(WEEKDAY(TODAY(),2)-5,7)),$D6,0)</f>
        <v>#REF!</v>
      </c>
      <c r="AF56" s="65" t="e">
        <f ca="1">IF(AND($D6&lt;&gt;0,_xlfn.XLOOKUP($B6,'TH_MLG GRADE 10'!$B$7:$B$49,'TH_MLG GRADE 10'!#REF!,"",0,1)="P",
   _xlfn.XLOOKUP($B6,'TH_MLG GRADE 10'!$B$7:$B$49,'TH_MLG GRADE 10'!$BK$7:$BK$49,"",0,1)&lt;=TODAY()-MOD(WEEKDAY(TODAY(),2)-5,7)),$D6,0)</f>
        <v>#REF!</v>
      </c>
      <c r="AG56" s="65" t="e">
        <f ca="1">IF(AND($D6&lt;&gt;0,_xlfn.XLOOKUP($B6,'TH_MLG GRADE 10'!$B$7:$B$49,'TH_MLG GRADE 10'!#REF!,"",0,1)="P",
   _xlfn.XLOOKUP($B6,'TH_MLG GRADE 10'!$B$7:$B$49,'TH_MLG GRADE 10'!$BL$7:$BL$49,"",0,1)&lt;=TODAY()-MOD(WEEKDAY(TODAY(),2)-5,7)),$D6,0)</f>
        <v>#REF!</v>
      </c>
      <c r="AH56" s="65" t="e">
        <f ca="1">IF(AND($D6&lt;&gt;0,_xlfn.XLOOKUP($B6,'TH_MLG GRADE 10'!$B$7:$B$49,'TH_MLG GRADE 10'!#REF!,"",0,1)="P",
   _xlfn.XLOOKUP($B6,'TH_MLG GRADE 10'!$B$7:$B$49,'TH_MLG GRADE 10'!$BM$7:$BM$49,"",0,1)&lt;=TODAY()-MOD(WEEKDAY(TODAY(),2)-5,7)),$D6,0)</f>
        <v>#REF!</v>
      </c>
      <c r="AI56" s="67">
        <f ca="1">IF(AND($D6&lt;&gt;0,_xlfn.XLOOKUP($B6,'TH_CMI GRADE 10'!$B$7:$B$49,'TH_CMI GRADE 10'!C$7:C$49,"",0,1)="P",
   _xlfn.XLOOKUP($B6,'TH_CMI GRADE 10'!$B$7:$B$49,'TH_CMI GRADE 10'!$AS$7:$AS$49,"",0,1)&lt;=TODAY()-MOD(WEEKDAY(TODAY(),2)-5,7)),$D6,0)</f>
        <v>0</v>
      </c>
      <c r="AJ56" s="67">
        <f ca="1">IF(AND($D6&lt;&gt;0,_xlfn.XLOOKUP($B6,'TH_CMI GRADE 10'!$B$7:$B$49,'TH_CMI GRADE 10'!D$7:D$49,"",0,1)="P",
   _xlfn.XLOOKUP($B6,'TH_CMI GRADE 10'!$B$7:$B$49,'TH_CMI GRADE 10'!$AT$7:$AT$49,"",0,1)&lt;=TODAY()-MOD(WEEKDAY(TODAY(),2)-5,7)),$D6,0)</f>
        <v>0</v>
      </c>
      <c r="AK56" s="67" t="e">
        <f ca="1">IF(AND($D6&lt;&gt;0,_xlfn.XLOOKUP($B6,'TH_CMI GRADE 10'!$B$7:$B$49,'TH_CMI GRADE 10'!H$7:H$49,"",0,1)="P",
   _xlfn.XLOOKUP($B6,'TH_CMI GRADE 10'!$B$7:$B$49,'TH_CMI GRADE 10'!#REF!,"",0,1)&lt;=TODAY()-MOD(WEEKDAY(TODAY(),2)-5,7)),$D6,0)</f>
        <v>#REF!</v>
      </c>
      <c r="AL56" s="67">
        <f ca="1">IF(AND($D6&lt;&gt;0,_xlfn.XLOOKUP($B6,'TH_CMI GRADE 10'!$B$7:$B$49,'TH_CMI GRADE 10'!I$7:I$49,"",0,1)="P",
   _xlfn.XLOOKUP($B6,'TH_CMI GRADE 10'!$B$7:$B$49,'TH_CMI GRADE 10'!$AS$7:$AS$49,"",0,1)&lt;=TODAY()-MOD(WEEKDAY(TODAY(),2)-5,7)),$D6,0)</f>
        <v>0</v>
      </c>
      <c r="AM56" s="67">
        <f ca="1">IF(AND($D6&lt;&gt;0,_xlfn.XLOOKUP($B6,'TH_CMI GRADE 10'!$B$7:$B$49,'TH_CMI GRADE 10'!J$7:J$49,"",0,1)="P",
   _xlfn.XLOOKUP($B6,'TH_CMI GRADE 10'!$B$7:$B$49,'TH_CMI GRADE 10'!$AT$7:$AT$49,"",0,1)&lt;=TODAY()-MOD(WEEKDAY(TODAY(),2)-5,7)),$D6,0)</f>
        <v>0</v>
      </c>
      <c r="AN56" s="67" t="e">
        <f ca="1">IF(AND($D6&lt;&gt;0,_xlfn.XLOOKUP($B6,'TH_CMI GRADE 10'!$B$7:$B$49,'TH_CMI GRADE 10'!K$7:K$49,"",0,1)="P",
   _xlfn.XLOOKUP($B6,'TH_CMI GRADE 10'!$B$7:$B$49,'TH_CMI GRADE 10'!#REF!,"",0,1)&lt;=TODAY()-MOD(WEEKDAY(TODAY(),2)-5,7)),$D6,0)</f>
        <v>#REF!</v>
      </c>
      <c r="AO56" s="67">
        <f ca="1">IF(AND($D6&lt;&gt;0,_xlfn.XLOOKUP($B6,'TH_CMI GRADE 10'!$B$7:$B$49,'TH_CMI GRADE 10'!O$7:O$49,"",0,1)="P",
   _xlfn.XLOOKUP($B6,'TH_CMI GRADE 10'!$B$7:$B$49,'TH_CMI GRADE 10'!$AS$7:$AS$49,"",0,1)&lt;=TODAY()-MOD(WEEKDAY(TODAY(),2)-5,7)),$D6,0)</f>
        <v>0</v>
      </c>
      <c r="AP56" s="67">
        <f ca="1">IF(AND($D6&lt;&gt;0,_xlfn.XLOOKUP($B6,'TH_CMI GRADE 10'!$B$7:$B$49,'TH_CMI GRADE 10'!P$7:P$49,"",0,1)="P",
   _xlfn.XLOOKUP($B6,'TH_CMI GRADE 10'!$B$7:$B$49,'TH_CMI GRADE 10'!$AT$7:$AT$49,"",0,1)&lt;=TODAY()-MOD(WEEKDAY(TODAY(),2)-5,7)),$D6,0)</f>
        <v>0</v>
      </c>
      <c r="AQ56" s="67" t="e">
        <f ca="1">IF(AND($D6&lt;&gt;0,_xlfn.XLOOKUP($B6,'TH_CMI GRADE 10'!$B$7:$B$49,'TH_CMI GRADE 10'!Q$7:Q$49,"",0,1)="P",
   _xlfn.XLOOKUP($B6,'TH_CMI GRADE 10'!$B$7:$B$49,'TH_CMI GRADE 10'!#REF!,"",0,1)&lt;=TODAY()-MOD(WEEKDAY(TODAY(),2)-5,7)),$D6,0)</f>
        <v>#REF!</v>
      </c>
      <c r="AR56" s="67">
        <f ca="1">IF(AND($D6&lt;&gt;0,_xlfn.XLOOKUP($B6,'TH_CMI GRADE 10'!$B$7:$B$49,'TH_CMI GRADE 10'!U$7:U$49,"",0,1)="P",
   _xlfn.XLOOKUP($B6,'TH_CMI GRADE 10'!$B$7:$B$49,'TH_CMI GRADE 10'!$AS$7:$AS$49,"",0,1)&lt;=TODAY()-MOD(WEEKDAY(TODAY(),2)-5,7)),$D6,0)</f>
        <v>0</v>
      </c>
      <c r="AS56" s="67">
        <f ca="1">IF(AND($D6&lt;&gt;0,_xlfn.XLOOKUP($B6,'TH_CMI GRADE 10'!$B$7:$B$49,'TH_CMI GRADE 10'!V$7:V$49,"",0,1)="P",
   _xlfn.XLOOKUP($B6,'TH_CMI GRADE 10'!$B$7:$B$49,'TH_CMI GRADE 10'!$AT$7:$AT$49,"",0,1)&lt;=TODAY()-MOD(WEEKDAY(TODAY(),2)-5,7)),$D6,0)</f>
        <v>0</v>
      </c>
      <c r="AT56" s="67" t="e">
        <f ca="1">IF(AND($D6&lt;&gt;0,_xlfn.XLOOKUP($B6,'TH_CMI GRADE 10'!$B$7:$B$49,'TH_CMI GRADE 10'!W$7:W$49,"",0,1)="P",
   _xlfn.XLOOKUP($B6,'TH_CMI GRADE 10'!$B$7:$B$49,'TH_CMI GRADE 10'!#REF!,"",0,1)&lt;=TODAY()-MOD(WEEKDAY(TODAY(),2)-5,7)),$D6,0)</f>
        <v>#REF!</v>
      </c>
      <c r="AU56" s="67">
        <f ca="1">IF(AND($D6&lt;&gt;0,_xlfn.XLOOKUP($B6,'TH_CMI GRADE 10'!$B$7:$B$49,'TH_CMI GRADE 10'!AA$7:AA$49,"",0,1)="P",
   _xlfn.XLOOKUP($B6,'TH_CMI GRADE 10'!$B$7:$B$49,'TH_CMI GRADE 10'!$AS$7:$AS$49,"",0,1)&lt;=TODAY()-MOD(WEEKDAY(TODAY(),2)-5,7)),$D6,0)</f>
        <v>1</v>
      </c>
      <c r="AV56" s="67">
        <f ca="1">IF(AND($D6&lt;&gt;0,_xlfn.XLOOKUP($B6,'TH_CMI GRADE 10'!$B$7:$B$49,'TH_CMI GRADE 10'!AB$7:AB$49,"",0,1)="P",
   _xlfn.XLOOKUP($B6,'TH_CMI GRADE 10'!$B$7:$B$49,'TH_CMI GRADE 10'!$AT$7:$AT$49,"",0,1)&lt;=TODAY()-MOD(WEEKDAY(TODAY(),2)-5,7)),$D6,0)</f>
        <v>1</v>
      </c>
      <c r="AW56" s="67" t="e">
        <f ca="1">IF(AND($D6&lt;&gt;0,_xlfn.XLOOKUP($B6,'TH_CMI GRADE 10'!$B$7:$B$49,'TH_CMI GRADE 10'!AC$7:AC$49,"",0,1)="P",
   _xlfn.XLOOKUP($B6,'TH_CMI GRADE 10'!$B$7:$B$49,'TH_CMI GRADE 10'!#REF!,"",0,1)&lt;=TODAY()-MOD(WEEKDAY(TODAY(),2)-5,7)),$D6,0)</f>
        <v>#REF!</v>
      </c>
      <c r="AX56" s="67">
        <f ca="1">IF(AND($D6&lt;&gt;0,_xlfn.XLOOKUP($B6,'TH_CMI GRADE 10'!$B$7:$B$49,'TH_CMI GRADE 10'!AG$7:AG$49,"",0,1)="P",
   _xlfn.XLOOKUP($B6,'TH_CMI GRADE 10'!$B$7:$B$49,'TH_CMI GRADE 10'!$AS$7:$AS$49,"",0,1)&lt;=TODAY()-MOD(WEEKDAY(TODAY(),2)-5,7)),$D6,0)</f>
        <v>1</v>
      </c>
      <c r="AY56" s="67">
        <f ca="1">IF(AND($D6&lt;&gt;0,_xlfn.XLOOKUP($B6,'TH_CMI GRADE 10'!$B$7:$B$49,'TH_CMI GRADE 10'!AH$7:AH$49,"",0,1)="P",
   _xlfn.XLOOKUP($B6,'TH_CMI GRADE 10'!$B$7:$B$49,'TH_CMI GRADE 10'!$AT$7:$AT$49,"",0,1)&lt;=TODAY()-MOD(WEEKDAY(TODAY(),2)-5,7)),$D6,0)</f>
        <v>1</v>
      </c>
      <c r="AZ56" s="67" t="e">
        <f ca="1">IF(AND($D6&lt;&gt;0,_xlfn.XLOOKUP($B6,'TH_CMI GRADE 10'!$B$7:$B$49,'TH_CMI GRADE 10'!AI$7:AI$49,"",0,1)="P",
   _xlfn.XLOOKUP($B6,'TH_CMI GRADE 10'!$B$7:$B$49,'TH_CMI GRADE 10'!#REF!,"",0,1)&lt;=TODAY()-MOD(WEEKDAY(TODAY(),2)-5,7)),$D6,0)</f>
        <v>#REF!</v>
      </c>
      <c r="BA56" s="65" t="e">
        <f ca="1">IF(AND($D6&lt;&gt;0,_xlfn.XLOOKUP($B6,'PW_MLG GRADE 10'!$B$7:$B$31,'PW_MLG GRADE 10'!R$7:R$31,"",0,1)="P",
   _xlfn.XLOOKUP($B6,'PW_MLG GRADE 10'!$B$7:$B$31,'PW_MLG GRADE 10'!#REF!,"",0,1)&lt;=TODAY()-MOD(WEEKDAY(TODAY(),2)-5,7)),$D6,0)</f>
        <v>#REF!</v>
      </c>
      <c r="BB56" s="65" t="e">
        <f ca="1">IF(AND($D6&lt;&gt;0,_xlfn.XLOOKUP($B6,'PW_MLG GRADE 10'!$B$7:$B$31,'PW_MLG GRADE 10'!S$7:S$31,"",0,1)="P",
   _xlfn.XLOOKUP($B6,'PW_MLG GRADE 10'!$B$7:$B$31,'PW_MLG GRADE 10'!#REF!,"",0,1)&lt;=TODAY()-MOD(WEEKDAY(TODAY(),2)-5,7)),$D6,0)</f>
        <v>#REF!</v>
      </c>
      <c r="BC56" s="65" t="e">
        <f ca="1">IF(AND($D6&lt;&gt;0,_xlfn.XLOOKUP($B6,'PW_MLG GRADE 10'!$B$7:$B$31,'PW_MLG GRADE 10'!T$7:T$31,"",0,1)="P",
   _xlfn.XLOOKUP($B6,'PW_MLG GRADE 10'!$B$7:$B$31,'PW_MLG GRADE 10'!#REF!,"",0,1)&lt;=TODAY()-MOD(WEEKDAY(TODAY(),2)-5,7)),$D6,0)</f>
        <v>#REF!</v>
      </c>
      <c r="BD56" s="65" t="e">
        <f ca="1">IF(AND($D6&lt;&gt;0,_xlfn.XLOOKUP($B6,'PW_MLG GRADE 10'!$B$7:$B$31,'PW_MLG GRADE 10'!AA$7:AA$31,"",0,1)="P",
   _xlfn.XLOOKUP($B6,'PW_MLG GRADE 10'!$B$7:$B$31,'PW_MLG GRADE 10'!#REF!,"",0,1)&lt;=TODAY()-MOD(WEEKDAY(TODAY(),2)-5,7)),$D6,0)</f>
        <v>#REF!</v>
      </c>
      <c r="BE56" s="65" t="e">
        <f ca="1">IF(AND($D6&lt;&gt;0,_xlfn.XLOOKUP($B6,'PW_MLG GRADE 10'!$B$7:$B$31,'PW_MLG GRADE 10'!AB$7:AB$31,"",0,1)="P",
   _xlfn.XLOOKUP($B6,'PW_MLG GRADE 10'!$B$7:$B$31,'PW_MLG GRADE 10'!#REF!,"",0,1)&lt;=TODAY()-MOD(WEEKDAY(TODAY(),2)-5,7)),$D6,0)</f>
        <v>#REF!</v>
      </c>
      <c r="BF56" s="65" t="e">
        <f ca="1">IF(AND($D6&lt;&gt;0,_xlfn.XLOOKUP($B6,'PW_MLG GRADE 10'!$B$7:$B$31,'PW_MLG GRADE 10'!AC$7:AC$31,"",0,1)="P",
   _xlfn.XLOOKUP($B6,'PW_MLG GRADE 10'!$B$7:$B$31,'PW_MLG GRADE 10'!#REF!,"",0,1)&lt;=TODAY()-MOD(WEEKDAY(TODAY(),2)-5,7)),$D6,0)</f>
        <v>#REF!</v>
      </c>
      <c r="BG56" s="65" t="e">
        <f ca="1">IF(AND($D6&lt;&gt;0,_xlfn.XLOOKUP($B6,'PW_MLG GRADE 10'!$B$7:$B$31,'PW_MLG GRADE 10'!AD$7:AD$31,"",0,1)="P",
   _xlfn.XLOOKUP($B6,'PW_MLG GRADE 10'!$B$7:$B$31,'PW_MLG GRADE 10'!#REF!,"",0,1)&lt;=TODAY()-MOD(WEEKDAY(TODAY(),2)-5,7)),$D6,0)</f>
        <v>#REF!</v>
      </c>
      <c r="BH56" s="65" t="e">
        <f ca="1">IF(AND($D6&lt;&gt;0,_xlfn.XLOOKUP($B6,'PW_MLG GRADE 10'!$B$7:$B$31,'PW_MLG GRADE 10'!AE$7:AE$31,"",0,1)="P",
   _xlfn.XLOOKUP($B6,'PW_MLG GRADE 10'!$B$7:$B$31,'PW_MLG GRADE 10'!#REF!,"",0,1)&lt;=TODAY()-MOD(WEEKDAY(TODAY(),2)-5,7)),$D6,0)</f>
        <v>#REF!</v>
      </c>
      <c r="BI56" s="65" t="e">
        <f ca="1">IF(AND($D6&lt;&gt;0,_xlfn.XLOOKUP($B6,'PW_MLG GRADE 10'!$B$7:$B$31,'PW_MLG GRADE 10'!AF$7:AF$31,"",0,1)="P",
   _xlfn.XLOOKUP($B6,'PW_MLG GRADE 10'!$B$7:$B$31,'PW_MLG GRADE 10'!#REF!,"",0,1)&lt;=TODAY()-MOD(WEEKDAY(TODAY(),2)-5,7)),$D6,0)</f>
        <v>#REF!</v>
      </c>
      <c r="BJ56" s="65" t="e">
        <f ca="1">IF(AND($D6&lt;&gt;0,_xlfn.XLOOKUP($B6,'PW_MLG GRADE 10'!$B$7:$B$31,'PW_MLG GRADE 10'!AG$7:AG$31,"",0,1)="P",
   _xlfn.XLOOKUP($B6,'PW_MLG GRADE 10'!$B$7:$B$31,'PW_MLG GRADE 10'!#REF!,"",0,1)&lt;=TODAY()-MOD(WEEKDAY(TODAY(),2)-5,7)),$D6,0)</f>
        <v>#REF!</v>
      </c>
      <c r="BK56" s="65" t="e">
        <f ca="1">IF(AND($D6&lt;&gt;0,_xlfn.XLOOKUP($B6,'PW_MLG GRADE 10'!$B$7:$B$31,'PW_MLG GRADE 10'!AH$7:AH$31,"",0,1)="P",
   _xlfn.XLOOKUP($B6,'PW_MLG GRADE 10'!$B$7:$B$31,'PW_MLG GRADE 10'!#REF!,"",0,1)&lt;=TODAY()-MOD(WEEKDAY(TODAY(),2)-5,7)),$D6,0)</f>
        <v>#REF!</v>
      </c>
      <c r="BL56" s="65" t="e">
        <f ca="1">IF(AND($D6&lt;&gt;0,_xlfn.XLOOKUP($B6,'PW_MLG GRADE 10'!$B$7:$B$31,'PW_MLG GRADE 10'!AI$7:AI$31,"",0,1)="P",
   _xlfn.XLOOKUP($B6,'PW_MLG GRADE 10'!$B$7:$B$31,'PW_MLG GRADE 10'!#REF!,"",0,1)&lt;=TODAY()-MOD(WEEKDAY(TODAY(),2)-5,7)),$D6,0)</f>
        <v>#REF!</v>
      </c>
      <c r="BM56" s="65" t="e">
        <f ca="1">IF(AND($D6&lt;&gt;0,_xlfn.XLOOKUP($B6,'PW_MLG GRADE 10'!$B$7:$B$31,'PW_MLG GRADE 10'!AJ$7:AJ$31,"",0,1)="P",
   _xlfn.XLOOKUP($B6,'PW_MLG GRADE 10'!$B$7:$B$31,'PW_MLG GRADE 10'!#REF!,"",0,1)&lt;=TODAY()-MOD(WEEKDAY(TODAY(),2)-5,7)),$D6,0)</f>
        <v>#REF!</v>
      </c>
      <c r="BN56" s="65" t="e">
        <f ca="1">IF(AND($D6&lt;&gt;0,_xlfn.XLOOKUP($B6,'PW_MLG GRADE 10'!$B$7:$B$31,'PW_MLG GRADE 10'!AK$7:AK$31,"",0,1)="P",
   _xlfn.XLOOKUP($B6,'PW_MLG GRADE 10'!$B$7:$B$31,'PW_MLG GRADE 10'!#REF!,"",0,1)&lt;=TODAY()-MOD(WEEKDAY(TODAY(),2)-5,7)),$D6,0)</f>
        <v>#REF!</v>
      </c>
      <c r="BO56" s="65" t="e">
        <f ca="1">IF(AND($D6&lt;&gt;0,_xlfn.XLOOKUP($B6,'PW_MLG GRADE 10'!$B$7:$B$31,'PW_MLG GRADE 10'!AL$7:AL$31,"",0,1)="P",
   _xlfn.XLOOKUP($B6,'PW_MLG GRADE 10'!$B$7:$B$31,'PW_MLG GRADE 10'!#REF!,"",0,1)&lt;=TODAY()-MOD(WEEKDAY(TODAY(),2)-5,7)),$D6,0)</f>
        <v>#REF!</v>
      </c>
      <c r="BP56" s="65" t="e">
        <f ca="1">IF(AND($D6&lt;&gt;0,_xlfn.XLOOKUP($B6,'PW_MLG GRADE 10'!$B$7:$B$31,'PW_MLG GRADE 10'!AM$7:AM$31,"",0,1)="P",
   _xlfn.XLOOKUP($B6,'PW_MLG GRADE 10'!$B$7:$B$31,'PW_MLG GRADE 10'!#REF!,"",0,1)&lt;=TODAY()-MOD(WEEKDAY(TODAY(),2)-5,7)),$D6,0)</f>
        <v>#REF!</v>
      </c>
      <c r="BQ56" s="65" t="e">
        <f ca="1">IF(AND($D6&lt;&gt;0,_xlfn.XLOOKUP($B6,'PW_MLG GRADE 10'!$B$7:$B$31,'PW_MLG GRADE 10'!AN$7:AN$31,"",0,1)="P",
   _xlfn.XLOOKUP($B6,'PW_MLG GRADE 10'!$B$7:$B$31,'PW_MLG GRADE 10'!#REF!,"",0,1)&lt;=TODAY()-MOD(WEEKDAY(TODAY(),2)-5,7)),$D6,0)</f>
        <v>#REF!</v>
      </c>
      <c r="BR56" s="65" t="e">
        <f ca="1">IF(AND($D6&lt;&gt;0,_xlfn.XLOOKUP($B6,'PW_MLG GRADE 10'!$B$7:$B$31,'PW_MLG GRADE 10'!AO$7:AO$31,"",0,1)="P",
   _xlfn.XLOOKUP($B6,'PW_MLG GRADE 10'!$B$7:$B$31,'PW_MLG GRADE 10'!#REF!,"",0,1)&lt;=TODAY()-MOD(WEEKDAY(TODAY(),2)-5,7)),$D6,0)</f>
        <v>#REF!</v>
      </c>
      <c r="BS56" s="65" t="e">
        <f ca="1">IF(AND($D6&lt;&gt;0,_xlfn.XLOOKUP($B6,'PW_MLG GRADE 10'!$B$7:$B$31,'PW_MLG GRADE 10'!AP$7:AP$31,"",0,1)="P",
   _xlfn.XLOOKUP($B6,'PW_MLG GRADE 10'!$B$7:$B$31,'PW_MLG GRADE 10'!#REF!,"",0,1)&lt;=TODAY()-MOD(WEEKDAY(TODAY(),2)-5,7)),$D6,0)</f>
        <v>#REF!</v>
      </c>
      <c r="BT56" s="65" t="e">
        <f ca="1">IF(AND($D6&lt;&gt;0,_xlfn.XLOOKUP($B6,'PW_MLG GRADE 10'!$B$7:$B$31,'PW_MLG GRADE 10'!AQ$7:AQ$31,"",0,1)="P",
   _xlfn.XLOOKUP($B6,'PW_MLG GRADE 10'!$B$7:$B$31,'PW_MLG GRADE 10'!#REF!,"",0,1)&lt;=TODAY()-MOD(WEEKDAY(TODAY(),2)-5,7)),$D6,0)</f>
        <v>#REF!</v>
      </c>
      <c r="BU56" s="65" t="e">
        <f ca="1">IF(AND($D6&lt;&gt;0,_xlfn.XLOOKUP($B6,'PW_MLG GRADE 10'!$B$7:$B$31,'PW_MLG GRADE 10'!AR$7:AR$31,"",0,1)="P",
   _xlfn.XLOOKUP($B6,'PW_MLG GRADE 10'!$B$7:$B$31,'PW_MLG GRADE 10'!#REF!,"",0,1)&lt;=TODAY()-MOD(WEEKDAY(TODAY(),2)-5,7)),$D6,0)</f>
        <v>#REF!</v>
      </c>
      <c r="BV56" s="65" t="e">
        <f ca="1">IF(AND($D6&lt;&gt;0,_xlfn.XLOOKUP($B6,'PW_MLG GRADE 10'!$B$7:$B$31,'PW_MLG GRADE 10'!AY$7:AY$31,"",0,1)="P",
   _xlfn.XLOOKUP($B6,'PW_MLG GRADE 10'!$B$7:$B$31,'PW_MLG GRADE 10'!#REF!,"",0,1)&lt;=TODAY()-MOD(WEEKDAY(TODAY(),2)-5,7)),$D6,0)</f>
        <v>#REF!</v>
      </c>
      <c r="BW56" s="65" t="e">
        <f ca="1">IF(AND($D6&lt;&gt;0,_xlfn.XLOOKUP($B6,'PW_MLG GRADE 10'!$B$7:$B$31,'PW_MLG GRADE 10'!AZ$7:AZ$31,"",0,1)="P",
   _xlfn.XLOOKUP($B6,'PW_MLG GRADE 10'!$B$7:$B$31,'PW_MLG GRADE 10'!#REF!,"",0,1)&lt;=TODAY()-MOD(WEEKDAY(TODAY(),2)-5,7)),$D6,0)</f>
        <v>#REF!</v>
      </c>
      <c r="BX56" s="65" t="e">
        <f ca="1">IF(AND($D6&lt;&gt;0,_xlfn.XLOOKUP($B6,'PW_MLG GRADE 10'!$B$7:$B$31,'PW_MLG GRADE 10'!BA$7:BA$31,"",0,1)="P",
   _xlfn.XLOOKUP($B6,'PW_MLG GRADE 10'!$B$7:$B$31,'PW_MLG GRADE 10'!#REF!,"",0,1)&lt;=TODAY()-MOD(WEEKDAY(TODAY(),2)-5,7)),$D6,0)</f>
        <v>#REF!</v>
      </c>
      <c r="BY56" s="65" t="e">
        <f ca="1">IF(AND($D6&lt;&gt;0,_xlfn.XLOOKUP($B6,'PW_MLG GRADE 10'!$B$7:$B$31,'PW_MLG GRADE 10'!BB$7:BB$31,"",0,1)="P",
   _xlfn.XLOOKUP($B6,'PW_MLG GRADE 10'!$B$7:$B$31,'PW_MLG GRADE 10'!#REF!,"",0,1)&lt;=TODAY()-MOD(WEEKDAY(TODAY(),2)-5,7)),$D6,0)</f>
        <v>#REF!</v>
      </c>
      <c r="BZ56" s="65" t="e">
        <f ca="1">IF(AND($D6&lt;&gt;0,_xlfn.XLOOKUP($B6,'PW_MLG GRADE 10'!$B$7:$B$31,'PW_MLG GRADE 10'!BC$7:BC$31,"",0,1)="P",
   _xlfn.XLOOKUP($B6,'PW_MLG GRADE 10'!$B$7:$B$31,'PW_MLG GRADE 10'!#REF!,"",0,1)&lt;=TODAY()-MOD(WEEKDAY(TODAY(),2)-5,7)),$D6,0)</f>
        <v>#REF!</v>
      </c>
      <c r="CA56" s="65" t="e">
        <f ca="1">IF(AND($D6&lt;&gt;0,_xlfn.XLOOKUP($B6,'PW_MLG GRADE 10'!$B$7:$B$31,'PW_MLG GRADE 10'!BD$7:BD$31,"",0,1)="P",
   _xlfn.XLOOKUP($B6,'PW_MLG GRADE 10'!$B$7:$B$31,'PW_MLG GRADE 10'!#REF!,"",0,1)&lt;=TODAY()-MOD(WEEKDAY(TODAY(),2)-5,7)),$D6,0)</f>
        <v>#REF!</v>
      </c>
      <c r="CB56" s="65" t="e">
        <f ca="1">IF(AND($D6&lt;&gt;0,_xlfn.XLOOKUP($B6,'PW_MLG GRADE 10'!$B$7:$B$31,'PW_MLG GRADE 10'!BE$7:BE$31,"",0,1)="P",
   _xlfn.XLOOKUP($B6,'PW_MLG GRADE 10'!$B$7:$B$31,'PW_MLG GRADE 10'!#REF!,"",0,1)&lt;=TODAY()-MOD(WEEKDAY(TODAY(),2)-5,7)),$D6,0)</f>
        <v>#REF!</v>
      </c>
      <c r="CC56" s="65" t="e">
        <f ca="1">IF(AND($D6&lt;&gt;0,_xlfn.XLOOKUP($B6,'PW_MLG GRADE 10'!$B$7:$B$31,'PW_MLG GRADE 10'!BF$7:BF$31,"",0,1)="P",
   _xlfn.XLOOKUP($B6,'PW_MLG GRADE 10'!$B$7:$B$31,'PW_MLG GRADE 10'!#REF!,"",0,1)&lt;=TODAY()-MOD(WEEKDAY(TODAY(),2)-5,7)),$D6,0)</f>
        <v>#REF!</v>
      </c>
      <c r="CD56" s="65" t="e">
        <f ca="1">IF(AND($D6&lt;&gt;0,_xlfn.XLOOKUP($B6,'PW_MLG GRADE 10'!$B$7:$B$31,'PW_MLG GRADE 10'!BG$7:BG$31,"",0,1)="P",
   _xlfn.XLOOKUP($B6,'PW_MLG GRADE 10'!$B$7:$B$31,'PW_MLG GRADE 10'!#REF!,"",0,1)&lt;=TODAY()-MOD(WEEKDAY(TODAY(),2)-5,7)),$D6,0)</f>
        <v>#REF!</v>
      </c>
      <c r="CE56" s="67">
        <f ca="1">IF(AND($D6&lt;&gt;0,_xlfn.XLOOKUP($B6,'PW_CMI GRADE 10'!$B$7:$B$31,'PW_CMI GRADE 10'!AY$7:AY$31,"",0,1)="P",
   _xlfn.XLOOKUP($B6,'PW_CMI GRADE 10'!$B$7:$B$31,'PW_CMI GRADE 10'!$U$7:$U$31,"",0,1)&lt;=TODAY()-MOD(WEEKDAY(TODAY(),2)-5,7)),$D6,0)</f>
        <v>0</v>
      </c>
      <c r="CF56" s="67">
        <f ca="1">IF(AND($D6&lt;&gt;0,_xlfn.XLOOKUP($B6,'PW_CMI GRADE 10'!$B$7:$B$31,'PW_CMI GRADE 10'!AZ$7:AZ$31,"",0,1)="P",
   _xlfn.XLOOKUP($B6,'PW_CMI GRADE 10'!$B$7:$B$31,'PW_CMI GRADE 10'!$V$7:$V$31,"",0,1)&lt;=TODAY()-MOD(WEEKDAY(TODAY(),2)-5,7)),$D6,0)</f>
        <v>0</v>
      </c>
      <c r="CG56" s="67">
        <f ca="1">IF(AND($D6&lt;&gt;0,_xlfn.XLOOKUP($B6,'PW_CMI GRADE 10'!$B$7:$B$31,'PW_CMI GRADE 10'!BA$7:BA$31,"",0,1)="P",
   _xlfn.XLOOKUP($B6,'PW_CMI GRADE 10'!$B$7:$B$31,'PW_CMI GRADE 10'!$W$7:$W$31,"",0,1)&lt;=TODAY()-MOD(WEEKDAY(TODAY(),2)-5,7)),$D6,0)</f>
        <v>0</v>
      </c>
      <c r="CH56" s="67">
        <f ca="1">IF(AND($D6&lt;&gt;0,_xlfn.XLOOKUP($B6,'PW_CMI GRADE 10'!$B$7:$B$31,'PW_CMI GRADE 10'!BB$7:BB$31,"",0,1)="P",
   _xlfn.XLOOKUP($B6,'PW_CMI GRADE 10'!$B$7:$B$31,'PW_CMI GRADE 10'!$U$7:$U$31,"",0,1)&lt;=TODAY()-MOD(WEEKDAY(TODAY(),2)-5,7)),$D6,0)</f>
        <v>0</v>
      </c>
      <c r="CI56" s="67">
        <f ca="1">IF(AND($D6&lt;&gt;0,_xlfn.XLOOKUP($B6,'PW_CMI GRADE 10'!$B$7:$B$31,'PW_CMI GRADE 10'!BC$7:BC$31,"",0,1)="P",
   _xlfn.XLOOKUP($B6,'PW_CMI GRADE 10'!$B$7:$B$31,'PW_CMI GRADE 10'!$V$7:$V$31,"",0,1)&lt;=TODAY()-MOD(WEEKDAY(TODAY(),2)-5,7)),$D6,0)</f>
        <v>0</v>
      </c>
      <c r="CJ56" s="67">
        <f ca="1">IF(AND($D6&lt;&gt;0,_xlfn.XLOOKUP($B6,'PW_CMI GRADE 10'!$B$7:$B$31,'PW_CMI GRADE 10'!BD$7:BD$31,"",0,1)="P",
   _xlfn.XLOOKUP($B6,'PW_CMI GRADE 10'!$B$7:$B$31,'PW_CMI GRADE 10'!$W$7:$W$31,"",0,1)&lt;=TODAY()-MOD(WEEKDAY(TODAY(),2)-5,7)),$D6,0)</f>
        <v>0</v>
      </c>
      <c r="CK56" s="67">
        <f ca="1">IF(AND($D6&lt;&gt;0,_xlfn.XLOOKUP($B6,'PW_CMI GRADE 10'!$B$7:$B$31,'PW_CMI GRADE 10'!BE$7:BE$31,"",0,1)="P",
   _xlfn.XLOOKUP($B6,'PW_CMI GRADE 10'!$B$7:$B$31,'PW_CMI GRADE 10'!$U$7:$U$31,"",0,1)&lt;=TODAY()-MOD(WEEKDAY(TODAY(),2)-5,7)),$D6,0)</f>
        <v>0</v>
      </c>
      <c r="CL56" s="67">
        <f ca="1">IF(AND($D6&lt;&gt;0,_xlfn.XLOOKUP($B6,'PW_CMI GRADE 10'!$B$7:$B$31,'PW_CMI GRADE 10'!BF$7:BF$31,"",0,1)="P",
   _xlfn.XLOOKUP($B6,'PW_CMI GRADE 10'!$B$7:$B$31,'PW_CMI GRADE 10'!$V$7:$V$31,"",0,1)&lt;=TODAY()-MOD(WEEKDAY(TODAY(),2)-5,7)),$D6,0)</f>
        <v>0</v>
      </c>
      <c r="CM56" s="67">
        <f ca="1">IF(AND($D6&lt;&gt;0,_xlfn.XLOOKUP($B6,'PW_CMI GRADE 10'!$B$7:$B$31,'PW_CMI GRADE 10'!BG$7:BG$31,"",0,1)="P",
   _xlfn.XLOOKUP($B6,'PW_CMI GRADE 10'!$B$7:$B$31,'PW_CMI GRADE 10'!$W$7:$W$31,"",0,1)&lt;=TODAY()-MOD(WEEKDAY(TODAY(),2)-5,7)),$D6,0)</f>
        <v>0</v>
      </c>
      <c r="CN56" s="67">
        <f ca="1">IF(AND($D6&lt;&gt;0,_xlfn.XLOOKUP($B6,'PW_CMI GRADE 10'!$B$7:$B$31,'PW_CMI GRADE 10'!BH$7:BH$31,"",0,1)="P",
   _xlfn.XLOOKUP($B6,'PW_CMI GRADE 10'!$B$7:$B$31,'PW_CMI GRADE 10'!$U$7:$U$31,"",0,1)&lt;=TODAY()-MOD(WEEKDAY(TODAY(),2)-5,7)),$D6,0)</f>
        <v>0</v>
      </c>
      <c r="CO56" s="67">
        <f ca="1">IF(AND($D6&lt;&gt;0,_xlfn.XLOOKUP($B6,'PW_CMI GRADE 10'!$B$7:$B$31,'PW_CMI GRADE 10'!BI$7:BI$31,"",0,1)="P",
   _xlfn.XLOOKUP($B6,'PW_CMI GRADE 10'!$B$7:$B$31,'PW_CMI GRADE 10'!$V$7:$V$31,"",0,1)&lt;=TODAY()-MOD(WEEKDAY(TODAY(),2)-5,7)),$D6,0)</f>
        <v>0</v>
      </c>
      <c r="CP56" s="67">
        <f ca="1">IF(AND($D6&lt;&gt;0,_xlfn.XLOOKUP($B6,'PW_CMI GRADE 10'!$B$7:$B$31,'PW_CMI GRADE 10'!BJ$7:BJ$31,"",0,1)="P",
   _xlfn.XLOOKUP($B6,'PW_CMI GRADE 10'!$B$7:$B$31,'PW_CMI GRADE 10'!$W$7:$W$31,"",0,1)&lt;=TODAY()-MOD(WEEKDAY(TODAY(),2)-5,7)),$D6,0)</f>
        <v>0</v>
      </c>
      <c r="CQ56" s="67">
        <f ca="1">IF(AND($D6&lt;&gt;0,_xlfn.XLOOKUP($B6,'PW_CMI GRADE 10'!$B$7:$B$31,'PW_CMI GRADE 10'!BK$7:BK$31,"",0,1)="P",
   _xlfn.XLOOKUP($B6,'PW_CMI GRADE 10'!$B$7:$B$31,'PW_CMI GRADE 10'!$U$7:$U$31,"",0,1)&lt;=TODAY()-MOD(WEEKDAY(TODAY(),2)-5,7)),$D6,0)</f>
        <v>0</v>
      </c>
      <c r="CR56" s="67">
        <f ca="1">IF(AND($D6&lt;&gt;0,_xlfn.XLOOKUP($B6,'PW_CMI GRADE 10'!$B$7:$B$31,'PW_CMI GRADE 10'!BL$7:BL$31,"",0,1)="P",
   _xlfn.XLOOKUP($B6,'PW_CMI GRADE 10'!$B$7:$B$31,'PW_CMI GRADE 10'!$V$7:$V$31,"",0,1)&lt;=TODAY()-MOD(WEEKDAY(TODAY(),2)-5,7)),$D6,0)</f>
        <v>0</v>
      </c>
      <c r="CS56" s="67">
        <f ca="1">IF(AND($D6&lt;&gt;0,_xlfn.XLOOKUP($B6,'PW_CMI GRADE 10'!$B$7:$B$31,'PW_CMI GRADE 10'!BM$7:BM$31,"",0,1)="P",
   _xlfn.XLOOKUP($B6,'PW_CMI GRADE 10'!$B$7:$B$31,'PW_CMI GRADE 10'!$W$7:$W$31,"",0,1)&lt;=TODAY()-MOD(WEEKDAY(TODAY(),2)-5,7)),$D6,0)</f>
        <v>0</v>
      </c>
      <c r="CT56" s="67">
        <f ca="1">IF(AND($D6&lt;&gt;0,_xlfn.XLOOKUP($B6,'PW_CMI GRADE 10'!$B$7:$B$31,'PW_CMI GRADE 10'!BN$7:BN$31,"",0,1)="P",
   _xlfn.XLOOKUP($B6,'PW_CMI GRADE 10'!$B$7:$B$31,'PW_CMI GRADE 10'!$U$7:$U$31,"",0,1)&lt;=TODAY()-MOD(WEEKDAY(TODAY(),2)-5,7)),$D6,0)</f>
        <v>0</v>
      </c>
      <c r="CU56" s="67">
        <f ca="1">IF(AND($D6&lt;&gt;0,_xlfn.XLOOKUP($B6,'PW_CMI GRADE 10'!$B$7:$B$31,'PW_CMI GRADE 10'!BO$7:BO$31,"",0,1)="P",
   _xlfn.XLOOKUP($B6,'PW_CMI GRADE 10'!$B$7:$B$31,'PW_CMI GRADE 10'!$V$7:$V$31,"",0,1)&lt;=TODAY()-MOD(WEEKDAY(TODAY(),2)-5,7)),$D6,0)</f>
        <v>0</v>
      </c>
      <c r="CV56" s="67">
        <f ca="1">IF(AND($D6&lt;&gt;0,_xlfn.XLOOKUP($B6,'PW_CMI GRADE 10'!$B$7:$B$31,'PW_CMI GRADE 10'!BP$7:BP$31,"",0,1)="P",
   _xlfn.XLOOKUP($B6,'PW_CMI GRADE 10'!$B$7:$B$31,'PW_CMI GRADE 10'!$W$7:$W$31,"",0,1)&lt;=TODAY()-MOD(WEEKDAY(TODAY(),2)-5,7)),$D6,0)</f>
        <v>0</v>
      </c>
      <c r="CW56" s="62" t="e">
        <f t="shared" ca="1" si="132"/>
        <v>#REF!</v>
      </c>
      <c r="CX56" s="62" t="e">
        <f t="shared" ca="1" si="69"/>
        <v>#REF!</v>
      </c>
      <c r="CY56" s="62" t="e">
        <f t="shared" ca="1" si="70"/>
        <v>#REF!</v>
      </c>
      <c r="CZ56" s="62" t="e">
        <f t="shared" ca="1" si="71"/>
        <v>#REF!</v>
      </c>
      <c r="DA56" s="62" t="e">
        <f t="shared" ca="1" si="72"/>
        <v>#REF!</v>
      </c>
      <c r="DB56" s="62" t="e">
        <f t="shared" ca="1" si="73"/>
        <v>#REF!</v>
      </c>
      <c r="DC56" s="62" t="e">
        <f t="shared" ca="1" si="74"/>
        <v>#REF!</v>
      </c>
      <c r="DD56" s="62" t="e">
        <f t="shared" ca="1" si="75"/>
        <v>#REF!</v>
      </c>
      <c r="DE56" s="62" t="e">
        <f t="shared" ca="1" si="76"/>
        <v>#REF!</v>
      </c>
      <c r="DF56" s="62" t="e">
        <f t="shared" ca="1" si="77"/>
        <v>#REF!</v>
      </c>
      <c r="DG56" s="62" t="e">
        <f t="shared" ca="1" si="78"/>
        <v>#REF!</v>
      </c>
      <c r="DH56" s="62" t="e">
        <f t="shared" ca="1" si="79"/>
        <v>#REF!</v>
      </c>
      <c r="DI56" s="62" t="e">
        <f t="shared" ca="1" si="80"/>
        <v>#REF!</v>
      </c>
      <c r="DJ56" s="62" t="e">
        <f t="shared" ca="1" si="81"/>
        <v>#REF!</v>
      </c>
      <c r="DK56" s="62" t="e">
        <f t="shared" ca="1" si="82"/>
        <v>#REF!</v>
      </c>
      <c r="DL56" s="62" t="e">
        <f t="shared" ca="1" si="83"/>
        <v>#REF!</v>
      </c>
      <c r="DM56" s="62" t="e">
        <f t="shared" ca="1" si="84"/>
        <v>#REF!</v>
      </c>
      <c r="DN56" s="62" t="e">
        <f t="shared" ca="1" si="85"/>
        <v>#REF!</v>
      </c>
      <c r="DO56" s="62" t="e">
        <f t="shared" ca="1" si="86"/>
        <v>#REF!</v>
      </c>
      <c r="DP56" s="62" t="e">
        <f t="shared" ca="1" si="87"/>
        <v>#REF!</v>
      </c>
      <c r="DQ56" s="62" t="e">
        <f t="shared" ca="1" si="88"/>
        <v>#REF!</v>
      </c>
      <c r="DR56" s="62" t="e">
        <f t="shared" ca="1" si="89"/>
        <v>#REF!</v>
      </c>
      <c r="DS56" s="62" t="e">
        <f t="shared" ca="1" si="90"/>
        <v>#REF!</v>
      </c>
      <c r="DT56" s="62" t="e">
        <f t="shared" ca="1" si="91"/>
        <v>#REF!</v>
      </c>
      <c r="DU56" s="62" t="e">
        <f t="shared" ca="1" si="92"/>
        <v>#REF!</v>
      </c>
      <c r="DV56" s="62" t="e">
        <f t="shared" ca="1" si="93"/>
        <v>#REF!</v>
      </c>
      <c r="DW56" s="62" t="e">
        <f t="shared" ca="1" si="94"/>
        <v>#REF!</v>
      </c>
      <c r="DX56" s="62" t="e">
        <f t="shared" ca="1" si="95"/>
        <v>#REF!</v>
      </c>
      <c r="DY56" s="62" t="e">
        <f t="shared" ca="1" si="96"/>
        <v>#REF!</v>
      </c>
      <c r="DZ56" s="62" t="e">
        <f t="shared" ca="1" si="97"/>
        <v>#REF!</v>
      </c>
      <c r="EA56" s="63" t="e">
        <f t="shared" ca="1" si="98"/>
        <v>#REF!</v>
      </c>
      <c r="EB56" s="63" t="e">
        <f t="shared" ca="1" si="99"/>
        <v>#REF!</v>
      </c>
      <c r="EC56" s="63" t="e">
        <f t="shared" ca="1" si="100"/>
        <v>#REF!</v>
      </c>
      <c r="ED56" s="63" t="e">
        <f t="shared" ca="1" si="101"/>
        <v>#REF!</v>
      </c>
      <c r="EE56" s="63" t="e">
        <f t="shared" ca="1" si="102"/>
        <v>#REF!</v>
      </c>
      <c r="EF56" s="63" t="e">
        <f t="shared" ca="1" si="103"/>
        <v>#REF!</v>
      </c>
      <c r="EG56" s="63" t="e">
        <f t="shared" ca="1" si="104"/>
        <v>#REF!</v>
      </c>
      <c r="EH56" s="63" t="e">
        <f t="shared" ca="1" si="105"/>
        <v>#REF!</v>
      </c>
      <c r="EI56" s="63" t="e">
        <f t="shared" ca="1" si="106"/>
        <v>#REF!</v>
      </c>
      <c r="EJ56" s="63" t="e">
        <f t="shared" ca="1" si="107"/>
        <v>#REF!</v>
      </c>
      <c r="EK56" s="63" t="e">
        <f t="shared" ca="1" si="108"/>
        <v>#REF!</v>
      </c>
      <c r="EL56" s="63" t="e">
        <f t="shared" ca="1" si="109"/>
        <v>#REF!</v>
      </c>
      <c r="EM56" s="63" t="e">
        <f t="shared" ca="1" si="110"/>
        <v>#REF!</v>
      </c>
      <c r="EN56" s="63" t="e">
        <f t="shared" ca="1" si="111"/>
        <v>#REF!</v>
      </c>
      <c r="EO56" s="63" t="e">
        <f t="shared" ca="1" si="112"/>
        <v>#REF!</v>
      </c>
      <c r="EP56" s="63" t="e">
        <f t="shared" ca="1" si="113"/>
        <v>#REF!</v>
      </c>
      <c r="ET56" t="str">
        <v>2.2</v>
      </c>
      <c r="EU56" s="38" t="e">
        <f t="shared" ca="1" si="114"/>
        <v>#REF!</v>
      </c>
      <c r="EV56" s="38" t="e">
        <f t="shared" ca="1" si="115"/>
        <v>#REF!</v>
      </c>
      <c r="EW56" s="38" t="e">
        <f t="shared" ca="1" si="116"/>
        <v>#REF!</v>
      </c>
      <c r="EX56" s="38" t="e">
        <f t="shared" ca="1" si="117"/>
        <v>#REF!</v>
      </c>
      <c r="EY56" s="38" t="e">
        <f t="shared" ca="1" si="118"/>
        <v>#REF!</v>
      </c>
      <c r="EZ56" s="38" t="e">
        <f t="shared" ca="1" si="119"/>
        <v>#REF!</v>
      </c>
      <c r="FA56" s="38" t="e">
        <f t="shared" ca="1" si="120"/>
        <v>#REF!</v>
      </c>
      <c r="FB56" s="38" t="e">
        <f t="shared" ca="1" si="121"/>
        <v>#REF!</v>
      </c>
      <c r="FC56" s="38" t="e">
        <f t="shared" ca="1" si="122"/>
        <v>#REF!</v>
      </c>
      <c r="FD56" s="38" t="e">
        <f t="shared" ca="1" si="123"/>
        <v>#REF!</v>
      </c>
      <c r="FE56" s="38">
        <f t="shared" ca="1" si="133"/>
        <v>0</v>
      </c>
      <c r="FF56" s="38" t="e">
        <f t="shared" ca="1" si="124"/>
        <v>#REF!</v>
      </c>
      <c r="FG56" s="38" t="e">
        <f t="shared" ca="1" si="125"/>
        <v>#REF!</v>
      </c>
      <c r="FH56" s="38" t="e">
        <f t="shared" ca="1" si="126"/>
        <v>#REF!</v>
      </c>
      <c r="FI56" s="38" t="e">
        <f t="shared" ca="1" si="127"/>
        <v>#REF!</v>
      </c>
      <c r="FJ56" s="38" t="e">
        <f t="shared" ca="1" si="128"/>
        <v>#REF!</v>
      </c>
      <c r="FK56" s="38" t="e">
        <f t="shared" ca="1" si="129"/>
        <v>#REF!</v>
      </c>
      <c r="FL56" s="38">
        <f t="shared" ca="1" si="130"/>
        <v>0</v>
      </c>
      <c r="FM56" s="38">
        <v>1</v>
      </c>
      <c r="FN56" s="38">
        <f t="shared" si="134"/>
        <v>0.66666666666666663</v>
      </c>
      <c r="FO56" s="38">
        <f t="shared" si="135"/>
        <v>0.33333333333333331</v>
      </c>
    </row>
    <row r="57" spans="1:223">
      <c r="A57" s="64" t="str">
        <f t="shared" si="131"/>
        <v>2.1</v>
      </c>
      <c r="B57" s="64" t="s">
        <v>38</v>
      </c>
      <c r="C57" s="29">
        <v>0</v>
      </c>
      <c r="D57" s="29">
        <v>1</v>
      </c>
      <c r="E57" s="65">
        <f ca="1">IF(AND($D7&lt;&gt;0,_xlfn.XLOOKUP($B7,'TH_MLG GRADE 10'!$B$7:$B$49,'TH_MLG GRADE 10'!C$7:C$49,"",0,1)="P",
   _xlfn.XLOOKUP($B7,'TH_MLG GRADE 10'!$B$7:$B$49,'TH_MLG GRADE 10'!$BK$7:$BK$49,"",0,1)&lt;=TODAY()-MOD(WEEKDAY(TODAY(),2)-5,7)),$D7,0)</f>
        <v>0</v>
      </c>
      <c r="F57" s="65">
        <f ca="1">IF(AND($D7&lt;&gt;0,_xlfn.XLOOKUP($B7,'TH_MLG GRADE 10'!$B$7:$B$49,'TH_MLG GRADE 10'!D$7:D$49,"",0,1)="P",
   _xlfn.XLOOKUP($B7,'TH_MLG GRADE 10'!$B$7:$B$49,'TH_MLG GRADE 10'!$BL$7:$BL$49,"",0,1)&lt;=TODAY()-MOD(WEEKDAY(TODAY(),2)-5,7)),$D7,0)</f>
        <v>0</v>
      </c>
      <c r="G57" s="65">
        <f ca="1">IF(AND($D7&lt;&gt;0,_xlfn.XLOOKUP($B7,'TH_MLG GRADE 10'!$B$7:$B$49,'TH_MLG GRADE 10'!E$7:E$49,"",0,1)="P",
   _xlfn.XLOOKUP($B7,'TH_MLG GRADE 10'!$B$7:$B$49,'TH_MLG GRADE 10'!$BM$7:$BM$49,"",0,1)&lt;=TODAY()-MOD(WEEKDAY(TODAY(),2)-5,7)),$D7,0)</f>
        <v>0</v>
      </c>
      <c r="H57" s="65">
        <f ca="1">IF(AND($D7&lt;&gt;0,_xlfn.XLOOKUP($B7,'TH_MLG GRADE 10'!$B$7:$B$49,'TH_MLG GRADE 10'!I$7:I$49,"",0,1)="P",
   _xlfn.XLOOKUP($B7,'TH_MLG GRADE 10'!$B$7:$B$49,'TH_MLG GRADE 10'!$BK$7:$BK$49,"",0,1)&lt;=TODAY()-MOD(WEEKDAY(TODAY(),2)-5,7)),$D7,0)</f>
        <v>0</v>
      </c>
      <c r="I57" s="65">
        <f ca="1">IF(AND($D7&lt;&gt;0,_xlfn.XLOOKUP($B7,'TH_MLG GRADE 10'!$B$7:$B$49,'TH_MLG GRADE 10'!J$7:J$49,"",0,1)="P",
   _xlfn.XLOOKUP($B7,'TH_MLG GRADE 10'!$B$7:$B$49,'TH_MLG GRADE 10'!$BL$7:$BL$49,"",0,1)&lt;=TODAY()-MOD(WEEKDAY(TODAY(),2)-5,7)),$D7,0)</f>
        <v>0</v>
      </c>
      <c r="J57" s="65">
        <f ca="1">IF(AND($D7&lt;&gt;0,_xlfn.XLOOKUP($B7,'TH_MLG GRADE 10'!$B$7:$B$49,'TH_MLG GRADE 10'!K$7:K$49,"",0,1)="P",
   _xlfn.XLOOKUP($B7,'TH_MLG GRADE 10'!$B$7:$B$49,'TH_MLG GRADE 10'!$BM$7:$BM$49,"",0,1)&lt;=TODAY()-MOD(WEEKDAY(TODAY(),2)-5,7)),$D7,0)</f>
        <v>0</v>
      </c>
      <c r="K57" s="65">
        <f ca="1">IF(AND($D7&lt;&gt;0,_xlfn.XLOOKUP($B7,'TH_MLG GRADE 10'!$B$7:$B$49,'TH_MLG GRADE 10'!O$7:O$49,"",0,1)="P",
   _xlfn.XLOOKUP($B7,'TH_MLG GRADE 10'!$B$7:$B$49,'TH_MLG GRADE 10'!$BK$7:$BK$49,"",0,1)&lt;=TODAY()-MOD(WEEKDAY(TODAY(),2)-5,7)),$D7,0)</f>
        <v>0</v>
      </c>
      <c r="L57" s="65">
        <f ca="1">IF(AND($D7&lt;&gt;0,_xlfn.XLOOKUP($B7,'TH_MLG GRADE 10'!$B$7:$B$49,'TH_MLG GRADE 10'!P$7:P$49,"",0,1)="P",
   _xlfn.XLOOKUP($B7,'TH_MLG GRADE 10'!$B$7:$B$49,'TH_MLG GRADE 10'!$BL$7:$BL$49,"",0,1)&lt;=TODAY()-MOD(WEEKDAY(TODAY(),2)-5,7)),$D7,0)</f>
        <v>0</v>
      </c>
      <c r="M57" s="65">
        <f ca="1">IF(AND($D7&lt;&gt;0,_xlfn.XLOOKUP($B7,'TH_MLG GRADE 10'!$B$7:$B$49,'TH_MLG GRADE 10'!Q$7:Q$49,"",0,1)="P",
   _xlfn.XLOOKUP($B7,'TH_MLG GRADE 10'!$B$7:$B$49,'TH_MLG GRADE 10'!$BM$7:$BM$49,"",0,1)&lt;=TODAY()-MOD(WEEKDAY(TODAY(),2)-5,7)),$D7,0)</f>
        <v>0</v>
      </c>
      <c r="N57" s="65">
        <f ca="1">IF(AND($D7&lt;&gt;0,_xlfn.XLOOKUP($B7,'TH_MLG GRADE 10'!$B$7:$B$49,'TH_MLG GRADE 10'!AA$7:AA$49,"",0,1)="P",
   _xlfn.XLOOKUP($B7,'TH_MLG GRADE 10'!$B$7:$B$49,'TH_MLG GRADE 10'!$BK$7:$BK$49,"",0,1)&lt;=TODAY()-MOD(WEEKDAY(TODAY(),2)-5,7)),$D7,0)</f>
        <v>0</v>
      </c>
      <c r="O57" s="65">
        <f ca="1">IF(AND($D7&lt;&gt;0,_xlfn.XLOOKUP($B7,'TH_MLG GRADE 10'!$B$7:$B$49,'TH_MLG GRADE 10'!AB$7:AB$49,"",0,1)="P",
   _xlfn.XLOOKUP($B7,'TH_MLG GRADE 10'!$B$7:$B$49,'TH_MLG GRADE 10'!$BL$7:$BL$49,"",0,1)&lt;=TODAY()-MOD(WEEKDAY(TODAY(),2)-5,7)),$D7,0)</f>
        <v>0</v>
      </c>
      <c r="P57" s="65">
        <f ca="1">IF(AND($D7&lt;&gt;0,_xlfn.XLOOKUP($B7,'TH_MLG GRADE 10'!$B$7:$B$49,'TH_MLG GRADE 10'!AC$7:AC$49,"",0,1)="P",
   _xlfn.XLOOKUP($B7,'TH_MLG GRADE 10'!$B$7:$B$49,'TH_MLG GRADE 10'!$BM$7:$BM$49,"",0,1)&lt;=TODAY()-MOD(WEEKDAY(TODAY(),2)-5,7)),$D7,0)</f>
        <v>0</v>
      </c>
      <c r="Q57" s="65">
        <f ca="1">IF(AND($D7&lt;&gt;0,_xlfn.XLOOKUP($B7,'TH_MLG GRADE 10'!$B$7:$B$49,'TH_MLG GRADE 10'!AG$7:AG$49,"",0,1)="P",
   _xlfn.XLOOKUP($B7,'TH_MLG GRADE 10'!$B$7:$B$49,'TH_MLG GRADE 10'!$BK$7:$BK$49,"",0,1)&lt;=TODAY()-MOD(WEEKDAY(TODAY(),2)-5,7)),$D7,0)</f>
        <v>0</v>
      </c>
      <c r="R57" s="65">
        <f ca="1">IF(AND($D7&lt;&gt;0,_xlfn.XLOOKUP($B7,'TH_MLG GRADE 10'!$B$7:$B$49,'TH_MLG GRADE 10'!AH$7:AH$49,"",0,1)="P",
   _xlfn.XLOOKUP($B7,'TH_MLG GRADE 10'!$B$7:$B$49,'TH_MLG GRADE 10'!$BL$7:$BL$49,"",0,1)&lt;=TODAY()-MOD(WEEKDAY(TODAY(),2)-5,7)),$D7,0)</f>
        <v>0</v>
      </c>
      <c r="S57" s="65">
        <f ca="1">IF(AND($D7&lt;&gt;0,_xlfn.XLOOKUP($B7,'TH_MLG GRADE 10'!$B$7:$B$49,'TH_MLG GRADE 10'!AI$7:AI$49,"",0,1)="P",
   _xlfn.XLOOKUP($B7,'TH_MLG GRADE 10'!$B$7:$B$49,'TH_MLG GRADE 10'!$BM$7:$BM$49,"",0,1)&lt;=TODAY()-MOD(WEEKDAY(TODAY(),2)-5,7)),$D7,0)</f>
        <v>0</v>
      </c>
      <c r="T57" s="65">
        <f ca="1">IF(AND($D7&lt;&gt;0,_xlfn.XLOOKUP($B7,'TH_MLG GRADE 10'!$B$7:$B$49,'TH_MLG GRADE 10'!AM$7:AM$49,"",0,1)="P",
   _xlfn.XLOOKUP($B7,'TH_MLG GRADE 10'!$B$7:$B$49,'TH_MLG GRADE 10'!$BK$7:$BK$49,"",0,1)&lt;=TODAY()-MOD(WEEKDAY(TODAY(),2)-5,7)),$D7,0)</f>
        <v>1</v>
      </c>
      <c r="U57" s="65">
        <f ca="1">IF(AND($D7&lt;&gt;0,_xlfn.XLOOKUP($B7,'TH_MLG GRADE 10'!$B$7:$B$49,'TH_MLG GRADE 10'!AN$7:AN$49,"",0,1)="P",
   _xlfn.XLOOKUP($B7,'TH_MLG GRADE 10'!$B$7:$B$49,'TH_MLG GRADE 10'!$BL$7:$BL$49,"",0,1)&lt;=TODAY()-MOD(WEEKDAY(TODAY(),2)-5,7)),$D7,0)</f>
        <v>1</v>
      </c>
      <c r="V57" s="65">
        <f ca="1">IF(AND($D7&lt;&gt;0,_xlfn.XLOOKUP($B7,'TH_MLG GRADE 10'!$B$7:$B$49,'TH_MLG GRADE 10'!AO$7:AO$49,"",0,1)="P",
   _xlfn.XLOOKUP($B7,'TH_MLG GRADE 10'!$B$7:$B$49,'TH_MLG GRADE 10'!$BM$7:$BM$49,"",0,1)&lt;=TODAY()-MOD(WEEKDAY(TODAY(),2)-5,7)),$D7,0)</f>
        <v>1</v>
      </c>
      <c r="W57" s="65">
        <f ca="1">IF(AND($D7&lt;&gt;0,_xlfn.XLOOKUP($B7,'TH_MLG GRADE 10'!$B$7:$B$49,'TH_MLG GRADE 10'!AY$7:AY$49,"",0,1)="P",
   _xlfn.XLOOKUP($B7,'TH_MLG GRADE 10'!$B$7:$B$49,'TH_MLG GRADE 10'!$BK$7:$BK$49,"",0,1)&lt;=TODAY()-MOD(WEEKDAY(TODAY(),2)-5,7)),$D7,0)</f>
        <v>1</v>
      </c>
      <c r="X57" s="65">
        <f ca="1">IF(AND($D7&lt;&gt;0,_xlfn.XLOOKUP($B7,'TH_MLG GRADE 10'!$B$7:$B$49,'TH_MLG GRADE 10'!AZ$7:AZ$49,"",0,1)="P",
   _xlfn.XLOOKUP($B7,'TH_MLG GRADE 10'!$B$7:$B$49,'TH_MLG GRADE 10'!$BL$7:$BL$49,"",0,1)&lt;=TODAY()-MOD(WEEKDAY(TODAY(),2)-5,7)),$D7,0)</f>
        <v>1</v>
      </c>
      <c r="Y57" s="65">
        <f ca="1">IF(AND($D7&lt;&gt;0,_xlfn.XLOOKUP($B7,'TH_MLG GRADE 10'!$B$7:$B$49,'TH_MLG GRADE 10'!BA$7:BA$49,"",0,1)="P",
   _xlfn.XLOOKUP($B7,'TH_MLG GRADE 10'!$B$7:$B$49,'TH_MLG GRADE 10'!$BM$7:$BM$49,"",0,1)&lt;=TODAY()-MOD(WEEKDAY(TODAY(),2)-5,7)),$D7,0)</f>
        <v>0</v>
      </c>
      <c r="Z57" s="65">
        <f ca="1">IF(AND($D7&lt;&gt;0,_xlfn.XLOOKUP($B7,'TH_MLG GRADE 10'!$B$7:$B$49,'TH_MLG GRADE 10'!BE$7:BE$49,"",0,1)="P",
   _xlfn.XLOOKUP($B7,'TH_MLG GRADE 10'!$B$7:$B$49,'TH_MLG GRADE 10'!$BK$7:$BK$49,"",0,1)&lt;=TODAY()-MOD(WEEKDAY(TODAY(),2)-5,7)),$D7,0)</f>
        <v>0</v>
      </c>
      <c r="AA57" s="65">
        <f ca="1">IF(AND($D7&lt;&gt;0,_xlfn.XLOOKUP($B7,'TH_MLG GRADE 10'!$B$7:$B$49,'TH_MLG GRADE 10'!BF$7:BF$49,"",0,1)="P",
   _xlfn.XLOOKUP($B7,'TH_MLG GRADE 10'!$B$7:$B$49,'TH_MLG GRADE 10'!$BL$7:$BL$49,"",0,1)&lt;=TODAY()-MOD(WEEKDAY(TODAY(),2)-5,7)),$D7,0)</f>
        <v>0</v>
      </c>
      <c r="AB57" s="65">
        <f ca="1">IF(AND($D7&lt;&gt;0,_xlfn.XLOOKUP($B7,'TH_MLG GRADE 10'!$B$7:$B$49,'TH_MLG GRADE 10'!BG$7:BG$49,"",0,1)="P",
   _xlfn.XLOOKUP($B7,'TH_MLG GRADE 10'!$B$7:$B$49,'TH_MLG GRADE 10'!$BM$7:$BM$49,"",0,1)&lt;=TODAY()-MOD(WEEKDAY(TODAY(),2)-5,7)),$D7,0)</f>
        <v>0</v>
      </c>
      <c r="AC57" s="65" t="e">
        <f ca="1">IF(AND($D7&lt;&gt;0,_xlfn.XLOOKUP($B7,'TH_MLG GRADE 10'!$B$7:$B$49,'TH_MLG GRADE 10'!#REF!,"",0,1)="P",
   _xlfn.XLOOKUP($B7,'TH_MLG GRADE 10'!$B$7:$B$49,'TH_MLG GRADE 10'!$BK$7:$BK$49,"",0,1)&lt;=TODAY()-MOD(WEEKDAY(TODAY(),2)-5,7)),$D7,0)</f>
        <v>#REF!</v>
      </c>
      <c r="AD57" s="65" t="e">
        <f ca="1">IF(AND($D7&lt;&gt;0,_xlfn.XLOOKUP($B7,'TH_MLG GRADE 10'!$B$7:$B$49,'TH_MLG GRADE 10'!#REF!,"",0,1)="P",
   _xlfn.XLOOKUP($B7,'TH_MLG GRADE 10'!$B$7:$B$49,'TH_MLG GRADE 10'!$BL$7:$BL$49,"",0,1)&lt;=TODAY()-MOD(WEEKDAY(TODAY(),2)-5,7)),$D7,0)</f>
        <v>#REF!</v>
      </c>
      <c r="AE57" s="65" t="e">
        <f ca="1">IF(AND($D7&lt;&gt;0,_xlfn.XLOOKUP($B7,'TH_MLG GRADE 10'!$B$7:$B$49,'TH_MLG GRADE 10'!#REF!,"",0,1)="P",
   _xlfn.XLOOKUP($B7,'TH_MLG GRADE 10'!$B$7:$B$49,'TH_MLG GRADE 10'!$BM$7:$BM$49,"",0,1)&lt;=TODAY()-MOD(WEEKDAY(TODAY(),2)-5,7)),$D7,0)</f>
        <v>#REF!</v>
      </c>
      <c r="AF57" s="65" t="e">
        <f ca="1">IF(AND($D7&lt;&gt;0,_xlfn.XLOOKUP($B7,'TH_MLG GRADE 10'!$B$7:$B$49,'TH_MLG GRADE 10'!#REF!,"",0,1)="P",
   _xlfn.XLOOKUP($B7,'TH_MLG GRADE 10'!$B$7:$B$49,'TH_MLG GRADE 10'!$BK$7:$BK$49,"",0,1)&lt;=TODAY()-MOD(WEEKDAY(TODAY(),2)-5,7)),$D7,0)</f>
        <v>#REF!</v>
      </c>
      <c r="AG57" s="65" t="e">
        <f ca="1">IF(AND($D7&lt;&gt;0,_xlfn.XLOOKUP($B7,'TH_MLG GRADE 10'!$B$7:$B$49,'TH_MLG GRADE 10'!#REF!,"",0,1)="P",
   _xlfn.XLOOKUP($B7,'TH_MLG GRADE 10'!$B$7:$B$49,'TH_MLG GRADE 10'!$BL$7:$BL$49,"",0,1)&lt;=TODAY()-MOD(WEEKDAY(TODAY(),2)-5,7)),$D7,0)</f>
        <v>#REF!</v>
      </c>
      <c r="AH57" s="65" t="e">
        <f ca="1">IF(AND($D7&lt;&gt;0,_xlfn.XLOOKUP($B7,'TH_MLG GRADE 10'!$B$7:$B$49,'TH_MLG GRADE 10'!#REF!,"",0,1)="P",
   _xlfn.XLOOKUP($B7,'TH_MLG GRADE 10'!$B$7:$B$49,'TH_MLG GRADE 10'!$BM$7:$BM$49,"",0,1)&lt;=TODAY()-MOD(WEEKDAY(TODAY(),2)-5,7)),$D7,0)</f>
        <v>#REF!</v>
      </c>
      <c r="AI57" s="67">
        <f ca="1">IF(AND($D7&lt;&gt;0,_xlfn.XLOOKUP($B7,'TH_CMI GRADE 10'!$B$7:$B$49,'TH_CMI GRADE 10'!C$7:C$49,"",0,1)="P",
   _xlfn.XLOOKUP($B7,'TH_CMI GRADE 10'!$B$7:$B$49,'TH_CMI GRADE 10'!$AS$7:$AS$49,"",0,1)&lt;=TODAY()-MOD(WEEKDAY(TODAY(),2)-5,7)),$D7,0)</f>
        <v>0</v>
      </c>
      <c r="AJ57" s="67">
        <f ca="1">IF(AND($D7&lt;&gt;0,_xlfn.XLOOKUP($B7,'TH_CMI GRADE 10'!$B$7:$B$49,'TH_CMI GRADE 10'!D$7:D$49,"",0,1)="P",
   _xlfn.XLOOKUP($B7,'TH_CMI GRADE 10'!$B$7:$B$49,'TH_CMI GRADE 10'!$AT$7:$AT$49,"",0,1)&lt;=TODAY()-MOD(WEEKDAY(TODAY(),2)-5,7)),$D7,0)</f>
        <v>0</v>
      </c>
      <c r="AK57" s="67" t="e">
        <f ca="1">IF(AND($D7&lt;&gt;0,_xlfn.XLOOKUP($B7,'TH_CMI GRADE 10'!$B$7:$B$49,'TH_CMI GRADE 10'!H$7:H$49,"",0,1)="P",
   _xlfn.XLOOKUP($B7,'TH_CMI GRADE 10'!$B$7:$B$49,'TH_CMI GRADE 10'!#REF!,"",0,1)&lt;=TODAY()-MOD(WEEKDAY(TODAY(),2)-5,7)),$D7,0)</f>
        <v>#REF!</v>
      </c>
      <c r="AL57" s="67">
        <f ca="1">IF(AND($D7&lt;&gt;0,_xlfn.XLOOKUP($B7,'TH_CMI GRADE 10'!$B$7:$B$49,'TH_CMI GRADE 10'!I$7:I$49,"",0,1)="P",
   _xlfn.XLOOKUP($B7,'TH_CMI GRADE 10'!$B$7:$B$49,'TH_CMI GRADE 10'!$AS$7:$AS$49,"",0,1)&lt;=TODAY()-MOD(WEEKDAY(TODAY(),2)-5,7)),$D7,0)</f>
        <v>0</v>
      </c>
      <c r="AM57" s="67">
        <f ca="1">IF(AND($D7&lt;&gt;0,_xlfn.XLOOKUP($B7,'TH_CMI GRADE 10'!$B$7:$B$49,'TH_CMI GRADE 10'!J$7:J$49,"",0,1)="P",
   _xlfn.XLOOKUP($B7,'TH_CMI GRADE 10'!$B$7:$B$49,'TH_CMI GRADE 10'!$AT$7:$AT$49,"",0,1)&lt;=TODAY()-MOD(WEEKDAY(TODAY(),2)-5,7)),$D7,0)</f>
        <v>0</v>
      </c>
      <c r="AN57" s="67" t="e">
        <f ca="1">IF(AND($D7&lt;&gt;0,_xlfn.XLOOKUP($B7,'TH_CMI GRADE 10'!$B$7:$B$49,'TH_CMI GRADE 10'!K$7:K$49,"",0,1)="P",
   _xlfn.XLOOKUP($B7,'TH_CMI GRADE 10'!$B$7:$B$49,'TH_CMI GRADE 10'!#REF!,"",0,1)&lt;=TODAY()-MOD(WEEKDAY(TODAY(),2)-5,7)),$D7,0)</f>
        <v>#REF!</v>
      </c>
      <c r="AO57" s="67">
        <f ca="1">IF(AND($D7&lt;&gt;0,_xlfn.XLOOKUP($B7,'TH_CMI GRADE 10'!$B$7:$B$49,'TH_CMI GRADE 10'!O$7:O$49,"",0,1)="P",
   _xlfn.XLOOKUP($B7,'TH_CMI GRADE 10'!$B$7:$B$49,'TH_CMI GRADE 10'!$AS$7:$AS$49,"",0,1)&lt;=TODAY()-MOD(WEEKDAY(TODAY(),2)-5,7)),$D7,0)</f>
        <v>0</v>
      </c>
      <c r="AP57" s="67">
        <f ca="1">IF(AND($D7&lt;&gt;0,_xlfn.XLOOKUP($B7,'TH_CMI GRADE 10'!$B$7:$B$49,'TH_CMI GRADE 10'!P$7:P$49,"",0,1)="P",
   _xlfn.XLOOKUP($B7,'TH_CMI GRADE 10'!$B$7:$B$49,'TH_CMI GRADE 10'!$AT$7:$AT$49,"",0,1)&lt;=TODAY()-MOD(WEEKDAY(TODAY(),2)-5,7)),$D7,0)</f>
        <v>0</v>
      </c>
      <c r="AQ57" s="67" t="e">
        <f ca="1">IF(AND($D7&lt;&gt;0,_xlfn.XLOOKUP($B7,'TH_CMI GRADE 10'!$B$7:$B$49,'TH_CMI GRADE 10'!Q$7:Q$49,"",0,1)="P",
   _xlfn.XLOOKUP($B7,'TH_CMI GRADE 10'!$B$7:$B$49,'TH_CMI GRADE 10'!#REF!,"",0,1)&lt;=TODAY()-MOD(WEEKDAY(TODAY(),2)-5,7)),$D7,0)</f>
        <v>#REF!</v>
      </c>
      <c r="AR57" s="67">
        <f ca="1">IF(AND($D7&lt;&gt;0,_xlfn.XLOOKUP($B7,'TH_CMI GRADE 10'!$B$7:$B$49,'TH_CMI GRADE 10'!U$7:U$49,"",0,1)="P",
   _xlfn.XLOOKUP($B7,'TH_CMI GRADE 10'!$B$7:$B$49,'TH_CMI GRADE 10'!$AS$7:$AS$49,"",0,1)&lt;=TODAY()-MOD(WEEKDAY(TODAY(),2)-5,7)),$D7,0)</f>
        <v>0</v>
      </c>
      <c r="AS57" s="67">
        <f ca="1">IF(AND($D7&lt;&gt;0,_xlfn.XLOOKUP($B7,'TH_CMI GRADE 10'!$B$7:$B$49,'TH_CMI GRADE 10'!V$7:V$49,"",0,1)="P",
   _xlfn.XLOOKUP($B7,'TH_CMI GRADE 10'!$B$7:$B$49,'TH_CMI GRADE 10'!$AT$7:$AT$49,"",0,1)&lt;=TODAY()-MOD(WEEKDAY(TODAY(),2)-5,7)),$D7,0)</f>
        <v>0</v>
      </c>
      <c r="AT57" s="67" t="e">
        <f ca="1">IF(AND($D7&lt;&gt;0,_xlfn.XLOOKUP($B7,'TH_CMI GRADE 10'!$B$7:$B$49,'TH_CMI GRADE 10'!W$7:W$49,"",0,1)="P",
   _xlfn.XLOOKUP($B7,'TH_CMI GRADE 10'!$B$7:$B$49,'TH_CMI GRADE 10'!#REF!,"",0,1)&lt;=TODAY()-MOD(WEEKDAY(TODAY(),2)-5,7)),$D7,0)</f>
        <v>#REF!</v>
      </c>
      <c r="AU57" s="67">
        <f ca="1">IF(AND($D7&lt;&gt;0,_xlfn.XLOOKUP($B7,'TH_CMI GRADE 10'!$B$7:$B$49,'TH_CMI GRADE 10'!AA$7:AA$49,"",0,1)="P",
   _xlfn.XLOOKUP($B7,'TH_CMI GRADE 10'!$B$7:$B$49,'TH_CMI GRADE 10'!$AS$7:$AS$49,"",0,1)&lt;=TODAY()-MOD(WEEKDAY(TODAY(),2)-5,7)),$D7,0)</f>
        <v>1</v>
      </c>
      <c r="AV57" s="67">
        <f ca="1">IF(AND($D7&lt;&gt;0,_xlfn.XLOOKUP($B7,'TH_CMI GRADE 10'!$B$7:$B$49,'TH_CMI GRADE 10'!AB$7:AB$49,"",0,1)="P",
   _xlfn.XLOOKUP($B7,'TH_CMI GRADE 10'!$B$7:$B$49,'TH_CMI GRADE 10'!$AT$7:$AT$49,"",0,1)&lt;=TODAY()-MOD(WEEKDAY(TODAY(),2)-5,7)),$D7,0)</f>
        <v>1</v>
      </c>
      <c r="AW57" s="67" t="e">
        <f ca="1">IF(AND($D7&lt;&gt;0,_xlfn.XLOOKUP($B7,'TH_CMI GRADE 10'!$B$7:$B$49,'TH_CMI GRADE 10'!AC$7:AC$49,"",0,1)="P",
   _xlfn.XLOOKUP($B7,'TH_CMI GRADE 10'!$B$7:$B$49,'TH_CMI GRADE 10'!#REF!,"",0,1)&lt;=TODAY()-MOD(WEEKDAY(TODAY(),2)-5,7)),$D7,0)</f>
        <v>#REF!</v>
      </c>
      <c r="AX57" s="67">
        <f ca="1">IF(AND($D7&lt;&gt;0,_xlfn.XLOOKUP($B7,'TH_CMI GRADE 10'!$B$7:$B$49,'TH_CMI GRADE 10'!AG$7:AG$49,"",0,1)="P",
   _xlfn.XLOOKUP($B7,'TH_CMI GRADE 10'!$B$7:$B$49,'TH_CMI GRADE 10'!$AS$7:$AS$49,"",0,1)&lt;=TODAY()-MOD(WEEKDAY(TODAY(),2)-5,7)),$D7,0)</f>
        <v>1</v>
      </c>
      <c r="AY57" s="67">
        <f ca="1">IF(AND($D7&lt;&gt;0,_xlfn.XLOOKUP($B7,'TH_CMI GRADE 10'!$B$7:$B$49,'TH_CMI GRADE 10'!AH$7:AH$49,"",0,1)="P",
   _xlfn.XLOOKUP($B7,'TH_CMI GRADE 10'!$B$7:$B$49,'TH_CMI GRADE 10'!$AT$7:$AT$49,"",0,1)&lt;=TODAY()-MOD(WEEKDAY(TODAY(),2)-5,7)),$D7,0)</f>
        <v>1</v>
      </c>
      <c r="AZ57" s="67" t="e">
        <f ca="1">IF(AND($D7&lt;&gt;0,_xlfn.XLOOKUP($B7,'TH_CMI GRADE 10'!$B$7:$B$49,'TH_CMI GRADE 10'!AI$7:AI$49,"",0,1)="P",
   _xlfn.XLOOKUP($B7,'TH_CMI GRADE 10'!$B$7:$B$49,'TH_CMI GRADE 10'!#REF!,"",0,1)&lt;=TODAY()-MOD(WEEKDAY(TODAY(),2)-5,7)),$D7,0)</f>
        <v>#REF!</v>
      </c>
      <c r="BA57" s="65" t="e">
        <f ca="1">IF(AND($D7&lt;&gt;0,_xlfn.XLOOKUP($B7,'PW_MLG GRADE 10'!$B$7:$B$31,'PW_MLG GRADE 10'!R$7:R$31,"",0,1)="P",
   _xlfn.XLOOKUP($B7,'PW_MLG GRADE 10'!$B$7:$B$31,'PW_MLG GRADE 10'!#REF!,"",0,1)&lt;=TODAY()-MOD(WEEKDAY(TODAY(),2)-5,7)),$D7,0)</f>
        <v>#REF!</v>
      </c>
      <c r="BB57" s="65" t="e">
        <f ca="1">IF(AND($D7&lt;&gt;0,_xlfn.XLOOKUP($B7,'PW_MLG GRADE 10'!$B$7:$B$31,'PW_MLG GRADE 10'!S$7:S$31,"",0,1)="P",
   _xlfn.XLOOKUP($B7,'PW_MLG GRADE 10'!$B$7:$B$31,'PW_MLG GRADE 10'!#REF!,"",0,1)&lt;=TODAY()-MOD(WEEKDAY(TODAY(),2)-5,7)),$D7,0)</f>
        <v>#REF!</v>
      </c>
      <c r="BC57" s="65" t="e">
        <f ca="1">IF(AND($D7&lt;&gt;0,_xlfn.XLOOKUP($B7,'PW_MLG GRADE 10'!$B$7:$B$31,'PW_MLG GRADE 10'!T$7:T$31,"",0,1)="P",
   _xlfn.XLOOKUP($B7,'PW_MLG GRADE 10'!$B$7:$B$31,'PW_MLG GRADE 10'!#REF!,"",0,1)&lt;=TODAY()-MOD(WEEKDAY(TODAY(),2)-5,7)),$D7,0)</f>
        <v>#REF!</v>
      </c>
      <c r="BD57" s="65" t="e">
        <f ca="1">IF(AND($D7&lt;&gt;0,_xlfn.XLOOKUP($B7,'PW_MLG GRADE 10'!$B$7:$B$31,'PW_MLG GRADE 10'!AA$7:AA$31,"",0,1)="P",
   _xlfn.XLOOKUP($B7,'PW_MLG GRADE 10'!$B$7:$B$31,'PW_MLG GRADE 10'!#REF!,"",0,1)&lt;=TODAY()-MOD(WEEKDAY(TODAY(),2)-5,7)),$D7,0)</f>
        <v>#REF!</v>
      </c>
      <c r="BE57" s="65" t="e">
        <f ca="1">IF(AND($D7&lt;&gt;0,_xlfn.XLOOKUP($B7,'PW_MLG GRADE 10'!$B$7:$B$31,'PW_MLG GRADE 10'!AB$7:AB$31,"",0,1)="P",
   _xlfn.XLOOKUP($B7,'PW_MLG GRADE 10'!$B$7:$B$31,'PW_MLG GRADE 10'!#REF!,"",0,1)&lt;=TODAY()-MOD(WEEKDAY(TODAY(),2)-5,7)),$D7,0)</f>
        <v>#REF!</v>
      </c>
      <c r="BF57" s="65" t="e">
        <f ca="1">IF(AND($D7&lt;&gt;0,_xlfn.XLOOKUP($B7,'PW_MLG GRADE 10'!$B$7:$B$31,'PW_MLG GRADE 10'!AC$7:AC$31,"",0,1)="P",
   _xlfn.XLOOKUP($B7,'PW_MLG GRADE 10'!$B$7:$B$31,'PW_MLG GRADE 10'!#REF!,"",0,1)&lt;=TODAY()-MOD(WEEKDAY(TODAY(),2)-5,7)),$D7,0)</f>
        <v>#REF!</v>
      </c>
      <c r="BG57" s="65" t="e">
        <f ca="1">IF(AND($D7&lt;&gt;0,_xlfn.XLOOKUP($B7,'PW_MLG GRADE 10'!$B$7:$B$31,'PW_MLG GRADE 10'!AD$7:AD$31,"",0,1)="P",
   _xlfn.XLOOKUP($B7,'PW_MLG GRADE 10'!$B$7:$B$31,'PW_MLG GRADE 10'!#REF!,"",0,1)&lt;=TODAY()-MOD(WEEKDAY(TODAY(),2)-5,7)),$D7,0)</f>
        <v>#REF!</v>
      </c>
      <c r="BH57" s="65" t="e">
        <f ca="1">IF(AND($D7&lt;&gt;0,_xlfn.XLOOKUP($B7,'PW_MLG GRADE 10'!$B$7:$B$31,'PW_MLG GRADE 10'!AE$7:AE$31,"",0,1)="P",
   _xlfn.XLOOKUP($B7,'PW_MLG GRADE 10'!$B$7:$B$31,'PW_MLG GRADE 10'!#REF!,"",0,1)&lt;=TODAY()-MOD(WEEKDAY(TODAY(),2)-5,7)),$D7,0)</f>
        <v>#REF!</v>
      </c>
      <c r="BI57" s="65" t="e">
        <f ca="1">IF(AND($D7&lt;&gt;0,_xlfn.XLOOKUP($B7,'PW_MLG GRADE 10'!$B$7:$B$31,'PW_MLG GRADE 10'!AF$7:AF$31,"",0,1)="P",
   _xlfn.XLOOKUP($B7,'PW_MLG GRADE 10'!$B$7:$B$31,'PW_MLG GRADE 10'!#REF!,"",0,1)&lt;=TODAY()-MOD(WEEKDAY(TODAY(),2)-5,7)),$D7,0)</f>
        <v>#REF!</v>
      </c>
      <c r="BJ57" s="65" t="e">
        <f ca="1">IF(AND($D7&lt;&gt;0,_xlfn.XLOOKUP($B7,'PW_MLG GRADE 10'!$B$7:$B$31,'PW_MLG GRADE 10'!AG$7:AG$31,"",0,1)="P",
   _xlfn.XLOOKUP($B7,'PW_MLG GRADE 10'!$B$7:$B$31,'PW_MLG GRADE 10'!#REF!,"",0,1)&lt;=TODAY()-MOD(WEEKDAY(TODAY(),2)-5,7)),$D7,0)</f>
        <v>#REF!</v>
      </c>
      <c r="BK57" s="65" t="e">
        <f ca="1">IF(AND($D7&lt;&gt;0,_xlfn.XLOOKUP($B7,'PW_MLG GRADE 10'!$B$7:$B$31,'PW_MLG GRADE 10'!AH$7:AH$31,"",0,1)="P",
   _xlfn.XLOOKUP($B7,'PW_MLG GRADE 10'!$B$7:$B$31,'PW_MLG GRADE 10'!#REF!,"",0,1)&lt;=TODAY()-MOD(WEEKDAY(TODAY(),2)-5,7)),$D7,0)</f>
        <v>#REF!</v>
      </c>
      <c r="BL57" s="65" t="e">
        <f ca="1">IF(AND($D7&lt;&gt;0,_xlfn.XLOOKUP($B7,'PW_MLG GRADE 10'!$B$7:$B$31,'PW_MLG GRADE 10'!AI$7:AI$31,"",0,1)="P",
   _xlfn.XLOOKUP($B7,'PW_MLG GRADE 10'!$B$7:$B$31,'PW_MLG GRADE 10'!#REF!,"",0,1)&lt;=TODAY()-MOD(WEEKDAY(TODAY(),2)-5,7)),$D7,0)</f>
        <v>#REF!</v>
      </c>
      <c r="BM57" s="65" t="e">
        <f ca="1">IF(AND($D7&lt;&gt;0,_xlfn.XLOOKUP($B7,'PW_MLG GRADE 10'!$B$7:$B$31,'PW_MLG GRADE 10'!AJ$7:AJ$31,"",0,1)="P",
   _xlfn.XLOOKUP($B7,'PW_MLG GRADE 10'!$B$7:$B$31,'PW_MLG GRADE 10'!#REF!,"",0,1)&lt;=TODAY()-MOD(WEEKDAY(TODAY(),2)-5,7)),$D7,0)</f>
        <v>#REF!</v>
      </c>
      <c r="BN57" s="65" t="e">
        <f ca="1">IF(AND($D7&lt;&gt;0,_xlfn.XLOOKUP($B7,'PW_MLG GRADE 10'!$B$7:$B$31,'PW_MLG GRADE 10'!AK$7:AK$31,"",0,1)="P",
   _xlfn.XLOOKUP($B7,'PW_MLG GRADE 10'!$B$7:$B$31,'PW_MLG GRADE 10'!#REF!,"",0,1)&lt;=TODAY()-MOD(WEEKDAY(TODAY(),2)-5,7)),$D7,0)</f>
        <v>#REF!</v>
      </c>
      <c r="BO57" s="65" t="e">
        <f ca="1">IF(AND($D7&lt;&gt;0,_xlfn.XLOOKUP($B7,'PW_MLG GRADE 10'!$B$7:$B$31,'PW_MLG GRADE 10'!AL$7:AL$31,"",0,1)="P",
   _xlfn.XLOOKUP($B7,'PW_MLG GRADE 10'!$B$7:$B$31,'PW_MLG GRADE 10'!#REF!,"",0,1)&lt;=TODAY()-MOD(WEEKDAY(TODAY(),2)-5,7)),$D7,0)</f>
        <v>#REF!</v>
      </c>
      <c r="BP57" s="65" t="e">
        <f ca="1">IF(AND($D7&lt;&gt;0,_xlfn.XLOOKUP($B7,'PW_MLG GRADE 10'!$B$7:$B$31,'PW_MLG GRADE 10'!AM$7:AM$31,"",0,1)="P",
   _xlfn.XLOOKUP($B7,'PW_MLG GRADE 10'!$B$7:$B$31,'PW_MLG GRADE 10'!#REF!,"",0,1)&lt;=TODAY()-MOD(WEEKDAY(TODAY(),2)-5,7)),$D7,0)</f>
        <v>#REF!</v>
      </c>
      <c r="BQ57" s="65" t="e">
        <f ca="1">IF(AND($D7&lt;&gt;0,_xlfn.XLOOKUP($B7,'PW_MLG GRADE 10'!$B$7:$B$31,'PW_MLG GRADE 10'!AN$7:AN$31,"",0,1)="P",
   _xlfn.XLOOKUP($B7,'PW_MLG GRADE 10'!$B$7:$B$31,'PW_MLG GRADE 10'!#REF!,"",0,1)&lt;=TODAY()-MOD(WEEKDAY(TODAY(),2)-5,7)),$D7,0)</f>
        <v>#REF!</v>
      </c>
      <c r="BR57" s="65" t="e">
        <f ca="1">IF(AND($D7&lt;&gt;0,_xlfn.XLOOKUP($B7,'PW_MLG GRADE 10'!$B$7:$B$31,'PW_MLG GRADE 10'!AO$7:AO$31,"",0,1)="P",
   _xlfn.XLOOKUP($B7,'PW_MLG GRADE 10'!$B$7:$B$31,'PW_MLG GRADE 10'!#REF!,"",0,1)&lt;=TODAY()-MOD(WEEKDAY(TODAY(),2)-5,7)),$D7,0)</f>
        <v>#REF!</v>
      </c>
      <c r="BS57" s="65" t="e">
        <f ca="1">IF(AND($D7&lt;&gt;0,_xlfn.XLOOKUP($B7,'PW_MLG GRADE 10'!$B$7:$B$31,'PW_MLG GRADE 10'!AP$7:AP$31,"",0,1)="P",
   _xlfn.XLOOKUP($B7,'PW_MLG GRADE 10'!$B$7:$B$31,'PW_MLG GRADE 10'!#REF!,"",0,1)&lt;=TODAY()-MOD(WEEKDAY(TODAY(),2)-5,7)),$D7,0)</f>
        <v>#REF!</v>
      </c>
      <c r="BT57" s="65" t="e">
        <f ca="1">IF(AND($D7&lt;&gt;0,_xlfn.XLOOKUP($B7,'PW_MLG GRADE 10'!$B$7:$B$31,'PW_MLG GRADE 10'!AQ$7:AQ$31,"",0,1)="P",
   _xlfn.XLOOKUP($B7,'PW_MLG GRADE 10'!$B$7:$B$31,'PW_MLG GRADE 10'!#REF!,"",0,1)&lt;=TODAY()-MOD(WEEKDAY(TODAY(),2)-5,7)),$D7,0)</f>
        <v>#REF!</v>
      </c>
      <c r="BU57" s="65" t="e">
        <f ca="1">IF(AND($D7&lt;&gt;0,_xlfn.XLOOKUP($B7,'PW_MLG GRADE 10'!$B$7:$B$31,'PW_MLG GRADE 10'!AR$7:AR$31,"",0,1)="P",
   _xlfn.XLOOKUP($B7,'PW_MLG GRADE 10'!$B$7:$B$31,'PW_MLG GRADE 10'!#REF!,"",0,1)&lt;=TODAY()-MOD(WEEKDAY(TODAY(),2)-5,7)),$D7,0)</f>
        <v>#REF!</v>
      </c>
      <c r="BV57" s="65" t="e">
        <f ca="1">IF(AND($D7&lt;&gt;0,_xlfn.XLOOKUP($B7,'PW_MLG GRADE 10'!$B$7:$B$31,'PW_MLG GRADE 10'!AY$7:AY$31,"",0,1)="P",
   _xlfn.XLOOKUP($B7,'PW_MLG GRADE 10'!$B$7:$B$31,'PW_MLG GRADE 10'!#REF!,"",0,1)&lt;=TODAY()-MOD(WEEKDAY(TODAY(),2)-5,7)),$D7,0)</f>
        <v>#REF!</v>
      </c>
      <c r="BW57" s="65" t="e">
        <f ca="1">IF(AND($D7&lt;&gt;0,_xlfn.XLOOKUP($B7,'PW_MLG GRADE 10'!$B$7:$B$31,'PW_MLG GRADE 10'!AZ$7:AZ$31,"",0,1)="P",
   _xlfn.XLOOKUP($B7,'PW_MLG GRADE 10'!$B$7:$B$31,'PW_MLG GRADE 10'!#REF!,"",0,1)&lt;=TODAY()-MOD(WEEKDAY(TODAY(),2)-5,7)),$D7,0)</f>
        <v>#REF!</v>
      </c>
      <c r="BX57" s="65" t="e">
        <f ca="1">IF(AND($D7&lt;&gt;0,_xlfn.XLOOKUP($B7,'PW_MLG GRADE 10'!$B$7:$B$31,'PW_MLG GRADE 10'!BA$7:BA$31,"",0,1)="P",
   _xlfn.XLOOKUP($B7,'PW_MLG GRADE 10'!$B$7:$B$31,'PW_MLG GRADE 10'!#REF!,"",0,1)&lt;=TODAY()-MOD(WEEKDAY(TODAY(),2)-5,7)),$D7,0)</f>
        <v>#REF!</v>
      </c>
      <c r="BY57" s="65" t="e">
        <f ca="1">IF(AND($D7&lt;&gt;0,_xlfn.XLOOKUP($B7,'PW_MLG GRADE 10'!$B$7:$B$31,'PW_MLG GRADE 10'!BB$7:BB$31,"",0,1)="P",
   _xlfn.XLOOKUP($B7,'PW_MLG GRADE 10'!$B$7:$B$31,'PW_MLG GRADE 10'!#REF!,"",0,1)&lt;=TODAY()-MOD(WEEKDAY(TODAY(),2)-5,7)),$D7,0)</f>
        <v>#REF!</v>
      </c>
      <c r="BZ57" s="65" t="e">
        <f ca="1">IF(AND($D7&lt;&gt;0,_xlfn.XLOOKUP($B7,'PW_MLG GRADE 10'!$B$7:$B$31,'PW_MLG GRADE 10'!BC$7:BC$31,"",0,1)="P",
   _xlfn.XLOOKUP($B7,'PW_MLG GRADE 10'!$B$7:$B$31,'PW_MLG GRADE 10'!#REF!,"",0,1)&lt;=TODAY()-MOD(WEEKDAY(TODAY(),2)-5,7)),$D7,0)</f>
        <v>#REF!</v>
      </c>
      <c r="CA57" s="65" t="e">
        <f ca="1">IF(AND($D7&lt;&gt;0,_xlfn.XLOOKUP($B7,'PW_MLG GRADE 10'!$B$7:$B$31,'PW_MLG GRADE 10'!BD$7:BD$31,"",0,1)="P",
   _xlfn.XLOOKUP($B7,'PW_MLG GRADE 10'!$B$7:$B$31,'PW_MLG GRADE 10'!#REF!,"",0,1)&lt;=TODAY()-MOD(WEEKDAY(TODAY(),2)-5,7)),$D7,0)</f>
        <v>#REF!</v>
      </c>
      <c r="CB57" s="65" t="e">
        <f ca="1">IF(AND($D7&lt;&gt;0,_xlfn.XLOOKUP($B7,'PW_MLG GRADE 10'!$B$7:$B$31,'PW_MLG GRADE 10'!BE$7:BE$31,"",0,1)="P",
   _xlfn.XLOOKUP($B7,'PW_MLG GRADE 10'!$B$7:$B$31,'PW_MLG GRADE 10'!#REF!,"",0,1)&lt;=TODAY()-MOD(WEEKDAY(TODAY(),2)-5,7)),$D7,0)</f>
        <v>#REF!</v>
      </c>
      <c r="CC57" s="65" t="e">
        <f ca="1">IF(AND($D7&lt;&gt;0,_xlfn.XLOOKUP($B7,'PW_MLG GRADE 10'!$B$7:$B$31,'PW_MLG GRADE 10'!BF$7:BF$31,"",0,1)="P",
   _xlfn.XLOOKUP($B7,'PW_MLG GRADE 10'!$B$7:$B$31,'PW_MLG GRADE 10'!#REF!,"",0,1)&lt;=TODAY()-MOD(WEEKDAY(TODAY(),2)-5,7)),$D7,0)</f>
        <v>#REF!</v>
      </c>
      <c r="CD57" s="65" t="e">
        <f ca="1">IF(AND($D7&lt;&gt;0,_xlfn.XLOOKUP($B7,'PW_MLG GRADE 10'!$B$7:$B$31,'PW_MLG GRADE 10'!BG$7:BG$31,"",0,1)="P",
   _xlfn.XLOOKUP($B7,'PW_MLG GRADE 10'!$B$7:$B$31,'PW_MLG GRADE 10'!#REF!,"",0,1)&lt;=TODAY()-MOD(WEEKDAY(TODAY(),2)-5,7)),$D7,0)</f>
        <v>#REF!</v>
      </c>
      <c r="CE57" s="67">
        <f ca="1">IF(AND($D7&lt;&gt;0,_xlfn.XLOOKUP($B7,'PW_CMI GRADE 10'!$B$7:$B$31,'PW_CMI GRADE 10'!AY$7:AY$31,"",0,1)="P",
   _xlfn.XLOOKUP($B7,'PW_CMI GRADE 10'!$B$7:$B$31,'PW_CMI GRADE 10'!$U$7:$U$31,"",0,1)&lt;=TODAY()-MOD(WEEKDAY(TODAY(),2)-5,7)),$D7,0)</f>
        <v>0</v>
      </c>
      <c r="CF57" s="67">
        <f ca="1">IF(AND($D7&lt;&gt;0,_xlfn.XLOOKUP($B7,'PW_CMI GRADE 10'!$B$7:$B$31,'PW_CMI GRADE 10'!AZ$7:AZ$31,"",0,1)="P",
   _xlfn.XLOOKUP($B7,'PW_CMI GRADE 10'!$B$7:$B$31,'PW_CMI GRADE 10'!$V$7:$V$31,"",0,1)&lt;=TODAY()-MOD(WEEKDAY(TODAY(),2)-5,7)),$D7,0)</f>
        <v>0</v>
      </c>
      <c r="CG57" s="67">
        <f ca="1">IF(AND($D7&lt;&gt;0,_xlfn.XLOOKUP($B7,'PW_CMI GRADE 10'!$B$7:$B$31,'PW_CMI GRADE 10'!BA$7:BA$31,"",0,1)="P",
   _xlfn.XLOOKUP($B7,'PW_CMI GRADE 10'!$B$7:$B$31,'PW_CMI GRADE 10'!$W$7:$W$31,"",0,1)&lt;=TODAY()-MOD(WEEKDAY(TODAY(),2)-5,7)),$D7,0)</f>
        <v>0</v>
      </c>
      <c r="CH57" s="67">
        <f ca="1">IF(AND($D7&lt;&gt;0,_xlfn.XLOOKUP($B7,'PW_CMI GRADE 10'!$B$7:$B$31,'PW_CMI GRADE 10'!BB$7:BB$31,"",0,1)="P",
   _xlfn.XLOOKUP($B7,'PW_CMI GRADE 10'!$B$7:$B$31,'PW_CMI GRADE 10'!$U$7:$U$31,"",0,1)&lt;=TODAY()-MOD(WEEKDAY(TODAY(),2)-5,7)),$D7,0)</f>
        <v>0</v>
      </c>
      <c r="CI57" s="67">
        <f ca="1">IF(AND($D7&lt;&gt;0,_xlfn.XLOOKUP($B7,'PW_CMI GRADE 10'!$B$7:$B$31,'PW_CMI GRADE 10'!BC$7:BC$31,"",0,1)="P",
   _xlfn.XLOOKUP($B7,'PW_CMI GRADE 10'!$B$7:$B$31,'PW_CMI GRADE 10'!$V$7:$V$31,"",0,1)&lt;=TODAY()-MOD(WEEKDAY(TODAY(),2)-5,7)),$D7,0)</f>
        <v>0</v>
      </c>
      <c r="CJ57" s="67">
        <f ca="1">IF(AND($D7&lt;&gt;0,_xlfn.XLOOKUP($B7,'PW_CMI GRADE 10'!$B$7:$B$31,'PW_CMI GRADE 10'!BD$7:BD$31,"",0,1)="P",
   _xlfn.XLOOKUP($B7,'PW_CMI GRADE 10'!$B$7:$B$31,'PW_CMI GRADE 10'!$W$7:$W$31,"",0,1)&lt;=TODAY()-MOD(WEEKDAY(TODAY(),2)-5,7)),$D7,0)</f>
        <v>0</v>
      </c>
      <c r="CK57" s="67">
        <f ca="1">IF(AND($D7&lt;&gt;0,_xlfn.XLOOKUP($B7,'PW_CMI GRADE 10'!$B$7:$B$31,'PW_CMI GRADE 10'!BE$7:BE$31,"",0,1)="P",
   _xlfn.XLOOKUP($B7,'PW_CMI GRADE 10'!$B$7:$B$31,'PW_CMI GRADE 10'!$U$7:$U$31,"",0,1)&lt;=TODAY()-MOD(WEEKDAY(TODAY(),2)-5,7)),$D7,0)</f>
        <v>0</v>
      </c>
      <c r="CL57" s="67">
        <f ca="1">IF(AND($D7&lt;&gt;0,_xlfn.XLOOKUP($B7,'PW_CMI GRADE 10'!$B$7:$B$31,'PW_CMI GRADE 10'!BF$7:BF$31,"",0,1)="P",
   _xlfn.XLOOKUP($B7,'PW_CMI GRADE 10'!$B$7:$B$31,'PW_CMI GRADE 10'!$V$7:$V$31,"",0,1)&lt;=TODAY()-MOD(WEEKDAY(TODAY(),2)-5,7)),$D7,0)</f>
        <v>0</v>
      </c>
      <c r="CM57" s="67">
        <f ca="1">IF(AND($D7&lt;&gt;0,_xlfn.XLOOKUP($B7,'PW_CMI GRADE 10'!$B$7:$B$31,'PW_CMI GRADE 10'!BG$7:BG$31,"",0,1)="P",
   _xlfn.XLOOKUP($B7,'PW_CMI GRADE 10'!$B$7:$B$31,'PW_CMI GRADE 10'!$W$7:$W$31,"",0,1)&lt;=TODAY()-MOD(WEEKDAY(TODAY(),2)-5,7)),$D7,0)</f>
        <v>0</v>
      </c>
      <c r="CN57" s="67">
        <f ca="1">IF(AND($D7&lt;&gt;0,_xlfn.XLOOKUP($B7,'PW_CMI GRADE 10'!$B$7:$B$31,'PW_CMI GRADE 10'!BH$7:BH$31,"",0,1)="P",
   _xlfn.XLOOKUP($B7,'PW_CMI GRADE 10'!$B$7:$B$31,'PW_CMI GRADE 10'!$U$7:$U$31,"",0,1)&lt;=TODAY()-MOD(WEEKDAY(TODAY(),2)-5,7)),$D7,0)</f>
        <v>0</v>
      </c>
      <c r="CO57" s="67">
        <f ca="1">IF(AND($D7&lt;&gt;0,_xlfn.XLOOKUP($B7,'PW_CMI GRADE 10'!$B$7:$B$31,'PW_CMI GRADE 10'!BI$7:BI$31,"",0,1)="P",
   _xlfn.XLOOKUP($B7,'PW_CMI GRADE 10'!$B$7:$B$31,'PW_CMI GRADE 10'!$V$7:$V$31,"",0,1)&lt;=TODAY()-MOD(WEEKDAY(TODAY(),2)-5,7)),$D7,0)</f>
        <v>0</v>
      </c>
      <c r="CP57" s="67">
        <f ca="1">IF(AND($D7&lt;&gt;0,_xlfn.XLOOKUP($B7,'PW_CMI GRADE 10'!$B$7:$B$31,'PW_CMI GRADE 10'!BJ$7:BJ$31,"",0,1)="P",
   _xlfn.XLOOKUP($B7,'PW_CMI GRADE 10'!$B$7:$B$31,'PW_CMI GRADE 10'!$W$7:$W$31,"",0,1)&lt;=TODAY()-MOD(WEEKDAY(TODAY(),2)-5,7)),$D7,0)</f>
        <v>0</v>
      </c>
      <c r="CQ57" s="67">
        <f ca="1">IF(AND($D7&lt;&gt;0,_xlfn.XLOOKUP($B7,'PW_CMI GRADE 10'!$B$7:$B$31,'PW_CMI GRADE 10'!BK$7:BK$31,"",0,1)="P",
   _xlfn.XLOOKUP($B7,'PW_CMI GRADE 10'!$B$7:$B$31,'PW_CMI GRADE 10'!$U$7:$U$31,"",0,1)&lt;=TODAY()-MOD(WEEKDAY(TODAY(),2)-5,7)),$D7,0)</f>
        <v>0</v>
      </c>
      <c r="CR57" s="67">
        <f ca="1">IF(AND($D7&lt;&gt;0,_xlfn.XLOOKUP($B7,'PW_CMI GRADE 10'!$B$7:$B$31,'PW_CMI GRADE 10'!BL$7:BL$31,"",0,1)="P",
   _xlfn.XLOOKUP($B7,'PW_CMI GRADE 10'!$B$7:$B$31,'PW_CMI GRADE 10'!$V$7:$V$31,"",0,1)&lt;=TODAY()-MOD(WEEKDAY(TODAY(),2)-5,7)),$D7,0)</f>
        <v>0</v>
      </c>
      <c r="CS57" s="67">
        <f ca="1">IF(AND($D7&lt;&gt;0,_xlfn.XLOOKUP($B7,'PW_CMI GRADE 10'!$B$7:$B$31,'PW_CMI GRADE 10'!BM$7:BM$31,"",0,1)="P",
   _xlfn.XLOOKUP($B7,'PW_CMI GRADE 10'!$B$7:$B$31,'PW_CMI GRADE 10'!$W$7:$W$31,"",0,1)&lt;=TODAY()-MOD(WEEKDAY(TODAY(),2)-5,7)),$D7,0)</f>
        <v>0</v>
      </c>
      <c r="CT57" s="67">
        <f ca="1">IF(AND($D7&lt;&gt;0,_xlfn.XLOOKUP($B7,'PW_CMI GRADE 10'!$B$7:$B$31,'PW_CMI GRADE 10'!BN$7:BN$31,"",0,1)="P",
   _xlfn.XLOOKUP($B7,'PW_CMI GRADE 10'!$B$7:$B$31,'PW_CMI GRADE 10'!$U$7:$U$31,"",0,1)&lt;=TODAY()-MOD(WEEKDAY(TODAY(),2)-5,7)),$D7,0)</f>
        <v>0</v>
      </c>
      <c r="CU57" s="67">
        <f ca="1">IF(AND($D7&lt;&gt;0,_xlfn.XLOOKUP($B7,'PW_CMI GRADE 10'!$B$7:$B$31,'PW_CMI GRADE 10'!BO$7:BO$31,"",0,1)="P",
   _xlfn.XLOOKUP($B7,'PW_CMI GRADE 10'!$B$7:$B$31,'PW_CMI GRADE 10'!$V$7:$V$31,"",0,1)&lt;=TODAY()-MOD(WEEKDAY(TODAY(),2)-5,7)),$D7,0)</f>
        <v>0</v>
      </c>
      <c r="CV57" s="67">
        <f ca="1">IF(AND($D7&lt;&gt;0,_xlfn.XLOOKUP($B7,'PW_CMI GRADE 10'!$B$7:$B$31,'PW_CMI GRADE 10'!BP$7:BP$31,"",0,1)="P",
   _xlfn.XLOOKUP($B7,'PW_CMI GRADE 10'!$B$7:$B$31,'PW_CMI GRADE 10'!$W$7:$W$31,"",0,1)&lt;=TODAY()-MOD(WEEKDAY(TODAY(),2)-5,7)),$D7,0)</f>
        <v>0</v>
      </c>
      <c r="CW57" s="62" t="e">
        <f t="shared" ca="1" si="132"/>
        <v>#REF!</v>
      </c>
      <c r="CX57" s="62" t="e">
        <f t="shared" ca="1" si="69"/>
        <v>#REF!</v>
      </c>
      <c r="CY57" s="62" t="e">
        <f t="shared" ca="1" si="70"/>
        <v>#REF!</v>
      </c>
      <c r="CZ57" s="62" t="e">
        <f t="shared" ca="1" si="71"/>
        <v>#REF!</v>
      </c>
      <c r="DA57" s="62" t="e">
        <f t="shared" ca="1" si="72"/>
        <v>#REF!</v>
      </c>
      <c r="DB57" s="62" t="e">
        <f t="shared" ca="1" si="73"/>
        <v>#REF!</v>
      </c>
      <c r="DC57" s="62" t="e">
        <f t="shared" ca="1" si="74"/>
        <v>#REF!</v>
      </c>
      <c r="DD57" s="62" t="e">
        <f t="shared" ca="1" si="75"/>
        <v>#REF!</v>
      </c>
      <c r="DE57" s="62" t="e">
        <f t="shared" ca="1" si="76"/>
        <v>#REF!</v>
      </c>
      <c r="DF57" s="62" t="e">
        <f t="shared" ca="1" si="77"/>
        <v>#REF!</v>
      </c>
      <c r="DG57" s="62" t="e">
        <f t="shared" ca="1" si="78"/>
        <v>#REF!</v>
      </c>
      <c r="DH57" s="62" t="e">
        <f t="shared" ca="1" si="79"/>
        <v>#REF!</v>
      </c>
      <c r="DI57" s="62" t="e">
        <f t="shared" ca="1" si="80"/>
        <v>#REF!</v>
      </c>
      <c r="DJ57" s="62" t="e">
        <f t="shared" ca="1" si="81"/>
        <v>#REF!</v>
      </c>
      <c r="DK57" s="62" t="e">
        <f t="shared" ca="1" si="82"/>
        <v>#REF!</v>
      </c>
      <c r="DL57" s="62" t="e">
        <f t="shared" ca="1" si="83"/>
        <v>#REF!</v>
      </c>
      <c r="DM57" s="62" t="e">
        <f t="shared" ca="1" si="84"/>
        <v>#REF!</v>
      </c>
      <c r="DN57" s="62" t="e">
        <f t="shared" ca="1" si="85"/>
        <v>#REF!</v>
      </c>
      <c r="DO57" s="62" t="e">
        <f t="shared" ca="1" si="86"/>
        <v>#REF!</v>
      </c>
      <c r="DP57" s="62" t="e">
        <f t="shared" ca="1" si="87"/>
        <v>#REF!</v>
      </c>
      <c r="DQ57" s="62" t="e">
        <f t="shared" ca="1" si="88"/>
        <v>#REF!</v>
      </c>
      <c r="DR57" s="62" t="e">
        <f t="shared" ca="1" si="89"/>
        <v>#REF!</v>
      </c>
      <c r="DS57" s="62" t="e">
        <f t="shared" ca="1" si="90"/>
        <v>#REF!</v>
      </c>
      <c r="DT57" s="62" t="e">
        <f t="shared" ca="1" si="91"/>
        <v>#REF!</v>
      </c>
      <c r="DU57" s="62" t="e">
        <f t="shared" ca="1" si="92"/>
        <v>#REF!</v>
      </c>
      <c r="DV57" s="62" t="e">
        <f t="shared" ca="1" si="93"/>
        <v>#REF!</v>
      </c>
      <c r="DW57" s="62" t="e">
        <f t="shared" ca="1" si="94"/>
        <v>#REF!</v>
      </c>
      <c r="DX57" s="62" t="e">
        <f t="shared" ca="1" si="95"/>
        <v>#REF!</v>
      </c>
      <c r="DY57" s="62" t="e">
        <f t="shared" ca="1" si="96"/>
        <v>#REF!</v>
      </c>
      <c r="DZ57" s="62" t="e">
        <f t="shared" ca="1" si="97"/>
        <v>#REF!</v>
      </c>
      <c r="EA57" s="63" t="e">
        <f t="shared" ca="1" si="98"/>
        <v>#REF!</v>
      </c>
      <c r="EB57" s="63" t="e">
        <f t="shared" ca="1" si="99"/>
        <v>#REF!</v>
      </c>
      <c r="EC57" s="63" t="e">
        <f t="shared" ca="1" si="100"/>
        <v>#REF!</v>
      </c>
      <c r="ED57" s="63" t="e">
        <f t="shared" ca="1" si="101"/>
        <v>#REF!</v>
      </c>
      <c r="EE57" s="63" t="e">
        <f t="shared" ca="1" si="102"/>
        <v>#REF!</v>
      </c>
      <c r="EF57" s="63" t="e">
        <f t="shared" ca="1" si="103"/>
        <v>#REF!</v>
      </c>
      <c r="EG57" s="63" t="e">
        <f t="shared" ca="1" si="104"/>
        <v>#REF!</v>
      </c>
      <c r="EH57" s="63" t="e">
        <f t="shared" ca="1" si="105"/>
        <v>#REF!</v>
      </c>
      <c r="EI57" s="63" t="e">
        <f t="shared" ca="1" si="106"/>
        <v>#REF!</v>
      </c>
      <c r="EJ57" s="63" t="e">
        <f t="shared" ca="1" si="107"/>
        <v>#REF!</v>
      </c>
      <c r="EK57" s="63" t="e">
        <f t="shared" ca="1" si="108"/>
        <v>#REF!</v>
      </c>
      <c r="EL57" s="63" t="e">
        <f t="shared" ca="1" si="109"/>
        <v>#REF!</v>
      </c>
      <c r="EM57" s="63" t="e">
        <f t="shared" ca="1" si="110"/>
        <v>#REF!</v>
      </c>
      <c r="EN57" s="63" t="e">
        <f t="shared" ca="1" si="111"/>
        <v>#REF!</v>
      </c>
      <c r="EO57" s="63" t="e">
        <f t="shared" ca="1" si="112"/>
        <v>#REF!</v>
      </c>
      <c r="EP57" s="63" t="e">
        <f t="shared" ca="1" si="113"/>
        <v>#REF!</v>
      </c>
      <c r="ET57" t="str">
        <v>2.3</v>
      </c>
      <c r="EU57" s="38" t="e">
        <f t="shared" ca="1" si="114"/>
        <v>#REF!</v>
      </c>
      <c r="EV57" s="38" t="e">
        <f t="shared" ca="1" si="115"/>
        <v>#REF!</v>
      </c>
      <c r="EW57" s="38" t="e">
        <f t="shared" ca="1" si="116"/>
        <v>#REF!</v>
      </c>
      <c r="EX57" s="38" t="e">
        <f t="shared" ca="1" si="117"/>
        <v>#REF!</v>
      </c>
      <c r="EY57" s="38" t="e">
        <f t="shared" ca="1" si="118"/>
        <v>#REF!</v>
      </c>
      <c r="EZ57" s="38" t="e">
        <f t="shared" ca="1" si="119"/>
        <v>#REF!</v>
      </c>
      <c r="FA57" s="38" t="e">
        <f t="shared" ca="1" si="120"/>
        <v>#REF!</v>
      </c>
      <c r="FB57" s="38" t="e">
        <f t="shared" ca="1" si="121"/>
        <v>#REF!</v>
      </c>
      <c r="FC57" s="38" t="e">
        <f t="shared" ca="1" si="122"/>
        <v>#REF!</v>
      </c>
      <c r="FD57" s="38" t="e">
        <f t="shared" ca="1" si="123"/>
        <v>#REF!</v>
      </c>
      <c r="FE57" s="38">
        <f t="shared" ca="1" si="133"/>
        <v>0</v>
      </c>
      <c r="FF57" s="38" t="e">
        <f t="shared" ca="1" si="124"/>
        <v>#REF!</v>
      </c>
      <c r="FG57" s="38" t="e">
        <f t="shared" ca="1" si="125"/>
        <v>#REF!</v>
      </c>
      <c r="FH57" s="38" t="e">
        <f t="shared" ca="1" si="126"/>
        <v>#REF!</v>
      </c>
      <c r="FI57" s="38" t="e">
        <f t="shared" ca="1" si="127"/>
        <v>#REF!</v>
      </c>
      <c r="FJ57" s="38" t="e">
        <f t="shared" ca="1" si="128"/>
        <v>#REF!</v>
      </c>
      <c r="FK57" s="38" t="e">
        <f t="shared" ca="1" si="129"/>
        <v>#REF!</v>
      </c>
      <c r="FL57" s="38">
        <f t="shared" ca="1" si="130"/>
        <v>0</v>
      </c>
      <c r="FM57" s="38">
        <v>1</v>
      </c>
      <c r="FN57" s="38">
        <f t="shared" si="134"/>
        <v>0.66666666666666663</v>
      </c>
      <c r="FO57" s="38">
        <f t="shared" si="135"/>
        <v>0.33333333333333331</v>
      </c>
    </row>
    <row r="58" spans="1:223">
      <c r="A58" s="64" t="str">
        <f t="shared" si="131"/>
        <v>2.1</v>
      </c>
      <c r="B58" s="64" t="s">
        <v>39</v>
      </c>
      <c r="C58" s="30">
        <v>1</v>
      </c>
      <c r="D58" s="30">
        <v>1</v>
      </c>
      <c r="E58" s="65">
        <f ca="1">IF(AND($D8&lt;&gt;0,_xlfn.XLOOKUP($B8,'TH_MLG GRADE 10'!$B$7:$B$49,'TH_MLG GRADE 10'!C$7:C$49,"",0,1)="P",
   _xlfn.XLOOKUP($B8,'TH_MLG GRADE 10'!$B$7:$B$49,'TH_MLG GRADE 10'!$BK$7:$BK$49,"",0,1)&lt;=TODAY()-MOD(WEEKDAY(TODAY(),2)-5,7)),$D8,0)</f>
        <v>0</v>
      </c>
      <c r="F58" s="65">
        <f ca="1">IF(AND($D8&lt;&gt;0,_xlfn.XLOOKUP($B8,'TH_MLG GRADE 10'!$B$7:$B$49,'TH_MLG GRADE 10'!D$7:D$49,"",0,1)="P",
   _xlfn.XLOOKUP($B8,'TH_MLG GRADE 10'!$B$7:$B$49,'TH_MLG GRADE 10'!$BL$7:$BL$49,"",0,1)&lt;=TODAY()-MOD(WEEKDAY(TODAY(),2)-5,7)),$D8,0)</f>
        <v>0</v>
      </c>
      <c r="G58" s="65">
        <f ca="1">IF(AND($D8&lt;&gt;0,_xlfn.XLOOKUP($B8,'TH_MLG GRADE 10'!$B$7:$B$49,'TH_MLG GRADE 10'!E$7:E$49,"",0,1)="P",
   _xlfn.XLOOKUP($B8,'TH_MLG GRADE 10'!$B$7:$B$49,'TH_MLG GRADE 10'!$BM$7:$BM$49,"",0,1)&lt;=TODAY()-MOD(WEEKDAY(TODAY(),2)-5,7)),$D8,0)</f>
        <v>0</v>
      </c>
      <c r="H58" s="65">
        <f ca="1">IF(AND($D8&lt;&gt;0,_xlfn.XLOOKUP($B8,'TH_MLG GRADE 10'!$B$7:$B$49,'TH_MLG GRADE 10'!I$7:I$49,"",0,1)="P",
   _xlfn.XLOOKUP($B8,'TH_MLG GRADE 10'!$B$7:$B$49,'TH_MLG GRADE 10'!$BK$7:$BK$49,"",0,1)&lt;=TODAY()-MOD(WEEKDAY(TODAY(),2)-5,7)),$D8,0)</f>
        <v>0</v>
      </c>
      <c r="I58" s="65">
        <f ca="1">IF(AND($D8&lt;&gt;0,_xlfn.XLOOKUP($B8,'TH_MLG GRADE 10'!$B$7:$B$49,'TH_MLG GRADE 10'!J$7:J$49,"",0,1)="P",
   _xlfn.XLOOKUP($B8,'TH_MLG GRADE 10'!$B$7:$B$49,'TH_MLG GRADE 10'!$BL$7:$BL$49,"",0,1)&lt;=TODAY()-MOD(WEEKDAY(TODAY(),2)-5,7)),$D8,0)</f>
        <v>0</v>
      </c>
      <c r="J58" s="65">
        <f ca="1">IF(AND($D8&lt;&gt;0,_xlfn.XLOOKUP($B8,'TH_MLG GRADE 10'!$B$7:$B$49,'TH_MLG GRADE 10'!K$7:K$49,"",0,1)="P",
   _xlfn.XLOOKUP($B8,'TH_MLG GRADE 10'!$B$7:$B$49,'TH_MLG GRADE 10'!$BM$7:$BM$49,"",0,1)&lt;=TODAY()-MOD(WEEKDAY(TODAY(),2)-5,7)),$D8,0)</f>
        <v>0</v>
      </c>
      <c r="K58" s="65">
        <f ca="1">IF(AND($D8&lt;&gt;0,_xlfn.XLOOKUP($B8,'TH_MLG GRADE 10'!$B$7:$B$49,'TH_MLG GRADE 10'!O$7:O$49,"",0,1)="P",
   _xlfn.XLOOKUP($B8,'TH_MLG GRADE 10'!$B$7:$B$49,'TH_MLG GRADE 10'!$BK$7:$BK$49,"",0,1)&lt;=TODAY()-MOD(WEEKDAY(TODAY(),2)-5,7)),$D8,0)</f>
        <v>0</v>
      </c>
      <c r="L58" s="65">
        <f ca="1">IF(AND($D8&lt;&gt;0,_xlfn.XLOOKUP($B8,'TH_MLG GRADE 10'!$B$7:$B$49,'TH_MLG GRADE 10'!P$7:P$49,"",0,1)="P",
   _xlfn.XLOOKUP($B8,'TH_MLG GRADE 10'!$B$7:$B$49,'TH_MLG GRADE 10'!$BL$7:$BL$49,"",0,1)&lt;=TODAY()-MOD(WEEKDAY(TODAY(),2)-5,7)),$D8,0)</f>
        <v>0</v>
      </c>
      <c r="M58" s="65">
        <f ca="1">IF(AND($D8&lt;&gt;0,_xlfn.XLOOKUP($B8,'TH_MLG GRADE 10'!$B$7:$B$49,'TH_MLG GRADE 10'!Q$7:Q$49,"",0,1)="P",
   _xlfn.XLOOKUP($B8,'TH_MLG GRADE 10'!$B$7:$B$49,'TH_MLG GRADE 10'!$BM$7:$BM$49,"",0,1)&lt;=TODAY()-MOD(WEEKDAY(TODAY(),2)-5,7)),$D8,0)</f>
        <v>0</v>
      </c>
      <c r="N58" s="65">
        <f ca="1">IF(AND($D8&lt;&gt;0,_xlfn.XLOOKUP($B8,'TH_MLG GRADE 10'!$B$7:$B$49,'TH_MLG GRADE 10'!AA$7:AA$49,"",0,1)="P",
   _xlfn.XLOOKUP($B8,'TH_MLG GRADE 10'!$B$7:$B$49,'TH_MLG GRADE 10'!$BK$7:$BK$49,"",0,1)&lt;=TODAY()-MOD(WEEKDAY(TODAY(),2)-5,7)),$D8,0)</f>
        <v>0</v>
      </c>
      <c r="O58" s="65">
        <f ca="1">IF(AND($D8&lt;&gt;0,_xlfn.XLOOKUP($B8,'TH_MLG GRADE 10'!$B$7:$B$49,'TH_MLG GRADE 10'!AB$7:AB$49,"",0,1)="P",
   _xlfn.XLOOKUP($B8,'TH_MLG GRADE 10'!$B$7:$B$49,'TH_MLG GRADE 10'!$BL$7:$BL$49,"",0,1)&lt;=TODAY()-MOD(WEEKDAY(TODAY(),2)-5,7)),$D8,0)</f>
        <v>0</v>
      </c>
      <c r="P58" s="65">
        <f ca="1">IF(AND($D8&lt;&gt;0,_xlfn.XLOOKUP($B8,'TH_MLG GRADE 10'!$B$7:$B$49,'TH_MLG GRADE 10'!AC$7:AC$49,"",0,1)="P",
   _xlfn.XLOOKUP($B8,'TH_MLG GRADE 10'!$B$7:$B$49,'TH_MLG GRADE 10'!$BM$7:$BM$49,"",0,1)&lt;=TODAY()-MOD(WEEKDAY(TODAY(),2)-5,7)),$D8,0)</f>
        <v>0</v>
      </c>
      <c r="Q58" s="65">
        <f ca="1">IF(AND($D8&lt;&gt;0,_xlfn.XLOOKUP($B8,'TH_MLG GRADE 10'!$B$7:$B$49,'TH_MLG GRADE 10'!AG$7:AG$49,"",0,1)="P",
   _xlfn.XLOOKUP($B8,'TH_MLG GRADE 10'!$B$7:$B$49,'TH_MLG GRADE 10'!$BK$7:$BK$49,"",0,1)&lt;=TODAY()-MOD(WEEKDAY(TODAY(),2)-5,7)),$D8,0)</f>
        <v>0</v>
      </c>
      <c r="R58" s="65">
        <f ca="1">IF(AND($D8&lt;&gt;0,_xlfn.XLOOKUP($B8,'TH_MLG GRADE 10'!$B$7:$B$49,'TH_MLG GRADE 10'!AH$7:AH$49,"",0,1)="P",
   _xlfn.XLOOKUP($B8,'TH_MLG GRADE 10'!$B$7:$B$49,'TH_MLG GRADE 10'!$BL$7:$BL$49,"",0,1)&lt;=TODAY()-MOD(WEEKDAY(TODAY(),2)-5,7)),$D8,0)</f>
        <v>0</v>
      </c>
      <c r="S58" s="65">
        <f ca="1">IF(AND($D8&lt;&gt;0,_xlfn.XLOOKUP($B8,'TH_MLG GRADE 10'!$B$7:$B$49,'TH_MLG GRADE 10'!AI$7:AI$49,"",0,1)="P",
   _xlfn.XLOOKUP($B8,'TH_MLG GRADE 10'!$B$7:$B$49,'TH_MLG GRADE 10'!$BM$7:$BM$49,"",0,1)&lt;=TODAY()-MOD(WEEKDAY(TODAY(),2)-5,7)),$D8,0)</f>
        <v>0</v>
      </c>
      <c r="T58" s="65">
        <f ca="1">IF(AND($D8&lt;&gt;0,_xlfn.XLOOKUP($B8,'TH_MLG GRADE 10'!$B$7:$B$49,'TH_MLG GRADE 10'!AM$7:AM$49,"",0,1)="P",
   _xlfn.XLOOKUP($B8,'TH_MLG GRADE 10'!$B$7:$B$49,'TH_MLG GRADE 10'!$BK$7:$BK$49,"",0,1)&lt;=TODAY()-MOD(WEEKDAY(TODAY(),2)-5,7)),$D8,0)</f>
        <v>1</v>
      </c>
      <c r="U58" s="65">
        <f ca="1">IF(AND($D8&lt;&gt;0,_xlfn.XLOOKUP($B8,'TH_MLG GRADE 10'!$B$7:$B$49,'TH_MLG GRADE 10'!AN$7:AN$49,"",0,1)="P",
   _xlfn.XLOOKUP($B8,'TH_MLG GRADE 10'!$B$7:$B$49,'TH_MLG GRADE 10'!$BL$7:$BL$49,"",0,1)&lt;=TODAY()-MOD(WEEKDAY(TODAY(),2)-5,7)),$D8,0)</f>
        <v>1</v>
      </c>
      <c r="V58" s="65">
        <f ca="1">IF(AND($D8&lt;&gt;0,_xlfn.XLOOKUP($B8,'TH_MLG GRADE 10'!$B$7:$B$49,'TH_MLG GRADE 10'!AO$7:AO$49,"",0,1)="P",
   _xlfn.XLOOKUP($B8,'TH_MLG GRADE 10'!$B$7:$B$49,'TH_MLG GRADE 10'!$BM$7:$BM$49,"",0,1)&lt;=TODAY()-MOD(WEEKDAY(TODAY(),2)-5,7)),$D8,0)</f>
        <v>1</v>
      </c>
      <c r="W58" s="65">
        <f ca="1">IF(AND($D8&lt;&gt;0,_xlfn.XLOOKUP($B8,'TH_MLG GRADE 10'!$B$7:$B$49,'TH_MLG GRADE 10'!AY$7:AY$49,"",0,1)="P",
   _xlfn.XLOOKUP($B8,'TH_MLG GRADE 10'!$B$7:$B$49,'TH_MLG GRADE 10'!$BK$7:$BK$49,"",0,1)&lt;=TODAY()-MOD(WEEKDAY(TODAY(),2)-5,7)),$D8,0)</f>
        <v>1</v>
      </c>
      <c r="X58" s="65">
        <f ca="1">IF(AND($D8&lt;&gt;0,_xlfn.XLOOKUP($B8,'TH_MLG GRADE 10'!$B$7:$B$49,'TH_MLG GRADE 10'!AZ$7:AZ$49,"",0,1)="P",
   _xlfn.XLOOKUP($B8,'TH_MLG GRADE 10'!$B$7:$B$49,'TH_MLG GRADE 10'!$BL$7:$BL$49,"",0,1)&lt;=TODAY()-MOD(WEEKDAY(TODAY(),2)-5,7)),$D8,0)</f>
        <v>1</v>
      </c>
      <c r="Y58" s="65">
        <f ca="1">IF(AND($D8&lt;&gt;0,_xlfn.XLOOKUP($B8,'TH_MLG GRADE 10'!$B$7:$B$49,'TH_MLG GRADE 10'!BA$7:BA$49,"",0,1)="P",
   _xlfn.XLOOKUP($B8,'TH_MLG GRADE 10'!$B$7:$B$49,'TH_MLG GRADE 10'!$BM$7:$BM$49,"",0,1)&lt;=TODAY()-MOD(WEEKDAY(TODAY(),2)-5,7)),$D8,0)</f>
        <v>0</v>
      </c>
      <c r="Z58" s="65">
        <f ca="1">IF(AND($D8&lt;&gt;0,_xlfn.XLOOKUP($B8,'TH_MLG GRADE 10'!$B$7:$B$49,'TH_MLG GRADE 10'!BE$7:BE$49,"",0,1)="P",
   _xlfn.XLOOKUP($B8,'TH_MLG GRADE 10'!$B$7:$B$49,'TH_MLG GRADE 10'!$BK$7:$BK$49,"",0,1)&lt;=TODAY()-MOD(WEEKDAY(TODAY(),2)-5,7)),$D8,0)</f>
        <v>0</v>
      </c>
      <c r="AA58" s="65">
        <f ca="1">IF(AND($D8&lt;&gt;0,_xlfn.XLOOKUP($B8,'TH_MLG GRADE 10'!$B$7:$B$49,'TH_MLG GRADE 10'!BF$7:BF$49,"",0,1)="P",
   _xlfn.XLOOKUP($B8,'TH_MLG GRADE 10'!$B$7:$B$49,'TH_MLG GRADE 10'!$BL$7:$BL$49,"",0,1)&lt;=TODAY()-MOD(WEEKDAY(TODAY(),2)-5,7)),$D8,0)</f>
        <v>0</v>
      </c>
      <c r="AB58" s="65">
        <f ca="1">IF(AND($D8&lt;&gt;0,_xlfn.XLOOKUP($B8,'TH_MLG GRADE 10'!$B$7:$B$49,'TH_MLG GRADE 10'!BG$7:BG$49,"",0,1)="P",
   _xlfn.XLOOKUP($B8,'TH_MLG GRADE 10'!$B$7:$B$49,'TH_MLG GRADE 10'!$BM$7:$BM$49,"",0,1)&lt;=TODAY()-MOD(WEEKDAY(TODAY(),2)-5,7)),$D8,0)</f>
        <v>0</v>
      </c>
      <c r="AC58" s="65" t="e">
        <f ca="1">IF(AND($D8&lt;&gt;0,_xlfn.XLOOKUP($B8,'TH_MLG GRADE 10'!$B$7:$B$49,'TH_MLG GRADE 10'!#REF!,"",0,1)="P",
   _xlfn.XLOOKUP($B8,'TH_MLG GRADE 10'!$B$7:$B$49,'TH_MLG GRADE 10'!$BK$7:$BK$49,"",0,1)&lt;=TODAY()-MOD(WEEKDAY(TODAY(),2)-5,7)),$D8,0)</f>
        <v>#REF!</v>
      </c>
      <c r="AD58" s="65" t="e">
        <f ca="1">IF(AND($D8&lt;&gt;0,_xlfn.XLOOKUP($B8,'TH_MLG GRADE 10'!$B$7:$B$49,'TH_MLG GRADE 10'!#REF!,"",0,1)="P",
   _xlfn.XLOOKUP($B8,'TH_MLG GRADE 10'!$B$7:$B$49,'TH_MLG GRADE 10'!$BL$7:$BL$49,"",0,1)&lt;=TODAY()-MOD(WEEKDAY(TODAY(),2)-5,7)),$D8,0)</f>
        <v>#REF!</v>
      </c>
      <c r="AE58" s="65" t="e">
        <f ca="1">IF(AND($D8&lt;&gt;0,_xlfn.XLOOKUP($B8,'TH_MLG GRADE 10'!$B$7:$B$49,'TH_MLG GRADE 10'!#REF!,"",0,1)="P",
   _xlfn.XLOOKUP($B8,'TH_MLG GRADE 10'!$B$7:$B$49,'TH_MLG GRADE 10'!$BM$7:$BM$49,"",0,1)&lt;=TODAY()-MOD(WEEKDAY(TODAY(),2)-5,7)),$D8,0)</f>
        <v>#REF!</v>
      </c>
      <c r="AF58" s="65" t="e">
        <f ca="1">IF(AND($D8&lt;&gt;0,_xlfn.XLOOKUP($B8,'TH_MLG GRADE 10'!$B$7:$B$49,'TH_MLG GRADE 10'!#REF!,"",0,1)="P",
   _xlfn.XLOOKUP($B8,'TH_MLG GRADE 10'!$B$7:$B$49,'TH_MLG GRADE 10'!$BK$7:$BK$49,"",0,1)&lt;=TODAY()-MOD(WEEKDAY(TODAY(),2)-5,7)),$D8,0)</f>
        <v>#REF!</v>
      </c>
      <c r="AG58" s="65" t="e">
        <f ca="1">IF(AND($D8&lt;&gt;0,_xlfn.XLOOKUP($B8,'TH_MLG GRADE 10'!$B$7:$B$49,'TH_MLG GRADE 10'!#REF!,"",0,1)="P",
   _xlfn.XLOOKUP($B8,'TH_MLG GRADE 10'!$B$7:$B$49,'TH_MLG GRADE 10'!$BL$7:$BL$49,"",0,1)&lt;=TODAY()-MOD(WEEKDAY(TODAY(),2)-5,7)),$D8,0)</f>
        <v>#REF!</v>
      </c>
      <c r="AH58" s="65" t="e">
        <f ca="1">IF(AND($D8&lt;&gt;0,_xlfn.XLOOKUP($B8,'TH_MLG GRADE 10'!$B$7:$B$49,'TH_MLG GRADE 10'!#REF!,"",0,1)="P",
   _xlfn.XLOOKUP($B8,'TH_MLG GRADE 10'!$B$7:$B$49,'TH_MLG GRADE 10'!$BM$7:$BM$49,"",0,1)&lt;=TODAY()-MOD(WEEKDAY(TODAY(),2)-5,7)),$D8,0)</f>
        <v>#REF!</v>
      </c>
      <c r="AI58" s="67">
        <f ca="1">IF(AND($D8&lt;&gt;0,_xlfn.XLOOKUP($B8,'TH_CMI GRADE 10'!$B$7:$B$49,'TH_CMI GRADE 10'!C$7:C$49,"",0,1)="P",
   _xlfn.XLOOKUP($B8,'TH_CMI GRADE 10'!$B$7:$B$49,'TH_CMI GRADE 10'!$AS$7:$AS$49,"",0,1)&lt;=TODAY()-MOD(WEEKDAY(TODAY(),2)-5,7)),$D8,0)</f>
        <v>0</v>
      </c>
      <c r="AJ58" s="67">
        <f ca="1">IF(AND($D8&lt;&gt;0,_xlfn.XLOOKUP($B8,'TH_CMI GRADE 10'!$B$7:$B$49,'TH_CMI GRADE 10'!D$7:D$49,"",0,1)="P",
   _xlfn.XLOOKUP($B8,'TH_CMI GRADE 10'!$B$7:$B$49,'TH_CMI GRADE 10'!$AT$7:$AT$49,"",0,1)&lt;=TODAY()-MOD(WEEKDAY(TODAY(),2)-5,7)),$D8,0)</f>
        <v>0</v>
      </c>
      <c r="AK58" s="67" t="e">
        <f ca="1">IF(AND($D8&lt;&gt;0,_xlfn.XLOOKUP($B8,'TH_CMI GRADE 10'!$B$7:$B$49,'TH_CMI GRADE 10'!H$7:H$49,"",0,1)="P",
   _xlfn.XLOOKUP($B8,'TH_CMI GRADE 10'!$B$7:$B$49,'TH_CMI GRADE 10'!#REF!,"",0,1)&lt;=TODAY()-MOD(WEEKDAY(TODAY(),2)-5,7)),$D8,0)</f>
        <v>#REF!</v>
      </c>
      <c r="AL58" s="67">
        <f ca="1">IF(AND($D8&lt;&gt;0,_xlfn.XLOOKUP($B8,'TH_CMI GRADE 10'!$B$7:$B$49,'TH_CMI GRADE 10'!I$7:I$49,"",0,1)="P",
   _xlfn.XLOOKUP($B8,'TH_CMI GRADE 10'!$B$7:$B$49,'TH_CMI GRADE 10'!$AS$7:$AS$49,"",0,1)&lt;=TODAY()-MOD(WEEKDAY(TODAY(),2)-5,7)),$D8,0)</f>
        <v>0</v>
      </c>
      <c r="AM58" s="67">
        <f ca="1">IF(AND($D8&lt;&gt;0,_xlfn.XLOOKUP($B8,'TH_CMI GRADE 10'!$B$7:$B$49,'TH_CMI GRADE 10'!J$7:J$49,"",0,1)="P",
   _xlfn.XLOOKUP($B8,'TH_CMI GRADE 10'!$B$7:$B$49,'TH_CMI GRADE 10'!$AT$7:$AT$49,"",0,1)&lt;=TODAY()-MOD(WEEKDAY(TODAY(),2)-5,7)),$D8,0)</f>
        <v>0</v>
      </c>
      <c r="AN58" s="67" t="e">
        <f ca="1">IF(AND($D8&lt;&gt;0,_xlfn.XLOOKUP($B8,'TH_CMI GRADE 10'!$B$7:$B$49,'TH_CMI GRADE 10'!K$7:K$49,"",0,1)="P",
   _xlfn.XLOOKUP($B8,'TH_CMI GRADE 10'!$B$7:$B$49,'TH_CMI GRADE 10'!#REF!,"",0,1)&lt;=TODAY()-MOD(WEEKDAY(TODAY(),2)-5,7)),$D8,0)</f>
        <v>#REF!</v>
      </c>
      <c r="AO58" s="67">
        <f ca="1">IF(AND($D8&lt;&gt;0,_xlfn.XLOOKUP($B8,'TH_CMI GRADE 10'!$B$7:$B$49,'TH_CMI GRADE 10'!O$7:O$49,"",0,1)="P",
   _xlfn.XLOOKUP($B8,'TH_CMI GRADE 10'!$B$7:$B$49,'TH_CMI GRADE 10'!$AS$7:$AS$49,"",0,1)&lt;=TODAY()-MOD(WEEKDAY(TODAY(),2)-5,7)),$D8,0)</f>
        <v>0</v>
      </c>
      <c r="AP58" s="67">
        <f ca="1">IF(AND($D8&lt;&gt;0,_xlfn.XLOOKUP($B8,'TH_CMI GRADE 10'!$B$7:$B$49,'TH_CMI GRADE 10'!P$7:P$49,"",0,1)="P",
   _xlfn.XLOOKUP($B8,'TH_CMI GRADE 10'!$B$7:$B$49,'TH_CMI GRADE 10'!$AT$7:$AT$49,"",0,1)&lt;=TODAY()-MOD(WEEKDAY(TODAY(),2)-5,7)),$D8,0)</f>
        <v>0</v>
      </c>
      <c r="AQ58" s="67" t="e">
        <f ca="1">IF(AND($D8&lt;&gt;0,_xlfn.XLOOKUP($B8,'TH_CMI GRADE 10'!$B$7:$B$49,'TH_CMI GRADE 10'!Q$7:Q$49,"",0,1)="P",
   _xlfn.XLOOKUP($B8,'TH_CMI GRADE 10'!$B$7:$B$49,'TH_CMI GRADE 10'!#REF!,"",0,1)&lt;=TODAY()-MOD(WEEKDAY(TODAY(),2)-5,7)),$D8,0)</f>
        <v>#REF!</v>
      </c>
      <c r="AR58" s="67">
        <f ca="1">IF(AND($D8&lt;&gt;0,_xlfn.XLOOKUP($B8,'TH_CMI GRADE 10'!$B$7:$B$49,'TH_CMI GRADE 10'!U$7:U$49,"",0,1)="P",
   _xlfn.XLOOKUP($B8,'TH_CMI GRADE 10'!$B$7:$B$49,'TH_CMI GRADE 10'!$AS$7:$AS$49,"",0,1)&lt;=TODAY()-MOD(WEEKDAY(TODAY(),2)-5,7)),$D8,0)</f>
        <v>0</v>
      </c>
      <c r="AS58" s="67">
        <f ca="1">IF(AND($D8&lt;&gt;0,_xlfn.XLOOKUP($B8,'TH_CMI GRADE 10'!$B$7:$B$49,'TH_CMI GRADE 10'!V$7:V$49,"",0,1)="P",
   _xlfn.XLOOKUP($B8,'TH_CMI GRADE 10'!$B$7:$B$49,'TH_CMI GRADE 10'!$AT$7:$AT$49,"",0,1)&lt;=TODAY()-MOD(WEEKDAY(TODAY(),2)-5,7)),$D8,0)</f>
        <v>0</v>
      </c>
      <c r="AT58" s="67" t="e">
        <f ca="1">IF(AND($D8&lt;&gt;0,_xlfn.XLOOKUP($B8,'TH_CMI GRADE 10'!$B$7:$B$49,'TH_CMI GRADE 10'!W$7:W$49,"",0,1)="P",
   _xlfn.XLOOKUP($B8,'TH_CMI GRADE 10'!$B$7:$B$49,'TH_CMI GRADE 10'!#REF!,"",0,1)&lt;=TODAY()-MOD(WEEKDAY(TODAY(),2)-5,7)),$D8,0)</f>
        <v>#REF!</v>
      </c>
      <c r="AU58" s="67">
        <f ca="1">IF(AND($D8&lt;&gt;0,_xlfn.XLOOKUP($B8,'TH_CMI GRADE 10'!$B$7:$B$49,'TH_CMI GRADE 10'!AA$7:AA$49,"",0,1)="P",
   _xlfn.XLOOKUP($B8,'TH_CMI GRADE 10'!$B$7:$B$49,'TH_CMI GRADE 10'!$AS$7:$AS$49,"",0,1)&lt;=TODAY()-MOD(WEEKDAY(TODAY(),2)-5,7)),$D8,0)</f>
        <v>1</v>
      </c>
      <c r="AV58" s="67">
        <f ca="1">IF(AND($D8&lt;&gt;0,_xlfn.XLOOKUP($B8,'TH_CMI GRADE 10'!$B$7:$B$49,'TH_CMI GRADE 10'!AB$7:AB$49,"",0,1)="P",
   _xlfn.XLOOKUP($B8,'TH_CMI GRADE 10'!$B$7:$B$49,'TH_CMI GRADE 10'!$AT$7:$AT$49,"",0,1)&lt;=TODAY()-MOD(WEEKDAY(TODAY(),2)-5,7)),$D8,0)</f>
        <v>1</v>
      </c>
      <c r="AW58" s="67" t="e">
        <f ca="1">IF(AND($D8&lt;&gt;0,_xlfn.XLOOKUP($B8,'TH_CMI GRADE 10'!$B$7:$B$49,'TH_CMI GRADE 10'!AC$7:AC$49,"",0,1)="P",
   _xlfn.XLOOKUP($B8,'TH_CMI GRADE 10'!$B$7:$B$49,'TH_CMI GRADE 10'!#REF!,"",0,1)&lt;=TODAY()-MOD(WEEKDAY(TODAY(),2)-5,7)),$D8,0)</f>
        <v>#REF!</v>
      </c>
      <c r="AX58" s="67">
        <f ca="1">IF(AND($D8&lt;&gt;0,_xlfn.XLOOKUP($B8,'TH_CMI GRADE 10'!$B$7:$B$49,'TH_CMI GRADE 10'!AG$7:AG$49,"",0,1)="P",
   _xlfn.XLOOKUP($B8,'TH_CMI GRADE 10'!$B$7:$B$49,'TH_CMI GRADE 10'!$AS$7:$AS$49,"",0,1)&lt;=TODAY()-MOD(WEEKDAY(TODAY(),2)-5,7)),$D8,0)</f>
        <v>1</v>
      </c>
      <c r="AY58" s="67">
        <f ca="1">IF(AND($D8&lt;&gt;0,_xlfn.XLOOKUP($B8,'TH_CMI GRADE 10'!$B$7:$B$49,'TH_CMI GRADE 10'!AH$7:AH$49,"",0,1)="P",
   _xlfn.XLOOKUP($B8,'TH_CMI GRADE 10'!$B$7:$B$49,'TH_CMI GRADE 10'!$AT$7:$AT$49,"",0,1)&lt;=TODAY()-MOD(WEEKDAY(TODAY(),2)-5,7)),$D8,0)</f>
        <v>1</v>
      </c>
      <c r="AZ58" s="67" t="e">
        <f ca="1">IF(AND($D8&lt;&gt;0,_xlfn.XLOOKUP($B8,'TH_CMI GRADE 10'!$B$7:$B$49,'TH_CMI GRADE 10'!AI$7:AI$49,"",0,1)="P",
   _xlfn.XLOOKUP($B8,'TH_CMI GRADE 10'!$B$7:$B$49,'TH_CMI GRADE 10'!#REF!,"",0,1)&lt;=TODAY()-MOD(WEEKDAY(TODAY(),2)-5,7)),$D8,0)</f>
        <v>#REF!</v>
      </c>
      <c r="BA58" s="65" t="e">
        <f ca="1">IF(AND($D8&lt;&gt;0,_xlfn.XLOOKUP($B8,'PW_MLG GRADE 10'!$B$7:$B$31,'PW_MLG GRADE 10'!R$7:R$31,"",0,1)="P",
   _xlfn.XLOOKUP($B8,'PW_MLG GRADE 10'!$B$7:$B$31,'PW_MLG GRADE 10'!#REF!,"",0,1)&lt;=TODAY()-MOD(WEEKDAY(TODAY(),2)-5,7)),$D8,0)</f>
        <v>#REF!</v>
      </c>
      <c r="BB58" s="65" t="e">
        <f ca="1">IF(AND($D8&lt;&gt;0,_xlfn.XLOOKUP($B8,'PW_MLG GRADE 10'!$B$7:$B$31,'PW_MLG GRADE 10'!S$7:S$31,"",0,1)="P",
   _xlfn.XLOOKUP($B8,'PW_MLG GRADE 10'!$B$7:$B$31,'PW_MLG GRADE 10'!#REF!,"",0,1)&lt;=TODAY()-MOD(WEEKDAY(TODAY(),2)-5,7)),$D8,0)</f>
        <v>#REF!</v>
      </c>
      <c r="BC58" s="65" t="e">
        <f ca="1">IF(AND($D8&lt;&gt;0,_xlfn.XLOOKUP($B8,'PW_MLG GRADE 10'!$B$7:$B$31,'PW_MLG GRADE 10'!T$7:T$31,"",0,1)="P",
   _xlfn.XLOOKUP($B8,'PW_MLG GRADE 10'!$B$7:$B$31,'PW_MLG GRADE 10'!#REF!,"",0,1)&lt;=TODAY()-MOD(WEEKDAY(TODAY(),2)-5,7)),$D8,0)</f>
        <v>#REF!</v>
      </c>
      <c r="BD58" s="65" t="e">
        <f ca="1">IF(AND($D8&lt;&gt;0,_xlfn.XLOOKUP($B8,'PW_MLG GRADE 10'!$B$7:$B$31,'PW_MLG GRADE 10'!AA$7:AA$31,"",0,1)="P",
   _xlfn.XLOOKUP($B8,'PW_MLG GRADE 10'!$B$7:$B$31,'PW_MLG GRADE 10'!#REF!,"",0,1)&lt;=TODAY()-MOD(WEEKDAY(TODAY(),2)-5,7)),$D8,0)</f>
        <v>#REF!</v>
      </c>
      <c r="BE58" s="65" t="e">
        <f ca="1">IF(AND($D8&lt;&gt;0,_xlfn.XLOOKUP($B8,'PW_MLG GRADE 10'!$B$7:$B$31,'PW_MLG GRADE 10'!AB$7:AB$31,"",0,1)="P",
   _xlfn.XLOOKUP($B8,'PW_MLG GRADE 10'!$B$7:$B$31,'PW_MLG GRADE 10'!#REF!,"",0,1)&lt;=TODAY()-MOD(WEEKDAY(TODAY(),2)-5,7)),$D8,0)</f>
        <v>#REF!</v>
      </c>
      <c r="BF58" s="65" t="e">
        <f ca="1">IF(AND($D8&lt;&gt;0,_xlfn.XLOOKUP($B8,'PW_MLG GRADE 10'!$B$7:$B$31,'PW_MLG GRADE 10'!AC$7:AC$31,"",0,1)="P",
   _xlfn.XLOOKUP($B8,'PW_MLG GRADE 10'!$B$7:$B$31,'PW_MLG GRADE 10'!#REF!,"",0,1)&lt;=TODAY()-MOD(WEEKDAY(TODAY(),2)-5,7)),$D8,0)</f>
        <v>#REF!</v>
      </c>
      <c r="BG58" s="65" t="e">
        <f ca="1">IF(AND($D8&lt;&gt;0,_xlfn.XLOOKUP($B8,'PW_MLG GRADE 10'!$B$7:$B$31,'PW_MLG GRADE 10'!AD$7:AD$31,"",0,1)="P",
   _xlfn.XLOOKUP($B8,'PW_MLG GRADE 10'!$B$7:$B$31,'PW_MLG GRADE 10'!#REF!,"",0,1)&lt;=TODAY()-MOD(WEEKDAY(TODAY(),2)-5,7)),$D8,0)</f>
        <v>#REF!</v>
      </c>
      <c r="BH58" s="65" t="e">
        <f ca="1">IF(AND($D8&lt;&gt;0,_xlfn.XLOOKUP($B8,'PW_MLG GRADE 10'!$B$7:$B$31,'PW_MLG GRADE 10'!AE$7:AE$31,"",0,1)="P",
   _xlfn.XLOOKUP($B8,'PW_MLG GRADE 10'!$B$7:$B$31,'PW_MLG GRADE 10'!#REF!,"",0,1)&lt;=TODAY()-MOD(WEEKDAY(TODAY(),2)-5,7)),$D8,0)</f>
        <v>#REF!</v>
      </c>
      <c r="BI58" s="65" t="e">
        <f ca="1">IF(AND($D8&lt;&gt;0,_xlfn.XLOOKUP($B8,'PW_MLG GRADE 10'!$B$7:$B$31,'PW_MLG GRADE 10'!AF$7:AF$31,"",0,1)="P",
   _xlfn.XLOOKUP($B8,'PW_MLG GRADE 10'!$B$7:$B$31,'PW_MLG GRADE 10'!#REF!,"",0,1)&lt;=TODAY()-MOD(WEEKDAY(TODAY(),2)-5,7)),$D8,0)</f>
        <v>#REF!</v>
      </c>
      <c r="BJ58" s="65" t="e">
        <f ca="1">IF(AND($D8&lt;&gt;0,_xlfn.XLOOKUP($B8,'PW_MLG GRADE 10'!$B$7:$B$31,'PW_MLG GRADE 10'!AG$7:AG$31,"",0,1)="P",
   _xlfn.XLOOKUP($B8,'PW_MLG GRADE 10'!$B$7:$B$31,'PW_MLG GRADE 10'!#REF!,"",0,1)&lt;=TODAY()-MOD(WEEKDAY(TODAY(),2)-5,7)),$D8,0)</f>
        <v>#REF!</v>
      </c>
      <c r="BK58" s="65" t="e">
        <f ca="1">IF(AND($D8&lt;&gt;0,_xlfn.XLOOKUP($B8,'PW_MLG GRADE 10'!$B$7:$B$31,'PW_MLG GRADE 10'!AH$7:AH$31,"",0,1)="P",
   _xlfn.XLOOKUP($B8,'PW_MLG GRADE 10'!$B$7:$B$31,'PW_MLG GRADE 10'!#REF!,"",0,1)&lt;=TODAY()-MOD(WEEKDAY(TODAY(),2)-5,7)),$D8,0)</f>
        <v>#REF!</v>
      </c>
      <c r="BL58" s="65" t="e">
        <f ca="1">IF(AND($D8&lt;&gt;0,_xlfn.XLOOKUP($B8,'PW_MLG GRADE 10'!$B$7:$B$31,'PW_MLG GRADE 10'!AI$7:AI$31,"",0,1)="P",
   _xlfn.XLOOKUP($B8,'PW_MLG GRADE 10'!$B$7:$B$31,'PW_MLG GRADE 10'!#REF!,"",0,1)&lt;=TODAY()-MOD(WEEKDAY(TODAY(),2)-5,7)),$D8,0)</f>
        <v>#REF!</v>
      </c>
      <c r="BM58" s="65" t="e">
        <f ca="1">IF(AND($D8&lt;&gt;0,_xlfn.XLOOKUP($B8,'PW_MLG GRADE 10'!$B$7:$B$31,'PW_MLG GRADE 10'!AJ$7:AJ$31,"",0,1)="P",
   _xlfn.XLOOKUP($B8,'PW_MLG GRADE 10'!$B$7:$B$31,'PW_MLG GRADE 10'!#REF!,"",0,1)&lt;=TODAY()-MOD(WEEKDAY(TODAY(),2)-5,7)),$D8,0)</f>
        <v>#REF!</v>
      </c>
      <c r="BN58" s="65" t="e">
        <f ca="1">IF(AND($D8&lt;&gt;0,_xlfn.XLOOKUP($B8,'PW_MLG GRADE 10'!$B$7:$B$31,'PW_MLG GRADE 10'!AK$7:AK$31,"",0,1)="P",
   _xlfn.XLOOKUP($B8,'PW_MLG GRADE 10'!$B$7:$B$31,'PW_MLG GRADE 10'!#REF!,"",0,1)&lt;=TODAY()-MOD(WEEKDAY(TODAY(),2)-5,7)),$D8,0)</f>
        <v>#REF!</v>
      </c>
      <c r="BO58" s="65" t="e">
        <f ca="1">IF(AND($D8&lt;&gt;0,_xlfn.XLOOKUP($B8,'PW_MLG GRADE 10'!$B$7:$B$31,'PW_MLG GRADE 10'!AL$7:AL$31,"",0,1)="P",
   _xlfn.XLOOKUP($B8,'PW_MLG GRADE 10'!$B$7:$B$31,'PW_MLG GRADE 10'!#REF!,"",0,1)&lt;=TODAY()-MOD(WEEKDAY(TODAY(),2)-5,7)),$D8,0)</f>
        <v>#REF!</v>
      </c>
      <c r="BP58" s="65" t="e">
        <f ca="1">IF(AND($D8&lt;&gt;0,_xlfn.XLOOKUP($B8,'PW_MLG GRADE 10'!$B$7:$B$31,'PW_MLG GRADE 10'!AM$7:AM$31,"",0,1)="P",
   _xlfn.XLOOKUP($B8,'PW_MLG GRADE 10'!$B$7:$B$31,'PW_MLG GRADE 10'!#REF!,"",0,1)&lt;=TODAY()-MOD(WEEKDAY(TODAY(),2)-5,7)),$D8,0)</f>
        <v>#REF!</v>
      </c>
      <c r="BQ58" s="65" t="e">
        <f ca="1">IF(AND($D8&lt;&gt;0,_xlfn.XLOOKUP($B8,'PW_MLG GRADE 10'!$B$7:$B$31,'PW_MLG GRADE 10'!AN$7:AN$31,"",0,1)="P",
   _xlfn.XLOOKUP($B8,'PW_MLG GRADE 10'!$B$7:$B$31,'PW_MLG GRADE 10'!#REF!,"",0,1)&lt;=TODAY()-MOD(WEEKDAY(TODAY(),2)-5,7)),$D8,0)</f>
        <v>#REF!</v>
      </c>
      <c r="BR58" s="65" t="e">
        <f ca="1">IF(AND($D8&lt;&gt;0,_xlfn.XLOOKUP($B8,'PW_MLG GRADE 10'!$B$7:$B$31,'PW_MLG GRADE 10'!AO$7:AO$31,"",0,1)="P",
   _xlfn.XLOOKUP($B8,'PW_MLG GRADE 10'!$B$7:$B$31,'PW_MLG GRADE 10'!#REF!,"",0,1)&lt;=TODAY()-MOD(WEEKDAY(TODAY(),2)-5,7)),$D8,0)</f>
        <v>#REF!</v>
      </c>
      <c r="BS58" s="65" t="e">
        <f ca="1">IF(AND($D8&lt;&gt;0,_xlfn.XLOOKUP($B8,'PW_MLG GRADE 10'!$B$7:$B$31,'PW_MLG GRADE 10'!AP$7:AP$31,"",0,1)="P",
   _xlfn.XLOOKUP($B8,'PW_MLG GRADE 10'!$B$7:$B$31,'PW_MLG GRADE 10'!#REF!,"",0,1)&lt;=TODAY()-MOD(WEEKDAY(TODAY(),2)-5,7)),$D8,0)</f>
        <v>#REF!</v>
      </c>
      <c r="BT58" s="65" t="e">
        <f ca="1">IF(AND($D8&lt;&gt;0,_xlfn.XLOOKUP($B8,'PW_MLG GRADE 10'!$B$7:$B$31,'PW_MLG GRADE 10'!AQ$7:AQ$31,"",0,1)="P",
   _xlfn.XLOOKUP($B8,'PW_MLG GRADE 10'!$B$7:$B$31,'PW_MLG GRADE 10'!#REF!,"",0,1)&lt;=TODAY()-MOD(WEEKDAY(TODAY(),2)-5,7)),$D8,0)</f>
        <v>#REF!</v>
      </c>
      <c r="BU58" s="65" t="e">
        <f ca="1">IF(AND($D8&lt;&gt;0,_xlfn.XLOOKUP($B8,'PW_MLG GRADE 10'!$B$7:$B$31,'PW_MLG GRADE 10'!AR$7:AR$31,"",0,1)="P",
   _xlfn.XLOOKUP($B8,'PW_MLG GRADE 10'!$B$7:$B$31,'PW_MLG GRADE 10'!#REF!,"",0,1)&lt;=TODAY()-MOD(WEEKDAY(TODAY(),2)-5,7)),$D8,0)</f>
        <v>#REF!</v>
      </c>
      <c r="BV58" s="65" t="e">
        <f ca="1">IF(AND($D8&lt;&gt;0,_xlfn.XLOOKUP($B8,'PW_MLG GRADE 10'!$B$7:$B$31,'PW_MLG GRADE 10'!AY$7:AY$31,"",0,1)="P",
   _xlfn.XLOOKUP($B8,'PW_MLG GRADE 10'!$B$7:$B$31,'PW_MLG GRADE 10'!#REF!,"",0,1)&lt;=TODAY()-MOD(WEEKDAY(TODAY(),2)-5,7)),$D8,0)</f>
        <v>#REF!</v>
      </c>
      <c r="BW58" s="65" t="e">
        <f ca="1">IF(AND($D8&lt;&gt;0,_xlfn.XLOOKUP($B8,'PW_MLG GRADE 10'!$B$7:$B$31,'PW_MLG GRADE 10'!AZ$7:AZ$31,"",0,1)="P",
   _xlfn.XLOOKUP($B8,'PW_MLG GRADE 10'!$B$7:$B$31,'PW_MLG GRADE 10'!#REF!,"",0,1)&lt;=TODAY()-MOD(WEEKDAY(TODAY(),2)-5,7)),$D8,0)</f>
        <v>#REF!</v>
      </c>
      <c r="BX58" s="65" t="e">
        <f ca="1">IF(AND($D8&lt;&gt;0,_xlfn.XLOOKUP($B8,'PW_MLG GRADE 10'!$B$7:$B$31,'PW_MLG GRADE 10'!BA$7:BA$31,"",0,1)="P",
   _xlfn.XLOOKUP($B8,'PW_MLG GRADE 10'!$B$7:$B$31,'PW_MLG GRADE 10'!#REF!,"",0,1)&lt;=TODAY()-MOD(WEEKDAY(TODAY(),2)-5,7)),$D8,0)</f>
        <v>#REF!</v>
      </c>
      <c r="BY58" s="65" t="e">
        <f ca="1">IF(AND($D8&lt;&gt;0,_xlfn.XLOOKUP($B8,'PW_MLG GRADE 10'!$B$7:$B$31,'PW_MLG GRADE 10'!BB$7:BB$31,"",0,1)="P",
   _xlfn.XLOOKUP($B8,'PW_MLG GRADE 10'!$B$7:$B$31,'PW_MLG GRADE 10'!#REF!,"",0,1)&lt;=TODAY()-MOD(WEEKDAY(TODAY(),2)-5,7)),$D8,0)</f>
        <v>#REF!</v>
      </c>
      <c r="BZ58" s="65" t="e">
        <f ca="1">IF(AND($D8&lt;&gt;0,_xlfn.XLOOKUP($B8,'PW_MLG GRADE 10'!$B$7:$B$31,'PW_MLG GRADE 10'!BC$7:BC$31,"",0,1)="P",
   _xlfn.XLOOKUP($B8,'PW_MLG GRADE 10'!$B$7:$B$31,'PW_MLG GRADE 10'!#REF!,"",0,1)&lt;=TODAY()-MOD(WEEKDAY(TODAY(),2)-5,7)),$D8,0)</f>
        <v>#REF!</v>
      </c>
      <c r="CA58" s="65" t="e">
        <f ca="1">IF(AND($D8&lt;&gt;0,_xlfn.XLOOKUP($B8,'PW_MLG GRADE 10'!$B$7:$B$31,'PW_MLG GRADE 10'!BD$7:BD$31,"",0,1)="P",
   _xlfn.XLOOKUP($B8,'PW_MLG GRADE 10'!$B$7:$B$31,'PW_MLG GRADE 10'!#REF!,"",0,1)&lt;=TODAY()-MOD(WEEKDAY(TODAY(),2)-5,7)),$D8,0)</f>
        <v>#REF!</v>
      </c>
      <c r="CB58" s="65" t="e">
        <f ca="1">IF(AND($D8&lt;&gt;0,_xlfn.XLOOKUP($B8,'PW_MLG GRADE 10'!$B$7:$B$31,'PW_MLG GRADE 10'!BE$7:BE$31,"",0,1)="P",
   _xlfn.XLOOKUP($B8,'PW_MLG GRADE 10'!$B$7:$B$31,'PW_MLG GRADE 10'!#REF!,"",0,1)&lt;=TODAY()-MOD(WEEKDAY(TODAY(),2)-5,7)),$D8,0)</f>
        <v>#REF!</v>
      </c>
      <c r="CC58" s="65" t="e">
        <f ca="1">IF(AND($D8&lt;&gt;0,_xlfn.XLOOKUP($B8,'PW_MLG GRADE 10'!$B$7:$B$31,'PW_MLG GRADE 10'!BF$7:BF$31,"",0,1)="P",
   _xlfn.XLOOKUP($B8,'PW_MLG GRADE 10'!$B$7:$B$31,'PW_MLG GRADE 10'!#REF!,"",0,1)&lt;=TODAY()-MOD(WEEKDAY(TODAY(),2)-5,7)),$D8,0)</f>
        <v>#REF!</v>
      </c>
      <c r="CD58" s="65" t="e">
        <f ca="1">IF(AND($D8&lt;&gt;0,_xlfn.XLOOKUP($B8,'PW_MLG GRADE 10'!$B$7:$B$31,'PW_MLG GRADE 10'!BG$7:BG$31,"",0,1)="P",
   _xlfn.XLOOKUP($B8,'PW_MLG GRADE 10'!$B$7:$B$31,'PW_MLG GRADE 10'!#REF!,"",0,1)&lt;=TODAY()-MOD(WEEKDAY(TODAY(),2)-5,7)),$D8,0)</f>
        <v>#REF!</v>
      </c>
      <c r="CE58" s="67">
        <f ca="1">IF(AND($D8&lt;&gt;0,_xlfn.XLOOKUP($B8,'PW_CMI GRADE 10'!$B$7:$B$31,'PW_CMI GRADE 10'!AY$7:AY$31,"",0,1)="P",
   _xlfn.XLOOKUP($B8,'PW_CMI GRADE 10'!$B$7:$B$31,'PW_CMI GRADE 10'!$U$7:$U$31,"",0,1)&lt;=TODAY()-MOD(WEEKDAY(TODAY(),2)-5,7)),$D8,0)</f>
        <v>0</v>
      </c>
      <c r="CF58" s="67">
        <f ca="1">IF(AND($D8&lt;&gt;0,_xlfn.XLOOKUP($B8,'PW_CMI GRADE 10'!$B$7:$B$31,'PW_CMI GRADE 10'!AZ$7:AZ$31,"",0,1)="P",
   _xlfn.XLOOKUP($B8,'PW_CMI GRADE 10'!$B$7:$B$31,'PW_CMI GRADE 10'!$V$7:$V$31,"",0,1)&lt;=TODAY()-MOD(WEEKDAY(TODAY(),2)-5,7)),$D8,0)</f>
        <v>0</v>
      </c>
      <c r="CG58" s="67">
        <f ca="1">IF(AND($D8&lt;&gt;0,_xlfn.XLOOKUP($B8,'PW_CMI GRADE 10'!$B$7:$B$31,'PW_CMI GRADE 10'!BA$7:BA$31,"",0,1)="P",
   _xlfn.XLOOKUP($B8,'PW_CMI GRADE 10'!$B$7:$B$31,'PW_CMI GRADE 10'!$W$7:$W$31,"",0,1)&lt;=TODAY()-MOD(WEEKDAY(TODAY(),2)-5,7)),$D8,0)</f>
        <v>0</v>
      </c>
      <c r="CH58" s="67">
        <f ca="1">IF(AND($D8&lt;&gt;0,_xlfn.XLOOKUP($B8,'PW_CMI GRADE 10'!$B$7:$B$31,'PW_CMI GRADE 10'!BB$7:BB$31,"",0,1)="P",
   _xlfn.XLOOKUP($B8,'PW_CMI GRADE 10'!$B$7:$B$31,'PW_CMI GRADE 10'!$U$7:$U$31,"",0,1)&lt;=TODAY()-MOD(WEEKDAY(TODAY(),2)-5,7)),$D8,0)</f>
        <v>0</v>
      </c>
      <c r="CI58" s="67">
        <f ca="1">IF(AND($D8&lt;&gt;0,_xlfn.XLOOKUP($B8,'PW_CMI GRADE 10'!$B$7:$B$31,'PW_CMI GRADE 10'!BC$7:BC$31,"",0,1)="P",
   _xlfn.XLOOKUP($B8,'PW_CMI GRADE 10'!$B$7:$B$31,'PW_CMI GRADE 10'!$V$7:$V$31,"",0,1)&lt;=TODAY()-MOD(WEEKDAY(TODAY(),2)-5,7)),$D8,0)</f>
        <v>0</v>
      </c>
      <c r="CJ58" s="67">
        <f ca="1">IF(AND($D8&lt;&gt;0,_xlfn.XLOOKUP($B8,'PW_CMI GRADE 10'!$B$7:$B$31,'PW_CMI GRADE 10'!BD$7:BD$31,"",0,1)="P",
   _xlfn.XLOOKUP($B8,'PW_CMI GRADE 10'!$B$7:$B$31,'PW_CMI GRADE 10'!$W$7:$W$31,"",0,1)&lt;=TODAY()-MOD(WEEKDAY(TODAY(),2)-5,7)),$D8,0)</f>
        <v>0</v>
      </c>
      <c r="CK58" s="67">
        <f ca="1">IF(AND($D8&lt;&gt;0,_xlfn.XLOOKUP($B8,'PW_CMI GRADE 10'!$B$7:$B$31,'PW_CMI GRADE 10'!BE$7:BE$31,"",0,1)="P",
   _xlfn.XLOOKUP($B8,'PW_CMI GRADE 10'!$B$7:$B$31,'PW_CMI GRADE 10'!$U$7:$U$31,"",0,1)&lt;=TODAY()-MOD(WEEKDAY(TODAY(),2)-5,7)),$D8,0)</f>
        <v>0</v>
      </c>
      <c r="CL58" s="67">
        <f ca="1">IF(AND($D8&lt;&gt;0,_xlfn.XLOOKUP($B8,'PW_CMI GRADE 10'!$B$7:$B$31,'PW_CMI GRADE 10'!BF$7:BF$31,"",0,1)="P",
   _xlfn.XLOOKUP($B8,'PW_CMI GRADE 10'!$B$7:$B$31,'PW_CMI GRADE 10'!$V$7:$V$31,"",0,1)&lt;=TODAY()-MOD(WEEKDAY(TODAY(),2)-5,7)),$D8,0)</f>
        <v>0</v>
      </c>
      <c r="CM58" s="67">
        <f ca="1">IF(AND($D8&lt;&gt;0,_xlfn.XLOOKUP($B8,'PW_CMI GRADE 10'!$B$7:$B$31,'PW_CMI GRADE 10'!BG$7:BG$31,"",0,1)="P",
   _xlfn.XLOOKUP($B8,'PW_CMI GRADE 10'!$B$7:$B$31,'PW_CMI GRADE 10'!$W$7:$W$31,"",0,1)&lt;=TODAY()-MOD(WEEKDAY(TODAY(),2)-5,7)),$D8,0)</f>
        <v>0</v>
      </c>
      <c r="CN58" s="67">
        <f ca="1">IF(AND($D8&lt;&gt;0,_xlfn.XLOOKUP($B8,'PW_CMI GRADE 10'!$B$7:$B$31,'PW_CMI GRADE 10'!BH$7:BH$31,"",0,1)="P",
   _xlfn.XLOOKUP($B8,'PW_CMI GRADE 10'!$B$7:$B$31,'PW_CMI GRADE 10'!$U$7:$U$31,"",0,1)&lt;=TODAY()-MOD(WEEKDAY(TODAY(),2)-5,7)),$D8,0)</f>
        <v>0</v>
      </c>
      <c r="CO58" s="67">
        <f ca="1">IF(AND($D8&lt;&gt;0,_xlfn.XLOOKUP($B8,'PW_CMI GRADE 10'!$B$7:$B$31,'PW_CMI GRADE 10'!BI$7:BI$31,"",0,1)="P",
   _xlfn.XLOOKUP($B8,'PW_CMI GRADE 10'!$B$7:$B$31,'PW_CMI GRADE 10'!$V$7:$V$31,"",0,1)&lt;=TODAY()-MOD(WEEKDAY(TODAY(),2)-5,7)),$D8,0)</f>
        <v>0</v>
      </c>
      <c r="CP58" s="67">
        <f ca="1">IF(AND($D8&lt;&gt;0,_xlfn.XLOOKUP($B8,'PW_CMI GRADE 10'!$B$7:$B$31,'PW_CMI GRADE 10'!BJ$7:BJ$31,"",0,1)="P",
   _xlfn.XLOOKUP($B8,'PW_CMI GRADE 10'!$B$7:$B$31,'PW_CMI GRADE 10'!$W$7:$W$31,"",0,1)&lt;=TODAY()-MOD(WEEKDAY(TODAY(),2)-5,7)),$D8,0)</f>
        <v>0</v>
      </c>
      <c r="CQ58" s="67">
        <f ca="1">IF(AND($D8&lt;&gt;0,_xlfn.XLOOKUP($B8,'PW_CMI GRADE 10'!$B$7:$B$31,'PW_CMI GRADE 10'!BK$7:BK$31,"",0,1)="P",
   _xlfn.XLOOKUP($B8,'PW_CMI GRADE 10'!$B$7:$B$31,'PW_CMI GRADE 10'!$U$7:$U$31,"",0,1)&lt;=TODAY()-MOD(WEEKDAY(TODAY(),2)-5,7)),$D8,0)</f>
        <v>0</v>
      </c>
      <c r="CR58" s="67">
        <f ca="1">IF(AND($D8&lt;&gt;0,_xlfn.XLOOKUP($B8,'PW_CMI GRADE 10'!$B$7:$B$31,'PW_CMI GRADE 10'!BL$7:BL$31,"",0,1)="P",
   _xlfn.XLOOKUP($B8,'PW_CMI GRADE 10'!$B$7:$B$31,'PW_CMI GRADE 10'!$V$7:$V$31,"",0,1)&lt;=TODAY()-MOD(WEEKDAY(TODAY(),2)-5,7)),$D8,0)</f>
        <v>0</v>
      </c>
      <c r="CS58" s="67">
        <f ca="1">IF(AND($D8&lt;&gt;0,_xlfn.XLOOKUP($B8,'PW_CMI GRADE 10'!$B$7:$B$31,'PW_CMI GRADE 10'!BM$7:BM$31,"",0,1)="P",
   _xlfn.XLOOKUP($B8,'PW_CMI GRADE 10'!$B$7:$B$31,'PW_CMI GRADE 10'!$W$7:$W$31,"",0,1)&lt;=TODAY()-MOD(WEEKDAY(TODAY(),2)-5,7)),$D8,0)</f>
        <v>0</v>
      </c>
      <c r="CT58" s="67">
        <f ca="1">IF(AND($D8&lt;&gt;0,_xlfn.XLOOKUP($B8,'PW_CMI GRADE 10'!$B$7:$B$31,'PW_CMI GRADE 10'!BN$7:BN$31,"",0,1)="P",
   _xlfn.XLOOKUP($B8,'PW_CMI GRADE 10'!$B$7:$B$31,'PW_CMI GRADE 10'!$U$7:$U$31,"",0,1)&lt;=TODAY()-MOD(WEEKDAY(TODAY(),2)-5,7)),$D8,0)</f>
        <v>0</v>
      </c>
      <c r="CU58" s="67">
        <f ca="1">IF(AND($D8&lt;&gt;0,_xlfn.XLOOKUP($B8,'PW_CMI GRADE 10'!$B$7:$B$31,'PW_CMI GRADE 10'!BO$7:BO$31,"",0,1)="P",
   _xlfn.XLOOKUP($B8,'PW_CMI GRADE 10'!$B$7:$B$31,'PW_CMI GRADE 10'!$V$7:$V$31,"",0,1)&lt;=TODAY()-MOD(WEEKDAY(TODAY(),2)-5,7)),$D8,0)</f>
        <v>0</v>
      </c>
      <c r="CV58" s="67">
        <f ca="1">IF(AND($D8&lt;&gt;0,_xlfn.XLOOKUP($B8,'PW_CMI GRADE 10'!$B$7:$B$31,'PW_CMI GRADE 10'!BP$7:BP$31,"",0,1)="P",
   _xlfn.XLOOKUP($B8,'PW_CMI GRADE 10'!$B$7:$B$31,'PW_CMI GRADE 10'!$W$7:$W$31,"",0,1)&lt;=TODAY()-MOD(WEEKDAY(TODAY(),2)-5,7)),$D8,0)</f>
        <v>0</v>
      </c>
      <c r="CW58" s="62" t="e">
        <f t="shared" ca="1" si="132"/>
        <v>#REF!</v>
      </c>
      <c r="CX58" s="62" t="e">
        <f t="shared" ca="1" si="69"/>
        <v>#REF!</v>
      </c>
      <c r="CY58" s="62" t="e">
        <f t="shared" ca="1" si="70"/>
        <v>#REF!</v>
      </c>
      <c r="CZ58" s="62" t="e">
        <f t="shared" ca="1" si="71"/>
        <v>#REF!</v>
      </c>
      <c r="DA58" s="62" t="e">
        <f t="shared" ca="1" si="72"/>
        <v>#REF!</v>
      </c>
      <c r="DB58" s="62" t="e">
        <f t="shared" ca="1" si="73"/>
        <v>#REF!</v>
      </c>
      <c r="DC58" s="62" t="e">
        <f t="shared" ca="1" si="74"/>
        <v>#REF!</v>
      </c>
      <c r="DD58" s="62" t="e">
        <f t="shared" ca="1" si="75"/>
        <v>#REF!</v>
      </c>
      <c r="DE58" s="62" t="e">
        <f t="shared" ca="1" si="76"/>
        <v>#REF!</v>
      </c>
      <c r="DF58" s="62" t="e">
        <f t="shared" ca="1" si="77"/>
        <v>#REF!</v>
      </c>
      <c r="DG58" s="62" t="e">
        <f t="shared" ca="1" si="78"/>
        <v>#REF!</v>
      </c>
      <c r="DH58" s="62" t="e">
        <f t="shared" ca="1" si="79"/>
        <v>#REF!</v>
      </c>
      <c r="DI58" s="62" t="e">
        <f t="shared" ca="1" si="80"/>
        <v>#REF!</v>
      </c>
      <c r="DJ58" s="62" t="e">
        <f t="shared" ca="1" si="81"/>
        <v>#REF!</v>
      </c>
      <c r="DK58" s="62" t="e">
        <f t="shared" ca="1" si="82"/>
        <v>#REF!</v>
      </c>
      <c r="DL58" s="62" t="e">
        <f t="shared" ca="1" si="83"/>
        <v>#REF!</v>
      </c>
      <c r="DM58" s="62" t="e">
        <f t="shared" ca="1" si="84"/>
        <v>#REF!</v>
      </c>
      <c r="DN58" s="62" t="e">
        <f t="shared" ca="1" si="85"/>
        <v>#REF!</v>
      </c>
      <c r="DO58" s="62" t="e">
        <f t="shared" ca="1" si="86"/>
        <v>#REF!</v>
      </c>
      <c r="DP58" s="62" t="e">
        <f t="shared" ca="1" si="87"/>
        <v>#REF!</v>
      </c>
      <c r="DQ58" s="62" t="e">
        <f t="shared" ca="1" si="88"/>
        <v>#REF!</v>
      </c>
      <c r="DR58" s="62" t="e">
        <f t="shared" ca="1" si="89"/>
        <v>#REF!</v>
      </c>
      <c r="DS58" s="62" t="e">
        <f t="shared" ca="1" si="90"/>
        <v>#REF!</v>
      </c>
      <c r="DT58" s="62" t="e">
        <f t="shared" ca="1" si="91"/>
        <v>#REF!</v>
      </c>
      <c r="DU58" s="62" t="e">
        <f t="shared" ca="1" si="92"/>
        <v>#REF!</v>
      </c>
      <c r="DV58" s="62" t="e">
        <f t="shared" ca="1" si="93"/>
        <v>#REF!</v>
      </c>
      <c r="DW58" s="62" t="e">
        <f t="shared" ca="1" si="94"/>
        <v>#REF!</v>
      </c>
      <c r="DX58" s="62" t="e">
        <f t="shared" ca="1" si="95"/>
        <v>#REF!</v>
      </c>
      <c r="DY58" s="62" t="e">
        <f t="shared" ca="1" si="96"/>
        <v>#REF!</v>
      </c>
      <c r="DZ58" s="62" t="e">
        <f t="shared" ca="1" si="97"/>
        <v>#REF!</v>
      </c>
      <c r="EA58" s="63" t="e">
        <f t="shared" ca="1" si="98"/>
        <v>#REF!</v>
      </c>
      <c r="EB58" s="63" t="e">
        <f t="shared" ca="1" si="99"/>
        <v>#REF!</v>
      </c>
      <c r="EC58" s="63" t="e">
        <f t="shared" ca="1" si="100"/>
        <v>#REF!</v>
      </c>
      <c r="ED58" s="63" t="e">
        <f t="shared" ca="1" si="101"/>
        <v>#REF!</v>
      </c>
      <c r="EE58" s="63" t="e">
        <f t="shared" ca="1" si="102"/>
        <v>#REF!</v>
      </c>
      <c r="EF58" s="63" t="e">
        <f t="shared" ca="1" si="103"/>
        <v>#REF!</v>
      </c>
      <c r="EG58" s="63" t="e">
        <f t="shared" ca="1" si="104"/>
        <v>#REF!</v>
      </c>
      <c r="EH58" s="63" t="e">
        <f t="shared" ca="1" si="105"/>
        <v>#REF!</v>
      </c>
      <c r="EI58" s="63" t="e">
        <f t="shared" ca="1" si="106"/>
        <v>#REF!</v>
      </c>
      <c r="EJ58" s="63" t="e">
        <f t="shared" ca="1" si="107"/>
        <v>#REF!</v>
      </c>
      <c r="EK58" s="63" t="e">
        <f t="shared" ca="1" si="108"/>
        <v>#REF!</v>
      </c>
      <c r="EL58" s="63" t="e">
        <f t="shared" ca="1" si="109"/>
        <v>#REF!</v>
      </c>
      <c r="EM58" s="63" t="e">
        <f t="shared" ca="1" si="110"/>
        <v>#REF!</v>
      </c>
      <c r="EN58" s="63" t="e">
        <f t="shared" ca="1" si="111"/>
        <v>#REF!</v>
      </c>
      <c r="EO58" s="63" t="e">
        <f t="shared" ca="1" si="112"/>
        <v>#REF!</v>
      </c>
      <c r="EP58" s="63" t="e">
        <f t="shared" ca="1" si="113"/>
        <v>#REF!</v>
      </c>
      <c r="ET58" t="str">
        <v>2.4</v>
      </c>
      <c r="EU58" s="38" t="e">
        <f t="shared" ca="1" si="114"/>
        <v>#REF!</v>
      </c>
      <c r="EV58" s="38" t="e">
        <f t="shared" ca="1" si="115"/>
        <v>#REF!</v>
      </c>
      <c r="EW58" s="38" t="e">
        <f t="shared" ca="1" si="116"/>
        <v>#REF!</v>
      </c>
      <c r="EX58" s="38" t="e">
        <f t="shared" ca="1" si="117"/>
        <v>#REF!</v>
      </c>
      <c r="EY58" s="38" t="e">
        <f t="shared" ca="1" si="118"/>
        <v>#REF!</v>
      </c>
      <c r="EZ58" s="38" t="e">
        <f t="shared" ca="1" si="119"/>
        <v>#REF!</v>
      </c>
      <c r="FA58" s="38" t="e">
        <f t="shared" ca="1" si="120"/>
        <v>#REF!</v>
      </c>
      <c r="FB58" s="38" t="e">
        <f t="shared" ca="1" si="121"/>
        <v>#REF!</v>
      </c>
      <c r="FC58" s="38" t="e">
        <f t="shared" ca="1" si="122"/>
        <v>#REF!</v>
      </c>
      <c r="FD58" s="38" t="e">
        <f t="shared" ca="1" si="123"/>
        <v>#REF!</v>
      </c>
      <c r="FE58" s="38">
        <f t="shared" ca="1" si="133"/>
        <v>0</v>
      </c>
      <c r="FF58" s="38" t="e">
        <f t="shared" ca="1" si="124"/>
        <v>#REF!</v>
      </c>
      <c r="FG58" s="38" t="e">
        <f t="shared" ca="1" si="125"/>
        <v>#REF!</v>
      </c>
      <c r="FH58" s="38" t="e">
        <f t="shared" ca="1" si="126"/>
        <v>#REF!</v>
      </c>
      <c r="FI58" s="38" t="e">
        <f t="shared" ca="1" si="127"/>
        <v>#REF!</v>
      </c>
      <c r="FJ58" s="38" t="e">
        <f t="shared" ca="1" si="128"/>
        <v>#REF!</v>
      </c>
      <c r="FK58" s="38" t="e">
        <f t="shared" ca="1" si="129"/>
        <v>#REF!</v>
      </c>
      <c r="FL58" s="38">
        <f t="shared" ca="1" si="130"/>
        <v>0</v>
      </c>
      <c r="FM58" s="38">
        <v>1</v>
      </c>
      <c r="FN58" s="38">
        <f t="shared" si="134"/>
        <v>0.66666666666666663</v>
      </c>
      <c r="FO58" s="38">
        <f t="shared" si="135"/>
        <v>0.33333333333333331</v>
      </c>
    </row>
    <row r="59" spans="1:223">
      <c r="A59" s="64" t="str">
        <f t="shared" si="131"/>
        <v>2.1</v>
      </c>
      <c r="B59" s="64" t="s">
        <v>40</v>
      </c>
      <c r="C59" s="30">
        <v>1</v>
      </c>
      <c r="D59" s="30">
        <v>1</v>
      </c>
      <c r="E59" s="65">
        <f ca="1">IF(AND($D9&lt;&gt;0,_xlfn.XLOOKUP($B9,'TH_MLG GRADE 10'!$B$7:$B$49,'TH_MLG GRADE 10'!C$7:C$49,"",0,1)="P",
   _xlfn.XLOOKUP($B9,'TH_MLG GRADE 10'!$B$7:$B$49,'TH_MLG GRADE 10'!$BK$7:$BK$49,"",0,1)&lt;=TODAY()-MOD(WEEKDAY(TODAY(),2)-5,7)),$D9,0)</f>
        <v>0</v>
      </c>
      <c r="F59" s="65">
        <f ca="1">IF(AND($D9&lt;&gt;0,_xlfn.XLOOKUP($B9,'TH_MLG GRADE 10'!$B$7:$B$49,'TH_MLG GRADE 10'!D$7:D$49,"",0,1)="P",
   _xlfn.XLOOKUP($B9,'TH_MLG GRADE 10'!$B$7:$B$49,'TH_MLG GRADE 10'!$BL$7:$BL$49,"",0,1)&lt;=TODAY()-MOD(WEEKDAY(TODAY(),2)-5,7)),$D9,0)</f>
        <v>0</v>
      </c>
      <c r="G59" s="65">
        <f ca="1">IF(AND($D9&lt;&gt;0,_xlfn.XLOOKUP($B9,'TH_MLG GRADE 10'!$B$7:$B$49,'TH_MLG GRADE 10'!E$7:E$49,"",0,1)="P",
   _xlfn.XLOOKUP($B9,'TH_MLG GRADE 10'!$B$7:$B$49,'TH_MLG GRADE 10'!$BM$7:$BM$49,"",0,1)&lt;=TODAY()-MOD(WEEKDAY(TODAY(),2)-5,7)),$D9,0)</f>
        <v>0</v>
      </c>
      <c r="H59" s="65">
        <f ca="1">IF(AND($D9&lt;&gt;0,_xlfn.XLOOKUP($B9,'TH_MLG GRADE 10'!$B$7:$B$49,'TH_MLG GRADE 10'!I$7:I$49,"",0,1)="P",
   _xlfn.XLOOKUP($B9,'TH_MLG GRADE 10'!$B$7:$B$49,'TH_MLG GRADE 10'!$BK$7:$BK$49,"",0,1)&lt;=TODAY()-MOD(WEEKDAY(TODAY(),2)-5,7)),$D9,0)</f>
        <v>0</v>
      </c>
      <c r="I59" s="65">
        <f ca="1">IF(AND($D9&lt;&gt;0,_xlfn.XLOOKUP($B9,'TH_MLG GRADE 10'!$B$7:$B$49,'TH_MLG GRADE 10'!J$7:J$49,"",0,1)="P",
   _xlfn.XLOOKUP($B9,'TH_MLG GRADE 10'!$B$7:$B$49,'TH_MLG GRADE 10'!$BL$7:$BL$49,"",0,1)&lt;=TODAY()-MOD(WEEKDAY(TODAY(),2)-5,7)),$D9,0)</f>
        <v>0</v>
      </c>
      <c r="J59" s="65">
        <f ca="1">IF(AND($D9&lt;&gt;0,_xlfn.XLOOKUP($B9,'TH_MLG GRADE 10'!$B$7:$B$49,'TH_MLG GRADE 10'!K$7:K$49,"",0,1)="P",
   _xlfn.XLOOKUP($B9,'TH_MLG GRADE 10'!$B$7:$B$49,'TH_MLG GRADE 10'!$BM$7:$BM$49,"",0,1)&lt;=TODAY()-MOD(WEEKDAY(TODAY(),2)-5,7)),$D9,0)</f>
        <v>0</v>
      </c>
      <c r="K59" s="65">
        <f ca="1">IF(AND($D9&lt;&gt;0,_xlfn.XLOOKUP($B9,'TH_MLG GRADE 10'!$B$7:$B$49,'TH_MLG GRADE 10'!O$7:O$49,"",0,1)="P",
   _xlfn.XLOOKUP($B9,'TH_MLG GRADE 10'!$B$7:$B$49,'TH_MLG GRADE 10'!$BK$7:$BK$49,"",0,1)&lt;=TODAY()-MOD(WEEKDAY(TODAY(),2)-5,7)),$D9,0)</f>
        <v>0</v>
      </c>
      <c r="L59" s="65">
        <f ca="1">IF(AND($D9&lt;&gt;0,_xlfn.XLOOKUP($B9,'TH_MLG GRADE 10'!$B$7:$B$49,'TH_MLG GRADE 10'!P$7:P$49,"",0,1)="P",
   _xlfn.XLOOKUP($B9,'TH_MLG GRADE 10'!$B$7:$B$49,'TH_MLG GRADE 10'!$BL$7:$BL$49,"",0,1)&lt;=TODAY()-MOD(WEEKDAY(TODAY(),2)-5,7)),$D9,0)</f>
        <v>0</v>
      </c>
      <c r="M59" s="65">
        <f ca="1">IF(AND($D9&lt;&gt;0,_xlfn.XLOOKUP($B9,'TH_MLG GRADE 10'!$B$7:$B$49,'TH_MLG GRADE 10'!Q$7:Q$49,"",0,1)="P",
   _xlfn.XLOOKUP($B9,'TH_MLG GRADE 10'!$B$7:$B$49,'TH_MLG GRADE 10'!$BM$7:$BM$49,"",0,1)&lt;=TODAY()-MOD(WEEKDAY(TODAY(),2)-5,7)),$D9,0)</f>
        <v>0</v>
      </c>
      <c r="N59" s="65">
        <f ca="1">IF(AND($D9&lt;&gt;0,_xlfn.XLOOKUP($B9,'TH_MLG GRADE 10'!$B$7:$B$49,'TH_MLG GRADE 10'!AA$7:AA$49,"",0,1)="P",
   _xlfn.XLOOKUP($B9,'TH_MLG GRADE 10'!$B$7:$B$49,'TH_MLG GRADE 10'!$BK$7:$BK$49,"",0,1)&lt;=TODAY()-MOD(WEEKDAY(TODAY(),2)-5,7)),$D9,0)</f>
        <v>0</v>
      </c>
      <c r="O59" s="65">
        <f ca="1">IF(AND($D9&lt;&gt;0,_xlfn.XLOOKUP($B9,'TH_MLG GRADE 10'!$B$7:$B$49,'TH_MLG GRADE 10'!AB$7:AB$49,"",0,1)="P",
   _xlfn.XLOOKUP($B9,'TH_MLG GRADE 10'!$B$7:$B$49,'TH_MLG GRADE 10'!$BL$7:$BL$49,"",0,1)&lt;=TODAY()-MOD(WEEKDAY(TODAY(),2)-5,7)),$D9,0)</f>
        <v>0</v>
      </c>
      <c r="P59" s="65">
        <f ca="1">IF(AND($D9&lt;&gt;0,_xlfn.XLOOKUP($B9,'TH_MLG GRADE 10'!$B$7:$B$49,'TH_MLG GRADE 10'!AC$7:AC$49,"",0,1)="P",
   _xlfn.XLOOKUP($B9,'TH_MLG GRADE 10'!$B$7:$B$49,'TH_MLG GRADE 10'!$BM$7:$BM$49,"",0,1)&lt;=TODAY()-MOD(WEEKDAY(TODAY(),2)-5,7)),$D9,0)</f>
        <v>0</v>
      </c>
      <c r="Q59" s="65">
        <f ca="1">IF(AND($D9&lt;&gt;0,_xlfn.XLOOKUP($B9,'TH_MLG GRADE 10'!$B$7:$B$49,'TH_MLG GRADE 10'!AG$7:AG$49,"",0,1)="P",
   _xlfn.XLOOKUP($B9,'TH_MLG GRADE 10'!$B$7:$B$49,'TH_MLG GRADE 10'!$BK$7:$BK$49,"",0,1)&lt;=TODAY()-MOD(WEEKDAY(TODAY(),2)-5,7)),$D9,0)</f>
        <v>0</v>
      </c>
      <c r="R59" s="65">
        <f ca="1">IF(AND($D9&lt;&gt;0,_xlfn.XLOOKUP($B9,'TH_MLG GRADE 10'!$B$7:$B$49,'TH_MLG GRADE 10'!AH$7:AH$49,"",0,1)="P",
   _xlfn.XLOOKUP($B9,'TH_MLG GRADE 10'!$B$7:$B$49,'TH_MLG GRADE 10'!$BL$7:$BL$49,"",0,1)&lt;=TODAY()-MOD(WEEKDAY(TODAY(),2)-5,7)),$D9,0)</f>
        <v>0</v>
      </c>
      <c r="S59" s="65">
        <f ca="1">IF(AND($D9&lt;&gt;0,_xlfn.XLOOKUP($B9,'TH_MLG GRADE 10'!$B$7:$B$49,'TH_MLG GRADE 10'!AI$7:AI$49,"",0,1)="P",
   _xlfn.XLOOKUP($B9,'TH_MLG GRADE 10'!$B$7:$B$49,'TH_MLG GRADE 10'!$BM$7:$BM$49,"",0,1)&lt;=TODAY()-MOD(WEEKDAY(TODAY(),2)-5,7)),$D9,0)</f>
        <v>0</v>
      </c>
      <c r="T59" s="65">
        <f ca="1">IF(AND($D9&lt;&gt;0,_xlfn.XLOOKUP($B9,'TH_MLG GRADE 10'!$B$7:$B$49,'TH_MLG GRADE 10'!AM$7:AM$49,"",0,1)="P",
   _xlfn.XLOOKUP($B9,'TH_MLG GRADE 10'!$B$7:$B$49,'TH_MLG GRADE 10'!$BK$7:$BK$49,"",0,1)&lt;=TODAY()-MOD(WEEKDAY(TODAY(),2)-5,7)),$D9,0)</f>
        <v>1</v>
      </c>
      <c r="U59" s="65">
        <f ca="1">IF(AND($D9&lt;&gt;0,_xlfn.XLOOKUP($B9,'TH_MLG GRADE 10'!$B$7:$B$49,'TH_MLG GRADE 10'!AN$7:AN$49,"",0,1)="P",
   _xlfn.XLOOKUP($B9,'TH_MLG GRADE 10'!$B$7:$B$49,'TH_MLG GRADE 10'!$BL$7:$BL$49,"",0,1)&lt;=TODAY()-MOD(WEEKDAY(TODAY(),2)-5,7)),$D9,0)</f>
        <v>1</v>
      </c>
      <c r="V59" s="65">
        <f ca="1">IF(AND($D9&lt;&gt;0,_xlfn.XLOOKUP($B9,'TH_MLG GRADE 10'!$B$7:$B$49,'TH_MLG GRADE 10'!AO$7:AO$49,"",0,1)="P",
   _xlfn.XLOOKUP($B9,'TH_MLG GRADE 10'!$B$7:$B$49,'TH_MLG GRADE 10'!$BM$7:$BM$49,"",0,1)&lt;=TODAY()-MOD(WEEKDAY(TODAY(),2)-5,7)),$D9,0)</f>
        <v>1</v>
      </c>
      <c r="W59" s="65">
        <f ca="1">IF(AND($D9&lt;&gt;0,_xlfn.XLOOKUP($B9,'TH_MLG GRADE 10'!$B$7:$B$49,'TH_MLG GRADE 10'!AY$7:AY$49,"",0,1)="P",
   _xlfn.XLOOKUP($B9,'TH_MLG GRADE 10'!$B$7:$B$49,'TH_MLG GRADE 10'!$BK$7:$BK$49,"",0,1)&lt;=TODAY()-MOD(WEEKDAY(TODAY(),2)-5,7)),$D9,0)</f>
        <v>1</v>
      </c>
      <c r="X59" s="65">
        <f ca="1">IF(AND($D9&lt;&gt;0,_xlfn.XLOOKUP($B9,'TH_MLG GRADE 10'!$B$7:$B$49,'TH_MLG GRADE 10'!AZ$7:AZ$49,"",0,1)="P",
   _xlfn.XLOOKUP($B9,'TH_MLG GRADE 10'!$B$7:$B$49,'TH_MLG GRADE 10'!$BL$7:$BL$49,"",0,1)&lt;=TODAY()-MOD(WEEKDAY(TODAY(),2)-5,7)),$D9,0)</f>
        <v>1</v>
      </c>
      <c r="Y59" s="65">
        <f ca="1">IF(AND($D9&lt;&gt;0,_xlfn.XLOOKUP($B9,'TH_MLG GRADE 10'!$B$7:$B$49,'TH_MLG GRADE 10'!BA$7:BA$49,"",0,1)="P",
   _xlfn.XLOOKUP($B9,'TH_MLG GRADE 10'!$B$7:$B$49,'TH_MLG GRADE 10'!$BM$7:$BM$49,"",0,1)&lt;=TODAY()-MOD(WEEKDAY(TODAY(),2)-5,7)),$D9,0)</f>
        <v>0</v>
      </c>
      <c r="Z59" s="65">
        <f ca="1">IF(AND($D9&lt;&gt;0,_xlfn.XLOOKUP($B9,'TH_MLG GRADE 10'!$B$7:$B$49,'TH_MLG GRADE 10'!BE$7:BE$49,"",0,1)="P",
   _xlfn.XLOOKUP($B9,'TH_MLG GRADE 10'!$B$7:$B$49,'TH_MLG GRADE 10'!$BK$7:$BK$49,"",0,1)&lt;=TODAY()-MOD(WEEKDAY(TODAY(),2)-5,7)),$D9,0)</f>
        <v>0</v>
      </c>
      <c r="AA59" s="65">
        <f ca="1">IF(AND($D9&lt;&gt;0,_xlfn.XLOOKUP($B9,'TH_MLG GRADE 10'!$B$7:$B$49,'TH_MLG GRADE 10'!BF$7:BF$49,"",0,1)="P",
   _xlfn.XLOOKUP($B9,'TH_MLG GRADE 10'!$B$7:$B$49,'TH_MLG GRADE 10'!$BL$7:$BL$49,"",0,1)&lt;=TODAY()-MOD(WEEKDAY(TODAY(),2)-5,7)),$D9,0)</f>
        <v>0</v>
      </c>
      <c r="AB59" s="65">
        <f ca="1">IF(AND($D9&lt;&gt;0,_xlfn.XLOOKUP($B9,'TH_MLG GRADE 10'!$B$7:$B$49,'TH_MLG GRADE 10'!BG$7:BG$49,"",0,1)="P",
   _xlfn.XLOOKUP($B9,'TH_MLG GRADE 10'!$B$7:$B$49,'TH_MLG GRADE 10'!$BM$7:$BM$49,"",0,1)&lt;=TODAY()-MOD(WEEKDAY(TODAY(),2)-5,7)),$D9,0)</f>
        <v>0</v>
      </c>
      <c r="AC59" s="65" t="e">
        <f ca="1">IF(AND($D9&lt;&gt;0,_xlfn.XLOOKUP($B9,'TH_MLG GRADE 10'!$B$7:$B$49,'TH_MLG GRADE 10'!#REF!,"",0,1)="P",
   _xlfn.XLOOKUP($B9,'TH_MLG GRADE 10'!$B$7:$B$49,'TH_MLG GRADE 10'!$BK$7:$BK$49,"",0,1)&lt;=TODAY()-MOD(WEEKDAY(TODAY(),2)-5,7)),$D9,0)</f>
        <v>#REF!</v>
      </c>
      <c r="AD59" s="65" t="e">
        <f ca="1">IF(AND($D9&lt;&gt;0,_xlfn.XLOOKUP($B9,'TH_MLG GRADE 10'!$B$7:$B$49,'TH_MLG GRADE 10'!#REF!,"",0,1)="P",
   _xlfn.XLOOKUP($B9,'TH_MLG GRADE 10'!$B$7:$B$49,'TH_MLG GRADE 10'!$BL$7:$BL$49,"",0,1)&lt;=TODAY()-MOD(WEEKDAY(TODAY(),2)-5,7)),$D9,0)</f>
        <v>#REF!</v>
      </c>
      <c r="AE59" s="65" t="e">
        <f ca="1">IF(AND($D9&lt;&gt;0,_xlfn.XLOOKUP($B9,'TH_MLG GRADE 10'!$B$7:$B$49,'TH_MLG GRADE 10'!#REF!,"",0,1)="P",
   _xlfn.XLOOKUP($B9,'TH_MLG GRADE 10'!$B$7:$B$49,'TH_MLG GRADE 10'!$BM$7:$BM$49,"",0,1)&lt;=TODAY()-MOD(WEEKDAY(TODAY(),2)-5,7)),$D9,0)</f>
        <v>#REF!</v>
      </c>
      <c r="AF59" s="65" t="e">
        <f ca="1">IF(AND($D9&lt;&gt;0,_xlfn.XLOOKUP($B9,'TH_MLG GRADE 10'!$B$7:$B$49,'TH_MLG GRADE 10'!#REF!,"",0,1)="P",
   _xlfn.XLOOKUP($B9,'TH_MLG GRADE 10'!$B$7:$B$49,'TH_MLG GRADE 10'!$BK$7:$BK$49,"",0,1)&lt;=TODAY()-MOD(WEEKDAY(TODAY(),2)-5,7)),$D9,0)</f>
        <v>#REF!</v>
      </c>
      <c r="AG59" s="65" t="e">
        <f ca="1">IF(AND($D9&lt;&gt;0,_xlfn.XLOOKUP($B9,'TH_MLG GRADE 10'!$B$7:$B$49,'TH_MLG GRADE 10'!#REF!,"",0,1)="P",
   _xlfn.XLOOKUP($B9,'TH_MLG GRADE 10'!$B$7:$B$49,'TH_MLG GRADE 10'!$BL$7:$BL$49,"",0,1)&lt;=TODAY()-MOD(WEEKDAY(TODAY(),2)-5,7)),$D9,0)</f>
        <v>#REF!</v>
      </c>
      <c r="AH59" s="65" t="e">
        <f ca="1">IF(AND($D9&lt;&gt;0,_xlfn.XLOOKUP($B9,'TH_MLG GRADE 10'!$B$7:$B$49,'TH_MLG GRADE 10'!#REF!,"",0,1)="P",
   _xlfn.XLOOKUP($B9,'TH_MLG GRADE 10'!$B$7:$B$49,'TH_MLG GRADE 10'!$BM$7:$BM$49,"",0,1)&lt;=TODAY()-MOD(WEEKDAY(TODAY(),2)-5,7)),$D9,0)</f>
        <v>#REF!</v>
      </c>
      <c r="AI59" s="67">
        <f ca="1">IF(AND($D9&lt;&gt;0,_xlfn.XLOOKUP($B9,'TH_CMI GRADE 10'!$B$7:$B$49,'TH_CMI GRADE 10'!C$7:C$49,"",0,1)="P",
   _xlfn.XLOOKUP($B9,'TH_CMI GRADE 10'!$B$7:$B$49,'TH_CMI GRADE 10'!$AS$7:$AS$49,"",0,1)&lt;=TODAY()-MOD(WEEKDAY(TODAY(),2)-5,7)),$D9,0)</f>
        <v>0</v>
      </c>
      <c r="AJ59" s="67">
        <f ca="1">IF(AND($D9&lt;&gt;0,_xlfn.XLOOKUP($B9,'TH_CMI GRADE 10'!$B$7:$B$49,'TH_CMI GRADE 10'!D$7:D$49,"",0,1)="P",
   _xlfn.XLOOKUP($B9,'TH_CMI GRADE 10'!$B$7:$B$49,'TH_CMI GRADE 10'!$AT$7:$AT$49,"",0,1)&lt;=TODAY()-MOD(WEEKDAY(TODAY(),2)-5,7)),$D9,0)</f>
        <v>0</v>
      </c>
      <c r="AK59" s="67" t="e">
        <f ca="1">IF(AND($D9&lt;&gt;0,_xlfn.XLOOKUP($B9,'TH_CMI GRADE 10'!$B$7:$B$49,'TH_CMI GRADE 10'!H$7:H$49,"",0,1)="P",
   _xlfn.XLOOKUP($B9,'TH_CMI GRADE 10'!$B$7:$B$49,'TH_CMI GRADE 10'!#REF!,"",0,1)&lt;=TODAY()-MOD(WEEKDAY(TODAY(),2)-5,7)),$D9,0)</f>
        <v>#REF!</v>
      </c>
      <c r="AL59" s="67">
        <f ca="1">IF(AND($D9&lt;&gt;0,_xlfn.XLOOKUP($B9,'TH_CMI GRADE 10'!$B$7:$B$49,'TH_CMI GRADE 10'!I$7:I$49,"",0,1)="P",
   _xlfn.XLOOKUP($B9,'TH_CMI GRADE 10'!$B$7:$B$49,'TH_CMI GRADE 10'!$AS$7:$AS$49,"",0,1)&lt;=TODAY()-MOD(WEEKDAY(TODAY(),2)-5,7)),$D9,0)</f>
        <v>0</v>
      </c>
      <c r="AM59" s="67">
        <f ca="1">IF(AND($D9&lt;&gt;0,_xlfn.XLOOKUP($B9,'TH_CMI GRADE 10'!$B$7:$B$49,'TH_CMI GRADE 10'!J$7:J$49,"",0,1)="P",
   _xlfn.XLOOKUP($B9,'TH_CMI GRADE 10'!$B$7:$B$49,'TH_CMI GRADE 10'!$AT$7:$AT$49,"",0,1)&lt;=TODAY()-MOD(WEEKDAY(TODAY(),2)-5,7)),$D9,0)</f>
        <v>0</v>
      </c>
      <c r="AN59" s="67" t="e">
        <f ca="1">IF(AND($D9&lt;&gt;0,_xlfn.XLOOKUP($B9,'TH_CMI GRADE 10'!$B$7:$B$49,'TH_CMI GRADE 10'!K$7:K$49,"",0,1)="P",
   _xlfn.XLOOKUP($B9,'TH_CMI GRADE 10'!$B$7:$B$49,'TH_CMI GRADE 10'!#REF!,"",0,1)&lt;=TODAY()-MOD(WEEKDAY(TODAY(),2)-5,7)),$D9,0)</f>
        <v>#REF!</v>
      </c>
      <c r="AO59" s="67">
        <f ca="1">IF(AND($D9&lt;&gt;0,_xlfn.XLOOKUP($B9,'TH_CMI GRADE 10'!$B$7:$B$49,'TH_CMI GRADE 10'!O$7:O$49,"",0,1)="P",
   _xlfn.XLOOKUP($B9,'TH_CMI GRADE 10'!$B$7:$B$49,'TH_CMI GRADE 10'!$AS$7:$AS$49,"",0,1)&lt;=TODAY()-MOD(WEEKDAY(TODAY(),2)-5,7)),$D9,0)</f>
        <v>0</v>
      </c>
      <c r="AP59" s="67">
        <f ca="1">IF(AND($D9&lt;&gt;0,_xlfn.XLOOKUP($B9,'TH_CMI GRADE 10'!$B$7:$B$49,'TH_CMI GRADE 10'!P$7:P$49,"",0,1)="P",
   _xlfn.XLOOKUP($B9,'TH_CMI GRADE 10'!$B$7:$B$49,'TH_CMI GRADE 10'!$AT$7:$AT$49,"",0,1)&lt;=TODAY()-MOD(WEEKDAY(TODAY(),2)-5,7)),$D9,0)</f>
        <v>0</v>
      </c>
      <c r="AQ59" s="67" t="e">
        <f ca="1">IF(AND($D9&lt;&gt;0,_xlfn.XLOOKUP($B9,'TH_CMI GRADE 10'!$B$7:$B$49,'TH_CMI GRADE 10'!Q$7:Q$49,"",0,1)="P",
   _xlfn.XLOOKUP($B9,'TH_CMI GRADE 10'!$B$7:$B$49,'TH_CMI GRADE 10'!#REF!,"",0,1)&lt;=TODAY()-MOD(WEEKDAY(TODAY(),2)-5,7)),$D9,0)</f>
        <v>#REF!</v>
      </c>
      <c r="AR59" s="67">
        <f ca="1">IF(AND($D9&lt;&gt;0,_xlfn.XLOOKUP($B9,'TH_CMI GRADE 10'!$B$7:$B$49,'TH_CMI GRADE 10'!U$7:U$49,"",0,1)="P",
   _xlfn.XLOOKUP($B9,'TH_CMI GRADE 10'!$B$7:$B$49,'TH_CMI GRADE 10'!$AS$7:$AS$49,"",0,1)&lt;=TODAY()-MOD(WEEKDAY(TODAY(),2)-5,7)),$D9,0)</f>
        <v>0</v>
      </c>
      <c r="AS59" s="67">
        <f ca="1">IF(AND($D9&lt;&gt;0,_xlfn.XLOOKUP($B9,'TH_CMI GRADE 10'!$B$7:$B$49,'TH_CMI GRADE 10'!V$7:V$49,"",0,1)="P",
   _xlfn.XLOOKUP($B9,'TH_CMI GRADE 10'!$B$7:$B$49,'TH_CMI GRADE 10'!$AT$7:$AT$49,"",0,1)&lt;=TODAY()-MOD(WEEKDAY(TODAY(),2)-5,7)),$D9,0)</f>
        <v>0</v>
      </c>
      <c r="AT59" s="67" t="e">
        <f ca="1">IF(AND($D9&lt;&gt;0,_xlfn.XLOOKUP($B9,'TH_CMI GRADE 10'!$B$7:$B$49,'TH_CMI GRADE 10'!W$7:W$49,"",0,1)="P",
   _xlfn.XLOOKUP($B9,'TH_CMI GRADE 10'!$B$7:$B$49,'TH_CMI GRADE 10'!#REF!,"",0,1)&lt;=TODAY()-MOD(WEEKDAY(TODAY(),2)-5,7)),$D9,0)</f>
        <v>#REF!</v>
      </c>
      <c r="AU59" s="67">
        <f ca="1">IF(AND($D9&lt;&gt;0,_xlfn.XLOOKUP($B9,'TH_CMI GRADE 10'!$B$7:$B$49,'TH_CMI GRADE 10'!AA$7:AA$49,"",0,1)="P",
   _xlfn.XLOOKUP($B9,'TH_CMI GRADE 10'!$B$7:$B$49,'TH_CMI GRADE 10'!$AS$7:$AS$49,"",0,1)&lt;=TODAY()-MOD(WEEKDAY(TODAY(),2)-5,7)),$D9,0)</f>
        <v>1</v>
      </c>
      <c r="AV59" s="67">
        <f ca="1">IF(AND($D9&lt;&gt;0,_xlfn.XLOOKUP($B9,'TH_CMI GRADE 10'!$B$7:$B$49,'TH_CMI GRADE 10'!AB$7:AB$49,"",0,1)="P",
   _xlfn.XLOOKUP($B9,'TH_CMI GRADE 10'!$B$7:$B$49,'TH_CMI GRADE 10'!$AT$7:$AT$49,"",0,1)&lt;=TODAY()-MOD(WEEKDAY(TODAY(),2)-5,7)),$D9,0)</f>
        <v>1</v>
      </c>
      <c r="AW59" s="67" t="e">
        <f ca="1">IF(AND($D9&lt;&gt;0,_xlfn.XLOOKUP($B9,'TH_CMI GRADE 10'!$B$7:$B$49,'TH_CMI GRADE 10'!AC$7:AC$49,"",0,1)="P",
   _xlfn.XLOOKUP($B9,'TH_CMI GRADE 10'!$B$7:$B$49,'TH_CMI GRADE 10'!#REF!,"",0,1)&lt;=TODAY()-MOD(WEEKDAY(TODAY(),2)-5,7)),$D9,0)</f>
        <v>#REF!</v>
      </c>
      <c r="AX59" s="67">
        <f ca="1">IF(AND($D9&lt;&gt;0,_xlfn.XLOOKUP($B9,'TH_CMI GRADE 10'!$B$7:$B$49,'TH_CMI GRADE 10'!AG$7:AG$49,"",0,1)="P",
   _xlfn.XLOOKUP($B9,'TH_CMI GRADE 10'!$B$7:$B$49,'TH_CMI GRADE 10'!$AS$7:$AS$49,"",0,1)&lt;=TODAY()-MOD(WEEKDAY(TODAY(),2)-5,7)),$D9,0)</f>
        <v>1</v>
      </c>
      <c r="AY59" s="67">
        <f ca="1">IF(AND($D9&lt;&gt;0,_xlfn.XLOOKUP($B9,'TH_CMI GRADE 10'!$B$7:$B$49,'TH_CMI GRADE 10'!AH$7:AH$49,"",0,1)="P",
   _xlfn.XLOOKUP($B9,'TH_CMI GRADE 10'!$B$7:$B$49,'TH_CMI GRADE 10'!$AT$7:$AT$49,"",0,1)&lt;=TODAY()-MOD(WEEKDAY(TODAY(),2)-5,7)),$D9,0)</f>
        <v>1</v>
      </c>
      <c r="AZ59" s="67" t="e">
        <f ca="1">IF(AND($D9&lt;&gt;0,_xlfn.XLOOKUP($B9,'TH_CMI GRADE 10'!$B$7:$B$49,'TH_CMI GRADE 10'!AI$7:AI$49,"",0,1)="P",
   _xlfn.XLOOKUP($B9,'TH_CMI GRADE 10'!$B$7:$B$49,'TH_CMI GRADE 10'!#REF!,"",0,1)&lt;=TODAY()-MOD(WEEKDAY(TODAY(),2)-5,7)),$D9,0)</f>
        <v>#REF!</v>
      </c>
      <c r="BA59" s="65" t="e">
        <f ca="1">IF(AND($D9&lt;&gt;0,_xlfn.XLOOKUP($B9,'PW_MLG GRADE 10'!$B$7:$B$31,'PW_MLG GRADE 10'!R$7:R$31,"",0,1)="P",
   _xlfn.XLOOKUP($B9,'PW_MLG GRADE 10'!$B$7:$B$31,'PW_MLG GRADE 10'!#REF!,"",0,1)&lt;=TODAY()-MOD(WEEKDAY(TODAY(),2)-5,7)),$D9,0)</f>
        <v>#REF!</v>
      </c>
      <c r="BB59" s="65" t="e">
        <f ca="1">IF(AND($D9&lt;&gt;0,_xlfn.XLOOKUP($B9,'PW_MLG GRADE 10'!$B$7:$B$31,'PW_MLG GRADE 10'!S$7:S$31,"",0,1)="P",
   _xlfn.XLOOKUP($B9,'PW_MLG GRADE 10'!$B$7:$B$31,'PW_MLG GRADE 10'!#REF!,"",0,1)&lt;=TODAY()-MOD(WEEKDAY(TODAY(),2)-5,7)),$D9,0)</f>
        <v>#REF!</v>
      </c>
      <c r="BC59" s="65" t="e">
        <f ca="1">IF(AND($D9&lt;&gt;0,_xlfn.XLOOKUP($B9,'PW_MLG GRADE 10'!$B$7:$B$31,'PW_MLG GRADE 10'!T$7:T$31,"",0,1)="P",
   _xlfn.XLOOKUP($B9,'PW_MLG GRADE 10'!$B$7:$B$31,'PW_MLG GRADE 10'!#REF!,"",0,1)&lt;=TODAY()-MOD(WEEKDAY(TODAY(),2)-5,7)),$D9,0)</f>
        <v>#REF!</v>
      </c>
      <c r="BD59" s="65" t="e">
        <f ca="1">IF(AND($D9&lt;&gt;0,_xlfn.XLOOKUP($B9,'PW_MLG GRADE 10'!$B$7:$B$31,'PW_MLG GRADE 10'!AA$7:AA$31,"",0,1)="P",
   _xlfn.XLOOKUP($B9,'PW_MLG GRADE 10'!$B$7:$B$31,'PW_MLG GRADE 10'!#REF!,"",0,1)&lt;=TODAY()-MOD(WEEKDAY(TODAY(),2)-5,7)),$D9,0)</f>
        <v>#REF!</v>
      </c>
      <c r="BE59" s="65" t="e">
        <f ca="1">IF(AND($D9&lt;&gt;0,_xlfn.XLOOKUP($B9,'PW_MLG GRADE 10'!$B$7:$B$31,'PW_MLG GRADE 10'!AB$7:AB$31,"",0,1)="P",
   _xlfn.XLOOKUP($B9,'PW_MLG GRADE 10'!$B$7:$B$31,'PW_MLG GRADE 10'!#REF!,"",0,1)&lt;=TODAY()-MOD(WEEKDAY(TODAY(),2)-5,7)),$D9,0)</f>
        <v>#REF!</v>
      </c>
      <c r="BF59" s="65" t="e">
        <f ca="1">IF(AND($D9&lt;&gt;0,_xlfn.XLOOKUP($B9,'PW_MLG GRADE 10'!$B$7:$B$31,'PW_MLG GRADE 10'!AC$7:AC$31,"",0,1)="P",
   _xlfn.XLOOKUP($B9,'PW_MLG GRADE 10'!$B$7:$B$31,'PW_MLG GRADE 10'!#REF!,"",0,1)&lt;=TODAY()-MOD(WEEKDAY(TODAY(),2)-5,7)),$D9,0)</f>
        <v>#REF!</v>
      </c>
      <c r="BG59" s="65" t="e">
        <f ca="1">IF(AND($D9&lt;&gt;0,_xlfn.XLOOKUP($B9,'PW_MLG GRADE 10'!$B$7:$B$31,'PW_MLG GRADE 10'!AD$7:AD$31,"",0,1)="P",
   _xlfn.XLOOKUP($B9,'PW_MLG GRADE 10'!$B$7:$B$31,'PW_MLG GRADE 10'!#REF!,"",0,1)&lt;=TODAY()-MOD(WEEKDAY(TODAY(),2)-5,7)),$D9,0)</f>
        <v>#REF!</v>
      </c>
      <c r="BH59" s="65" t="e">
        <f ca="1">IF(AND($D9&lt;&gt;0,_xlfn.XLOOKUP($B9,'PW_MLG GRADE 10'!$B$7:$B$31,'PW_MLG GRADE 10'!AE$7:AE$31,"",0,1)="P",
   _xlfn.XLOOKUP($B9,'PW_MLG GRADE 10'!$B$7:$B$31,'PW_MLG GRADE 10'!#REF!,"",0,1)&lt;=TODAY()-MOD(WEEKDAY(TODAY(),2)-5,7)),$D9,0)</f>
        <v>#REF!</v>
      </c>
      <c r="BI59" s="65" t="e">
        <f ca="1">IF(AND($D9&lt;&gt;0,_xlfn.XLOOKUP($B9,'PW_MLG GRADE 10'!$B$7:$B$31,'PW_MLG GRADE 10'!AF$7:AF$31,"",0,1)="P",
   _xlfn.XLOOKUP($B9,'PW_MLG GRADE 10'!$B$7:$B$31,'PW_MLG GRADE 10'!#REF!,"",0,1)&lt;=TODAY()-MOD(WEEKDAY(TODAY(),2)-5,7)),$D9,0)</f>
        <v>#REF!</v>
      </c>
      <c r="BJ59" s="65" t="e">
        <f ca="1">IF(AND($D9&lt;&gt;0,_xlfn.XLOOKUP($B9,'PW_MLG GRADE 10'!$B$7:$B$31,'PW_MLG GRADE 10'!AG$7:AG$31,"",0,1)="P",
   _xlfn.XLOOKUP($B9,'PW_MLG GRADE 10'!$B$7:$B$31,'PW_MLG GRADE 10'!#REF!,"",0,1)&lt;=TODAY()-MOD(WEEKDAY(TODAY(),2)-5,7)),$D9,0)</f>
        <v>#REF!</v>
      </c>
      <c r="BK59" s="65" t="e">
        <f ca="1">IF(AND($D9&lt;&gt;0,_xlfn.XLOOKUP($B9,'PW_MLG GRADE 10'!$B$7:$B$31,'PW_MLG GRADE 10'!AH$7:AH$31,"",0,1)="P",
   _xlfn.XLOOKUP($B9,'PW_MLG GRADE 10'!$B$7:$B$31,'PW_MLG GRADE 10'!#REF!,"",0,1)&lt;=TODAY()-MOD(WEEKDAY(TODAY(),2)-5,7)),$D9,0)</f>
        <v>#REF!</v>
      </c>
      <c r="BL59" s="65" t="e">
        <f ca="1">IF(AND($D9&lt;&gt;0,_xlfn.XLOOKUP($B9,'PW_MLG GRADE 10'!$B$7:$B$31,'PW_MLG GRADE 10'!AI$7:AI$31,"",0,1)="P",
   _xlfn.XLOOKUP($B9,'PW_MLG GRADE 10'!$B$7:$B$31,'PW_MLG GRADE 10'!#REF!,"",0,1)&lt;=TODAY()-MOD(WEEKDAY(TODAY(),2)-5,7)),$D9,0)</f>
        <v>#REF!</v>
      </c>
      <c r="BM59" s="65" t="e">
        <f ca="1">IF(AND($D9&lt;&gt;0,_xlfn.XLOOKUP($B9,'PW_MLG GRADE 10'!$B$7:$B$31,'PW_MLG GRADE 10'!AJ$7:AJ$31,"",0,1)="P",
   _xlfn.XLOOKUP($B9,'PW_MLG GRADE 10'!$B$7:$B$31,'PW_MLG GRADE 10'!#REF!,"",0,1)&lt;=TODAY()-MOD(WEEKDAY(TODAY(),2)-5,7)),$D9,0)</f>
        <v>#REF!</v>
      </c>
      <c r="BN59" s="65" t="e">
        <f ca="1">IF(AND($D9&lt;&gt;0,_xlfn.XLOOKUP($B9,'PW_MLG GRADE 10'!$B$7:$B$31,'PW_MLG GRADE 10'!AK$7:AK$31,"",0,1)="P",
   _xlfn.XLOOKUP($B9,'PW_MLG GRADE 10'!$B$7:$B$31,'PW_MLG GRADE 10'!#REF!,"",0,1)&lt;=TODAY()-MOD(WEEKDAY(TODAY(),2)-5,7)),$D9,0)</f>
        <v>#REF!</v>
      </c>
      <c r="BO59" s="65" t="e">
        <f ca="1">IF(AND($D9&lt;&gt;0,_xlfn.XLOOKUP($B9,'PW_MLG GRADE 10'!$B$7:$B$31,'PW_MLG GRADE 10'!AL$7:AL$31,"",0,1)="P",
   _xlfn.XLOOKUP($B9,'PW_MLG GRADE 10'!$B$7:$B$31,'PW_MLG GRADE 10'!#REF!,"",0,1)&lt;=TODAY()-MOD(WEEKDAY(TODAY(),2)-5,7)),$D9,0)</f>
        <v>#REF!</v>
      </c>
      <c r="BP59" s="65" t="e">
        <f ca="1">IF(AND($D9&lt;&gt;0,_xlfn.XLOOKUP($B9,'PW_MLG GRADE 10'!$B$7:$B$31,'PW_MLG GRADE 10'!AM$7:AM$31,"",0,1)="P",
   _xlfn.XLOOKUP($B9,'PW_MLG GRADE 10'!$B$7:$B$31,'PW_MLG GRADE 10'!#REF!,"",0,1)&lt;=TODAY()-MOD(WEEKDAY(TODAY(),2)-5,7)),$D9,0)</f>
        <v>#REF!</v>
      </c>
      <c r="BQ59" s="65" t="e">
        <f ca="1">IF(AND($D9&lt;&gt;0,_xlfn.XLOOKUP($B9,'PW_MLG GRADE 10'!$B$7:$B$31,'PW_MLG GRADE 10'!AN$7:AN$31,"",0,1)="P",
   _xlfn.XLOOKUP($B9,'PW_MLG GRADE 10'!$B$7:$B$31,'PW_MLG GRADE 10'!#REF!,"",0,1)&lt;=TODAY()-MOD(WEEKDAY(TODAY(),2)-5,7)),$D9,0)</f>
        <v>#REF!</v>
      </c>
      <c r="BR59" s="65" t="e">
        <f ca="1">IF(AND($D9&lt;&gt;0,_xlfn.XLOOKUP($B9,'PW_MLG GRADE 10'!$B$7:$B$31,'PW_MLG GRADE 10'!AO$7:AO$31,"",0,1)="P",
   _xlfn.XLOOKUP($B9,'PW_MLG GRADE 10'!$B$7:$B$31,'PW_MLG GRADE 10'!#REF!,"",0,1)&lt;=TODAY()-MOD(WEEKDAY(TODAY(),2)-5,7)),$D9,0)</f>
        <v>#REF!</v>
      </c>
      <c r="BS59" s="65" t="e">
        <f ca="1">IF(AND($D9&lt;&gt;0,_xlfn.XLOOKUP($B9,'PW_MLG GRADE 10'!$B$7:$B$31,'PW_MLG GRADE 10'!AP$7:AP$31,"",0,1)="P",
   _xlfn.XLOOKUP($B9,'PW_MLG GRADE 10'!$B$7:$B$31,'PW_MLG GRADE 10'!#REF!,"",0,1)&lt;=TODAY()-MOD(WEEKDAY(TODAY(),2)-5,7)),$D9,0)</f>
        <v>#REF!</v>
      </c>
      <c r="BT59" s="65" t="e">
        <f ca="1">IF(AND($D9&lt;&gt;0,_xlfn.XLOOKUP($B9,'PW_MLG GRADE 10'!$B$7:$B$31,'PW_MLG GRADE 10'!AQ$7:AQ$31,"",0,1)="P",
   _xlfn.XLOOKUP($B9,'PW_MLG GRADE 10'!$B$7:$B$31,'PW_MLG GRADE 10'!#REF!,"",0,1)&lt;=TODAY()-MOD(WEEKDAY(TODAY(),2)-5,7)),$D9,0)</f>
        <v>#REF!</v>
      </c>
      <c r="BU59" s="65" t="e">
        <f ca="1">IF(AND($D9&lt;&gt;0,_xlfn.XLOOKUP($B9,'PW_MLG GRADE 10'!$B$7:$B$31,'PW_MLG GRADE 10'!AR$7:AR$31,"",0,1)="P",
   _xlfn.XLOOKUP($B9,'PW_MLG GRADE 10'!$B$7:$B$31,'PW_MLG GRADE 10'!#REF!,"",0,1)&lt;=TODAY()-MOD(WEEKDAY(TODAY(),2)-5,7)),$D9,0)</f>
        <v>#REF!</v>
      </c>
      <c r="BV59" s="65" t="e">
        <f ca="1">IF(AND($D9&lt;&gt;0,_xlfn.XLOOKUP($B9,'PW_MLG GRADE 10'!$B$7:$B$31,'PW_MLG GRADE 10'!AY$7:AY$31,"",0,1)="P",
   _xlfn.XLOOKUP($B9,'PW_MLG GRADE 10'!$B$7:$B$31,'PW_MLG GRADE 10'!#REF!,"",0,1)&lt;=TODAY()-MOD(WEEKDAY(TODAY(),2)-5,7)),$D9,0)</f>
        <v>#REF!</v>
      </c>
      <c r="BW59" s="65" t="e">
        <f ca="1">IF(AND($D9&lt;&gt;0,_xlfn.XLOOKUP($B9,'PW_MLG GRADE 10'!$B$7:$B$31,'PW_MLG GRADE 10'!AZ$7:AZ$31,"",0,1)="P",
   _xlfn.XLOOKUP($B9,'PW_MLG GRADE 10'!$B$7:$B$31,'PW_MLG GRADE 10'!#REF!,"",0,1)&lt;=TODAY()-MOD(WEEKDAY(TODAY(),2)-5,7)),$D9,0)</f>
        <v>#REF!</v>
      </c>
      <c r="BX59" s="65" t="e">
        <f ca="1">IF(AND($D9&lt;&gt;0,_xlfn.XLOOKUP($B9,'PW_MLG GRADE 10'!$B$7:$B$31,'PW_MLG GRADE 10'!BA$7:BA$31,"",0,1)="P",
   _xlfn.XLOOKUP($B9,'PW_MLG GRADE 10'!$B$7:$B$31,'PW_MLG GRADE 10'!#REF!,"",0,1)&lt;=TODAY()-MOD(WEEKDAY(TODAY(),2)-5,7)),$D9,0)</f>
        <v>#REF!</v>
      </c>
      <c r="BY59" s="65" t="e">
        <f ca="1">IF(AND($D9&lt;&gt;0,_xlfn.XLOOKUP($B9,'PW_MLG GRADE 10'!$B$7:$B$31,'PW_MLG GRADE 10'!BB$7:BB$31,"",0,1)="P",
   _xlfn.XLOOKUP($B9,'PW_MLG GRADE 10'!$B$7:$B$31,'PW_MLG GRADE 10'!#REF!,"",0,1)&lt;=TODAY()-MOD(WEEKDAY(TODAY(),2)-5,7)),$D9,0)</f>
        <v>#REF!</v>
      </c>
      <c r="BZ59" s="65" t="e">
        <f ca="1">IF(AND($D9&lt;&gt;0,_xlfn.XLOOKUP($B9,'PW_MLG GRADE 10'!$B$7:$B$31,'PW_MLG GRADE 10'!BC$7:BC$31,"",0,1)="P",
   _xlfn.XLOOKUP($B9,'PW_MLG GRADE 10'!$B$7:$B$31,'PW_MLG GRADE 10'!#REF!,"",0,1)&lt;=TODAY()-MOD(WEEKDAY(TODAY(),2)-5,7)),$D9,0)</f>
        <v>#REF!</v>
      </c>
      <c r="CA59" s="65" t="e">
        <f ca="1">IF(AND($D9&lt;&gt;0,_xlfn.XLOOKUP($B9,'PW_MLG GRADE 10'!$B$7:$B$31,'PW_MLG GRADE 10'!BD$7:BD$31,"",0,1)="P",
   _xlfn.XLOOKUP($B9,'PW_MLG GRADE 10'!$B$7:$B$31,'PW_MLG GRADE 10'!#REF!,"",0,1)&lt;=TODAY()-MOD(WEEKDAY(TODAY(),2)-5,7)),$D9,0)</f>
        <v>#REF!</v>
      </c>
      <c r="CB59" s="65" t="e">
        <f ca="1">IF(AND($D9&lt;&gt;0,_xlfn.XLOOKUP($B9,'PW_MLG GRADE 10'!$B$7:$B$31,'PW_MLG GRADE 10'!BE$7:BE$31,"",0,1)="P",
   _xlfn.XLOOKUP($B9,'PW_MLG GRADE 10'!$B$7:$B$31,'PW_MLG GRADE 10'!#REF!,"",0,1)&lt;=TODAY()-MOD(WEEKDAY(TODAY(),2)-5,7)),$D9,0)</f>
        <v>#REF!</v>
      </c>
      <c r="CC59" s="65" t="e">
        <f ca="1">IF(AND($D9&lt;&gt;0,_xlfn.XLOOKUP($B9,'PW_MLG GRADE 10'!$B$7:$B$31,'PW_MLG GRADE 10'!BF$7:BF$31,"",0,1)="P",
   _xlfn.XLOOKUP($B9,'PW_MLG GRADE 10'!$B$7:$B$31,'PW_MLG GRADE 10'!#REF!,"",0,1)&lt;=TODAY()-MOD(WEEKDAY(TODAY(),2)-5,7)),$D9,0)</f>
        <v>#REF!</v>
      </c>
      <c r="CD59" s="65" t="e">
        <f ca="1">IF(AND($D9&lt;&gt;0,_xlfn.XLOOKUP($B9,'PW_MLG GRADE 10'!$B$7:$B$31,'PW_MLG GRADE 10'!BG$7:BG$31,"",0,1)="P",
   _xlfn.XLOOKUP($B9,'PW_MLG GRADE 10'!$B$7:$B$31,'PW_MLG GRADE 10'!#REF!,"",0,1)&lt;=TODAY()-MOD(WEEKDAY(TODAY(),2)-5,7)),$D9,0)</f>
        <v>#REF!</v>
      </c>
      <c r="CE59" s="67">
        <f ca="1">IF(AND($D9&lt;&gt;0,_xlfn.XLOOKUP($B9,'PW_CMI GRADE 10'!$B$7:$B$31,'PW_CMI GRADE 10'!AY$7:AY$31,"",0,1)="P",
   _xlfn.XLOOKUP($B9,'PW_CMI GRADE 10'!$B$7:$B$31,'PW_CMI GRADE 10'!$U$7:$U$31,"",0,1)&lt;=TODAY()-MOD(WEEKDAY(TODAY(),2)-5,7)),$D9,0)</f>
        <v>0</v>
      </c>
      <c r="CF59" s="67">
        <f ca="1">IF(AND($D9&lt;&gt;0,_xlfn.XLOOKUP($B9,'PW_CMI GRADE 10'!$B$7:$B$31,'PW_CMI GRADE 10'!AZ$7:AZ$31,"",0,1)="P",
   _xlfn.XLOOKUP($B9,'PW_CMI GRADE 10'!$B$7:$B$31,'PW_CMI GRADE 10'!$V$7:$V$31,"",0,1)&lt;=TODAY()-MOD(WEEKDAY(TODAY(),2)-5,7)),$D9,0)</f>
        <v>0</v>
      </c>
      <c r="CG59" s="67">
        <f ca="1">IF(AND($D9&lt;&gt;0,_xlfn.XLOOKUP($B9,'PW_CMI GRADE 10'!$B$7:$B$31,'PW_CMI GRADE 10'!BA$7:BA$31,"",0,1)="P",
   _xlfn.XLOOKUP($B9,'PW_CMI GRADE 10'!$B$7:$B$31,'PW_CMI GRADE 10'!$W$7:$W$31,"",0,1)&lt;=TODAY()-MOD(WEEKDAY(TODAY(),2)-5,7)),$D9,0)</f>
        <v>0</v>
      </c>
      <c r="CH59" s="67">
        <f ca="1">IF(AND($D9&lt;&gt;0,_xlfn.XLOOKUP($B9,'PW_CMI GRADE 10'!$B$7:$B$31,'PW_CMI GRADE 10'!BB$7:BB$31,"",0,1)="P",
   _xlfn.XLOOKUP($B9,'PW_CMI GRADE 10'!$B$7:$B$31,'PW_CMI GRADE 10'!$U$7:$U$31,"",0,1)&lt;=TODAY()-MOD(WEEKDAY(TODAY(),2)-5,7)),$D9,0)</f>
        <v>0</v>
      </c>
      <c r="CI59" s="67">
        <f ca="1">IF(AND($D9&lt;&gt;0,_xlfn.XLOOKUP($B9,'PW_CMI GRADE 10'!$B$7:$B$31,'PW_CMI GRADE 10'!BC$7:BC$31,"",0,1)="P",
   _xlfn.XLOOKUP($B9,'PW_CMI GRADE 10'!$B$7:$B$31,'PW_CMI GRADE 10'!$V$7:$V$31,"",0,1)&lt;=TODAY()-MOD(WEEKDAY(TODAY(),2)-5,7)),$D9,0)</f>
        <v>0</v>
      </c>
      <c r="CJ59" s="67">
        <f ca="1">IF(AND($D9&lt;&gt;0,_xlfn.XLOOKUP($B9,'PW_CMI GRADE 10'!$B$7:$B$31,'PW_CMI GRADE 10'!BD$7:BD$31,"",0,1)="P",
   _xlfn.XLOOKUP($B9,'PW_CMI GRADE 10'!$B$7:$B$31,'PW_CMI GRADE 10'!$W$7:$W$31,"",0,1)&lt;=TODAY()-MOD(WEEKDAY(TODAY(),2)-5,7)),$D9,0)</f>
        <v>0</v>
      </c>
      <c r="CK59" s="67">
        <f ca="1">IF(AND($D9&lt;&gt;0,_xlfn.XLOOKUP($B9,'PW_CMI GRADE 10'!$B$7:$B$31,'PW_CMI GRADE 10'!BE$7:BE$31,"",0,1)="P",
   _xlfn.XLOOKUP($B9,'PW_CMI GRADE 10'!$B$7:$B$31,'PW_CMI GRADE 10'!$U$7:$U$31,"",0,1)&lt;=TODAY()-MOD(WEEKDAY(TODAY(),2)-5,7)),$D9,0)</f>
        <v>0</v>
      </c>
      <c r="CL59" s="67">
        <f ca="1">IF(AND($D9&lt;&gt;0,_xlfn.XLOOKUP($B9,'PW_CMI GRADE 10'!$B$7:$B$31,'PW_CMI GRADE 10'!BF$7:BF$31,"",0,1)="P",
   _xlfn.XLOOKUP($B9,'PW_CMI GRADE 10'!$B$7:$B$31,'PW_CMI GRADE 10'!$V$7:$V$31,"",0,1)&lt;=TODAY()-MOD(WEEKDAY(TODAY(),2)-5,7)),$D9,0)</f>
        <v>0</v>
      </c>
      <c r="CM59" s="67">
        <f ca="1">IF(AND($D9&lt;&gt;0,_xlfn.XLOOKUP($B9,'PW_CMI GRADE 10'!$B$7:$B$31,'PW_CMI GRADE 10'!BG$7:BG$31,"",0,1)="P",
   _xlfn.XLOOKUP($B9,'PW_CMI GRADE 10'!$B$7:$B$31,'PW_CMI GRADE 10'!$W$7:$W$31,"",0,1)&lt;=TODAY()-MOD(WEEKDAY(TODAY(),2)-5,7)),$D9,0)</f>
        <v>0</v>
      </c>
      <c r="CN59" s="67">
        <f ca="1">IF(AND($D9&lt;&gt;0,_xlfn.XLOOKUP($B9,'PW_CMI GRADE 10'!$B$7:$B$31,'PW_CMI GRADE 10'!BH$7:BH$31,"",0,1)="P",
   _xlfn.XLOOKUP($B9,'PW_CMI GRADE 10'!$B$7:$B$31,'PW_CMI GRADE 10'!$U$7:$U$31,"",0,1)&lt;=TODAY()-MOD(WEEKDAY(TODAY(),2)-5,7)),$D9,0)</f>
        <v>0</v>
      </c>
      <c r="CO59" s="67">
        <f ca="1">IF(AND($D9&lt;&gt;0,_xlfn.XLOOKUP($B9,'PW_CMI GRADE 10'!$B$7:$B$31,'PW_CMI GRADE 10'!BI$7:BI$31,"",0,1)="P",
   _xlfn.XLOOKUP($B9,'PW_CMI GRADE 10'!$B$7:$B$31,'PW_CMI GRADE 10'!$V$7:$V$31,"",0,1)&lt;=TODAY()-MOD(WEEKDAY(TODAY(),2)-5,7)),$D9,0)</f>
        <v>0</v>
      </c>
      <c r="CP59" s="67">
        <f ca="1">IF(AND($D9&lt;&gt;0,_xlfn.XLOOKUP($B9,'PW_CMI GRADE 10'!$B$7:$B$31,'PW_CMI GRADE 10'!BJ$7:BJ$31,"",0,1)="P",
   _xlfn.XLOOKUP($B9,'PW_CMI GRADE 10'!$B$7:$B$31,'PW_CMI GRADE 10'!$W$7:$W$31,"",0,1)&lt;=TODAY()-MOD(WEEKDAY(TODAY(),2)-5,7)),$D9,0)</f>
        <v>0</v>
      </c>
      <c r="CQ59" s="67">
        <f ca="1">IF(AND($D9&lt;&gt;0,_xlfn.XLOOKUP($B9,'PW_CMI GRADE 10'!$B$7:$B$31,'PW_CMI GRADE 10'!BK$7:BK$31,"",0,1)="P",
   _xlfn.XLOOKUP($B9,'PW_CMI GRADE 10'!$B$7:$B$31,'PW_CMI GRADE 10'!$U$7:$U$31,"",0,1)&lt;=TODAY()-MOD(WEEKDAY(TODAY(),2)-5,7)),$D9,0)</f>
        <v>0</v>
      </c>
      <c r="CR59" s="67">
        <f ca="1">IF(AND($D9&lt;&gt;0,_xlfn.XLOOKUP($B9,'PW_CMI GRADE 10'!$B$7:$B$31,'PW_CMI GRADE 10'!BL$7:BL$31,"",0,1)="P",
   _xlfn.XLOOKUP($B9,'PW_CMI GRADE 10'!$B$7:$B$31,'PW_CMI GRADE 10'!$V$7:$V$31,"",0,1)&lt;=TODAY()-MOD(WEEKDAY(TODAY(),2)-5,7)),$D9,0)</f>
        <v>0</v>
      </c>
      <c r="CS59" s="67">
        <f ca="1">IF(AND($D9&lt;&gt;0,_xlfn.XLOOKUP($B9,'PW_CMI GRADE 10'!$B$7:$B$31,'PW_CMI GRADE 10'!BM$7:BM$31,"",0,1)="P",
   _xlfn.XLOOKUP($B9,'PW_CMI GRADE 10'!$B$7:$B$31,'PW_CMI GRADE 10'!$W$7:$W$31,"",0,1)&lt;=TODAY()-MOD(WEEKDAY(TODAY(),2)-5,7)),$D9,0)</f>
        <v>0</v>
      </c>
      <c r="CT59" s="67">
        <f ca="1">IF(AND($D9&lt;&gt;0,_xlfn.XLOOKUP($B9,'PW_CMI GRADE 10'!$B$7:$B$31,'PW_CMI GRADE 10'!BN$7:BN$31,"",0,1)="P",
   _xlfn.XLOOKUP($B9,'PW_CMI GRADE 10'!$B$7:$B$31,'PW_CMI GRADE 10'!$U$7:$U$31,"",0,1)&lt;=TODAY()-MOD(WEEKDAY(TODAY(),2)-5,7)),$D9,0)</f>
        <v>0</v>
      </c>
      <c r="CU59" s="67">
        <f ca="1">IF(AND($D9&lt;&gt;0,_xlfn.XLOOKUP($B9,'PW_CMI GRADE 10'!$B$7:$B$31,'PW_CMI GRADE 10'!BO$7:BO$31,"",0,1)="P",
   _xlfn.XLOOKUP($B9,'PW_CMI GRADE 10'!$B$7:$B$31,'PW_CMI GRADE 10'!$V$7:$V$31,"",0,1)&lt;=TODAY()-MOD(WEEKDAY(TODAY(),2)-5,7)),$D9,0)</f>
        <v>0</v>
      </c>
      <c r="CV59" s="67">
        <f ca="1">IF(AND($D9&lt;&gt;0,_xlfn.XLOOKUP($B9,'PW_CMI GRADE 10'!$B$7:$B$31,'PW_CMI GRADE 10'!BP$7:BP$31,"",0,1)="P",
   _xlfn.XLOOKUP($B9,'PW_CMI GRADE 10'!$B$7:$B$31,'PW_CMI GRADE 10'!$W$7:$W$31,"",0,1)&lt;=TODAY()-MOD(WEEKDAY(TODAY(),2)-5,7)),$D9,0)</f>
        <v>0</v>
      </c>
      <c r="CW59" s="62" t="e">
        <f t="shared" ca="1" si="132"/>
        <v>#REF!</v>
      </c>
      <c r="CX59" s="62" t="e">
        <f t="shared" ca="1" si="69"/>
        <v>#REF!</v>
      </c>
      <c r="CY59" s="62" t="e">
        <f t="shared" ca="1" si="70"/>
        <v>#REF!</v>
      </c>
      <c r="CZ59" s="62" t="e">
        <f t="shared" ca="1" si="71"/>
        <v>#REF!</v>
      </c>
      <c r="DA59" s="62" t="e">
        <f t="shared" ca="1" si="72"/>
        <v>#REF!</v>
      </c>
      <c r="DB59" s="62" t="e">
        <f t="shared" ca="1" si="73"/>
        <v>#REF!</v>
      </c>
      <c r="DC59" s="62" t="e">
        <f t="shared" ca="1" si="74"/>
        <v>#REF!</v>
      </c>
      <c r="DD59" s="62" t="e">
        <f t="shared" ca="1" si="75"/>
        <v>#REF!</v>
      </c>
      <c r="DE59" s="62" t="e">
        <f t="shared" ca="1" si="76"/>
        <v>#REF!</v>
      </c>
      <c r="DF59" s="62" t="e">
        <f t="shared" ca="1" si="77"/>
        <v>#REF!</v>
      </c>
      <c r="DG59" s="62" t="e">
        <f t="shared" ca="1" si="78"/>
        <v>#REF!</v>
      </c>
      <c r="DH59" s="62" t="e">
        <f t="shared" ca="1" si="79"/>
        <v>#REF!</v>
      </c>
      <c r="DI59" s="62" t="e">
        <f t="shared" ca="1" si="80"/>
        <v>#REF!</v>
      </c>
      <c r="DJ59" s="62" t="e">
        <f t="shared" ca="1" si="81"/>
        <v>#REF!</v>
      </c>
      <c r="DK59" s="62" t="e">
        <f t="shared" ca="1" si="82"/>
        <v>#REF!</v>
      </c>
      <c r="DL59" s="62" t="e">
        <f t="shared" ca="1" si="83"/>
        <v>#REF!</v>
      </c>
      <c r="DM59" s="62" t="e">
        <f t="shared" ca="1" si="84"/>
        <v>#REF!</v>
      </c>
      <c r="DN59" s="62" t="e">
        <f t="shared" ca="1" si="85"/>
        <v>#REF!</v>
      </c>
      <c r="DO59" s="62" t="e">
        <f t="shared" ca="1" si="86"/>
        <v>#REF!</v>
      </c>
      <c r="DP59" s="62" t="e">
        <f t="shared" ca="1" si="87"/>
        <v>#REF!</v>
      </c>
      <c r="DQ59" s="62" t="e">
        <f t="shared" ca="1" si="88"/>
        <v>#REF!</v>
      </c>
      <c r="DR59" s="62" t="e">
        <f t="shared" ca="1" si="89"/>
        <v>#REF!</v>
      </c>
      <c r="DS59" s="62" t="e">
        <f t="shared" ca="1" si="90"/>
        <v>#REF!</v>
      </c>
      <c r="DT59" s="62" t="e">
        <f t="shared" ca="1" si="91"/>
        <v>#REF!</v>
      </c>
      <c r="DU59" s="62" t="e">
        <f t="shared" ca="1" si="92"/>
        <v>#REF!</v>
      </c>
      <c r="DV59" s="62" t="e">
        <f t="shared" ca="1" si="93"/>
        <v>#REF!</v>
      </c>
      <c r="DW59" s="62" t="e">
        <f t="shared" ca="1" si="94"/>
        <v>#REF!</v>
      </c>
      <c r="DX59" s="62" t="e">
        <f t="shared" ca="1" si="95"/>
        <v>#REF!</v>
      </c>
      <c r="DY59" s="62" t="e">
        <f t="shared" ca="1" si="96"/>
        <v>#REF!</v>
      </c>
      <c r="DZ59" s="62" t="e">
        <f t="shared" ca="1" si="97"/>
        <v>#REF!</v>
      </c>
      <c r="EA59" s="63" t="e">
        <f t="shared" ca="1" si="98"/>
        <v>#REF!</v>
      </c>
      <c r="EB59" s="63" t="e">
        <f t="shared" ca="1" si="99"/>
        <v>#REF!</v>
      </c>
      <c r="EC59" s="63" t="e">
        <f t="shared" ca="1" si="100"/>
        <v>#REF!</v>
      </c>
      <c r="ED59" s="63" t="e">
        <f t="shared" ca="1" si="101"/>
        <v>#REF!</v>
      </c>
      <c r="EE59" s="63" t="e">
        <f t="shared" ca="1" si="102"/>
        <v>#REF!</v>
      </c>
      <c r="EF59" s="63" t="e">
        <f t="shared" ca="1" si="103"/>
        <v>#REF!</v>
      </c>
      <c r="EG59" s="63" t="e">
        <f t="shared" ca="1" si="104"/>
        <v>#REF!</v>
      </c>
      <c r="EH59" s="63" t="e">
        <f t="shared" ca="1" si="105"/>
        <v>#REF!</v>
      </c>
      <c r="EI59" s="63" t="e">
        <f t="shared" ca="1" si="106"/>
        <v>#REF!</v>
      </c>
      <c r="EJ59" s="63" t="e">
        <f t="shared" ca="1" si="107"/>
        <v>#REF!</v>
      </c>
      <c r="EK59" s="63" t="e">
        <f t="shared" ca="1" si="108"/>
        <v>#REF!</v>
      </c>
      <c r="EL59" s="63" t="e">
        <f t="shared" ca="1" si="109"/>
        <v>#REF!</v>
      </c>
      <c r="EM59" s="63" t="e">
        <f t="shared" ca="1" si="110"/>
        <v>#REF!</v>
      </c>
      <c r="EN59" s="63" t="e">
        <f t="shared" ca="1" si="111"/>
        <v>#REF!</v>
      </c>
      <c r="EO59" s="63" t="e">
        <f t="shared" ca="1" si="112"/>
        <v>#REF!</v>
      </c>
      <c r="EP59" s="63" t="e">
        <f t="shared" ca="1" si="113"/>
        <v>#REF!</v>
      </c>
      <c r="ET59" t="str">
        <v>2.5</v>
      </c>
      <c r="EU59" s="38" t="e">
        <f t="shared" ca="1" si="114"/>
        <v>#REF!</v>
      </c>
      <c r="EV59" s="38" t="e">
        <f t="shared" ca="1" si="115"/>
        <v>#REF!</v>
      </c>
      <c r="EW59" s="38" t="e">
        <f t="shared" ca="1" si="116"/>
        <v>#REF!</v>
      </c>
      <c r="EX59" s="38" t="e">
        <f t="shared" ca="1" si="117"/>
        <v>#REF!</v>
      </c>
      <c r="EY59" s="38" t="e">
        <f t="shared" ca="1" si="118"/>
        <v>#REF!</v>
      </c>
      <c r="EZ59" s="38" t="e">
        <f t="shared" ca="1" si="119"/>
        <v>#REF!</v>
      </c>
      <c r="FA59" s="38" t="e">
        <f t="shared" ca="1" si="120"/>
        <v>#REF!</v>
      </c>
      <c r="FB59" s="38" t="e">
        <f t="shared" ca="1" si="121"/>
        <v>#REF!</v>
      </c>
      <c r="FC59" s="38" t="e">
        <f t="shared" ca="1" si="122"/>
        <v>#REF!</v>
      </c>
      <c r="FD59" s="38" t="e">
        <f t="shared" ca="1" si="123"/>
        <v>#REF!</v>
      </c>
      <c r="FE59" s="38">
        <f t="shared" ca="1" si="133"/>
        <v>0</v>
      </c>
      <c r="FF59" s="38" t="e">
        <f t="shared" ca="1" si="124"/>
        <v>#REF!</v>
      </c>
      <c r="FG59" s="38" t="e">
        <f t="shared" ca="1" si="125"/>
        <v>#REF!</v>
      </c>
      <c r="FH59" s="38" t="e">
        <f t="shared" ca="1" si="126"/>
        <v>#REF!</v>
      </c>
      <c r="FI59" s="38" t="e">
        <f t="shared" ca="1" si="127"/>
        <v>#REF!</v>
      </c>
      <c r="FJ59" s="38" t="e">
        <f t="shared" ca="1" si="128"/>
        <v>#REF!</v>
      </c>
      <c r="FK59" s="38" t="e">
        <f t="shared" ca="1" si="129"/>
        <v>#REF!</v>
      </c>
      <c r="FL59" s="38">
        <f t="shared" ca="1" si="130"/>
        <v>0</v>
      </c>
      <c r="FM59" s="38">
        <v>1</v>
      </c>
      <c r="FN59" s="38">
        <f t="shared" si="134"/>
        <v>0.66666666666666663</v>
      </c>
      <c r="FO59" s="38">
        <f t="shared" si="135"/>
        <v>0.33333333333333331</v>
      </c>
    </row>
    <row r="60" spans="1:223">
      <c r="A60" s="64" t="str">
        <f t="shared" si="131"/>
        <v>2.1</v>
      </c>
      <c r="B60" s="64" t="s">
        <v>41</v>
      </c>
      <c r="C60" s="30">
        <v>1</v>
      </c>
      <c r="D60" s="30">
        <v>1</v>
      </c>
      <c r="E60" s="65">
        <f ca="1">IF(AND($D10&lt;&gt;0,_xlfn.XLOOKUP($B10,'TH_MLG GRADE 10'!$B$7:$B$49,'TH_MLG GRADE 10'!C$7:C$49,"",0,1)="P",
   _xlfn.XLOOKUP($B10,'TH_MLG GRADE 10'!$B$7:$B$49,'TH_MLG GRADE 10'!$BK$7:$BK$49,"",0,1)&lt;=TODAY()-MOD(WEEKDAY(TODAY(),2)-5,7)),$D10,0)</f>
        <v>0</v>
      </c>
      <c r="F60" s="65">
        <f ca="1">IF(AND($D10&lt;&gt;0,_xlfn.XLOOKUP($B10,'TH_MLG GRADE 10'!$B$7:$B$49,'TH_MLG GRADE 10'!D$7:D$49,"",0,1)="P",
   _xlfn.XLOOKUP($B10,'TH_MLG GRADE 10'!$B$7:$B$49,'TH_MLG GRADE 10'!$BL$7:$BL$49,"",0,1)&lt;=TODAY()-MOD(WEEKDAY(TODAY(),2)-5,7)),$D10,0)</f>
        <v>0</v>
      </c>
      <c r="G60" s="65">
        <f ca="1">IF(AND($D10&lt;&gt;0,_xlfn.XLOOKUP($B10,'TH_MLG GRADE 10'!$B$7:$B$49,'TH_MLG GRADE 10'!E$7:E$49,"",0,1)="P",
   _xlfn.XLOOKUP($B10,'TH_MLG GRADE 10'!$B$7:$B$49,'TH_MLG GRADE 10'!$BM$7:$BM$49,"",0,1)&lt;=TODAY()-MOD(WEEKDAY(TODAY(),2)-5,7)),$D10,0)</f>
        <v>0</v>
      </c>
      <c r="H60" s="65">
        <f ca="1">IF(AND($D10&lt;&gt;0,_xlfn.XLOOKUP($B10,'TH_MLG GRADE 10'!$B$7:$B$49,'TH_MLG GRADE 10'!I$7:I$49,"",0,1)="P",
   _xlfn.XLOOKUP($B10,'TH_MLG GRADE 10'!$B$7:$B$49,'TH_MLG GRADE 10'!$BK$7:$BK$49,"",0,1)&lt;=TODAY()-MOD(WEEKDAY(TODAY(),2)-5,7)),$D10,0)</f>
        <v>0</v>
      </c>
      <c r="I60" s="65">
        <f ca="1">IF(AND($D10&lt;&gt;0,_xlfn.XLOOKUP($B10,'TH_MLG GRADE 10'!$B$7:$B$49,'TH_MLG GRADE 10'!J$7:J$49,"",0,1)="P",
   _xlfn.XLOOKUP($B10,'TH_MLG GRADE 10'!$B$7:$B$49,'TH_MLG GRADE 10'!$BL$7:$BL$49,"",0,1)&lt;=TODAY()-MOD(WEEKDAY(TODAY(),2)-5,7)),$D10,0)</f>
        <v>0</v>
      </c>
      <c r="J60" s="65">
        <f ca="1">IF(AND($D10&lt;&gt;0,_xlfn.XLOOKUP($B10,'TH_MLG GRADE 10'!$B$7:$B$49,'TH_MLG GRADE 10'!K$7:K$49,"",0,1)="P",
   _xlfn.XLOOKUP($B10,'TH_MLG GRADE 10'!$B$7:$B$49,'TH_MLG GRADE 10'!$BM$7:$BM$49,"",0,1)&lt;=TODAY()-MOD(WEEKDAY(TODAY(),2)-5,7)),$D10,0)</f>
        <v>0</v>
      </c>
      <c r="K60" s="65">
        <f ca="1">IF(AND($D10&lt;&gt;0,_xlfn.XLOOKUP($B10,'TH_MLG GRADE 10'!$B$7:$B$49,'TH_MLG GRADE 10'!O$7:O$49,"",0,1)="P",
   _xlfn.XLOOKUP($B10,'TH_MLG GRADE 10'!$B$7:$B$49,'TH_MLG GRADE 10'!$BK$7:$BK$49,"",0,1)&lt;=TODAY()-MOD(WEEKDAY(TODAY(),2)-5,7)),$D10,0)</f>
        <v>0</v>
      </c>
      <c r="L60" s="65">
        <f ca="1">IF(AND($D10&lt;&gt;0,_xlfn.XLOOKUP($B10,'TH_MLG GRADE 10'!$B$7:$B$49,'TH_MLG GRADE 10'!P$7:P$49,"",0,1)="P",
   _xlfn.XLOOKUP($B10,'TH_MLG GRADE 10'!$B$7:$B$49,'TH_MLG GRADE 10'!$BL$7:$BL$49,"",0,1)&lt;=TODAY()-MOD(WEEKDAY(TODAY(),2)-5,7)),$D10,0)</f>
        <v>0</v>
      </c>
      <c r="M60" s="65">
        <f ca="1">IF(AND($D10&lt;&gt;0,_xlfn.XLOOKUP($B10,'TH_MLG GRADE 10'!$B$7:$B$49,'TH_MLG GRADE 10'!Q$7:Q$49,"",0,1)="P",
   _xlfn.XLOOKUP($B10,'TH_MLG GRADE 10'!$B$7:$B$49,'TH_MLG GRADE 10'!$BM$7:$BM$49,"",0,1)&lt;=TODAY()-MOD(WEEKDAY(TODAY(),2)-5,7)),$D10,0)</f>
        <v>0</v>
      </c>
      <c r="N60" s="65">
        <f ca="1">IF(AND($D10&lt;&gt;0,_xlfn.XLOOKUP($B10,'TH_MLG GRADE 10'!$B$7:$B$49,'TH_MLG GRADE 10'!AA$7:AA$49,"",0,1)="P",
   _xlfn.XLOOKUP($B10,'TH_MLG GRADE 10'!$B$7:$B$49,'TH_MLG GRADE 10'!$BK$7:$BK$49,"",0,1)&lt;=TODAY()-MOD(WEEKDAY(TODAY(),2)-5,7)),$D10,0)</f>
        <v>0</v>
      </c>
      <c r="O60" s="65">
        <f ca="1">IF(AND($D10&lt;&gt;0,_xlfn.XLOOKUP($B10,'TH_MLG GRADE 10'!$B$7:$B$49,'TH_MLG GRADE 10'!AB$7:AB$49,"",0,1)="P",
   _xlfn.XLOOKUP($B10,'TH_MLG GRADE 10'!$B$7:$B$49,'TH_MLG GRADE 10'!$BL$7:$BL$49,"",0,1)&lt;=TODAY()-MOD(WEEKDAY(TODAY(),2)-5,7)),$D10,0)</f>
        <v>0</v>
      </c>
      <c r="P60" s="65">
        <f ca="1">IF(AND($D10&lt;&gt;0,_xlfn.XLOOKUP($B10,'TH_MLG GRADE 10'!$B$7:$B$49,'TH_MLG GRADE 10'!AC$7:AC$49,"",0,1)="P",
   _xlfn.XLOOKUP($B10,'TH_MLG GRADE 10'!$B$7:$B$49,'TH_MLG GRADE 10'!$BM$7:$BM$49,"",0,1)&lt;=TODAY()-MOD(WEEKDAY(TODAY(),2)-5,7)),$D10,0)</f>
        <v>0</v>
      </c>
      <c r="Q60" s="65">
        <f ca="1">IF(AND($D10&lt;&gt;0,_xlfn.XLOOKUP($B10,'TH_MLG GRADE 10'!$B$7:$B$49,'TH_MLG GRADE 10'!AG$7:AG$49,"",0,1)="P",
   _xlfn.XLOOKUP($B10,'TH_MLG GRADE 10'!$B$7:$B$49,'TH_MLG GRADE 10'!$BK$7:$BK$49,"",0,1)&lt;=TODAY()-MOD(WEEKDAY(TODAY(),2)-5,7)),$D10,0)</f>
        <v>0</v>
      </c>
      <c r="R60" s="65">
        <f ca="1">IF(AND($D10&lt;&gt;0,_xlfn.XLOOKUP($B10,'TH_MLG GRADE 10'!$B$7:$B$49,'TH_MLG GRADE 10'!AH$7:AH$49,"",0,1)="P",
   _xlfn.XLOOKUP($B10,'TH_MLG GRADE 10'!$B$7:$B$49,'TH_MLG GRADE 10'!$BL$7:$BL$49,"",0,1)&lt;=TODAY()-MOD(WEEKDAY(TODAY(),2)-5,7)),$D10,0)</f>
        <v>0</v>
      </c>
      <c r="S60" s="65">
        <f ca="1">IF(AND($D10&lt;&gt;0,_xlfn.XLOOKUP($B10,'TH_MLG GRADE 10'!$B$7:$B$49,'TH_MLG GRADE 10'!AI$7:AI$49,"",0,1)="P",
   _xlfn.XLOOKUP($B10,'TH_MLG GRADE 10'!$B$7:$B$49,'TH_MLG GRADE 10'!$BM$7:$BM$49,"",0,1)&lt;=TODAY()-MOD(WEEKDAY(TODAY(),2)-5,7)),$D10,0)</f>
        <v>0</v>
      </c>
      <c r="T60" s="65">
        <f ca="1">IF(AND($D10&lt;&gt;0,_xlfn.XLOOKUP($B10,'TH_MLG GRADE 10'!$B$7:$B$49,'TH_MLG GRADE 10'!AM$7:AM$49,"",0,1)="P",
   _xlfn.XLOOKUP($B10,'TH_MLG GRADE 10'!$B$7:$B$49,'TH_MLG GRADE 10'!$BK$7:$BK$49,"",0,1)&lt;=TODAY()-MOD(WEEKDAY(TODAY(),2)-5,7)),$D10,0)</f>
        <v>1</v>
      </c>
      <c r="U60" s="65">
        <f ca="1">IF(AND($D10&lt;&gt;0,_xlfn.XLOOKUP($B10,'TH_MLG GRADE 10'!$B$7:$B$49,'TH_MLG GRADE 10'!AN$7:AN$49,"",0,1)="P",
   _xlfn.XLOOKUP($B10,'TH_MLG GRADE 10'!$B$7:$B$49,'TH_MLG GRADE 10'!$BL$7:$BL$49,"",0,1)&lt;=TODAY()-MOD(WEEKDAY(TODAY(),2)-5,7)),$D10,0)</f>
        <v>1</v>
      </c>
      <c r="V60" s="65">
        <f ca="1">IF(AND($D10&lt;&gt;0,_xlfn.XLOOKUP($B10,'TH_MLG GRADE 10'!$B$7:$B$49,'TH_MLG GRADE 10'!AO$7:AO$49,"",0,1)="P",
   _xlfn.XLOOKUP($B10,'TH_MLG GRADE 10'!$B$7:$B$49,'TH_MLG GRADE 10'!$BM$7:$BM$49,"",0,1)&lt;=TODAY()-MOD(WEEKDAY(TODAY(),2)-5,7)),$D10,0)</f>
        <v>1</v>
      </c>
      <c r="W60" s="65">
        <f ca="1">IF(AND($D10&lt;&gt;0,_xlfn.XLOOKUP($B10,'TH_MLG GRADE 10'!$B$7:$B$49,'TH_MLG GRADE 10'!AY$7:AY$49,"",0,1)="P",
   _xlfn.XLOOKUP($B10,'TH_MLG GRADE 10'!$B$7:$B$49,'TH_MLG GRADE 10'!$BK$7:$BK$49,"",0,1)&lt;=TODAY()-MOD(WEEKDAY(TODAY(),2)-5,7)),$D10,0)</f>
        <v>1</v>
      </c>
      <c r="X60" s="65">
        <f ca="1">IF(AND($D10&lt;&gt;0,_xlfn.XLOOKUP($B10,'TH_MLG GRADE 10'!$B$7:$B$49,'TH_MLG GRADE 10'!AZ$7:AZ$49,"",0,1)="P",
   _xlfn.XLOOKUP($B10,'TH_MLG GRADE 10'!$B$7:$B$49,'TH_MLG GRADE 10'!$BL$7:$BL$49,"",0,1)&lt;=TODAY()-MOD(WEEKDAY(TODAY(),2)-5,7)),$D10,0)</f>
        <v>1</v>
      </c>
      <c r="Y60" s="65">
        <f ca="1">IF(AND($D10&lt;&gt;0,_xlfn.XLOOKUP($B10,'TH_MLG GRADE 10'!$B$7:$B$49,'TH_MLG GRADE 10'!BA$7:BA$49,"",0,1)="P",
   _xlfn.XLOOKUP($B10,'TH_MLG GRADE 10'!$B$7:$B$49,'TH_MLG GRADE 10'!$BM$7:$BM$49,"",0,1)&lt;=TODAY()-MOD(WEEKDAY(TODAY(),2)-5,7)),$D10,0)</f>
        <v>0</v>
      </c>
      <c r="Z60" s="65">
        <f ca="1">IF(AND($D10&lt;&gt;0,_xlfn.XLOOKUP($B10,'TH_MLG GRADE 10'!$B$7:$B$49,'TH_MLG GRADE 10'!BE$7:BE$49,"",0,1)="P",
   _xlfn.XLOOKUP($B10,'TH_MLG GRADE 10'!$B$7:$B$49,'TH_MLG GRADE 10'!$BK$7:$BK$49,"",0,1)&lt;=TODAY()-MOD(WEEKDAY(TODAY(),2)-5,7)),$D10,0)</f>
        <v>0</v>
      </c>
      <c r="AA60" s="65">
        <f ca="1">IF(AND($D10&lt;&gt;0,_xlfn.XLOOKUP($B10,'TH_MLG GRADE 10'!$B$7:$B$49,'TH_MLG GRADE 10'!BF$7:BF$49,"",0,1)="P",
   _xlfn.XLOOKUP($B10,'TH_MLG GRADE 10'!$B$7:$B$49,'TH_MLG GRADE 10'!$BL$7:$BL$49,"",0,1)&lt;=TODAY()-MOD(WEEKDAY(TODAY(),2)-5,7)),$D10,0)</f>
        <v>0</v>
      </c>
      <c r="AB60" s="65">
        <f ca="1">IF(AND($D10&lt;&gt;0,_xlfn.XLOOKUP($B10,'TH_MLG GRADE 10'!$B$7:$B$49,'TH_MLG GRADE 10'!BG$7:BG$49,"",0,1)="P",
   _xlfn.XLOOKUP($B10,'TH_MLG GRADE 10'!$B$7:$B$49,'TH_MLG GRADE 10'!$BM$7:$BM$49,"",0,1)&lt;=TODAY()-MOD(WEEKDAY(TODAY(),2)-5,7)),$D10,0)</f>
        <v>0</v>
      </c>
      <c r="AC60" s="65" t="e">
        <f ca="1">IF(AND($D10&lt;&gt;0,_xlfn.XLOOKUP($B10,'TH_MLG GRADE 10'!$B$7:$B$49,'TH_MLG GRADE 10'!#REF!,"",0,1)="P",
   _xlfn.XLOOKUP($B10,'TH_MLG GRADE 10'!$B$7:$B$49,'TH_MLG GRADE 10'!$BK$7:$BK$49,"",0,1)&lt;=TODAY()-MOD(WEEKDAY(TODAY(),2)-5,7)),$D10,0)</f>
        <v>#REF!</v>
      </c>
      <c r="AD60" s="65" t="e">
        <f ca="1">IF(AND($D10&lt;&gt;0,_xlfn.XLOOKUP($B10,'TH_MLG GRADE 10'!$B$7:$B$49,'TH_MLG GRADE 10'!#REF!,"",0,1)="P",
   _xlfn.XLOOKUP($B10,'TH_MLG GRADE 10'!$B$7:$B$49,'TH_MLG GRADE 10'!$BL$7:$BL$49,"",0,1)&lt;=TODAY()-MOD(WEEKDAY(TODAY(),2)-5,7)),$D10,0)</f>
        <v>#REF!</v>
      </c>
      <c r="AE60" s="65" t="e">
        <f ca="1">IF(AND($D10&lt;&gt;0,_xlfn.XLOOKUP($B10,'TH_MLG GRADE 10'!$B$7:$B$49,'TH_MLG GRADE 10'!#REF!,"",0,1)="P",
   _xlfn.XLOOKUP($B10,'TH_MLG GRADE 10'!$B$7:$B$49,'TH_MLG GRADE 10'!$BM$7:$BM$49,"",0,1)&lt;=TODAY()-MOD(WEEKDAY(TODAY(),2)-5,7)),$D10,0)</f>
        <v>#REF!</v>
      </c>
      <c r="AF60" s="65" t="e">
        <f ca="1">IF(AND($D10&lt;&gt;0,_xlfn.XLOOKUP($B10,'TH_MLG GRADE 10'!$B$7:$B$49,'TH_MLG GRADE 10'!#REF!,"",0,1)="P",
   _xlfn.XLOOKUP($B10,'TH_MLG GRADE 10'!$B$7:$B$49,'TH_MLG GRADE 10'!$BK$7:$BK$49,"",0,1)&lt;=TODAY()-MOD(WEEKDAY(TODAY(),2)-5,7)),$D10,0)</f>
        <v>#REF!</v>
      </c>
      <c r="AG60" s="65" t="e">
        <f ca="1">IF(AND($D10&lt;&gt;0,_xlfn.XLOOKUP($B10,'TH_MLG GRADE 10'!$B$7:$B$49,'TH_MLG GRADE 10'!#REF!,"",0,1)="P",
   _xlfn.XLOOKUP($B10,'TH_MLG GRADE 10'!$B$7:$B$49,'TH_MLG GRADE 10'!$BL$7:$BL$49,"",0,1)&lt;=TODAY()-MOD(WEEKDAY(TODAY(),2)-5,7)),$D10,0)</f>
        <v>#REF!</v>
      </c>
      <c r="AH60" s="65" t="e">
        <f ca="1">IF(AND($D10&lt;&gt;0,_xlfn.XLOOKUP($B10,'TH_MLG GRADE 10'!$B$7:$B$49,'TH_MLG GRADE 10'!#REF!,"",0,1)="P",
   _xlfn.XLOOKUP($B10,'TH_MLG GRADE 10'!$B$7:$B$49,'TH_MLG GRADE 10'!$BM$7:$BM$49,"",0,1)&lt;=TODAY()-MOD(WEEKDAY(TODAY(),2)-5,7)),$D10,0)</f>
        <v>#REF!</v>
      </c>
      <c r="AI60" s="67">
        <f ca="1">IF(AND($D10&lt;&gt;0,_xlfn.XLOOKUP($B10,'TH_CMI GRADE 10'!$B$7:$B$49,'TH_CMI GRADE 10'!C$7:C$49,"",0,1)="P",
   _xlfn.XLOOKUP($B10,'TH_CMI GRADE 10'!$B$7:$B$49,'TH_CMI GRADE 10'!$AS$7:$AS$49,"",0,1)&lt;=TODAY()-MOD(WEEKDAY(TODAY(),2)-5,7)),$D10,0)</f>
        <v>0</v>
      </c>
      <c r="AJ60" s="67">
        <f ca="1">IF(AND($D10&lt;&gt;0,_xlfn.XLOOKUP($B10,'TH_CMI GRADE 10'!$B$7:$B$49,'TH_CMI GRADE 10'!D$7:D$49,"",0,1)="P",
   _xlfn.XLOOKUP($B10,'TH_CMI GRADE 10'!$B$7:$B$49,'TH_CMI GRADE 10'!$AT$7:$AT$49,"",0,1)&lt;=TODAY()-MOD(WEEKDAY(TODAY(),2)-5,7)),$D10,0)</f>
        <v>0</v>
      </c>
      <c r="AK60" s="67" t="e">
        <f ca="1">IF(AND($D10&lt;&gt;0,_xlfn.XLOOKUP($B10,'TH_CMI GRADE 10'!$B$7:$B$49,'TH_CMI GRADE 10'!H$7:H$49,"",0,1)="P",
   _xlfn.XLOOKUP($B10,'TH_CMI GRADE 10'!$B$7:$B$49,'TH_CMI GRADE 10'!#REF!,"",0,1)&lt;=TODAY()-MOD(WEEKDAY(TODAY(),2)-5,7)),$D10,0)</f>
        <v>#REF!</v>
      </c>
      <c r="AL60" s="67">
        <f ca="1">IF(AND($D10&lt;&gt;0,_xlfn.XLOOKUP($B10,'TH_CMI GRADE 10'!$B$7:$B$49,'TH_CMI GRADE 10'!I$7:I$49,"",0,1)="P",
   _xlfn.XLOOKUP($B10,'TH_CMI GRADE 10'!$B$7:$B$49,'TH_CMI GRADE 10'!$AS$7:$AS$49,"",0,1)&lt;=TODAY()-MOD(WEEKDAY(TODAY(),2)-5,7)),$D10,0)</f>
        <v>0</v>
      </c>
      <c r="AM60" s="67">
        <f ca="1">IF(AND($D10&lt;&gt;0,_xlfn.XLOOKUP($B10,'TH_CMI GRADE 10'!$B$7:$B$49,'TH_CMI GRADE 10'!J$7:J$49,"",0,1)="P",
   _xlfn.XLOOKUP($B10,'TH_CMI GRADE 10'!$B$7:$B$49,'TH_CMI GRADE 10'!$AT$7:$AT$49,"",0,1)&lt;=TODAY()-MOD(WEEKDAY(TODAY(),2)-5,7)),$D10,0)</f>
        <v>0</v>
      </c>
      <c r="AN60" s="67" t="e">
        <f ca="1">IF(AND($D10&lt;&gt;0,_xlfn.XLOOKUP($B10,'TH_CMI GRADE 10'!$B$7:$B$49,'TH_CMI GRADE 10'!K$7:K$49,"",0,1)="P",
   _xlfn.XLOOKUP($B10,'TH_CMI GRADE 10'!$B$7:$B$49,'TH_CMI GRADE 10'!#REF!,"",0,1)&lt;=TODAY()-MOD(WEEKDAY(TODAY(),2)-5,7)),$D10,0)</f>
        <v>#REF!</v>
      </c>
      <c r="AO60" s="67">
        <f ca="1">IF(AND($D10&lt;&gt;0,_xlfn.XLOOKUP($B10,'TH_CMI GRADE 10'!$B$7:$B$49,'TH_CMI GRADE 10'!O$7:O$49,"",0,1)="P",
   _xlfn.XLOOKUP($B10,'TH_CMI GRADE 10'!$B$7:$B$49,'TH_CMI GRADE 10'!$AS$7:$AS$49,"",0,1)&lt;=TODAY()-MOD(WEEKDAY(TODAY(),2)-5,7)),$D10,0)</f>
        <v>0</v>
      </c>
      <c r="AP60" s="67">
        <f ca="1">IF(AND($D10&lt;&gt;0,_xlfn.XLOOKUP($B10,'TH_CMI GRADE 10'!$B$7:$B$49,'TH_CMI GRADE 10'!P$7:P$49,"",0,1)="P",
   _xlfn.XLOOKUP($B10,'TH_CMI GRADE 10'!$B$7:$B$49,'TH_CMI GRADE 10'!$AT$7:$AT$49,"",0,1)&lt;=TODAY()-MOD(WEEKDAY(TODAY(),2)-5,7)),$D10,0)</f>
        <v>0</v>
      </c>
      <c r="AQ60" s="67" t="e">
        <f ca="1">IF(AND($D10&lt;&gt;0,_xlfn.XLOOKUP($B10,'TH_CMI GRADE 10'!$B$7:$B$49,'TH_CMI GRADE 10'!Q$7:Q$49,"",0,1)="P",
   _xlfn.XLOOKUP($B10,'TH_CMI GRADE 10'!$B$7:$B$49,'TH_CMI GRADE 10'!#REF!,"",0,1)&lt;=TODAY()-MOD(WEEKDAY(TODAY(),2)-5,7)),$D10,0)</f>
        <v>#REF!</v>
      </c>
      <c r="AR60" s="67">
        <f ca="1">IF(AND($D10&lt;&gt;0,_xlfn.XLOOKUP($B10,'TH_CMI GRADE 10'!$B$7:$B$49,'TH_CMI GRADE 10'!U$7:U$49,"",0,1)="P",
   _xlfn.XLOOKUP($B10,'TH_CMI GRADE 10'!$B$7:$B$49,'TH_CMI GRADE 10'!$AS$7:$AS$49,"",0,1)&lt;=TODAY()-MOD(WEEKDAY(TODAY(),2)-5,7)),$D10,0)</f>
        <v>0</v>
      </c>
      <c r="AS60" s="67">
        <f ca="1">IF(AND($D10&lt;&gt;0,_xlfn.XLOOKUP($B10,'TH_CMI GRADE 10'!$B$7:$B$49,'TH_CMI GRADE 10'!V$7:V$49,"",0,1)="P",
   _xlfn.XLOOKUP($B10,'TH_CMI GRADE 10'!$B$7:$B$49,'TH_CMI GRADE 10'!$AT$7:$AT$49,"",0,1)&lt;=TODAY()-MOD(WEEKDAY(TODAY(),2)-5,7)),$D10,0)</f>
        <v>0</v>
      </c>
      <c r="AT60" s="67" t="e">
        <f ca="1">IF(AND($D10&lt;&gt;0,_xlfn.XLOOKUP($B10,'TH_CMI GRADE 10'!$B$7:$B$49,'TH_CMI GRADE 10'!W$7:W$49,"",0,1)="P",
   _xlfn.XLOOKUP($B10,'TH_CMI GRADE 10'!$B$7:$B$49,'TH_CMI GRADE 10'!#REF!,"",0,1)&lt;=TODAY()-MOD(WEEKDAY(TODAY(),2)-5,7)),$D10,0)</f>
        <v>#REF!</v>
      </c>
      <c r="AU60" s="67">
        <f ca="1">IF(AND($D10&lt;&gt;0,_xlfn.XLOOKUP($B10,'TH_CMI GRADE 10'!$B$7:$B$49,'TH_CMI GRADE 10'!AA$7:AA$49,"",0,1)="P",
   _xlfn.XLOOKUP($B10,'TH_CMI GRADE 10'!$B$7:$B$49,'TH_CMI GRADE 10'!$AS$7:$AS$49,"",0,1)&lt;=TODAY()-MOD(WEEKDAY(TODAY(),2)-5,7)),$D10,0)</f>
        <v>1</v>
      </c>
      <c r="AV60" s="67">
        <f ca="1">IF(AND($D10&lt;&gt;0,_xlfn.XLOOKUP($B10,'TH_CMI GRADE 10'!$B$7:$B$49,'TH_CMI GRADE 10'!AB$7:AB$49,"",0,1)="P",
   _xlfn.XLOOKUP($B10,'TH_CMI GRADE 10'!$B$7:$B$49,'TH_CMI GRADE 10'!$AT$7:$AT$49,"",0,1)&lt;=TODAY()-MOD(WEEKDAY(TODAY(),2)-5,7)),$D10,0)</f>
        <v>1</v>
      </c>
      <c r="AW60" s="67" t="e">
        <f ca="1">IF(AND($D10&lt;&gt;0,_xlfn.XLOOKUP($B10,'TH_CMI GRADE 10'!$B$7:$B$49,'TH_CMI GRADE 10'!AC$7:AC$49,"",0,1)="P",
   _xlfn.XLOOKUP($B10,'TH_CMI GRADE 10'!$B$7:$B$49,'TH_CMI GRADE 10'!#REF!,"",0,1)&lt;=TODAY()-MOD(WEEKDAY(TODAY(),2)-5,7)),$D10,0)</f>
        <v>#REF!</v>
      </c>
      <c r="AX60" s="67">
        <f ca="1">IF(AND($D10&lt;&gt;0,_xlfn.XLOOKUP($B10,'TH_CMI GRADE 10'!$B$7:$B$49,'TH_CMI GRADE 10'!AG$7:AG$49,"",0,1)="P",
   _xlfn.XLOOKUP($B10,'TH_CMI GRADE 10'!$B$7:$B$49,'TH_CMI GRADE 10'!$AS$7:$AS$49,"",0,1)&lt;=TODAY()-MOD(WEEKDAY(TODAY(),2)-5,7)),$D10,0)</f>
        <v>1</v>
      </c>
      <c r="AY60" s="67">
        <f ca="1">IF(AND($D10&lt;&gt;0,_xlfn.XLOOKUP($B10,'TH_CMI GRADE 10'!$B$7:$B$49,'TH_CMI GRADE 10'!AH$7:AH$49,"",0,1)="P",
   _xlfn.XLOOKUP($B10,'TH_CMI GRADE 10'!$B$7:$B$49,'TH_CMI GRADE 10'!$AT$7:$AT$49,"",0,1)&lt;=TODAY()-MOD(WEEKDAY(TODAY(),2)-5,7)),$D10,0)</f>
        <v>1</v>
      </c>
      <c r="AZ60" s="67" t="e">
        <f ca="1">IF(AND($D10&lt;&gt;0,_xlfn.XLOOKUP($B10,'TH_CMI GRADE 10'!$B$7:$B$49,'TH_CMI GRADE 10'!AI$7:AI$49,"",0,1)="P",
   _xlfn.XLOOKUP($B10,'TH_CMI GRADE 10'!$B$7:$B$49,'TH_CMI GRADE 10'!#REF!,"",0,1)&lt;=TODAY()-MOD(WEEKDAY(TODAY(),2)-5,7)),$D10,0)</f>
        <v>#REF!</v>
      </c>
      <c r="BA60" s="65" t="e">
        <f ca="1">IF(AND($D10&lt;&gt;0,_xlfn.XLOOKUP($B10,'PW_MLG GRADE 10'!$B$7:$B$31,'PW_MLG GRADE 10'!R$7:R$31,"",0,1)="P",
   _xlfn.XLOOKUP($B10,'PW_MLG GRADE 10'!$B$7:$B$31,'PW_MLG GRADE 10'!#REF!,"",0,1)&lt;=TODAY()-MOD(WEEKDAY(TODAY(),2)-5,7)),$D10,0)</f>
        <v>#REF!</v>
      </c>
      <c r="BB60" s="65" t="e">
        <f ca="1">IF(AND($D10&lt;&gt;0,_xlfn.XLOOKUP($B10,'PW_MLG GRADE 10'!$B$7:$B$31,'PW_MLG GRADE 10'!S$7:S$31,"",0,1)="P",
   _xlfn.XLOOKUP($B10,'PW_MLG GRADE 10'!$B$7:$B$31,'PW_MLG GRADE 10'!#REF!,"",0,1)&lt;=TODAY()-MOD(WEEKDAY(TODAY(),2)-5,7)),$D10,0)</f>
        <v>#REF!</v>
      </c>
      <c r="BC60" s="65" t="e">
        <f ca="1">IF(AND($D10&lt;&gt;0,_xlfn.XLOOKUP($B10,'PW_MLG GRADE 10'!$B$7:$B$31,'PW_MLG GRADE 10'!T$7:T$31,"",0,1)="P",
   _xlfn.XLOOKUP($B10,'PW_MLG GRADE 10'!$B$7:$B$31,'PW_MLG GRADE 10'!#REF!,"",0,1)&lt;=TODAY()-MOD(WEEKDAY(TODAY(),2)-5,7)),$D10,0)</f>
        <v>#REF!</v>
      </c>
      <c r="BD60" s="65" t="e">
        <f ca="1">IF(AND($D10&lt;&gt;0,_xlfn.XLOOKUP($B10,'PW_MLG GRADE 10'!$B$7:$B$31,'PW_MLG GRADE 10'!AA$7:AA$31,"",0,1)="P",
   _xlfn.XLOOKUP($B10,'PW_MLG GRADE 10'!$B$7:$B$31,'PW_MLG GRADE 10'!#REF!,"",0,1)&lt;=TODAY()-MOD(WEEKDAY(TODAY(),2)-5,7)),$D10,0)</f>
        <v>#REF!</v>
      </c>
      <c r="BE60" s="65" t="e">
        <f ca="1">IF(AND($D10&lt;&gt;0,_xlfn.XLOOKUP($B10,'PW_MLG GRADE 10'!$B$7:$B$31,'PW_MLG GRADE 10'!AB$7:AB$31,"",0,1)="P",
   _xlfn.XLOOKUP($B10,'PW_MLG GRADE 10'!$B$7:$B$31,'PW_MLG GRADE 10'!#REF!,"",0,1)&lt;=TODAY()-MOD(WEEKDAY(TODAY(),2)-5,7)),$D10,0)</f>
        <v>#REF!</v>
      </c>
      <c r="BF60" s="65" t="e">
        <f ca="1">IF(AND($D10&lt;&gt;0,_xlfn.XLOOKUP($B10,'PW_MLG GRADE 10'!$B$7:$B$31,'PW_MLG GRADE 10'!AC$7:AC$31,"",0,1)="P",
   _xlfn.XLOOKUP($B10,'PW_MLG GRADE 10'!$B$7:$B$31,'PW_MLG GRADE 10'!#REF!,"",0,1)&lt;=TODAY()-MOD(WEEKDAY(TODAY(),2)-5,7)),$D10,0)</f>
        <v>#REF!</v>
      </c>
      <c r="BG60" s="65" t="e">
        <f ca="1">IF(AND($D10&lt;&gt;0,_xlfn.XLOOKUP($B10,'PW_MLG GRADE 10'!$B$7:$B$31,'PW_MLG GRADE 10'!AD$7:AD$31,"",0,1)="P",
   _xlfn.XLOOKUP($B10,'PW_MLG GRADE 10'!$B$7:$B$31,'PW_MLG GRADE 10'!#REF!,"",0,1)&lt;=TODAY()-MOD(WEEKDAY(TODAY(),2)-5,7)),$D10,0)</f>
        <v>#REF!</v>
      </c>
      <c r="BH60" s="65" t="e">
        <f ca="1">IF(AND($D10&lt;&gt;0,_xlfn.XLOOKUP($B10,'PW_MLG GRADE 10'!$B$7:$B$31,'PW_MLG GRADE 10'!AE$7:AE$31,"",0,1)="P",
   _xlfn.XLOOKUP($B10,'PW_MLG GRADE 10'!$B$7:$B$31,'PW_MLG GRADE 10'!#REF!,"",0,1)&lt;=TODAY()-MOD(WEEKDAY(TODAY(),2)-5,7)),$D10,0)</f>
        <v>#REF!</v>
      </c>
      <c r="BI60" s="65" t="e">
        <f ca="1">IF(AND($D10&lt;&gt;0,_xlfn.XLOOKUP($B10,'PW_MLG GRADE 10'!$B$7:$B$31,'PW_MLG GRADE 10'!AF$7:AF$31,"",0,1)="P",
   _xlfn.XLOOKUP($B10,'PW_MLG GRADE 10'!$B$7:$B$31,'PW_MLG GRADE 10'!#REF!,"",0,1)&lt;=TODAY()-MOD(WEEKDAY(TODAY(),2)-5,7)),$D10,0)</f>
        <v>#REF!</v>
      </c>
      <c r="BJ60" s="65" t="e">
        <f ca="1">IF(AND($D10&lt;&gt;0,_xlfn.XLOOKUP($B10,'PW_MLG GRADE 10'!$B$7:$B$31,'PW_MLG GRADE 10'!AG$7:AG$31,"",0,1)="P",
   _xlfn.XLOOKUP($B10,'PW_MLG GRADE 10'!$B$7:$B$31,'PW_MLG GRADE 10'!#REF!,"",0,1)&lt;=TODAY()-MOD(WEEKDAY(TODAY(),2)-5,7)),$D10,0)</f>
        <v>#REF!</v>
      </c>
      <c r="BK60" s="65" t="e">
        <f ca="1">IF(AND($D10&lt;&gt;0,_xlfn.XLOOKUP($B10,'PW_MLG GRADE 10'!$B$7:$B$31,'PW_MLG GRADE 10'!AH$7:AH$31,"",0,1)="P",
   _xlfn.XLOOKUP($B10,'PW_MLG GRADE 10'!$B$7:$B$31,'PW_MLG GRADE 10'!#REF!,"",0,1)&lt;=TODAY()-MOD(WEEKDAY(TODAY(),2)-5,7)),$D10,0)</f>
        <v>#REF!</v>
      </c>
      <c r="BL60" s="65" t="e">
        <f ca="1">IF(AND($D10&lt;&gt;0,_xlfn.XLOOKUP($B10,'PW_MLG GRADE 10'!$B$7:$B$31,'PW_MLG GRADE 10'!AI$7:AI$31,"",0,1)="P",
   _xlfn.XLOOKUP($B10,'PW_MLG GRADE 10'!$B$7:$B$31,'PW_MLG GRADE 10'!#REF!,"",0,1)&lt;=TODAY()-MOD(WEEKDAY(TODAY(),2)-5,7)),$D10,0)</f>
        <v>#REF!</v>
      </c>
      <c r="BM60" s="65" t="e">
        <f ca="1">IF(AND($D10&lt;&gt;0,_xlfn.XLOOKUP($B10,'PW_MLG GRADE 10'!$B$7:$B$31,'PW_MLG GRADE 10'!AJ$7:AJ$31,"",0,1)="P",
   _xlfn.XLOOKUP($B10,'PW_MLG GRADE 10'!$B$7:$B$31,'PW_MLG GRADE 10'!#REF!,"",0,1)&lt;=TODAY()-MOD(WEEKDAY(TODAY(),2)-5,7)),$D10,0)</f>
        <v>#REF!</v>
      </c>
      <c r="BN60" s="65" t="e">
        <f ca="1">IF(AND($D10&lt;&gt;0,_xlfn.XLOOKUP($B10,'PW_MLG GRADE 10'!$B$7:$B$31,'PW_MLG GRADE 10'!AK$7:AK$31,"",0,1)="P",
   _xlfn.XLOOKUP($B10,'PW_MLG GRADE 10'!$B$7:$B$31,'PW_MLG GRADE 10'!#REF!,"",0,1)&lt;=TODAY()-MOD(WEEKDAY(TODAY(),2)-5,7)),$D10,0)</f>
        <v>#REF!</v>
      </c>
      <c r="BO60" s="65" t="e">
        <f ca="1">IF(AND($D10&lt;&gt;0,_xlfn.XLOOKUP($B10,'PW_MLG GRADE 10'!$B$7:$B$31,'PW_MLG GRADE 10'!AL$7:AL$31,"",0,1)="P",
   _xlfn.XLOOKUP($B10,'PW_MLG GRADE 10'!$B$7:$B$31,'PW_MLG GRADE 10'!#REF!,"",0,1)&lt;=TODAY()-MOD(WEEKDAY(TODAY(),2)-5,7)),$D10,0)</f>
        <v>#REF!</v>
      </c>
      <c r="BP60" s="65" t="e">
        <f ca="1">IF(AND($D10&lt;&gt;0,_xlfn.XLOOKUP($B10,'PW_MLG GRADE 10'!$B$7:$B$31,'PW_MLG GRADE 10'!AM$7:AM$31,"",0,1)="P",
   _xlfn.XLOOKUP($B10,'PW_MLG GRADE 10'!$B$7:$B$31,'PW_MLG GRADE 10'!#REF!,"",0,1)&lt;=TODAY()-MOD(WEEKDAY(TODAY(),2)-5,7)),$D10,0)</f>
        <v>#REF!</v>
      </c>
      <c r="BQ60" s="65" t="e">
        <f ca="1">IF(AND($D10&lt;&gt;0,_xlfn.XLOOKUP($B10,'PW_MLG GRADE 10'!$B$7:$B$31,'PW_MLG GRADE 10'!AN$7:AN$31,"",0,1)="P",
   _xlfn.XLOOKUP($B10,'PW_MLG GRADE 10'!$B$7:$B$31,'PW_MLG GRADE 10'!#REF!,"",0,1)&lt;=TODAY()-MOD(WEEKDAY(TODAY(),2)-5,7)),$D10,0)</f>
        <v>#REF!</v>
      </c>
      <c r="BR60" s="65" t="e">
        <f ca="1">IF(AND($D10&lt;&gt;0,_xlfn.XLOOKUP($B10,'PW_MLG GRADE 10'!$B$7:$B$31,'PW_MLG GRADE 10'!AO$7:AO$31,"",0,1)="P",
   _xlfn.XLOOKUP($B10,'PW_MLG GRADE 10'!$B$7:$B$31,'PW_MLG GRADE 10'!#REF!,"",0,1)&lt;=TODAY()-MOD(WEEKDAY(TODAY(),2)-5,7)),$D10,0)</f>
        <v>#REF!</v>
      </c>
      <c r="BS60" s="65" t="e">
        <f ca="1">IF(AND($D10&lt;&gt;0,_xlfn.XLOOKUP($B10,'PW_MLG GRADE 10'!$B$7:$B$31,'PW_MLG GRADE 10'!AP$7:AP$31,"",0,1)="P",
   _xlfn.XLOOKUP($B10,'PW_MLG GRADE 10'!$B$7:$B$31,'PW_MLG GRADE 10'!#REF!,"",0,1)&lt;=TODAY()-MOD(WEEKDAY(TODAY(),2)-5,7)),$D10,0)</f>
        <v>#REF!</v>
      </c>
      <c r="BT60" s="65" t="e">
        <f ca="1">IF(AND($D10&lt;&gt;0,_xlfn.XLOOKUP($B10,'PW_MLG GRADE 10'!$B$7:$B$31,'PW_MLG GRADE 10'!AQ$7:AQ$31,"",0,1)="P",
   _xlfn.XLOOKUP($B10,'PW_MLG GRADE 10'!$B$7:$B$31,'PW_MLG GRADE 10'!#REF!,"",0,1)&lt;=TODAY()-MOD(WEEKDAY(TODAY(),2)-5,7)),$D10,0)</f>
        <v>#REF!</v>
      </c>
      <c r="BU60" s="65" t="e">
        <f ca="1">IF(AND($D10&lt;&gt;0,_xlfn.XLOOKUP($B10,'PW_MLG GRADE 10'!$B$7:$B$31,'PW_MLG GRADE 10'!AR$7:AR$31,"",0,1)="P",
   _xlfn.XLOOKUP($B10,'PW_MLG GRADE 10'!$B$7:$B$31,'PW_MLG GRADE 10'!#REF!,"",0,1)&lt;=TODAY()-MOD(WEEKDAY(TODAY(),2)-5,7)),$D10,0)</f>
        <v>#REF!</v>
      </c>
      <c r="BV60" s="65" t="e">
        <f ca="1">IF(AND($D10&lt;&gt;0,_xlfn.XLOOKUP($B10,'PW_MLG GRADE 10'!$B$7:$B$31,'PW_MLG GRADE 10'!AY$7:AY$31,"",0,1)="P",
   _xlfn.XLOOKUP($B10,'PW_MLG GRADE 10'!$B$7:$B$31,'PW_MLG GRADE 10'!#REF!,"",0,1)&lt;=TODAY()-MOD(WEEKDAY(TODAY(),2)-5,7)),$D10,0)</f>
        <v>#REF!</v>
      </c>
      <c r="BW60" s="65" t="e">
        <f ca="1">IF(AND($D10&lt;&gt;0,_xlfn.XLOOKUP($B10,'PW_MLG GRADE 10'!$B$7:$B$31,'PW_MLG GRADE 10'!AZ$7:AZ$31,"",0,1)="P",
   _xlfn.XLOOKUP($B10,'PW_MLG GRADE 10'!$B$7:$B$31,'PW_MLG GRADE 10'!#REF!,"",0,1)&lt;=TODAY()-MOD(WEEKDAY(TODAY(),2)-5,7)),$D10,0)</f>
        <v>#REF!</v>
      </c>
      <c r="BX60" s="65" t="e">
        <f ca="1">IF(AND($D10&lt;&gt;0,_xlfn.XLOOKUP($B10,'PW_MLG GRADE 10'!$B$7:$B$31,'PW_MLG GRADE 10'!BA$7:BA$31,"",0,1)="P",
   _xlfn.XLOOKUP($B10,'PW_MLG GRADE 10'!$B$7:$B$31,'PW_MLG GRADE 10'!#REF!,"",0,1)&lt;=TODAY()-MOD(WEEKDAY(TODAY(),2)-5,7)),$D10,0)</f>
        <v>#REF!</v>
      </c>
      <c r="BY60" s="65" t="e">
        <f ca="1">IF(AND($D10&lt;&gt;0,_xlfn.XLOOKUP($B10,'PW_MLG GRADE 10'!$B$7:$B$31,'PW_MLG GRADE 10'!BB$7:BB$31,"",0,1)="P",
   _xlfn.XLOOKUP($B10,'PW_MLG GRADE 10'!$B$7:$B$31,'PW_MLG GRADE 10'!#REF!,"",0,1)&lt;=TODAY()-MOD(WEEKDAY(TODAY(),2)-5,7)),$D10,0)</f>
        <v>#REF!</v>
      </c>
      <c r="BZ60" s="65" t="e">
        <f ca="1">IF(AND($D10&lt;&gt;0,_xlfn.XLOOKUP($B10,'PW_MLG GRADE 10'!$B$7:$B$31,'PW_MLG GRADE 10'!BC$7:BC$31,"",0,1)="P",
   _xlfn.XLOOKUP($B10,'PW_MLG GRADE 10'!$B$7:$B$31,'PW_MLG GRADE 10'!#REF!,"",0,1)&lt;=TODAY()-MOD(WEEKDAY(TODAY(),2)-5,7)),$D10,0)</f>
        <v>#REF!</v>
      </c>
      <c r="CA60" s="65" t="e">
        <f ca="1">IF(AND($D10&lt;&gt;0,_xlfn.XLOOKUP($B10,'PW_MLG GRADE 10'!$B$7:$B$31,'PW_MLG GRADE 10'!BD$7:BD$31,"",0,1)="P",
   _xlfn.XLOOKUP($B10,'PW_MLG GRADE 10'!$B$7:$B$31,'PW_MLG GRADE 10'!#REF!,"",0,1)&lt;=TODAY()-MOD(WEEKDAY(TODAY(),2)-5,7)),$D10,0)</f>
        <v>#REF!</v>
      </c>
      <c r="CB60" s="65" t="e">
        <f ca="1">IF(AND($D10&lt;&gt;0,_xlfn.XLOOKUP($B10,'PW_MLG GRADE 10'!$B$7:$B$31,'PW_MLG GRADE 10'!BE$7:BE$31,"",0,1)="P",
   _xlfn.XLOOKUP($B10,'PW_MLG GRADE 10'!$B$7:$B$31,'PW_MLG GRADE 10'!#REF!,"",0,1)&lt;=TODAY()-MOD(WEEKDAY(TODAY(),2)-5,7)),$D10,0)</f>
        <v>#REF!</v>
      </c>
      <c r="CC60" s="65" t="e">
        <f ca="1">IF(AND($D10&lt;&gt;0,_xlfn.XLOOKUP($B10,'PW_MLG GRADE 10'!$B$7:$B$31,'PW_MLG GRADE 10'!BF$7:BF$31,"",0,1)="P",
   _xlfn.XLOOKUP($B10,'PW_MLG GRADE 10'!$B$7:$B$31,'PW_MLG GRADE 10'!#REF!,"",0,1)&lt;=TODAY()-MOD(WEEKDAY(TODAY(),2)-5,7)),$D10,0)</f>
        <v>#REF!</v>
      </c>
      <c r="CD60" s="65" t="e">
        <f ca="1">IF(AND($D10&lt;&gt;0,_xlfn.XLOOKUP($B10,'PW_MLG GRADE 10'!$B$7:$B$31,'PW_MLG GRADE 10'!BG$7:BG$31,"",0,1)="P",
   _xlfn.XLOOKUP($B10,'PW_MLG GRADE 10'!$B$7:$B$31,'PW_MLG GRADE 10'!#REF!,"",0,1)&lt;=TODAY()-MOD(WEEKDAY(TODAY(),2)-5,7)),$D10,0)</f>
        <v>#REF!</v>
      </c>
      <c r="CE60" s="67">
        <f ca="1">IF(AND($D10&lt;&gt;0,_xlfn.XLOOKUP($B10,'PW_CMI GRADE 10'!$B$7:$B$31,'PW_CMI GRADE 10'!AY$7:AY$31,"",0,1)="P",
   _xlfn.XLOOKUP($B10,'PW_CMI GRADE 10'!$B$7:$B$31,'PW_CMI GRADE 10'!$U$7:$U$31,"",0,1)&lt;=TODAY()-MOD(WEEKDAY(TODAY(),2)-5,7)),$D10,0)</f>
        <v>0</v>
      </c>
      <c r="CF60" s="67">
        <f ca="1">IF(AND($D10&lt;&gt;0,_xlfn.XLOOKUP($B10,'PW_CMI GRADE 10'!$B$7:$B$31,'PW_CMI GRADE 10'!AZ$7:AZ$31,"",0,1)="P",
   _xlfn.XLOOKUP($B10,'PW_CMI GRADE 10'!$B$7:$B$31,'PW_CMI GRADE 10'!$V$7:$V$31,"",0,1)&lt;=TODAY()-MOD(WEEKDAY(TODAY(),2)-5,7)),$D10,0)</f>
        <v>0</v>
      </c>
      <c r="CG60" s="67">
        <f ca="1">IF(AND($D10&lt;&gt;0,_xlfn.XLOOKUP($B10,'PW_CMI GRADE 10'!$B$7:$B$31,'PW_CMI GRADE 10'!BA$7:BA$31,"",0,1)="P",
   _xlfn.XLOOKUP($B10,'PW_CMI GRADE 10'!$B$7:$B$31,'PW_CMI GRADE 10'!$W$7:$W$31,"",0,1)&lt;=TODAY()-MOD(WEEKDAY(TODAY(),2)-5,7)),$D10,0)</f>
        <v>0</v>
      </c>
      <c r="CH60" s="67">
        <f ca="1">IF(AND($D10&lt;&gt;0,_xlfn.XLOOKUP($B10,'PW_CMI GRADE 10'!$B$7:$B$31,'PW_CMI GRADE 10'!BB$7:BB$31,"",0,1)="P",
   _xlfn.XLOOKUP($B10,'PW_CMI GRADE 10'!$B$7:$B$31,'PW_CMI GRADE 10'!$U$7:$U$31,"",0,1)&lt;=TODAY()-MOD(WEEKDAY(TODAY(),2)-5,7)),$D10,0)</f>
        <v>0</v>
      </c>
      <c r="CI60" s="67">
        <f ca="1">IF(AND($D10&lt;&gt;0,_xlfn.XLOOKUP($B10,'PW_CMI GRADE 10'!$B$7:$B$31,'PW_CMI GRADE 10'!BC$7:BC$31,"",0,1)="P",
   _xlfn.XLOOKUP($B10,'PW_CMI GRADE 10'!$B$7:$B$31,'PW_CMI GRADE 10'!$V$7:$V$31,"",0,1)&lt;=TODAY()-MOD(WEEKDAY(TODAY(),2)-5,7)),$D10,0)</f>
        <v>0</v>
      </c>
      <c r="CJ60" s="67">
        <f ca="1">IF(AND($D10&lt;&gt;0,_xlfn.XLOOKUP($B10,'PW_CMI GRADE 10'!$B$7:$B$31,'PW_CMI GRADE 10'!BD$7:BD$31,"",0,1)="P",
   _xlfn.XLOOKUP($B10,'PW_CMI GRADE 10'!$B$7:$B$31,'PW_CMI GRADE 10'!$W$7:$W$31,"",0,1)&lt;=TODAY()-MOD(WEEKDAY(TODAY(),2)-5,7)),$D10,0)</f>
        <v>0</v>
      </c>
      <c r="CK60" s="67">
        <f ca="1">IF(AND($D10&lt;&gt;0,_xlfn.XLOOKUP($B10,'PW_CMI GRADE 10'!$B$7:$B$31,'PW_CMI GRADE 10'!BE$7:BE$31,"",0,1)="P",
   _xlfn.XLOOKUP($B10,'PW_CMI GRADE 10'!$B$7:$B$31,'PW_CMI GRADE 10'!$U$7:$U$31,"",0,1)&lt;=TODAY()-MOD(WEEKDAY(TODAY(),2)-5,7)),$D10,0)</f>
        <v>0</v>
      </c>
      <c r="CL60" s="67">
        <f ca="1">IF(AND($D10&lt;&gt;0,_xlfn.XLOOKUP($B10,'PW_CMI GRADE 10'!$B$7:$B$31,'PW_CMI GRADE 10'!BF$7:BF$31,"",0,1)="P",
   _xlfn.XLOOKUP($B10,'PW_CMI GRADE 10'!$B$7:$B$31,'PW_CMI GRADE 10'!$V$7:$V$31,"",0,1)&lt;=TODAY()-MOD(WEEKDAY(TODAY(),2)-5,7)),$D10,0)</f>
        <v>0</v>
      </c>
      <c r="CM60" s="67">
        <f ca="1">IF(AND($D10&lt;&gt;0,_xlfn.XLOOKUP($B10,'PW_CMI GRADE 10'!$B$7:$B$31,'PW_CMI GRADE 10'!BG$7:BG$31,"",0,1)="P",
   _xlfn.XLOOKUP($B10,'PW_CMI GRADE 10'!$B$7:$B$31,'PW_CMI GRADE 10'!$W$7:$W$31,"",0,1)&lt;=TODAY()-MOD(WEEKDAY(TODAY(),2)-5,7)),$D10,0)</f>
        <v>0</v>
      </c>
      <c r="CN60" s="67">
        <f ca="1">IF(AND($D10&lt;&gt;0,_xlfn.XLOOKUP($B10,'PW_CMI GRADE 10'!$B$7:$B$31,'PW_CMI GRADE 10'!BH$7:BH$31,"",0,1)="P",
   _xlfn.XLOOKUP($B10,'PW_CMI GRADE 10'!$B$7:$B$31,'PW_CMI GRADE 10'!$U$7:$U$31,"",0,1)&lt;=TODAY()-MOD(WEEKDAY(TODAY(),2)-5,7)),$D10,0)</f>
        <v>0</v>
      </c>
      <c r="CO60" s="67">
        <f ca="1">IF(AND($D10&lt;&gt;0,_xlfn.XLOOKUP($B10,'PW_CMI GRADE 10'!$B$7:$B$31,'PW_CMI GRADE 10'!BI$7:BI$31,"",0,1)="P",
   _xlfn.XLOOKUP($B10,'PW_CMI GRADE 10'!$B$7:$B$31,'PW_CMI GRADE 10'!$V$7:$V$31,"",0,1)&lt;=TODAY()-MOD(WEEKDAY(TODAY(),2)-5,7)),$D10,0)</f>
        <v>0</v>
      </c>
      <c r="CP60" s="67">
        <f ca="1">IF(AND($D10&lt;&gt;0,_xlfn.XLOOKUP($B10,'PW_CMI GRADE 10'!$B$7:$B$31,'PW_CMI GRADE 10'!BJ$7:BJ$31,"",0,1)="P",
   _xlfn.XLOOKUP($B10,'PW_CMI GRADE 10'!$B$7:$B$31,'PW_CMI GRADE 10'!$W$7:$W$31,"",0,1)&lt;=TODAY()-MOD(WEEKDAY(TODAY(),2)-5,7)),$D10,0)</f>
        <v>0</v>
      </c>
      <c r="CQ60" s="67">
        <f ca="1">IF(AND($D10&lt;&gt;0,_xlfn.XLOOKUP($B10,'PW_CMI GRADE 10'!$B$7:$B$31,'PW_CMI GRADE 10'!BK$7:BK$31,"",0,1)="P",
   _xlfn.XLOOKUP($B10,'PW_CMI GRADE 10'!$B$7:$B$31,'PW_CMI GRADE 10'!$U$7:$U$31,"",0,1)&lt;=TODAY()-MOD(WEEKDAY(TODAY(),2)-5,7)),$D10,0)</f>
        <v>0</v>
      </c>
      <c r="CR60" s="67">
        <f ca="1">IF(AND($D10&lt;&gt;0,_xlfn.XLOOKUP($B10,'PW_CMI GRADE 10'!$B$7:$B$31,'PW_CMI GRADE 10'!BL$7:BL$31,"",0,1)="P",
   _xlfn.XLOOKUP($B10,'PW_CMI GRADE 10'!$B$7:$B$31,'PW_CMI GRADE 10'!$V$7:$V$31,"",0,1)&lt;=TODAY()-MOD(WEEKDAY(TODAY(),2)-5,7)),$D10,0)</f>
        <v>0</v>
      </c>
      <c r="CS60" s="67">
        <f ca="1">IF(AND($D10&lt;&gt;0,_xlfn.XLOOKUP($B10,'PW_CMI GRADE 10'!$B$7:$B$31,'PW_CMI GRADE 10'!BM$7:BM$31,"",0,1)="P",
   _xlfn.XLOOKUP($B10,'PW_CMI GRADE 10'!$B$7:$B$31,'PW_CMI GRADE 10'!$W$7:$W$31,"",0,1)&lt;=TODAY()-MOD(WEEKDAY(TODAY(),2)-5,7)),$D10,0)</f>
        <v>0</v>
      </c>
      <c r="CT60" s="67">
        <f ca="1">IF(AND($D10&lt;&gt;0,_xlfn.XLOOKUP($B10,'PW_CMI GRADE 10'!$B$7:$B$31,'PW_CMI GRADE 10'!BN$7:BN$31,"",0,1)="P",
   _xlfn.XLOOKUP($B10,'PW_CMI GRADE 10'!$B$7:$B$31,'PW_CMI GRADE 10'!$U$7:$U$31,"",0,1)&lt;=TODAY()-MOD(WEEKDAY(TODAY(),2)-5,7)),$D10,0)</f>
        <v>0</v>
      </c>
      <c r="CU60" s="67">
        <f ca="1">IF(AND($D10&lt;&gt;0,_xlfn.XLOOKUP($B10,'PW_CMI GRADE 10'!$B$7:$B$31,'PW_CMI GRADE 10'!BO$7:BO$31,"",0,1)="P",
   _xlfn.XLOOKUP($B10,'PW_CMI GRADE 10'!$B$7:$B$31,'PW_CMI GRADE 10'!$V$7:$V$31,"",0,1)&lt;=TODAY()-MOD(WEEKDAY(TODAY(),2)-5,7)),$D10,0)</f>
        <v>0</v>
      </c>
      <c r="CV60" s="67">
        <f ca="1">IF(AND($D10&lt;&gt;0,_xlfn.XLOOKUP($B10,'PW_CMI GRADE 10'!$B$7:$B$31,'PW_CMI GRADE 10'!BP$7:BP$31,"",0,1)="P",
   _xlfn.XLOOKUP($B10,'PW_CMI GRADE 10'!$B$7:$B$31,'PW_CMI GRADE 10'!$W$7:$W$31,"",0,1)&lt;=TODAY()-MOD(WEEKDAY(TODAY(),2)-5,7)),$D10,0)</f>
        <v>0</v>
      </c>
      <c r="CW60" s="62" t="e">
        <f t="shared" ca="1" si="132"/>
        <v>#REF!</v>
      </c>
      <c r="CX60" s="62" t="e">
        <f t="shared" ca="1" si="69"/>
        <v>#REF!</v>
      </c>
      <c r="CY60" s="62" t="e">
        <f t="shared" ca="1" si="70"/>
        <v>#REF!</v>
      </c>
      <c r="CZ60" s="62" t="e">
        <f t="shared" ca="1" si="71"/>
        <v>#REF!</v>
      </c>
      <c r="DA60" s="62" t="e">
        <f t="shared" ca="1" si="72"/>
        <v>#REF!</v>
      </c>
      <c r="DB60" s="62" t="e">
        <f t="shared" ca="1" si="73"/>
        <v>#REF!</v>
      </c>
      <c r="DC60" s="62" t="e">
        <f t="shared" ca="1" si="74"/>
        <v>#REF!</v>
      </c>
      <c r="DD60" s="62" t="e">
        <f t="shared" ca="1" si="75"/>
        <v>#REF!</v>
      </c>
      <c r="DE60" s="62" t="e">
        <f t="shared" ca="1" si="76"/>
        <v>#REF!</v>
      </c>
      <c r="DF60" s="62" t="e">
        <f t="shared" ca="1" si="77"/>
        <v>#REF!</v>
      </c>
      <c r="DG60" s="62" t="e">
        <f t="shared" ca="1" si="78"/>
        <v>#REF!</v>
      </c>
      <c r="DH60" s="62" t="e">
        <f t="shared" ca="1" si="79"/>
        <v>#REF!</v>
      </c>
      <c r="DI60" s="62" t="e">
        <f t="shared" ca="1" si="80"/>
        <v>#REF!</v>
      </c>
      <c r="DJ60" s="62" t="e">
        <f t="shared" ca="1" si="81"/>
        <v>#REF!</v>
      </c>
      <c r="DK60" s="62" t="e">
        <f t="shared" ca="1" si="82"/>
        <v>#REF!</v>
      </c>
      <c r="DL60" s="62" t="e">
        <f t="shared" ca="1" si="83"/>
        <v>#REF!</v>
      </c>
      <c r="DM60" s="62" t="e">
        <f t="shared" ca="1" si="84"/>
        <v>#REF!</v>
      </c>
      <c r="DN60" s="62" t="e">
        <f t="shared" ca="1" si="85"/>
        <v>#REF!</v>
      </c>
      <c r="DO60" s="62" t="e">
        <f t="shared" ca="1" si="86"/>
        <v>#REF!</v>
      </c>
      <c r="DP60" s="62" t="e">
        <f t="shared" ca="1" si="87"/>
        <v>#REF!</v>
      </c>
      <c r="DQ60" s="62" t="e">
        <f t="shared" ca="1" si="88"/>
        <v>#REF!</v>
      </c>
      <c r="DR60" s="62" t="e">
        <f t="shared" ca="1" si="89"/>
        <v>#REF!</v>
      </c>
      <c r="DS60" s="62" t="e">
        <f t="shared" ca="1" si="90"/>
        <v>#REF!</v>
      </c>
      <c r="DT60" s="62" t="e">
        <f t="shared" ca="1" si="91"/>
        <v>#REF!</v>
      </c>
      <c r="DU60" s="62" t="e">
        <f t="shared" ca="1" si="92"/>
        <v>#REF!</v>
      </c>
      <c r="DV60" s="62" t="e">
        <f t="shared" ca="1" si="93"/>
        <v>#REF!</v>
      </c>
      <c r="DW60" s="62" t="e">
        <f t="shared" ca="1" si="94"/>
        <v>#REF!</v>
      </c>
      <c r="DX60" s="62" t="e">
        <f t="shared" ca="1" si="95"/>
        <v>#REF!</v>
      </c>
      <c r="DY60" s="62" t="e">
        <f t="shared" ca="1" si="96"/>
        <v>#REF!</v>
      </c>
      <c r="DZ60" s="62" t="e">
        <f t="shared" ca="1" si="97"/>
        <v>#REF!</v>
      </c>
      <c r="EA60" s="63" t="e">
        <f t="shared" ca="1" si="98"/>
        <v>#REF!</v>
      </c>
      <c r="EB60" s="63" t="e">
        <f t="shared" ca="1" si="99"/>
        <v>#REF!</v>
      </c>
      <c r="EC60" s="63" t="e">
        <f t="shared" ca="1" si="100"/>
        <v>#REF!</v>
      </c>
      <c r="ED60" s="63" t="e">
        <f t="shared" ca="1" si="101"/>
        <v>#REF!</v>
      </c>
      <c r="EE60" s="63" t="e">
        <f t="shared" ca="1" si="102"/>
        <v>#REF!</v>
      </c>
      <c r="EF60" s="63" t="e">
        <f t="shared" ca="1" si="103"/>
        <v>#REF!</v>
      </c>
      <c r="EG60" s="63" t="e">
        <f t="shared" ca="1" si="104"/>
        <v>#REF!</v>
      </c>
      <c r="EH60" s="63" t="e">
        <f t="shared" ca="1" si="105"/>
        <v>#REF!</v>
      </c>
      <c r="EI60" s="63" t="e">
        <f t="shared" ca="1" si="106"/>
        <v>#REF!</v>
      </c>
      <c r="EJ60" s="63" t="e">
        <f t="shared" ca="1" si="107"/>
        <v>#REF!</v>
      </c>
      <c r="EK60" s="63" t="e">
        <f t="shared" ca="1" si="108"/>
        <v>#REF!</v>
      </c>
      <c r="EL60" s="63" t="e">
        <f t="shared" ca="1" si="109"/>
        <v>#REF!</v>
      </c>
      <c r="EM60" s="63" t="e">
        <f t="shared" ca="1" si="110"/>
        <v>#REF!</v>
      </c>
      <c r="EN60" s="63" t="e">
        <f t="shared" ca="1" si="111"/>
        <v>#REF!</v>
      </c>
      <c r="EO60" s="63" t="e">
        <f t="shared" ca="1" si="112"/>
        <v>#REF!</v>
      </c>
      <c r="EP60" s="63" t="e">
        <f t="shared" ca="1" si="113"/>
        <v>#REF!</v>
      </c>
      <c r="ET60" t="str">
        <v>3A.1</v>
      </c>
      <c r="EU60" s="38" t="e">
        <f t="shared" ca="1" si="114"/>
        <v>#REF!</v>
      </c>
      <c r="EV60" s="38" t="e">
        <f t="shared" ca="1" si="115"/>
        <v>#REF!</v>
      </c>
      <c r="EW60" s="38" t="e">
        <f t="shared" ca="1" si="116"/>
        <v>#REF!</v>
      </c>
      <c r="EX60" s="38" t="e">
        <f t="shared" ca="1" si="117"/>
        <v>#REF!</v>
      </c>
      <c r="EY60" s="38" t="e">
        <f t="shared" ca="1" si="118"/>
        <v>#REF!</v>
      </c>
      <c r="EZ60" s="38" t="e">
        <f t="shared" ca="1" si="119"/>
        <v>#REF!</v>
      </c>
      <c r="FA60" s="38" t="e">
        <f t="shared" ca="1" si="120"/>
        <v>#REF!</v>
      </c>
      <c r="FB60" s="38" t="e">
        <f t="shared" ca="1" si="121"/>
        <v>#REF!</v>
      </c>
      <c r="FC60" s="38" t="e">
        <f t="shared" ca="1" si="122"/>
        <v>#REF!</v>
      </c>
      <c r="FD60" s="38" t="e">
        <f t="shared" ca="1" si="123"/>
        <v>#REF!</v>
      </c>
      <c r="FE60" s="38">
        <f t="shared" ca="1" si="133"/>
        <v>0</v>
      </c>
      <c r="FF60" s="38" t="e">
        <f t="shared" ca="1" si="124"/>
        <v>#REF!</v>
      </c>
      <c r="FG60" s="38" t="e">
        <f t="shared" ca="1" si="125"/>
        <v>#REF!</v>
      </c>
      <c r="FH60" s="38" t="e">
        <f t="shared" ca="1" si="126"/>
        <v>#REF!</v>
      </c>
      <c r="FI60" s="38" t="e">
        <f t="shared" ca="1" si="127"/>
        <v>#REF!</v>
      </c>
      <c r="FJ60" s="38" t="e">
        <f t="shared" ca="1" si="128"/>
        <v>#REF!</v>
      </c>
      <c r="FK60" s="38" t="e">
        <f t="shared" ca="1" si="129"/>
        <v>#REF!</v>
      </c>
      <c r="FL60" s="38">
        <f t="shared" ca="1" si="130"/>
        <v>0</v>
      </c>
      <c r="FM60" s="38">
        <v>1</v>
      </c>
      <c r="FN60" s="38">
        <f t="shared" si="134"/>
        <v>0.66666666666666663</v>
      </c>
      <c r="FO60" s="38">
        <f t="shared" si="135"/>
        <v>0.33333333333333331</v>
      </c>
    </row>
    <row r="61" spans="1:223">
      <c r="A61" s="64" t="str">
        <f t="shared" si="131"/>
        <v>2.2</v>
      </c>
      <c r="B61" s="64" t="s">
        <v>42</v>
      </c>
      <c r="C61" s="30">
        <v>0</v>
      </c>
      <c r="D61" s="30">
        <v>1</v>
      </c>
      <c r="E61" s="65">
        <f ca="1">IF(AND($D11&lt;&gt;0,_xlfn.XLOOKUP($B11,'TH_MLG GRADE 10'!$B$7:$B$49,'TH_MLG GRADE 10'!C$7:C$49,"",0,1)="P",
   _xlfn.XLOOKUP($B11,'TH_MLG GRADE 10'!$B$7:$B$49,'TH_MLG GRADE 10'!$BK$7:$BK$49,"",0,1)&lt;=TODAY()-MOD(WEEKDAY(TODAY(),2)-5,7)),$D11,0)</f>
        <v>0</v>
      </c>
      <c r="F61" s="65">
        <f ca="1">IF(AND($D11&lt;&gt;0,_xlfn.XLOOKUP($B11,'TH_MLG GRADE 10'!$B$7:$B$49,'TH_MLG GRADE 10'!D$7:D$49,"",0,1)="P",
   _xlfn.XLOOKUP($B11,'TH_MLG GRADE 10'!$B$7:$B$49,'TH_MLG GRADE 10'!$BL$7:$BL$49,"",0,1)&lt;=TODAY()-MOD(WEEKDAY(TODAY(),2)-5,7)),$D11,0)</f>
        <v>0</v>
      </c>
      <c r="G61" s="65">
        <f ca="1">IF(AND($D11&lt;&gt;0,_xlfn.XLOOKUP($B11,'TH_MLG GRADE 10'!$B$7:$B$49,'TH_MLG GRADE 10'!E$7:E$49,"",0,1)="P",
   _xlfn.XLOOKUP($B11,'TH_MLG GRADE 10'!$B$7:$B$49,'TH_MLG GRADE 10'!$BM$7:$BM$49,"",0,1)&lt;=TODAY()-MOD(WEEKDAY(TODAY(),2)-5,7)),$D11,0)</f>
        <v>0</v>
      </c>
      <c r="H61" s="65">
        <f ca="1">IF(AND($D11&lt;&gt;0,_xlfn.XLOOKUP($B11,'TH_MLG GRADE 10'!$B$7:$B$49,'TH_MLG GRADE 10'!I$7:I$49,"",0,1)="P",
   _xlfn.XLOOKUP($B11,'TH_MLG GRADE 10'!$B$7:$B$49,'TH_MLG GRADE 10'!$BK$7:$BK$49,"",0,1)&lt;=TODAY()-MOD(WEEKDAY(TODAY(),2)-5,7)),$D11,0)</f>
        <v>0</v>
      </c>
      <c r="I61" s="65">
        <f ca="1">IF(AND($D11&lt;&gt;0,_xlfn.XLOOKUP($B11,'TH_MLG GRADE 10'!$B$7:$B$49,'TH_MLG GRADE 10'!J$7:J$49,"",0,1)="P",
   _xlfn.XLOOKUP($B11,'TH_MLG GRADE 10'!$B$7:$B$49,'TH_MLG GRADE 10'!$BL$7:$BL$49,"",0,1)&lt;=TODAY()-MOD(WEEKDAY(TODAY(),2)-5,7)),$D11,0)</f>
        <v>0</v>
      </c>
      <c r="J61" s="65">
        <f ca="1">IF(AND($D11&lt;&gt;0,_xlfn.XLOOKUP($B11,'TH_MLG GRADE 10'!$B$7:$B$49,'TH_MLG GRADE 10'!K$7:K$49,"",0,1)="P",
   _xlfn.XLOOKUP($B11,'TH_MLG GRADE 10'!$B$7:$B$49,'TH_MLG GRADE 10'!$BM$7:$BM$49,"",0,1)&lt;=TODAY()-MOD(WEEKDAY(TODAY(),2)-5,7)),$D11,0)</f>
        <v>0</v>
      </c>
      <c r="K61" s="65">
        <f ca="1">IF(AND($D11&lt;&gt;0,_xlfn.XLOOKUP($B11,'TH_MLG GRADE 10'!$B$7:$B$49,'TH_MLG GRADE 10'!O$7:O$49,"",0,1)="P",
   _xlfn.XLOOKUP($B11,'TH_MLG GRADE 10'!$B$7:$B$49,'TH_MLG GRADE 10'!$BK$7:$BK$49,"",0,1)&lt;=TODAY()-MOD(WEEKDAY(TODAY(),2)-5,7)),$D11,0)</f>
        <v>0</v>
      </c>
      <c r="L61" s="65">
        <f ca="1">IF(AND($D11&lt;&gt;0,_xlfn.XLOOKUP($B11,'TH_MLG GRADE 10'!$B$7:$B$49,'TH_MLG GRADE 10'!P$7:P$49,"",0,1)="P",
   _xlfn.XLOOKUP($B11,'TH_MLG GRADE 10'!$B$7:$B$49,'TH_MLG GRADE 10'!$BL$7:$BL$49,"",0,1)&lt;=TODAY()-MOD(WEEKDAY(TODAY(),2)-5,7)),$D11,0)</f>
        <v>0</v>
      </c>
      <c r="M61" s="65">
        <f ca="1">IF(AND($D11&lt;&gt;0,_xlfn.XLOOKUP($B11,'TH_MLG GRADE 10'!$B$7:$B$49,'TH_MLG GRADE 10'!Q$7:Q$49,"",0,1)="P",
   _xlfn.XLOOKUP($B11,'TH_MLG GRADE 10'!$B$7:$B$49,'TH_MLG GRADE 10'!$BM$7:$BM$49,"",0,1)&lt;=TODAY()-MOD(WEEKDAY(TODAY(),2)-5,7)),$D11,0)</f>
        <v>0</v>
      </c>
      <c r="N61" s="65">
        <f ca="1">IF(AND($D11&lt;&gt;0,_xlfn.XLOOKUP($B11,'TH_MLG GRADE 10'!$B$7:$B$49,'TH_MLG GRADE 10'!AA$7:AA$49,"",0,1)="P",
   _xlfn.XLOOKUP($B11,'TH_MLG GRADE 10'!$B$7:$B$49,'TH_MLG GRADE 10'!$BK$7:$BK$49,"",0,1)&lt;=TODAY()-MOD(WEEKDAY(TODAY(),2)-5,7)),$D11,0)</f>
        <v>0</v>
      </c>
      <c r="O61" s="65">
        <f ca="1">IF(AND($D11&lt;&gt;0,_xlfn.XLOOKUP($B11,'TH_MLG GRADE 10'!$B$7:$B$49,'TH_MLG GRADE 10'!AB$7:AB$49,"",0,1)="P",
   _xlfn.XLOOKUP($B11,'TH_MLG GRADE 10'!$B$7:$B$49,'TH_MLG GRADE 10'!$BL$7:$BL$49,"",0,1)&lt;=TODAY()-MOD(WEEKDAY(TODAY(),2)-5,7)),$D11,0)</f>
        <v>0</v>
      </c>
      <c r="P61" s="65">
        <f ca="1">IF(AND($D11&lt;&gt;0,_xlfn.XLOOKUP($B11,'TH_MLG GRADE 10'!$B$7:$B$49,'TH_MLG GRADE 10'!AC$7:AC$49,"",0,1)="P",
   _xlfn.XLOOKUP($B11,'TH_MLG GRADE 10'!$B$7:$B$49,'TH_MLG GRADE 10'!$BM$7:$BM$49,"",0,1)&lt;=TODAY()-MOD(WEEKDAY(TODAY(),2)-5,7)),$D11,0)</f>
        <v>0</v>
      </c>
      <c r="Q61" s="65">
        <f ca="1">IF(AND($D11&lt;&gt;0,_xlfn.XLOOKUP($B11,'TH_MLG GRADE 10'!$B$7:$B$49,'TH_MLG GRADE 10'!AG$7:AG$49,"",0,1)="P",
   _xlfn.XLOOKUP($B11,'TH_MLG GRADE 10'!$B$7:$B$49,'TH_MLG GRADE 10'!$BK$7:$BK$49,"",0,1)&lt;=TODAY()-MOD(WEEKDAY(TODAY(),2)-5,7)),$D11,0)</f>
        <v>0</v>
      </c>
      <c r="R61" s="65">
        <f ca="1">IF(AND($D11&lt;&gt;0,_xlfn.XLOOKUP($B11,'TH_MLG GRADE 10'!$B$7:$B$49,'TH_MLG GRADE 10'!AH$7:AH$49,"",0,1)="P",
   _xlfn.XLOOKUP($B11,'TH_MLG GRADE 10'!$B$7:$B$49,'TH_MLG GRADE 10'!$BL$7:$BL$49,"",0,1)&lt;=TODAY()-MOD(WEEKDAY(TODAY(),2)-5,7)),$D11,0)</f>
        <v>0</v>
      </c>
      <c r="S61" s="65">
        <f ca="1">IF(AND($D11&lt;&gt;0,_xlfn.XLOOKUP($B11,'TH_MLG GRADE 10'!$B$7:$B$49,'TH_MLG GRADE 10'!AI$7:AI$49,"",0,1)="P",
   _xlfn.XLOOKUP($B11,'TH_MLG GRADE 10'!$B$7:$B$49,'TH_MLG GRADE 10'!$BM$7:$BM$49,"",0,1)&lt;=TODAY()-MOD(WEEKDAY(TODAY(),2)-5,7)),$D11,0)</f>
        <v>0</v>
      </c>
      <c r="T61" s="65">
        <f ca="1">IF(AND($D11&lt;&gt;0,_xlfn.XLOOKUP($B11,'TH_MLG GRADE 10'!$B$7:$B$49,'TH_MLG GRADE 10'!AM$7:AM$49,"",0,1)="P",
   _xlfn.XLOOKUP($B11,'TH_MLG GRADE 10'!$B$7:$B$49,'TH_MLG GRADE 10'!$BK$7:$BK$49,"",0,1)&lt;=TODAY()-MOD(WEEKDAY(TODAY(),2)-5,7)),$D11,0)</f>
        <v>1</v>
      </c>
      <c r="U61" s="65">
        <f ca="1">IF(AND($D11&lt;&gt;0,_xlfn.XLOOKUP($B11,'TH_MLG GRADE 10'!$B$7:$B$49,'TH_MLG GRADE 10'!AN$7:AN$49,"",0,1)="P",
   _xlfn.XLOOKUP($B11,'TH_MLG GRADE 10'!$B$7:$B$49,'TH_MLG GRADE 10'!$BL$7:$BL$49,"",0,1)&lt;=TODAY()-MOD(WEEKDAY(TODAY(),2)-5,7)),$D11,0)</f>
        <v>1</v>
      </c>
      <c r="V61" s="65">
        <f ca="1">IF(AND($D11&lt;&gt;0,_xlfn.XLOOKUP($B11,'TH_MLG GRADE 10'!$B$7:$B$49,'TH_MLG GRADE 10'!AO$7:AO$49,"",0,1)="P",
   _xlfn.XLOOKUP($B11,'TH_MLG GRADE 10'!$B$7:$B$49,'TH_MLG GRADE 10'!$BM$7:$BM$49,"",0,1)&lt;=TODAY()-MOD(WEEKDAY(TODAY(),2)-5,7)),$D11,0)</f>
        <v>1</v>
      </c>
      <c r="W61" s="65">
        <f ca="1">IF(AND($D11&lt;&gt;0,_xlfn.XLOOKUP($B11,'TH_MLG GRADE 10'!$B$7:$B$49,'TH_MLG GRADE 10'!AY$7:AY$49,"",0,1)="P",
   _xlfn.XLOOKUP($B11,'TH_MLG GRADE 10'!$B$7:$B$49,'TH_MLG GRADE 10'!$BK$7:$BK$49,"",0,1)&lt;=TODAY()-MOD(WEEKDAY(TODAY(),2)-5,7)),$D11,0)</f>
        <v>1</v>
      </c>
      <c r="X61" s="65">
        <f ca="1">IF(AND($D11&lt;&gt;0,_xlfn.XLOOKUP($B11,'TH_MLG GRADE 10'!$B$7:$B$49,'TH_MLG GRADE 10'!AZ$7:AZ$49,"",0,1)="P",
   _xlfn.XLOOKUP($B11,'TH_MLG GRADE 10'!$B$7:$B$49,'TH_MLG GRADE 10'!$BL$7:$BL$49,"",0,1)&lt;=TODAY()-MOD(WEEKDAY(TODAY(),2)-5,7)),$D11,0)</f>
        <v>1</v>
      </c>
      <c r="Y61" s="65">
        <f ca="1">IF(AND($D11&lt;&gt;0,_xlfn.XLOOKUP($B11,'TH_MLG GRADE 10'!$B$7:$B$49,'TH_MLG GRADE 10'!BA$7:BA$49,"",0,1)="P",
   _xlfn.XLOOKUP($B11,'TH_MLG GRADE 10'!$B$7:$B$49,'TH_MLG GRADE 10'!$BM$7:$BM$49,"",0,1)&lt;=TODAY()-MOD(WEEKDAY(TODAY(),2)-5,7)),$D11,0)</f>
        <v>0</v>
      </c>
      <c r="Z61" s="65">
        <f ca="1">IF(AND($D11&lt;&gt;0,_xlfn.XLOOKUP($B11,'TH_MLG GRADE 10'!$B$7:$B$49,'TH_MLG GRADE 10'!BE$7:BE$49,"",0,1)="P",
   _xlfn.XLOOKUP($B11,'TH_MLG GRADE 10'!$B$7:$B$49,'TH_MLG GRADE 10'!$BK$7:$BK$49,"",0,1)&lt;=TODAY()-MOD(WEEKDAY(TODAY(),2)-5,7)),$D11,0)</f>
        <v>0</v>
      </c>
      <c r="AA61" s="65">
        <f ca="1">IF(AND($D11&lt;&gt;0,_xlfn.XLOOKUP($B11,'TH_MLG GRADE 10'!$B$7:$B$49,'TH_MLG GRADE 10'!BF$7:BF$49,"",0,1)="P",
   _xlfn.XLOOKUP($B11,'TH_MLG GRADE 10'!$B$7:$B$49,'TH_MLG GRADE 10'!$BL$7:$BL$49,"",0,1)&lt;=TODAY()-MOD(WEEKDAY(TODAY(),2)-5,7)),$D11,0)</f>
        <v>0</v>
      </c>
      <c r="AB61" s="65">
        <f ca="1">IF(AND($D11&lt;&gt;0,_xlfn.XLOOKUP($B11,'TH_MLG GRADE 10'!$B$7:$B$49,'TH_MLG GRADE 10'!BG$7:BG$49,"",0,1)="P",
   _xlfn.XLOOKUP($B11,'TH_MLG GRADE 10'!$B$7:$B$49,'TH_MLG GRADE 10'!$BM$7:$BM$49,"",0,1)&lt;=TODAY()-MOD(WEEKDAY(TODAY(),2)-5,7)),$D11,0)</f>
        <v>0</v>
      </c>
      <c r="AC61" s="65" t="e">
        <f ca="1">IF(AND($D11&lt;&gt;0,_xlfn.XLOOKUP($B11,'TH_MLG GRADE 10'!$B$7:$B$49,'TH_MLG GRADE 10'!#REF!,"",0,1)="P",
   _xlfn.XLOOKUP($B11,'TH_MLG GRADE 10'!$B$7:$B$49,'TH_MLG GRADE 10'!$BK$7:$BK$49,"",0,1)&lt;=TODAY()-MOD(WEEKDAY(TODAY(),2)-5,7)),$D11,0)</f>
        <v>#REF!</v>
      </c>
      <c r="AD61" s="65" t="e">
        <f ca="1">IF(AND($D11&lt;&gt;0,_xlfn.XLOOKUP($B11,'TH_MLG GRADE 10'!$B$7:$B$49,'TH_MLG GRADE 10'!#REF!,"",0,1)="P",
   _xlfn.XLOOKUP($B11,'TH_MLG GRADE 10'!$B$7:$B$49,'TH_MLG GRADE 10'!$BL$7:$BL$49,"",0,1)&lt;=TODAY()-MOD(WEEKDAY(TODAY(),2)-5,7)),$D11,0)</f>
        <v>#REF!</v>
      </c>
      <c r="AE61" s="65" t="e">
        <f ca="1">IF(AND($D11&lt;&gt;0,_xlfn.XLOOKUP($B11,'TH_MLG GRADE 10'!$B$7:$B$49,'TH_MLG GRADE 10'!#REF!,"",0,1)="P",
   _xlfn.XLOOKUP($B11,'TH_MLG GRADE 10'!$B$7:$B$49,'TH_MLG GRADE 10'!$BM$7:$BM$49,"",0,1)&lt;=TODAY()-MOD(WEEKDAY(TODAY(),2)-5,7)),$D11,0)</f>
        <v>#REF!</v>
      </c>
      <c r="AF61" s="65" t="e">
        <f ca="1">IF(AND($D11&lt;&gt;0,_xlfn.XLOOKUP($B11,'TH_MLG GRADE 10'!$B$7:$B$49,'TH_MLG GRADE 10'!#REF!,"",0,1)="P",
   _xlfn.XLOOKUP($B11,'TH_MLG GRADE 10'!$B$7:$B$49,'TH_MLG GRADE 10'!$BK$7:$BK$49,"",0,1)&lt;=TODAY()-MOD(WEEKDAY(TODAY(),2)-5,7)),$D11,0)</f>
        <v>#REF!</v>
      </c>
      <c r="AG61" s="65" t="e">
        <f ca="1">IF(AND($D11&lt;&gt;0,_xlfn.XLOOKUP($B11,'TH_MLG GRADE 10'!$B$7:$B$49,'TH_MLG GRADE 10'!#REF!,"",0,1)="P",
   _xlfn.XLOOKUP($B11,'TH_MLG GRADE 10'!$B$7:$B$49,'TH_MLG GRADE 10'!$BL$7:$BL$49,"",0,1)&lt;=TODAY()-MOD(WEEKDAY(TODAY(),2)-5,7)),$D11,0)</f>
        <v>#REF!</v>
      </c>
      <c r="AH61" s="65" t="e">
        <f ca="1">IF(AND($D11&lt;&gt;0,_xlfn.XLOOKUP($B11,'TH_MLG GRADE 10'!$B$7:$B$49,'TH_MLG GRADE 10'!#REF!,"",0,1)="P",
   _xlfn.XLOOKUP($B11,'TH_MLG GRADE 10'!$B$7:$B$49,'TH_MLG GRADE 10'!$BM$7:$BM$49,"",0,1)&lt;=TODAY()-MOD(WEEKDAY(TODAY(),2)-5,7)),$D11,0)</f>
        <v>#REF!</v>
      </c>
      <c r="AI61" s="67">
        <f ca="1">IF(AND($D11&lt;&gt;0,_xlfn.XLOOKUP($B11,'TH_CMI GRADE 10'!$B$7:$B$49,'TH_CMI GRADE 10'!C$7:C$49,"",0,1)="P",
   _xlfn.XLOOKUP($B11,'TH_CMI GRADE 10'!$B$7:$B$49,'TH_CMI GRADE 10'!$AS$7:$AS$49,"",0,1)&lt;=TODAY()-MOD(WEEKDAY(TODAY(),2)-5,7)),$D11,0)</f>
        <v>0</v>
      </c>
      <c r="AJ61" s="67">
        <f ca="1">IF(AND($D11&lt;&gt;0,_xlfn.XLOOKUP($B11,'TH_CMI GRADE 10'!$B$7:$B$49,'TH_CMI GRADE 10'!D$7:D$49,"",0,1)="P",
   _xlfn.XLOOKUP($B11,'TH_CMI GRADE 10'!$B$7:$B$49,'TH_CMI GRADE 10'!$AT$7:$AT$49,"",0,1)&lt;=TODAY()-MOD(WEEKDAY(TODAY(),2)-5,7)),$D11,0)</f>
        <v>0</v>
      </c>
      <c r="AK61" s="67" t="e">
        <f ca="1">IF(AND($D11&lt;&gt;0,_xlfn.XLOOKUP($B11,'TH_CMI GRADE 10'!$B$7:$B$49,'TH_CMI GRADE 10'!H$7:H$49,"",0,1)="P",
   _xlfn.XLOOKUP($B11,'TH_CMI GRADE 10'!$B$7:$B$49,'TH_CMI GRADE 10'!#REF!,"",0,1)&lt;=TODAY()-MOD(WEEKDAY(TODAY(),2)-5,7)),$D11,0)</f>
        <v>#REF!</v>
      </c>
      <c r="AL61" s="67">
        <f ca="1">IF(AND($D11&lt;&gt;0,_xlfn.XLOOKUP($B11,'TH_CMI GRADE 10'!$B$7:$B$49,'TH_CMI GRADE 10'!I$7:I$49,"",0,1)="P",
   _xlfn.XLOOKUP($B11,'TH_CMI GRADE 10'!$B$7:$B$49,'TH_CMI GRADE 10'!$AS$7:$AS$49,"",0,1)&lt;=TODAY()-MOD(WEEKDAY(TODAY(),2)-5,7)),$D11,0)</f>
        <v>0</v>
      </c>
      <c r="AM61" s="67">
        <f ca="1">IF(AND($D11&lt;&gt;0,_xlfn.XLOOKUP($B11,'TH_CMI GRADE 10'!$B$7:$B$49,'TH_CMI GRADE 10'!J$7:J$49,"",0,1)="P",
   _xlfn.XLOOKUP($B11,'TH_CMI GRADE 10'!$B$7:$B$49,'TH_CMI GRADE 10'!$AT$7:$AT$49,"",0,1)&lt;=TODAY()-MOD(WEEKDAY(TODAY(),2)-5,7)),$D11,0)</f>
        <v>0</v>
      </c>
      <c r="AN61" s="67" t="e">
        <f ca="1">IF(AND($D11&lt;&gt;0,_xlfn.XLOOKUP($B11,'TH_CMI GRADE 10'!$B$7:$B$49,'TH_CMI GRADE 10'!K$7:K$49,"",0,1)="P",
   _xlfn.XLOOKUP($B11,'TH_CMI GRADE 10'!$B$7:$B$49,'TH_CMI GRADE 10'!#REF!,"",0,1)&lt;=TODAY()-MOD(WEEKDAY(TODAY(),2)-5,7)),$D11,0)</f>
        <v>#REF!</v>
      </c>
      <c r="AO61" s="67">
        <f ca="1">IF(AND($D11&lt;&gt;0,_xlfn.XLOOKUP($B11,'TH_CMI GRADE 10'!$B$7:$B$49,'TH_CMI GRADE 10'!O$7:O$49,"",0,1)="P",
   _xlfn.XLOOKUP($B11,'TH_CMI GRADE 10'!$B$7:$B$49,'TH_CMI GRADE 10'!$AS$7:$AS$49,"",0,1)&lt;=TODAY()-MOD(WEEKDAY(TODAY(),2)-5,7)),$D11,0)</f>
        <v>0</v>
      </c>
      <c r="AP61" s="67">
        <f ca="1">IF(AND($D11&lt;&gt;0,_xlfn.XLOOKUP($B11,'TH_CMI GRADE 10'!$B$7:$B$49,'TH_CMI GRADE 10'!P$7:P$49,"",0,1)="P",
   _xlfn.XLOOKUP($B11,'TH_CMI GRADE 10'!$B$7:$B$49,'TH_CMI GRADE 10'!$AT$7:$AT$49,"",0,1)&lt;=TODAY()-MOD(WEEKDAY(TODAY(),2)-5,7)),$D11,0)</f>
        <v>0</v>
      </c>
      <c r="AQ61" s="67" t="e">
        <f ca="1">IF(AND($D11&lt;&gt;0,_xlfn.XLOOKUP($B11,'TH_CMI GRADE 10'!$B$7:$B$49,'TH_CMI GRADE 10'!Q$7:Q$49,"",0,1)="P",
   _xlfn.XLOOKUP($B11,'TH_CMI GRADE 10'!$B$7:$B$49,'TH_CMI GRADE 10'!#REF!,"",0,1)&lt;=TODAY()-MOD(WEEKDAY(TODAY(),2)-5,7)),$D11,0)</f>
        <v>#REF!</v>
      </c>
      <c r="AR61" s="67">
        <f ca="1">IF(AND($D11&lt;&gt;0,_xlfn.XLOOKUP($B11,'TH_CMI GRADE 10'!$B$7:$B$49,'TH_CMI GRADE 10'!U$7:U$49,"",0,1)="P",
   _xlfn.XLOOKUP($B11,'TH_CMI GRADE 10'!$B$7:$B$49,'TH_CMI GRADE 10'!$AS$7:$AS$49,"",0,1)&lt;=TODAY()-MOD(WEEKDAY(TODAY(),2)-5,7)),$D11,0)</f>
        <v>0</v>
      </c>
      <c r="AS61" s="67">
        <f ca="1">IF(AND($D11&lt;&gt;0,_xlfn.XLOOKUP($B11,'TH_CMI GRADE 10'!$B$7:$B$49,'TH_CMI GRADE 10'!V$7:V$49,"",0,1)="P",
   _xlfn.XLOOKUP($B11,'TH_CMI GRADE 10'!$B$7:$B$49,'TH_CMI GRADE 10'!$AT$7:$AT$49,"",0,1)&lt;=TODAY()-MOD(WEEKDAY(TODAY(),2)-5,7)),$D11,0)</f>
        <v>0</v>
      </c>
      <c r="AT61" s="67" t="e">
        <f ca="1">IF(AND($D11&lt;&gt;0,_xlfn.XLOOKUP($B11,'TH_CMI GRADE 10'!$B$7:$B$49,'TH_CMI GRADE 10'!W$7:W$49,"",0,1)="P",
   _xlfn.XLOOKUP($B11,'TH_CMI GRADE 10'!$B$7:$B$49,'TH_CMI GRADE 10'!#REF!,"",0,1)&lt;=TODAY()-MOD(WEEKDAY(TODAY(),2)-5,7)),$D11,0)</f>
        <v>#REF!</v>
      </c>
      <c r="AU61" s="67">
        <f ca="1">IF(AND($D11&lt;&gt;0,_xlfn.XLOOKUP($B11,'TH_CMI GRADE 10'!$B$7:$B$49,'TH_CMI GRADE 10'!AA$7:AA$49,"",0,1)="P",
   _xlfn.XLOOKUP($B11,'TH_CMI GRADE 10'!$B$7:$B$49,'TH_CMI GRADE 10'!$AS$7:$AS$49,"",0,1)&lt;=TODAY()-MOD(WEEKDAY(TODAY(),2)-5,7)),$D11,0)</f>
        <v>1</v>
      </c>
      <c r="AV61" s="67">
        <f ca="1">IF(AND($D11&lt;&gt;0,_xlfn.XLOOKUP($B11,'TH_CMI GRADE 10'!$B$7:$B$49,'TH_CMI GRADE 10'!AB$7:AB$49,"",0,1)="P",
   _xlfn.XLOOKUP($B11,'TH_CMI GRADE 10'!$B$7:$B$49,'TH_CMI GRADE 10'!$AT$7:$AT$49,"",0,1)&lt;=TODAY()-MOD(WEEKDAY(TODAY(),2)-5,7)),$D11,0)</f>
        <v>1</v>
      </c>
      <c r="AW61" s="67" t="e">
        <f ca="1">IF(AND($D11&lt;&gt;0,_xlfn.XLOOKUP($B11,'TH_CMI GRADE 10'!$B$7:$B$49,'TH_CMI GRADE 10'!AC$7:AC$49,"",0,1)="P",
   _xlfn.XLOOKUP($B11,'TH_CMI GRADE 10'!$B$7:$B$49,'TH_CMI GRADE 10'!#REF!,"",0,1)&lt;=TODAY()-MOD(WEEKDAY(TODAY(),2)-5,7)),$D11,0)</f>
        <v>#REF!</v>
      </c>
      <c r="AX61" s="67">
        <f ca="1">IF(AND($D11&lt;&gt;0,_xlfn.XLOOKUP($B11,'TH_CMI GRADE 10'!$B$7:$B$49,'TH_CMI GRADE 10'!AG$7:AG$49,"",0,1)="P",
   _xlfn.XLOOKUP($B11,'TH_CMI GRADE 10'!$B$7:$B$49,'TH_CMI GRADE 10'!$AS$7:$AS$49,"",0,1)&lt;=TODAY()-MOD(WEEKDAY(TODAY(),2)-5,7)),$D11,0)</f>
        <v>1</v>
      </c>
      <c r="AY61" s="67">
        <f ca="1">IF(AND($D11&lt;&gt;0,_xlfn.XLOOKUP($B11,'TH_CMI GRADE 10'!$B$7:$B$49,'TH_CMI GRADE 10'!AH$7:AH$49,"",0,1)="P",
   _xlfn.XLOOKUP($B11,'TH_CMI GRADE 10'!$B$7:$B$49,'TH_CMI GRADE 10'!$AT$7:$AT$49,"",0,1)&lt;=TODAY()-MOD(WEEKDAY(TODAY(),2)-5,7)),$D11,0)</f>
        <v>1</v>
      </c>
      <c r="AZ61" s="67" t="e">
        <f ca="1">IF(AND($D11&lt;&gt;0,_xlfn.XLOOKUP($B11,'TH_CMI GRADE 10'!$B$7:$B$49,'TH_CMI GRADE 10'!AI$7:AI$49,"",0,1)="P",
   _xlfn.XLOOKUP($B11,'TH_CMI GRADE 10'!$B$7:$B$49,'TH_CMI GRADE 10'!#REF!,"",0,1)&lt;=TODAY()-MOD(WEEKDAY(TODAY(),2)-5,7)),$D11,0)</f>
        <v>#REF!</v>
      </c>
      <c r="BA61" s="65" t="e">
        <f ca="1">IF(AND($D11&lt;&gt;0,_xlfn.XLOOKUP($B11,'PW_MLG GRADE 10'!$B$7:$B$31,'PW_MLG GRADE 10'!R$7:R$31,"",0,1)="P",
   _xlfn.XLOOKUP($B11,'PW_MLG GRADE 10'!$B$7:$B$31,'PW_MLG GRADE 10'!#REF!,"",0,1)&lt;=TODAY()-MOD(WEEKDAY(TODAY(),2)-5,7)),$D11,0)</f>
        <v>#REF!</v>
      </c>
      <c r="BB61" s="65" t="e">
        <f ca="1">IF(AND($D11&lt;&gt;0,_xlfn.XLOOKUP($B11,'PW_MLG GRADE 10'!$B$7:$B$31,'PW_MLG GRADE 10'!S$7:S$31,"",0,1)="P",
   _xlfn.XLOOKUP($B11,'PW_MLG GRADE 10'!$B$7:$B$31,'PW_MLG GRADE 10'!#REF!,"",0,1)&lt;=TODAY()-MOD(WEEKDAY(TODAY(),2)-5,7)),$D11,0)</f>
        <v>#REF!</v>
      </c>
      <c r="BC61" s="65" t="e">
        <f ca="1">IF(AND($D11&lt;&gt;0,_xlfn.XLOOKUP($B11,'PW_MLG GRADE 10'!$B$7:$B$31,'PW_MLG GRADE 10'!T$7:T$31,"",0,1)="P",
   _xlfn.XLOOKUP($B11,'PW_MLG GRADE 10'!$B$7:$B$31,'PW_MLG GRADE 10'!#REF!,"",0,1)&lt;=TODAY()-MOD(WEEKDAY(TODAY(),2)-5,7)),$D11,0)</f>
        <v>#REF!</v>
      </c>
      <c r="BD61" s="65" t="e">
        <f ca="1">IF(AND($D11&lt;&gt;0,_xlfn.XLOOKUP($B11,'PW_MLG GRADE 10'!$B$7:$B$31,'PW_MLG GRADE 10'!AA$7:AA$31,"",0,1)="P",
   _xlfn.XLOOKUP($B11,'PW_MLG GRADE 10'!$B$7:$B$31,'PW_MLG GRADE 10'!#REF!,"",0,1)&lt;=TODAY()-MOD(WEEKDAY(TODAY(),2)-5,7)),$D11,0)</f>
        <v>#REF!</v>
      </c>
      <c r="BE61" s="65" t="e">
        <f ca="1">IF(AND($D11&lt;&gt;0,_xlfn.XLOOKUP($B11,'PW_MLG GRADE 10'!$B$7:$B$31,'PW_MLG GRADE 10'!AB$7:AB$31,"",0,1)="P",
   _xlfn.XLOOKUP($B11,'PW_MLG GRADE 10'!$B$7:$B$31,'PW_MLG GRADE 10'!#REF!,"",0,1)&lt;=TODAY()-MOD(WEEKDAY(TODAY(),2)-5,7)),$D11,0)</f>
        <v>#REF!</v>
      </c>
      <c r="BF61" s="65" t="e">
        <f ca="1">IF(AND($D11&lt;&gt;0,_xlfn.XLOOKUP($B11,'PW_MLG GRADE 10'!$B$7:$B$31,'PW_MLG GRADE 10'!AC$7:AC$31,"",0,1)="P",
   _xlfn.XLOOKUP($B11,'PW_MLG GRADE 10'!$B$7:$B$31,'PW_MLG GRADE 10'!#REF!,"",0,1)&lt;=TODAY()-MOD(WEEKDAY(TODAY(),2)-5,7)),$D11,0)</f>
        <v>#REF!</v>
      </c>
      <c r="BG61" s="65" t="e">
        <f ca="1">IF(AND($D11&lt;&gt;0,_xlfn.XLOOKUP($B11,'PW_MLG GRADE 10'!$B$7:$B$31,'PW_MLG GRADE 10'!AD$7:AD$31,"",0,1)="P",
   _xlfn.XLOOKUP($B11,'PW_MLG GRADE 10'!$B$7:$B$31,'PW_MLG GRADE 10'!#REF!,"",0,1)&lt;=TODAY()-MOD(WEEKDAY(TODAY(),2)-5,7)),$D11,0)</f>
        <v>#REF!</v>
      </c>
      <c r="BH61" s="65" t="e">
        <f ca="1">IF(AND($D11&lt;&gt;0,_xlfn.XLOOKUP($B11,'PW_MLG GRADE 10'!$B$7:$B$31,'PW_MLG GRADE 10'!AE$7:AE$31,"",0,1)="P",
   _xlfn.XLOOKUP($B11,'PW_MLG GRADE 10'!$B$7:$B$31,'PW_MLG GRADE 10'!#REF!,"",0,1)&lt;=TODAY()-MOD(WEEKDAY(TODAY(),2)-5,7)),$D11,0)</f>
        <v>#REF!</v>
      </c>
      <c r="BI61" s="65" t="e">
        <f ca="1">IF(AND($D11&lt;&gt;0,_xlfn.XLOOKUP($B11,'PW_MLG GRADE 10'!$B$7:$B$31,'PW_MLG GRADE 10'!AF$7:AF$31,"",0,1)="P",
   _xlfn.XLOOKUP($B11,'PW_MLG GRADE 10'!$B$7:$B$31,'PW_MLG GRADE 10'!#REF!,"",0,1)&lt;=TODAY()-MOD(WEEKDAY(TODAY(),2)-5,7)),$D11,0)</f>
        <v>#REF!</v>
      </c>
      <c r="BJ61" s="65" t="e">
        <f ca="1">IF(AND($D11&lt;&gt;0,_xlfn.XLOOKUP($B11,'PW_MLG GRADE 10'!$B$7:$B$31,'PW_MLG GRADE 10'!AG$7:AG$31,"",0,1)="P",
   _xlfn.XLOOKUP($B11,'PW_MLG GRADE 10'!$B$7:$B$31,'PW_MLG GRADE 10'!#REF!,"",0,1)&lt;=TODAY()-MOD(WEEKDAY(TODAY(),2)-5,7)),$D11,0)</f>
        <v>#REF!</v>
      </c>
      <c r="BK61" s="65" t="e">
        <f ca="1">IF(AND($D11&lt;&gt;0,_xlfn.XLOOKUP($B11,'PW_MLG GRADE 10'!$B$7:$B$31,'PW_MLG GRADE 10'!AH$7:AH$31,"",0,1)="P",
   _xlfn.XLOOKUP($B11,'PW_MLG GRADE 10'!$B$7:$B$31,'PW_MLG GRADE 10'!#REF!,"",0,1)&lt;=TODAY()-MOD(WEEKDAY(TODAY(),2)-5,7)),$D11,0)</f>
        <v>#REF!</v>
      </c>
      <c r="BL61" s="65" t="e">
        <f ca="1">IF(AND($D11&lt;&gt;0,_xlfn.XLOOKUP($B11,'PW_MLG GRADE 10'!$B$7:$B$31,'PW_MLG GRADE 10'!AI$7:AI$31,"",0,1)="P",
   _xlfn.XLOOKUP($B11,'PW_MLG GRADE 10'!$B$7:$B$31,'PW_MLG GRADE 10'!#REF!,"",0,1)&lt;=TODAY()-MOD(WEEKDAY(TODAY(),2)-5,7)),$D11,0)</f>
        <v>#REF!</v>
      </c>
      <c r="BM61" s="65" t="e">
        <f ca="1">IF(AND($D11&lt;&gt;0,_xlfn.XLOOKUP($B11,'PW_MLG GRADE 10'!$B$7:$B$31,'PW_MLG GRADE 10'!AJ$7:AJ$31,"",0,1)="P",
   _xlfn.XLOOKUP($B11,'PW_MLG GRADE 10'!$B$7:$B$31,'PW_MLG GRADE 10'!#REF!,"",0,1)&lt;=TODAY()-MOD(WEEKDAY(TODAY(),2)-5,7)),$D11,0)</f>
        <v>#REF!</v>
      </c>
      <c r="BN61" s="65" t="e">
        <f ca="1">IF(AND($D11&lt;&gt;0,_xlfn.XLOOKUP($B11,'PW_MLG GRADE 10'!$B$7:$B$31,'PW_MLG GRADE 10'!AK$7:AK$31,"",0,1)="P",
   _xlfn.XLOOKUP($B11,'PW_MLG GRADE 10'!$B$7:$B$31,'PW_MLG GRADE 10'!#REF!,"",0,1)&lt;=TODAY()-MOD(WEEKDAY(TODAY(),2)-5,7)),$D11,0)</f>
        <v>#REF!</v>
      </c>
      <c r="BO61" s="65" t="e">
        <f ca="1">IF(AND($D11&lt;&gt;0,_xlfn.XLOOKUP($B11,'PW_MLG GRADE 10'!$B$7:$B$31,'PW_MLG GRADE 10'!AL$7:AL$31,"",0,1)="P",
   _xlfn.XLOOKUP($B11,'PW_MLG GRADE 10'!$B$7:$B$31,'PW_MLG GRADE 10'!#REF!,"",0,1)&lt;=TODAY()-MOD(WEEKDAY(TODAY(),2)-5,7)),$D11,0)</f>
        <v>#REF!</v>
      </c>
      <c r="BP61" s="65" t="e">
        <f ca="1">IF(AND($D11&lt;&gt;0,_xlfn.XLOOKUP($B11,'PW_MLG GRADE 10'!$B$7:$B$31,'PW_MLG GRADE 10'!AM$7:AM$31,"",0,1)="P",
   _xlfn.XLOOKUP($B11,'PW_MLG GRADE 10'!$B$7:$B$31,'PW_MLG GRADE 10'!#REF!,"",0,1)&lt;=TODAY()-MOD(WEEKDAY(TODAY(),2)-5,7)),$D11,0)</f>
        <v>#REF!</v>
      </c>
      <c r="BQ61" s="65" t="e">
        <f ca="1">IF(AND($D11&lt;&gt;0,_xlfn.XLOOKUP($B11,'PW_MLG GRADE 10'!$B$7:$B$31,'PW_MLG GRADE 10'!AN$7:AN$31,"",0,1)="P",
   _xlfn.XLOOKUP($B11,'PW_MLG GRADE 10'!$B$7:$B$31,'PW_MLG GRADE 10'!#REF!,"",0,1)&lt;=TODAY()-MOD(WEEKDAY(TODAY(),2)-5,7)),$D11,0)</f>
        <v>#REF!</v>
      </c>
      <c r="BR61" s="65" t="e">
        <f ca="1">IF(AND($D11&lt;&gt;0,_xlfn.XLOOKUP($B11,'PW_MLG GRADE 10'!$B$7:$B$31,'PW_MLG GRADE 10'!AO$7:AO$31,"",0,1)="P",
   _xlfn.XLOOKUP($B11,'PW_MLG GRADE 10'!$B$7:$B$31,'PW_MLG GRADE 10'!#REF!,"",0,1)&lt;=TODAY()-MOD(WEEKDAY(TODAY(),2)-5,7)),$D11,0)</f>
        <v>#REF!</v>
      </c>
      <c r="BS61" s="65" t="e">
        <f ca="1">IF(AND($D11&lt;&gt;0,_xlfn.XLOOKUP($B11,'PW_MLG GRADE 10'!$B$7:$B$31,'PW_MLG GRADE 10'!AP$7:AP$31,"",0,1)="P",
   _xlfn.XLOOKUP($B11,'PW_MLG GRADE 10'!$B$7:$B$31,'PW_MLG GRADE 10'!#REF!,"",0,1)&lt;=TODAY()-MOD(WEEKDAY(TODAY(),2)-5,7)),$D11,0)</f>
        <v>#REF!</v>
      </c>
      <c r="BT61" s="65" t="e">
        <f ca="1">IF(AND($D11&lt;&gt;0,_xlfn.XLOOKUP($B11,'PW_MLG GRADE 10'!$B$7:$B$31,'PW_MLG GRADE 10'!AQ$7:AQ$31,"",0,1)="P",
   _xlfn.XLOOKUP($B11,'PW_MLG GRADE 10'!$B$7:$B$31,'PW_MLG GRADE 10'!#REF!,"",0,1)&lt;=TODAY()-MOD(WEEKDAY(TODAY(),2)-5,7)),$D11,0)</f>
        <v>#REF!</v>
      </c>
      <c r="BU61" s="65" t="e">
        <f ca="1">IF(AND($D11&lt;&gt;0,_xlfn.XLOOKUP($B11,'PW_MLG GRADE 10'!$B$7:$B$31,'PW_MLG GRADE 10'!AR$7:AR$31,"",0,1)="P",
   _xlfn.XLOOKUP($B11,'PW_MLG GRADE 10'!$B$7:$B$31,'PW_MLG GRADE 10'!#REF!,"",0,1)&lt;=TODAY()-MOD(WEEKDAY(TODAY(),2)-5,7)),$D11,0)</f>
        <v>#REF!</v>
      </c>
      <c r="BV61" s="65" t="e">
        <f ca="1">IF(AND($D11&lt;&gt;0,_xlfn.XLOOKUP($B11,'PW_MLG GRADE 10'!$B$7:$B$31,'PW_MLG GRADE 10'!AY$7:AY$31,"",0,1)="P",
   _xlfn.XLOOKUP($B11,'PW_MLG GRADE 10'!$B$7:$B$31,'PW_MLG GRADE 10'!#REF!,"",0,1)&lt;=TODAY()-MOD(WEEKDAY(TODAY(),2)-5,7)),$D11,0)</f>
        <v>#REF!</v>
      </c>
      <c r="BW61" s="65" t="e">
        <f ca="1">IF(AND($D11&lt;&gt;0,_xlfn.XLOOKUP($B11,'PW_MLG GRADE 10'!$B$7:$B$31,'PW_MLG GRADE 10'!AZ$7:AZ$31,"",0,1)="P",
   _xlfn.XLOOKUP($B11,'PW_MLG GRADE 10'!$B$7:$B$31,'PW_MLG GRADE 10'!#REF!,"",0,1)&lt;=TODAY()-MOD(WEEKDAY(TODAY(),2)-5,7)),$D11,0)</f>
        <v>#REF!</v>
      </c>
      <c r="BX61" s="65" t="e">
        <f ca="1">IF(AND($D11&lt;&gt;0,_xlfn.XLOOKUP($B11,'PW_MLG GRADE 10'!$B$7:$B$31,'PW_MLG GRADE 10'!BA$7:BA$31,"",0,1)="P",
   _xlfn.XLOOKUP($B11,'PW_MLG GRADE 10'!$B$7:$B$31,'PW_MLG GRADE 10'!#REF!,"",0,1)&lt;=TODAY()-MOD(WEEKDAY(TODAY(),2)-5,7)),$D11,0)</f>
        <v>#REF!</v>
      </c>
      <c r="BY61" s="65" t="e">
        <f ca="1">IF(AND($D11&lt;&gt;0,_xlfn.XLOOKUP($B11,'PW_MLG GRADE 10'!$B$7:$B$31,'PW_MLG GRADE 10'!BB$7:BB$31,"",0,1)="P",
   _xlfn.XLOOKUP($B11,'PW_MLG GRADE 10'!$B$7:$B$31,'PW_MLG GRADE 10'!#REF!,"",0,1)&lt;=TODAY()-MOD(WEEKDAY(TODAY(),2)-5,7)),$D11,0)</f>
        <v>#REF!</v>
      </c>
      <c r="BZ61" s="65" t="e">
        <f ca="1">IF(AND($D11&lt;&gt;0,_xlfn.XLOOKUP($B11,'PW_MLG GRADE 10'!$B$7:$B$31,'PW_MLG GRADE 10'!BC$7:BC$31,"",0,1)="P",
   _xlfn.XLOOKUP($B11,'PW_MLG GRADE 10'!$B$7:$B$31,'PW_MLG GRADE 10'!#REF!,"",0,1)&lt;=TODAY()-MOD(WEEKDAY(TODAY(),2)-5,7)),$D11,0)</f>
        <v>#REF!</v>
      </c>
      <c r="CA61" s="65" t="e">
        <f ca="1">IF(AND($D11&lt;&gt;0,_xlfn.XLOOKUP($B11,'PW_MLG GRADE 10'!$B$7:$B$31,'PW_MLG GRADE 10'!BD$7:BD$31,"",0,1)="P",
   _xlfn.XLOOKUP($B11,'PW_MLG GRADE 10'!$B$7:$B$31,'PW_MLG GRADE 10'!#REF!,"",0,1)&lt;=TODAY()-MOD(WEEKDAY(TODAY(),2)-5,7)),$D11,0)</f>
        <v>#REF!</v>
      </c>
      <c r="CB61" s="65" t="e">
        <f ca="1">IF(AND($D11&lt;&gt;0,_xlfn.XLOOKUP($B11,'PW_MLG GRADE 10'!$B$7:$B$31,'PW_MLG GRADE 10'!BE$7:BE$31,"",0,1)="P",
   _xlfn.XLOOKUP($B11,'PW_MLG GRADE 10'!$B$7:$B$31,'PW_MLG GRADE 10'!#REF!,"",0,1)&lt;=TODAY()-MOD(WEEKDAY(TODAY(),2)-5,7)),$D11,0)</f>
        <v>#REF!</v>
      </c>
      <c r="CC61" s="65" t="e">
        <f ca="1">IF(AND($D11&lt;&gt;0,_xlfn.XLOOKUP($B11,'PW_MLG GRADE 10'!$B$7:$B$31,'PW_MLG GRADE 10'!BF$7:BF$31,"",0,1)="P",
   _xlfn.XLOOKUP($B11,'PW_MLG GRADE 10'!$B$7:$B$31,'PW_MLG GRADE 10'!#REF!,"",0,1)&lt;=TODAY()-MOD(WEEKDAY(TODAY(),2)-5,7)),$D11,0)</f>
        <v>#REF!</v>
      </c>
      <c r="CD61" s="65" t="e">
        <f ca="1">IF(AND($D11&lt;&gt;0,_xlfn.XLOOKUP($B11,'PW_MLG GRADE 10'!$B$7:$B$31,'PW_MLG GRADE 10'!BG$7:BG$31,"",0,1)="P",
   _xlfn.XLOOKUP($B11,'PW_MLG GRADE 10'!$B$7:$B$31,'PW_MLG GRADE 10'!#REF!,"",0,1)&lt;=TODAY()-MOD(WEEKDAY(TODAY(),2)-5,7)),$D11,0)</f>
        <v>#REF!</v>
      </c>
      <c r="CE61" s="67">
        <f ca="1">IF(AND($D11&lt;&gt;0,_xlfn.XLOOKUP($B11,'PW_CMI GRADE 10'!$B$7:$B$31,'PW_CMI GRADE 10'!AY$7:AY$31,"",0,1)="P",
   _xlfn.XLOOKUP($B11,'PW_CMI GRADE 10'!$B$7:$B$31,'PW_CMI GRADE 10'!$U$7:$U$31,"",0,1)&lt;=TODAY()-MOD(WEEKDAY(TODAY(),2)-5,7)),$D11,0)</f>
        <v>0</v>
      </c>
      <c r="CF61" s="67">
        <f ca="1">IF(AND($D11&lt;&gt;0,_xlfn.XLOOKUP($B11,'PW_CMI GRADE 10'!$B$7:$B$31,'PW_CMI GRADE 10'!AZ$7:AZ$31,"",0,1)="P",
   _xlfn.XLOOKUP($B11,'PW_CMI GRADE 10'!$B$7:$B$31,'PW_CMI GRADE 10'!$V$7:$V$31,"",0,1)&lt;=TODAY()-MOD(WEEKDAY(TODAY(),2)-5,7)),$D11,0)</f>
        <v>0</v>
      </c>
      <c r="CG61" s="67">
        <f ca="1">IF(AND($D11&lt;&gt;0,_xlfn.XLOOKUP($B11,'PW_CMI GRADE 10'!$B$7:$B$31,'PW_CMI GRADE 10'!BA$7:BA$31,"",0,1)="P",
   _xlfn.XLOOKUP($B11,'PW_CMI GRADE 10'!$B$7:$B$31,'PW_CMI GRADE 10'!$W$7:$W$31,"",0,1)&lt;=TODAY()-MOD(WEEKDAY(TODAY(),2)-5,7)),$D11,0)</f>
        <v>0</v>
      </c>
      <c r="CH61" s="67">
        <f ca="1">IF(AND($D11&lt;&gt;0,_xlfn.XLOOKUP($B11,'PW_CMI GRADE 10'!$B$7:$B$31,'PW_CMI GRADE 10'!BB$7:BB$31,"",0,1)="P",
   _xlfn.XLOOKUP($B11,'PW_CMI GRADE 10'!$B$7:$B$31,'PW_CMI GRADE 10'!$U$7:$U$31,"",0,1)&lt;=TODAY()-MOD(WEEKDAY(TODAY(),2)-5,7)),$D11,0)</f>
        <v>0</v>
      </c>
      <c r="CI61" s="67">
        <f ca="1">IF(AND($D11&lt;&gt;0,_xlfn.XLOOKUP($B11,'PW_CMI GRADE 10'!$B$7:$B$31,'PW_CMI GRADE 10'!BC$7:BC$31,"",0,1)="P",
   _xlfn.XLOOKUP($B11,'PW_CMI GRADE 10'!$B$7:$B$31,'PW_CMI GRADE 10'!$V$7:$V$31,"",0,1)&lt;=TODAY()-MOD(WEEKDAY(TODAY(),2)-5,7)),$D11,0)</f>
        <v>0</v>
      </c>
      <c r="CJ61" s="67">
        <f ca="1">IF(AND($D11&lt;&gt;0,_xlfn.XLOOKUP($B11,'PW_CMI GRADE 10'!$B$7:$B$31,'PW_CMI GRADE 10'!BD$7:BD$31,"",0,1)="P",
   _xlfn.XLOOKUP($B11,'PW_CMI GRADE 10'!$B$7:$B$31,'PW_CMI GRADE 10'!$W$7:$W$31,"",0,1)&lt;=TODAY()-MOD(WEEKDAY(TODAY(),2)-5,7)),$D11,0)</f>
        <v>0</v>
      </c>
      <c r="CK61" s="67">
        <f ca="1">IF(AND($D11&lt;&gt;0,_xlfn.XLOOKUP($B11,'PW_CMI GRADE 10'!$B$7:$B$31,'PW_CMI GRADE 10'!BE$7:BE$31,"",0,1)="P",
   _xlfn.XLOOKUP($B11,'PW_CMI GRADE 10'!$B$7:$B$31,'PW_CMI GRADE 10'!$U$7:$U$31,"",0,1)&lt;=TODAY()-MOD(WEEKDAY(TODAY(),2)-5,7)),$D11,0)</f>
        <v>0</v>
      </c>
      <c r="CL61" s="67">
        <f ca="1">IF(AND($D11&lt;&gt;0,_xlfn.XLOOKUP($B11,'PW_CMI GRADE 10'!$B$7:$B$31,'PW_CMI GRADE 10'!BF$7:BF$31,"",0,1)="P",
   _xlfn.XLOOKUP($B11,'PW_CMI GRADE 10'!$B$7:$B$31,'PW_CMI GRADE 10'!$V$7:$V$31,"",0,1)&lt;=TODAY()-MOD(WEEKDAY(TODAY(),2)-5,7)),$D11,0)</f>
        <v>0</v>
      </c>
      <c r="CM61" s="67">
        <f ca="1">IF(AND($D11&lt;&gt;0,_xlfn.XLOOKUP($B11,'PW_CMI GRADE 10'!$B$7:$B$31,'PW_CMI GRADE 10'!BG$7:BG$31,"",0,1)="P",
   _xlfn.XLOOKUP($B11,'PW_CMI GRADE 10'!$B$7:$B$31,'PW_CMI GRADE 10'!$W$7:$W$31,"",0,1)&lt;=TODAY()-MOD(WEEKDAY(TODAY(),2)-5,7)),$D11,0)</f>
        <v>0</v>
      </c>
      <c r="CN61" s="67">
        <f ca="1">IF(AND($D11&lt;&gt;0,_xlfn.XLOOKUP($B11,'PW_CMI GRADE 10'!$B$7:$B$31,'PW_CMI GRADE 10'!BH$7:BH$31,"",0,1)="P",
   _xlfn.XLOOKUP($B11,'PW_CMI GRADE 10'!$B$7:$B$31,'PW_CMI GRADE 10'!$U$7:$U$31,"",0,1)&lt;=TODAY()-MOD(WEEKDAY(TODAY(),2)-5,7)),$D11,0)</f>
        <v>0</v>
      </c>
      <c r="CO61" s="67">
        <f ca="1">IF(AND($D11&lt;&gt;0,_xlfn.XLOOKUP($B11,'PW_CMI GRADE 10'!$B$7:$B$31,'PW_CMI GRADE 10'!BI$7:BI$31,"",0,1)="P",
   _xlfn.XLOOKUP($B11,'PW_CMI GRADE 10'!$B$7:$B$31,'PW_CMI GRADE 10'!$V$7:$V$31,"",0,1)&lt;=TODAY()-MOD(WEEKDAY(TODAY(),2)-5,7)),$D11,0)</f>
        <v>0</v>
      </c>
      <c r="CP61" s="67">
        <f ca="1">IF(AND($D11&lt;&gt;0,_xlfn.XLOOKUP($B11,'PW_CMI GRADE 10'!$B$7:$B$31,'PW_CMI GRADE 10'!BJ$7:BJ$31,"",0,1)="P",
   _xlfn.XLOOKUP($B11,'PW_CMI GRADE 10'!$B$7:$B$31,'PW_CMI GRADE 10'!$W$7:$W$31,"",0,1)&lt;=TODAY()-MOD(WEEKDAY(TODAY(),2)-5,7)),$D11,0)</f>
        <v>0</v>
      </c>
      <c r="CQ61" s="67">
        <f ca="1">IF(AND($D11&lt;&gt;0,_xlfn.XLOOKUP($B11,'PW_CMI GRADE 10'!$B$7:$B$31,'PW_CMI GRADE 10'!BK$7:BK$31,"",0,1)="P",
   _xlfn.XLOOKUP($B11,'PW_CMI GRADE 10'!$B$7:$B$31,'PW_CMI GRADE 10'!$U$7:$U$31,"",0,1)&lt;=TODAY()-MOD(WEEKDAY(TODAY(),2)-5,7)),$D11,0)</f>
        <v>0</v>
      </c>
      <c r="CR61" s="67">
        <f ca="1">IF(AND($D11&lt;&gt;0,_xlfn.XLOOKUP($B11,'PW_CMI GRADE 10'!$B$7:$B$31,'PW_CMI GRADE 10'!BL$7:BL$31,"",0,1)="P",
   _xlfn.XLOOKUP($B11,'PW_CMI GRADE 10'!$B$7:$B$31,'PW_CMI GRADE 10'!$V$7:$V$31,"",0,1)&lt;=TODAY()-MOD(WEEKDAY(TODAY(),2)-5,7)),$D11,0)</f>
        <v>0</v>
      </c>
      <c r="CS61" s="67">
        <f ca="1">IF(AND($D11&lt;&gt;0,_xlfn.XLOOKUP($B11,'PW_CMI GRADE 10'!$B$7:$B$31,'PW_CMI GRADE 10'!BM$7:BM$31,"",0,1)="P",
   _xlfn.XLOOKUP($B11,'PW_CMI GRADE 10'!$B$7:$B$31,'PW_CMI GRADE 10'!$W$7:$W$31,"",0,1)&lt;=TODAY()-MOD(WEEKDAY(TODAY(),2)-5,7)),$D11,0)</f>
        <v>0</v>
      </c>
      <c r="CT61" s="67">
        <f ca="1">IF(AND($D11&lt;&gt;0,_xlfn.XLOOKUP($B11,'PW_CMI GRADE 10'!$B$7:$B$31,'PW_CMI GRADE 10'!BN$7:BN$31,"",0,1)="P",
   _xlfn.XLOOKUP($B11,'PW_CMI GRADE 10'!$B$7:$B$31,'PW_CMI GRADE 10'!$U$7:$U$31,"",0,1)&lt;=TODAY()-MOD(WEEKDAY(TODAY(),2)-5,7)),$D11,0)</f>
        <v>0</v>
      </c>
      <c r="CU61" s="67">
        <f ca="1">IF(AND($D11&lt;&gt;0,_xlfn.XLOOKUP($B11,'PW_CMI GRADE 10'!$B$7:$B$31,'PW_CMI GRADE 10'!BO$7:BO$31,"",0,1)="P",
   _xlfn.XLOOKUP($B11,'PW_CMI GRADE 10'!$B$7:$B$31,'PW_CMI GRADE 10'!$V$7:$V$31,"",0,1)&lt;=TODAY()-MOD(WEEKDAY(TODAY(),2)-5,7)),$D11,0)</f>
        <v>0</v>
      </c>
      <c r="CV61" s="67">
        <f ca="1">IF(AND($D11&lt;&gt;0,_xlfn.XLOOKUP($B11,'PW_CMI GRADE 10'!$B$7:$B$31,'PW_CMI GRADE 10'!BP$7:BP$31,"",0,1)="P",
   _xlfn.XLOOKUP($B11,'PW_CMI GRADE 10'!$B$7:$B$31,'PW_CMI GRADE 10'!$W$7:$W$31,"",0,1)&lt;=TODAY()-MOD(WEEKDAY(TODAY(),2)-5,7)),$D11,0)</f>
        <v>0</v>
      </c>
      <c r="CW61" s="62" t="e">
        <f t="shared" ca="1" si="132"/>
        <v>#REF!</v>
      </c>
      <c r="CX61" s="62" t="e">
        <f t="shared" ca="1" si="69"/>
        <v>#REF!</v>
      </c>
      <c r="CY61" s="62" t="e">
        <f t="shared" ca="1" si="70"/>
        <v>#REF!</v>
      </c>
      <c r="CZ61" s="62" t="e">
        <f t="shared" ca="1" si="71"/>
        <v>#REF!</v>
      </c>
      <c r="DA61" s="62" t="e">
        <f t="shared" ca="1" si="72"/>
        <v>#REF!</v>
      </c>
      <c r="DB61" s="62" t="e">
        <f t="shared" ca="1" si="73"/>
        <v>#REF!</v>
      </c>
      <c r="DC61" s="62" t="e">
        <f t="shared" ca="1" si="74"/>
        <v>#REF!</v>
      </c>
      <c r="DD61" s="62" t="e">
        <f t="shared" ca="1" si="75"/>
        <v>#REF!</v>
      </c>
      <c r="DE61" s="62" t="e">
        <f t="shared" ca="1" si="76"/>
        <v>#REF!</v>
      </c>
      <c r="DF61" s="62" t="e">
        <f t="shared" ca="1" si="77"/>
        <v>#REF!</v>
      </c>
      <c r="DG61" s="62" t="e">
        <f t="shared" ca="1" si="78"/>
        <v>#REF!</v>
      </c>
      <c r="DH61" s="62" t="e">
        <f t="shared" ca="1" si="79"/>
        <v>#REF!</v>
      </c>
      <c r="DI61" s="62" t="e">
        <f t="shared" ca="1" si="80"/>
        <v>#REF!</v>
      </c>
      <c r="DJ61" s="62" t="e">
        <f t="shared" ca="1" si="81"/>
        <v>#REF!</v>
      </c>
      <c r="DK61" s="62" t="e">
        <f t="shared" ca="1" si="82"/>
        <v>#REF!</v>
      </c>
      <c r="DL61" s="62" t="e">
        <f t="shared" ca="1" si="83"/>
        <v>#REF!</v>
      </c>
      <c r="DM61" s="62" t="e">
        <f t="shared" ca="1" si="84"/>
        <v>#REF!</v>
      </c>
      <c r="DN61" s="62" t="e">
        <f t="shared" ca="1" si="85"/>
        <v>#REF!</v>
      </c>
      <c r="DO61" s="62" t="e">
        <f t="shared" ca="1" si="86"/>
        <v>#REF!</v>
      </c>
      <c r="DP61" s="62" t="e">
        <f t="shared" ca="1" si="87"/>
        <v>#REF!</v>
      </c>
      <c r="DQ61" s="62" t="e">
        <f t="shared" ca="1" si="88"/>
        <v>#REF!</v>
      </c>
      <c r="DR61" s="62" t="e">
        <f t="shared" ca="1" si="89"/>
        <v>#REF!</v>
      </c>
      <c r="DS61" s="62" t="e">
        <f t="shared" ca="1" si="90"/>
        <v>#REF!</v>
      </c>
      <c r="DT61" s="62" t="e">
        <f t="shared" ca="1" si="91"/>
        <v>#REF!</v>
      </c>
      <c r="DU61" s="62" t="e">
        <f t="shared" ca="1" si="92"/>
        <v>#REF!</v>
      </c>
      <c r="DV61" s="62" t="e">
        <f t="shared" ca="1" si="93"/>
        <v>#REF!</v>
      </c>
      <c r="DW61" s="62" t="e">
        <f t="shared" ca="1" si="94"/>
        <v>#REF!</v>
      </c>
      <c r="DX61" s="62" t="e">
        <f t="shared" ca="1" si="95"/>
        <v>#REF!</v>
      </c>
      <c r="DY61" s="62" t="e">
        <f t="shared" ca="1" si="96"/>
        <v>#REF!</v>
      </c>
      <c r="DZ61" s="62" t="e">
        <f t="shared" ca="1" si="97"/>
        <v>#REF!</v>
      </c>
      <c r="EA61" s="63" t="e">
        <f t="shared" ca="1" si="98"/>
        <v>#REF!</v>
      </c>
      <c r="EB61" s="63" t="e">
        <f t="shared" ca="1" si="99"/>
        <v>#REF!</v>
      </c>
      <c r="EC61" s="63" t="e">
        <f t="shared" ca="1" si="100"/>
        <v>#REF!</v>
      </c>
      <c r="ED61" s="63" t="e">
        <f t="shared" ca="1" si="101"/>
        <v>#REF!</v>
      </c>
      <c r="EE61" s="63" t="e">
        <f t="shared" ca="1" si="102"/>
        <v>#REF!</v>
      </c>
      <c r="EF61" s="63" t="e">
        <f t="shared" ca="1" si="103"/>
        <v>#REF!</v>
      </c>
      <c r="EG61" s="63" t="e">
        <f t="shared" ca="1" si="104"/>
        <v>#REF!</v>
      </c>
      <c r="EH61" s="63" t="e">
        <f t="shared" ca="1" si="105"/>
        <v>#REF!</v>
      </c>
      <c r="EI61" s="63" t="e">
        <f t="shared" ca="1" si="106"/>
        <v>#REF!</v>
      </c>
      <c r="EJ61" s="63" t="e">
        <f t="shared" ca="1" si="107"/>
        <v>#REF!</v>
      </c>
      <c r="EK61" s="63" t="e">
        <f t="shared" ca="1" si="108"/>
        <v>#REF!</v>
      </c>
      <c r="EL61" s="63" t="e">
        <f t="shared" ca="1" si="109"/>
        <v>#REF!</v>
      </c>
      <c r="EM61" s="63" t="e">
        <f t="shared" ca="1" si="110"/>
        <v>#REF!</v>
      </c>
      <c r="EN61" s="63" t="e">
        <f t="shared" ca="1" si="111"/>
        <v>#REF!</v>
      </c>
      <c r="EO61" s="63" t="e">
        <f t="shared" ca="1" si="112"/>
        <v>#REF!</v>
      </c>
      <c r="EP61" s="63" t="e">
        <f t="shared" ca="1" si="113"/>
        <v>#REF!</v>
      </c>
      <c r="ET61" t="str">
        <v>3A.2</v>
      </c>
      <c r="EU61" s="38" t="e">
        <f t="shared" ca="1" si="114"/>
        <v>#REF!</v>
      </c>
      <c r="EV61" s="38" t="e">
        <f t="shared" ca="1" si="115"/>
        <v>#REF!</v>
      </c>
      <c r="EW61" s="38" t="e">
        <f t="shared" ca="1" si="116"/>
        <v>#REF!</v>
      </c>
      <c r="EX61" s="38" t="e">
        <f t="shared" ca="1" si="117"/>
        <v>#REF!</v>
      </c>
      <c r="EY61" s="38" t="e">
        <f t="shared" ca="1" si="118"/>
        <v>#REF!</v>
      </c>
      <c r="EZ61" s="38" t="e">
        <f t="shared" ca="1" si="119"/>
        <v>#REF!</v>
      </c>
      <c r="FA61" s="38" t="e">
        <f t="shared" ca="1" si="120"/>
        <v>#REF!</v>
      </c>
      <c r="FB61" s="38" t="e">
        <f t="shared" ca="1" si="121"/>
        <v>#REF!</v>
      </c>
      <c r="FC61" s="38" t="e">
        <f t="shared" ca="1" si="122"/>
        <v>#REF!</v>
      </c>
      <c r="FD61" s="38" t="e">
        <f t="shared" ca="1" si="123"/>
        <v>#REF!</v>
      </c>
      <c r="FE61" s="38">
        <f t="shared" ca="1" si="133"/>
        <v>0</v>
      </c>
      <c r="FF61" s="38" t="e">
        <f t="shared" ca="1" si="124"/>
        <v>#REF!</v>
      </c>
      <c r="FG61" s="38" t="e">
        <f t="shared" ca="1" si="125"/>
        <v>#REF!</v>
      </c>
      <c r="FH61" s="38" t="e">
        <f t="shared" ca="1" si="126"/>
        <v>#REF!</v>
      </c>
      <c r="FI61" s="38" t="e">
        <f t="shared" ca="1" si="127"/>
        <v>#REF!</v>
      </c>
      <c r="FJ61" s="38" t="e">
        <f t="shared" ca="1" si="128"/>
        <v>#REF!</v>
      </c>
      <c r="FK61" s="38" t="e">
        <f t="shared" ca="1" si="129"/>
        <v>#REF!</v>
      </c>
      <c r="FL61" s="38">
        <f t="shared" ca="1" si="130"/>
        <v>0</v>
      </c>
      <c r="FM61" s="38">
        <v>1</v>
      </c>
      <c r="FN61" s="38">
        <f t="shared" si="134"/>
        <v>0.66666666666666663</v>
      </c>
      <c r="FO61" s="38">
        <f t="shared" si="135"/>
        <v>0.33333333333333331</v>
      </c>
    </row>
    <row r="62" spans="1:223">
      <c r="A62" s="64" t="str">
        <f t="shared" si="131"/>
        <v>2.3</v>
      </c>
      <c r="B62" s="64" t="s">
        <v>43</v>
      </c>
      <c r="C62" s="30">
        <v>0</v>
      </c>
      <c r="D62" s="30">
        <v>1</v>
      </c>
      <c r="E62" s="65">
        <f ca="1">IF(AND($D12&lt;&gt;0,_xlfn.XLOOKUP($B12,'TH_MLG GRADE 10'!$B$7:$B$49,'TH_MLG GRADE 10'!C$7:C$49,"",0,1)="P",
   _xlfn.XLOOKUP($B12,'TH_MLG GRADE 10'!$B$7:$B$49,'TH_MLG GRADE 10'!$BK$7:$BK$49,"",0,1)&lt;=TODAY()-MOD(WEEKDAY(TODAY(),2)-5,7)),$D12,0)</f>
        <v>0</v>
      </c>
      <c r="F62" s="65">
        <f ca="1">IF(AND($D12&lt;&gt;0,_xlfn.XLOOKUP($B12,'TH_MLG GRADE 10'!$B$7:$B$49,'TH_MLG GRADE 10'!D$7:D$49,"",0,1)="P",
   _xlfn.XLOOKUP($B12,'TH_MLG GRADE 10'!$B$7:$B$49,'TH_MLG GRADE 10'!$BL$7:$BL$49,"",0,1)&lt;=TODAY()-MOD(WEEKDAY(TODAY(),2)-5,7)),$D12,0)</f>
        <v>0</v>
      </c>
      <c r="G62" s="65">
        <f ca="1">IF(AND($D12&lt;&gt;0,_xlfn.XLOOKUP($B12,'TH_MLG GRADE 10'!$B$7:$B$49,'TH_MLG GRADE 10'!E$7:E$49,"",0,1)="P",
   _xlfn.XLOOKUP($B12,'TH_MLG GRADE 10'!$B$7:$B$49,'TH_MLG GRADE 10'!$BM$7:$BM$49,"",0,1)&lt;=TODAY()-MOD(WEEKDAY(TODAY(),2)-5,7)),$D12,0)</f>
        <v>0</v>
      </c>
      <c r="H62" s="65">
        <f ca="1">IF(AND($D12&lt;&gt;0,_xlfn.XLOOKUP($B12,'TH_MLG GRADE 10'!$B$7:$B$49,'TH_MLG GRADE 10'!I$7:I$49,"",0,1)="P",
   _xlfn.XLOOKUP($B12,'TH_MLG GRADE 10'!$B$7:$B$49,'TH_MLG GRADE 10'!$BK$7:$BK$49,"",0,1)&lt;=TODAY()-MOD(WEEKDAY(TODAY(),2)-5,7)),$D12,0)</f>
        <v>0</v>
      </c>
      <c r="I62" s="65">
        <f ca="1">IF(AND($D12&lt;&gt;0,_xlfn.XLOOKUP($B12,'TH_MLG GRADE 10'!$B$7:$B$49,'TH_MLG GRADE 10'!J$7:J$49,"",0,1)="P",
   _xlfn.XLOOKUP($B12,'TH_MLG GRADE 10'!$B$7:$B$49,'TH_MLG GRADE 10'!$BL$7:$BL$49,"",0,1)&lt;=TODAY()-MOD(WEEKDAY(TODAY(),2)-5,7)),$D12,0)</f>
        <v>0</v>
      </c>
      <c r="J62" s="65">
        <f ca="1">IF(AND($D12&lt;&gt;0,_xlfn.XLOOKUP($B12,'TH_MLG GRADE 10'!$B$7:$B$49,'TH_MLG GRADE 10'!K$7:K$49,"",0,1)="P",
   _xlfn.XLOOKUP($B12,'TH_MLG GRADE 10'!$B$7:$B$49,'TH_MLG GRADE 10'!$BM$7:$BM$49,"",0,1)&lt;=TODAY()-MOD(WEEKDAY(TODAY(),2)-5,7)),$D12,0)</f>
        <v>0</v>
      </c>
      <c r="K62" s="65">
        <f ca="1">IF(AND($D12&lt;&gt;0,_xlfn.XLOOKUP($B12,'TH_MLG GRADE 10'!$B$7:$B$49,'TH_MLG GRADE 10'!O$7:O$49,"",0,1)="P",
   _xlfn.XLOOKUP($B12,'TH_MLG GRADE 10'!$B$7:$B$49,'TH_MLG GRADE 10'!$BK$7:$BK$49,"",0,1)&lt;=TODAY()-MOD(WEEKDAY(TODAY(),2)-5,7)),$D12,0)</f>
        <v>0</v>
      </c>
      <c r="L62" s="65">
        <f ca="1">IF(AND($D12&lt;&gt;0,_xlfn.XLOOKUP($B12,'TH_MLG GRADE 10'!$B$7:$B$49,'TH_MLG GRADE 10'!P$7:P$49,"",0,1)="P",
   _xlfn.XLOOKUP($B12,'TH_MLG GRADE 10'!$B$7:$B$49,'TH_MLG GRADE 10'!$BL$7:$BL$49,"",0,1)&lt;=TODAY()-MOD(WEEKDAY(TODAY(),2)-5,7)),$D12,0)</f>
        <v>0</v>
      </c>
      <c r="M62" s="65">
        <f ca="1">IF(AND($D12&lt;&gt;0,_xlfn.XLOOKUP($B12,'TH_MLG GRADE 10'!$B$7:$B$49,'TH_MLG GRADE 10'!Q$7:Q$49,"",0,1)="P",
   _xlfn.XLOOKUP($B12,'TH_MLG GRADE 10'!$B$7:$B$49,'TH_MLG GRADE 10'!$BM$7:$BM$49,"",0,1)&lt;=TODAY()-MOD(WEEKDAY(TODAY(),2)-5,7)),$D12,0)</f>
        <v>0</v>
      </c>
      <c r="N62" s="65">
        <f ca="1">IF(AND($D12&lt;&gt;0,_xlfn.XLOOKUP($B12,'TH_MLG GRADE 10'!$B$7:$B$49,'TH_MLG GRADE 10'!AA$7:AA$49,"",0,1)="P",
   _xlfn.XLOOKUP($B12,'TH_MLG GRADE 10'!$B$7:$B$49,'TH_MLG GRADE 10'!$BK$7:$BK$49,"",0,1)&lt;=TODAY()-MOD(WEEKDAY(TODAY(),2)-5,7)),$D12,0)</f>
        <v>0</v>
      </c>
      <c r="O62" s="65">
        <f ca="1">IF(AND($D12&lt;&gt;0,_xlfn.XLOOKUP($B12,'TH_MLG GRADE 10'!$B$7:$B$49,'TH_MLG GRADE 10'!AB$7:AB$49,"",0,1)="P",
   _xlfn.XLOOKUP($B12,'TH_MLG GRADE 10'!$B$7:$B$49,'TH_MLG GRADE 10'!$BL$7:$BL$49,"",0,1)&lt;=TODAY()-MOD(WEEKDAY(TODAY(),2)-5,7)),$D12,0)</f>
        <v>0</v>
      </c>
      <c r="P62" s="65">
        <f ca="1">IF(AND($D12&lt;&gt;0,_xlfn.XLOOKUP($B12,'TH_MLG GRADE 10'!$B$7:$B$49,'TH_MLG GRADE 10'!AC$7:AC$49,"",0,1)="P",
   _xlfn.XLOOKUP($B12,'TH_MLG GRADE 10'!$B$7:$B$49,'TH_MLG GRADE 10'!$BM$7:$BM$49,"",0,1)&lt;=TODAY()-MOD(WEEKDAY(TODAY(),2)-5,7)),$D12,0)</f>
        <v>0</v>
      </c>
      <c r="Q62" s="65">
        <f ca="1">IF(AND($D12&lt;&gt;0,_xlfn.XLOOKUP($B12,'TH_MLG GRADE 10'!$B$7:$B$49,'TH_MLG GRADE 10'!AG$7:AG$49,"",0,1)="P",
   _xlfn.XLOOKUP($B12,'TH_MLG GRADE 10'!$B$7:$B$49,'TH_MLG GRADE 10'!$BK$7:$BK$49,"",0,1)&lt;=TODAY()-MOD(WEEKDAY(TODAY(),2)-5,7)),$D12,0)</f>
        <v>0</v>
      </c>
      <c r="R62" s="65">
        <f ca="1">IF(AND($D12&lt;&gt;0,_xlfn.XLOOKUP($B12,'TH_MLG GRADE 10'!$B$7:$B$49,'TH_MLG GRADE 10'!AH$7:AH$49,"",0,1)="P",
   _xlfn.XLOOKUP($B12,'TH_MLG GRADE 10'!$B$7:$B$49,'TH_MLG GRADE 10'!$BL$7:$BL$49,"",0,1)&lt;=TODAY()-MOD(WEEKDAY(TODAY(),2)-5,7)),$D12,0)</f>
        <v>0</v>
      </c>
      <c r="S62" s="65">
        <f ca="1">IF(AND($D12&lt;&gt;0,_xlfn.XLOOKUP($B12,'TH_MLG GRADE 10'!$B$7:$B$49,'TH_MLG GRADE 10'!AI$7:AI$49,"",0,1)="P",
   _xlfn.XLOOKUP($B12,'TH_MLG GRADE 10'!$B$7:$B$49,'TH_MLG GRADE 10'!$BM$7:$BM$49,"",0,1)&lt;=TODAY()-MOD(WEEKDAY(TODAY(),2)-5,7)),$D12,0)</f>
        <v>0</v>
      </c>
      <c r="T62" s="65">
        <f ca="1">IF(AND($D12&lt;&gt;0,_xlfn.XLOOKUP($B12,'TH_MLG GRADE 10'!$B$7:$B$49,'TH_MLG GRADE 10'!AM$7:AM$49,"",0,1)="P",
   _xlfn.XLOOKUP($B12,'TH_MLG GRADE 10'!$B$7:$B$49,'TH_MLG GRADE 10'!$BK$7:$BK$49,"",0,1)&lt;=TODAY()-MOD(WEEKDAY(TODAY(),2)-5,7)),$D12,0)</f>
        <v>1</v>
      </c>
      <c r="U62" s="65">
        <f ca="1">IF(AND($D12&lt;&gt;0,_xlfn.XLOOKUP($B12,'TH_MLG GRADE 10'!$B$7:$B$49,'TH_MLG GRADE 10'!AN$7:AN$49,"",0,1)="P",
   _xlfn.XLOOKUP($B12,'TH_MLG GRADE 10'!$B$7:$B$49,'TH_MLG GRADE 10'!$BL$7:$BL$49,"",0,1)&lt;=TODAY()-MOD(WEEKDAY(TODAY(),2)-5,7)),$D12,0)</f>
        <v>1</v>
      </c>
      <c r="V62" s="65">
        <f ca="1">IF(AND($D12&lt;&gt;0,_xlfn.XLOOKUP($B12,'TH_MLG GRADE 10'!$B$7:$B$49,'TH_MLG GRADE 10'!AO$7:AO$49,"",0,1)="P",
   _xlfn.XLOOKUP($B12,'TH_MLG GRADE 10'!$B$7:$B$49,'TH_MLG GRADE 10'!$BM$7:$BM$49,"",0,1)&lt;=TODAY()-MOD(WEEKDAY(TODAY(),2)-5,7)),$D12,0)</f>
        <v>1</v>
      </c>
      <c r="W62" s="65">
        <f ca="1">IF(AND($D12&lt;&gt;0,_xlfn.XLOOKUP($B12,'TH_MLG GRADE 10'!$B$7:$B$49,'TH_MLG GRADE 10'!AY$7:AY$49,"",0,1)="P",
   _xlfn.XLOOKUP($B12,'TH_MLG GRADE 10'!$B$7:$B$49,'TH_MLG GRADE 10'!$BK$7:$BK$49,"",0,1)&lt;=TODAY()-MOD(WEEKDAY(TODAY(),2)-5,7)),$D12,0)</f>
        <v>1</v>
      </c>
      <c r="X62" s="65">
        <f ca="1">IF(AND($D12&lt;&gt;0,_xlfn.XLOOKUP($B12,'TH_MLG GRADE 10'!$B$7:$B$49,'TH_MLG GRADE 10'!AZ$7:AZ$49,"",0,1)="P",
   _xlfn.XLOOKUP($B12,'TH_MLG GRADE 10'!$B$7:$B$49,'TH_MLG GRADE 10'!$BL$7:$BL$49,"",0,1)&lt;=TODAY()-MOD(WEEKDAY(TODAY(),2)-5,7)),$D12,0)</f>
        <v>1</v>
      </c>
      <c r="Y62" s="65">
        <f ca="1">IF(AND($D12&lt;&gt;0,_xlfn.XLOOKUP($B12,'TH_MLG GRADE 10'!$B$7:$B$49,'TH_MLG GRADE 10'!BA$7:BA$49,"",0,1)="P",
   _xlfn.XLOOKUP($B12,'TH_MLG GRADE 10'!$B$7:$B$49,'TH_MLG GRADE 10'!$BM$7:$BM$49,"",0,1)&lt;=TODAY()-MOD(WEEKDAY(TODAY(),2)-5,7)),$D12,0)</f>
        <v>0</v>
      </c>
      <c r="Z62" s="65">
        <f ca="1">IF(AND($D12&lt;&gt;0,_xlfn.XLOOKUP($B12,'TH_MLG GRADE 10'!$B$7:$B$49,'TH_MLG GRADE 10'!BE$7:BE$49,"",0,1)="P",
   _xlfn.XLOOKUP($B12,'TH_MLG GRADE 10'!$B$7:$B$49,'TH_MLG GRADE 10'!$BK$7:$BK$49,"",0,1)&lt;=TODAY()-MOD(WEEKDAY(TODAY(),2)-5,7)),$D12,0)</f>
        <v>0</v>
      </c>
      <c r="AA62" s="65">
        <f ca="1">IF(AND($D12&lt;&gt;0,_xlfn.XLOOKUP($B12,'TH_MLG GRADE 10'!$B$7:$B$49,'TH_MLG GRADE 10'!BF$7:BF$49,"",0,1)="P",
   _xlfn.XLOOKUP($B12,'TH_MLG GRADE 10'!$B$7:$B$49,'TH_MLG GRADE 10'!$BL$7:$BL$49,"",0,1)&lt;=TODAY()-MOD(WEEKDAY(TODAY(),2)-5,7)),$D12,0)</f>
        <v>0</v>
      </c>
      <c r="AB62" s="65">
        <f ca="1">IF(AND($D12&lt;&gt;0,_xlfn.XLOOKUP($B12,'TH_MLG GRADE 10'!$B$7:$B$49,'TH_MLG GRADE 10'!BG$7:BG$49,"",0,1)="P",
   _xlfn.XLOOKUP($B12,'TH_MLG GRADE 10'!$B$7:$B$49,'TH_MLG GRADE 10'!$BM$7:$BM$49,"",0,1)&lt;=TODAY()-MOD(WEEKDAY(TODAY(),2)-5,7)),$D12,0)</f>
        <v>0</v>
      </c>
      <c r="AC62" s="65" t="e">
        <f ca="1">IF(AND($D12&lt;&gt;0,_xlfn.XLOOKUP($B12,'TH_MLG GRADE 10'!$B$7:$B$49,'TH_MLG GRADE 10'!#REF!,"",0,1)="P",
   _xlfn.XLOOKUP($B12,'TH_MLG GRADE 10'!$B$7:$B$49,'TH_MLG GRADE 10'!$BK$7:$BK$49,"",0,1)&lt;=TODAY()-MOD(WEEKDAY(TODAY(),2)-5,7)),$D12,0)</f>
        <v>#REF!</v>
      </c>
      <c r="AD62" s="65" t="e">
        <f ca="1">IF(AND($D12&lt;&gt;0,_xlfn.XLOOKUP($B12,'TH_MLG GRADE 10'!$B$7:$B$49,'TH_MLG GRADE 10'!#REF!,"",0,1)="P",
   _xlfn.XLOOKUP($B12,'TH_MLG GRADE 10'!$B$7:$B$49,'TH_MLG GRADE 10'!$BL$7:$BL$49,"",0,1)&lt;=TODAY()-MOD(WEEKDAY(TODAY(),2)-5,7)),$D12,0)</f>
        <v>#REF!</v>
      </c>
      <c r="AE62" s="65" t="e">
        <f ca="1">IF(AND($D12&lt;&gt;0,_xlfn.XLOOKUP($B12,'TH_MLG GRADE 10'!$B$7:$B$49,'TH_MLG GRADE 10'!#REF!,"",0,1)="P",
   _xlfn.XLOOKUP($B12,'TH_MLG GRADE 10'!$B$7:$B$49,'TH_MLG GRADE 10'!$BM$7:$BM$49,"",0,1)&lt;=TODAY()-MOD(WEEKDAY(TODAY(),2)-5,7)),$D12,0)</f>
        <v>#REF!</v>
      </c>
      <c r="AF62" s="65" t="e">
        <f ca="1">IF(AND($D12&lt;&gt;0,_xlfn.XLOOKUP($B12,'TH_MLG GRADE 10'!$B$7:$B$49,'TH_MLG GRADE 10'!#REF!,"",0,1)="P",
   _xlfn.XLOOKUP($B12,'TH_MLG GRADE 10'!$B$7:$B$49,'TH_MLG GRADE 10'!$BK$7:$BK$49,"",0,1)&lt;=TODAY()-MOD(WEEKDAY(TODAY(),2)-5,7)),$D12,0)</f>
        <v>#REF!</v>
      </c>
      <c r="AG62" s="65" t="e">
        <f ca="1">IF(AND($D12&lt;&gt;0,_xlfn.XLOOKUP($B12,'TH_MLG GRADE 10'!$B$7:$B$49,'TH_MLG GRADE 10'!#REF!,"",0,1)="P",
   _xlfn.XLOOKUP($B12,'TH_MLG GRADE 10'!$B$7:$B$49,'TH_MLG GRADE 10'!$BL$7:$BL$49,"",0,1)&lt;=TODAY()-MOD(WEEKDAY(TODAY(),2)-5,7)),$D12,0)</f>
        <v>#REF!</v>
      </c>
      <c r="AH62" s="65" t="e">
        <f ca="1">IF(AND($D12&lt;&gt;0,_xlfn.XLOOKUP($B12,'TH_MLG GRADE 10'!$B$7:$B$49,'TH_MLG GRADE 10'!#REF!,"",0,1)="P",
   _xlfn.XLOOKUP($B12,'TH_MLG GRADE 10'!$B$7:$B$49,'TH_MLG GRADE 10'!$BM$7:$BM$49,"",0,1)&lt;=TODAY()-MOD(WEEKDAY(TODAY(),2)-5,7)),$D12,0)</f>
        <v>#REF!</v>
      </c>
      <c r="AI62" s="67">
        <f ca="1">IF(AND($D12&lt;&gt;0,_xlfn.XLOOKUP($B12,'TH_CMI GRADE 10'!$B$7:$B$49,'TH_CMI GRADE 10'!C$7:C$49,"",0,1)="P",
   _xlfn.XLOOKUP($B12,'TH_CMI GRADE 10'!$B$7:$B$49,'TH_CMI GRADE 10'!$AS$7:$AS$49,"",0,1)&lt;=TODAY()-MOD(WEEKDAY(TODAY(),2)-5,7)),$D12,0)</f>
        <v>0</v>
      </c>
      <c r="AJ62" s="67">
        <f ca="1">IF(AND($D12&lt;&gt;0,_xlfn.XLOOKUP($B12,'TH_CMI GRADE 10'!$B$7:$B$49,'TH_CMI GRADE 10'!D$7:D$49,"",0,1)="P",
   _xlfn.XLOOKUP($B12,'TH_CMI GRADE 10'!$B$7:$B$49,'TH_CMI GRADE 10'!$AT$7:$AT$49,"",0,1)&lt;=TODAY()-MOD(WEEKDAY(TODAY(),2)-5,7)),$D12,0)</f>
        <v>0</v>
      </c>
      <c r="AK62" s="67" t="e">
        <f ca="1">IF(AND($D12&lt;&gt;0,_xlfn.XLOOKUP($B12,'TH_CMI GRADE 10'!$B$7:$B$49,'TH_CMI GRADE 10'!H$7:H$49,"",0,1)="P",
   _xlfn.XLOOKUP($B12,'TH_CMI GRADE 10'!$B$7:$B$49,'TH_CMI GRADE 10'!#REF!,"",0,1)&lt;=TODAY()-MOD(WEEKDAY(TODAY(),2)-5,7)),$D12,0)</f>
        <v>#REF!</v>
      </c>
      <c r="AL62" s="67">
        <f ca="1">IF(AND($D12&lt;&gt;0,_xlfn.XLOOKUP($B12,'TH_CMI GRADE 10'!$B$7:$B$49,'TH_CMI GRADE 10'!I$7:I$49,"",0,1)="P",
   _xlfn.XLOOKUP($B12,'TH_CMI GRADE 10'!$B$7:$B$49,'TH_CMI GRADE 10'!$AS$7:$AS$49,"",0,1)&lt;=TODAY()-MOD(WEEKDAY(TODAY(),2)-5,7)),$D12,0)</f>
        <v>0</v>
      </c>
      <c r="AM62" s="67">
        <f ca="1">IF(AND($D12&lt;&gt;0,_xlfn.XLOOKUP($B12,'TH_CMI GRADE 10'!$B$7:$B$49,'TH_CMI GRADE 10'!J$7:J$49,"",0,1)="P",
   _xlfn.XLOOKUP($B12,'TH_CMI GRADE 10'!$B$7:$B$49,'TH_CMI GRADE 10'!$AT$7:$AT$49,"",0,1)&lt;=TODAY()-MOD(WEEKDAY(TODAY(),2)-5,7)),$D12,0)</f>
        <v>0</v>
      </c>
      <c r="AN62" s="67" t="e">
        <f ca="1">IF(AND($D12&lt;&gt;0,_xlfn.XLOOKUP($B12,'TH_CMI GRADE 10'!$B$7:$B$49,'TH_CMI GRADE 10'!K$7:K$49,"",0,1)="P",
   _xlfn.XLOOKUP($B12,'TH_CMI GRADE 10'!$B$7:$B$49,'TH_CMI GRADE 10'!#REF!,"",0,1)&lt;=TODAY()-MOD(WEEKDAY(TODAY(),2)-5,7)),$D12,0)</f>
        <v>#REF!</v>
      </c>
      <c r="AO62" s="67">
        <f ca="1">IF(AND($D12&lt;&gt;0,_xlfn.XLOOKUP($B12,'TH_CMI GRADE 10'!$B$7:$B$49,'TH_CMI GRADE 10'!O$7:O$49,"",0,1)="P",
   _xlfn.XLOOKUP($B12,'TH_CMI GRADE 10'!$B$7:$B$49,'TH_CMI GRADE 10'!$AS$7:$AS$49,"",0,1)&lt;=TODAY()-MOD(WEEKDAY(TODAY(),2)-5,7)),$D12,0)</f>
        <v>0</v>
      </c>
      <c r="AP62" s="67">
        <f ca="1">IF(AND($D12&lt;&gt;0,_xlfn.XLOOKUP($B12,'TH_CMI GRADE 10'!$B$7:$B$49,'TH_CMI GRADE 10'!P$7:P$49,"",0,1)="P",
   _xlfn.XLOOKUP($B12,'TH_CMI GRADE 10'!$B$7:$B$49,'TH_CMI GRADE 10'!$AT$7:$AT$49,"",0,1)&lt;=TODAY()-MOD(WEEKDAY(TODAY(),2)-5,7)),$D12,0)</f>
        <v>0</v>
      </c>
      <c r="AQ62" s="67" t="e">
        <f ca="1">IF(AND($D12&lt;&gt;0,_xlfn.XLOOKUP($B12,'TH_CMI GRADE 10'!$B$7:$B$49,'TH_CMI GRADE 10'!Q$7:Q$49,"",0,1)="P",
   _xlfn.XLOOKUP($B12,'TH_CMI GRADE 10'!$B$7:$B$49,'TH_CMI GRADE 10'!#REF!,"",0,1)&lt;=TODAY()-MOD(WEEKDAY(TODAY(),2)-5,7)),$D12,0)</f>
        <v>#REF!</v>
      </c>
      <c r="AR62" s="67">
        <f ca="1">IF(AND($D12&lt;&gt;0,_xlfn.XLOOKUP($B12,'TH_CMI GRADE 10'!$B$7:$B$49,'TH_CMI GRADE 10'!U$7:U$49,"",0,1)="P",
   _xlfn.XLOOKUP($B12,'TH_CMI GRADE 10'!$B$7:$B$49,'TH_CMI GRADE 10'!$AS$7:$AS$49,"",0,1)&lt;=TODAY()-MOD(WEEKDAY(TODAY(),2)-5,7)),$D12,0)</f>
        <v>0</v>
      </c>
      <c r="AS62" s="67">
        <f ca="1">IF(AND($D12&lt;&gt;0,_xlfn.XLOOKUP($B12,'TH_CMI GRADE 10'!$B$7:$B$49,'TH_CMI GRADE 10'!V$7:V$49,"",0,1)="P",
   _xlfn.XLOOKUP($B12,'TH_CMI GRADE 10'!$B$7:$B$49,'TH_CMI GRADE 10'!$AT$7:$AT$49,"",0,1)&lt;=TODAY()-MOD(WEEKDAY(TODAY(),2)-5,7)),$D12,0)</f>
        <v>0</v>
      </c>
      <c r="AT62" s="67" t="e">
        <f ca="1">IF(AND($D12&lt;&gt;0,_xlfn.XLOOKUP($B12,'TH_CMI GRADE 10'!$B$7:$B$49,'TH_CMI GRADE 10'!W$7:W$49,"",0,1)="P",
   _xlfn.XLOOKUP($B12,'TH_CMI GRADE 10'!$B$7:$B$49,'TH_CMI GRADE 10'!#REF!,"",0,1)&lt;=TODAY()-MOD(WEEKDAY(TODAY(),2)-5,7)),$D12,0)</f>
        <v>#REF!</v>
      </c>
      <c r="AU62" s="67">
        <f ca="1">IF(AND($D12&lt;&gt;0,_xlfn.XLOOKUP($B12,'TH_CMI GRADE 10'!$B$7:$B$49,'TH_CMI GRADE 10'!AA$7:AA$49,"",0,1)="P",
   _xlfn.XLOOKUP($B12,'TH_CMI GRADE 10'!$B$7:$B$49,'TH_CMI GRADE 10'!$AS$7:$AS$49,"",0,1)&lt;=TODAY()-MOD(WEEKDAY(TODAY(),2)-5,7)),$D12,0)</f>
        <v>1</v>
      </c>
      <c r="AV62" s="67">
        <f ca="1">IF(AND($D12&lt;&gt;0,_xlfn.XLOOKUP($B12,'TH_CMI GRADE 10'!$B$7:$B$49,'TH_CMI GRADE 10'!AB$7:AB$49,"",0,1)="P",
   _xlfn.XLOOKUP($B12,'TH_CMI GRADE 10'!$B$7:$B$49,'TH_CMI GRADE 10'!$AT$7:$AT$49,"",0,1)&lt;=TODAY()-MOD(WEEKDAY(TODAY(),2)-5,7)),$D12,0)</f>
        <v>1</v>
      </c>
      <c r="AW62" s="67" t="e">
        <f ca="1">IF(AND($D12&lt;&gt;0,_xlfn.XLOOKUP($B12,'TH_CMI GRADE 10'!$B$7:$B$49,'TH_CMI GRADE 10'!AC$7:AC$49,"",0,1)="P",
   _xlfn.XLOOKUP($B12,'TH_CMI GRADE 10'!$B$7:$B$49,'TH_CMI GRADE 10'!#REF!,"",0,1)&lt;=TODAY()-MOD(WEEKDAY(TODAY(),2)-5,7)),$D12,0)</f>
        <v>#REF!</v>
      </c>
      <c r="AX62" s="67">
        <f ca="1">IF(AND($D12&lt;&gt;0,_xlfn.XLOOKUP($B12,'TH_CMI GRADE 10'!$B$7:$B$49,'TH_CMI GRADE 10'!AG$7:AG$49,"",0,1)="P",
   _xlfn.XLOOKUP($B12,'TH_CMI GRADE 10'!$B$7:$B$49,'TH_CMI GRADE 10'!$AS$7:$AS$49,"",0,1)&lt;=TODAY()-MOD(WEEKDAY(TODAY(),2)-5,7)),$D12,0)</f>
        <v>1</v>
      </c>
      <c r="AY62" s="67">
        <f ca="1">IF(AND($D12&lt;&gt;0,_xlfn.XLOOKUP($B12,'TH_CMI GRADE 10'!$B$7:$B$49,'TH_CMI GRADE 10'!AH$7:AH$49,"",0,1)="P",
   _xlfn.XLOOKUP($B12,'TH_CMI GRADE 10'!$B$7:$B$49,'TH_CMI GRADE 10'!$AT$7:$AT$49,"",0,1)&lt;=TODAY()-MOD(WEEKDAY(TODAY(),2)-5,7)),$D12,0)</f>
        <v>1</v>
      </c>
      <c r="AZ62" s="67" t="e">
        <f ca="1">IF(AND($D12&lt;&gt;0,_xlfn.XLOOKUP($B12,'TH_CMI GRADE 10'!$B$7:$B$49,'TH_CMI GRADE 10'!AI$7:AI$49,"",0,1)="P",
   _xlfn.XLOOKUP($B12,'TH_CMI GRADE 10'!$B$7:$B$49,'TH_CMI GRADE 10'!#REF!,"",0,1)&lt;=TODAY()-MOD(WEEKDAY(TODAY(),2)-5,7)),$D12,0)</f>
        <v>#REF!</v>
      </c>
      <c r="BA62" s="65" t="e">
        <f ca="1">IF(AND($D12&lt;&gt;0,_xlfn.XLOOKUP($B12,'PW_MLG GRADE 10'!$B$7:$B$31,'PW_MLG GRADE 10'!R$7:R$31,"",0,1)="P",
   _xlfn.XLOOKUP($B12,'PW_MLG GRADE 10'!$B$7:$B$31,'PW_MLG GRADE 10'!#REF!,"",0,1)&lt;=TODAY()-MOD(WEEKDAY(TODAY(),2)-5,7)),$D12,0)</f>
        <v>#REF!</v>
      </c>
      <c r="BB62" s="65" t="e">
        <f ca="1">IF(AND($D12&lt;&gt;0,_xlfn.XLOOKUP($B12,'PW_MLG GRADE 10'!$B$7:$B$31,'PW_MLG GRADE 10'!S$7:S$31,"",0,1)="P",
   _xlfn.XLOOKUP($B12,'PW_MLG GRADE 10'!$B$7:$B$31,'PW_MLG GRADE 10'!#REF!,"",0,1)&lt;=TODAY()-MOD(WEEKDAY(TODAY(),2)-5,7)),$D12,0)</f>
        <v>#REF!</v>
      </c>
      <c r="BC62" s="65" t="e">
        <f ca="1">IF(AND($D12&lt;&gt;0,_xlfn.XLOOKUP($B12,'PW_MLG GRADE 10'!$B$7:$B$31,'PW_MLG GRADE 10'!T$7:T$31,"",0,1)="P",
   _xlfn.XLOOKUP($B12,'PW_MLG GRADE 10'!$B$7:$B$31,'PW_MLG GRADE 10'!#REF!,"",0,1)&lt;=TODAY()-MOD(WEEKDAY(TODAY(),2)-5,7)),$D12,0)</f>
        <v>#REF!</v>
      </c>
      <c r="BD62" s="65" t="e">
        <f ca="1">IF(AND($D12&lt;&gt;0,_xlfn.XLOOKUP($B12,'PW_MLG GRADE 10'!$B$7:$B$31,'PW_MLG GRADE 10'!AA$7:AA$31,"",0,1)="P",
   _xlfn.XLOOKUP($B12,'PW_MLG GRADE 10'!$B$7:$B$31,'PW_MLG GRADE 10'!#REF!,"",0,1)&lt;=TODAY()-MOD(WEEKDAY(TODAY(),2)-5,7)),$D12,0)</f>
        <v>#REF!</v>
      </c>
      <c r="BE62" s="65" t="e">
        <f ca="1">IF(AND($D12&lt;&gt;0,_xlfn.XLOOKUP($B12,'PW_MLG GRADE 10'!$B$7:$B$31,'PW_MLG GRADE 10'!AB$7:AB$31,"",0,1)="P",
   _xlfn.XLOOKUP($B12,'PW_MLG GRADE 10'!$B$7:$B$31,'PW_MLG GRADE 10'!#REF!,"",0,1)&lt;=TODAY()-MOD(WEEKDAY(TODAY(),2)-5,7)),$D12,0)</f>
        <v>#REF!</v>
      </c>
      <c r="BF62" s="65" t="e">
        <f ca="1">IF(AND($D12&lt;&gt;0,_xlfn.XLOOKUP($B12,'PW_MLG GRADE 10'!$B$7:$B$31,'PW_MLG GRADE 10'!AC$7:AC$31,"",0,1)="P",
   _xlfn.XLOOKUP($B12,'PW_MLG GRADE 10'!$B$7:$B$31,'PW_MLG GRADE 10'!#REF!,"",0,1)&lt;=TODAY()-MOD(WEEKDAY(TODAY(),2)-5,7)),$D12,0)</f>
        <v>#REF!</v>
      </c>
      <c r="BG62" s="65" t="e">
        <f ca="1">IF(AND($D12&lt;&gt;0,_xlfn.XLOOKUP($B12,'PW_MLG GRADE 10'!$B$7:$B$31,'PW_MLG GRADE 10'!AD$7:AD$31,"",0,1)="P",
   _xlfn.XLOOKUP($B12,'PW_MLG GRADE 10'!$B$7:$B$31,'PW_MLG GRADE 10'!#REF!,"",0,1)&lt;=TODAY()-MOD(WEEKDAY(TODAY(),2)-5,7)),$D12,0)</f>
        <v>#REF!</v>
      </c>
      <c r="BH62" s="65" t="e">
        <f ca="1">IF(AND($D12&lt;&gt;0,_xlfn.XLOOKUP($B12,'PW_MLG GRADE 10'!$B$7:$B$31,'PW_MLG GRADE 10'!AE$7:AE$31,"",0,1)="P",
   _xlfn.XLOOKUP($B12,'PW_MLG GRADE 10'!$B$7:$B$31,'PW_MLG GRADE 10'!#REF!,"",0,1)&lt;=TODAY()-MOD(WEEKDAY(TODAY(),2)-5,7)),$D12,0)</f>
        <v>#REF!</v>
      </c>
      <c r="BI62" s="65" t="e">
        <f ca="1">IF(AND($D12&lt;&gt;0,_xlfn.XLOOKUP($B12,'PW_MLG GRADE 10'!$B$7:$B$31,'PW_MLG GRADE 10'!AF$7:AF$31,"",0,1)="P",
   _xlfn.XLOOKUP($B12,'PW_MLG GRADE 10'!$B$7:$B$31,'PW_MLG GRADE 10'!#REF!,"",0,1)&lt;=TODAY()-MOD(WEEKDAY(TODAY(),2)-5,7)),$D12,0)</f>
        <v>#REF!</v>
      </c>
      <c r="BJ62" s="65" t="e">
        <f ca="1">IF(AND($D12&lt;&gt;0,_xlfn.XLOOKUP($B12,'PW_MLG GRADE 10'!$B$7:$B$31,'PW_MLG GRADE 10'!AG$7:AG$31,"",0,1)="P",
   _xlfn.XLOOKUP($B12,'PW_MLG GRADE 10'!$B$7:$B$31,'PW_MLG GRADE 10'!#REF!,"",0,1)&lt;=TODAY()-MOD(WEEKDAY(TODAY(),2)-5,7)),$D12,0)</f>
        <v>#REF!</v>
      </c>
      <c r="BK62" s="65" t="e">
        <f ca="1">IF(AND($D12&lt;&gt;0,_xlfn.XLOOKUP($B12,'PW_MLG GRADE 10'!$B$7:$B$31,'PW_MLG GRADE 10'!AH$7:AH$31,"",0,1)="P",
   _xlfn.XLOOKUP($B12,'PW_MLG GRADE 10'!$B$7:$B$31,'PW_MLG GRADE 10'!#REF!,"",0,1)&lt;=TODAY()-MOD(WEEKDAY(TODAY(),2)-5,7)),$D12,0)</f>
        <v>#REF!</v>
      </c>
      <c r="BL62" s="65" t="e">
        <f ca="1">IF(AND($D12&lt;&gt;0,_xlfn.XLOOKUP($B12,'PW_MLG GRADE 10'!$B$7:$B$31,'PW_MLG GRADE 10'!AI$7:AI$31,"",0,1)="P",
   _xlfn.XLOOKUP($B12,'PW_MLG GRADE 10'!$B$7:$B$31,'PW_MLG GRADE 10'!#REF!,"",0,1)&lt;=TODAY()-MOD(WEEKDAY(TODAY(),2)-5,7)),$D12,0)</f>
        <v>#REF!</v>
      </c>
      <c r="BM62" s="65" t="e">
        <f ca="1">IF(AND($D12&lt;&gt;0,_xlfn.XLOOKUP($B12,'PW_MLG GRADE 10'!$B$7:$B$31,'PW_MLG GRADE 10'!AJ$7:AJ$31,"",0,1)="P",
   _xlfn.XLOOKUP($B12,'PW_MLG GRADE 10'!$B$7:$B$31,'PW_MLG GRADE 10'!#REF!,"",0,1)&lt;=TODAY()-MOD(WEEKDAY(TODAY(),2)-5,7)),$D12,0)</f>
        <v>#REF!</v>
      </c>
      <c r="BN62" s="65" t="e">
        <f ca="1">IF(AND($D12&lt;&gt;0,_xlfn.XLOOKUP($B12,'PW_MLG GRADE 10'!$B$7:$B$31,'PW_MLG GRADE 10'!AK$7:AK$31,"",0,1)="P",
   _xlfn.XLOOKUP($B12,'PW_MLG GRADE 10'!$B$7:$B$31,'PW_MLG GRADE 10'!#REF!,"",0,1)&lt;=TODAY()-MOD(WEEKDAY(TODAY(),2)-5,7)),$D12,0)</f>
        <v>#REF!</v>
      </c>
      <c r="BO62" s="65" t="e">
        <f ca="1">IF(AND($D12&lt;&gt;0,_xlfn.XLOOKUP($B12,'PW_MLG GRADE 10'!$B$7:$B$31,'PW_MLG GRADE 10'!AL$7:AL$31,"",0,1)="P",
   _xlfn.XLOOKUP($B12,'PW_MLG GRADE 10'!$B$7:$B$31,'PW_MLG GRADE 10'!#REF!,"",0,1)&lt;=TODAY()-MOD(WEEKDAY(TODAY(),2)-5,7)),$D12,0)</f>
        <v>#REF!</v>
      </c>
      <c r="BP62" s="65" t="e">
        <f ca="1">IF(AND($D12&lt;&gt;0,_xlfn.XLOOKUP($B12,'PW_MLG GRADE 10'!$B$7:$B$31,'PW_MLG GRADE 10'!AM$7:AM$31,"",0,1)="P",
   _xlfn.XLOOKUP($B12,'PW_MLG GRADE 10'!$B$7:$B$31,'PW_MLG GRADE 10'!#REF!,"",0,1)&lt;=TODAY()-MOD(WEEKDAY(TODAY(),2)-5,7)),$D12,0)</f>
        <v>#REF!</v>
      </c>
      <c r="BQ62" s="65" t="e">
        <f ca="1">IF(AND($D12&lt;&gt;0,_xlfn.XLOOKUP($B12,'PW_MLG GRADE 10'!$B$7:$B$31,'PW_MLG GRADE 10'!AN$7:AN$31,"",0,1)="P",
   _xlfn.XLOOKUP($B12,'PW_MLG GRADE 10'!$B$7:$B$31,'PW_MLG GRADE 10'!#REF!,"",0,1)&lt;=TODAY()-MOD(WEEKDAY(TODAY(),2)-5,7)),$D12,0)</f>
        <v>#REF!</v>
      </c>
      <c r="BR62" s="65" t="e">
        <f ca="1">IF(AND($D12&lt;&gt;0,_xlfn.XLOOKUP($B12,'PW_MLG GRADE 10'!$B$7:$B$31,'PW_MLG GRADE 10'!AO$7:AO$31,"",0,1)="P",
   _xlfn.XLOOKUP($B12,'PW_MLG GRADE 10'!$B$7:$B$31,'PW_MLG GRADE 10'!#REF!,"",0,1)&lt;=TODAY()-MOD(WEEKDAY(TODAY(),2)-5,7)),$D12,0)</f>
        <v>#REF!</v>
      </c>
      <c r="BS62" s="65" t="e">
        <f ca="1">IF(AND($D12&lt;&gt;0,_xlfn.XLOOKUP($B12,'PW_MLG GRADE 10'!$B$7:$B$31,'PW_MLG GRADE 10'!AP$7:AP$31,"",0,1)="P",
   _xlfn.XLOOKUP($B12,'PW_MLG GRADE 10'!$B$7:$B$31,'PW_MLG GRADE 10'!#REF!,"",0,1)&lt;=TODAY()-MOD(WEEKDAY(TODAY(),2)-5,7)),$D12,0)</f>
        <v>#REF!</v>
      </c>
      <c r="BT62" s="65" t="e">
        <f ca="1">IF(AND($D12&lt;&gt;0,_xlfn.XLOOKUP($B12,'PW_MLG GRADE 10'!$B$7:$B$31,'PW_MLG GRADE 10'!AQ$7:AQ$31,"",0,1)="P",
   _xlfn.XLOOKUP($B12,'PW_MLG GRADE 10'!$B$7:$B$31,'PW_MLG GRADE 10'!#REF!,"",0,1)&lt;=TODAY()-MOD(WEEKDAY(TODAY(),2)-5,7)),$D12,0)</f>
        <v>#REF!</v>
      </c>
      <c r="BU62" s="65" t="e">
        <f ca="1">IF(AND($D12&lt;&gt;0,_xlfn.XLOOKUP($B12,'PW_MLG GRADE 10'!$B$7:$B$31,'PW_MLG GRADE 10'!AR$7:AR$31,"",0,1)="P",
   _xlfn.XLOOKUP($B12,'PW_MLG GRADE 10'!$B$7:$B$31,'PW_MLG GRADE 10'!#REF!,"",0,1)&lt;=TODAY()-MOD(WEEKDAY(TODAY(),2)-5,7)),$D12,0)</f>
        <v>#REF!</v>
      </c>
      <c r="BV62" s="65" t="e">
        <f ca="1">IF(AND($D12&lt;&gt;0,_xlfn.XLOOKUP($B12,'PW_MLG GRADE 10'!$B$7:$B$31,'PW_MLG GRADE 10'!AY$7:AY$31,"",0,1)="P",
   _xlfn.XLOOKUP($B12,'PW_MLG GRADE 10'!$B$7:$B$31,'PW_MLG GRADE 10'!#REF!,"",0,1)&lt;=TODAY()-MOD(WEEKDAY(TODAY(),2)-5,7)),$D12,0)</f>
        <v>#REF!</v>
      </c>
      <c r="BW62" s="65" t="e">
        <f ca="1">IF(AND($D12&lt;&gt;0,_xlfn.XLOOKUP($B12,'PW_MLG GRADE 10'!$B$7:$B$31,'PW_MLG GRADE 10'!AZ$7:AZ$31,"",0,1)="P",
   _xlfn.XLOOKUP($B12,'PW_MLG GRADE 10'!$B$7:$B$31,'PW_MLG GRADE 10'!#REF!,"",0,1)&lt;=TODAY()-MOD(WEEKDAY(TODAY(),2)-5,7)),$D12,0)</f>
        <v>#REF!</v>
      </c>
      <c r="BX62" s="65" t="e">
        <f ca="1">IF(AND($D12&lt;&gt;0,_xlfn.XLOOKUP($B12,'PW_MLG GRADE 10'!$B$7:$B$31,'PW_MLG GRADE 10'!BA$7:BA$31,"",0,1)="P",
   _xlfn.XLOOKUP($B12,'PW_MLG GRADE 10'!$B$7:$B$31,'PW_MLG GRADE 10'!#REF!,"",0,1)&lt;=TODAY()-MOD(WEEKDAY(TODAY(),2)-5,7)),$D12,0)</f>
        <v>#REF!</v>
      </c>
      <c r="BY62" s="65" t="e">
        <f ca="1">IF(AND($D12&lt;&gt;0,_xlfn.XLOOKUP($B12,'PW_MLG GRADE 10'!$B$7:$B$31,'PW_MLG GRADE 10'!BB$7:BB$31,"",0,1)="P",
   _xlfn.XLOOKUP($B12,'PW_MLG GRADE 10'!$B$7:$B$31,'PW_MLG GRADE 10'!#REF!,"",0,1)&lt;=TODAY()-MOD(WEEKDAY(TODAY(),2)-5,7)),$D12,0)</f>
        <v>#REF!</v>
      </c>
      <c r="BZ62" s="65" t="e">
        <f ca="1">IF(AND($D12&lt;&gt;0,_xlfn.XLOOKUP($B12,'PW_MLG GRADE 10'!$B$7:$B$31,'PW_MLG GRADE 10'!BC$7:BC$31,"",0,1)="P",
   _xlfn.XLOOKUP($B12,'PW_MLG GRADE 10'!$B$7:$B$31,'PW_MLG GRADE 10'!#REF!,"",0,1)&lt;=TODAY()-MOD(WEEKDAY(TODAY(),2)-5,7)),$D12,0)</f>
        <v>#REF!</v>
      </c>
      <c r="CA62" s="65" t="e">
        <f ca="1">IF(AND($D12&lt;&gt;0,_xlfn.XLOOKUP($B12,'PW_MLG GRADE 10'!$B$7:$B$31,'PW_MLG GRADE 10'!BD$7:BD$31,"",0,1)="P",
   _xlfn.XLOOKUP($B12,'PW_MLG GRADE 10'!$B$7:$B$31,'PW_MLG GRADE 10'!#REF!,"",0,1)&lt;=TODAY()-MOD(WEEKDAY(TODAY(),2)-5,7)),$D12,0)</f>
        <v>#REF!</v>
      </c>
      <c r="CB62" s="65" t="e">
        <f ca="1">IF(AND($D12&lt;&gt;0,_xlfn.XLOOKUP($B12,'PW_MLG GRADE 10'!$B$7:$B$31,'PW_MLG GRADE 10'!BE$7:BE$31,"",0,1)="P",
   _xlfn.XLOOKUP($B12,'PW_MLG GRADE 10'!$B$7:$B$31,'PW_MLG GRADE 10'!#REF!,"",0,1)&lt;=TODAY()-MOD(WEEKDAY(TODAY(),2)-5,7)),$D12,0)</f>
        <v>#REF!</v>
      </c>
      <c r="CC62" s="65" t="e">
        <f ca="1">IF(AND($D12&lt;&gt;0,_xlfn.XLOOKUP($B12,'PW_MLG GRADE 10'!$B$7:$B$31,'PW_MLG GRADE 10'!BF$7:BF$31,"",0,1)="P",
   _xlfn.XLOOKUP($B12,'PW_MLG GRADE 10'!$B$7:$B$31,'PW_MLG GRADE 10'!#REF!,"",0,1)&lt;=TODAY()-MOD(WEEKDAY(TODAY(),2)-5,7)),$D12,0)</f>
        <v>#REF!</v>
      </c>
      <c r="CD62" s="65" t="e">
        <f ca="1">IF(AND($D12&lt;&gt;0,_xlfn.XLOOKUP($B12,'PW_MLG GRADE 10'!$B$7:$B$31,'PW_MLG GRADE 10'!BG$7:BG$31,"",0,1)="P",
   _xlfn.XLOOKUP($B12,'PW_MLG GRADE 10'!$B$7:$B$31,'PW_MLG GRADE 10'!#REF!,"",0,1)&lt;=TODAY()-MOD(WEEKDAY(TODAY(),2)-5,7)),$D12,0)</f>
        <v>#REF!</v>
      </c>
      <c r="CE62" s="67">
        <f ca="1">IF(AND($D12&lt;&gt;0,_xlfn.XLOOKUP($B12,'PW_CMI GRADE 10'!$B$7:$B$31,'PW_CMI GRADE 10'!AY$7:AY$31,"",0,1)="P",
   _xlfn.XLOOKUP($B12,'PW_CMI GRADE 10'!$B$7:$B$31,'PW_CMI GRADE 10'!$U$7:$U$31,"",0,1)&lt;=TODAY()-MOD(WEEKDAY(TODAY(),2)-5,7)),$D12,0)</f>
        <v>0</v>
      </c>
      <c r="CF62" s="67">
        <f ca="1">IF(AND($D12&lt;&gt;0,_xlfn.XLOOKUP($B12,'PW_CMI GRADE 10'!$B$7:$B$31,'PW_CMI GRADE 10'!AZ$7:AZ$31,"",0,1)="P",
   _xlfn.XLOOKUP($B12,'PW_CMI GRADE 10'!$B$7:$B$31,'PW_CMI GRADE 10'!$V$7:$V$31,"",0,1)&lt;=TODAY()-MOD(WEEKDAY(TODAY(),2)-5,7)),$D12,0)</f>
        <v>0</v>
      </c>
      <c r="CG62" s="67">
        <f ca="1">IF(AND($D12&lt;&gt;0,_xlfn.XLOOKUP($B12,'PW_CMI GRADE 10'!$B$7:$B$31,'PW_CMI GRADE 10'!BA$7:BA$31,"",0,1)="P",
   _xlfn.XLOOKUP($B12,'PW_CMI GRADE 10'!$B$7:$B$31,'PW_CMI GRADE 10'!$W$7:$W$31,"",0,1)&lt;=TODAY()-MOD(WEEKDAY(TODAY(),2)-5,7)),$D12,0)</f>
        <v>0</v>
      </c>
      <c r="CH62" s="67">
        <f ca="1">IF(AND($D12&lt;&gt;0,_xlfn.XLOOKUP($B12,'PW_CMI GRADE 10'!$B$7:$B$31,'PW_CMI GRADE 10'!BB$7:BB$31,"",0,1)="P",
   _xlfn.XLOOKUP($B12,'PW_CMI GRADE 10'!$B$7:$B$31,'PW_CMI GRADE 10'!$U$7:$U$31,"",0,1)&lt;=TODAY()-MOD(WEEKDAY(TODAY(),2)-5,7)),$D12,0)</f>
        <v>0</v>
      </c>
      <c r="CI62" s="67">
        <f ca="1">IF(AND($D12&lt;&gt;0,_xlfn.XLOOKUP($B12,'PW_CMI GRADE 10'!$B$7:$B$31,'PW_CMI GRADE 10'!BC$7:BC$31,"",0,1)="P",
   _xlfn.XLOOKUP($B12,'PW_CMI GRADE 10'!$B$7:$B$31,'PW_CMI GRADE 10'!$V$7:$V$31,"",0,1)&lt;=TODAY()-MOD(WEEKDAY(TODAY(),2)-5,7)),$D12,0)</f>
        <v>0</v>
      </c>
      <c r="CJ62" s="67">
        <f ca="1">IF(AND($D12&lt;&gt;0,_xlfn.XLOOKUP($B12,'PW_CMI GRADE 10'!$B$7:$B$31,'PW_CMI GRADE 10'!BD$7:BD$31,"",0,1)="P",
   _xlfn.XLOOKUP($B12,'PW_CMI GRADE 10'!$B$7:$B$31,'PW_CMI GRADE 10'!$W$7:$W$31,"",0,1)&lt;=TODAY()-MOD(WEEKDAY(TODAY(),2)-5,7)),$D12,0)</f>
        <v>0</v>
      </c>
      <c r="CK62" s="67">
        <f ca="1">IF(AND($D12&lt;&gt;0,_xlfn.XLOOKUP($B12,'PW_CMI GRADE 10'!$B$7:$B$31,'PW_CMI GRADE 10'!BE$7:BE$31,"",0,1)="P",
   _xlfn.XLOOKUP($B12,'PW_CMI GRADE 10'!$B$7:$B$31,'PW_CMI GRADE 10'!$U$7:$U$31,"",0,1)&lt;=TODAY()-MOD(WEEKDAY(TODAY(),2)-5,7)),$D12,0)</f>
        <v>0</v>
      </c>
      <c r="CL62" s="67">
        <f ca="1">IF(AND($D12&lt;&gt;0,_xlfn.XLOOKUP($B12,'PW_CMI GRADE 10'!$B$7:$B$31,'PW_CMI GRADE 10'!BF$7:BF$31,"",0,1)="P",
   _xlfn.XLOOKUP($B12,'PW_CMI GRADE 10'!$B$7:$B$31,'PW_CMI GRADE 10'!$V$7:$V$31,"",0,1)&lt;=TODAY()-MOD(WEEKDAY(TODAY(),2)-5,7)),$D12,0)</f>
        <v>0</v>
      </c>
      <c r="CM62" s="67">
        <f ca="1">IF(AND($D12&lt;&gt;0,_xlfn.XLOOKUP($B12,'PW_CMI GRADE 10'!$B$7:$B$31,'PW_CMI GRADE 10'!BG$7:BG$31,"",0,1)="P",
   _xlfn.XLOOKUP($B12,'PW_CMI GRADE 10'!$B$7:$B$31,'PW_CMI GRADE 10'!$W$7:$W$31,"",0,1)&lt;=TODAY()-MOD(WEEKDAY(TODAY(),2)-5,7)),$D12,0)</f>
        <v>0</v>
      </c>
      <c r="CN62" s="67">
        <f ca="1">IF(AND($D12&lt;&gt;0,_xlfn.XLOOKUP($B12,'PW_CMI GRADE 10'!$B$7:$B$31,'PW_CMI GRADE 10'!BH$7:BH$31,"",0,1)="P",
   _xlfn.XLOOKUP($B12,'PW_CMI GRADE 10'!$B$7:$B$31,'PW_CMI GRADE 10'!$U$7:$U$31,"",0,1)&lt;=TODAY()-MOD(WEEKDAY(TODAY(),2)-5,7)),$D12,0)</f>
        <v>0</v>
      </c>
      <c r="CO62" s="67">
        <f ca="1">IF(AND($D12&lt;&gt;0,_xlfn.XLOOKUP($B12,'PW_CMI GRADE 10'!$B$7:$B$31,'PW_CMI GRADE 10'!BI$7:BI$31,"",0,1)="P",
   _xlfn.XLOOKUP($B12,'PW_CMI GRADE 10'!$B$7:$B$31,'PW_CMI GRADE 10'!$V$7:$V$31,"",0,1)&lt;=TODAY()-MOD(WEEKDAY(TODAY(),2)-5,7)),$D12,0)</f>
        <v>0</v>
      </c>
      <c r="CP62" s="67">
        <f ca="1">IF(AND($D12&lt;&gt;0,_xlfn.XLOOKUP($B12,'PW_CMI GRADE 10'!$B$7:$B$31,'PW_CMI GRADE 10'!BJ$7:BJ$31,"",0,1)="P",
   _xlfn.XLOOKUP($B12,'PW_CMI GRADE 10'!$B$7:$B$31,'PW_CMI GRADE 10'!$W$7:$W$31,"",0,1)&lt;=TODAY()-MOD(WEEKDAY(TODAY(),2)-5,7)),$D12,0)</f>
        <v>0</v>
      </c>
      <c r="CQ62" s="67">
        <f ca="1">IF(AND($D12&lt;&gt;0,_xlfn.XLOOKUP($B12,'PW_CMI GRADE 10'!$B$7:$B$31,'PW_CMI GRADE 10'!BK$7:BK$31,"",0,1)="P",
   _xlfn.XLOOKUP($B12,'PW_CMI GRADE 10'!$B$7:$B$31,'PW_CMI GRADE 10'!$U$7:$U$31,"",0,1)&lt;=TODAY()-MOD(WEEKDAY(TODAY(),2)-5,7)),$D12,0)</f>
        <v>0</v>
      </c>
      <c r="CR62" s="67">
        <f ca="1">IF(AND($D12&lt;&gt;0,_xlfn.XLOOKUP($B12,'PW_CMI GRADE 10'!$B$7:$B$31,'PW_CMI GRADE 10'!BL$7:BL$31,"",0,1)="P",
   _xlfn.XLOOKUP($B12,'PW_CMI GRADE 10'!$B$7:$B$31,'PW_CMI GRADE 10'!$V$7:$V$31,"",0,1)&lt;=TODAY()-MOD(WEEKDAY(TODAY(),2)-5,7)),$D12,0)</f>
        <v>0</v>
      </c>
      <c r="CS62" s="67">
        <f ca="1">IF(AND($D12&lt;&gt;0,_xlfn.XLOOKUP($B12,'PW_CMI GRADE 10'!$B$7:$B$31,'PW_CMI GRADE 10'!BM$7:BM$31,"",0,1)="P",
   _xlfn.XLOOKUP($B12,'PW_CMI GRADE 10'!$B$7:$B$31,'PW_CMI GRADE 10'!$W$7:$W$31,"",0,1)&lt;=TODAY()-MOD(WEEKDAY(TODAY(),2)-5,7)),$D12,0)</f>
        <v>0</v>
      </c>
      <c r="CT62" s="67">
        <f ca="1">IF(AND($D12&lt;&gt;0,_xlfn.XLOOKUP($B12,'PW_CMI GRADE 10'!$B$7:$B$31,'PW_CMI GRADE 10'!BN$7:BN$31,"",0,1)="P",
   _xlfn.XLOOKUP($B12,'PW_CMI GRADE 10'!$B$7:$B$31,'PW_CMI GRADE 10'!$U$7:$U$31,"",0,1)&lt;=TODAY()-MOD(WEEKDAY(TODAY(),2)-5,7)),$D12,0)</f>
        <v>0</v>
      </c>
      <c r="CU62" s="67">
        <f ca="1">IF(AND($D12&lt;&gt;0,_xlfn.XLOOKUP($B12,'PW_CMI GRADE 10'!$B$7:$B$31,'PW_CMI GRADE 10'!BO$7:BO$31,"",0,1)="P",
   _xlfn.XLOOKUP($B12,'PW_CMI GRADE 10'!$B$7:$B$31,'PW_CMI GRADE 10'!$V$7:$V$31,"",0,1)&lt;=TODAY()-MOD(WEEKDAY(TODAY(),2)-5,7)),$D12,0)</f>
        <v>0</v>
      </c>
      <c r="CV62" s="67">
        <f ca="1">IF(AND($D12&lt;&gt;0,_xlfn.XLOOKUP($B12,'PW_CMI GRADE 10'!$B$7:$B$31,'PW_CMI GRADE 10'!BP$7:BP$31,"",0,1)="P",
   _xlfn.XLOOKUP($B12,'PW_CMI GRADE 10'!$B$7:$B$31,'PW_CMI GRADE 10'!$W$7:$W$31,"",0,1)&lt;=TODAY()-MOD(WEEKDAY(TODAY(),2)-5,7)),$D12,0)</f>
        <v>0</v>
      </c>
      <c r="CW62" s="62" t="e">
        <f t="shared" ca="1" si="132"/>
        <v>#REF!</v>
      </c>
      <c r="CX62" s="62" t="e">
        <f t="shared" ca="1" si="69"/>
        <v>#REF!</v>
      </c>
      <c r="CY62" s="62" t="e">
        <f t="shared" ca="1" si="70"/>
        <v>#REF!</v>
      </c>
      <c r="CZ62" s="62" t="e">
        <f t="shared" ca="1" si="71"/>
        <v>#REF!</v>
      </c>
      <c r="DA62" s="62" t="e">
        <f t="shared" ca="1" si="72"/>
        <v>#REF!</v>
      </c>
      <c r="DB62" s="62" t="e">
        <f t="shared" ca="1" si="73"/>
        <v>#REF!</v>
      </c>
      <c r="DC62" s="62" t="e">
        <f t="shared" ca="1" si="74"/>
        <v>#REF!</v>
      </c>
      <c r="DD62" s="62" t="e">
        <f t="shared" ca="1" si="75"/>
        <v>#REF!</v>
      </c>
      <c r="DE62" s="62" t="e">
        <f t="shared" ca="1" si="76"/>
        <v>#REF!</v>
      </c>
      <c r="DF62" s="62" t="e">
        <f t="shared" ca="1" si="77"/>
        <v>#REF!</v>
      </c>
      <c r="DG62" s="62" t="e">
        <f t="shared" ca="1" si="78"/>
        <v>#REF!</v>
      </c>
      <c r="DH62" s="62" t="e">
        <f t="shared" ca="1" si="79"/>
        <v>#REF!</v>
      </c>
      <c r="DI62" s="62" t="e">
        <f t="shared" ca="1" si="80"/>
        <v>#REF!</v>
      </c>
      <c r="DJ62" s="62" t="e">
        <f t="shared" ca="1" si="81"/>
        <v>#REF!</v>
      </c>
      <c r="DK62" s="62" t="e">
        <f t="shared" ca="1" si="82"/>
        <v>#REF!</v>
      </c>
      <c r="DL62" s="62" t="e">
        <f t="shared" ca="1" si="83"/>
        <v>#REF!</v>
      </c>
      <c r="DM62" s="62" t="e">
        <f t="shared" ca="1" si="84"/>
        <v>#REF!</v>
      </c>
      <c r="DN62" s="62" t="e">
        <f t="shared" ca="1" si="85"/>
        <v>#REF!</v>
      </c>
      <c r="DO62" s="62" t="e">
        <f t="shared" ca="1" si="86"/>
        <v>#REF!</v>
      </c>
      <c r="DP62" s="62" t="e">
        <f t="shared" ca="1" si="87"/>
        <v>#REF!</v>
      </c>
      <c r="DQ62" s="62" t="e">
        <f t="shared" ca="1" si="88"/>
        <v>#REF!</v>
      </c>
      <c r="DR62" s="62" t="e">
        <f t="shared" ca="1" si="89"/>
        <v>#REF!</v>
      </c>
      <c r="DS62" s="62" t="e">
        <f t="shared" ca="1" si="90"/>
        <v>#REF!</v>
      </c>
      <c r="DT62" s="62" t="e">
        <f t="shared" ca="1" si="91"/>
        <v>#REF!</v>
      </c>
      <c r="DU62" s="62" t="e">
        <f t="shared" ca="1" si="92"/>
        <v>#REF!</v>
      </c>
      <c r="DV62" s="62" t="e">
        <f t="shared" ca="1" si="93"/>
        <v>#REF!</v>
      </c>
      <c r="DW62" s="62" t="e">
        <f t="shared" ca="1" si="94"/>
        <v>#REF!</v>
      </c>
      <c r="DX62" s="62" t="e">
        <f t="shared" ca="1" si="95"/>
        <v>#REF!</v>
      </c>
      <c r="DY62" s="62" t="e">
        <f t="shared" ca="1" si="96"/>
        <v>#REF!</v>
      </c>
      <c r="DZ62" s="62" t="e">
        <f t="shared" ca="1" si="97"/>
        <v>#REF!</v>
      </c>
      <c r="EA62" s="63" t="e">
        <f t="shared" ca="1" si="98"/>
        <v>#REF!</v>
      </c>
      <c r="EB62" s="63" t="e">
        <f t="shared" ca="1" si="99"/>
        <v>#REF!</v>
      </c>
      <c r="EC62" s="63" t="e">
        <f t="shared" ca="1" si="100"/>
        <v>#REF!</v>
      </c>
      <c r="ED62" s="63" t="e">
        <f t="shared" ca="1" si="101"/>
        <v>#REF!</v>
      </c>
      <c r="EE62" s="63" t="e">
        <f t="shared" ca="1" si="102"/>
        <v>#REF!</v>
      </c>
      <c r="EF62" s="63" t="e">
        <f t="shared" ca="1" si="103"/>
        <v>#REF!</v>
      </c>
      <c r="EG62" s="63" t="e">
        <f t="shared" ca="1" si="104"/>
        <v>#REF!</v>
      </c>
      <c r="EH62" s="63" t="e">
        <f t="shared" ca="1" si="105"/>
        <v>#REF!</v>
      </c>
      <c r="EI62" s="63" t="e">
        <f t="shared" ca="1" si="106"/>
        <v>#REF!</v>
      </c>
      <c r="EJ62" s="63" t="e">
        <f t="shared" ca="1" si="107"/>
        <v>#REF!</v>
      </c>
      <c r="EK62" s="63" t="e">
        <f t="shared" ca="1" si="108"/>
        <v>#REF!</v>
      </c>
      <c r="EL62" s="63" t="e">
        <f t="shared" ca="1" si="109"/>
        <v>#REF!</v>
      </c>
      <c r="EM62" s="63" t="e">
        <f t="shared" ca="1" si="110"/>
        <v>#REF!</v>
      </c>
      <c r="EN62" s="63" t="e">
        <f t="shared" ca="1" si="111"/>
        <v>#REF!</v>
      </c>
      <c r="EO62" s="63" t="e">
        <f t="shared" ca="1" si="112"/>
        <v>#REF!</v>
      </c>
      <c r="EP62" s="63" t="e">
        <f t="shared" ca="1" si="113"/>
        <v>#REF!</v>
      </c>
      <c r="ET62" t="str">
        <v>3A.3</v>
      </c>
      <c r="EU62" s="38" t="e">
        <f t="shared" ca="1" si="114"/>
        <v>#REF!</v>
      </c>
      <c r="EV62" s="38" t="e">
        <f t="shared" ca="1" si="115"/>
        <v>#REF!</v>
      </c>
      <c r="EW62" s="38" t="e">
        <f t="shared" ca="1" si="116"/>
        <v>#REF!</v>
      </c>
      <c r="EX62" s="38" t="e">
        <f t="shared" ca="1" si="117"/>
        <v>#REF!</v>
      </c>
      <c r="EY62" s="38" t="e">
        <f t="shared" ca="1" si="118"/>
        <v>#REF!</v>
      </c>
      <c r="EZ62" s="38" t="e">
        <f t="shared" ca="1" si="119"/>
        <v>#REF!</v>
      </c>
      <c r="FA62" s="38" t="e">
        <f t="shared" ca="1" si="120"/>
        <v>#REF!</v>
      </c>
      <c r="FB62" s="38" t="e">
        <f t="shared" ca="1" si="121"/>
        <v>#REF!</v>
      </c>
      <c r="FC62" s="38" t="e">
        <f t="shared" ca="1" si="122"/>
        <v>#REF!</v>
      </c>
      <c r="FD62" s="38" t="e">
        <f t="shared" ca="1" si="123"/>
        <v>#REF!</v>
      </c>
      <c r="FE62" s="38">
        <f t="shared" ca="1" si="133"/>
        <v>0</v>
      </c>
      <c r="FF62" s="38" t="e">
        <f t="shared" ca="1" si="124"/>
        <v>#REF!</v>
      </c>
      <c r="FG62" s="38" t="e">
        <f t="shared" ca="1" si="125"/>
        <v>#REF!</v>
      </c>
      <c r="FH62" s="38" t="e">
        <f t="shared" ca="1" si="126"/>
        <v>#REF!</v>
      </c>
      <c r="FI62" s="38" t="e">
        <f t="shared" ca="1" si="127"/>
        <v>#REF!</v>
      </c>
      <c r="FJ62" s="38" t="e">
        <f t="shared" ca="1" si="128"/>
        <v>#REF!</v>
      </c>
      <c r="FK62" s="38" t="e">
        <f t="shared" ca="1" si="129"/>
        <v>#REF!</v>
      </c>
      <c r="FL62" s="38">
        <f t="shared" ca="1" si="130"/>
        <v>0</v>
      </c>
      <c r="FM62" s="38">
        <v>1</v>
      </c>
      <c r="FN62" s="38">
        <f t="shared" si="134"/>
        <v>0.66666666666666663</v>
      </c>
      <c r="FO62" s="38">
        <f t="shared" si="135"/>
        <v>0.33333333333333331</v>
      </c>
    </row>
    <row r="63" spans="1:223">
      <c r="A63" s="64" t="str">
        <f t="shared" si="131"/>
        <v>2.3</v>
      </c>
      <c r="B63" s="64" t="s">
        <v>44</v>
      </c>
      <c r="C63" s="30">
        <v>2</v>
      </c>
      <c r="D63" s="30">
        <v>1</v>
      </c>
      <c r="E63" s="65">
        <f ca="1">IF(AND($D13&lt;&gt;0,_xlfn.XLOOKUP($B13,'TH_MLG GRADE 10'!$B$7:$B$49,'TH_MLG GRADE 10'!C$7:C$49,"",0,1)="P",
   _xlfn.XLOOKUP($B13,'TH_MLG GRADE 10'!$B$7:$B$49,'TH_MLG GRADE 10'!$BK$7:$BK$49,"",0,1)&lt;=TODAY()-MOD(WEEKDAY(TODAY(),2)-5,7)),$D13,0)</f>
        <v>0</v>
      </c>
      <c r="F63" s="65">
        <f ca="1">IF(AND($D13&lt;&gt;0,_xlfn.XLOOKUP($B13,'TH_MLG GRADE 10'!$B$7:$B$49,'TH_MLG GRADE 10'!D$7:D$49,"",0,1)="P",
   _xlfn.XLOOKUP($B13,'TH_MLG GRADE 10'!$B$7:$B$49,'TH_MLG GRADE 10'!$BL$7:$BL$49,"",0,1)&lt;=TODAY()-MOD(WEEKDAY(TODAY(),2)-5,7)),$D13,0)</f>
        <v>0</v>
      </c>
      <c r="G63" s="65">
        <f ca="1">IF(AND($D13&lt;&gt;0,_xlfn.XLOOKUP($B13,'TH_MLG GRADE 10'!$B$7:$B$49,'TH_MLG GRADE 10'!E$7:E$49,"",0,1)="P",
   _xlfn.XLOOKUP($B13,'TH_MLG GRADE 10'!$B$7:$B$49,'TH_MLG GRADE 10'!$BM$7:$BM$49,"",0,1)&lt;=TODAY()-MOD(WEEKDAY(TODAY(),2)-5,7)),$D13,0)</f>
        <v>0</v>
      </c>
      <c r="H63" s="65">
        <f ca="1">IF(AND($D13&lt;&gt;0,_xlfn.XLOOKUP($B13,'TH_MLG GRADE 10'!$B$7:$B$49,'TH_MLG GRADE 10'!I$7:I$49,"",0,1)="P",
   _xlfn.XLOOKUP($B13,'TH_MLG GRADE 10'!$B$7:$B$49,'TH_MLG GRADE 10'!$BK$7:$BK$49,"",0,1)&lt;=TODAY()-MOD(WEEKDAY(TODAY(),2)-5,7)),$D13,0)</f>
        <v>0</v>
      </c>
      <c r="I63" s="65">
        <f ca="1">IF(AND($D13&lt;&gt;0,_xlfn.XLOOKUP($B13,'TH_MLG GRADE 10'!$B$7:$B$49,'TH_MLG GRADE 10'!J$7:J$49,"",0,1)="P",
   _xlfn.XLOOKUP($B13,'TH_MLG GRADE 10'!$B$7:$B$49,'TH_MLG GRADE 10'!$BL$7:$BL$49,"",0,1)&lt;=TODAY()-MOD(WEEKDAY(TODAY(),2)-5,7)),$D13,0)</f>
        <v>0</v>
      </c>
      <c r="J63" s="65">
        <f ca="1">IF(AND($D13&lt;&gt;0,_xlfn.XLOOKUP($B13,'TH_MLG GRADE 10'!$B$7:$B$49,'TH_MLG GRADE 10'!K$7:K$49,"",0,1)="P",
   _xlfn.XLOOKUP($B13,'TH_MLG GRADE 10'!$B$7:$B$49,'TH_MLG GRADE 10'!$BM$7:$BM$49,"",0,1)&lt;=TODAY()-MOD(WEEKDAY(TODAY(),2)-5,7)),$D13,0)</f>
        <v>0</v>
      </c>
      <c r="K63" s="65">
        <f ca="1">IF(AND($D13&lt;&gt;0,_xlfn.XLOOKUP($B13,'TH_MLG GRADE 10'!$B$7:$B$49,'TH_MLG GRADE 10'!O$7:O$49,"",0,1)="P",
   _xlfn.XLOOKUP($B13,'TH_MLG GRADE 10'!$B$7:$B$49,'TH_MLG GRADE 10'!$BK$7:$BK$49,"",0,1)&lt;=TODAY()-MOD(WEEKDAY(TODAY(),2)-5,7)),$D13,0)</f>
        <v>0</v>
      </c>
      <c r="L63" s="65">
        <f ca="1">IF(AND($D13&lt;&gt;0,_xlfn.XLOOKUP($B13,'TH_MLG GRADE 10'!$B$7:$B$49,'TH_MLG GRADE 10'!P$7:P$49,"",0,1)="P",
   _xlfn.XLOOKUP($B13,'TH_MLG GRADE 10'!$B$7:$B$49,'TH_MLG GRADE 10'!$BL$7:$BL$49,"",0,1)&lt;=TODAY()-MOD(WEEKDAY(TODAY(),2)-5,7)),$D13,0)</f>
        <v>0</v>
      </c>
      <c r="M63" s="65">
        <f ca="1">IF(AND($D13&lt;&gt;0,_xlfn.XLOOKUP($B13,'TH_MLG GRADE 10'!$B$7:$B$49,'TH_MLG GRADE 10'!Q$7:Q$49,"",0,1)="P",
   _xlfn.XLOOKUP($B13,'TH_MLG GRADE 10'!$B$7:$B$49,'TH_MLG GRADE 10'!$BM$7:$BM$49,"",0,1)&lt;=TODAY()-MOD(WEEKDAY(TODAY(),2)-5,7)),$D13,0)</f>
        <v>0</v>
      </c>
      <c r="N63" s="65">
        <f ca="1">IF(AND($D13&lt;&gt;0,_xlfn.XLOOKUP($B13,'TH_MLG GRADE 10'!$B$7:$B$49,'TH_MLG GRADE 10'!AA$7:AA$49,"",0,1)="P",
   _xlfn.XLOOKUP($B13,'TH_MLG GRADE 10'!$B$7:$B$49,'TH_MLG GRADE 10'!$BK$7:$BK$49,"",0,1)&lt;=TODAY()-MOD(WEEKDAY(TODAY(),2)-5,7)),$D13,0)</f>
        <v>0</v>
      </c>
      <c r="O63" s="65">
        <f ca="1">IF(AND($D13&lt;&gt;0,_xlfn.XLOOKUP($B13,'TH_MLG GRADE 10'!$B$7:$B$49,'TH_MLG GRADE 10'!AB$7:AB$49,"",0,1)="P",
   _xlfn.XLOOKUP($B13,'TH_MLG GRADE 10'!$B$7:$B$49,'TH_MLG GRADE 10'!$BL$7:$BL$49,"",0,1)&lt;=TODAY()-MOD(WEEKDAY(TODAY(),2)-5,7)),$D13,0)</f>
        <v>0</v>
      </c>
      <c r="P63" s="65">
        <f ca="1">IF(AND($D13&lt;&gt;0,_xlfn.XLOOKUP($B13,'TH_MLG GRADE 10'!$B$7:$B$49,'TH_MLG GRADE 10'!AC$7:AC$49,"",0,1)="P",
   _xlfn.XLOOKUP($B13,'TH_MLG GRADE 10'!$B$7:$B$49,'TH_MLG GRADE 10'!$BM$7:$BM$49,"",0,1)&lt;=TODAY()-MOD(WEEKDAY(TODAY(),2)-5,7)),$D13,0)</f>
        <v>0</v>
      </c>
      <c r="Q63" s="65">
        <f ca="1">IF(AND($D13&lt;&gt;0,_xlfn.XLOOKUP($B13,'TH_MLG GRADE 10'!$B$7:$B$49,'TH_MLG GRADE 10'!AG$7:AG$49,"",0,1)="P",
   _xlfn.XLOOKUP($B13,'TH_MLG GRADE 10'!$B$7:$B$49,'TH_MLG GRADE 10'!$BK$7:$BK$49,"",0,1)&lt;=TODAY()-MOD(WEEKDAY(TODAY(),2)-5,7)),$D13,0)</f>
        <v>0</v>
      </c>
      <c r="R63" s="65">
        <f ca="1">IF(AND($D13&lt;&gt;0,_xlfn.XLOOKUP($B13,'TH_MLG GRADE 10'!$B$7:$B$49,'TH_MLG GRADE 10'!AH$7:AH$49,"",0,1)="P",
   _xlfn.XLOOKUP($B13,'TH_MLG GRADE 10'!$B$7:$B$49,'TH_MLG GRADE 10'!$BL$7:$BL$49,"",0,1)&lt;=TODAY()-MOD(WEEKDAY(TODAY(),2)-5,7)),$D13,0)</f>
        <v>0</v>
      </c>
      <c r="S63" s="65">
        <f ca="1">IF(AND($D13&lt;&gt;0,_xlfn.XLOOKUP($B13,'TH_MLG GRADE 10'!$B$7:$B$49,'TH_MLG GRADE 10'!AI$7:AI$49,"",0,1)="P",
   _xlfn.XLOOKUP($B13,'TH_MLG GRADE 10'!$B$7:$B$49,'TH_MLG GRADE 10'!$BM$7:$BM$49,"",0,1)&lt;=TODAY()-MOD(WEEKDAY(TODAY(),2)-5,7)),$D13,0)</f>
        <v>0</v>
      </c>
      <c r="T63" s="65">
        <f ca="1">IF(AND($D13&lt;&gt;0,_xlfn.XLOOKUP($B13,'TH_MLG GRADE 10'!$B$7:$B$49,'TH_MLG GRADE 10'!AM$7:AM$49,"",0,1)="P",
   _xlfn.XLOOKUP($B13,'TH_MLG GRADE 10'!$B$7:$B$49,'TH_MLG GRADE 10'!$BK$7:$BK$49,"",0,1)&lt;=TODAY()-MOD(WEEKDAY(TODAY(),2)-5,7)),$D13,0)</f>
        <v>0</v>
      </c>
      <c r="U63" s="65">
        <f ca="1">IF(AND($D13&lt;&gt;0,_xlfn.XLOOKUP($B13,'TH_MLG GRADE 10'!$B$7:$B$49,'TH_MLG GRADE 10'!AN$7:AN$49,"",0,1)="P",
   _xlfn.XLOOKUP($B13,'TH_MLG GRADE 10'!$B$7:$B$49,'TH_MLG GRADE 10'!$BL$7:$BL$49,"",0,1)&lt;=TODAY()-MOD(WEEKDAY(TODAY(),2)-5,7)),$D13,0)</f>
        <v>1</v>
      </c>
      <c r="V63" s="65">
        <f ca="1">IF(AND($D13&lt;&gt;0,_xlfn.XLOOKUP($B13,'TH_MLG GRADE 10'!$B$7:$B$49,'TH_MLG GRADE 10'!AO$7:AO$49,"",0,1)="P",
   _xlfn.XLOOKUP($B13,'TH_MLG GRADE 10'!$B$7:$B$49,'TH_MLG GRADE 10'!$BM$7:$BM$49,"",0,1)&lt;=TODAY()-MOD(WEEKDAY(TODAY(),2)-5,7)),$D13,0)</f>
        <v>1</v>
      </c>
      <c r="W63" s="65">
        <f ca="1">IF(AND($D13&lt;&gt;0,_xlfn.XLOOKUP($B13,'TH_MLG GRADE 10'!$B$7:$B$49,'TH_MLG GRADE 10'!AY$7:AY$49,"",0,1)="P",
   _xlfn.XLOOKUP($B13,'TH_MLG GRADE 10'!$B$7:$B$49,'TH_MLG GRADE 10'!$BK$7:$BK$49,"",0,1)&lt;=TODAY()-MOD(WEEKDAY(TODAY(),2)-5,7)),$D13,0)</f>
        <v>1</v>
      </c>
      <c r="X63" s="65">
        <f ca="1">IF(AND($D13&lt;&gt;0,_xlfn.XLOOKUP($B13,'TH_MLG GRADE 10'!$B$7:$B$49,'TH_MLG GRADE 10'!AZ$7:AZ$49,"",0,1)="P",
   _xlfn.XLOOKUP($B13,'TH_MLG GRADE 10'!$B$7:$B$49,'TH_MLG GRADE 10'!$BL$7:$BL$49,"",0,1)&lt;=TODAY()-MOD(WEEKDAY(TODAY(),2)-5,7)),$D13,0)</f>
        <v>1</v>
      </c>
      <c r="Y63" s="65">
        <f ca="1">IF(AND($D13&lt;&gt;0,_xlfn.XLOOKUP($B13,'TH_MLG GRADE 10'!$B$7:$B$49,'TH_MLG GRADE 10'!BA$7:BA$49,"",0,1)="P",
   _xlfn.XLOOKUP($B13,'TH_MLG GRADE 10'!$B$7:$B$49,'TH_MLG GRADE 10'!$BM$7:$BM$49,"",0,1)&lt;=TODAY()-MOD(WEEKDAY(TODAY(),2)-5,7)),$D13,0)</f>
        <v>0</v>
      </c>
      <c r="Z63" s="65">
        <f ca="1">IF(AND($D13&lt;&gt;0,_xlfn.XLOOKUP($B13,'TH_MLG GRADE 10'!$B$7:$B$49,'TH_MLG GRADE 10'!BE$7:BE$49,"",0,1)="P",
   _xlfn.XLOOKUP($B13,'TH_MLG GRADE 10'!$B$7:$B$49,'TH_MLG GRADE 10'!$BK$7:$BK$49,"",0,1)&lt;=TODAY()-MOD(WEEKDAY(TODAY(),2)-5,7)),$D13,0)</f>
        <v>0</v>
      </c>
      <c r="AA63" s="65">
        <f ca="1">IF(AND($D13&lt;&gt;0,_xlfn.XLOOKUP($B13,'TH_MLG GRADE 10'!$B$7:$B$49,'TH_MLG GRADE 10'!BF$7:BF$49,"",0,1)="P",
   _xlfn.XLOOKUP($B13,'TH_MLG GRADE 10'!$B$7:$B$49,'TH_MLG GRADE 10'!$BL$7:$BL$49,"",0,1)&lt;=TODAY()-MOD(WEEKDAY(TODAY(),2)-5,7)),$D13,0)</f>
        <v>0</v>
      </c>
      <c r="AB63" s="65">
        <f ca="1">IF(AND($D13&lt;&gt;0,_xlfn.XLOOKUP($B13,'TH_MLG GRADE 10'!$B$7:$B$49,'TH_MLG GRADE 10'!BG$7:BG$49,"",0,1)="P",
   _xlfn.XLOOKUP($B13,'TH_MLG GRADE 10'!$B$7:$B$49,'TH_MLG GRADE 10'!$BM$7:$BM$49,"",0,1)&lt;=TODAY()-MOD(WEEKDAY(TODAY(),2)-5,7)),$D13,0)</f>
        <v>0</v>
      </c>
      <c r="AC63" s="65" t="e">
        <f ca="1">IF(AND($D13&lt;&gt;0,_xlfn.XLOOKUP($B13,'TH_MLG GRADE 10'!$B$7:$B$49,'TH_MLG GRADE 10'!#REF!,"",0,1)="P",
   _xlfn.XLOOKUP($B13,'TH_MLG GRADE 10'!$B$7:$B$49,'TH_MLG GRADE 10'!$BK$7:$BK$49,"",0,1)&lt;=TODAY()-MOD(WEEKDAY(TODAY(),2)-5,7)),$D13,0)</f>
        <v>#REF!</v>
      </c>
      <c r="AD63" s="65" t="e">
        <f ca="1">IF(AND($D13&lt;&gt;0,_xlfn.XLOOKUP($B13,'TH_MLG GRADE 10'!$B$7:$B$49,'TH_MLG GRADE 10'!#REF!,"",0,1)="P",
   _xlfn.XLOOKUP($B13,'TH_MLG GRADE 10'!$B$7:$B$49,'TH_MLG GRADE 10'!$BL$7:$BL$49,"",0,1)&lt;=TODAY()-MOD(WEEKDAY(TODAY(),2)-5,7)),$D13,0)</f>
        <v>#REF!</v>
      </c>
      <c r="AE63" s="65" t="e">
        <f ca="1">IF(AND($D13&lt;&gt;0,_xlfn.XLOOKUP($B13,'TH_MLG GRADE 10'!$B$7:$B$49,'TH_MLG GRADE 10'!#REF!,"",0,1)="P",
   _xlfn.XLOOKUP($B13,'TH_MLG GRADE 10'!$B$7:$B$49,'TH_MLG GRADE 10'!$BM$7:$BM$49,"",0,1)&lt;=TODAY()-MOD(WEEKDAY(TODAY(),2)-5,7)),$D13,0)</f>
        <v>#REF!</v>
      </c>
      <c r="AF63" s="65" t="e">
        <f ca="1">IF(AND($D13&lt;&gt;0,_xlfn.XLOOKUP($B13,'TH_MLG GRADE 10'!$B$7:$B$49,'TH_MLG GRADE 10'!#REF!,"",0,1)="P",
   _xlfn.XLOOKUP($B13,'TH_MLG GRADE 10'!$B$7:$B$49,'TH_MLG GRADE 10'!$BK$7:$BK$49,"",0,1)&lt;=TODAY()-MOD(WEEKDAY(TODAY(),2)-5,7)),$D13,0)</f>
        <v>#REF!</v>
      </c>
      <c r="AG63" s="65" t="e">
        <f ca="1">IF(AND($D13&lt;&gt;0,_xlfn.XLOOKUP($B13,'TH_MLG GRADE 10'!$B$7:$B$49,'TH_MLG GRADE 10'!#REF!,"",0,1)="P",
   _xlfn.XLOOKUP($B13,'TH_MLG GRADE 10'!$B$7:$B$49,'TH_MLG GRADE 10'!$BL$7:$BL$49,"",0,1)&lt;=TODAY()-MOD(WEEKDAY(TODAY(),2)-5,7)),$D13,0)</f>
        <v>#REF!</v>
      </c>
      <c r="AH63" s="65" t="e">
        <f ca="1">IF(AND($D13&lt;&gt;0,_xlfn.XLOOKUP($B13,'TH_MLG GRADE 10'!$B$7:$B$49,'TH_MLG GRADE 10'!#REF!,"",0,1)="P",
   _xlfn.XLOOKUP($B13,'TH_MLG GRADE 10'!$B$7:$B$49,'TH_MLG GRADE 10'!$BM$7:$BM$49,"",0,1)&lt;=TODAY()-MOD(WEEKDAY(TODAY(),2)-5,7)),$D13,0)</f>
        <v>#REF!</v>
      </c>
      <c r="AI63" s="67">
        <f ca="1">IF(AND($D13&lt;&gt;0,_xlfn.XLOOKUP($B13,'TH_CMI GRADE 10'!$B$7:$B$49,'TH_CMI GRADE 10'!C$7:C$49,"",0,1)="P",
   _xlfn.XLOOKUP($B13,'TH_CMI GRADE 10'!$B$7:$B$49,'TH_CMI GRADE 10'!$AS$7:$AS$49,"",0,1)&lt;=TODAY()-MOD(WEEKDAY(TODAY(),2)-5,7)),$D13,0)</f>
        <v>0</v>
      </c>
      <c r="AJ63" s="67">
        <f ca="1">IF(AND($D13&lt;&gt;0,_xlfn.XLOOKUP($B13,'TH_CMI GRADE 10'!$B$7:$B$49,'TH_CMI GRADE 10'!D$7:D$49,"",0,1)="P",
   _xlfn.XLOOKUP($B13,'TH_CMI GRADE 10'!$B$7:$B$49,'TH_CMI GRADE 10'!$AT$7:$AT$49,"",0,1)&lt;=TODAY()-MOD(WEEKDAY(TODAY(),2)-5,7)),$D13,0)</f>
        <v>0</v>
      </c>
      <c r="AK63" s="67" t="e">
        <f ca="1">IF(AND($D13&lt;&gt;0,_xlfn.XLOOKUP($B13,'TH_CMI GRADE 10'!$B$7:$B$49,'TH_CMI GRADE 10'!H$7:H$49,"",0,1)="P",
   _xlfn.XLOOKUP($B13,'TH_CMI GRADE 10'!$B$7:$B$49,'TH_CMI GRADE 10'!#REF!,"",0,1)&lt;=TODAY()-MOD(WEEKDAY(TODAY(),2)-5,7)),$D13,0)</f>
        <v>#REF!</v>
      </c>
      <c r="AL63" s="67">
        <f ca="1">IF(AND($D13&lt;&gt;0,_xlfn.XLOOKUP($B13,'TH_CMI GRADE 10'!$B$7:$B$49,'TH_CMI GRADE 10'!I$7:I$49,"",0,1)="P",
   _xlfn.XLOOKUP($B13,'TH_CMI GRADE 10'!$B$7:$B$49,'TH_CMI GRADE 10'!$AS$7:$AS$49,"",0,1)&lt;=TODAY()-MOD(WEEKDAY(TODAY(),2)-5,7)),$D13,0)</f>
        <v>0</v>
      </c>
      <c r="AM63" s="67">
        <f ca="1">IF(AND($D13&lt;&gt;0,_xlfn.XLOOKUP($B13,'TH_CMI GRADE 10'!$B$7:$B$49,'TH_CMI GRADE 10'!J$7:J$49,"",0,1)="P",
   _xlfn.XLOOKUP($B13,'TH_CMI GRADE 10'!$B$7:$B$49,'TH_CMI GRADE 10'!$AT$7:$AT$49,"",0,1)&lt;=TODAY()-MOD(WEEKDAY(TODAY(),2)-5,7)),$D13,0)</f>
        <v>0</v>
      </c>
      <c r="AN63" s="67" t="e">
        <f ca="1">IF(AND($D13&lt;&gt;0,_xlfn.XLOOKUP($B13,'TH_CMI GRADE 10'!$B$7:$B$49,'TH_CMI GRADE 10'!K$7:K$49,"",0,1)="P",
   _xlfn.XLOOKUP($B13,'TH_CMI GRADE 10'!$B$7:$B$49,'TH_CMI GRADE 10'!#REF!,"",0,1)&lt;=TODAY()-MOD(WEEKDAY(TODAY(),2)-5,7)),$D13,0)</f>
        <v>#REF!</v>
      </c>
      <c r="AO63" s="67">
        <f ca="1">IF(AND($D13&lt;&gt;0,_xlfn.XLOOKUP($B13,'TH_CMI GRADE 10'!$B$7:$B$49,'TH_CMI GRADE 10'!O$7:O$49,"",0,1)="P",
   _xlfn.XLOOKUP($B13,'TH_CMI GRADE 10'!$B$7:$B$49,'TH_CMI GRADE 10'!$AS$7:$AS$49,"",0,1)&lt;=TODAY()-MOD(WEEKDAY(TODAY(),2)-5,7)),$D13,0)</f>
        <v>0</v>
      </c>
      <c r="AP63" s="67">
        <f ca="1">IF(AND($D13&lt;&gt;0,_xlfn.XLOOKUP($B13,'TH_CMI GRADE 10'!$B$7:$B$49,'TH_CMI GRADE 10'!P$7:P$49,"",0,1)="P",
   _xlfn.XLOOKUP($B13,'TH_CMI GRADE 10'!$B$7:$B$49,'TH_CMI GRADE 10'!$AT$7:$AT$49,"",0,1)&lt;=TODAY()-MOD(WEEKDAY(TODAY(),2)-5,7)),$D13,0)</f>
        <v>0</v>
      </c>
      <c r="AQ63" s="67" t="e">
        <f ca="1">IF(AND($D13&lt;&gt;0,_xlfn.XLOOKUP($B13,'TH_CMI GRADE 10'!$B$7:$B$49,'TH_CMI GRADE 10'!Q$7:Q$49,"",0,1)="P",
   _xlfn.XLOOKUP($B13,'TH_CMI GRADE 10'!$B$7:$B$49,'TH_CMI GRADE 10'!#REF!,"",0,1)&lt;=TODAY()-MOD(WEEKDAY(TODAY(),2)-5,7)),$D13,0)</f>
        <v>#REF!</v>
      </c>
      <c r="AR63" s="67">
        <f ca="1">IF(AND($D13&lt;&gt;0,_xlfn.XLOOKUP($B13,'TH_CMI GRADE 10'!$B$7:$B$49,'TH_CMI GRADE 10'!U$7:U$49,"",0,1)="P",
   _xlfn.XLOOKUP($B13,'TH_CMI GRADE 10'!$B$7:$B$49,'TH_CMI GRADE 10'!$AS$7:$AS$49,"",0,1)&lt;=TODAY()-MOD(WEEKDAY(TODAY(),2)-5,7)),$D13,0)</f>
        <v>0</v>
      </c>
      <c r="AS63" s="67">
        <f ca="1">IF(AND($D13&lt;&gt;0,_xlfn.XLOOKUP($B13,'TH_CMI GRADE 10'!$B$7:$B$49,'TH_CMI GRADE 10'!V$7:V$49,"",0,1)="P",
   _xlfn.XLOOKUP($B13,'TH_CMI GRADE 10'!$B$7:$B$49,'TH_CMI GRADE 10'!$AT$7:$AT$49,"",0,1)&lt;=TODAY()-MOD(WEEKDAY(TODAY(),2)-5,7)),$D13,0)</f>
        <v>0</v>
      </c>
      <c r="AT63" s="67" t="e">
        <f ca="1">IF(AND($D13&lt;&gt;0,_xlfn.XLOOKUP($B13,'TH_CMI GRADE 10'!$B$7:$B$49,'TH_CMI GRADE 10'!W$7:W$49,"",0,1)="P",
   _xlfn.XLOOKUP($B13,'TH_CMI GRADE 10'!$B$7:$B$49,'TH_CMI GRADE 10'!#REF!,"",0,1)&lt;=TODAY()-MOD(WEEKDAY(TODAY(),2)-5,7)),$D13,0)</f>
        <v>#REF!</v>
      </c>
      <c r="AU63" s="67">
        <f ca="1">IF(AND($D13&lt;&gt;0,_xlfn.XLOOKUP($B13,'TH_CMI GRADE 10'!$B$7:$B$49,'TH_CMI GRADE 10'!AA$7:AA$49,"",0,1)="P",
   _xlfn.XLOOKUP($B13,'TH_CMI GRADE 10'!$B$7:$B$49,'TH_CMI GRADE 10'!$AS$7:$AS$49,"",0,1)&lt;=TODAY()-MOD(WEEKDAY(TODAY(),2)-5,7)),$D13,0)</f>
        <v>1</v>
      </c>
      <c r="AV63" s="67">
        <f ca="1">IF(AND($D13&lt;&gt;0,_xlfn.XLOOKUP($B13,'TH_CMI GRADE 10'!$B$7:$B$49,'TH_CMI GRADE 10'!AB$7:AB$49,"",0,1)="P",
   _xlfn.XLOOKUP($B13,'TH_CMI GRADE 10'!$B$7:$B$49,'TH_CMI GRADE 10'!$AT$7:$AT$49,"",0,1)&lt;=TODAY()-MOD(WEEKDAY(TODAY(),2)-5,7)),$D13,0)</f>
        <v>1</v>
      </c>
      <c r="AW63" s="67" t="e">
        <f ca="1">IF(AND($D13&lt;&gt;0,_xlfn.XLOOKUP($B13,'TH_CMI GRADE 10'!$B$7:$B$49,'TH_CMI GRADE 10'!AC$7:AC$49,"",0,1)="P",
   _xlfn.XLOOKUP($B13,'TH_CMI GRADE 10'!$B$7:$B$49,'TH_CMI GRADE 10'!#REF!,"",0,1)&lt;=TODAY()-MOD(WEEKDAY(TODAY(),2)-5,7)),$D13,0)</f>
        <v>#REF!</v>
      </c>
      <c r="AX63" s="67">
        <f ca="1">IF(AND($D13&lt;&gt;0,_xlfn.XLOOKUP($B13,'TH_CMI GRADE 10'!$B$7:$B$49,'TH_CMI GRADE 10'!AG$7:AG$49,"",0,1)="P",
   _xlfn.XLOOKUP($B13,'TH_CMI GRADE 10'!$B$7:$B$49,'TH_CMI GRADE 10'!$AS$7:$AS$49,"",0,1)&lt;=TODAY()-MOD(WEEKDAY(TODAY(),2)-5,7)),$D13,0)</f>
        <v>1</v>
      </c>
      <c r="AY63" s="67">
        <f ca="1">IF(AND($D13&lt;&gt;0,_xlfn.XLOOKUP($B13,'TH_CMI GRADE 10'!$B$7:$B$49,'TH_CMI GRADE 10'!AH$7:AH$49,"",0,1)="P",
   _xlfn.XLOOKUP($B13,'TH_CMI GRADE 10'!$B$7:$B$49,'TH_CMI GRADE 10'!$AT$7:$AT$49,"",0,1)&lt;=TODAY()-MOD(WEEKDAY(TODAY(),2)-5,7)),$D13,0)</f>
        <v>1</v>
      </c>
      <c r="AZ63" s="67" t="e">
        <f ca="1">IF(AND($D13&lt;&gt;0,_xlfn.XLOOKUP($B13,'TH_CMI GRADE 10'!$B$7:$B$49,'TH_CMI GRADE 10'!AI$7:AI$49,"",0,1)="P",
   _xlfn.XLOOKUP($B13,'TH_CMI GRADE 10'!$B$7:$B$49,'TH_CMI GRADE 10'!#REF!,"",0,1)&lt;=TODAY()-MOD(WEEKDAY(TODAY(),2)-5,7)),$D13,0)</f>
        <v>#REF!</v>
      </c>
      <c r="BA63" s="65" t="e">
        <f ca="1">IF(AND($D13&lt;&gt;0,_xlfn.XLOOKUP($B13,'PW_MLG GRADE 10'!$B$7:$B$31,'PW_MLG GRADE 10'!R$7:R$31,"",0,1)="P",
   _xlfn.XLOOKUP($B13,'PW_MLG GRADE 10'!$B$7:$B$31,'PW_MLG GRADE 10'!#REF!,"",0,1)&lt;=TODAY()-MOD(WEEKDAY(TODAY(),2)-5,7)),$D13,0)</f>
        <v>#REF!</v>
      </c>
      <c r="BB63" s="65" t="e">
        <f ca="1">IF(AND($D13&lt;&gt;0,_xlfn.XLOOKUP($B13,'PW_MLG GRADE 10'!$B$7:$B$31,'PW_MLG GRADE 10'!S$7:S$31,"",0,1)="P",
   _xlfn.XLOOKUP($B13,'PW_MLG GRADE 10'!$B$7:$B$31,'PW_MLG GRADE 10'!#REF!,"",0,1)&lt;=TODAY()-MOD(WEEKDAY(TODAY(),2)-5,7)),$D13,0)</f>
        <v>#REF!</v>
      </c>
      <c r="BC63" s="65" t="e">
        <f ca="1">IF(AND($D13&lt;&gt;0,_xlfn.XLOOKUP($B13,'PW_MLG GRADE 10'!$B$7:$B$31,'PW_MLG GRADE 10'!T$7:T$31,"",0,1)="P",
   _xlfn.XLOOKUP($B13,'PW_MLG GRADE 10'!$B$7:$B$31,'PW_MLG GRADE 10'!#REF!,"",0,1)&lt;=TODAY()-MOD(WEEKDAY(TODAY(),2)-5,7)),$D13,0)</f>
        <v>#REF!</v>
      </c>
      <c r="BD63" s="65" t="e">
        <f ca="1">IF(AND($D13&lt;&gt;0,_xlfn.XLOOKUP($B13,'PW_MLG GRADE 10'!$B$7:$B$31,'PW_MLG GRADE 10'!AA$7:AA$31,"",0,1)="P",
   _xlfn.XLOOKUP($B13,'PW_MLG GRADE 10'!$B$7:$B$31,'PW_MLG GRADE 10'!#REF!,"",0,1)&lt;=TODAY()-MOD(WEEKDAY(TODAY(),2)-5,7)),$D13,0)</f>
        <v>#REF!</v>
      </c>
      <c r="BE63" s="65" t="e">
        <f ca="1">IF(AND($D13&lt;&gt;0,_xlfn.XLOOKUP($B13,'PW_MLG GRADE 10'!$B$7:$B$31,'PW_MLG GRADE 10'!AB$7:AB$31,"",0,1)="P",
   _xlfn.XLOOKUP($B13,'PW_MLG GRADE 10'!$B$7:$B$31,'PW_MLG GRADE 10'!#REF!,"",0,1)&lt;=TODAY()-MOD(WEEKDAY(TODAY(),2)-5,7)),$D13,0)</f>
        <v>#REF!</v>
      </c>
      <c r="BF63" s="65" t="e">
        <f ca="1">IF(AND($D13&lt;&gt;0,_xlfn.XLOOKUP($B13,'PW_MLG GRADE 10'!$B$7:$B$31,'PW_MLG GRADE 10'!AC$7:AC$31,"",0,1)="P",
   _xlfn.XLOOKUP($B13,'PW_MLG GRADE 10'!$B$7:$B$31,'PW_MLG GRADE 10'!#REF!,"",0,1)&lt;=TODAY()-MOD(WEEKDAY(TODAY(),2)-5,7)),$D13,0)</f>
        <v>#REF!</v>
      </c>
      <c r="BG63" s="65" t="e">
        <f ca="1">IF(AND($D13&lt;&gt;0,_xlfn.XLOOKUP($B13,'PW_MLG GRADE 10'!$B$7:$B$31,'PW_MLG GRADE 10'!AD$7:AD$31,"",0,1)="P",
   _xlfn.XLOOKUP($B13,'PW_MLG GRADE 10'!$B$7:$B$31,'PW_MLG GRADE 10'!#REF!,"",0,1)&lt;=TODAY()-MOD(WEEKDAY(TODAY(),2)-5,7)),$D13,0)</f>
        <v>#REF!</v>
      </c>
      <c r="BH63" s="65" t="e">
        <f ca="1">IF(AND($D13&lt;&gt;0,_xlfn.XLOOKUP($B13,'PW_MLG GRADE 10'!$B$7:$B$31,'PW_MLG GRADE 10'!AE$7:AE$31,"",0,1)="P",
   _xlfn.XLOOKUP($B13,'PW_MLG GRADE 10'!$B$7:$B$31,'PW_MLG GRADE 10'!#REF!,"",0,1)&lt;=TODAY()-MOD(WEEKDAY(TODAY(),2)-5,7)),$D13,0)</f>
        <v>#REF!</v>
      </c>
      <c r="BI63" s="65" t="e">
        <f ca="1">IF(AND($D13&lt;&gt;0,_xlfn.XLOOKUP($B13,'PW_MLG GRADE 10'!$B$7:$B$31,'PW_MLG GRADE 10'!AF$7:AF$31,"",0,1)="P",
   _xlfn.XLOOKUP($B13,'PW_MLG GRADE 10'!$B$7:$B$31,'PW_MLG GRADE 10'!#REF!,"",0,1)&lt;=TODAY()-MOD(WEEKDAY(TODAY(),2)-5,7)),$D13,0)</f>
        <v>#REF!</v>
      </c>
      <c r="BJ63" s="65" t="e">
        <f ca="1">IF(AND($D13&lt;&gt;0,_xlfn.XLOOKUP($B13,'PW_MLG GRADE 10'!$B$7:$B$31,'PW_MLG GRADE 10'!AG$7:AG$31,"",0,1)="P",
   _xlfn.XLOOKUP($B13,'PW_MLG GRADE 10'!$B$7:$B$31,'PW_MLG GRADE 10'!#REF!,"",0,1)&lt;=TODAY()-MOD(WEEKDAY(TODAY(),2)-5,7)),$D13,0)</f>
        <v>#REF!</v>
      </c>
      <c r="BK63" s="65" t="e">
        <f ca="1">IF(AND($D13&lt;&gt;0,_xlfn.XLOOKUP($B13,'PW_MLG GRADE 10'!$B$7:$B$31,'PW_MLG GRADE 10'!AH$7:AH$31,"",0,1)="P",
   _xlfn.XLOOKUP($B13,'PW_MLG GRADE 10'!$B$7:$B$31,'PW_MLG GRADE 10'!#REF!,"",0,1)&lt;=TODAY()-MOD(WEEKDAY(TODAY(),2)-5,7)),$D13,0)</f>
        <v>#REF!</v>
      </c>
      <c r="BL63" s="65" t="e">
        <f ca="1">IF(AND($D13&lt;&gt;0,_xlfn.XLOOKUP($B13,'PW_MLG GRADE 10'!$B$7:$B$31,'PW_MLG GRADE 10'!AI$7:AI$31,"",0,1)="P",
   _xlfn.XLOOKUP($B13,'PW_MLG GRADE 10'!$B$7:$B$31,'PW_MLG GRADE 10'!#REF!,"",0,1)&lt;=TODAY()-MOD(WEEKDAY(TODAY(),2)-5,7)),$D13,0)</f>
        <v>#REF!</v>
      </c>
      <c r="BM63" s="65" t="e">
        <f ca="1">IF(AND($D13&lt;&gt;0,_xlfn.XLOOKUP($B13,'PW_MLG GRADE 10'!$B$7:$B$31,'PW_MLG GRADE 10'!AJ$7:AJ$31,"",0,1)="P",
   _xlfn.XLOOKUP($B13,'PW_MLG GRADE 10'!$B$7:$B$31,'PW_MLG GRADE 10'!#REF!,"",0,1)&lt;=TODAY()-MOD(WEEKDAY(TODAY(),2)-5,7)),$D13,0)</f>
        <v>#REF!</v>
      </c>
      <c r="BN63" s="65" t="e">
        <f ca="1">IF(AND($D13&lt;&gt;0,_xlfn.XLOOKUP($B13,'PW_MLG GRADE 10'!$B$7:$B$31,'PW_MLG GRADE 10'!AK$7:AK$31,"",0,1)="P",
   _xlfn.XLOOKUP($B13,'PW_MLG GRADE 10'!$B$7:$B$31,'PW_MLG GRADE 10'!#REF!,"",0,1)&lt;=TODAY()-MOD(WEEKDAY(TODAY(),2)-5,7)),$D13,0)</f>
        <v>#REF!</v>
      </c>
      <c r="BO63" s="65" t="e">
        <f ca="1">IF(AND($D13&lt;&gt;0,_xlfn.XLOOKUP($B13,'PW_MLG GRADE 10'!$B$7:$B$31,'PW_MLG GRADE 10'!AL$7:AL$31,"",0,1)="P",
   _xlfn.XLOOKUP($B13,'PW_MLG GRADE 10'!$B$7:$B$31,'PW_MLG GRADE 10'!#REF!,"",0,1)&lt;=TODAY()-MOD(WEEKDAY(TODAY(),2)-5,7)),$D13,0)</f>
        <v>#REF!</v>
      </c>
      <c r="BP63" s="65" t="e">
        <f ca="1">IF(AND($D13&lt;&gt;0,_xlfn.XLOOKUP($B13,'PW_MLG GRADE 10'!$B$7:$B$31,'PW_MLG GRADE 10'!AM$7:AM$31,"",0,1)="P",
   _xlfn.XLOOKUP($B13,'PW_MLG GRADE 10'!$B$7:$B$31,'PW_MLG GRADE 10'!#REF!,"",0,1)&lt;=TODAY()-MOD(WEEKDAY(TODAY(),2)-5,7)),$D13,0)</f>
        <v>#REF!</v>
      </c>
      <c r="BQ63" s="65" t="e">
        <f ca="1">IF(AND($D13&lt;&gt;0,_xlfn.XLOOKUP($B13,'PW_MLG GRADE 10'!$B$7:$B$31,'PW_MLG GRADE 10'!AN$7:AN$31,"",0,1)="P",
   _xlfn.XLOOKUP($B13,'PW_MLG GRADE 10'!$B$7:$B$31,'PW_MLG GRADE 10'!#REF!,"",0,1)&lt;=TODAY()-MOD(WEEKDAY(TODAY(),2)-5,7)),$D13,0)</f>
        <v>#REF!</v>
      </c>
      <c r="BR63" s="65" t="e">
        <f ca="1">IF(AND($D13&lt;&gt;0,_xlfn.XLOOKUP($B13,'PW_MLG GRADE 10'!$B$7:$B$31,'PW_MLG GRADE 10'!AO$7:AO$31,"",0,1)="P",
   _xlfn.XLOOKUP($B13,'PW_MLG GRADE 10'!$B$7:$B$31,'PW_MLG GRADE 10'!#REF!,"",0,1)&lt;=TODAY()-MOD(WEEKDAY(TODAY(),2)-5,7)),$D13,0)</f>
        <v>#REF!</v>
      </c>
      <c r="BS63" s="65" t="e">
        <f ca="1">IF(AND($D13&lt;&gt;0,_xlfn.XLOOKUP($B13,'PW_MLG GRADE 10'!$B$7:$B$31,'PW_MLG GRADE 10'!AP$7:AP$31,"",0,1)="P",
   _xlfn.XLOOKUP($B13,'PW_MLG GRADE 10'!$B$7:$B$31,'PW_MLG GRADE 10'!#REF!,"",0,1)&lt;=TODAY()-MOD(WEEKDAY(TODAY(),2)-5,7)),$D13,0)</f>
        <v>#REF!</v>
      </c>
      <c r="BT63" s="65" t="e">
        <f ca="1">IF(AND($D13&lt;&gt;0,_xlfn.XLOOKUP($B13,'PW_MLG GRADE 10'!$B$7:$B$31,'PW_MLG GRADE 10'!AQ$7:AQ$31,"",0,1)="P",
   _xlfn.XLOOKUP($B13,'PW_MLG GRADE 10'!$B$7:$B$31,'PW_MLG GRADE 10'!#REF!,"",0,1)&lt;=TODAY()-MOD(WEEKDAY(TODAY(),2)-5,7)),$D13,0)</f>
        <v>#REF!</v>
      </c>
      <c r="BU63" s="65" t="e">
        <f ca="1">IF(AND($D13&lt;&gt;0,_xlfn.XLOOKUP($B13,'PW_MLG GRADE 10'!$B$7:$B$31,'PW_MLG GRADE 10'!AR$7:AR$31,"",0,1)="P",
   _xlfn.XLOOKUP($B13,'PW_MLG GRADE 10'!$B$7:$B$31,'PW_MLG GRADE 10'!#REF!,"",0,1)&lt;=TODAY()-MOD(WEEKDAY(TODAY(),2)-5,7)),$D13,0)</f>
        <v>#REF!</v>
      </c>
      <c r="BV63" s="65" t="e">
        <f ca="1">IF(AND($D13&lt;&gt;0,_xlfn.XLOOKUP($B13,'PW_MLG GRADE 10'!$B$7:$B$31,'PW_MLG GRADE 10'!AY$7:AY$31,"",0,1)="P",
   _xlfn.XLOOKUP($B13,'PW_MLG GRADE 10'!$B$7:$B$31,'PW_MLG GRADE 10'!#REF!,"",0,1)&lt;=TODAY()-MOD(WEEKDAY(TODAY(),2)-5,7)),$D13,0)</f>
        <v>#REF!</v>
      </c>
      <c r="BW63" s="65" t="e">
        <f ca="1">IF(AND($D13&lt;&gt;0,_xlfn.XLOOKUP($B13,'PW_MLG GRADE 10'!$B$7:$B$31,'PW_MLG GRADE 10'!AZ$7:AZ$31,"",0,1)="P",
   _xlfn.XLOOKUP($B13,'PW_MLG GRADE 10'!$B$7:$B$31,'PW_MLG GRADE 10'!#REF!,"",0,1)&lt;=TODAY()-MOD(WEEKDAY(TODAY(),2)-5,7)),$D13,0)</f>
        <v>#REF!</v>
      </c>
      <c r="BX63" s="65" t="e">
        <f ca="1">IF(AND($D13&lt;&gt;0,_xlfn.XLOOKUP($B13,'PW_MLG GRADE 10'!$B$7:$B$31,'PW_MLG GRADE 10'!BA$7:BA$31,"",0,1)="P",
   _xlfn.XLOOKUP($B13,'PW_MLG GRADE 10'!$B$7:$B$31,'PW_MLG GRADE 10'!#REF!,"",0,1)&lt;=TODAY()-MOD(WEEKDAY(TODAY(),2)-5,7)),$D13,0)</f>
        <v>#REF!</v>
      </c>
      <c r="BY63" s="65" t="e">
        <f ca="1">IF(AND($D13&lt;&gt;0,_xlfn.XLOOKUP($B13,'PW_MLG GRADE 10'!$B$7:$B$31,'PW_MLG GRADE 10'!BB$7:BB$31,"",0,1)="P",
   _xlfn.XLOOKUP($B13,'PW_MLG GRADE 10'!$B$7:$B$31,'PW_MLG GRADE 10'!#REF!,"",0,1)&lt;=TODAY()-MOD(WEEKDAY(TODAY(),2)-5,7)),$D13,0)</f>
        <v>#REF!</v>
      </c>
      <c r="BZ63" s="65" t="e">
        <f ca="1">IF(AND($D13&lt;&gt;0,_xlfn.XLOOKUP($B13,'PW_MLG GRADE 10'!$B$7:$B$31,'PW_MLG GRADE 10'!BC$7:BC$31,"",0,1)="P",
   _xlfn.XLOOKUP($B13,'PW_MLG GRADE 10'!$B$7:$B$31,'PW_MLG GRADE 10'!#REF!,"",0,1)&lt;=TODAY()-MOD(WEEKDAY(TODAY(),2)-5,7)),$D13,0)</f>
        <v>#REF!</v>
      </c>
      <c r="CA63" s="65" t="e">
        <f ca="1">IF(AND($D13&lt;&gt;0,_xlfn.XLOOKUP($B13,'PW_MLG GRADE 10'!$B$7:$B$31,'PW_MLG GRADE 10'!BD$7:BD$31,"",0,1)="P",
   _xlfn.XLOOKUP($B13,'PW_MLG GRADE 10'!$B$7:$B$31,'PW_MLG GRADE 10'!#REF!,"",0,1)&lt;=TODAY()-MOD(WEEKDAY(TODAY(),2)-5,7)),$D13,0)</f>
        <v>#REF!</v>
      </c>
      <c r="CB63" s="65" t="e">
        <f ca="1">IF(AND($D13&lt;&gt;0,_xlfn.XLOOKUP($B13,'PW_MLG GRADE 10'!$B$7:$B$31,'PW_MLG GRADE 10'!BE$7:BE$31,"",0,1)="P",
   _xlfn.XLOOKUP($B13,'PW_MLG GRADE 10'!$B$7:$B$31,'PW_MLG GRADE 10'!#REF!,"",0,1)&lt;=TODAY()-MOD(WEEKDAY(TODAY(),2)-5,7)),$D13,0)</f>
        <v>#REF!</v>
      </c>
      <c r="CC63" s="65" t="e">
        <f ca="1">IF(AND($D13&lt;&gt;0,_xlfn.XLOOKUP($B13,'PW_MLG GRADE 10'!$B$7:$B$31,'PW_MLG GRADE 10'!BF$7:BF$31,"",0,1)="P",
   _xlfn.XLOOKUP($B13,'PW_MLG GRADE 10'!$B$7:$B$31,'PW_MLG GRADE 10'!#REF!,"",0,1)&lt;=TODAY()-MOD(WEEKDAY(TODAY(),2)-5,7)),$D13,0)</f>
        <v>#REF!</v>
      </c>
      <c r="CD63" s="65" t="e">
        <f ca="1">IF(AND($D13&lt;&gt;0,_xlfn.XLOOKUP($B13,'PW_MLG GRADE 10'!$B$7:$B$31,'PW_MLG GRADE 10'!BG$7:BG$31,"",0,1)="P",
   _xlfn.XLOOKUP($B13,'PW_MLG GRADE 10'!$B$7:$B$31,'PW_MLG GRADE 10'!#REF!,"",0,1)&lt;=TODAY()-MOD(WEEKDAY(TODAY(),2)-5,7)),$D13,0)</f>
        <v>#REF!</v>
      </c>
      <c r="CE63" s="67">
        <f ca="1">IF(AND($D13&lt;&gt;0,_xlfn.XLOOKUP($B13,'PW_CMI GRADE 10'!$B$7:$B$31,'PW_CMI GRADE 10'!AY$7:AY$31,"",0,1)="P",
   _xlfn.XLOOKUP($B13,'PW_CMI GRADE 10'!$B$7:$B$31,'PW_CMI GRADE 10'!$U$7:$U$31,"",0,1)&lt;=TODAY()-MOD(WEEKDAY(TODAY(),2)-5,7)),$D13,0)</f>
        <v>0</v>
      </c>
      <c r="CF63" s="67">
        <f ca="1">IF(AND($D13&lt;&gt;0,_xlfn.XLOOKUP($B13,'PW_CMI GRADE 10'!$B$7:$B$31,'PW_CMI GRADE 10'!AZ$7:AZ$31,"",0,1)="P",
   _xlfn.XLOOKUP($B13,'PW_CMI GRADE 10'!$B$7:$B$31,'PW_CMI GRADE 10'!$V$7:$V$31,"",0,1)&lt;=TODAY()-MOD(WEEKDAY(TODAY(),2)-5,7)),$D13,0)</f>
        <v>0</v>
      </c>
      <c r="CG63" s="67">
        <f ca="1">IF(AND($D13&lt;&gt;0,_xlfn.XLOOKUP($B13,'PW_CMI GRADE 10'!$B$7:$B$31,'PW_CMI GRADE 10'!BA$7:BA$31,"",0,1)="P",
   _xlfn.XLOOKUP($B13,'PW_CMI GRADE 10'!$B$7:$B$31,'PW_CMI GRADE 10'!$W$7:$W$31,"",0,1)&lt;=TODAY()-MOD(WEEKDAY(TODAY(),2)-5,7)),$D13,0)</f>
        <v>0</v>
      </c>
      <c r="CH63" s="67">
        <f ca="1">IF(AND($D13&lt;&gt;0,_xlfn.XLOOKUP($B13,'PW_CMI GRADE 10'!$B$7:$B$31,'PW_CMI GRADE 10'!BB$7:BB$31,"",0,1)="P",
   _xlfn.XLOOKUP($B13,'PW_CMI GRADE 10'!$B$7:$B$31,'PW_CMI GRADE 10'!$U$7:$U$31,"",0,1)&lt;=TODAY()-MOD(WEEKDAY(TODAY(),2)-5,7)),$D13,0)</f>
        <v>0</v>
      </c>
      <c r="CI63" s="67">
        <f ca="1">IF(AND($D13&lt;&gt;0,_xlfn.XLOOKUP($B13,'PW_CMI GRADE 10'!$B$7:$B$31,'PW_CMI GRADE 10'!BC$7:BC$31,"",0,1)="P",
   _xlfn.XLOOKUP($B13,'PW_CMI GRADE 10'!$B$7:$B$31,'PW_CMI GRADE 10'!$V$7:$V$31,"",0,1)&lt;=TODAY()-MOD(WEEKDAY(TODAY(),2)-5,7)),$D13,0)</f>
        <v>0</v>
      </c>
      <c r="CJ63" s="67">
        <f ca="1">IF(AND($D13&lt;&gt;0,_xlfn.XLOOKUP($B13,'PW_CMI GRADE 10'!$B$7:$B$31,'PW_CMI GRADE 10'!BD$7:BD$31,"",0,1)="P",
   _xlfn.XLOOKUP($B13,'PW_CMI GRADE 10'!$B$7:$B$31,'PW_CMI GRADE 10'!$W$7:$W$31,"",0,1)&lt;=TODAY()-MOD(WEEKDAY(TODAY(),2)-5,7)),$D13,0)</f>
        <v>0</v>
      </c>
      <c r="CK63" s="67">
        <f ca="1">IF(AND($D13&lt;&gt;0,_xlfn.XLOOKUP($B13,'PW_CMI GRADE 10'!$B$7:$B$31,'PW_CMI GRADE 10'!BE$7:BE$31,"",0,1)="P",
   _xlfn.XLOOKUP($B13,'PW_CMI GRADE 10'!$B$7:$B$31,'PW_CMI GRADE 10'!$U$7:$U$31,"",0,1)&lt;=TODAY()-MOD(WEEKDAY(TODAY(),2)-5,7)),$D13,0)</f>
        <v>0</v>
      </c>
      <c r="CL63" s="67">
        <f ca="1">IF(AND($D13&lt;&gt;0,_xlfn.XLOOKUP($B13,'PW_CMI GRADE 10'!$B$7:$B$31,'PW_CMI GRADE 10'!BF$7:BF$31,"",0,1)="P",
   _xlfn.XLOOKUP($B13,'PW_CMI GRADE 10'!$B$7:$B$31,'PW_CMI GRADE 10'!$V$7:$V$31,"",0,1)&lt;=TODAY()-MOD(WEEKDAY(TODAY(),2)-5,7)),$D13,0)</f>
        <v>0</v>
      </c>
      <c r="CM63" s="67">
        <f ca="1">IF(AND($D13&lt;&gt;0,_xlfn.XLOOKUP($B13,'PW_CMI GRADE 10'!$B$7:$B$31,'PW_CMI GRADE 10'!BG$7:BG$31,"",0,1)="P",
   _xlfn.XLOOKUP($B13,'PW_CMI GRADE 10'!$B$7:$B$31,'PW_CMI GRADE 10'!$W$7:$W$31,"",0,1)&lt;=TODAY()-MOD(WEEKDAY(TODAY(),2)-5,7)),$D13,0)</f>
        <v>0</v>
      </c>
      <c r="CN63" s="67">
        <f ca="1">IF(AND($D13&lt;&gt;0,_xlfn.XLOOKUP($B13,'PW_CMI GRADE 10'!$B$7:$B$31,'PW_CMI GRADE 10'!BH$7:BH$31,"",0,1)="P",
   _xlfn.XLOOKUP($B13,'PW_CMI GRADE 10'!$B$7:$B$31,'PW_CMI GRADE 10'!$U$7:$U$31,"",0,1)&lt;=TODAY()-MOD(WEEKDAY(TODAY(),2)-5,7)),$D13,0)</f>
        <v>0</v>
      </c>
      <c r="CO63" s="67">
        <f ca="1">IF(AND($D13&lt;&gt;0,_xlfn.XLOOKUP($B13,'PW_CMI GRADE 10'!$B$7:$B$31,'PW_CMI GRADE 10'!BI$7:BI$31,"",0,1)="P",
   _xlfn.XLOOKUP($B13,'PW_CMI GRADE 10'!$B$7:$B$31,'PW_CMI GRADE 10'!$V$7:$V$31,"",0,1)&lt;=TODAY()-MOD(WEEKDAY(TODAY(),2)-5,7)),$D13,0)</f>
        <v>0</v>
      </c>
      <c r="CP63" s="67">
        <f ca="1">IF(AND($D13&lt;&gt;0,_xlfn.XLOOKUP($B13,'PW_CMI GRADE 10'!$B$7:$B$31,'PW_CMI GRADE 10'!BJ$7:BJ$31,"",0,1)="P",
   _xlfn.XLOOKUP($B13,'PW_CMI GRADE 10'!$B$7:$B$31,'PW_CMI GRADE 10'!$W$7:$W$31,"",0,1)&lt;=TODAY()-MOD(WEEKDAY(TODAY(),2)-5,7)),$D13,0)</f>
        <v>0</v>
      </c>
      <c r="CQ63" s="67">
        <f ca="1">IF(AND($D13&lt;&gt;0,_xlfn.XLOOKUP($B13,'PW_CMI GRADE 10'!$B$7:$B$31,'PW_CMI GRADE 10'!BK$7:BK$31,"",0,1)="P",
   _xlfn.XLOOKUP($B13,'PW_CMI GRADE 10'!$B$7:$B$31,'PW_CMI GRADE 10'!$U$7:$U$31,"",0,1)&lt;=TODAY()-MOD(WEEKDAY(TODAY(),2)-5,7)),$D13,0)</f>
        <v>0</v>
      </c>
      <c r="CR63" s="67">
        <f ca="1">IF(AND($D13&lt;&gt;0,_xlfn.XLOOKUP($B13,'PW_CMI GRADE 10'!$B$7:$B$31,'PW_CMI GRADE 10'!BL$7:BL$31,"",0,1)="P",
   _xlfn.XLOOKUP($B13,'PW_CMI GRADE 10'!$B$7:$B$31,'PW_CMI GRADE 10'!$V$7:$V$31,"",0,1)&lt;=TODAY()-MOD(WEEKDAY(TODAY(),2)-5,7)),$D13,0)</f>
        <v>0</v>
      </c>
      <c r="CS63" s="67">
        <f ca="1">IF(AND($D13&lt;&gt;0,_xlfn.XLOOKUP($B13,'PW_CMI GRADE 10'!$B$7:$B$31,'PW_CMI GRADE 10'!BM$7:BM$31,"",0,1)="P",
   _xlfn.XLOOKUP($B13,'PW_CMI GRADE 10'!$B$7:$B$31,'PW_CMI GRADE 10'!$W$7:$W$31,"",0,1)&lt;=TODAY()-MOD(WEEKDAY(TODAY(),2)-5,7)),$D13,0)</f>
        <v>0</v>
      </c>
      <c r="CT63" s="67">
        <f ca="1">IF(AND($D13&lt;&gt;0,_xlfn.XLOOKUP($B13,'PW_CMI GRADE 10'!$B$7:$B$31,'PW_CMI GRADE 10'!BN$7:BN$31,"",0,1)="P",
   _xlfn.XLOOKUP($B13,'PW_CMI GRADE 10'!$B$7:$B$31,'PW_CMI GRADE 10'!$U$7:$U$31,"",0,1)&lt;=TODAY()-MOD(WEEKDAY(TODAY(),2)-5,7)),$D13,0)</f>
        <v>0</v>
      </c>
      <c r="CU63" s="67">
        <f ca="1">IF(AND($D13&lt;&gt;0,_xlfn.XLOOKUP($B13,'PW_CMI GRADE 10'!$B$7:$B$31,'PW_CMI GRADE 10'!BO$7:BO$31,"",0,1)="P",
   _xlfn.XLOOKUP($B13,'PW_CMI GRADE 10'!$B$7:$B$31,'PW_CMI GRADE 10'!$V$7:$V$31,"",0,1)&lt;=TODAY()-MOD(WEEKDAY(TODAY(),2)-5,7)),$D13,0)</f>
        <v>0</v>
      </c>
      <c r="CV63" s="67">
        <f ca="1">IF(AND($D13&lt;&gt;0,_xlfn.XLOOKUP($B13,'PW_CMI GRADE 10'!$B$7:$B$31,'PW_CMI GRADE 10'!BP$7:BP$31,"",0,1)="P",
   _xlfn.XLOOKUP($B13,'PW_CMI GRADE 10'!$B$7:$B$31,'PW_CMI GRADE 10'!$W$7:$W$31,"",0,1)&lt;=TODAY()-MOD(WEEKDAY(TODAY(),2)-5,7)),$D13,0)</f>
        <v>0</v>
      </c>
      <c r="CW63" s="62" t="e">
        <f t="shared" ca="1" si="132"/>
        <v>#REF!</v>
      </c>
      <c r="CX63" s="62" t="e">
        <f t="shared" ca="1" si="69"/>
        <v>#REF!</v>
      </c>
      <c r="CY63" s="62" t="e">
        <f t="shared" ca="1" si="70"/>
        <v>#REF!</v>
      </c>
      <c r="CZ63" s="62" t="e">
        <f t="shared" ca="1" si="71"/>
        <v>#REF!</v>
      </c>
      <c r="DA63" s="62" t="e">
        <f t="shared" ca="1" si="72"/>
        <v>#REF!</v>
      </c>
      <c r="DB63" s="62" t="e">
        <f t="shared" ca="1" si="73"/>
        <v>#REF!</v>
      </c>
      <c r="DC63" s="62" t="e">
        <f t="shared" ca="1" si="74"/>
        <v>#REF!</v>
      </c>
      <c r="DD63" s="62" t="e">
        <f t="shared" ca="1" si="75"/>
        <v>#REF!</v>
      </c>
      <c r="DE63" s="62" t="e">
        <f t="shared" ca="1" si="76"/>
        <v>#REF!</v>
      </c>
      <c r="DF63" s="62" t="e">
        <f t="shared" ca="1" si="77"/>
        <v>#REF!</v>
      </c>
      <c r="DG63" s="62" t="e">
        <f t="shared" ca="1" si="78"/>
        <v>#REF!</v>
      </c>
      <c r="DH63" s="62" t="e">
        <f t="shared" ca="1" si="79"/>
        <v>#REF!</v>
      </c>
      <c r="DI63" s="62" t="e">
        <f t="shared" ca="1" si="80"/>
        <v>#REF!</v>
      </c>
      <c r="DJ63" s="62" t="e">
        <f t="shared" ca="1" si="81"/>
        <v>#REF!</v>
      </c>
      <c r="DK63" s="62" t="e">
        <f t="shared" ca="1" si="82"/>
        <v>#REF!</v>
      </c>
      <c r="DL63" s="62" t="e">
        <f t="shared" ca="1" si="83"/>
        <v>#REF!</v>
      </c>
      <c r="DM63" s="62" t="e">
        <f t="shared" ca="1" si="84"/>
        <v>#REF!</v>
      </c>
      <c r="DN63" s="62" t="e">
        <f t="shared" ca="1" si="85"/>
        <v>#REF!</v>
      </c>
      <c r="DO63" s="62" t="e">
        <f t="shared" ca="1" si="86"/>
        <v>#REF!</v>
      </c>
      <c r="DP63" s="62" t="e">
        <f t="shared" ca="1" si="87"/>
        <v>#REF!</v>
      </c>
      <c r="DQ63" s="62" t="e">
        <f t="shared" ca="1" si="88"/>
        <v>#REF!</v>
      </c>
      <c r="DR63" s="62" t="e">
        <f t="shared" ca="1" si="89"/>
        <v>#REF!</v>
      </c>
      <c r="DS63" s="62" t="e">
        <f t="shared" ca="1" si="90"/>
        <v>#REF!</v>
      </c>
      <c r="DT63" s="62" t="e">
        <f t="shared" ca="1" si="91"/>
        <v>#REF!</v>
      </c>
      <c r="DU63" s="62" t="e">
        <f t="shared" ca="1" si="92"/>
        <v>#REF!</v>
      </c>
      <c r="DV63" s="62" t="e">
        <f t="shared" ca="1" si="93"/>
        <v>#REF!</v>
      </c>
      <c r="DW63" s="62" t="e">
        <f t="shared" ca="1" si="94"/>
        <v>#REF!</v>
      </c>
      <c r="DX63" s="62" t="e">
        <f t="shared" ca="1" si="95"/>
        <v>#REF!</v>
      </c>
      <c r="DY63" s="62" t="e">
        <f t="shared" ca="1" si="96"/>
        <v>#REF!</v>
      </c>
      <c r="DZ63" s="62" t="e">
        <f t="shared" ca="1" si="97"/>
        <v>#REF!</v>
      </c>
      <c r="EA63" s="63" t="e">
        <f t="shared" ca="1" si="98"/>
        <v>#REF!</v>
      </c>
      <c r="EB63" s="63" t="e">
        <f t="shared" ca="1" si="99"/>
        <v>#REF!</v>
      </c>
      <c r="EC63" s="63" t="e">
        <f t="shared" ca="1" si="100"/>
        <v>#REF!</v>
      </c>
      <c r="ED63" s="63" t="e">
        <f t="shared" ca="1" si="101"/>
        <v>#REF!</v>
      </c>
      <c r="EE63" s="63" t="e">
        <f t="shared" ca="1" si="102"/>
        <v>#REF!</v>
      </c>
      <c r="EF63" s="63" t="e">
        <f t="shared" ca="1" si="103"/>
        <v>#REF!</v>
      </c>
      <c r="EG63" s="63" t="e">
        <f t="shared" ca="1" si="104"/>
        <v>#REF!</v>
      </c>
      <c r="EH63" s="63" t="e">
        <f t="shared" ca="1" si="105"/>
        <v>#REF!</v>
      </c>
      <c r="EI63" s="63" t="e">
        <f t="shared" ca="1" si="106"/>
        <v>#REF!</v>
      </c>
      <c r="EJ63" s="63" t="e">
        <f t="shared" ca="1" si="107"/>
        <v>#REF!</v>
      </c>
      <c r="EK63" s="63" t="e">
        <f t="shared" ca="1" si="108"/>
        <v>#REF!</v>
      </c>
      <c r="EL63" s="63" t="e">
        <f t="shared" ca="1" si="109"/>
        <v>#REF!</v>
      </c>
      <c r="EM63" s="63" t="e">
        <f t="shared" ca="1" si="110"/>
        <v>#REF!</v>
      </c>
      <c r="EN63" s="63" t="e">
        <f t="shared" ca="1" si="111"/>
        <v>#REF!</v>
      </c>
      <c r="EO63" s="63" t="e">
        <f t="shared" ca="1" si="112"/>
        <v>#REF!</v>
      </c>
      <c r="EP63" s="63" t="e">
        <f t="shared" ca="1" si="113"/>
        <v>#REF!</v>
      </c>
      <c r="ET63" t="str">
        <v>4A.1</v>
      </c>
      <c r="EU63" s="38" t="e">
        <f t="shared" ca="1" si="114"/>
        <v>#REF!</v>
      </c>
      <c r="EV63" s="38" t="e">
        <f t="shared" ca="1" si="115"/>
        <v>#REF!</v>
      </c>
      <c r="EW63" s="38" t="e">
        <f t="shared" ca="1" si="116"/>
        <v>#REF!</v>
      </c>
      <c r="EX63" s="38" t="e">
        <f t="shared" ca="1" si="117"/>
        <v>#REF!</v>
      </c>
      <c r="EY63" s="38" t="e">
        <f t="shared" ca="1" si="118"/>
        <v>#REF!</v>
      </c>
      <c r="EZ63" s="38" t="e">
        <f t="shared" ca="1" si="119"/>
        <v>#REF!</v>
      </c>
      <c r="FA63" s="38" t="e">
        <f t="shared" ca="1" si="120"/>
        <v>#REF!</v>
      </c>
      <c r="FB63" s="38" t="e">
        <f t="shared" ca="1" si="121"/>
        <v>#REF!</v>
      </c>
      <c r="FC63" s="38" t="e">
        <f t="shared" ca="1" si="122"/>
        <v>#REF!</v>
      </c>
      <c r="FD63" s="38" t="e">
        <f t="shared" ca="1" si="123"/>
        <v>#REF!</v>
      </c>
      <c r="FE63" s="38">
        <f t="shared" ca="1" si="133"/>
        <v>0</v>
      </c>
      <c r="FF63" s="38" t="e">
        <f t="shared" ca="1" si="124"/>
        <v>#REF!</v>
      </c>
      <c r="FG63" s="38" t="e">
        <f t="shared" ca="1" si="125"/>
        <v>#REF!</v>
      </c>
      <c r="FH63" s="38" t="e">
        <f t="shared" ca="1" si="126"/>
        <v>#REF!</v>
      </c>
      <c r="FI63" s="38" t="e">
        <f t="shared" ca="1" si="127"/>
        <v>#REF!</v>
      </c>
      <c r="FJ63" s="38" t="e">
        <f t="shared" ca="1" si="128"/>
        <v>#REF!</v>
      </c>
      <c r="FK63" s="38" t="e">
        <f t="shared" ca="1" si="129"/>
        <v>#REF!</v>
      </c>
      <c r="FL63" s="38">
        <f t="shared" ca="1" si="130"/>
        <v>0</v>
      </c>
      <c r="FM63" s="38">
        <v>1</v>
      </c>
      <c r="FN63" s="38">
        <f t="shared" si="134"/>
        <v>0.66666666666666663</v>
      </c>
      <c r="FO63" s="38">
        <f t="shared" si="135"/>
        <v>0.33333333333333331</v>
      </c>
    </row>
    <row r="64" spans="1:223">
      <c r="A64" s="64" t="str">
        <f t="shared" si="131"/>
        <v>2.3</v>
      </c>
      <c r="B64" s="64" t="s">
        <v>45</v>
      </c>
      <c r="C64" s="30">
        <v>1</v>
      </c>
      <c r="D64" s="30">
        <v>1</v>
      </c>
      <c r="E64" s="65">
        <f ca="1">IF(AND($D14&lt;&gt;0,_xlfn.XLOOKUP($B14,'TH_MLG GRADE 10'!$B$7:$B$49,'TH_MLG GRADE 10'!C$7:C$49,"",0,1)="P",
   _xlfn.XLOOKUP($B14,'TH_MLG GRADE 10'!$B$7:$B$49,'TH_MLG GRADE 10'!$BK$7:$BK$49,"",0,1)&lt;=TODAY()-MOD(WEEKDAY(TODAY(),2)-5,7)),$D14,0)</f>
        <v>0</v>
      </c>
      <c r="F64" s="65">
        <f ca="1">IF(AND($D14&lt;&gt;0,_xlfn.XLOOKUP($B14,'TH_MLG GRADE 10'!$B$7:$B$49,'TH_MLG GRADE 10'!D$7:D$49,"",0,1)="P",
   _xlfn.XLOOKUP($B14,'TH_MLG GRADE 10'!$B$7:$B$49,'TH_MLG GRADE 10'!$BL$7:$BL$49,"",0,1)&lt;=TODAY()-MOD(WEEKDAY(TODAY(),2)-5,7)),$D14,0)</f>
        <v>0</v>
      </c>
      <c r="G64" s="65">
        <f ca="1">IF(AND($D14&lt;&gt;0,_xlfn.XLOOKUP($B14,'TH_MLG GRADE 10'!$B$7:$B$49,'TH_MLG GRADE 10'!E$7:E$49,"",0,1)="P",
   _xlfn.XLOOKUP($B14,'TH_MLG GRADE 10'!$B$7:$B$49,'TH_MLG GRADE 10'!$BM$7:$BM$49,"",0,1)&lt;=TODAY()-MOD(WEEKDAY(TODAY(),2)-5,7)),$D14,0)</f>
        <v>0</v>
      </c>
      <c r="H64" s="65">
        <f ca="1">IF(AND($D14&lt;&gt;0,_xlfn.XLOOKUP($B14,'TH_MLG GRADE 10'!$B$7:$B$49,'TH_MLG GRADE 10'!I$7:I$49,"",0,1)="P",
   _xlfn.XLOOKUP($B14,'TH_MLG GRADE 10'!$B$7:$B$49,'TH_MLG GRADE 10'!$BK$7:$BK$49,"",0,1)&lt;=TODAY()-MOD(WEEKDAY(TODAY(),2)-5,7)),$D14,0)</f>
        <v>0</v>
      </c>
      <c r="I64" s="65">
        <f ca="1">IF(AND($D14&lt;&gt;0,_xlfn.XLOOKUP($B14,'TH_MLG GRADE 10'!$B$7:$B$49,'TH_MLG GRADE 10'!J$7:J$49,"",0,1)="P",
   _xlfn.XLOOKUP($B14,'TH_MLG GRADE 10'!$B$7:$B$49,'TH_MLG GRADE 10'!$BL$7:$BL$49,"",0,1)&lt;=TODAY()-MOD(WEEKDAY(TODAY(),2)-5,7)),$D14,0)</f>
        <v>0</v>
      </c>
      <c r="J64" s="65">
        <f ca="1">IF(AND($D14&lt;&gt;0,_xlfn.XLOOKUP($B14,'TH_MLG GRADE 10'!$B$7:$B$49,'TH_MLG GRADE 10'!K$7:K$49,"",0,1)="P",
   _xlfn.XLOOKUP($B14,'TH_MLG GRADE 10'!$B$7:$B$49,'TH_MLG GRADE 10'!$BM$7:$BM$49,"",0,1)&lt;=TODAY()-MOD(WEEKDAY(TODAY(),2)-5,7)),$D14,0)</f>
        <v>0</v>
      </c>
      <c r="K64" s="65">
        <f ca="1">IF(AND($D14&lt;&gt;0,_xlfn.XLOOKUP($B14,'TH_MLG GRADE 10'!$B$7:$B$49,'TH_MLG GRADE 10'!O$7:O$49,"",0,1)="P",
   _xlfn.XLOOKUP($B14,'TH_MLG GRADE 10'!$B$7:$B$49,'TH_MLG GRADE 10'!$BK$7:$BK$49,"",0,1)&lt;=TODAY()-MOD(WEEKDAY(TODAY(),2)-5,7)),$D14,0)</f>
        <v>0</v>
      </c>
      <c r="L64" s="65">
        <f ca="1">IF(AND($D14&lt;&gt;0,_xlfn.XLOOKUP($B14,'TH_MLG GRADE 10'!$B$7:$B$49,'TH_MLG GRADE 10'!P$7:P$49,"",0,1)="P",
   _xlfn.XLOOKUP($B14,'TH_MLG GRADE 10'!$B$7:$B$49,'TH_MLG GRADE 10'!$BL$7:$BL$49,"",0,1)&lt;=TODAY()-MOD(WEEKDAY(TODAY(),2)-5,7)),$D14,0)</f>
        <v>0</v>
      </c>
      <c r="M64" s="65">
        <f ca="1">IF(AND($D14&lt;&gt;0,_xlfn.XLOOKUP($B14,'TH_MLG GRADE 10'!$B$7:$B$49,'TH_MLG GRADE 10'!Q$7:Q$49,"",0,1)="P",
   _xlfn.XLOOKUP($B14,'TH_MLG GRADE 10'!$B$7:$B$49,'TH_MLG GRADE 10'!$BM$7:$BM$49,"",0,1)&lt;=TODAY()-MOD(WEEKDAY(TODAY(),2)-5,7)),$D14,0)</f>
        <v>0</v>
      </c>
      <c r="N64" s="65">
        <f ca="1">IF(AND($D14&lt;&gt;0,_xlfn.XLOOKUP($B14,'TH_MLG GRADE 10'!$B$7:$B$49,'TH_MLG GRADE 10'!AA$7:AA$49,"",0,1)="P",
   _xlfn.XLOOKUP($B14,'TH_MLG GRADE 10'!$B$7:$B$49,'TH_MLG GRADE 10'!$BK$7:$BK$49,"",0,1)&lt;=TODAY()-MOD(WEEKDAY(TODAY(),2)-5,7)),$D14,0)</f>
        <v>0</v>
      </c>
      <c r="O64" s="65">
        <f ca="1">IF(AND($D14&lt;&gt;0,_xlfn.XLOOKUP($B14,'TH_MLG GRADE 10'!$B$7:$B$49,'TH_MLG GRADE 10'!AB$7:AB$49,"",0,1)="P",
   _xlfn.XLOOKUP($B14,'TH_MLG GRADE 10'!$B$7:$B$49,'TH_MLG GRADE 10'!$BL$7:$BL$49,"",0,1)&lt;=TODAY()-MOD(WEEKDAY(TODAY(),2)-5,7)),$D14,0)</f>
        <v>0</v>
      </c>
      <c r="P64" s="65">
        <f ca="1">IF(AND($D14&lt;&gt;0,_xlfn.XLOOKUP($B14,'TH_MLG GRADE 10'!$B$7:$B$49,'TH_MLG GRADE 10'!AC$7:AC$49,"",0,1)="P",
   _xlfn.XLOOKUP($B14,'TH_MLG GRADE 10'!$B$7:$B$49,'TH_MLG GRADE 10'!$BM$7:$BM$49,"",0,1)&lt;=TODAY()-MOD(WEEKDAY(TODAY(),2)-5,7)),$D14,0)</f>
        <v>0</v>
      </c>
      <c r="Q64" s="65">
        <f ca="1">IF(AND($D14&lt;&gt;0,_xlfn.XLOOKUP($B14,'TH_MLG GRADE 10'!$B$7:$B$49,'TH_MLG GRADE 10'!AG$7:AG$49,"",0,1)="P",
   _xlfn.XLOOKUP($B14,'TH_MLG GRADE 10'!$B$7:$B$49,'TH_MLG GRADE 10'!$BK$7:$BK$49,"",0,1)&lt;=TODAY()-MOD(WEEKDAY(TODAY(),2)-5,7)),$D14,0)</f>
        <v>0</v>
      </c>
      <c r="R64" s="65">
        <f ca="1">IF(AND($D14&lt;&gt;0,_xlfn.XLOOKUP($B14,'TH_MLG GRADE 10'!$B$7:$B$49,'TH_MLG GRADE 10'!AH$7:AH$49,"",0,1)="P",
   _xlfn.XLOOKUP($B14,'TH_MLG GRADE 10'!$B$7:$B$49,'TH_MLG GRADE 10'!$BL$7:$BL$49,"",0,1)&lt;=TODAY()-MOD(WEEKDAY(TODAY(),2)-5,7)),$D14,0)</f>
        <v>0</v>
      </c>
      <c r="S64" s="65">
        <f ca="1">IF(AND($D14&lt;&gt;0,_xlfn.XLOOKUP($B14,'TH_MLG GRADE 10'!$B$7:$B$49,'TH_MLG GRADE 10'!AI$7:AI$49,"",0,1)="P",
   _xlfn.XLOOKUP($B14,'TH_MLG GRADE 10'!$B$7:$B$49,'TH_MLG GRADE 10'!$BM$7:$BM$49,"",0,1)&lt;=TODAY()-MOD(WEEKDAY(TODAY(),2)-5,7)),$D14,0)</f>
        <v>0</v>
      </c>
      <c r="T64" s="65">
        <f ca="1">IF(AND($D14&lt;&gt;0,_xlfn.XLOOKUP($B14,'TH_MLG GRADE 10'!$B$7:$B$49,'TH_MLG GRADE 10'!AM$7:AM$49,"",0,1)="P",
   _xlfn.XLOOKUP($B14,'TH_MLG GRADE 10'!$B$7:$B$49,'TH_MLG GRADE 10'!$BK$7:$BK$49,"",0,1)&lt;=TODAY()-MOD(WEEKDAY(TODAY(),2)-5,7)),$D14,0)</f>
        <v>1</v>
      </c>
      <c r="U64" s="65">
        <f ca="1">IF(AND($D14&lt;&gt;0,_xlfn.XLOOKUP($B14,'TH_MLG GRADE 10'!$B$7:$B$49,'TH_MLG GRADE 10'!AN$7:AN$49,"",0,1)="P",
   _xlfn.XLOOKUP($B14,'TH_MLG GRADE 10'!$B$7:$B$49,'TH_MLG GRADE 10'!$BL$7:$BL$49,"",0,1)&lt;=TODAY()-MOD(WEEKDAY(TODAY(),2)-5,7)),$D14,0)</f>
        <v>1</v>
      </c>
      <c r="V64" s="65">
        <f ca="1">IF(AND($D14&lt;&gt;0,_xlfn.XLOOKUP($B14,'TH_MLG GRADE 10'!$B$7:$B$49,'TH_MLG GRADE 10'!AO$7:AO$49,"",0,1)="P",
   _xlfn.XLOOKUP($B14,'TH_MLG GRADE 10'!$B$7:$B$49,'TH_MLG GRADE 10'!$BM$7:$BM$49,"",0,1)&lt;=TODAY()-MOD(WEEKDAY(TODAY(),2)-5,7)),$D14,0)</f>
        <v>1</v>
      </c>
      <c r="W64" s="65">
        <f ca="1">IF(AND($D14&lt;&gt;0,_xlfn.XLOOKUP($B14,'TH_MLG GRADE 10'!$B$7:$B$49,'TH_MLG GRADE 10'!AY$7:AY$49,"",0,1)="P",
   _xlfn.XLOOKUP($B14,'TH_MLG GRADE 10'!$B$7:$B$49,'TH_MLG GRADE 10'!$BK$7:$BK$49,"",0,1)&lt;=TODAY()-MOD(WEEKDAY(TODAY(),2)-5,7)),$D14,0)</f>
        <v>1</v>
      </c>
      <c r="X64" s="65">
        <f ca="1">IF(AND($D14&lt;&gt;0,_xlfn.XLOOKUP($B14,'TH_MLG GRADE 10'!$B$7:$B$49,'TH_MLG GRADE 10'!AZ$7:AZ$49,"",0,1)="P",
   _xlfn.XLOOKUP($B14,'TH_MLG GRADE 10'!$B$7:$B$49,'TH_MLG GRADE 10'!$BL$7:$BL$49,"",0,1)&lt;=TODAY()-MOD(WEEKDAY(TODAY(),2)-5,7)),$D14,0)</f>
        <v>1</v>
      </c>
      <c r="Y64" s="65">
        <f ca="1">IF(AND($D14&lt;&gt;0,_xlfn.XLOOKUP($B14,'TH_MLG GRADE 10'!$B$7:$B$49,'TH_MLG GRADE 10'!BA$7:BA$49,"",0,1)="P",
   _xlfn.XLOOKUP($B14,'TH_MLG GRADE 10'!$B$7:$B$49,'TH_MLG GRADE 10'!$BM$7:$BM$49,"",0,1)&lt;=TODAY()-MOD(WEEKDAY(TODAY(),2)-5,7)),$D14,0)</f>
        <v>0</v>
      </c>
      <c r="Z64" s="65">
        <f ca="1">IF(AND($D14&lt;&gt;0,_xlfn.XLOOKUP($B14,'TH_MLG GRADE 10'!$B$7:$B$49,'TH_MLG GRADE 10'!BE$7:BE$49,"",0,1)="P",
   _xlfn.XLOOKUP($B14,'TH_MLG GRADE 10'!$B$7:$B$49,'TH_MLG GRADE 10'!$BK$7:$BK$49,"",0,1)&lt;=TODAY()-MOD(WEEKDAY(TODAY(),2)-5,7)),$D14,0)</f>
        <v>0</v>
      </c>
      <c r="AA64" s="65">
        <f ca="1">IF(AND($D14&lt;&gt;0,_xlfn.XLOOKUP($B14,'TH_MLG GRADE 10'!$B$7:$B$49,'TH_MLG GRADE 10'!BF$7:BF$49,"",0,1)="P",
   _xlfn.XLOOKUP($B14,'TH_MLG GRADE 10'!$B$7:$B$49,'TH_MLG GRADE 10'!$BL$7:$BL$49,"",0,1)&lt;=TODAY()-MOD(WEEKDAY(TODAY(),2)-5,7)),$D14,0)</f>
        <v>0</v>
      </c>
      <c r="AB64" s="65">
        <f ca="1">IF(AND($D14&lt;&gt;0,_xlfn.XLOOKUP($B14,'TH_MLG GRADE 10'!$B$7:$B$49,'TH_MLG GRADE 10'!BG$7:BG$49,"",0,1)="P",
   _xlfn.XLOOKUP($B14,'TH_MLG GRADE 10'!$B$7:$B$49,'TH_MLG GRADE 10'!$BM$7:$BM$49,"",0,1)&lt;=TODAY()-MOD(WEEKDAY(TODAY(),2)-5,7)),$D14,0)</f>
        <v>0</v>
      </c>
      <c r="AC64" s="65" t="e">
        <f ca="1">IF(AND($D14&lt;&gt;0,_xlfn.XLOOKUP($B14,'TH_MLG GRADE 10'!$B$7:$B$49,'TH_MLG GRADE 10'!#REF!,"",0,1)="P",
   _xlfn.XLOOKUP($B14,'TH_MLG GRADE 10'!$B$7:$B$49,'TH_MLG GRADE 10'!$BK$7:$BK$49,"",0,1)&lt;=TODAY()-MOD(WEEKDAY(TODAY(),2)-5,7)),$D14,0)</f>
        <v>#REF!</v>
      </c>
      <c r="AD64" s="65" t="e">
        <f ca="1">IF(AND($D14&lt;&gt;0,_xlfn.XLOOKUP($B14,'TH_MLG GRADE 10'!$B$7:$B$49,'TH_MLG GRADE 10'!#REF!,"",0,1)="P",
   _xlfn.XLOOKUP($B14,'TH_MLG GRADE 10'!$B$7:$B$49,'TH_MLG GRADE 10'!$BL$7:$BL$49,"",0,1)&lt;=TODAY()-MOD(WEEKDAY(TODAY(),2)-5,7)),$D14,0)</f>
        <v>#REF!</v>
      </c>
      <c r="AE64" s="65" t="e">
        <f ca="1">IF(AND($D14&lt;&gt;0,_xlfn.XLOOKUP($B14,'TH_MLG GRADE 10'!$B$7:$B$49,'TH_MLG GRADE 10'!#REF!,"",0,1)="P",
   _xlfn.XLOOKUP($B14,'TH_MLG GRADE 10'!$B$7:$B$49,'TH_MLG GRADE 10'!$BM$7:$BM$49,"",0,1)&lt;=TODAY()-MOD(WEEKDAY(TODAY(),2)-5,7)),$D14,0)</f>
        <v>#REF!</v>
      </c>
      <c r="AF64" s="65" t="e">
        <f ca="1">IF(AND($D14&lt;&gt;0,_xlfn.XLOOKUP($B14,'TH_MLG GRADE 10'!$B$7:$B$49,'TH_MLG GRADE 10'!#REF!,"",0,1)="P",
   _xlfn.XLOOKUP($B14,'TH_MLG GRADE 10'!$B$7:$B$49,'TH_MLG GRADE 10'!$BK$7:$BK$49,"",0,1)&lt;=TODAY()-MOD(WEEKDAY(TODAY(),2)-5,7)),$D14,0)</f>
        <v>#REF!</v>
      </c>
      <c r="AG64" s="65" t="e">
        <f ca="1">IF(AND($D14&lt;&gt;0,_xlfn.XLOOKUP($B14,'TH_MLG GRADE 10'!$B$7:$B$49,'TH_MLG GRADE 10'!#REF!,"",0,1)="P",
   _xlfn.XLOOKUP($B14,'TH_MLG GRADE 10'!$B$7:$B$49,'TH_MLG GRADE 10'!$BL$7:$BL$49,"",0,1)&lt;=TODAY()-MOD(WEEKDAY(TODAY(),2)-5,7)),$D14,0)</f>
        <v>#REF!</v>
      </c>
      <c r="AH64" s="65" t="e">
        <f ca="1">IF(AND($D14&lt;&gt;0,_xlfn.XLOOKUP($B14,'TH_MLG GRADE 10'!$B$7:$B$49,'TH_MLG GRADE 10'!#REF!,"",0,1)="P",
   _xlfn.XLOOKUP($B14,'TH_MLG GRADE 10'!$B$7:$B$49,'TH_MLG GRADE 10'!$BM$7:$BM$49,"",0,1)&lt;=TODAY()-MOD(WEEKDAY(TODAY(),2)-5,7)),$D14,0)</f>
        <v>#REF!</v>
      </c>
      <c r="AI64" s="67">
        <f ca="1">IF(AND($D14&lt;&gt;0,_xlfn.XLOOKUP($B14,'TH_CMI GRADE 10'!$B$7:$B$49,'TH_CMI GRADE 10'!C$7:C$49,"",0,1)="P",
   _xlfn.XLOOKUP($B14,'TH_CMI GRADE 10'!$B$7:$B$49,'TH_CMI GRADE 10'!$AS$7:$AS$49,"",0,1)&lt;=TODAY()-MOD(WEEKDAY(TODAY(),2)-5,7)),$D14,0)</f>
        <v>0</v>
      </c>
      <c r="AJ64" s="67">
        <f ca="1">IF(AND($D14&lt;&gt;0,_xlfn.XLOOKUP($B14,'TH_CMI GRADE 10'!$B$7:$B$49,'TH_CMI GRADE 10'!D$7:D$49,"",0,1)="P",
   _xlfn.XLOOKUP($B14,'TH_CMI GRADE 10'!$B$7:$B$49,'TH_CMI GRADE 10'!$AT$7:$AT$49,"",0,1)&lt;=TODAY()-MOD(WEEKDAY(TODAY(),2)-5,7)),$D14,0)</f>
        <v>0</v>
      </c>
      <c r="AK64" s="67" t="e">
        <f ca="1">IF(AND($D14&lt;&gt;0,_xlfn.XLOOKUP($B14,'TH_CMI GRADE 10'!$B$7:$B$49,'TH_CMI GRADE 10'!H$7:H$49,"",0,1)="P",
   _xlfn.XLOOKUP($B14,'TH_CMI GRADE 10'!$B$7:$B$49,'TH_CMI GRADE 10'!#REF!,"",0,1)&lt;=TODAY()-MOD(WEEKDAY(TODAY(),2)-5,7)),$D14,0)</f>
        <v>#REF!</v>
      </c>
      <c r="AL64" s="67">
        <f ca="1">IF(AND($D14&lt;&gt;0,_xlfn.XLOOKUP($B14,'TH_CMI GRADE 10'!$B$7:$B$49,'TH_CMI GRADE 10'!I$7:I$49,"",0,1)="P",
   _xlfn.XLOOKUP($B14,'TH_CMI GRADE 10'!$B$7:$B$49,'TH_CMI GRADE 10'!$AS$7:$AS$49,"",0,1)&lt;=TODAY()-MOD(WEEKDAY(TODAY(),2)-5,7)),$D14,0)</f>
        <v>0</v>
      </c>
      <c r="AM64" s="67">
        <f ca="1">IF(AND($D14&lt;&gt;0,_xlfn.XLOOKUP($B14,'TH_CMI GRADE 10'!$B$7:$B$49,'TH_CMI GRADE 10'!J$7:J$49,"",0,1)="P",
   _xlfn.XLOOKUP($B14,'TH_CMI GRADE 10'!$B$7:$B$49,'TH_CMI GRADE 10'!$AT$7:$AT$49,"",0,1)&lt;=TODAY()-MOD(WEEKDAY(TODAY(),2)-5,7)),$D14,0)</f>
        <v>0</v>
      </c>
      <c r="AN64" s="67" t="e">
        <f ca="1">IF(AND($D14&lt;&gt;0,_xlfn.XLOOKUP($B14,'TH_CMI GRADE 10'!$B$7:$B$49,'TH_CMI GRADE 10'!K$7:K$49,"",0,1)="P",
   _xlfn.XLOOKUP($B14,'TH_CMI GRADE 10'!$B$7:$B$49,'TH_CMI GRADE 10'!#REF!,"",0,1)&lt;=TODAY()-MOD(WEEKDAY(TODAY(),2)-5,7)),$D14,0)</f>
        <v>#REF!</v>
      </c>
      <c r="AO64" s="67">
        <f ca="1">IF(AND($D14&lt;&gt;0,_xlfn.XLOOKUP($B14,'TH_CMI GRADE 10'!$B$7:$B$49,'TH_CMI GRADE 10'!O$7:O$49,"",0,1)="P",
   _xlfn.XLOOKUP($B14,'TH_CMI GRADE 10'!$B$7:$B$49,'TH_CMI GRADE 10'!$AS$7:$AS$49,"",0,1)&lt;=TODAY()-MOD(WEEKDAY(TODAY(),2)-5,7)),$D14,0)</f>
        <v>0</v>
      </c>
      <c r="AP64" s="67">
        <f ca="1">IF(AND($D14&lt;&gt;0,_xlfn.XLOOKUP($B14,'TH_CMI GRADE 10'!$B$7:$B$49,'TH_CMI GRADE 10'!P$7:P$49,"",0,1)="P",
   _xlfn.XLOOKUP($B14,'TH_CMI GRADE 10'!$B$7:$B$49,'TH_CMI GRADE 10'!$AT$7:$AT$49,"",0,1)&lt;=TODAY()-MOD(WEEKDAY(TODAY(),2)-5,7)),$D14,0)</f>
        <v>0</v>
      </c>
      <c r="AQ64" s="67" t="e">
        <f ca="1">IF(AND($D14&lt;&gt;0,_xlfn.XLOOKUP($B14,'TH_CMI GRADE 10'!$B$7:$B$49,'TH_CMI GRADE 10'!Q$7:Q$49,"",0,1)="P",
   _xlfn.XLOOKUP($B14,'TH_CMI GRADE 10'!$B$7:$B$49,'TH_CMI GRADE 10'!#REF!,"",0,1)&lt;=TODAY()-MOD(WEEKDAY(TODAY(),2)-5,7)),$D14,0)</f>
        <v>#REF!</v>
      </c>
      <c r="AR64" s="67">
        <f ca="1">IF(AND($D14&lt;&gt;0,_xlfn.XLOOKUP($B14,'TH_CMI GRADE 10'!$B$7:$B$49,'TH_CMI GRADE 10'!U$7:U$49,"",0,1)="P",
   _xlfn.XLOOKUP($B14,'TH_CMI GRADE 10'!$B$7:$B$49,'TH_CMI GRADE 10'!$AS$7:$AS$49,"",0,1)&lt;=TODAY()-MOD(WEEKDAY(TODAY(),2)-5,7)),$D14,0)</f>
        <v>0</v>
      </c>
      <c r="AS64" s="67">
        <f ca="1">IF(AND($D14&lt;&gt;0,_xlfn.XLOOKUP($B14,'TH_CMI GRADE 10'!$B$7:$B$49,'TH_CMI GRADE 10'!V$7:V$49,"",0,1)="P",
   _xlfn.XLOOKUP($B14,'TH_CMI GRADE 10'!$B$7:$B$49,'TH_CMI GRADE 10'!$AT$7:$AT$49,"",0,1)&lt;=TODAY()-MOD(WEEKDAY(TODAY(),2)-5,7)),$D14,0)</f>
        <v>0</v>
      </c>
      <c r="AT64" s="67" t="e">
        <f ca="1">IF(AND($D14&lt;&gt;0,_xlfn.XLOOKUP($B14,'TH_CMI GRADE 10'!$B$7:$B$49,'TH_CMI GRADE 10'!W$7:W$49,"",0,1)="P",
   _xlfn.XLOOKUP($B14,'TH_CMI GRADE 10'!$B$7:$B$49,'TH_CMI GRADE 10'!#REF!,"",0,1)&lt;=TODAY()-MOD(WEEKDAY(TODAY(),2)-5,7)),$D14,0)</f>
        <v>#REF!</v>
      </c>
      <c r="AU64" s="67">
        <f ca="1">IF(AND($D14&lt;&gt;0,_xlfn.XLOOKUP($B14,'TH_CMI GRADE 10'!$B$7:$B$49,'TH_CMI GRADE 10'!AA$7:AA$49,"",0,1)="P",
   _xlfn.XLOOKUP($B14,'TH_CMI GRADE 10'!$B$7:$B$49,'TH_CMI GRADE 10'!$AS$7:$AS$49,"",0,1)&lt;=TODAY()-MOD(WEEKDAY(TODAY(),2)-5,7)),$D14,0)</f>
        <v>1</v>
      </c>
      <c r="AV64" s="67">
        <f ca="1">IF(AND($D14&lt;&gt;0,_xlfn.XLOOKUP($B14,'TH_CMI GRADE 10'!$B$7:$B$49,'TH_CMI GRADE 10'!AB$7:AB$49,"",0,1)="P",
   _xlfn.XLOOKUP($B14,'TH_CMI GRADE 10'!$B$7:$B$49,'TH_CMI GRADE 10'!$AT$7:$AT$49,"",0,1)&lt;=TODAY()-MOD(WEEKDAY(TODAY(),2)-5,7)),$D14,0)</f>
        <v>1</v>
      </c>
      <c r="AW64" s="67" t="e">
        <f ca="1">IF(AND($D14&lt;&gt;0,_xlfn.XLOOKUP($B14,'TH_CMI GRADE 10'!$B$7:$B$49,'TH_CMI GRADE 10'!AC$7:AC$49,"",0,1)="P",
   _xlfn.XLOOKUP($B14,'TH_CMI GRADE 10'!$B$7:$B$49,'TH_CMI GRADE 10'!#REF!,"",0,1)&lt;=TODAY()-MOD(WEEKDAY(TODAY(),2)-5,7)),$D14,0)</f>
        <v>#REF!</v>
      </c>
      <c r="AX64" s="67">
        <f ca="1">IF(AND($D14&lt;&gt;0,_xlfn.XLOOKUP($B14,'TH_CMI GRADE 10'!$B$7:$B$49,'TH_CMI GRADE 10'!AG$7:AG$49,"",0,1)="P",
   _xlfn.XLOOKUP($B14,'TH_CMI GRADE 10'!$B$7:$B$49,'TH_CMI GRADE 10'!$AS$7:$AS$49,"",0,1)&lt;=TODAY()-MOD(WEEKDAY(TODAY(),2)-5,7)),$D14,0)</f>
        <v>1</v>
      </c>
      <c r="AY64" s="67">
        <f ca="1">IF(AND($D14&lt;&gt;0,_xlfn.XLOOKUP($B14,'TH_CMI GRADE 10'!$B$7:$B$49,'TH_CMI GRADE 10'!AH$7:AH$49,"",0,1)="P",
   _xlfn.XLOOKUP($B14,'TH_CMI GRADE 10'!$B$7:$B$49,'TH_CMI GRADE 10'!$AT$7:$AT$49,"",0,1)&lt;=TODAY()-MOD(WEEKDAY(TODAY(),2)-5,7)),$D14,0)</f>
        <v>1</v>
      </c>
      <c r="AZ64" s="67" t="e">
        <f ca="1">IF(AND($D14&lt;&gt;0,_xlfn.XLOOKUP($B14,'TH_CMI GRADE 10'!$B$7:$B$49,'TH_CMI GRADE 10'!AI$7:AI$49,"",0,1)="P",
   _xlfn.XLOOKUP($B14,'TH_CMI GRADE 10'!$B$7:$B$49,'TH_CMI GRADE 10'!#REF!,"",0,1)&lt;=TODAY()-MOD(WEEKDAY(TODAY(),2)-5,7)),$D14,0)</f>
        <v>#REF!</v>
      </c>
      <c r="BA64" s="65" t="e">
        <f ca="1">IF(AND($D14&lt;&gt;0,_xlfn.XLOOKUP($B14,'PW_MLG GRADE 10'!$B$7:$B$31,'PW_MLG GRADE 10'!R$7:R$31,"",0,1)="P",
   _xlfn.XLOOKUP($B14,'PW_MLG GRADE 10'!$B$7:$B$31,'PW_MLG GRADE 10'!#REF!,"",0,1)&lt;=TODAY()-MOD(WEEKDAY(TODAY(),2)-5,7)),$D14,0)</f>
        <v>#REF!</v>
      </c>
      <c r="BB64" s="65" t="e">
        <f ca="1">IF(AND($D14&lt;&gt;0,_xlfn.XLOOKUP($B14,'PW_MLG GRADE 10'!$B$7:$B$31,'PW_MLG GRADE 10'!S$7:S$31,"",0,1)="P",
   _xlfn.XLOOKUP($B14,'PW_MLG GRADE 10'!$B$7:$B$31,'PW_MLG GRADE 10'!#REF!,"",0,1)&lt;=TODAY()-MOD(WEEKDAY(TODAY(),2)-5,7)),$D14,0)</f>
        <v>#REF!</v>
      </c>
      <c r="BC64" s="65" t="e">
        <f ca="1">IF(AND($D14&lt;&gt;0,_xlfn.XLOOKUP($B14,'PW_MLG GRADE 10'!$B$7:$B$31,'PW_MLG GRADE 10'!T$7:T$31,"",0,1)="P",
   _xlfn.XLOOKUP($B14,'PW_MLG GRADE 10'!$B$7:$B$31,'PW_MLG GRADE 10'!#REF!,"",0,1)&lt;=TODAY()-MOD(WEEKDAY(TODAY(),2)-5,7)),$D14,0)</f>
        <v>#REF!</v>
      </c>
      <c r="BD64" s="65" t="e">
        <f ca="1">IF(AND($D14&lt;&gt;0,_xlfn.XLOOKUP($B14,'PW_MLG GRADE 10'!$B$7:$B$31,'PW_MLG GRADE 10'!AA$7:AA$31,"",0,1)="P",
   _xlfn.XLOOKUP($B14,'PW_MLG GRADE 10'!$B$7:$B$31,'PW_MLG GRADE 10'!#REF!,"",0,1)&lt;=TODAY()-MOD(WEEKDAY(TODAY(),2)-5,7)),$D14,0)</f>
        <v>#REF!</v>
      </c>
      <c r="BE64" s="65" t="e">
        <f ca="1">IF(AND($D14&lt;&gt;0,_xlfn.XLOOKUP($B14,'PW_MLG GRADE 10'!$B$7:$B$31,'PW_MLG GRADE 10'!AB$7:AB$31,"",0,1)="P",
   _xlfn.XLOOKUP($B14,'PW_MLG GRADE 10'!$B$7:$B$31,'PW_MLG GRADE 10'!#REF!,"",0,1)&lt;=TODAY()-MOD(WEEKDAY(TODAY(),2)-5,7)),$D14,0)</f>
        <v>#REF!</v>
      </c>
      <c r="BF64" s="65" t="e">
        <f ca="1">IF(AND($D14&lt;&gt;0,_xlfn.XLOOKUP($B14,'PW_MLG GRADE 10'!$B$7:$B$31,'PW_MLG GRADE 10'!AC$7:AC$31,"",0,1)="P",
   _xlfn.XLOOKUP($B14,'PW_MLG GRADE 10'!$B$7:$B$31,'PW_MLG GRADE 10'!#REF!,"",0,1)&lt;=TODAY()-MOD(WEEKDAY(TODAY(),2)-5,7)),$D14,0)</f>
        <v>#REF!</v>
      </c>
      <c r="BG64" s="65" t="e">
        <f ca="1">IF(AND($D14&lt;&gt;0,_xlfn.XLOOKUP($B14,'PW_MLG GRADE 10'!$B$7:$B$31,'PW_MLG GRADE 10'!AD$7:AD$31,"",0,1)="P",
   _xlfn.XLOOKUP($B14,'PW_MLG GRADE 10'!$B$7:$B$31,'PW_MLG GRADE 10'!#REF!,"",0,1)&lt;=TODAY()-MOD(WEEKDAY(TODAY(),2)-5,7)),$D14,0)</f>
        <v>#REF!</v>
      </c>
      <c r="BH64" s="65" t="e">
        <f ca="1">IF(AND($D14&lt;&gt;0,_xlfn.XLOOKUP($B14,'PW_MLG GRADE 10'!$B$7:$B$31,'PW_MLG GRADE 10'!AE$7:AE$31,"",0,1)="P",
   _xlfn.XLOOKUP($B14,'PW_MLG GRADE 10'!$B$7:$B$31,'PW_MLG GRADE 10'!#REF!,"",0,1)&lt;=TODAY()-MOD(WEEKDAY(TODAY(),2)-5,7)),$D14,0)</f>
        <v>#REF!</v>
      </c>
      <c r="BI64" s="65" t="e">
        <f ca="1">IF(AND($D14&lt;&gt;0,_xlfn.XLOOKUP($B14,'PW_MLG GRADE 10'!$B$7:$B$31,'PW_MLG GRADE 10'!AF$7:AF$31,"",0,1)="P",
   _xlfn.XLOOKUP($B14,'PW_MLG GRADE 10'!$B$7:$B$31,'PW_MLG GRADE 10'!#REF!,"",0,1)&lt;=TODAY()-MOD(WEEKDAY(TODAY(),2)-5,7)),$D14,0)</f>
        <v>#REF!</v>
      </c>
      <c r="BJ64" s="65" t="e">
        <f ca="1">IF(AND($D14&lt;&gt;0,_xlfn.XLOOKUP($B14,'PW_MLG GRADE 10'!$B$7:$B$31,'PW_MLG GRADE 10'!AG$7:AG$31,"",0,1)="P",
   _xlfn.XLOOKUP($B14,'PW_MLG GRADE 10'!$B$7:$B$31,'PW_MLG GRADE 10'!#REF!,"",0,1)&lt;=TODAY()-MOD(WEEKDAY(TODAY(),2)-5,7)),$D14,0)</f>
        <v>#REF!</v>
      </c>
      <c r="BK64" s="65" t="e">
        <f ca="1">IF(AND($D14&lt;&gt;0,_xlfn.XLOOKUP($B14,'PW_MLG GRADE 10'!$B$7:$B$31,'PW_MLG GRADE 10'!AH$7:AH$31,"",0,1)="P",
   _xlfn.XLOOKUP($B14,'PW_MLG GRADE 10'!$B$7:$B$31,'PW_MLG GRADE 10'!#REF!,"",0,1)&lt;=TODAY()-MOD(WEEKDAY(TODAY(),2)-5,7)),$D14,0)</f>
        <v>#REF!</v>
      </c>
      <c r="BL64" s="65" t="e">
        <f ca="1">IF(AND($D14&lt;&gt;0,_xlfn.XLOOKUP($B14,'PW_MLG GRADE 10'!$B$7:$B$31,'PW_MLG GRADE 10'!AI$7:AI$31,"",0,1)="P",
   _xlfn.XLOOKUP($B14,'PW_MLG GRADE 10'!$B$7:$B$31,'PW_MLG GRADE 10'!#REF!,"",0,1)&lt;=TODAY()-MOD(WEEKDAY(TODAY(),2)-5,7)),$D14,0)</f>
        <v>#REF!</v>
      </c>
      <c r="BM64" s="65" t="e">
        <f ca="1">IF(AND($D14&lt;&gt;0,_xlfn.XLOOKUP($B14,'PW_MLG GRADE 10'!$B$7:$B$31,'PW_MLG GRADE 10'!AJ$7:AJ$31,"",0,1)="P",
   _xlfn.XLOOKUP($B14,'PW_MLG GRADE 10'!$B$7:$B$31,'PW_MLG GRADE 10'!#REF!,"",0,1)&lt;=TODAY()-MOD(WEEKDAY(TODAY(),2)-5,7)),$D14,0)</f>
        <v>#REF!</v>
      </c>
      <c r="BN64" s="65" t="e">
        <f ca="1">IF(AND($D14&lt;&gt;0,_xlfn.XLOOKUP($B14,'PW_MLG GRADE 10'!$B$7:$B$31,'PW_MLG GRADE 10'!AK$7:AK$31,"",0,1)="P",
   _xlfn.XLOOKUP($B14,'PW_MLG GRADE 10'!$B$7:$B$31,'PW_MLG GRADE 10'!#REF!,"",0,1)&lt;=TODAY()-MOD(WEEKDAY(TODAY(),2)-5,7)),$D14,0)</f>
        <v>#REF!</v>
      </c>
      <c r="BO64" s="65" t="e">
        <f ca="1">IF(AND($D14&lt;&gt;0,_xlfn.XLOOKUP($B14,'PW_MLG GRADE 10'!$B$7:$B$31,'PW_MLG GRADE 10'!AL$7:AL$31,"",0,1)="P",
   _xlfn.XLOOKUP($B14,'PW_MLG GRADE 10'!$B$7:$B$31,'PW_MLG GRADE 10'!#REF!,"",0,1)&lt;=TODAY()-MOD(WEEKDAY(TODAY(),2)-5,7)),$D14,0)</f>
        <v>#REF!</v>
      </c>
      <c r="BP64" s="65" t="e">
        <f ca="1">IF(AND($D14&lt;&gt;0,_xlfn.XLOOKUP($B14,'PW_MLG GRADE 10'!$B$7:$B$31,'PW_MLG GRADE 10'!AM$7:AM$31,"",0,1)="P",
   _xlfn.XLOOKUP($B14,'PW_MLG GRADE 10'!$B$7:$B$31,'PW_MLG GRADE 10'!#REF!,"",0,1)&lt;=TODAY()-MOD(WEEKDAY(TODAY(),2)-5,7)),$D14,0)</f>
        <v>#REF!</v>
      </c>
      <c r="BQ64" s="65" t="e">
        <f ca="1">IF(AND($D14&lt;&gt;0,_xlfn.XLOOKUP($B14,'PW_MLG GRADE 10'!$B$7:$B$31,'PW_MLG GRADE 10'!AN$7:AN$31,"",0,1)="P",
   _xlfn.XLOOKUP($B14,'PW_MLG GRADE 10'!$B$7:$B$31,'PW_MLG GRADE 10'!#REF!,"",0,1)&lt;=TODAY()-MOD(WEEKDAY(TODAY(),2)-5,7)),$D14,0)</f>
        <v>#REF!</v>
      </c>
      <c r="BR64" s="65" t="e">
        <f ca="1">IF(AND($D14&lt;&gt;0,_xlfn.XLOOKUP($B14,'PW_MLG GRADE 10'!$B$7:$B$31,'PW_MLG GRADE 10'!AO$7:AO$31,"",0,1)="P",
   _xlfn.XLOOKUP($B14,'PW_MLG GRADE 10'!$B$7:$B$31,'PW_MLG GRADE 10'!#REF!,"",0,1)&lt;=TODAY()-MOD(WEEKDAY(TODAY(),2)-5,7)),$D14,0)</f>
        <v>#REF!</v>
      </c>
      <c r="BS64" s="65" t="e">
        <f ca="1">IF(AND($D14&lt;&gt;0,_xlfn.XLOOKUP($B14,'PW_MLG GRADE 10'!$B$7:$B$31,'PW_MLG GRADE 10'!AP$7:AP$31,"",0,1)="P",
   _xlfn.XLOOKUP($B14,'PW_MLG GRADE 10'!$B$7:$B$31,'PW_MLG GRADE 10'!#REF!,"",0,1)&lt;=TODAY()-MOD(WEEKDAY(TODAY(),2)-5,7)),$D14,0)</f>
        <v>#REF!</v>
      </c>
      <c r="BT64" s="65" t="e">
        <f ca="1">IF(AND($D14&lt;&gt;0,_xlfn.XLOOKUP($B14,'PW_MLG GRADE 10'!$B$7:$B$31,'PW_MLG GRADE 10'!AQ$7:AQ$31,"",0,1)="P",
   _xlfn.XLOOKUP($B14,'PW_MLG GRADE 10'!$B$7:$B$31,'PW_MLG GRADE 10'!#REF!,"",0,1)&lt;=TODAY()-MOD(WEEKDAY(TODAY(),2)-5,7)),$D14,0)</f>
        <v>#REF!</v>
      </c>
      <c r="BU64" s="65" t="e">
        <f ca="1">IF(AND($D14&lt;&gt;0,_xlfn.XLOOKUP($B14,'PW_MLG GRADE 10'!$B$7:$B$31,'PW_MLG GRADE 10'!AR$7:AR$31,"",0,1)="P",
   _xlfn.XLOOKUP($B14,'PW_MLG GRADE 10'!$B$7:$B$31,'PW_MLG GRADE 10'!#REF!,"",0,1)&lt;=TODAY()-MOD(WEEKDAY(TODAY(),2)-5,7)),$D14,0)</f>
        <v>#REF!</v>
      </c>
      <c r="BV64" s="65" t="e">
        <f ca="1">IF(AND($D14&lt;&gt;0,_xlfn.XLOOKUP($B14,'PW_MLG GRADE 10'!$B$7:$B$31,'PW_MLG GRADE 10'!AY$7:AY$31,"",0,1)="P",
   _xlfn.XLOOKUP($B14,'PW_MLG GRADE 10'!$B$7:$B$31,'PW_MLG GRADE 10'!#REF!,"",0,1)&lt;=TODAY()-MOD(WEEKDAY(TODAY(),2)-5,7)),$D14,0)</f>
        <v>#REF!</v>
      </c>
      <c r="BW64" s="65" t="e">
        <f ca="1">IF(AND($D14&lt;&gt;0,_xlfn.XLOOKUP($B14,'PW_MLG GRADE 10'!$B$7:$B$31,'PW_MLG GRADE 10'!AZ$7:AZ$31,"",0,1)="P",
   _xlfn.XLOOKUP($B14,'PW_MLG GRADE 10'!$B$7:$B$31,'PW_MLG GRADE 10'!#REF!,"",0,1)&lt;=TODAY()-MOD(WEEKDAY(TODAY(),2)-5,7)),$D14,0)</f>
        <v>#REF!</v>
      </c>
      <c r="BX64" s="65" t="e">
        <f ca="1">IF(AND($D14&lt;&gt;0,_xlfn.XLOOKUP($B14,'PW_MLG GRADE 10'!$B$7:$B$31,'PW_MLG GRADE 10'!BA$7:BA$31,"",0,1)="P",
   _xlfn.XLOOKUP($B14,'PW_MLG GRADE 10'!$B$7:$B$31,'PW_MLG GRADE 10'!#REF!,"",0,1)&lt;=TODAY()-MOD(WEEKDAY(TODAY(),2)-5,7)),$D14,0)</f>
        <v>#REF!</v>
      </c>
      <c r="BY64" s="65" t="e">
        <f ca="1">IF(AND($D14&lt;&gt;0,_xlfn.XLOOKUP($B14,'PW_MLG GRADE 10'!$B$7:$B$31,'PW_MLG GRADE 10'!BB$7:BB$31,"",0,1)="P",
   _xlfn.XLOOKUP($B14,'PW_MLG GRADE 10'!$B$7:$B$31,'PW_MLG GRADE 10'!#REF!,"",0,1)&lt;=TODAY()-MOD(WEEKDAY(TODAY(),2)-5,7)),$D14,0)</f>
        <v>#REF!</v>
      </c>
      <c r="BZ64" s="65" t="e">
        <f ca="1">IF(AND($D14&lt;&gt;0,_xlfn.XLOOKUP($B14,'PW_MLG GRADE 10'!$B$7:$B$31,'PW_MLG GRADE 10'!BC$7:BC$31,"",0,1)="P",
   _xlfn.XLOOKUP($B14,'PW_MLG GRADE 10'!$B$7:$B$31,'PW_MLG GRADE 10'!#REF!,"",0,1)&lt;=TODAY()-MOD(WEEKDAY(TODAY(),2)-5,7)),$D14,0)</f>
        <v>#REF!</v>
      </c>
      <c r="CA64" s="65" t="e">
        <f ca="1">IF(AND($D14&lt;&gt;0,_xlfn.XLOOKUP($B14,'PW_MLG GRADE 10'!$B$7:$B$31,'PW_MLG GRADE 10'!BD$7:BD$31,"",0,1)="P",
   _xlfn.XLOOKUP($B14,'PW_MLG GRADE 10'!$B$7:$B$31,'PW_MLG GRADE 10'!#REF!,"",0,1)&lt;=TODAY()-MOD(WEEKDAY(TODAY(),2)-5,7)),$D14,0)</f>
        <v>#REF!</v>
      </c>
      <c r="CB64" s="65" t="e">
        <f ca="1">IF(AND($D14&lt;&gt;0,_xlfn.XLOOKUP($B14,'PW_MLG GRADE 10'!$B$7:$B$31,'PW_MLG GRADE 10'!BE$7:BE$31,"",0,1)="P",
   _xlfn.XLOOKUP($B14,'PW_MLG GRADE 10'!$B$7:$B$31,'PW_MLG GRADE 10'!#REF!,"",0,1)&lt;=TODAY()-MOD(WEEKDAY(TODAY(),2)-5,7)),$D14,0)</f>
        <v>#REF!</v>
      </c>
      <c r="CC64" s="65" t="e">
        <f ca="1">IF(AND($D14&lt;&gt;0,_xlfn.XLOOKUP($B14,'PW_MLG GRADE 10'!$B$7:$B$31,'PW_MLG GRADE 10'!BF$7:BF$31,"",0,1)="P",
   _xlfn.XLOOKUP($B14,'PW_MLG GRADE 10'!$B$7:$B$31,'PW_MLG GRADE 10'!#REF!,"",0,1)&lt;=TODAY()-MOD(WEEKDAY(TODAY(),2)-5,7)),$D14,0)</f>
        <v>#REF!</v>
      </c>
      <c r="CD64" s="65" t="e">
        <f ca="1">IF(AND($D14&lt;&gt;0,_xlfn.XLOOKUP($B14,'PW_MLG GRADE 10'!$B$7:$B$31,'PW_MLG GRADE 10'!BG$7:BG$31,"",0,1)="P",
   _xlfn.XLOOKUP($B14,'PW_MLG GRADE 10'!$B$7:$B$31,'PW_MLG GRADE 10'!#REF!,"",0,1)&lt;=TODAY()-MOD(WEEKDAY(TODAY(),2)-5,7)),$D14,0)</f>
        <v>#REF!</v>
      </c>
      <c r="CE64" s="67">
        <f ca="1">IF(AND($D14&lt;&gt;0,_xlfn.XLOOKUP($B14,'PW_CMI GRADE 10'!$B$7:$B$31,'PW_CMI GRADE 10'!AY$7:AY$31,"",0,1)="P",
   _xlfn.XLOOKUP($B14,'PW_CMI GRADE 10'!$B$7:$B$31,'PW_CMI GRADE 10'!$U$7:$U$31,"",0,1)&lt;=TODAY()-MOD(WEEKDAY(TODAY(),2)-5,7)),$D14,0)</f>
        <v>0</v>
      </c>
      <c r="CF64" s="67">
        <f ca="1">IF(AND($D14&lt;&gt;0,_xlfn.XLOOKUP($B14,'PW_CMI GRADE 10'!$B$7:$B$31,'PW_CMI GRADE 10'!AZ$7:AZ$31,"",0,1)="P",
   _xlfn.XLOOKUP($B14,'PW_CMI GRADE 10'!$B$7:$B$31,'PW_CMI GRADE 10'!$V$7:$V$31,"",0,1)&lt;=TODAY()-MOD(WEEKDAY(TODAY(),2)-5,7)),$D14,0)</f>
        <v>0</v>
      </c>
      <c r="CG64" s="67">
        <f ca="1">IF(AND($D14&lt;&gt;0,_xlfn.XLOOKUP($B14,'PW_CMI GRADE 10'!$B$7:$B$31,'PW_CMI GRADE 10'!BA$7:BA$31,"",0,1)="P",
   _xlfn.XLOOKUP($B14,'PW_CMI GRADE 10'!$B$7:$B$31,'PW_CMI GRADE 10'!$W$7:$W$31,"",0,1)&lt;=TODAY()-MOD(WEEKDAY(TODAY(),2)-5,7)),$D14,0)</f>
        <v>0</v>
      </c>
      <c r="CH64" s="67">
        <f ca="1">IF(AND($D14&lt;&gt;0,_xlfn.XLOOKUP($B14,'PW_CMI GRADE 10'!$B$7:$B$31,'PW_CMI GRADE 10'!BB$7:BB$31,"",0,1)="P",
   _xlfn.XLOOKUP($B14,'PW_CMI GRADE 10'!$B$7:$B$31,'PW_CMI GRADE 10'!$U$7:$U$31,"",0,1)&lt;=TODAY()-MOD(WEEKDAY(TODAY(),2)-5,7)),$D14,0)</f>
        <v>0</v>
      </c>
      <c r="CI64" s="67">
        <f ca="1">IF(AND($D14&lt;&gt;0,_xlfn.XLOOKUP($B14,'PW_CMI GRADE 10'!$B$7:$B$31,'PW_CMI GRADE 10'!BC$7:BC$31,"",0,1)="P",
   _xlfn.XLOOKUP($B14,'PW_CMI GRADE 10'!$B$7:$B$31,'PW_CMI GRADE 10'!$V$7:$V$31,"",0,1)&lt;=TODAY()-MOD(WEEKDAY(TODAY(),2)-5,7)),$D14,0)</f>
        <v>0</v>
      </c>
      <c r="CJ64" s="67">
        <f ca="1">IF(AND($D14&lt;&gt;0,_xlfn.XLOOKUP($B14,'PW_CMI GRADE 10'!$B$7:$B$31,'PW_CMI GRADE 10'!BD$7:BD$31,"",0,1)="P",
   _xlfn.XLOOKUP($B14,'PW_CMI GRADE 10'!$B$7:$B$31,'PW_CMI GRADE 10'!$W$7:$W$31,"",0,1)&lt;=TODAY()-MOD(WEEKDAY(TODAY(),2)-5,7)),$D14,0)</f>
        <v>0</v>
      </c>
      <c r="CK64" s="67">
        <f ca="1">IF(AND($D14&lt;&gt;0,_xlfn.XLOOKUP($B14,'PW_CMI GRADE 10'!$B$7:$B$31,'PW_CMI GRADE 10'!BE$7:BE$31,"",0,1)="P",
   _xlfn.XLOOKUP($B14,'PW_CMI GRADE 10'!$B$7:$B$31,'PW_CMI GRADE 10'!$U$7:$U$31,"",0,1)&lt;=TODAY()-MOD(WEEKDAY(TODAY(),2)-5,7)),$D14,0)</f>
        <v>0</v>
      </c>
      <c r="CL64" s="67">
        <f ca="1">IF(AND($D14&lt;&gt;0,_xlfn.XLOOKUP($B14,'PW_CMI GRADE 10'!$B$7:$B$31,'PW_CMI GRADE 10'!BF$7:BF$31,"",0,1)="P",
   _xlfn.XLOOKUP($B14,'PW_CMI GRADE 10'!$B$7:$B$31,'PW_CMI GRADE 10'!$V$7:$V$31,"",0,1)&lt;=TODAY()-MOD(WEEKDAY(TODAY(),2)-5,7)),$D14,0)</f>
        <v>0</v>
      </c>
      <c r="CM64" s="67">
        <f ca="1">IF(AND($D14&lt;&gt;0,_xlfn.XLOOKUP($B14,'PW_CMI GRADE 10'!$B$7:$B$31,'PW_CMI GRADE 10'!BG$7:BG$31,"",0,1)="P",
   _xlfn.XLOOKUP($B14,'PW_CMI GRADE 10'!$B$7:$B$31,'PW_CMI GRADE 10'!$W$7:$W$31,"",0,1)&lt;=TODAY()-MOD(WEEKDAY(TODAY(),2)-5,7)),$D14,0)</f>
        <v>0</v>
      </c>
      <c r="CN64" s="67">
        <f ca="1">IF(AND($D14&lt;&gt;0,_xlfn.XLOOKUP($B14,'PW_CMI GRADE 10'!$B$7:$B$31,'PW_CMI GRADE 10'!BH$7:BH$31,"",0,1)="P",
   _xlfn.XLOOKUP($B14,'PW_CMI GRADE 10'!$B$7:$B$31,'PW_CMI GRADE 10'!$U$7:$U$31,"",0,1)&lt;=TODAY()-MOD(WEEKDAY(TODAY(),2)-5,7)),$D14,0)</f>
        <v>0</v>
      </c>
      <c r="CO64" s="67">
        <f ca="1">IF(AND($D14&lt;&gt;0,_xlfn.XLOOKUP($B14,'PW_CMI GRADE 10'!$B$7:$B$31,'PW_CMI GRADE 10'!BI$7:BI$31,"",0,1)="P",
   _xlfn.XLOOKUP($B14,'PW_CMI GRADE 10'!$B$7:$B$31,'PW_CMI GRADE 10'!$V$7:$V$31,"",0,1)&lt;=TODAY()-MOD(WEEKDAY(TODAY(),2)-5,7)),$D14,0)</f>
        <v>0</v>
      </c>
      <c r="CP64" s="67">
        <f ca="1">IF(AND($D14&lt;&gt;0,_xlfn.XLOOKUP($B14,'PW_CMI GRADE 10'!$B$7:$B$31,'PW_CMI GRADE 10'!BJ$7:BJ$31,"",0,1)="P",
   _xlfn.XLOOKUP($B14,'PW_CMI GRADE 10'!$B$7:$B$31,'PW_CMI GRADE 10'!$W$7:$W$31,"",0,1)&lt;=TODAY()-MOD(WEEKDAY(TODAY(),2)-5,7)),$D14,0)</f>
        <v>0</v>
      </c>
      <c r="CQ64" s="67">
        <f ca="1">IF(AND($D14&lt;&gt;0,_xlfn.XLOOKUP($B14,'PW_CMI GRADE 10'!$B$7:$B$31,'PW_CMI GRADE 10'!BK$7:BK$31,"",0,1)="P",
   _xlfn.XLOOKUP($B14,'PW_CMI GRADE 10'!$B$7:$B$31,'PW_CMI GRADE 10'!$U$7:$U$31,"",0,1)&lt;=TODAY()-MOD(WEEKDAY(TODAY(),2)-5,7)),$D14,0)</f>
        <v>0</v>
      </c>
      <c r="CR64" s="67">
        <f ca="1">IF(AND($D14&lt;&gt;0,_xlfn.XLOOKUP($B14,'PW_CMI GRADE 10'!$B$7:$B$31,'PW_CMI GRADE 10'!BL$7:BL$31,"",0,1)="P",
   _xlfn.XLOOKUP($B14,'PW_CMI GRADE 10'!$B$7:$B$31,'PW_CMI GRADE 10'!$V$7:$V$31,"",0,1)&lt;=TODAY()-MOD(WEEKDAY(TODAY(),2)-5,7)),$D14,0)</f>
        <v>0</v>
      </c>
      <c r="CS64" s="67">
        <f ca="1">IF(AND($D14&lt;&gt;0,_xlfn.XLOOKUP($B14,'PW_CMI GRADE 10'!$B$7:$B$31,'PW_CMI GRADE 10'!BM$7:BM$31,"",0,1)="P",
   _xlfn.XLOOKUP($B14,'PW_CMI GRADE 10'!$B$7:$B$31,'PW_CMI GRADE 10'!$W$7:$W$31,"",0,1)&lt;=TODAY()-MOD(WEEKDAY(TODAY(),2)-5,7)),$D14,0)</f>
        <v>0</v>
      </c>
      <c r="CT64" s="67">
        <f ca="1">IF(AND($D14&lt;&gt;0,_xlfn.XLOOKUP($B14,'PW_CMI GRADE 10'!$B$7:$B$31,'PW_CMI GRADE 10'!BN$7:BN$31,"",0,1)="P",
   _xlfn.XLOOKUP($B14,'PW_CMI GRADE 10'!$B$7:$B$31,'PW_CMI GRADE 10'!$U$7:$U$31,"",0,1)&lt;=TODAY()-MOD(WEEKDAY(TODAY(),2)-5,7)),$D14,0)</f>
        <v>0</v>
      </c>
      <c r="CU64" s="67">
        <f ca="1">IF(AND($D14&lt;&gt;0,_xlfn.XLOOKUP($B14,'PW_CMI GRADE 10'!$B$7:$B$31,'PW_CMI GRADE 10'!BO$7:BO$31,"",0,1)="P",
   _xlfn.XLOOKUP($B14,'PW_CMI GRADE 10'!$B$7:$B$31,'PW_CMI GRADE 10'!$V$7:$V$31,"",0,1)&lt;=TODAY()-MOD(WEEKDAY(TODAY(),2)-5,7)),$D14,0)</f>
        <v>0</v>
      </c>
      <c r="CV64" s="67">
        <f ca="1">IF(AND($D14&lt;&gt;0,_xlfn.XLOOKUP($B14,'PW_CMI GRADE 10'!$B$7:$B$31,'PW_CMI GRADE 10'!BP$7:BP$31,"",0,1)="P",
   _xlfn.XLOOKUP($B14,'PW_CMI GRADE 10'!$B$7:$B$31,'PW_CMI GRADE 10'!$W$7:$W$31,"",0,1)&lt;=TODAY()-MOD(WEEKDAY(TODAY(),2)-5,7)),$D14,0)</f>
        <v>0</v>
      </c>
      <c r="CW64" s="62" t="e">
        <f t="shared" ca="1" si="132"/>
        <v>#REF!</v>
      </c>
      <c r="CX64" s="62" t="e">
        <f t="shared" ca="1" si="69"/>
        <v>#REF!</v>
      </c>
      <c r="CY64" s="62" t="e">
        <f t="shared" ca="1" si="70"/>
        <v>#REF!</v>
      </c>
      <c r="CZ64" s="62" t="e">
        <f t="shared" ca="1" si="71"/>
        <v>#REF!</v>
      </c>
      <c r="DA64" s="62" t="e">
        <f t="shared" ca="1" si="72"/>
        <v>#REF!</v>
      </c>
      <c r="DB64" s="62" t="e">
        <f t="shared" ca="1" si="73"/>
        <v>#REF!</v>
      </c>
      <c r="DC64" s="62" t="e">
        <f t="shared" ca="1" si="74"/>
        <v>#REF!</v>
      </c>
      <c r="DD64" s="62" t="e">
        <f t="shared" ca="1" si="75"/>
        <v>#REF!</v>
      </c>
      <c r="DE64" s="62" t="e">
        <f t="shared" ca="1" si="76"/>
        <v>#REF!</v>
      </c>
      <c r="DF64" s="62" t="e">
        <f t="shared" ca="1" si="77"/>
        <v>#REF!</v>
      </c>
      <c r="DG64" s="62" t="e">
        <f t="shared" ca="1" si="78"/>
        <v>#REF!</v>
      </c>
      <c r="DH64" s="62" t="e">
        <f t="shared" ca="1" si="79"/>
        <v>#REF!</v>
      </c>
      <c r="DI64" s="62" t="e">
        <f t="shared" ca="1" si="80"/>
        <v>#REF!</v>
      </c>
      <c r="DJ64" s="62" t="e">
        <f t="shared" ca="1" si="81"/>
        <v>#REF!</v>
      </c>
      <c r="DK64" s="62" t="e">
        <f t="shared" ca="1" si="82"/>
        <v>#REF!</v>
      </c>
      <c r="DL64" s="62" t="e">
        <f t="shared" ca="1" si="83"/>
        <v>#REF!</v>
      </c>
      <c r="DM64" s="62" t="e">
        <f t="shared" ca="1" si="84"/>
        <v>#REF!</v>
      </c>
      <c r="DN64" s="62" t="e">
        <f t="shared" ca="1" si="85"/>
        <v>#REF!</v>
      </c>
      <c r="DO64" s="62" t="e">
        <f t="shared" ca="1" si="86"/>
        <v>#REF!</v>
      </c>
      <c r="DP64" s="62" t="e">
        <f t="shared" ca="1" si="87"/>
        <v>#REF!</v>
      </c>
      <c r="DQ64" s="62" t="e">
        <f t="shared" ca="1" si="88"/>
        <v>#REF!</v>
      </c>
      <c r="DR64" s="62" t="e">
        <f t="shared" ca="1" si="89"/>
        <v>#REF!</v>
      </c>
      <c r="DS64" s="62" t="e">
        <f t="shared" ca="1" si="90"/>
        <v>#REF!</v>
      </c>
      <c r="DT64" s="62" t="e">
        <f t="shared" ca="1" si="91"/>
        <v>#REF!</v>
      </c>
      <c r="DU64" s="62" t="e">
        <f t="shared" ca="1" si="92"/>
        <v>#REF!</v>
      </c>
      <c r="DV64" s="62" t="e">
        <f t="shared" ca="1" si="93"/>
        <v>#REF!</v>
      </c>
      <c r="DW64" s="62" t="e">
        <f t="shared" ca="1" si="94"/>
        <v>#REF!</v>
      </c>
      <c r="DX64" s="62" t="e">
        <f t="shared" ca="1" si="95"/>
        <v>#REF!</v>
      </c>
      <c r="DY64" s="62" t="e">
        <f t="shared" ca="1" si="96"/>
        <v>#REF!</v>
      </c>
      <c r="DZ64" s="62" t="e">
        <f t="shared" ca="1" si="97"/>
        <v>#REF!</v>
      </c>
      <c r="EA64" s="63" t="e">
        <f t="shared" ca="1" si="98"/>
        <v>#REF!</v>
      </c>
      <c r="EB64" s="63" t="e">
        <f t="shared" ca="1" si="99"/>
        <v>#REF!</v>
      </c>
      <c r="EC64" s="63" t="e">
        <f t="shared" ca="1" si="100"/>
        <v>#REF!</v>
      </c>
      <c r="ED64" s="63" t="e">
        <f t="shared" ca="1" si="101"/>
        <v>#REF!</v>
      </c>
      <c r="EE64" s="63" t="e">
        <f t="shared" ca="1" si="102"/>
        <v>#REF!</v>
      </c>
      <c r="EF64" s="63" t="e">
        <f t="shared" ca="1" si="103"/>
        <v>#REF!</v>
      </c>
      <c r="EG64" s="63" t="e">
        <f t="shared" ca="1" si="104"/>
        <v>#REF!</v>
      </c>
      <c r="EH64" s="63" t="e">
        <f t="shared" ca="1" si="105"/>
        <v>#REF!</v>
      </c>
      <c r="EI64" s="63" t="e">
        <f t="shared" ca="1" si="106"/>
        <v>#REF!</v>
      </c>
      <c r="EJ64" s="63" t="e">
        <f t="shared" ca="1" si="107"/>
        <v>#REF!</v>
      </c>
      <c r="EK64" s="63" t="e">
        <f t="shared" ca="1" si="108"/>
        <v>#REF!</v>
      </c>
      <c r="EL64" s="63" t="e">
        <f t="shared" ca="1" si="109"/>
        <v>#REF!</v>
      </c>
      <c r="EM64" s="63" t="e">
        <f t="shared" ca="1" si="110"/>
        <v>#REF!</v>
      </c>
      <c r="EN64" s="63" t="e">
        <f t="shared" ca="1" si="111"/>
        <v>#REF!</v>
      </c>
      <c r="EO64" s="63" t="e">
        <f t="shared" ca="1" si="112"/>
        <v>#REF!</v>
      </c>
      <c r="EP64" s="63" t="e">
        <f t="shared" ca="1" si="113"/>
        <v>#REF!</v>
      </c>
      <c r="ET64" t="str">
        <v>4A.2</v>
      </c>
      <c r="EU64" s="38" t="e">
        <f t="shared" ca="1" si="114"/>
        <v>#REF!</v>
      </c>
      <c r="EV64" s="38" t="e">
        <f t="shared" ca="1" si="115"/>
        <v>#REF!</v>
      </c>
      <c r="EW64" s="38" t="e">
        <f t="shared" ca="1" si="116"/>
        <v>#REF!</v>
      </c>
      <c r="EX64" s="38" t="e">
        <f t="shared" ca="1" si="117"/>
        <v>#REF!</v>
      </c>
      <c r="EY64" s="38" t="e">
        <f t="shared" ca="1" si="118"/>
        <v>#REF!</v>
      </c>
      <c r="EZ64" s="38" t="e">
        <f t="shared" ca="1" si="119"/>
        <v>#REF!</v>
      </c>
      <c r="FA64" s="38" t="e">
        <f t="shared" ca="1" si="120"/>
        <v>#REF!</v>
      </c>
      <c r="FB64" s="38" t="e">
        <f t="shared" ca="1" si="121"/>
        <v>#REF!</v>
      </c>
      <c r="FC64" s="38" t="e">
        <f t="shared" ca="1" si="122"/>
        <v>#REF!</v>
      </c>
      <c r="FD64" s="38" t="e">
        <f t="shared" ca="1" si="123"/>
        <v>#REF!</v>
      </c>
      <c r="FE64" s="38">
        <f t="shared" ca="1" si="133"/>
        <v>0</v>
      </c>
      <c r="FF64" s="38" t="e">
        <f t="shared" ca="1" si="124"/>
        <v>#REF!</v>
      </c>
      <c r="FG64" s="38" t="e">
        <f t="shared" ca="1" si="125"/>
        <v>#REF!</v>
      </c>
      <c r="FH64" s="38" t="e">
        <f t="shared" ca="1" si="126"/>
        <v>#REF!</v>
      </c>
      <c r="FI64" s="38" t="e">
        <f t="shared" ca="1" si="127"/>
        <v>#REF!</v>
      </c>
      <c r="FJ64" s="38" t="e">
        <f t="shared" ca="1" si="128"/>
        <v>#REF!</v>
      </c>
      <c r="FK64" s="38" t="e">
        <f t="shared" ca="1" si="129"/>
        <v>#REF!</v>
      </c>
      <c r="FL64" s="38">
        <f t="shared" ca="1" si="130"/>
        <v>0</v>
      </c>
      <c r="FM64" s="38">
        <v>1</v>
      </c>
      <c r="FN64" s="38">
        <f t="shared" si="134"/>
        <v>0.66666666666666663</v>
      </c>
      <c r="FO64" s="38">
        <f t="shared" si="135"/>
        <v>0.33333333333333331</v>
      </c>
    </row>
    <row r="65" spans="1:171">
      <c r="A65" s="64" t="str">
        <f t="shared" si="131"/>
        <v>2.3</v>
      </c>
      <c r="B65" s="64" t="s">
        <v>46</v>
      </c>
      <c r="C65" s="30">
        <v>1</v>
      </c>
      <c r="D65" s="30">
        <v>1</v>
      </c>
      <c r="E65" s="65">
        <f ca="1">IF(AND($D15&lt;&gt;0,_xlfn.XLOOKUP($B15,'TH_MLG GRADE 10'!$B$7:$B$49,'TH_MLG GRADE 10'!C$7:C$49,"",0,1)="P",
   _xlfn.XLOOKUP($B15,'TH_MLG GRADE 10'!$B$7:$B$49,'TH_MLG GRADE 10'!$BK$7:$BK$49,"",0,1)&lt;=TODAY()-MOD(WEEKDAY(TODAY(),2)-5,7)),$D15,0)</f>
        <v>0</v>
      </c>
      <c r="F65" s="65">
        <f ca="1">IF(AND($D15&lt;&gt;0,_xlfn.XLOOKUP($B15,'TH_MLG GRADE 10'!$B$7:$B$49,'TH_MLG GRADE 10'!D$7:D$49,"",0,1)="P",
   _xlfn.XLOOKUP($B15,'TH_MLG GRADE 10'!$B$7:$B$49,'TH_MLG GRADE 10'!$BL$7:$BL$49,"",0,1)&lt;=TODAY()-MOD(WEEKDAY(TODAY(),2)-5,7)),$D15,0)</f>
        <v>0</v>
      </c>
      <c r="G65" s="65">
        <f ca="1">IF(AND($D15&lt;&gt;0,_xlfn.XLOOKUP($B15,'TH_MLG GRADE 10'!$B$7:$B$49,'TH_MLG GRADE 10'!E$7:E$49,"",0,1)="P",
   _xlfn.XLOOKUP($B15,'TH_MLG GRADE 10'!$B$7:$B$49,'TH_MLG GRADE 10'!$BM$7:$BM$49,"",0,1)&lt;=TODAY()-MOD(WEEKDAY(TODAY(),2)-5,7)),$D15,0)</f>
        <v>0</v>
      </c>
      <c r="H65" s="65">
        <f ca="1">IF(AND($D15&lt;&gt;0,_xlfn.XLOOKUP($B15,'TH_MLG GRADE 10'!$B$7:$B$49,'TH_MLG GRADE 10'!I$7:I$49,"",0,1)="P",
   _xlfn.XLOOKUP($B15,'TH_MLG GRADE 10'!$B$7:$B$49,'TH_MLG GRADE 10'!$BK$7:$BK$49,"",0,1)&lt;=TODAY()-MOD(WEEKDAY(TODAY(),2)-5,7)),$D15,0)</f>
        <v>0</v>
      </c>
      <c r="I65" s="65">
        <f ca="1">IF(AND($D15&lt;&gt;0,_xlfn.XLOOKUP($B15,'TH_MLG GRADE 10'!$B$7:$B$49,'TH_MLG GRADE 10'!J$7:J$49,"",0,1)="P",
   _xlfn.XLOOKUP($B15,'TH_MLG GRADE 10'!$B$7:$B$49,'TH_MLG GRADE 10'!$BL$7:$BL$49,"",0,1)&lt;=TODAY()-MOD(WEEKDAY(TODAY(),2)-5,7)),$D15,0)</f>
        <v>0</v>
      </c>
      <c r="J65" s="65">
        <f ca="1">IF(AND($D15&lt;&gt;0,_xlfn.XLOOKUP($B15,'TH_MLG GRADE 10'!$B$7:$B$49,'TH_MLG GRADE 10'!K$7:K$49,"",0,1)="P",
   _xlfn.XLOOKUP($B15,'TH_MLG GRADE 10'!$B$7:$B$49,'TH_MLG GRADE 10'!$BM$7:$BM$49,"",0,1)&lt;=TODAY()-MOD(WEEKDAY(TODAY(),2)-5,7)),$D15,0)</f>
        <v>0</v>
      </c>
      <c r="K65" s="65">
        <f ca="1">IF(AND($D15&lt;&gt;0,_xlfn.XLOOKUP($B15,'TH_MLG GRADE 10'!$B$7:$B$49,'TH_MLG GRADE 10'!O$7:O$49,"",0,1)="P",
   _xlfn.XLOOKUP($B15,'TH_MLG GRADE 10'!$B$7:$B$49,'TH_MLG GRADE 10'!$BK$7:$BK$49,"",0,1)&lt;=TODAY()-MOD(WEEKDAY(TODAY(),2)-5,7)),$D15,0)</f>
        <v>0</v>
      </c>
      <c r="L65" s="65">
        <f ca="1">IF(AND($D15&lt;&gt;0,_xlfn.XLOOKUP($B15,'TH_MLG GRADE 10'!$B$7:$B$49,'TH_MLG GRADE 10'!P$7:P$49,"",0,1)="P",
   _xlfn.XLOOKUP($B15,'TH_MLG GRADE 10'!$B$7:$B$49,'TH_MLG GRADE 10'!$BL$7:$BL$49,"",0,1)&lt;=TODAY()-MOD(WEEKDAY(TODAY(),2)-5,7)),$D15,0)</f>
        <v>0</v>
      </c>
      <c r="M65" s="65">
        <f ca="1">IF(AND($D15&lt;&gt;0,_xlfn.XLOOKUP($B15,'TH_MLG GRADE 10'!$B$7:$B$49,'TH_MLG GRADE 10'!Q$7:Q$49,"",0,1)="P",
   _xlfn.XLOOKUP($B15,'TH_MLG GRADE 10'!$B$7:$B$49,'TH_MLG GRADE 10'!$BM$7:$BM$49,"",0,1)&lt;=TODAY()-MOD(WEEKDAY(TODAY(),2)-5,7)),$D15,0)</f>
        <v>0</v>
      </c>
      <c r="N65" s="65">
        <f ca="1">IF(AND($D15&lt;&gt;0,_xlfn.XLOOKUP($B15,'TH_MLG GRADE 10'!$B$7:$B$49,'TH_MLG GRADE 10'!AA$7:AA$49,"",0,1)="P",
   _xlfn.XLOOKUP($B15,'TH_MLG GRADE 10'!$B$7:$B$49,'TH_MLG GRADE 10'!$BK$7:$BK$49,"",0,1)&lt;=TODAY()-MOD(WEEKDAY(TODAY(),2)-5,7)),$D15,0)</f>
        <v>0</v>
      </c>
      <c r="O65" s="65">
        <f ca="1">IF(AND($D15&lt;&gt;0,_xlfn.XLOOKUP($B15,'TH_MLG GRADE 10'!$B$7:$B$49,'TH_MLG GRADE 10'!AB$7:AB$49,"",0,1)="P",
   _xlfn.XLOOKUP($B15,'TH_MLG GRADE 10'!$B$7:$B$49,'TH_MLG GRADE 10'!$BL$7:$BL$49,"",0,1)&lt;=TODAY()-MOD(WEEKDAY(TODAY(),2)-5,7)),$D15,0)</f>
        <v>0</v>
      </c>
      <c r="P65" s="65">
        <f ca="1">IF(AND($D15&lt;&gt;0,_xlfn.XLOOKUP($B15,'TH_MLG GRADE 10'!$B$7:$B$49,'TH_MLG GRADE 10'!AC$7:AC$49,"",0,1)="P",
   _xlfn.XLOOKUP($B15,'TH_MLG GRADE 10'!$B$7:$B$49,'TH_MLG GRADE 10'!$BM$7:$BM$49,"",0,1)&lt;=TODAY()-MOD(WEEKDAY(TODAY(),2)-5,7)),$D15,0)</f>
        <v>0</v>
      </c>
      <c r="Q65" s="65">
        <f ca="1">IF(AND($D15&lt;&gt;0,_xlfn.XLOOKUP($B15,'TH_MLG GRADE 10'!$B$7:$B$49,'TH_MLG GRADE 10'!AG$7:AG$49,"",0,1)="P",
   _xlfn.XLOOKUP($B15,'TH_MLG GRADE 10'!$B$7:$B$49,'TH_MLG GRADE 10'!$BK$7:$BK$49,"",0,1)&lt;=TODAY()-MOD(WEEKDAY(TODAY(),2)-5,7)),$D15,0)</f>
        <v>0</v>
      </c>
      <c r="R65" s="65">
        <f ca="1">IF(AND($D15&lt;&gt;0,_xlfn.XLOOKUP($B15,'TH_MLG GRADE 10'!$B$7:$B$49,'TH_MLG GRADE 10'!AH$7:AH$49,"",0,1)="P",
   _xlfn.XLOOKUP($B15,'TH_MLG GRADE 10'!$B$7:$B$49,'TH_MLG GRADE 10'!$BL$7:$BL$49,"",0,1)&lt;=TODAY()-MOD(WEEKDAY(TODAY(),2)-5,7)),$D15,0)</f>
        <v>0</v>
      </c>
      <c r="S65" s="65">
        <f ca="1">IF(AND($D15&lt;&gt;0,_xlfn.XLOOKUP($B15,'TH_MLG GRADE 10'!$B$7:$B$49,'TH_MLG GRADE 10'!AI$7:AI$49,"",0,1)="P",
   _xlfn.XLOOKUP($B15,'TH_MLG GRADE 10'!$B$7:$B$49,'TH_MLG GRADE 10'!$BM$7:$BM$49,"",0,1)&lt;=TODAY()-MOD(WEEKDAY(TODAY(),2)-5,7)),$D15,0)</f>
        <v>0</v>
      </c>
      <c r="T65" s="65">
        <f ca="1">IF(AND($D15&lt;&gt;0,_xlfn.XLOOKUP($B15,'TH_MLG GRADE 10'!$B$7:$B$49,'TH_MLG GRADE 10'!AM$7:AM$49,"",0,1)="P",
   _xlfn.XLOOKUP($B15,'TH_MLG GRADE 10'!$B$7:$B$49,'TH_MLG GRADE 10'!$BK$7:$BK$49,"",0,1)&lt;=TODAY()-MOD(WEEKDAY(TODAY(),2)-5,7)),$D15,0)</f>
        <v>1</v>
      </c>
      <c r="U65" s="65">
        <f ca="1">IF(AND($D15&lt;&gt;0,_xlfn.XLOOKUP($B15,'TH_MLG GRADE 10'!$B$7:$B$49,'TH_MLG GRADE 10'!AN$7:AN$49,"",0,1)="P",
   _xlfn.XLOOKUP($B15,'TH_MLG GRADE 10'!$B$7:$B$49,'TH_MLG GRADE 10'!$BL$7:$BL$49,"",0,1)&lt;=TODAY()-MOD(WEEKDAY(TODAY(),2)-5,7)),$D15,0)</f>
        <v>1</v>
      </c>
      <c r="V65" s="65">
        <f ca="1">IF(AND($D15&lt;&gt;0,_xlfn.XLOOKUP($B15,'TH_MLG GRADE 10'!$B$7:$B$49,'TH_MLG GRADE 10'!AO$7:AO$49,"",0,1)="P",
   _xlfn.XLOOKUP($B15,'TH_MLG GRADE 10'!$B$7:$B$49,'TH_MLG GRADE 10'!$BM$7:$BM$49,"",0,1)&lt;=TODAY()-MOD(WEEKDAY(TODAY(),2)-5,7)),$D15,0)</f>
        <v>1</v>
      </c>
      <c r="W65" s="65">
        <f ca="1">IF(AND($D15&lt;&gt;0,_xlfn.XLOOKUP($B15,'TH_MLG GRADE 10'!$B$7:$B$49,'TH_MLG GRADE 10'!AY$7:AY$49,"",0,1)="P",
   _xlfn.XLOOKUP($B15,'TH_MLG GRADE 10'!$B$7:$B$49,'TH_MLG GRADE 10'!$BK$7:$BK$49,"",0,1)&lt;=TODAY()-MOD(WEEKDAY(TODAY(),2)-5,7)),$D15,0)</f>
        <v>1</v>
      </c>
      <c r="X65" s="65">
        <f ca="1">IF(AND($D15&lt;&gt;0,_xlfn.XLOOKUP($B15,'TH_MLG GRADE 10'!$B$7:$B$49,'TH_MLG GRADE 10'!AZ$7:AZ$49,"",0,1)="P",
   _xlfn.XLOOKUP($B15,'TH_MLG GRADE 10'!$B$7:$B$49,'TH_MLG GRADE 10'!$BL$7:$BL$49,"",0,1)&lt;=TODAY()-MOD(WEEKDAY(TODAY(),2)-5,7)),$D15,0)</f>
        <v>1</v>
      </c>
      <c r="Y65" s="65">
        <f ca="1">IF(AND($D15&lt;&gt;0,_xlfn.XLOOKUP($B15,'TH_MLG GRADE 10'!$B$7:$B$49,'TH_MLG GRADE 10'!BA$7:BA$49,"",0,1)="P",
   _xlfn.XLOOKUP($B15,'TH_MLG GRADE 10'!$B$7:$B$49,'TH_MLG GRADE 10'!$BM$7:$BM$49,"",0,1)&lt;=TODAY()-MOD(WEEKDAY(TODAY(),2)-5,7)),$D15,0)</f>
        <v>0</v>
      </c>
      <c r="Z65" s="65">
        <f ca="1">IF(AND($D15&lt;&gt;0,_xlfn.XLOOKUP($B15,'TH_MLG GRADE 10'!$B$7:$B$49,'TH_MLG GRADE 10'!BE$7:BE$49,"",0,1)="P",
   _xlfn.XLOOKUP($B15,'TH_MLG GRADE 10'!$B$7:$B$49,'TH_MLG GRADE 10'!$BK$7:$BK$49,"",0,1)&lt;=TODAY()-MOD(WEEKDAY(TODAY(),2)-5,7)),$D15,0)</f>
        <v>0</v>
      </c>
      <c r="AA65" s="65">
        <f ca="1">IF(AND($D15&lt;&gt;0,_xlfn.XLOOKUP($B15,'TH_MLG GRADE 10'!$B$7:$B$49,'TH_MLG GRADE 10'!BF$7:BF$49,"",0,1)="P",
   _xlfn.XLOOKUP($B15,'TH_MLG GRADE 10'!$B$7:$B$49,'TH_MLG GRADE 10'!$BL$7:$BL$49,"",0,1)&lt;=TODAY()-MOD(WEEKDAY(TODAY(),2)-5,7)),$D15,0)</f>
        <v>0</v>
      </c>
      <c r="AB65" s="65">
        <f ca="1">IF(AND($D15&lt;&gt;0,_xlfn.XLOOKUP($B15,'TH_MLG GRADE 10'!$B$7:$B$49,'TH_MLG GRADE 10'!BG$7:BG$49,"",0,1)="P",
   _xlfn.XLOOKUP($B15,'TH_MLG GRADE 10'!$B$7:$B$49,'TH_MLG GRADE 10'!$BM$7:$BM$49,"",0,1)&lt;=TODAY()-MOD(WEEKDAY(TODAY(),2)-5,7)),$D15,0)</f>
        <v>0</v>
      </c>
      <c r="AC65" s="65" t="e">
        <f ca="1">IF(AND($D15&lt;&gt;0,_xlfn.XLOOKUP($B15,'TH_MLG GRADE 10'!$B$7:$B$49,'TH_MLG GRADE 10'!#REF!,"",0,1)="P",
   _xlfn.XLOOKUP($B15,'TH_MLG GRADE 10'!$B$7:$B$49,'TH_MLG GRADE 10'!$BK$7:$BK$49,"",0,1)&lt;=TODAY()-MOD(WEEKDAY(TODAY(),2)-5,7)),$D15,0)</f>
        <v>#REF!</v>
      </c>
      <c r="AD65" s="65" t="e">
        <f ca="1">IF(AND($D15&lt;&gt;0,_xlfn.XLOOKUP($B15,'TH_MLG GRADE 10'!$B$7:$B$49,'TH_MLG GRADE 10'!#REF!,"",0,1)="P",
   _xlfn.XLOOKUP($B15,'TH_MLG GRADE 10'!$B$7:$B$49,'TH_MLG GRADE 10'!$BL$7:$BL$49,"",0,1)&lt;=TODAY()-MOD(WEEKDAY(TODAY(),2)-5,7)),$D15,0)</f>
        <v>#REF!</v>
      </c>
      <c r="AE65" s="65" t="e">
        <f ca="1">IF(AND($D15&lt;&gt;0,_xlfn.XLOOKUP($B15,'TH_MLG GRADE 10'!$B$7:$B$49,'TH_MLG GRADE 10'!#REF!,"",0,1)="P",
   _xlfn.XLOOKUP($B15,'TH_MLG GRADE 10'!$B$7:$B$49,'TH_MLG GRADE 10'!$BM$7:$BM$49,"",0,1)&lt;=TODAY()-MOD(WEEKDAY(TODAY(),2)-5,7)),$D15,0)</f>
        <v>#REF!</v>
      </c>
      <c r="AF65" s="65" t="e">
        <f ca="1">IF(AND($D15&lt;&gt;0,_xlfn.XLOOKUP($B15,'TH_MLG GRADE 10'!$B$7:$B$49,'TH_MLG GRADE 10'!#REF!,"",0,1)="P",
   _xlfn.XLOOKUP($B15,'TH_MLG GRADE 10'!$B$7:$B$49,'TH_MLG GRADE 10'!$BK$7:$BK$49,"",0,1)&lt;=TODAY()-MOD(WEEKDAY(TODAY(),2)-5,7)),$D15,0)</f>
        <v>#REF!</v>
      </c>
      <c r="AG65" s="65" t="e">
        <f ca="1">IF(AND($D15&lt;&gt;0,_xlfn.XLOOKUP($B15,'TH_MLG GRADE 10'!$B$7:$B$49,'TH_MLG GRADE 10'!#REF!,"",0,1)="P",
   _xlfn.XLOOKUP($B15,'TH_MLG GRADE 10'!$B$7:$B$49,'TH_MLG GRADE 10'!$BL$7:$BL$49,"",0,1)&lt;=TODAY()-MOD(WEEKDAY(TODAY(),2)-5,7)),$D15,0)</f>
        <v>#REF!</v>
      </c>
      <c r="AH65" s="65" t="e">
        <f ca="1">IF(AND($D15&lt;&gt;0,_xlfn.XLOOKUP($B15,'TH_MLG GRADE 10'!$B$7:$B$49,'TH_MLG GRADE 10'!#REF!,"",0,1)="P",
   _xlfn.XLOOKUP($B15,'TH_MLG GRADE 10'!$B$7:$B$49,'TH_MLG GRADE 10'!$BM$7:$BM$49,"",0,1)&lt;=TODAY()-MOD(WEEKDAY(TODAY(),2)-5,7)),$D15,0)</f>
        <v>#REF!</v>
      </c>
      <c r="AI65" s="67">
        <f ca="1">IF(AND($D15&lt;&gt;0,_xlfn.XLOOKUP($B15,'TH_CMI GRADE 10'!$B$7:$B$49,'TH_CMI GRADE 10'!C$7:C$49,"",0,1)="P",
   _xlfn.XLOOKUP($B15,'TH_CMI GRADE 10'!$B$7:$B$49,'TH_CMI GRADE 10'!$AS$7:$AS$49,"",0,1)&lt;=TODAY()-MOD(WEEKDAY(TODAY(),2)-5,7)),$D15,0)</f>
        <v>0</v>
      </c>
      <c r="AJ65" s="67">
        <f ca="1">IF(AND($D15&lt;&gt;0,_xlfn.XLOOKUP($B15,'TH_CMI GRADE 10'!$B$7:$B$49,'TH_CMI GRADE 10'!D$7:D$49,"",0,1)="P",
   _xlfn.XLOOKUP($B15,'TH_CMI GRADE 10'!$B$7:$B$49,'TH_CMI GRADE 10'!$AT$7:$AT$49,"",0,1)&lt;=TODAY()-MOD(WEEKDAY(TODAY(),2)-5,7)),$D15,0)</f>
        <v>0</v>
      </c>
      <c r="AK65" s="67" t="e">
        <f ca="1">IF(AND($D15&lt;&gt;0,_xlfn.XLOOKUP($B15,'TH_CMI GRADE 10'!$B$7:$B$49,'TH_CMI GRADE 10'!H$7:H$49,"",0,1)="P",
   _xlfn.XLOOKUP($B15,'TH_CMI GRADE 10'!$B$7:$B$49,'TH_CMI GRADE 10'!#REF!,"",0,1)&lt;=TODAY()-MOD(WEEKDAY(TODAY(),2)-5,7)),$D15,0)</f>
        <v>#REF!</v>
      </c>
      <c r="AL65" s="67">
        <f ca="1">IF(AND($D15&lt;&gt;0,_xlfn.XLOOKUP($B15,'TH_CMI GRADE 10'!$B$7:$B$49,'TH_CMI GRADE 10'!I$7:I$49,"",0,1)="P",
   _xlfn.XLOOKUP($B15,'TH_CMI GRADE 10'!$B$7:$B$49,'TH_CMI GRADE 10'!$AS$7:$AS$49,"",0,1)&lt;=TODAY()-MOD(WEEKDAY(TODAY(),2)-5,7)),$D15,0)</f>
        <v>0</v>
      </c>
      <c r="AM65" s="67">
        <f ca="1">IF(AND($D15&lt;&gt;0,_xlfn.XLOOKUP($B15,'TH_CMI GRADE 10'!$B$7:$B$49,'TH_CMI GRADE 10'!J$7:J$49,"",0,1)="P",
   _xlfn.XLOOKUP($B15,'TH_CMI GRADE 10'!$B$7:$B$49,'TH_CMI GRADE 10'!$AT$7:$AT$49,"",0,1)&lt;=TODAY()-MOD(WEEKDAY(TODAY(),2)-5,7)),$D15,0)</f>
        <v>0</v>
      </c>
      <c r="AN65" s="67" t="e">
        <f ca="1">IF(AND($D15&lt;&gt;0,_xlfn.XLOOKUP($B15,'TH_CMI GRADE 10'!$B$7:$B$49,'TH_CMI GRADE 10'!K$7:K$49,"",0,1)="P",
   _xlfn.XLOOKUP($B15,'TH_CMI GRADE 10'!$B$7:$B$49,'TH_CMI GRADE 10'!#REF!,"",0,1)&lt;=TODAY()-MOD(WEEKDAY(TODAY(),2)-5,7)),$D15,0)</f>
        <v>#REF!</v>
      </c>
      <c r="AO65" s="67">
        <f ca="1">IF(AND($D15&lt;&gt;0,_xlfn.XLOOKUP($B15,'TH_CMI GRADE 10'!$B$7:$B$49,'TH_CMI GRADE 10'!O$7:O$49,"",0,1)="P",
   _xlfn.XLOOKUP($B15,'TH_CMI GRADE 10'!$B$7:$B$49,'TH_CMI GRADE 10'!$AS$7:$AS$49,"",0,1)&lt;=TODAY()-MOD(WEEKDAY(TODAY(),2)-5,7)),$D15,0)</f>
        <v>0</v>
      </c>
      <c r="AP65" s="67">
        <f ca="1">IF(AND($D15&lt;&gt;0,_xlfn.XLOOKUP($B15,'TH_CMI GRADE 10'!$B$7:$B$49,'TH_CMI GRADE 10'!P$7:P$49,"",0,1)="P",
   _xlfn.XLOOKUP($B15,'TH_CMI GRADE 10'!$B$7:$B$49,'TH_CMI GRADE 10'!$AT$7:$AT$49,"",0,1)&lt;=TODAY()-MOD(WEEKDAY(TODAY(),2)-5,7)),$D15,0)</f>
        <v>0</v>
      </c>
      <c r="AQ65" s="67" t="e">
        <f ca="1">IF(AND($D15&lt;&gt;0,_xlfn.XLOOKUP($B15,'TH_CMI GRADE 10'!$B$7:$B$49,'TH_CMI GRADE 10'!Q$7:Q$49,"",0,1)="P",
   _xlfn.XLOOKUP($B15,'TH_CMI GRADE 10'!$B$7:$B$49,'TH_CMI GRADE 10'!#REF!,"",0,1)&lt;=TODAY()-MOD(WEEKDAY(TODAY(),2)-5,7)),$D15,0)</f>
        <v>#REF!</v>
      </c>
      <c r="AR65" s="67">
        <f ca="1">IF(AND($D15&lt;&gt;0,_xlfn.XLOOKUP($B15,'TH_CMI GRADE 10'!$B$7:$B$49,'TH_CMI GRADE 10'!U$7:U$49,"",0,1)="P",
   _xlfn.XLOOKUP($B15,'TH_CMI GRADE 10'!$B$7:$B$49,'TH_CMI GRADE 10'!$AS$7:$AS$49,"",0,1)&lt;=TODAY()-MOD(WEEKDAY(TODAY(),2)-5,7)),$D15,0)</f>
        <v>0</v>
      </c>
      <c r="AS65" s="67">
        <f ca="1">IF(AND($D15&lt;&gt;0,_xlfn.XLOOKUP($B15,'TH_CMI GRADE 10'!$B$7:$B$49,'TH_CMI GRADE 10'!V$7:V$49,"",0,1)="P",
   _xlfn.XLOOKUP($B15,'TH_CMI GRADE 10'!$B$7:$B$49,'TH_CMI GRADE 10'!$AT$7:$AT$49,"",0,1)&lt;=TODAY()-MOD(WEEKDAY(TODAY(),2)-5,7)),$D15,0)</f>
        <v>0</v>
      </c>
      <c r="AT65" s="67" t="e">
        <f ca="1">IF(AND($D15&lt;&gt;0,_xlfn.XLOOKUP($B15,'TH_CMI GRADE 10'!$B$7:$B$49,'TH_CMI GRADE 10'!W$7:W$49,"",0,1)="P",
   _xlfn.XLOOKUP($B15,'TH_CMI GRADE 10'!$B$7:$B$49,'TH_CMI GRADE 10'!#REF!,"",0,1)&lt;=TODAY()-MOD(WEEKDAY(TODAY(),2)-5,7)),$D15,0)</f>
        <v>#REF!</v>
      </c>
      <c r="AU65" s="67">
        <f ca="1">IF(AND($D15&lt;&gt;0,_xlfn.XLOOKUP($B15,'TH_CMI GRADE 10'!$B$7:$B$49,'TH_CMI GRADE 10'!AA$7:AA$49,"",0,1)="P",
   _xlfn.XLOOKUP($B15,'TH_CMI GRADE 10'!$B$7:$B$49,'TH_CMI GRADE 10'!$AS$7:$AS$49,"",0,1)&lt;=TODAY()-MOD(WEEKDAY(TODAY(),2)-5,7)),$D15,0)</f>
        <v>1</v>
      </c>
      <c r="AV65" s="67">
        <f ca="1">IF(AND($D15&lt;&gt;0,_xlfn.XLOOKUP($B15,'TH_CMI GRADE 10'!$B$7:$B$49,'TH_CMI GRADE 10'!AB$7:AB$49,"",0,1)="P",
   _xlfn.XLOOKUP($B15,'TH_CMI GRADE 10'!$B$7:$B$49,'TH_CMI GRADE 10'!$AT$7:$AT$49,"",0,1)&lt;=TODAY()-MOD(WEEKDAY(TODAY(),2)-5,7)),$D15,0)</f>
        <v>1</v>
      </c>
      <c r="AW65" s="67" t="e">
        <f ca="1">IF(AND($D15&lt;&gt;0,_xlfn.XLOOKUP($B15,'TH_CMI GRADE 10'!$B$7:$B$49,'TH_CMI GRADE 10'!AC$7:AC$49,"",0,1)="P",
   _xlfn.XLOOKUP($B15,'TH_CMI GRADE 10'!$B$7:$B$49,'TH_CMI GRADE 10'!#REF!,"",0,1)&lt;=TODAY()-MOD(WEEKDAY(TODAY(),2)-5,7)),$D15,0)</f>
        <v>#REF!</v>
      </c>
      <c r="AX65" s="67">
        <f ca="1">IF(AND($D15&lt;&gt;0,_xlfn.XLOOKUP($B15,'TH_CMI GRADE 10'!$B$7:$B$49,'TH_CMI GRADE 10'!AG$7:AG$49,"",0,1)="P",
   _xlfn.XLOOKUP($B15,'TH_CMI GRADE 10'!$B$7:$B$49,'TH_CMI GRADE 10'!$AS$7:$AS$49,"",0,1)&lt;=TODAY()-MOD(WEEKDAY(TODAY(),2)-5,7)),$D15,0)</f>
        <v>1</v>
      </c>
      <c r="AY65" s="67">
        <f ca="1">IF(AND($D15&lt;&gt;0,_xlfn.XLOOKUP($B15,'TH_CMI GRADE 10'!$B$7:$B$49,'TH_CMI GRADE 10'!AH$7:AH$49,"",0,1)="P",
   _xlfn.XLOOKUP($B15,'TH_CMI GRADE 10'!$B$7:$B$49,'TH_CMI GRADE 10'!$AT$7:$AT$49,"",0,1)&lt;=TODAY()-MOD(WEEKDAY(TODAY(),2)-5,7)),$D15,0)</f>
        <v>1</v>
      </c>
      <c r="AZ65" s="67" t="e">
        <f ca="1">IF(AND($D15&lt;&gt;0,_xlfn.XLOOKUP($B15,'TH_CMI GRADE 10'!$B$7:$B$49,'TH_CMI GRADE 10'!AI$7:AI$49,"",0,1)="P",
   _xlfn.XLOOKUP($B15,'TH_CMI GRADE 10'!$B$7:$B$49,'TH_CMI GRADE 10'!#REF!,"",0,1)&lt;=TODAY()-MOD(WEEKDAY(TODAY(),2)-5,7)),$D15,0)</f>
        <v>#REF!</v>
      </c>
      <c r="BA65" s="65" t="e">
        <f ca="1">IF(AND($D15&lt;&gt;0,_xlfn.XLOOKUP($B15,'PW_MLG GRADE 10'!$B$7:$B$31,'PW_MLG GRADE 10'!R$7:R$31,"",0,1)="P",
   _xlfn.XLOOKUP($B15,'PW_MLG GRADE 10'!$B$7:$B$31,'PW_MLG GRADE 10'!#REF!,"",0,1)&lt;=TODAY()-MOD(WEEKDAY(TODAY(),2)-5,7)),$D15,0)</f>
        <v>#REF!</v>
      </c>
      <c r="BB65" s="65" t="e">
        <f ca="1">IF(AND($D15&lt;&gt;0,_xlfn.XLOOKUP($B15,'PW_MLG GRADE 10'!$B$7:$B$31,'PW_MLG GRADE 10'!S$7:S$31,"",0,1)="P",
   _xlfn.XLOOKUP($B15,'PW_MLG GRADE 10'!$B$7:$B$31,'PW_MLG GRADE 10'!#REF!,"",0,1)&lt;=TODAY()-MOD(WEEKDAY(TODAY(),2)-5,7)),$D15,0)</f>
        <v>#REF!</v>
      </c>
      <c r="BC65" s="65" t="e">
        <f ca="1">IF(AND($D15&lt;&gt;0,_xlfn.XLOOKUP($B15,'PW_MLG GRADE 10'!$B$7:$B$31,'PW_MLG GRADE 10'!T$7:T$31,"",0,1)="P",
   _xlfn.XLOOKUP($B15,'PW_MLG GRADE 10'!$B$7:$B$31,'PW_MLG GRADE 10'!#REF!,"",0,1)&lt;=TODAY()-MOD(WEEKDAY(TODAY(),2)-5,7)),$D15,0)</f>
        <v>#REF!</v>
      </c>
      <c r="BD65" s="65" t="e">
        <f ca="1">IF(AND($D15&lt;&gt;0,_xlfn.XLOOKUP($B15,'PW_MLG GRADE 10'!$B$7:$B$31,'PW_MLG GRADE 10'!AA$7:AA$31,"",0,1)="P",
   _xlfn.XLOOKUP($B15,'PW_MLG GRADE 10'!$B$7:$B$31,'PW_MLG GRADE 10'!#REF!,"",0,1)&lt;=TODAY()-MOD(WEEKDAY(TODAY(),2)-5,7)),$D15,0)</f>
        <v>#REF!</v>
      </c>
      <c r="BE65" s="65" t="e">
        <f ca="1">IF(AND($D15&lt;&gt;0,_xlfn.XLOOKUP($B15,'PW_MLG GRADE 10'!$B$7:$B$31,'PW_MLG GRADE 10'!AB$7:AB$31,"",0,1)="P",
   _xlfn.XLOOKUP($B15,'PW_MLG GRADE 10'!$B$7:$B$31,'PW_MLG GRADE 10'!#REF!,"",0,1)&lt;=TODAY()-MOD(WEEKDAY(TODAY(),2)-5,7)),$D15,0)</f>
        <v>#REF!</v>
      </c>
      <c r="BF65" s="65" t="e">
        <f ca="1">IF(AND($D15&lt;&gt;0,_xlfn.XLOOKUP($B15,'PW_MLG GRADE 10'!$B$7:$B$31,'PW_MLG GRADE 10'!AC$7:AC$31,"",0,1)="P",
   _xlfn.XLOOKUP($B15,'PW_MLG GRADE 10'!$B$7:$B$31,'PW_MLG GRADE 10'!#REF!,"",0,1)&lt;=TODAY()-MOD(WEEKDAY(TODAY(),2)-5,7)),$D15,0)</f>
        <v>#REF!</v>
      </c>
      <c r="BG65" s="65" t="e">
        <f ca="1">IF(AND($D15&lt;&gt;0,_xlfn.XLOOKUP($B15,'PW_MLG GRADE 10'!$B$7:$B$31,'PW_MLG GRADE 10'!AD$7:AD$31,"",0,1)="P",
   _xlfn.XLOOKUP($B15,'PW_MLG GRADE 10'!$B$7:$B$31,'PW_MLG GRADE 10'!#REF!,"",0,1)&lt;=TODAY()-MOD(WEEKDAY(TODAY(),2)-5,7)),$D15,0)</f>
        <v>#REF!</v>
      </c>
      <c r="BH65" s="65" t="e">
        <f ca="1">IF(AND($D15&lt;&gt;0,_xlfn.XLOOKUP($B15,'PW_MLG GRADE 10'!$B$7:$B$31,'PW_MLG GRADE 10'!AE$7:AE$31,"",0,1)="P",
   _xlfn.XLOOKUP($B15,'PW_MLG GRADE 10'!$B$7:$B$31,'PW_MLG GRADE 10'!#REF!,"",0,1)&lt;=TODAY()-MOD(WEEKDAY(TODAY(),2)-5,7)),$D15,0)</f>
        <v>#REF!</v>
      </c>
      <c r="BI65" s="65" t="e">
        <f ca="1">IF(AND($D15&lt;&gt;0,_xlfn.XLOOKUP($B15,'PW_MLG GRADE 10'!$B$7:$B$31,'PW_MLG GRADE 10'!AF$7:AF$31,"",0,1)="P",
   _xlfn.XLOOKUP($B15,'PW_MLG GRADE 10'!$B$7:$B$31,'PW_MLG GRADE 10'!#REF!,"",0,1)&lt;=TODAY()-MOD(WEEKDAY(TODAY(),2)-5,7)),$D15,0)</f>
        <v>#REF!</v>
      </c>
      <c r="BJ65" s="65" t="e">
        <f ca="1">IF(AND($D15&lt;&gt;0,_xlfn.XLOOKUP($B15,'PW_MLG GRADE 10'!$B$7:$B$31,'PW_MLG GRADE 10'!AG$7:AG$31,"",0,1)="P",
   _xlfn.XLOOKUP($B15,'PW_MLG GRADE 10'!$B$7:$B$31,'PW_MLG GRADE 10'!#REF!,"",0,1)&lt;=TODAY()-MOD(WEEKDAY(TODAY(),2)-5,7)),$D15,0)</f>
        <v>#REF!</v>
      </c>
      <c r="BK65" s="65" t="e">
        <f ca="1">IF(AND($D15&lt;&gt;0,_xlfn.XLOOKUP($B15,'PW_MLG GRADE 10'!$B$7:$B$31,'PW_MLG GRADE 10'!AH$7:AH$31,"",0,1)="P",
   _xlfn.XLOOKUP($B15,'PW_MLG GRADE 10'!$B$7:$B$31,'PW_MLG GRADE 10'!#REF!,"",0,1)&lt;=TODAY()-MOD(WEEKDAY(TODAY(),2)-5,7)),$D15,0)</f>
        <v>#REF!</v>
      </c>
      <c r="BL65" s="65" t="e">
        <f ca="1">IF(AND($D15&lt;&gt;0,_xlfn.XLOOKUP($B15,'PW_MLG GRADE 10'!$B$7:$B$31,'PW_MLG GRADE 10'!AI$7:AI$31,"",0,1)="P",
   _xlfn.XLOOKUP($B15,'PW_MLG GRADE 10'!$B$7:$B$31,'PW_MLG GRADE 10'!#REF!,"",0,1)&lt;=TODAY()-MOD(WEEKDAY(TODAY(),2)-5,7)),$D15,0)</f>
        <v>#REF!</v>
      </c>
      <c r="BM65" s="65" t="e">
        <f ca="1">IF(AND($D15&lt;&gt;0,_xlfn.XLOOKUP($B15,'PW_MLG GRADE 10'!$B$7:$B$31,'PW_MLG GRADE 10'!AJ$7:AJ$31,"",0,1)="P",
   _xlfn.XLOOKUP($B15,'PW_MLG GRADE 10'!$B$7:$B$31,'PW_MLG GRADE 10'!#REF!,"",0,1)&lt;=TODAY()-MOD(WEEKDAY(TODAY(),2)-5,7)),$D15,0)</f>
        <v>#REF!</v>
      </c>
      <c r="BN65" s="65" t="e">
        <f ca="1">IF(AND($D15&lt;&gt;0,_xlfn.XLOOKUP($B15,'PW_MLG GRADE 10'!$B$7:$B$31,'PW_MLG GRADE 10'!AK$7:AK$31,"",0,1)="P",
   _xlfn.XLOOKUP($B15,'PW_MLG GRADE 10'!$B$7:$B$31,'PW_MLG GRADE 10'!#REF!,"",0,1)&lt;=TODAY()-MOD(WEEKDAY(TODAY(),2)-5,7)),$D15,0)</f>
        <v>#REF!</v>
      </c>
      <c r="BO65" s="65" t="e">
        <f ca="1">IF(AND($D15&lt;&gt;0,_xlfn.XLOOKUP($B15,'PW_MLG GRADE 10'!$B$7:$B$31,'PW_MLG GRADE 10'!AL$7:AL$31,"",0,1)="P",
   _xlfn.XLOOKUP($B15,'PW_MLG GRADE 10'!$B$7:$B$31,'PW_MLG GRADE 10'!#REF!,"",0,1)&lt;=TODAY()-MOD(WEEKDAY(TODAY(),2)-5,7)),$D15,0)</f>
        <v>#REF!</v>
      </c>
      <c r="BP65" s="65" t="e">
        <f ca="1">IF(AND($D15&lt;&gt;0,_xlfn.XLOOKUP($B15,'PW_MLG GRADE 10'!$B$7:$B$31,'PW_MLG GRADE 10'!AM$7:AM$31,"",0,1)="P",
   _xlfn.XLOOKUP($B15,'PW_MLG GRADE 10'!$B$7:$B$31,'PW_MLG GRADE 10'!#REF!,"",0,1)&lt;=TODAY()-MOD(WEEKDAY(TODAY(),2)-5,7)),$D15,0)</f>
        <v>#REF!</v>
      </c>
      <c r="BQ65" s="65" t="e">
        <f ca="1">IF(AND($D15&lt;&gt;0,_xlfn.XLOOKUP($B15,'PW_MLG GRADE 10'!$B$7:$B$31,'PW_MLG GRADE 10'!AN$7:AN$31,"",0,1)="P",
   _xlfn.XLOOKUP($B15,'PW_MLG GRADE 10'!$B$7:$B$31,'PW_MLG GRADE 10'!#REF!,"",0,1)&lt;=TODAY()-MOD(WEEKDAY(TODAY(),2)-5,7)),$D15,0)</f>
        <v>#REF!</v>
      </c>
      <c r="BR65" s="65" t="e">
        <f ca="1">IF(AND($D15&lt;&gt;0,_xlfn.XLOOKUP($B15,'PW_MLG GRADE 10'!$B$7:$B$31,'PW_MLG GRADE 10'!AO$7:AO$31,"",0,1)="P",
   _xlfn.XLOOKUP($B15,'PW_MLG GRADE 10'!$B$7:$B$31,'PW_MLG GRADE 10'!#REF!,"",0,1)&lt;=TODAY()-MOD(WEEKDAY(TODAY(),2)-5,7)),$D15,0)</f>
        <v>#REF!</v>
      </c>
      <c r="BS65" s="65" t="e">
        <f ca="1">IF(AND($D15&lt;&gt;0,_xlfn.XLOOKUP($B15,'PW_MLG GRADE 10'!$B$7:$B$31,'PW_MLG GRADE 10'!AP$7:AP$31,"",0,1)="P",
   _xlfn.XLOOKUP($B15,'PW_MLG GRADE 10'!$B$7:$B$31,'PW_MLG GRADE 10'!#REF!,"",0,1)&lt;=TODAY()-MOD(WEEKDAY(TODAY(),2)-5,7)),$D15,0)</f>
        <v>#REF!</v>
      </c>
      <c r="BT65" s="65" t="e">
        <f ca="1">IF(AND($D15&lt;&gt;0,_xlfn.XLOOKUP($B15,'PW_MLG GRADE 10'!$B$7:$B$31,'PW_MLG GRADE 10'!AQ$7:AQ$31,"",0,1)="P",
   _xlfn.XLOOKUP($B15,'PW_MLG GRADE 10'!$B$7:$B$31,'PW_MLG GRADE 10'!#REF!,"",0,1)&lt;=TODAY()-MOD(WEEKDAY(TODAY(),2)-5,7)),$D15,0)</f>
        <v>#REF!</v>
      </c>
      <c r="BU65" s="65" t="e">
        <f ca="1">IF(AND($D15&lt;&gt;0,_xlfn.XLOOKUP($B15,'PW_MLG GRADE 10'!$B$7:$B$31,'PW_MLG GRADE 10'!AR$7:AR$31,"",0,1)="P",
   _xlfn.XLOOKUP($B15,'PW_MLG GRADE 10'!$B$7:$B$31,'PW_MLG GRADE 10'!#REF!,"",0,1)&lt;=TODAY()-MOD(WEEKDAY(TODAY(),2)-5,7)),$D15,0)</f>
        <v>#REF!</v>
      </c>
      <c r="BV65" s="65" t="e">
        <f ca="1">IF(AND($D15&lt;&gt;0,_xlfn.XLOOKUP($B15,'PW_MLG GRADE 10'!$B$7:$B$31,'PW_MLG GRADE 10'!AY$7:AY$31,"",0,1)="P",
   _xlfn.XLOOKUP($B15,'PW_MLG GRADE 10'!$B$7:$B$31,'PW_MLG GRADE 10'!#REF!,"",0,1)&lt;=TODAY()-MOD(WEEKDAY(TODAY(),2)-5,7)),$D15,0)</f>
        <v>#REF!</v>
      </c>
      <c r="BW65" s="65" t="e">
        <f ca="1">IF(AND($D15&lt;&gt;0,_xlfn.XLOOKUP($B15,'PW_MLG GRADE 10'!$B$7:$B$31,'PW_MLG GRADE 10'!AZ$7:AZ$31,"",0,1)="P",
   _xlfn.XLOOKUP($B15,'PW_MLG GRADE 10'!$B$7:$B$31,'PW_MLG GRADE 10'!#REF!,"",0,1)&lt;=TODAY()-MOD(WEEKDAY(TODAY(),2)-5,7)),$D15,0)</f>
        <v>#REF!</v>
      </c>
      <c r="BX65" s="65" t="e">
        <f ca="1">IF(AND($D15&lt;&gt;0,_xlfn.XLOOKUP($B15,'PW_MLG GRADE 10'!$B$7:$B$31,'PW_MLG GRADE 10'!BA$7:BA$31,"",0,1)="P",
   _xlfn.XLOOKUP($B15,'PW_MLG GRADE 10'!$B$7:$B$31,'PW_MLG GRADE 10'!#REF!,"",0,1)&lt;=TODAY()-MOD(WEEKDAY(TODAY(),2)-5,7)),$D15,0)</f>
        <v>#REF!</v>
      </c>
      <c r="BY65" s="65" t="e">
        <f ca="1">IF(AND($D15&lt;&gt;0,_xlfn.XLOOKUP($B15,'PW_MLG GRADE 10'!$B$7:$B$31,'PW_MLG GRADE 10'!BB$7:BB$31,"",0,1)="P",
   _xlfn.XLOOKUP($B15,'PW_MLG GRADE 10'!$B$7:$B$31,'PW_MLG GRADE 10'!#REF!,"",0,1)&lt;=TODAY()-MOD(WEEKDAY(TODAY(),2)-5,7)),$D15,0)</f>
        <v>#REF!</v>
      </c>
      <c r="BZ65" s="65" t="e">
        <f ca="1">IF(AND($D15&lt;&gt;0,_xlfn.XLOOKUP($B15,'PW_MLG GRADE 10'!$B$7:$B$31,'PW_MLG GRADE 10'!BC$7:BC$31,"",0,1)="P",
   _xlfn.XLOOKUP($B15,'PW_MLG GRADE 10'!$B$7:$B$31,'PW_MLG GRADE 10'!#REF!,"",0,1)&lt;=TODAY()-MOD(WEEKDAY(TODAY(),2)-5,7)),$D15,0)</f>
        <v>#REF!</v>
      </c>
      <c r="CA65" s="65" t="e">
        <f ca="1">IF(AND($D15&lt;&gt;0,_xlfn.XLOOKUP($B15,'PW_MLG GRADE 10'!$B$7:$B$31,'PW_MLG GRADE 10'!BD$7:BD$31,"",0,1)="P",
   _xlfn.XLOOKUP($B15,'PW_MLG GRADE 10'!$B$7:$B$31,'PW_MLG GRADE 10'!#REF!,"",0,1)&lt;=TODAY()-MOD(WEEKDAY(TODAY(),2)-5,7)),$D15,0)</f>
        <v>#REF!</v>
      </c>
      <c r="CB65" s="65" t="e">
        <f ca="1">IF(AND($D15&lt;&gt;0,_xlfn.XLOOKUP($B15,'PW_MLG GRADE 10'!$B$7:$B$31,'PW_MLG GRADE 10'!BE$7:BE$31,"",0,1)="P",
   _xlfn.XLOOKUP($B15,'PW_MLG GRADE 10'!$B$7:$B$31,'PW_MLG GRADE 10'!#REF!,"",0,1)&lt;=TODAY()-MOD(WEEKDAY(TODAY(),2)-5,7)),$D15,0)</f>
        <v>#REF!</v>
      </c>
      <c r="CC65" s="65" t="e">
        <f ca="1">IF(AND($D15&lt;&gt;0,_xlfn.XLOOKUP($B15,'PW_MLG GRADE 10'!$B$7:$B$31,'PW_MLG GRADE 10'!BF$7:BF$31,"",0,1)="P",
   _xlfn.XLOOKUP($B15,'PW_MLG GRADE 10'!$B$7:$B$31,'PW_MLG GRADE 10'!#REF!,"",0,1)&lt;=TODAY()-MOD(WEEKDAY(TODAY(),2)-5,7)),$D15,0)</f>
        <v>#REF!</v>
      </c>
      <c r="CD65" s="65" t="e">
        <f ca="1">IF(AND($D15&lt;&gt;0,_xlfn.XLOOKUP($B15,'PW_MLG GRADE 10'!$B$7:$B$31,'PW_MLG GRADE 10'!BG$7:BG$31,"",0,1)="P",
   _xlfn.XLOOKUP($B15,'PW_MLG GRADE 10'!$B$7:$B$31,'PW_MLG GRADE 10'!#REF!,"",0,1)&lt;=TODAY()-MOD(WEEKDAY(TODAY(),2)-5,7)),$D15,0)</f>
        <v>#REF!</v>
      </c>
      <c r="CE65" s="67">
        <f ca="1">IF(AND($D15&lt;&gt;0,_xlfn.XLOOKUP($B15,'PW_CMI GRADE 10'!$B$7:$B$31,'PW_CMI GRADE 10'!AY$7:AY$31,"",0,1)="P",
   _xlfn.XLOOKUP($B15,'PW_CMI GRADE 10'!$B$7:$B$31,'PW_CMI GRADE 10'!$U$7:$U$31,"",0,1)&lt;=TODAY()-MOD(WEEKDAY(TODAY(),2)-5,7)),$D15,0)</f>
        <v>0</v>
      </c>
      <c r="CF65" s="67">
        <f ca="1">IF(AND($D15&lt;&gt;0,_xlfn.XLOOKUP($B15,'PW_CMI GRADE 10'!$B$7:$B$31,'PW_CMI GRADE 10'!AZ$7:AZ$31,"",0,1)="P",
   _xlfn.XLOOKUP($B15,'PW_CMI GRADE 10'!$B$7:$B$31,'PW_CMI GRADE 10'!$V$7:$V$31,"",0,1)&lt;=TODAY()-MOD(WEEKDAY(TODAY(),2)-5,7)),$D15,0)</f>
        <v>0</v>
      </c>
      <c r="CG65" s="67">
        <f ca="1">IF(AND($D15&lt;&gt;0,_xlfn.XLOOKUP($B15,'PW_CMI GRADE 10'!$B$7:$B$31,'PW_CMI GRADE 10'!BA$7:BA$31,"",0,1)="P",
   _xlfn.XLOOKUP($B15,'PW_CMI GRADE 10'!$B$7:$B$31,'PW_CMI GRADE 10'!$W$7:$W$31,"",0,1)&lt;=TODAY()-MOD(WEEKDAY(TODAY(),2)-5,7)),$D15,0)</f>
        <v>0</v>
      </c>
      <c r="CH65" s="67">
        <f ca="1">IF(AND($D15&lt;&gt;0,_xlfn.XLOOKUP($B15,'PW_CMI GRADE 10'!$B$7:$B$31,'PW_CMI GRADE 10'!BB$7:BB$31,"",0,1)="P",
   _xlfn.XLOOKUP($B15,'PW_CMI GRADE 10'!$B$7:$B$31,'PW_CMI GRADE 10'!$U$7:$U$31,"",0,1)&lt;=TODAY()-MOD(WEEKDAY(TODAY(),2)-5,7)),$D15,0)</f>
        <v>0</v>
      </c>
      <c r="CI65" s="67">
        <f ca="1">IF(AND($D15&lt;&gt;0,_xlfn.XLOOKUP($B15,'PW_CMI GRADE 10'!$B$7:$B$31,'PW_CMI GRADE 10'!BC$7:BC$31,"",0,1)="P",
   _xlfn.XLOOKUP($B15,'PW_CMI GRADE 10'!$B$7:$B$31,'PW_CMI GRADE 10'!$V$7:$V$31,"",0,1)&lt;=TODAY()-MOD(WEEKDAY(TODAY(),2)-5,7)),$D15,0)</f>
        <v>0</v>
      </c>
      <c r="CJ65" s="67">
        <f ca="1">IF(AND($D15&lt;&gt;0,_xlfn.XLOOKUP($B15,'PW_CMI GRADE 10'!$B$7:$B$31,'PW_CMI GRADE 10'!BD$7:BD$31,"",0,1)="P",
   _xlfn.XLOOKUP($B15,'PW_CMI GRADE 10'!$B$7:$B$31,'PW_CMI GRADE 10'!$W$7:$W$31,"",0,1)&lt;=TODAY()-MOD(WEEKDAY(TODAY(),2)-5,7)),$D15,0)</f>
        <v>0</v>
      </c>
      <c r="CK65" s="67">
        <f ca="1">IF(AND($D15&lt;&gt;0,_xlfn.XLOOKUP($B15,'PW_CMI GRADE 10'!$B$7:$B$31,'PW_CMI GRADE 10'!BE$7:BE$31,"",0,1)="P",
   _xlfn.XLOOKUP($B15,'PW_CMI GRADE 10'!$B$7:$B$31,'PW_CMI GRADE 10'!$U$7:$U$31,"",0,1)&lt;=TODAY()-MOD(WEEKDAY(TODAY(),2)-5,7)),$D15,0)</f>
        <v>0</v>
      </c>
      <c r="CL65" s="67">
        <f ca="1">IF(AND($D15&lt;&gt;0,_xlfn.XLOOKUP($B15,'PW_CMI GRADE 10'!$B$7:$B$31,'PW_CMI GRADE 10'!BF$7:BF$31,"",0,1)="P",
   _xlfn.XLOOKUP($B15,'PW_CMI GRADE 10'!$B$7:$B$31,'PW_CMI GRADE 10'!$V$7:$V$31,"",0,1)&lt;=TODAY()-MOD(WEEKDAY(TODAY(),2)-5,7)),$D15,0)</f>
        <v>0</v>
      </c>
      <c r="CM65" s="67">
        <f ca="1">IF(AND($D15&lt;&gt;0,_xlfn.XLOOKUP($B15,'PW_CMI GRADE 10'!$B$7:$B$31,'PW_CMI GRADE 10'!BG$7:BG$31,"",0,1)="P",
   _xlfn.XLOOKUP($B15,'PW_CMI GRADE 10'!$B$7:$B$31,'PW_CMI GRADE 10'!$W$7:$W$31,"",0,1)&lt;=TODAY()-MOD(WEEKDAY(TODAY(),2)-5,7)),$D15,0)</f>
        <v>0</v>
      </c>
      <c r="CN65" s="67">
        <f ca="1">IF(AND($D15&lt;&gt;0,_xlfn.XLOOKUP($B15,'PW_CMI GRADE 10'!$B$7:$B$31,'PW_CMI GRADE 10'!BH$7:BH$31,"",0,1)="P",
   _xlfn.XLOOKUP($B15,'PW_CMI GRADE 10'!$B$7:$B$31,'PW_CMI GRADE 10'!$U$7:$U$31,"",0,1)&lt;=TODAY()-MOD(WEEKDAY(TODAY(),2)-5,7)),$D15,0)</f>
        <v>0</v>
      </c>
      <c r="CO65" s="67">
        <f ca="1">IF(AND($D15&lt;&gt;0,_xlfn.XLOOKUP($B15,'PW_CMI GRADE 10'!$B$7:$B$31,'PW_CMI GRADE 10'!BI$7:BI$31,"",0,1)="P",
   _xlfn.XLOOKUP($B15,'PW_CMI GRADE 10'!$B$7:$B$31,'PW_CMI GRADE 10'!$V$7:$V$31,"",0,1)&lt;=TODAY()-MOD(WEEKDAY(TODAY(),2)-5,7)),$D15,0)</f>
        <v>0</v>
      </c>
      <c r="CP65" s="67">
        <f ca="1">IF(AND($D15&lt;&gt;0,_xlfn.XLOOKUP($B15,'PW_CMI GRADE 10'!$B$7:$B$31,'PW_CMI GRADE 10'!BJ$7:BJ$31,"",0,1)="P",
   _xlfn.XLOOKUP($B15,'PW_CMI GRADE 10'!$B$7:$B$31,'PW_CMI GRADE 10'!$W$7:$W$31,"",0,1)&lt;=TODAY()-MOD(WEEKDAY(TODAY(),2)-5,7)),$D15,0)</f>
        <v>0</v>
      </c>
      <c r="CQ65" s="67">
        <f ca="1">IF(AND($D15&lt;&gt;0,_xlfn.XLOOKUP($B15,'PW_CMI GRADE 10'!$B$7:$B$31,'PW_CMI GRADE 10'!BK$7:BK$31,"",0,1)="P",
   _xlfn.XLOOKUP($B15,'PW_CMI GRADE 10'!$B$7:$B$31,'PW_CMI GRADE 10'!$U$7:$U$31,"",0,1)&lt;=TODAY()-MOD(WEEKDAY(TODAY(),2)-5,7)),$D15,0)</f>
        <v>0</v>
      </c>
      <c r="CR65" s="67">
        <f ca="1">IF(AND($D15&lt;&gt;0,_xlfn.XLOOKUP($B15,'PW_CMI GRADE 10'!$B$7:$B$31,'PW_CMI GRADE 10'!BL$7:BL$31,"",0,1)="P",
   _xlfn.XLOOKUP($B15,'PW_CMI GRADE 10'!$B$7:$B$31,'PW_CMI GRADE 10'!$V$7:$V$31,"",0,1)&lt;=TODAY()-MOD(WEEKDAY(TODAY(),2)-5,7)),$D15,0)</f>
        <v>0</v>
      </c>
      <c r="CS65" s="67">
        <f ca="1">IF(AND($D15&lt;&gt;0,_xlfn.XLOOKUP($B15,'PW_CMI GRADE 10'!$B$7:$B$31,'PW_CMI GRADE 10'!BM$7:BM$31,"",0,1)="P",
   _xlfn.XLOOKUP($B15,'PW_CMI GRADE 10'!$B$7:$B$31,'PW_CMI GRADE 10'!$W$7:$W$31,"",0,1)&lt;=TODAY()-MOD(WEEKDAY(TODAY(),2)-5,7)),$D15,0)</f>
        <v>0</v>
      </c>
      <c r="CT65" s="67">
        <f ca="1">IF(AND($D15&lt;&gt;0,_xlfn.XLOOKUP($B15,'PW_CMI GRADE 10'!$B$7:$B$31,'PW_CMI GRADE 10'!BN$7:BN$31,"",0,1)="P",
   _xlfn.XLOOKUP($B15,'PW_CMI GRADE 10'!$B$7:$B$31,'PW_CMI GRADE 10'!$U$7:$U$31,"",0,1)&lt;=TODAY()-MOD(WEEKDAY(TODAY(),2)-5,7)),$D15,0)</f>
        <v>0</v>
      </c>
      <c r="CU65" s="67">
        <f ca="1">IF(AND($D15&lt;&gt;0,_xlfn.XLOOKUP($B15,'PW_CMI GRADE 10'!$B$7:$B$31,'PW_CMI GRADE 10'!BO$7:BO$31,"",0,1)="P",
   _xlfn.XLOOKUP($B15,'PW_CMI GRADE 10'!$B$7:$B$31,'PW_CMI GRADE 10'!$V$7:$V$31,"",0,1)&lt;=TODAY()-MOD(WEEKDAY(TODAY(),2)-5,7)),$D15,0)</f>
        <v>0</v>
      </c>
      <c r="CV65" s="67">
        <f ca="1">IF(AND($D15&lt;&gt;0,_xlfn.XLOOKUP($B15,'PW_CMI GRADE 10'!$B$7:$B$31,'PW_CMI GRADE 10'!BP$7:BP$31,"",0,1)="P",
   _xlfn.XLOOKUP($B15,'PW_CMI GRADE 10'!$B$7:$B$31,'PW_CMI GRADE 10'!$W$7:$W$31,"",0,1)&lt;=TODAY()-MOD(WEEKDAY(TODAY(),2)-5,7)),$D15,0)</f>
        <v>0</v>
      </c>
      <c r="CW65" s="62" t="e">
        <f t="shared" ca="1" si="132"/>
        <v>#REF!</v>
      </c>
      <c r="CX65" s="62" t="e">
        <f t="shared" ca="1" si="69"/>
        <v>#REF!</v>
      </c>
      <c r="CY65" s="62" t="e">
        <f t="shared" ca="1" si="70"/>
        <v>#REF!</v>
      </c>
      <c r="CZ65" s="62" t="e">
        <f t="shared" ca="1" si="71"/>
        <v>#REF!</v>
      </c>
      <c r="DA65" s="62" t="e">
        <f t="shared" ca="1" si="72"/>
        <v>#REF!</v>
      </c>
      <c r="DB65" s="62" t="e">
        <f t="shared" ca="1" si="73"/>
        <v>#REF!</v>
      </c>
      <c r="DC65" s="62" t="e">
        <f t="shared" ca="1" si="74"/>
        <v>#REF!</v>
      </c>
      <c r="DD65" s="62" t="e">
        <f t="shared" ca="1" si="75"/>
        <v>#REF!</v>
      </c>
      <c r="DE65" s="62" t="e">
        <f t="shared" ca="1" si="76"/>
        <v>#REF!</v>
      </c>
      <c r="DF65" s="62" t="e">
        <f t="shared" ca="1" si="77"/>
        <v>#REF!</v>
      </c>
      <c r="DG65" s="62" t="e">
        <f t="shared" ca="1" si="78"/>
        <v>#REF!</v>
      </c>
      <c r="DH65" s="62" t="e">
        <f t="shared" ca="1" si="79"/>
        <v>#REF!</v>
      </c>
      <c r="DI65" s="62" t="e">
        <f t="shared" ca="1" si="80"/>
        <v>#REF!</v>
      </c>
      <c r="DJ65" s="62" t="e">
        <f t="shared" ca="1" si="81"/>
        <v>#REF!</v>
      </c>
      <c r="DK65" s="62" t="e">
        <f t="shared" ca="1" si="82"/>
        <v>#REF!</v>
      </c>
      <c r="DL65" s="62" t="e">
        <f t="shared" ca="1" si="83"/>
        <v>#REF!</v>
      </c>
      <c r="DM65" s="62" t="e">
        <f t="shared" ca="1" si="84"/>
        <v>#REF!</v>
      </c>
      <c r="DN65" s="62" t="e">
        <f t="shared" ca="1" si="85"/>
        <v>#REF!</v>
      </c>
      <c r="DO65" s="62" t="e">
        <f t="shared" ca="1" si="86"/>
        <v>#REF!</v>
      </c>
      <c r="DP65" s="62" t="e">
        <f t="shared" ca="1" si="87"/>
        <v>#REF!</v>
      </c>
      <c r="DQ65" s="62" t="e">
        <f t="shared" ca="1" si="88"/>
        <v>#REF!</v>
      </c>
      <c r="DR65" s="62" t="e">
        <f t="shared" ca="1" si="89"/>
        <v>#REF!</v>
      </c>
      <c r="DS65" s="62" t="e">
        <f t="shared" ca="1" si="90"/>
        <v>#REF!</v>
      </c>
      <c r="DT65" s="62" t="e">
        <f t="shared" ca="1" si="91"/>
        <v>#REF!</v>
      </c>
      <c r="DU65" s="62" t="e">
        <f t="shared" ca="1" si="92"/>
        <v>#REF!</v>
      </c>
      <c r="DV65" s="62" t="e">
        <f t="shared" ca="1" si="93"/>
        <v>#REF!</v>
      </c>
      <c r="DW65" s="62" t="e">
        <f t="shared" ca="1" si="94"/>
        <v>#REF!</v>
      </c>
      <c r="DX65" s="62" t="e">
        <f t="shared" ca="1" si="95"/>
        <v>#REF!</v>
      </c>
      <c r="DY65" s="62" t="e">
        <f t="shared" ca="1" si="96"/>
        <v>#REF!</v>
      </c>
      <c r="DZ65" s="62" t="e">
        <f t="shared" ca="1" si="97"/>
        <v>#REF!</v>
      </c>
      <c r="EA65" s="63" t="e">
        <f t="shared" ca="1" si="98"/>
        <v>#REF!</v>
      </c>
      <c r="EB65" s="63" t="e">
        <f t="shared" ca="1" si="99"/>
        <v>#REF!</v>
      </c>
      <c r="EC65" s="63" t="e">
        <f t="shared" ca="1" si="100"/>
        <v>#REF!</v>
      </c>
      <c r="ED65" s="63" t="e">
        <f t="shared" ca="1" si="101"/>
        <v>#REF!</v>
      </c>
      <c r="EE65" s="63" t="e">
        <f t="shared" ca="1" si="102"/>
        <v>#REF!</v>
      </c>
      <c r="EF65" s="63" t="e">
        <f t="shared" ca="1" si="103"/>
        <v>#REF!</v>
      </c>
      <c r="EG65" s="63" t="e">
        <f t="shared" ca="1" si="104"/>
        <v>#REF!</v>
      </c>
      <c r="EH65" s="63" t="e">
        <f t="shared" ca="1" si="105"/>
        <v>#REF!</v>
      </c>
      <c r="EI65" s="63" t="e">
        <f t="shared" ca="1" si="106"/>
        <v>#REF!</v>
      </c>
      <c r="EJ65" s="63" t="e">
        <f t="shared" ca="1" si="107"/>
        <v>#REF!</v>
      </c>
      <c r="EK65" s="63" t="e">
        <f t="shared" ca="1" si="108"/>
        <v>#REF!</v>
      </c>
      <c r="EL65" s="63" t="e">
        <f t="shared" ca="1" si="109"/>
        <v>#REF!</v>
      </c>
      <c r="EM65" s="63" t="e">
        <f t="shared" ca="1" si="110"/>
        <v>#REF!</v>
      </c>
      <c r="EN65" s="63" t="e">
        <f t="shared" ca="1" si="111"/>
        <v>#REF!</v>
      </c>
      <c r="EO65" s="63" t="e">
        <f t="shared" ca="1" si="112"/>
        <v>#REF!</v>
      </c>
      <c r="EP65" s="63" t="e">
        <f t="shared" ca="1" si="113"/>
        <v>#REF!</v>
      </c>
      <c r="ET65" t="str">
        <v>4A.3</v>
      </c>
      <c r="EU65" s="38" t="e">
        <f t="shared" ca="1" si="114"/>
        <v>#REF!</v>
      </c>
      <c r="EV65" s="38" t="e">
        <f t="shared" ca="1" si="115"/>
        <v>#REF!</v>
      </c>
      <c r="EW65" s="38" t="e">
        <f t="shared" ca="1" si="116"/>
        <v>#REF!</v>
      </c>
      <c r="EX65" s="38" t="e">
        <f t="shared" ca="1" si="117"/>
        <v>#REF!</v>
      </c>
      <c r="EY65" s="38" t="e">
        <f t="shared" ca="1" si="118"/>
        <v>#REF!</v>
      </c>
      <c r="EZ65" s="38" t="e">
        <f t="shared" ca="1" si="119"/>
        <v>#REF!</v>
      </c>
      <c r="FA65" s="38" t="e">
        <f t="shared" ca="1" si="120"/>
        <v>#REF!</v>
      </c>
      <c r="FB65" s="38" t="e">
        <f t="shared" ca="1" si="121"/>
        <v>#REF!</v>
      </c>
      <c r="FC65" s="38" t="e">
        <f t="shared" ca="1" si="122"/>
        <v>#REF!</v>
      </c>
      <c r="FD65" s="38" t="e">
        <f t="shared" ca="1" si="123"/>
        <v>#REF!</v>
      </c>
      <c r="FE65" s="38">
        <f t="shared" ca="1" si="133"/>
        <v>0</v>
      </c>
      <c r="FF65" s="38" t="e">
        <f t="shared" ca="1" si="124"/>
        <v>#REF!</v>
      </c>
      <c r="FG65" s="38" t="e">
        <f t="shared" ca="1" si="125"/>
        <v>#REF!</v>
      </c>
      <c r="FH65" s="38" t="e">
        <f t="shared" ca="1" si="126"/>
        <v>#REF!</v>
      </c>
      <c r="FI65" s="38" t="e">
        <f t="shared" ca="1" si="127"/>
        <v>#REF!</v>
      </c>
      <c r="FJ65" s="38" t="e">
        <f t="shared" ca="1" si="128"/>
        <v>#REF!</v>
      </c>
      <c r="FK65" s="38" t="e">
        <f t="shared" ca="1" si="129"/>
        <v>#REF!</v>
      </c>
      <c r="FL65" s="38">
        <f t="shared" ca="1" si="130"/>
        <v>0</v>
      </c>
      <c r="FM65" s="38">
        <v>1</v>
      </c>
      <c r="FN65" s="38">
        <f t="shared" si="134"/>
        <v>0.66666666666666663</v>
      </c>
      <c r="FO65" s="38">
        <f t="shared" si="135"/>
        <v>0.33333333333333331</v>
      </c>
    </row>
    <row r="66" spans="1:171">
      <c r="A66" s="64" t="str">
        <f t="shared" si="131"/>
        <v>2.4</v>
      </c>
      <c r="B66" s="64" t="s">
        <v>47</v>
      </c>
      <c r="C66" s="29">
        <v>0</v>
      </c>
      <c r="D66" s="29">
        <v>3</v>
      </c>
      <c r="E66" s="65">
        <f ca="1">IF(AND($D16&lt;&gt;0,_xlfn.XLOOKUP($B16,'TH_MLG GRADE 10'!$B$7:$B$49,'TH_MLG GRADE 10'!C$7:C$49,"",0,1)="P",
   _xlfn.XLOOKUP($B16,'TH_MLG GRADE 10'!$B$7:$B$49,'TH_MLG GRADE 10'!$BK$7:$BK$49,"",0,1)&lt;=TODAY()-MOD(WEEKDAY(TODAY(),2)-5,7)),$D16,0)</f>
        <v>3</v>
      </c>
      <c r="F66" s="65">
        <f ca="1">IF(AND($D16&lt;&gt;0,_xlfn.XLOOKUP($B16,'TH_MLG GRADE 10'!$B$7:$B$49,'TH_MLG GRADE 10'!D$7:D$49,"",0,1)="P",
   _xlfn.XLOOKUP($B16,'TH_MLG GRADE 10'!$B$7:$B$49,'TH_MLG GRADE 10'!$BL$7:$BL$49,"",0,1)&lt;=TODAY()-MOD(WEEKDAY(TODAY(),2)-5,7)),$D16,0)</f>
        <v>3</v>
      </c>
      <c r="G66" s="65">
        <f ca="1">IF(AND($D16&lt;&gt;0,_xlfn.XLOOKUP($B16,'TH_MLG GRADE 10'!$B$7:$B$49,'TH_MLG GRADE 10'!E$7:E$49,"",0,1)="P",
   _xlfn.XLOOKUP($B16,'TH_MLG GRADE 10'!$B$7:$B$49,'TH_MLG GRADE 10'!$BM$7:$BM$49,"",0,1)&lt;=TODAY()-MOD(WEEKDAY(TODAY(),2)-5,7)),$D16,0)</f>
        <v>3</v>
      </c>
      <c r="H66" s="65">
        <f ca="1">IF(AND($D16&lt;&gt;0,_xlfn.XLOOKUP($B16,'TH_MLG GRADE 10'!$B$7:$B$49,'TH_MLG GRADE 10'!I$7:I$49,"",0,1)="P",
   _xlfn.XLOOKUP($B16,'TH_MLG GRADE 10'!$B$7:$B$49,'TH_MLG GRADE 10'!$BK$7:$BK$49,"",0,1)&lt;=TODAY()-MOD(WEEKDAY(TODAY(),2)-5,7)),$D16,0)</f>
        <v>3</v>
      </c>
      <c r="I66" s="65">
        <f ca="1">IF(AND($D16&lt;&gt;0,_xlfn.XLOOKUP($B16,'TH_MLG GRADE 10'!$B$7:$B$49,'TH_MLG GRADE 10'!J$7:J$49,"",0,1)="P",
   _xlfn.XLOOKUP($B16,'TH_MLG GRADE 10'!$B$7:$B$49,'TH_MLG GRADE 10'!$BL$7:$BL$49,"",0,1)&lt;=TODAY()-MOD(WEEKDAY(TODAY(),2)-5,7)),$D16,0)</f>
        <v>3</v>
      </c>
      <c r="J66" s="65">
        <f ca="1">IF(AND($D16&lt;&gt;0,_xlfn.XLOOKUP($B16,'TH_MLG GRADE 10'!$B$7:$B$49,'TH_MLG GRADE 10'!K$7:K$49,"",0,1)="P",
   _xlfn.XLOOKUP($B16,'TH_MLG GRADE 10'!$B$7:$B$49,'TH_MLG GRADE 10'!$BM$7:$BM$49,"",0,1)&lt;=TODAY()-MOD(WEEKDAY(TODAY(),2)-5,7)),$D16,0)</f>
        <v>3</v>
      </c>
      <c r="K66" s="65">
        <f ca="1">IF(AND($D16&lt;&gt;0,_xlfn.XLOOKUP($B16,'TH_MLG GRADE 10'!$B$7:$B$49,'TH_MLG GRADE 10'!O$7:O$49,"",0,1)="P",
   _xlfn.XLOOKUP($B16,'TH_MLG GRADE 10'!$B$7:$B$49,'TH_MLG GRADE 10'!$BK$7:$BK$49,"",0,1)&lt;=TODAY()-MOD(WEEKDAY(TODAY(),2)-5,7)),$D16,0)</f>
        <v>3</v>
      </c>
      <c r="L66" s="65">
        <f ca="1">IF(AND($D16&lt;&gt;0,_xlfn.XLOOKUP($B16,'TH_MLG GRADE 10'!$B$7:$B$49,'TH_MLG GRADE 10'!P$7:P$49,"",0,1)="P",
   _xlfn.XLOOKUP($B16,'TH_MLG GRADE 10'!$B$7:$B$49,'TH_MLG GRADE 10'!$BL$7:$BL$49,"",0,1)&lt;=TODAY()-MOD(WEEKDAY(TODAY(),2)-5,7)),$D16,0)</f>
        <v>0</v>
      </c>
      <c r="M66" s="65">
        <f ca="1">IF(AND($D16&lt;&gt;0,_xlfn.XLOOKUP($B16,'TH_MLG GRADE 10'!$B$7:$B$49,'TH_MLG GRADE 10'!Q$7:Q$49,"",0,1)="P",
   _xlfn.XLOOKUP($B16,'TH_MLG GRADE 10'!$B$7:$B$49,'TH_MLG GRADE 10'!$BM$7:$BM$49,"",0,1)&lt;=TODAY()-MOD(WEEKDAY(TODAY(),2)-5,7)),$D16,0)</f>
        <v>3</v>
      </c>
      <c r="N66" s="65">
        <f ca="1">IF(AND($D16&lt;&gt;0,_xlfn.XLOOKUP($B16,'TH_MLG GRADE 10'!$B$7:$B$49,'TH_MLG GRADE 10'!AA$7:AA$49,"",0,1)="P",
   _xlfn.XLOOKUP($B16,'TH_MLG GRADE 10'!$B$7:$B$49,'TH_MLG GRADE 10'!$BK$7:$BK$49,"",0,1)&lt;=TODAY()-MOD(WEEKDAY(TODAY(),2)-5,7)),$D16,0)</f>
        <v>0</v>
      </c>
      <c r="O66" s="65">
        <f ca="1">IF(AND($D16&lt;&gt;0,_xlfn.XLOOKUP($B16,'TH_MLG GRADE 10'!$B$7:$B$49,'TH_MLG GRADE 10'!AB$7:AB$49,"",0,1)="P",
   _xlfn.XLOOKUP($B16,'TH_MLG GRADE 10'!$B$7:$B$49,'TH_MLG GRADE 10'!$BL$7:$BL$49,"",0,1)&lt;=TODAY()-MOD(WEEKDAY(TODAY(),2)-5,7)),$D16,0)</f>
        <v>0</v>
      </c>
      <c r="P66" s="65">
        <f ca="1">IF(AND($D16&lt;&gt;0,_xlfn.XLOOKUP($B16,'TH_MLG GRADE 10'!$B$7:$B$49,'TH_MLG GRADE 10'!AC$7:AC$49,"",0,1)="P",
   _xlfn.XLOOKUP($B16,'TH_MLG GRADE 10'!$B$7:$B$49,'TH_MLG GRADE 10'!$BM$7:$BM$49,"",0,1)&lt;=TODAY()-MOD(WEEKDAY(TODAY(),2)-5,7)),$D16,0)</f>
        <v>0</v>
      </c>
      <c r="Q66" s="65">
        <f ca="1">IF(AND($D16&lt;&gt;0,_xlfn.XLOOKUP($B16,'TH_MLG GRADE 10'!$B$7:$B$49,'TH_MLG GRADE 10'!AG$7:AG$49,"",0,1)="P",
   _xlfn.XLOOKUP($B16,'TH_MLG GRADE 10'!$B$7:$B$49,'TH_MLG GRADE 10'!$BK$7:$BK$49,"",0,1)&lt;=TODAY()-MOD(WEEKDAY(TODAY(),2)-5,7)),$D16,0)</f>
        <v>0</v>
      </c>
      <c r="R66" s="65">
        <f ca="1">IF(AND($D16&lt;&gt;0,_xlfn.XLOOKUP($B16,'TH_MLG GRADE 10'!$B$7:$B$49,'TH_MLG GRADE 10'!AH$7:AH$49,"",0,1)="P",
   _xlfn.XLOOKUP($B16,'TH_MLG GRADE 10'!$B$7:$B$49,'TH_MLG GRADE 10'!$BL$7:$BL$49,"",0,1)&lt;=TODAY()-MOD(WEEKDAY(TODAY(),2)-5,7)),$D16,0)</f>
        <v>0</v>
      </c>
      <c r="S66" s="65">
        <f ca="1">IF(AND($D16&lt;&gt;0,_xlfn.XLOOKUP($B16,'TH_MLG GRADE 10'!$B$7:$B$49,'TH_MLG GRADE 10'!AI$7:AI$49,"",0,1)="P",
   _xlfn.XLOOKUP($B16,'TH_MLG GRADE 10'!$B$7:$B$49,'TH_MLG GRADE 10'!$BM$7:$BM$49,"",0,1)&lt;=TODAY()-MOD(WEEKDAY(TODAY(),2)-5,7)),$D16,0)</f>
        <v>0</v>
      </c>
      <c r="T66" s="65">
        <f ca="1">IF(AND($D16&lt;&gt;0,_xlfn.XLOOKUP($B16,'TH_MLG GRADE 10'!$B$7:$B$49,'TH_MLG GRADE 10'!AM$7:AM$49,"",0,1)="P",
   _xlfn.XLOOKUP($B16,'TH_MLG GRADE 10'!$B$7:$B$49,'TH_MLG GRADE 10'!$BK$7:$BK$49,"",0,1)&lt;=TODAY()-MOD(WEEKDAY(TODAY(),2)-5,7)),$D16,0)</f>
        <v>3</v>
      </c>
      <c r="U66" s="65">
        <f ca="1">IF(AND($D16&lt;&gt;0,_xlfn.XLOOKUP($B16,'TH_MLG GRADE 10'!$B$7:$B$49,'TH_MLG GRADE 10'!AN$7:AN$49,"",0,1)="P",
   _xlfn.XLOOKUP($B16,'TH_MLG GRADE 10'!$B$7:$B$49,'TH_MLG GRADE 10'!$BL$7:$BL$49,"",0,1)&lt;=TODAY()-MOD(WEEKDAY(TODAY(),2)-5,7)),$D16,0)</f>
        <v>3</v>
      </c>
      <c r="V66" s="65">
        <f ca="1">IF(AND($D16&lt;&gt;0,_xlfn.XLOOKUP($B16,'TH_MLG GRADE 10'!$B$7:$B$49,'TH_MLG GRADE 10'!AO$7:AO$49,"",0,1)="P",
   _xlfn.XLOOKUP($B16,'TH_MLG GRADE 10'!$B$7:$B$49,'TH_MLG GRADE 10'!$BM$7:$BM$49,"",0,1)&lt;=TODAY()-MOD(WEEKDAY(TODAY(),2)-5,7)),$D16,0)</f>
        <v>3</v>
      </c>
      <c r="W66" s="65">
        <f ca="1">IF(AND($D16&lt;&gt;0,_xlfn.XLOOKUP($B16,'TH_MLG GRADE 10'!$B$7:$B$49,'TH_MLG GRADE 10'!AY$7:AY$49,"",0,1)="P",
   _xlfn.XLOOKUP($B16,'TH_MLG GRADE 10'!$B$7:$B$49,'TH_MLG GRADE 10'!$BK$7:$BK$49,"",0,1)&lt;=TODAY()-MOD(WEEKDAY(TODAY(),2)-5,7)),$D16,0)</f>
        <v>3</v>
      </c>
      <c r="X66" s="65">
        <f ca="1">IF(AND($D16&lt;&gt;0,_xlfn.XLOOKUP($B16,'TH_MLG GRADE 10'!$B$7:$B$49,'TH_MLG GRADE 10'!AZ$7:AZ$49,"",0,1)="P",
   _xlfn.XLOOKUP($B16,'TH_MLG GRADE 10'!$B$7:$B$49,'TH_MLG GRADE 10'!$BL$7:$BL$49,"",0,1)&lt;=TODAY()-MOD(WEEKDAY(TODAY(),2)-5,7)),$D16,0)</f>
        <v>3</v>
      </c>
      <c r="Y66" s="65">
        <f ca="1">IF(AND($D16&lt;&gt;0,_xlfn.XLOOKUP($B16,'TH_MLG GRADE 10'!$B$7:$B$49,'TH_MLG GRADE 10'!BA$7:BA$49,"",0,1)="P",
   _xlfn.XLOOKUP($B16,'TH_MLG GRADE 10'!$B$7:$B$49,'TH_MLG GRADE 10'!$BM$7:$BM$49,"",0,1)&lt;=TODAY()-MOD(WEEKDAY(TODAY(),2)-5,7)),$D16,0)</f>
        <v>0</v>
      </c>
      <c r="Z66" s="65">
        <f ca="1">IF(AND($D16&lt;&gt;0,_xlfn.XLOOKUP($B16,'TH_MLG GRADE 10'!$B$7:$B$49,'TH_MLG GRADE 10'!BE$7:BE$49,"",0,1)="P",
   _xlfn.XLOOKUP($B16,'TH_MLG GRADE 10'!$B$7:$B$49,'TH_MLG GRADE 10'!$BK$7:$BK$49,"",0,1)&lt;=TODAY()-MOD(WEEKDAY(TODAY(),2)-5,7)),$D16,0)</f>
        <v>0</v>
      </c>
      <c r="AA66" s="65">
        <f ca="1">IF(AND($D16&lt;&gt;0,_xlfn.XLOOKUP($B16,'TH_MLG GRADE 10'!$B$7:$B$49,'TH_MLG GRADE 10'!BF$7:BF$49,"",0,1)="P",
   _xlfn.XLOOKUP($B16,'TH_MLG GRADE 10'!$B$7:$B$49,'TH_MLG GRADE 10'!$BL$7:$BL$49,"",0,1)&lt;=TODAY()-MOD(WEEKDAY(TODAY(),2)-5,7)),$D16,0)</f>
        <v>0</v>
      </c>
      <c r="AB66" s="65">
        <f ca="1">IF(AND($D16&lt;&gt;0,_xlfn.XLOOKUP($B16,'TH_MLG GRADE 10'!$B$7:$B$49,'TH_MLG GRADE 10'!BG$7:BG$49,"",0,1)="P",
   _xlfn.XLOOKUP($B16,'TH_MLG GRADE 10'!$B$7:$B$49,'TH_MLG GRADE 10'!$BM$7:$BM$49,"",0,1)&lt;=TODAY()-MOD(WEEKDAY(TODAY(),2)-5,7)),$D16,0)</f>
        <v>0</v>
      </c>
      <c r="AC66" s="65" t="e">
        <f ca="1">IF(AND($D16&lt;&gt;0,_xlfn.XLOOKUP($B16,'TH_MLG GRADE 10'!$B$7:$B$49,'TH_MLG GRADE 10'!#REF!,"",0,1)="P",
   _xlfn.XLOOKUP($B16,'TH_MLG GRADE 10'!$B$7:$B$49,'TH_MLG GRADE 10'!$BK$7:$BK$49,"",0,1)&lt;=TODAY()-MOD(WEEKDAY(TODAY(),2)-5,7)),$D16,0)</f>
        <v>#REF!</v>
      </c>
      <c r="AD66" s="65" t="e">
        <f ca="1">IF(AND($D16&lt;&gt;0,_xlfn.XLOOKUP($B16,'TH_MLG GRADE 10'!$B$7:$B$49,'TH_MLG GRADE 10'!#REF!,"",0,1)="P",
   _xlfn.XLOOKUP($B16,'TH_MLG GRADE 10'!$B$7:$B$49,'TH_MLG GRADE 10'!$BL$7:$BL$49,"",0,1)&lt;=TODAY()-MOD(WEEKDAY(TODAY(),2)-5,7)),$D16,0)</f>
        <v>#REF!</v>
      </c>
      <c r="AE66" s="65" t="e">
        <f ca="1">IF(AND($D16&lt;&gt;0,_xlfn.XLOOKUP($B16,'TH_MLG GRADE 10'!$B$7:$B$49,'TH_MLG GRADE 10'!#REF!,"",0,1)="P",
   _xlfn.XLOOKUP($B16,'TH_MLG GRADE 10'!$B$7:$B$49,'TH_MLG GRADE 10'!$BM$7:$BM$49,"",0,1)&lt;=TODAY()-MOD(WEEKDAY(TODAY(),2)-5,7)),$D16,0)</f>
        <v>#REF!</v>
      </c>
      <c r="AF66" s="65" t="e">
        <f ca="1">IF(AND($D16&lt;&gt;0,_xlfn.XLOOKUP($B16,'TH_MLG GRADE 10'!$B$7:$B$49,'TH_MLG GRADE 10'!#REF!,"",0,1)="P",
   _xlfn.XLOOKUP($B16,'TH_MLG GRADE 10'!$B$7:$B$49,'TH_MLG GRADE 10'!$BK$7:$BK$49,"",0,1)&lt;=TODAY()-MOD(WEEKDAY(TODAY(),2)-5,7)),$D16,0)</f>
        <v>#REF!</v>
      </c>
      <c r="AG66" s="65" t="e">
        <f ca="1">IF(AND($D16&lt;&gt;0,_xlfn.XLOOKUP($B16,'TH_MLG GRADE 10'!$B$7:$B$49,'TH_MLG GRADE 10'!#REF!,"",0,1)="P",
   _xlfn.XLOOKUP($B16,'TH_MLG GRADE 10'!$B$7:$B$49,'TH_MLG GRADE 10'!$BL$7:$BL$49,"",0,1)&lt;=TODAY()-MOD(WEEKDAY(TODAY(),2)-5,7)),$D16,0)</f>
        <v>#REF!</v>
      </c>
      <c r="AH66" s="65" t="e">
        <f ca="1">IF(AND($D16&lt;&gt;0,_xlfn.XLOOKUP($B16,'TH_MLG GRADE 10'!$B$7:$B$49,'TH_MLG GRADE 10'!#REF!,"",0,1)="P",
   _xlfn.XLOOKUP($B16,'TH_MLG GRADE 10'!$B$7:$B$49,'TH_MLG GRADE 10'!$BM$7:$BM$49,"",0,1)&lt;=TODAY()-MOD(WEEKDAY(TODAY(),2)-5,7)),$D16,0)</f>
        <v>#REF!</v>
      </c>
      <c r="AI66" s="67">
        <f ca="1">IF(AND($D16&lt;&gt;0,_xlfn.XLOOKUP($B16,'TH_CMI GRADE 10'!$B$7:$B$49,'TH_CMI GRADE 10'!C$7:C$49,"",0,1)="P",
   _xlfn.XLOOKUP($B16,'TH_CMI GRADE 10'!$B$7:$B$49,'TH_CMI GRADE 10'!$AS$7:$AS$49,"",0,1)&lt;=TODAY()-MOD(WEEKDAY(TODAY(),2)-5,7)),$D16,0)</f>
        <v>0</v>
      </c>
      <c r="AJ66" s="67">
        <f ca="1">IF(AND($D16&lt;&gt;0,_xlfn.XLOOKUP($B16,'TH_CMI GRADE 10'!$B$7:$B$49,'TH_CMI GRADE 10'!D$7:D$49,"",0,1)="P",
   _xlfn.XLOOKUP($B16,'TH_CMI GRADE 10'!$B$7:$B$49,'TH_CMI GRADE 10'!$AT$7:$AT$49,"",0,1)&lt;=TODAY()-MOD(WEEKDAY(TODAY(),2)-5,7)),$D16,0)</f>
        <v>0</v>
      </c>
      <c r="AK66" s="67" t="e">
        <f ca="1">IF(AND($D16&lt;&gt;0,_xlfn.XLOOKUP($B16,'TH_CMI GRADE 10'!$B$7:$B$49,'TH_CMI GRADE 10'!H$7:H$49,"",0,1)="P",
   _xlfn.XLOOKUP($B16,'TH_CMI GRADE 10'!$B$7:$B$49,'TH_CMI GRADE 10'!#REF!,"",0,1)&lt;=TODAY()-MOD(WEEKDAY(TODAY(),2)-5,7)),$D16,0)</f>
        <v>#REF!</v>
      </c>
      <c r="AL66" s="67">
        <f ca="1">IF(AND($D16&lt;&gt;0,_xlfn.XLOOKUP($B16,'TH_CMI GRADE 10'!$B$7:$B$49,'TH_CMI GRADE 10'!I$7:I$49,"",0,1)="P",
   _xlfn.XLOOKUP($B16,'TH_CMI GRADE 10'!$B$7:$B$49,'TH_CMI GRADE 10'!$AS$7:$AS$49,"",0,1)&lt;=TODAY()-MOD(WEEKDAY(TODAY(),2)-5,7)),$D16,0)</f>
        <v>0</v>
      </c>
      <c r="AM66" s="67">
        <f ca="1">IF(AND($D16&lt;&gt;0,_xlfn.XLOOKUP($B16,'TH_CMI GRADE 10'!$B$7:$B$49,'TH_CMI GRADE 10'!J$7:J$49,"",0,1)="P",
   _xlfn.XLOOKUP($B16,'TH_CMI GRADE 10'!$B$7:$B$49,'TH_CMI GRADE 10'!$AT$7:$AT$49,"",0,1)&lt;=TODAY()-MOD(WEEKDAY(TODAY(),2)-5,7)),$D16,0)</f>
        <v>0</v>
      </c>
      <c r="AN66" s="67" t="e">
        <f ca="1">IF(AND($D16&lt;&gt;0,_xlfn.XLOOKUP($B16,'TH_CMI GRADE 10'!$B$7:$B$49,'TH_CMI GRADE 10'!K$7:K$49,"",0,1)="P",
   _xlfn.XLOOKUP($B16,'TH_CMI GRADE 10'!$B$7:$B$49,'TH_CMI GRADE 10'!#REF!,"",0,1)&lt;=TODAY()-MOD(WEEKDAY(TODAY(),2)-5,7)),$D16,0)</f>
        <v>#REF!</v>
      </c>
      <c r="AO66" s="67">
        <f ca="1">IF(AND($D16&lt;&gt;0,_xlfn.XLOOKUP($B16,'TH_CMI GRADE 10'!$B$7:$B$49,'TH_CMI GRADE 10'!O$7:O$49,"",0,1)="P",
   _xlfn.XLOOKUP($B16,'TH_CMI GRADE 10'!$B$7:$B$49,'TH_CMI GRADE 10'!$AS$7:$AS$49,"",0,1)&lt;=TODAY()-MOD(WEEKDAY(TODAY(),2)-5,7)),$D16,0)</f>
        <v>0</v>
      </c>
      <c r="AP66" s="67">
        <f ca="1">IF(AND($D16&lt;&gt;0,_xlfn.XLOOKUP($B16,'TH_CMI GRADE 10'!$B$7:$B$49,'TH_CMI GRADE 10'!P$7:P$49,"",0,1)="P",
   _xlfn.XLOOKUP($B16,'TH_CMI GRADE 10'!$B$7:$B$49,'TH_CMI GRADE 10'!$AT$7:$AT$49,"",0,1)&lt;=TODAY()-MOD(WEEKDAY(TODAY(),2)-5,7)),$D16,0)</f>
        <v>0</v>
      </c>
      <c r="AQ66" s="67" t="e">
        <f ca="1">IF(AND($D16&lt;&gt;0,_xlfn.XLOOKUP($B16,'TH_CMI GRADE 10'!$B$7:$B$49,'TH_CMI GRADE 10'!Q$7:Q$49,"",0,1)="P",
   _xlfn.XLOOKUP($B16,'TH_CMI GRADE 10'!$B$7:$B$49,'TH_CMI GRADE 10'!#REF!,"",0,1)&lt;=TODAY()-MOD(WEEKDAY(TODAY(),2)-5,7)),$D16,0)</f>
        <v>#REF!</v>
      </c>
      <c r="AR66" s="67">
        <f ca="1">IF(AND($D16&lt;&gt;0,_xlfn.XLOOKUP($B16,'TH_CMI GRADE 10'!$B$7:$B$49,'TH_CMI GRADE 10'!U$7:U$49,"",0,1)="P",
   _xlfn.XLOOKUP($B16,'TH_CMI GRADE 10'!$B$7:$B$49,'TH_CMI GRADE 10'!$AS$7:$AS$49,"",0,1)&lt;=TODAY()-MOD(WEEKDAY(TODAY(),2)-5,7)),$D16,0)</f>
        <v>0</v>
      </c>
      <c r="AS66" s="67">
        <f ca="1">IF(AND($D16&lt;&gt;0,_xlfn.XLOOKUP($B16,'TH_CMI GRADE 10'!$B$7:$B$49,'TH_CMI GRADE 10'!V$7:V$49,"",0,1)="P",
   _xlfn.XLOOKUP($B16,'TH_CMI GRADE 10'!$B$7:$B$49,'TH_CMI GRADE 10'!$AT$7:$AT$49,"",0,1)&lt;=TODAY()-MOD(WEEKDAY(TODAY(),2)-5,7)),$D16,0)</f>
        <v>0</v>
      </c>
      <c r="AT66" s="67" t="e">
        <f ca="1">IF(AND($D16&lt;&gt;0,_xlfn.XLOOKUP($B16,'TH_CMI GRADE 10'!$B$7:$B$49,'TH_CMI GRADE 10'!W$7:W$49,"",0,1)="P",
   _xlfn.XLOOKUP($B16,'TH_CMI GRADE 10'!$B$7:$B$49,'TH_CMI GRADE 10'!#REF!,"",0,1)&lt;=TODAY()-MOD(WEEKDAY(TODAY(),2)-5,7)),$D16,0)</f>
        <v>#REF!</v>
      </c>
      <c r="AU66" s="67">
        <f ca="1">IF(AND($D16&lt;&gt;0,_xlfn.XLOOKUP($B16,'TH_CMI GRADE 10'!$B$7:$B$49,'TH_CMI GRADE 10'!AA$7:AA$49,"",0,1)="P",
   _xlfn.XLOOKUP($B16,'TH_CMI GRADE 10'!$B$7:$B$49,'TH_CMI GRADE 10'!$AS$7:$AS$49,"",0,1)&lt;=TODAY()-MOD(WEEKDAY(TODAY(),2)-5,7)),$D16,0)</f>
        <v>3</v>
      </c>
      <c r="AV66" s="67">
        <f ca="1">IF(AND($D16&lt;&gt;0,_xlfn.XLOOKUP($B16,'TH_CMI GRADE 10'!$B$7:$B$49,'TH_CMI GRADE 10'!AB$7:AB$49,"",0,1)="P",
   _xlfn.XLOOKUP($B16,'TH_CMI GRADE 10'!$B$7:$B$49,'TH_CMI GRADE 10'!$AT$7:$AT$49,"",0,1)&lt;=TODAY()-MOD(WEEKDAY(TODAY(),2)-5,7)),$D16,0)</f>
        <v>3</v>
      </c>
      <c r="AW66" s="67" t="e">
        <f ca="1">IF(AND($D16&lt;&gt;0,_xlfn.XLOOKUP($B16,'TH_CMI GRADE 10'!$B$7:$B$49,'TH_CMI GRADE 10'!AC$7:AC$49,"",0,1)="P",
   _xlfn.XLOOKUP($B16,'TH_CMI GRADE 10'!$B$7:$B$49,'TH_CMI GRADE 10'!#REF!,"",0,1)&lt;=TODAY()-MOD(WEEKDAY(TODAY(),2)-5,7)),$D16,0)</f>
        <v>#REF!</v>
      </c>
      <c r="AX66" s="67">
        <f ca="1">IF(AND($D16&lt;&gt;0,_xlfn.XLOOKUP($B16,'TH_CMI GRADE 10'!$B$7:$B$49,'TH_CMI GRADE 10'!AG$7:AG$49,"",0,1)="P",
   _xlfn.XLOOKUP($B16,'TH_CMI GRADE 10'!$B$7:$B$49,'TH_CMI GRADE 10'!$AS$7:$AS$49,"",0,1)&lt;=TODAY()-MOD(WEEKDAY(TODAY(),2)-5,7)),$D16,0)</f>
        <v>3</v>
      </c>
      <c r="AY66" s="67">
        <f ca="1">IF(AND($D16&lt;&gt;0,_xlfn.XLOOKUP($B16,'TH_CMI GRADE 10'!$B$7:$B$49,'TH_CMI GRADE 10'!AH$7:AH$49,"",0,1)="P",
   _xlfn.XLOOKUP($B16,'TH_CMI GRADE 10'!$B$7:$B$49,'TH_CMI GRADE 10'!$AT$7:$AT$49,"",0,1)&lt;=TODAY()-MOD(WEEKDAY(TODAY(),2)-5,7)),$D16,0)</f>
        <v>3</v>
      </c>
      <c r="AZ66" s="67" t="e">
        <f ca="1">IF(AND($D16&lt;&gt;0,_xlfn.XLOOKUP($B16,'TH_CMI GRADE 10'!$B$7:$B$49,'TH_CMI GRADE 10'!AI$7:AI$49,"",0,1)="P",
   _xlfn.XLOOKUP($B16,'TH_CMI GRADE 10'!$B$7:$B$49,'TH_CMI GRADE 10'!#REF!,"",0,1)&lt;=TODAY()-MOD(WEEKDAY(TODAY(),2)-5,7)),$D16,0)</f>
        <v>#REF!</v>
      </c>
      <c r="BA66" s="65" t="e">
        <f ca="1">IF(AND($D16&lt;&gt;0,_xlfn.XLOOKUP($B16,'PW_MLG GRADE 10'!$B$7:$B$31,'PW_MLG GRADE 10'!R$7:R$31,"",0,1)="P",
   _xlfn.XLOOKUP($B16,'PW_MLG GRADE 10'!$B$7:$B$31,'PW_MLG GRADE 10'!#REF!,"",0,1)&lt;=TODAY()-MOD(WEEKDAY(TODAY(),2)-5,7)),$D16,0)</f>
        <v>#REF!</v>
      </c>
      <c r="BB66" s="65" t="e">
        <f ca="1">IF(AND($D16&lt;&gt;0,_xlfn.XLOOKUP($B16,'PW_MLG GRADE 10'!$B$7:$B$31,'PW_MLG GRADE 10'!S$7:S$31,"",0,1)="P",
   _xlfn.XLOOKUP($B16,'PW_MLG GRADE 10'!$B$7:$B$31,'PW_MLG GRADE 10'!#REF!,"",0,1)&lt;=TODAY()-MOD(WEEKDAY(TODAY(),2)-5,7)),$D16,0)</f>
        <v>#REF!</v>
      </c>
      <c r="BC66" s="65" t="e">
        <f ca="1">IF(AND($D16&lt;&gt;0,_xlfn.XLOOKUP($B16,'PW_MLG GRADE 10'!$B$7:$B$31,'PW_MLG GRADE 10'!T$7:T$31,"",0,1)="P",
   _xlfn.XLOOKUP($B16,'PW_MLG GRADE 10'!$B$7:$B$31,'PW_MLG GRADE 10'!#REF!,"",0,1)&lt;=TODAY()-MOD(WEEKDAY(TODAY(),2)-5,7)),$D16,0)</f>
        <v>#REF!</v>
      </c>
      <c r="BD66" s="65" t="e">
        <f ca="1">IF(AND($D16&lt;&gt;0,_xlfn.XLOOKUP($B16,'PW_MLG GRADE 10'!$B$7:$B$31,'PW_MLG GRADE 10'!AA$7:AA$31,"",0,1)="P",
   _xlfn.XLOOKUP($B16,'PW_MLG GRADE 10'!$B$7:$B$31,'PW_MLG GRADE 10'!#REF!,"",0,1)&lt;=TODAY()-MOD(WEEKDAY(TODAY(),2)-5,7)),$D16,0)</f>
        <v>#REF!</v>
      </c>
      <c r="BE66" s="65" t="e">
        <f ca="1">IF(AND($D16&lt;&gt;0,_xlfn.XLOOKUP($B16,'PW_MLG GRADE 10'!$B$7:$B$31,'PW_MLG GRADE 10'!AB$7:AB$31,"",0,1)="P",
   _xlfn.XLOOKUP($B16,'PW_MLG GRADE 10'!$B$7:$B$31,'PW_MLG GRADE 10'!#REF!,"",0,1)&lt;=TODAY()-MOD(WEEKDAY(TODAY(),2)-5,7)),$D16,0)</f>
        <v>#REF!</v>
      </c>
      <c r="BF66" s="65" t="e">
        <f ca="1">IF(AND($D16&lt;&gt;0,_xlfn.XLOOKUP($B16,'PW_MLG GRADE 10'!$B$7:$B$31,'PW_MLG GRADE 10'!AC$7:AC$31,"",0,1)="P",
   _xlfn.XLOOKUP($B16,'PW_MLG GRADE 10'!$B$7:$B$31,'PW_MLG GRADE 10'!#REF!,"",0,1)&lt;=TODAY()-MOD(WEEKDAY(TODAY(),2)-5,7)),$D16,0)</f>
        <v>#REF!</v>
      </c>
      <c r="BG66" s="65" t="e">
        <f ca="1">IF(AND($D16&lt;&gt;0,_xlfn.XLOOKUP($B16,'PW_MLG GRADE 10'!$B$7:$B$31,'PW_MLG GRADE 10'!AD$7:AD$31,"",0,1)="P",
   _xlfn.XLOOKUP($B16,'PW_MLG GRADE 10'!$B$7:$B$31,'PW_MLG GRADE 10'!#REF!,"",0,1)&lt;=TODAY()-MOD(WEEKDAY(TODAY(),2)-5,7)),$D16,0)</f>
        <v>#REF!</v>
      </c>
      <c r="BH66" s="65" t="e">
        <f ca="1">IF(AND($D16&lt;&gt;0,_xlfn.XLOOKUP($B16,'PW_MLG GRADE 10'!$B$7:$B$31,'PW_MLG GRADE 10'!AE$7:AE$31,"",0,1)="P",
   _xlfn.XLOOKUP($B16,'PW_MLG GRADE 10'!$B$7:$B$31,'PW_MLG GRADE 10'!#REF!,"",0,1)&lt;=TODAY()-MOD(WEEKDAY(TODAY(),2)-5,7)),$D16,0)</f>
        <v>#REF!</v>
      </c>
      <c r="BI66" s="65" t="e">
        <f ca="1">IF(AND($D16&lt;&gt;0,_xlfn.XLOOKUP($B16,'PW_MLG GRADE 10'!$B$7:$B$31,'PW_MLG GRADE 10'!AF$7:AF$31,"",0,1)="P",
   _xlfn.XLOOKUP($B16,'PW_MLG GRADE 10'!$B$7:$B$31,'PW_MLG GRADE 10'!#REF!,"",0,1)&lt;=TODAY()-MOD(WEEKDAY(TODAY(),2)-5,7)),$D16,0)</f>
        <v>#REF!</v>
      </c>
      <c r="BJ66" s="65" t="e">
        <f ca="1">IF(AND($D16&lt;&gt;0,_xlfn.XLOOKUP($B16,'PW_MLG GRADE 10'!$B$7:$B$31,'PW_MLG GRADE 10'!AG$7:AG$31,"",0,1)="P",
   _xlfn.XLOOKUP($B16,'PW_MLG GRADE 10'!$B$7:$B$31,'PW_MLG GRADE 10'!#REF!,"",0,1)&lt;=TODAY()-MOD(WEEKDAY(TODAY(),2)-5,7)),$D16,0)</f>
        <v>#REF!</v>
      </c>
      <c r="BK66" s="65" t="e">
        <f ca="1">IF(AND($D16&lt;&gt;0,_xlfn.XLOOKUP($B16,'PW_MLG GRADE 10'!$B$7:$B$31,'PW_MLG GRADE 10'!AH$7:AH$31,"",0,1)="P",
   _xlfn.XLOOKUP($B16,'PW_MLG GRADE 10'!$B$7:$B$31,'PW_MLG GRADE 10'!#REF!,"",0,1)&lt;=TODAY()-MOD(WEEKDAY(TODAY(),2)-5,7)),$D16,0)</f>
        <v>#REF!</v>
      </c>
      <c r="BL66" s="65" t="e">
        <f ca="1">IF(AND($D16&lt;&gt;0,_xlfn.XLOOKUP($B16,'PW_MLG GRADE 10'!$B$7:$B$31,'PW_MLG GRADE 10'!AI$7:AI$31,"",0,1)="P",
   _xlfn.XLOOKUP($B16,'PW_MLG GRADE 10'!$B$7:$B$31,'PW_MLG GRADE 10'!#REF!,"",0,1)&lt;=TODAY()-MOD(WEEKDAY(TODAY(),2)-5,7)),$D16,0)</f>
        <v>#REF!</v>
      </c>
      <c r="BM66" s="65" t="e">
        <f ca="1">IF(AND($D16&lt;&gt;0,_xlfn.XLOOKUP($B16,'PW_MLG GRADE 10'!$B$7:$B$31,'PW_MLG GRADE 10'!AJ$7:AJ$31,"",0,1)="P",
   _xlfn.XLOOKUP($B16,'PW_MLG GRADE 10'!$B$7:$B$31,'PW_MLG GRADE 10'!#REF!,"",0,1)&lt;=TODAY()-MOD(WEEKDAY(TODAY(),2)-5,7)),$D16,0)</f>
        <v>#REF!</v>
      </c>
      <c r="BN66" s="65" t="e">
        <f ca="1">IF(AND($D16&lt;&gt;0,_xlfn.XLOOKUP($B16,'PW_MLG GRADE 10'!$B$7:$B$31,'PW_MLG GRADE 10'!AK$7:AK$31,"",0,1)="P",
   _xlfn.XLOOKUP($B16,'PW_MLG GRADE 10'!$B$7:$B$31,'PW_MLG GRADE 10'!#REF!,"",0,1)&lt;=TODAY()-MOD(WEEKDAY(TODAY(),2)-5,7)),$D16,0)</f>
        <v>#REF!</v>
      </c>
      <c r="BO66" s="65" t="e">
        <f ca="1">IF(AND($D16&lt;&gt;0,_xlfn.XLOOKUP($B16,'PW_MLG GRADE 10'!$B$7:$B$31,'PW_MLG GRADE 10'!AL$7:AL$31,"",0,1)="P",
   _xlfn.XLOOKUP($B16,'PW_MLG GRADE 10'!$B$7:$B$31,'PW_MLG GRADE 10'!#REF!,"",0,1)&lt;=TODAY()-MOD(WEEKDAY(TODAY(),2)-5,7)),$D16,0)</f>
        <v>#REF!</v>
      </c>
      <c r="BP66" s="65" t="e">
        <f ca="1">IF(AND($D16&lt;&gt;0,_xlfn.XLOOKUP($B16,'PW_MLG GRADE 10'!$B$7:$B$31,'PW_MLG GRADE 10'!AM$7:AM$31,"",0,1)="P",
   _xlfn.XLOOKUP($B16,'PW_MLG GRADE 10'!$B$7:$B$31,'PW_MLG GRADE 10'!#REF!,"",0,1)&lt;=TODAY()-MOD(WEEKDAY(TODAY(),2)-5,7)),$D16,0)</f>
        <v>#REF!</v>
      </c>
      <c r="BQ66" s="65" t="e">
        <f ca="1">IF(AND($D16&lt;&gt;0,_xlfn.XLOOKUP($B16,'PW_MLG GRADE 10'!$B$7:$B$31,'PW_MLG GRADE 10'!AN$7:AN$31,"",0,1)="P",
   _xlfn.XLOOKUP($B16,'PW_MLG GRADE 10'!$B$7:$B$31,'PW_MLG GRADE 10'!#REF!,"",0,1)&lt;=TODAY()-MOD(WEEKDAY(TODAY(),2)-5,7)),$D16,0)</f>
        <v>#REF!</v>
      </c>
      <c r="BR66" s="65" t="e">
        <f ca="1">IF(AND($D16&lt;&gt;0,_xlfn.XLOOKUP($B16,'PW_MLG GRADE 10'!$B$7:$B$31,'PW_MLG GRADE 10'!AO$7:AO$31,"",0,1)="P",
   _xlfn.XLOOKUP($B16,'PW_MLG GRADE 10'!$B$7:$B$31,'PW_MLG GRADE 10'!#REF!,"",0,1)&lt;=TODAY()-MOD(WEEKDAY(TODAY(),2)-5,7)),$D16,0)</f>
        <v>#REF!</v>
      </c>
      <c r="BS66" s="65" t="e">
        <f ca="1">IF(AND($D16&lt;&gt;0,_xlfn.XLOOKUP($B16,'PW_MLG GRADE 10'!$B$7:$B$31,'PW_MLG GRADE 10'!AP$7:AP$31,"",0,1)="P",
   _xlfn.XLOOKUP($B16,'PW_MLG GRADE 10'!$B$7:$B$31,'PW_MLG GRADE 10'!#REF!,"",0,1)&lt;=TODAY()-MOD(WEEKDAY(TODAY(),2)-5,7)),$D16,0)</f>
        <v>#REF!</v>
      </c>
      <c r="BT66" s="65" t="e">
        <f ca="1">IF(AND($D16&lt;&gt;0,_xlfn.XLOOKUP($B16,'PW_MLG GRADE 10'!$B$7:$B$31,'PW_MLG GRADE 10'!AQ$7:AQ$31,"",0,1)="P",
   _xlfn.XLOOKUP($B16,'PW_MLG GRADE 10'!$B$7:$B$31,'PW_MLG GRADE 10'!#REF!,"",0,1)&lt;=TODAY()-MOD(WEEKDAY(TODAY(),2)-5,7)),$D16,0)</f>
        <v>#REF!</v>
      </c>
      <c r="BU66" s="65" t="e">
        <f ca="1">IF(AND($D16&lt;&gt;0,_xlfn.XLOOKUP($B16,'PW_MLG GRADE 10'!$B$7:$B$31,'PW_MLG GRADE 10'!AR$7:AR$31,"",0,1)="P",
   _xlfn.XLOOKUP($B16,'PW_MLG GRADE 10'!$B$7:$B$31,'PW_MLG GRADE 10'!#REF!,"",0,1)&lt;=TODAY()-MOD(WEEKDAY(TODAY(),2)-5,7)),$D16,0)</f>
        <v>#REF!</v>
      </c>
      <c r="BV66" s="65" t="e">
        <f ca="1">IF(AND($D16&lt;&gt;0,_xlfn.XLOOKUP($B16,'PW_MLG GRADE 10'!$B$7:$B$31,'PW_MLG GRADE 10'!AY$7:AY$31,"",0,1)="P",
   _xlfn.XLOOKUP($B16,'PW_MLG GRADE 10'!$B$7:$B$31,'PW_MLG GRADE 10'!#REF!,"",0,1)&lt;=TODAY()-MOD(WEEKDAY(TODAY(),2)-5,7)),$D16,0)</f>
        <v>#REF!</v>
      </c>
      <c r="BW66" s="65" t="e">
        <f ca="1">IF(AND($D16&lt;&gt;0,_xlfn.XLOOKUP($B16,'PW_MLG GRADE 10'!$B$7:$B$31,'PW_MLG GRADE 10'!AZ$7:AZ$31,"",0,1)="P",
   _xlfn.XLOOKUP($B16,'PW_MLG GRADE 10'!$B$7:$B$31,'PW_MLG GRADE 10'!#REF!,"",0,1)&lt;=TODAY()-MOD(WEEKDAY(TODAY(),2)-5,7)),$D16,0)</f>
        <v>#REF!</v>
      </c>
      <c r="BX66" s="65" t="e">
        <f ca="1">IF(AND($D16&lt;&gt;0,_xlfn.XLOOKUP($B16,'PW_MLG GRADE 10'!$B$7:$B$31,'PW_MLG GRADE 10'!BA$7:BA$31,"",0,1)="P",
   _xlfn.XLOOKUP($B16,'PW_MLG GRADE 10'!$B$7:$B$31,'PW_MLG GRADE 10'!#REF!,"",0,1)&lt;=TODAY()-MOD(WEEKDAY(TODAY(),2)-5,7)),$D16,0)</f>
        <v>#REF!</v>
      </c>
      <c r="BY66" s="65" t="e">
        <f ca="1">IF(AND($D16&lt;&gt;0,_xlfn.XLOOKUP($B16,'PW_MLG GRADE 10'!$B$7:$B$31,'PW_MLG GRADE 10'!BB$7:BB$31,"",0,1)="P",
   _xlfn.XLOOKUP($B16,'PW_MLG GRADE 10'!$B$7:$B$31,'PW_MLG GRADE 10'!#REF!,"",0,1)&lt;=TODAY()-MOD(WEEKDAY(TODAY(),2)-5,7)),$D16,0)</f>
        <v>#REF!</v>
      </c>
      <c r="BZ66" s="65" t="e">
        <f ca="1">IF(AND($D16&lt;&gt;0,_xlfn.XLOOKUP($B16,'PW_MLG GRADE 10'!$B$7:$B$31,'PW_MLG GRADE 10'!BC$7:BC$31,"",0,1)="P",
   _xlfn.XLOOKUP($B16,'PW_MLG GRADE 10'!$B$7:$B$31,'PW_MLG GRADE 10'!#REF!,"",0,1)&lt;=TODAY()-MOD(WEEKDAY(TODAY(),2)-5,7)),$D16,0)</f>
        <v>#REF!</v>
      </c>
      <c r="CA66" s="65" t="e">
        <f ca="1">IF(AND($D16&lt;&gt;0,_xlfn.XLOOKUP($B16,'PW_MLG GRADE 10'!$B$7:$B$31,'PW_MLG GRADE 10'!BD$7:BD$31,"",0,1)="P",
   _xlfn.XLOOKUP($B16,'PW_MLG GRADE 10'!$B$7:$B$31,'PW_MLG GRADE 10'!#REF!,"",0,1)&lt;=TODAY()-MOD(WEEKDAY(TODAY(),2)-5,7)),$D16,0)</f>
        <v>#REF!</v>
      </c>
      <c r="CB66" s="65" t="e">
        <f ca="1">IF(AND($D16&lt;&gt;0,_xlfn.XLOOKUP($B16,'PW_MLG GRADE 10'!$B$7:$B$31,'PW_MLG GRADE 10'!BE$7:BE$31,"",0,1)="P",
   _xlfn.XLOOKUP($B16,'PW_MLG GRADE 10'!$B$7:$B$31,'PW_MLG GRADE 10'!#REF!,"",0,1)&lt;=TODAY()-MOD(WEEKDAY(TODAY(),2)-5,7)),$D16,0)</f>
        <v>#REF!</v>
      </c>
      <c r="CC66" s="65" t="e">
        <f ca="1">IF(AND($D16&lt;&gt;0,_xlfn.XLOOKUP($B16,'PW_MLG GRADE 10'!$B$7:$B$31,'PW_MLG GRADE 10'!BF$7:BF$31,"",0,1)="P",
   _xlfn.XLOOKUP($B16,'PW_MLG GRADE 10'!$B$7:$B$31,'PW_MLG GRADE 10'!#REF!,"",0,1)&lt;=TODAY()-MOD(WEEKDAY(TODAY(),2)-5,7)),$D16,0)</f>
        <v>#REF!</v>
      </c>
      <c r="CD66" s="65" t="e">
        <f ca="1">IF(AND($D16&lt;&gt;0,_xlfn.XLOOKUP($B16,'PW_MLG GRADE 10'!$B$7:$B$31,'PW_MLG GRADE 10'!BG$7:BG$31,"",0,1)="P",
   _xlfn.XLOOKUP($B16,'PW_MLG GRADE 10'!$B$7:$B$31,'PW_MLG GRADE 10'!#REF!,"",0,1)&lt;=TODAY()-MOD(WEEKDAY(TODAY(),2)-5,7)),$D16,0)</f>
        <v>#REF!</v>
      </c>
      <c r="CE66" s="67">
        <f ca="1">IF(AND($D16&lt;&gt;0,_xlfn.XLOOKUP($B16,'PW_CMI GRADE 10'!$B$7:$B$31,'PW_CMI GRADE 10'!AY$7:AY$31,"",0,1)="P",
   _xlfn.XLOOKUP($B16,'PW_CMI GRADE 10'!$B$7:$B$31,'PW_CMI GRADE 10'!$U$7:$U$31,"",0,1)&lt;=TODAY()-MOD(WEEKDAY(TODAY(),2)-5,7)),$D16,0)</f>
        <v>0</v>
      </c>
      <c r="CF66" s="67">
        <f ca="1">IF(AND($D16&lt;&gt;0,_xlfn.XLOOKUP($B16,'PW_CMI GRADE 10'!$B$7:$B$31,'PW_CMI GRADE 10'!AZ$7:AZ$31,"",0,1)="P",
   _xlfn.XLOOKUP($B16,'PW_CMI GRADE 10'!$B$7:$B$31,'PW_CMI GRADE 10'!$V$7:$V$31,"",0,1)&lt;=TODAY()-MOD(WEEKDAY(TODAY(),2)-5,7)),$D16,0)</f>
        <v>0</v>
      </c>
      <c r="CG66" s="67">
        <f ca="1">IF(AND($D16&lt;&gt;0,_xlfn.XLOOKUP($B16,'PW_CMI GRADE 10'!$B$7:$B$31,'PW_CMI GRADE 10'!BA$7:BA$31,"",0,1)="P",
   _xlfn.XLOOKUP($B16,'PW_CMI GRADE 10'!$B$7:$B$31,'PW_CMI GRADE 10'!$W$7:$W$31,"",0,1)&lt;=TODAY()-MOD(WEEKDAY(TODAY(),2)-5,7)),$D16,0)</f>
        <v>0</v>
      </c>
      <c r="CH66" s="67">
        <f ca="1">IF(AND($D16&lt;&gt;0,_xlfn.XLOOKUP($B16,'PW_CMI GRADE 10'!$B$7:$B$31,'PW_CMI GRADE 10'!BB$7:BB$31,"",0,1)="P",
   _xlfn.XLOOKUP($B16,'PW_CMI GRADE 10'!$B$7:$B$31,'PW_CMI GRADE 10'!$U$7:$U$31,"",0,1)&lt;=TODAY()-MOD(WEEKDAY(TODAY(),2)-5,7)),$D16,0)</f>
        <v>0</v>
      </c>
      <c r="CI66" s="67">
        <f ca="1">IF(AND($D16&lt;&gt;0,_xlfn.XLOOKUP($B16,'PW_CMI GRADE 10'!$B$7:$B$31,'PW_CMI GRADE 10'!BC$7:BC$31,"",0,1)="P",
   _xlfn.XLOOKUP($B16,'PW_CMI GRADE 10'!$B$7:$B$31,'PW_CMI GRADE 10'!$V$7:$V$31,"",0,1)&lt;=TODAY()-MOD(WEEKDAY(TODAY(),2)-5,7)),$D16,0)</f>
        <v>0</v>
      </c>
      <c r="CJ66" s="67">
        <f ca="1">IF(AND($D16&lt;&gt;0,_xlfn.XLOOKUP($B16,'PW_CMI GRADE 10'!$B$7:$B$31,'PW_CMI GRADE 10'!BD$7:BD$31,"",0,1)="P",
   _xlfn.XLOOKUP($B16,'PW_CMI GRADE 10'!$B$7:$B$31,'PW_CMI GRADE 10'!$W$7:$W$31,"",0,1)&lt;=TODAY()-MOD(WEEKDAY(TODAY(),2)-5,7)),$D16,0)</f>
        <v>0</v>
      </c>
      <c r="CK66" s="67">
        <f ca="1">IF(AND($D16&lt;&gt;0,_xlfn.XLOOKUP($B16,'PW_CMI GRADE 10'!$B$7:$B$31,'PW_CMI GRADE 10'!BE$7:BE$31,"",0,1)="P",
   _xlfn.XLOOKUP($B16,'PW_CMI GRADE 10'!$B$7:$B$31,'PW_CMI GRADE 10'!$U$7:$U$31,"",0,1)&lt;=TODAY()-MOD(WEEKDAY(TODAY(),2)-5,7)),$D16,0)</f>
        <v>0</v>
      </c>
      <c r="CL66" s="67">
        <f ca="1">IF(AND($D16&lt;&gt;0,_xlfn.XLOOKUP($B16,'PW_CMI GRADE 10'!$B$7:$B$31,'PW_CMI GRADE 10'!BF$7:BF$31,"",0,1)="P",
   _xlfn.XLOOKUP($B16,'PW_CMI GRADE 10'!$B$7:$B$31,'PW_CMI GRADE 10'!$V$7:$V$31,"",0,1)&lt;=TODAY()-MOD(WEEKDAY(TODAY(),2)-5,7)),$D16,0)</f>
        <v>0</v>
      </c>
      <c r="CM66" s="67">
        <f ca="1">IF(AND($D16&lt;&gt;0,_xlfn.XLOOKUP($B16,'PW_CMI GRADE 10'!$B$7:$B$31,'PW_CMI GRADE 10'!BG$7:BG$31,"",0,1)="P",
   _xlfn.XLOOKUP($B16,'PW_CMI GRADE 10'!$B$7:$B$31,'PW_CMI GRADE 10'!$W$7:$W$31,"",0,1)&lt;=TODAY()-MOD(WEEKDAY(TODAY(),2)-5,7)),$D16,0)</f>
        <v>0</v>
      </c>
      <c r="CN66" s="67">
        <f ca="1">IF(AND($D16&lt;&gt;0,_xlfn.XLOOKUP($B16,'PW_CMI GRADE 10'!$B$7:$B$31,'PW_CMI GRADE 10'!BH$7:BH$31,"",0,1)="P",
   _xlfn.XLOOKUP($B16,'PW_CMI GRADE 10'!$B$7:$B$31,'PW_CMI GRADE 10'!$U$7:$U$31,"",0,1)&lt;=TODAY()-MOD(WEEKDAY(TODAY(),2)-5,7)),$D16,0)</f>
        <v>0</v>
      </c>
      <c r="CO66" s="67">
        <f ca="1">IF(AND($D16&lt;&gt;0,_xlfn.XLOOKUP($B16,'PW_CMI GRADE 10'!$B$7:$B$31,'PW_CMI GRADE 10'!BI$7:BI$31,"",0,1)="P",
   _xlfn.XLOOKUP($B16,'PW_CMI GRADE 10'!$B$7:$B$31,'PW_CMI GRADE 10'!$V$7:$V$31,"",0,1)&lt;=TODAY()-MOD(WEEKDAY(TODAY(),2)-5,7)),$D16,0)</f>
        <v>0</v>
      </c>
      <c r="CP66" s="67">
        <f ca="1">IF(AND($D16&lt;&gt;0,_xlfn.XLOOKUP($B16,'PW_CMI GRADE 10'!$B$7:$B$31,'PW_CMI GRADE 10'!BJ$7:BJ$31,"",0,1)="P",
   _xlfn.XLOOKUP($B16,'PW_CMI GRADE 10'!$B$7:$B$31,'PW_CMI GRADE 10'!$W$7:$W$31,"",0,1)&lt;=TODAY()-MOD(WEEKDAY(TODAY(),2)-5,7)),$D16,0)</f>
        <v>0</v>
      </c>
      <c r="CQ66" s="67">
        <f ca="1">IF(AND($D16&lt;&gt;0,_xlfn.XLOOKUP($B16,'PW_CMI GRADE 10'!$B$7:$B$31,'PW_CMI GRADE 10'!BK$7:BK$31,"",0,1)="P",
   _xlfn.XLOOKUP($B16,'PW_CMI GRADE 10'!$B$7:$B$31,'PW_CMI GRADE 10'!$U$7:$U$31,"",0,1)&lt;=TODAY()-MOD(WEEKDAY(TODAY(),2)-5,7)),$D16,0)</f>
        <v>0</v>
      </c>
      <c r="CR66" s="67">
        <f ca="1">IF(AND($D16&lt;&gt;0,_xlfn.XLOOKUP($B16,'PW_CMI GRADE 10'!$B$7:$B$31,'PW_CMI GRADE 10'!BL$7:BL$31,"",0,1)="P",
   _xlfn.XLOOKUP($B16,'PW_CMI GRADE 10'!$B$7:$B$31,'PW_CMI GRADE 10'!$V$7:$V$31,"",0,1)&lt;=TODAY()-MOD(WEEKDAY(TODAY(),2)-5,7)),$D16,0)</f>
        <v>0</v>
      </c>
      <c r="CS66" s="67">
        <f ca="1">IF(AND($D16&lt;&gt;0,_xlfn.XLOOKUP($B16,'PW_CMI GRADE 10'!$B$7:$B$31,'PW_CMI GRADE 10'!BM$7:BM$31,"",0,1)="P",
   _xlfn.XLOOKUP($B16,'PW_CMI GRADE 10'!$B$7:$B$31,'PW_CMI GRADE 10'!$W$7:$W$31,"",0,1)&lt;=TODAY()-MOD(WEEKDAY(TODAY(),2)-5,7)),$D16,0)</f>
        <v>0</v>
      </c>
      <c r="CT66" s="67">
        <f ca="1">IF(AND($D16&lt;&gt;0,_xlfn.XLOOKUP($B16,'PW_CMI GRADE 10'!$B$7:$B$31,'PW_CMI GRADE 10'!BN$7:BN$31,"",0,1)="P",
   _xlfn.XLOOKUP($B16,'PW_CMI GRADE 10'!$B$7:$B$31,'PW_CMI GRADE 10'!$U$7:$U$31,"",0,1)&lt;=TODAY()-MOD(WEEKDAY(TODAY(),2)-5,7)),$D16,0)</f>
        <v>0</v>
      </c>
      <c r="CU66" s="67">
        <f ca="1">IF(AND($D16&lt;&gt;0,_xlfn.XLOOKUP($B16,'PW_CMI GRADE 10'!$B$7:$B$31,'PW_CMI GRADE 10'!BO$7:BO$31,"",0,1)="P",
   _xlfn.XLOOKUP($B16,'PW_CMI GRADE 10'!$B$7:$B$31,'PW_CMI GRADE 10'!$V$7:$V$31,"",0,1)&lt;=TODAY()-MOD(WEEKDAY(TODAY(),2)-5,7)),$D16,0)</f>
        <v>0</v>
      </c>
      <c r="CV66" s="67">
        <f ca="1">IF(AND($D16&lt;&gt;0,_xlfn.XLOOKUP($B16,'PW_CMI GRADE 10'!$B$7:$B$31,'PW_CMI GRADE 10'!BP$7:BP$31,"",0,1)="P",
   _xlfn.XLOOKUP($B16,'PW_CMI GRADE 10'!$B$7:$B$31,'PW_CMI GRADE 10'!$W$7:$W$31,"",0,1)&lt;=TODAY()-MOD(WEEKDAY(TODAY(),2)-5,7)),$D16,0)</f>
        <v>0</v>
      </c>
      <c r="CW66" s="62" t="e">
        <f t="shared" ca="1" si="132"/>
        <v>#REF!</v>
      </c>
      <c r="CX66" s="62" t="e">
        <f t="shared" ca="1" si="69"/>
        <v>#REF!</v>
      </c>
      <c r="CY66" s="62" t="e">
        <f t="shared" ca="1" si="70"/>
        <v>#REF!</v>
      </c>
      <c r="CZ66" s="62" t="e">
        <f t="shared" ca="1" si="71"/>
        <v>#REF!</v>
      </c>
      <c r="DA66" s="62" t="e">
        <f t="shared" ca="1" si="72"/>
        <v>#REF!</v>
      </c>
      <c r="DB66" s="62" t="e">
        <f t="shared" ca="1" si="73"/>
        <v>#REF!</v>
      </c>
      <c r="DC66" s="62" t="e">
        <f t="shared" ca="1" si="74"/>
        <v>#REF!</v>
      </c>
      <c r="DD66" s="62" t="e">
        <f t="shared" ca="1" si="75"/>
        <v>#REF!</v>
      </c>
      <c r="DE66" s="62" t="e">
        <f t="shared" ca="1" si="76"/>
        <v>#REF!</v>
      </c>
      <c r="DF66" s="62" t="e">
        <f t="shared" ca="1" si="77"/>
        <v>#REF!</v>
      </c>
      <c r="DG66" s="62" t="e">
        <f t="shared" ca="1" si="78"/>
        <v>#REF!</v>
      </c>
      <c r="DH66" s="62" t="e">
        <f t="shared" ca="1" si="79"/>
        <v>#REF!</v>
      </c>
      <c r="DI66" s="62" t="e">
        <f t="shared" ca="1" si="80"/>
        <v>#REF!</v>
      </c>
      <c r="DJ66" s="62" t="e">
        <f t="shared" ca="1" si="81"/>
        <v>#REF!</v>
      </c>
      <c r="DK66" s="62" t="e">
        <f t="shared" ca="1" si="82"/>
        <v>#REF!</v>
      </c>
      <c r="DL66" s="62" t="e">
        <f t="shared" ca="1" si="83"/>
        <v>#REF!</v>
      </c>
      <c r="DM66" s="62" t="e">
        <f t="shared" ca="1" si="84"/>
        <v>#REF!</v>
      </c>
      <c r="DN66" s="62" t="e">
        <f t="shared" ca="1" si="85"/>
        <v>#REF!</v>
      </c>
      <c r="DO66" s="62" t="e">
        <f t="shared" ca="1" si="86"/>
        <v>#REF!</v>
      </c>
      <c r="DP66" s="62" t="e">
        <f t="shared" ca="1" si="87"/>
        <v>#REF!</v>
      </c>
      <c r="DQ66" s="62" t="e">
        <f t="shared" ca="1" si="88"/>
        <v>#REF!</v>
      </c>
      <c r="DR66" s="62" t="e">
        <f t="shared" ca="1" si="89"/>
        <v>#REF!</v>
      </c>
      <c r="DS66" s="62" t="e">
        <f t="shared" ca="1" si="90"/>
        <v>#REF!</v>
      </c>
      <c r="DT66" s="62" t="e">
        <f t="shared" ca="1" si="91"/>
        <v>#REF!</v>
      </c>
      <c r="DU66" s="62" t="e">
        <f t="shared" ca="1" si="92"/>
        <v>#REF!</v>
      </c>
      <c r="DV66" s="62" t="e">
        <f t="shared" ca="1" si="93"/>
        <v>#REF!</v>
      </c>
      <c r="DW66" s="62" t="e">
        <f t="shared" ca="1" si="94"/>
        <v>#REF!</v>
      </c>
      <c r="DX66" s="62" t="e">
        <f t="shared" ca="1" si="95"/>
        <v>#REF!</v>
      </c>
      <c r="DY66" s="62" t="e">
        <f t="shared" ca="1" si="96"/>
        <v>#REF!</v>
      </c>
      <c r="DZ66" s="62" t="e">
        <f t="shared" ca="1" si="97"/>
        <v>#REF!</v>
      </c>
      <c r="EA66" s="63" t="e">
        <f t="shared" ca="1" si="98"/>
        <v>#REF!</v>
      </c>
      <c r="EB66" s="63" t="e">
        <f t="shared" ca="1" si="99"/>
        <v>#REF!</v>
      </c>
      <c r="EC66" s="63" t="e">
        <f t="shared" ca="1" si="100"/>
        <v>#REF!</v>
      </c>
      <c r="ED66" s="63" t="e">
        <f t="shared" ca="1" si="101"/>
        <v>#REF!</v>
      </c>
      <c r="EE66" s="63" t="e">
        <f t="shared" ca="1" si="102"/>
        <v>#REF!</v>
      </c>
      <c r="EF66" s="63" t="e">
        <f t="shared" ca="1" si="103"/>
        <v>#REF!</v>
      </c>
      <c r="EG66" s="63" t="e">
        <f t="shared" ca="1" si="104"/>
        <v>#REF!</v>
      </c>
      <c r="EH66" s="63" t="e">
        <f t="shared" ca="1" si="105"/>
        <v>#REF!</v>
      </c>
      <c r="EI66" s="63" t="e">
        <f t="shared" ca="1" si="106"/>
        <v>#REF!</v>
      </c>
      <c r="EJ66" s="63" t="e">
        <f t="shared" ca="1" si="107"/>
        <v>#REF!</v>
      </c>
      <c r="EK66" s="63" t="e">
        <f t="shared" ca="1" si="108"/>
        <v>#REF!</v>
      </c>
      <c r="EL66" s="63" t="e">
        <f t="shared" ca="1" si="109"/>
        <v>#REF!</v>
      </c>
      <c r="EM66" s="63" t="e">
        <f t="shared" ca="1" si="110"/>
        <v>#REF!</v>
      </c>
      <c r="EN66" s="63" t="e">
        <f t="shared" ca="1" si="111"/>
        <v>#REF!</v>
      </c>
      <c r="EO66" s="63" t="e">
        <f t="shared" ca="1" si="112"/>
        <v>#REF!</v>
      </c>
      <c r="EP66" s="63" t="e">
        <f t="shared" ca="1" si="113"/>
        <v>#REF!</v>
      </c>
      <c r="ET66" t="str">
        <v>5A.1</v>
      </c>
      <c r="EU66" s="38" t="e">
        <f t="shared" ca="1" si="114"/>
        <v>#REF!</v>
      </c>
      <c r="EV66" s="38" t="e">
        <f t="shared" ca="1" si="115"/>
        <v>#REF!</v>
      </c>
      <c r="EW66" s="38" t="e">
        <f t="shared" ca="1" si="116"/>
        <v>#REF!</v>
      </c>
      <c r="EX66" s="38" t="e">
        <f t="shared" ca="1" si="117"/>
        <v>#REF!</v>
      </c>
      <c r="EY66" s="38" t="e">
        <f t="shared" ca="1" si="118"/>
        <v>#REF!</v>
      </c>
      <c r="EZ66" s="38" t="e">
        <f t="shared" ca="1" si="119"/>
        <v>#REF!</v>
      </c>
      <c r="FA66" s="38" t="e">
        <f t="shared" ca="1" si="120"/>
        <v>#REF!</v>
      </c>
      <c r="FB66" s="38" t="e">
        <f t="shared" ca="1" si="121"/>
        <v>#REF!</v>
      </c>
      <c r="FC66" s="38" t="e">
        <f t="shared" ca="1" si="122"/>
        <v>#REF!</v>
      </c>
      <c r="FD66" s="38" t="e">
        <f t="shared" ca="1" si="123"/>
        <v>#REF!</v>
      </c>
      <c r="FE66" s="38">
        <f t="shared" ca="1" si="133"/>
        <v>0</v>
      </c>
      <c r="FF66" s="38" t="e">
        <f t="shared" ca="1" si="124"/>
        <v>#REF!</v>
      </c>
      <c r="FG66" s="38" t="e">
        <f t="shared" ca="1" si="125"/>
        <v>#REF!</v>
      </c>
      <c r="FH66" s="38" t="e">
        <f t="shared" ca="1" si="126"/>
        <v>#REF!</v>
      </c>
      <c r="FI66" s="38" t="e">
        <f t="shared" ca="1" si="127"/>
        <v>#REF!</v>
      </c>
      <c r="FJ66" s="38" t="e">
        <f t="shared" ca="1" si="128"/>
        <v>#REF!</v>
      </c>
      <c r="FK66" s="38" t="e">
        <f t="shared" ca="1" si="129"/>
        <v>#REF!</v>
      </c>
      <c r="FL66" s="38">
        <f t="shared" ca="1" si="130"/>
        <v>0</v>
      </c>
      <c r="FM66" s="38">
        <v>1</v>
      </c>
      <c r="FN66" s="38">
        <f t="shared" si="134"/>
        <v>0.66666666666666663</v>
      </c>
      <c r="FO66" s="38">
        <f t="shared" si="135"/>
        <v>0.33333333333333331</v>
      </c>
    </row>
    <row r="67" spans="1:171">
      <c r="A67" s="64" t="str">
        <f t="shared" si="131"/>
        <v>2.5</v>
      </c>
      <c r="B67" s="64" t="s">
        <v>48</v>
      </c>
      <c r="C67" s="30">
        <v>2</v>
      </c>
      <c r="D67" s="30">
        <v>2</v>
      </c>
      <c r="E67" s="65">
        <f ca="1">IF(AND($D17&lt;&gt;0,_xlfn.XLOOKUP($B17,'TH_MLG GRADE 10'!$B$7:$B$49,'TH_MLG GRADE 10'!C$7:C$49,"",0,1)="P",
   _xlfn.XLOOKUP($B17,'TH_MLG GRADE 10'!$B$7:$B$49,'TH_MLG GRADE 10'!$BK$7:$BK$49,"",0,1)&lt;=TODAY()-MOD(WEEKDAY(TODAY(),2)-5,7)),$D17,0)</f>
        <v>0</v>
      </c>
      <c r="F67" s="65">
        <f ca="1">IF(AND($D17&lt;&gt;0,_xlfn.XLOOKUP($B17,'TH_MLG GRADE 10'!$B$7:$B$49,'TH_MLG GRADE 10'!D$7:D$49,"",0,1)="P",
   _xlfn.XLOOKUP($B17,'TH_MLG GRADE 10'!$B$7:$B$49,'TH_MLG GRADE 10'!$BL$7:$BL$49,"",0,1)&lt;=TODAY()-MOD(WEEKDAY(TODAY(),2)-5,7)),$D17,0)</f>
        <v>0</v>
      </c>
      <c r="G67" s="65">
        <f ca="1">IF(AND($D17&lt;&gt;0,_xlfn.XLOOKUP($B17,'TH_MLG GRADE 10'!$B$7:$B$49,'TH_MLG GRADE 10'!E$7:E$49,"",0,1)="P",
   _xlfn.XLOOKUP($B17,'TH_MLG GRADE 10'!$B$7:$B$49,'TH_MLG GRADE 10'!$BM$7:$BM$49,"",0,1)&lt;=TODAY()-MOD(WEEKDAY(TODAY(),2)-5,7)),$D17,0)</f>
        <v>0</v>
      </c>
      <c r="H67" s="65">
        <f ca="1">IF(AND($D17&lt;&gt;0,_xlfn.XLOOKUP($B17,'TH_MLG GRADE 10'!$B$7:$B$49,'TH_MLG GRADE 10'!I$7:I$49,"",0,1)="P",
   _xlfn.XLOOKUP($B17,'TH_MLG GRADE 10'!$B$7:$B$49,'TH_MLG GRADE 10'!$BK$7:$BK$49,"",0,1)&lt;=TODAY()-MOD(WEEKDAY(TODAY(),2)-5,7)),$D17,0)</f>
        <v>0</v>
      </c>
      <c r="I67" s="65">
        <f ca="1">IF(AND($D17&lt;&gt;0,_xlfn.XLOOKUP($B17,'TH_MLG GRADE 10'!$B$7:$B$49,'TH_MLG GRADE 10'!J$7:J$49,"",0,1)="P",
   _xlfn.XLOOKUP($B17,'TH_MLG GRADE 10'!$B$7:$B$49,'TH_MLG GRADE 10'!$BL$7:$BL$49,"",0,1)&lt;=TODAY()-MOD(WEEKDAY(TODAY(),2)-5,7)),$D17,0)</f>
        <v>0</v>
      </c>
      <c r="J67" s="65">
        <f ca="1">IF(AND($D17&lt;&gt;0,_xlfn.XLOOKUP($B17,'TH_MLG GRADE 10'!$B$7:$B$49,'TH_MLG GRADE 10'!K$7:K$49,"",0,1)="P",
   _xlfn.XLOOKUP($B17,'TH_MLG GRADE 10'!$B$7:$B$49,'TH_MLG GRADE 10'!$BM$7:$BM$49,"",0,1)&lt;=TODAY()-MOD(WEEKDAY(TODAY(),2)-5,7)),$D17,0)</f>
        <v>0</v>
      </c>
      <c r="K67" s="65">
        <f ca="1">IF(AND($D17&lt;&gt;0,_xlfn.XLOOKUP($B17,'TH_MLG GRADE 10'!$B$7:$B$49,'TH_MLG GRADE 10'!O$7:O$49,"",0,1)="P",
   _xlfn.XLOOKUP($B17,'TH_MLG GRADE 10'!$B$7:$B$49,'TH_MLG GRADE 10'!$BK$7:$BK$49,"",0,1)&lt;=TODAY()-MOD(WEEKDAY(TODAY(),2)-5,7)),$D17,0)</f>
        <v>0</v>
      </c>
      <c r="L67" s="65">
        <f ca="1">IF(AND($D17&lt;&gt;0,_xlfn.XLOOKUP($B17,'TH_MLG GRADE 10'!$B$7:$B$49,'TH_MLG GRADE 10'!P$7:P$49,"",0,1)="P",
   _xlfn.XLOOKUP($B17,'TH_MLG GRADE 10'!$B$7:$B$49,'TH_MLG GRADE 10'!$BL$7:$BL$49,"",0,1)&lt;=TODAY()-MOD(WEEKDAY(TODAY(),2)-5,7)),$D17,0)</f>
        <v>0</v>
      </c>
      <c r="M67" s="65">
        <f ca="1">IF(AND($D17&lt;&gt;0,_xlfn.XLOOKUP($B17,'TH_MLG GRADE 10'!$B$7:$B$49,'TH_MLG GRADE 10'!Q$7:Q$49,"",0,1)="P",
   _xlfn.XLOOKUP($B17,'TH_MLG GRADE 10'!$B$7:$B$49,'TH_MLG GRADE 10'!$BM$7:$BM$49,"",0,1)&lt;=TODAY()-MOD(WEEKDAY(TODAY(),2)-5,7)),$D17,0)</f>
        <v>0</v>
      </c>
      <c r="N67" s="65">
        <f ca="1">IF(AND($D17&lt;&gt;0,_xlfn.XLOOKUP($B17,'TH_MLG GRADE 10'!$B$7:$B$49,'TH_MLG GRADE 10'!AA$7:AA$49,"",0,1)="P",
   _xlfn.XLOOKUP($B17,'TH_MLG GRADE 10'!$B$7:$B$49,'TH_MLG GRADE 10'!$BK$7:$BK$49,"",0,1)&lt;=TODAY()-MOD(WEEKDAY(TODAY(),2)-5,7)),$D17,0)</f>
        <v>0</v>
      </c>
      <c r="O67" s="65">
        <f ca="1">IF(AND($D17&lt;&gt;0,_xlfn.XLOOKUP($B17,'TH_MLG GRADE 10'!$B$7:$B$49,'TH_MLG GRADE 10'!AB$7:AB$49,"",0,1)="P",
   _xlfn.XLOOKUP($B17,'TH_MLG GRADE 10'!$B$7:$B$49,'TH_MLG GRADE 10'!$BL$7:$BL$49,"",0,1)&lt;=TODAY()-MOD(WEEKDAY(TODAY(),2)-5,7)),$D17,0)</f>
        <v>0</v>
      </c>
      <c r="P67" s="65">
        <f ca="1">IF(AND($D17&lt;&gt;0,_xlfn.XLOOKUP($B17,'TH_MLG GRADE 10'!$B$7:$B$49,'TH_MLG GRADE 10'!AC$7:AC$49,"",0,1)="P",
   _xlfn.XLOOKUP($B17,'TH_MLG GRADE 10'!$B$7:$B$49,'TH_MLG GRADE 10'!$BM$7:$BM$49,"",0,1)&lt;=TODAY()-MOD(WEEKDAY(TODAY(),2)-5,7)),$D17,0)</f>
        <v>0</v>
      </c>
      <c r="Q67" s="65">
        <f ca="1">IF(AND($D17&lt;&gt;0,_xlfn.XLOOKUP($B17,'TH_MLG GRADE 10'!$B$7:$B$49,'TH_MLG GRADE 10'!AG$7:AG$49,"",0,1)="P",
   _xlfn.XLOOKUP($B17,'TH_MLG GRADE 10'!$B$7:$B$49,'TH_MLG GRADE 10'!$BK$7:$BK$49,"",0,1)&lt;=TODAY()-MOD(WEEKDAY(TODAY(),2)-5,7)),$D17,0)</f>
        <v>0</v>
      </c>
      <c r="R67" s="65">
        <f ca="1">IF(AND($D17&lt;&gt;0,_xlfn.XLOOKUP($B17,'TH_MLG GRADE 10'!$B$7:$B$49,'TH_MLG GRADE 10'!AH$7:AH$49,"",0,1)="P",
   _xlfn.XLOOKUP($B17,'TH_MLG GRADE 10'!$B$7:$B$49,'TH_MLG GRADE 10'!$BL$7:$BL$49,"",0,1)&lt;=TODAY()-MOD(WEEKDAY(TODAY(),2)-5,7)),$D17,0)</f>
        <v>0</v>
      </c>
      <c r="S67" s="65">
        <f ca="1">IF(AND($D17&lt;&gt;0,_xlfn.XLOOKUP($B17,'TH_MLG GRADE 10'!$B$7:$B$49,'TH_MLG GRADE 10'!AI$7:AI$49,"",0,1)="P",
   _xlfn.XLOOKUP($B17,'TH_MLG GRADE 10'!$B$7:$B$49,'TH_MLG GRADE 10'!$BM$7:$BM$49,"",0,1)&lt;=TODAY()-MOD(WEEKDAY(TODAY(),2)-5,7)),$D17,0)</f>
        <v>0</v>
      </c>
      <c r="T67" s="65">
        <f ca="1">IF(AND($D17&lt;&gt;0,_xlfn.XLOOKUP($B17,'TH_MLG GRADE 10'!$B$7:$B$49,'TH_MLG GRADE 10'!AM$7:AM$49,"",0,1)="P",
   _xlfn.XLOOKUP($B17,'TH_MLG GRADE 10'!$B$7:$B$49,'TH_MLG GRADE 10'!$BK$7:$BK$49,"",0,1)&lt;=TODAY()-MOD(WEEKDAY(TODAY(),2)-5,7)),$D17,0)</f>
        <v>2</v>
      </c>
      <c r="U67" s="65">
        <f ca="1">IF(AND($D17&lt;&gt;0,_xlfn.XLOOKUP($B17,'TH_MLG GRADE 10'!$B$7:$B$49,'TH_MLG GRADE 10'!AN$7:AN$49,"",0,1)="P",
   _xlfn.XLOOKUP($B17,'TH_MLG GRADE 10'!$B$7:$B$49,'TH_MLG GRADE 10'!$BL$7:$BL$49,"",0,1)&lt;=TODAY()-MOD(WEEKDAY(TODAY(),2)-5,7)),$D17,0)</f>
        <v>2</v>
      </c>
      <c r="V67" s="65">
        <f ca="1">IF(AND($D17&lt;&gt;0,_xlfn.XLOOKUP($B17,'TH_MLG GRADE 10'!$B$7:$B$49,'TH_MLG GRADE 10'!AO$7:AO$49,"",0,1)="P",
   _xlfn.XLOOKUP($B17,'TH_MLG GRADE 10'!$B$7:$B$49,'TH_MLG GRADE 10'!$BM$7:$BM$49,"",0,1)&lt;=TODAY()-MOD(WEEKDAY(TODAY(),2)-5,7)),$D17,0)</f>
        <v>2</v>
      </c>
      <c r="W67" s="65">
        <f ca="1">IF(AND($D17&lt;&gt;0,_xlfn.XLOOKUP($B17,'TH_MLG GRADE 10'!$B$7:$B$49,'TH_MLG GRADE 10'!AY$7:AY$49,"",0,1)="P",
   _xlfn.XLOOKUP($B17,'TH_MLG GRADE 10'!$B$7:$B$49,'TH_MLG GRADE 10'!$BK$7:$BK$49,"",0,1)&lt;=TODAY()-MOD(WEEKDAY(TODAY(),2)-5,7)),$D17,0)</f>
        <v>2</v>
      </c>
      <c r="X67" s="65">
        <f ca="1">IF(AND($D17&lt;&gt;0,_xlfn.XLOOKUP($B17,'TH_MLG GRADE 10'!$B$7:$B$49,'TH_MLG GRADE 10'!AZ$7:AZ$49,"",0,1)="P",
   _xlfn.XLOOKUP($B17,'TH_MLG GRADE 10'!$B$7:$B$49,'TH_MLG GRADE 10'!$BL$7:$BL$49,"",0,1)&lt;=TODAY()-MOD(WEEKDAY(TODAY(),2)-5,7)),$D17,0)</f>
        <v>2</v>
      </c>
      <c r="Y67" s="65">
        <f ca="1">IF(AND($D17&lt;&gt;0,_xlfn.XLOOKUP($B17,'TH_MLG GRADE 10'!$B$7:$B$49,'TH_MLG GRADE 10'!BA$7:BA$49,"",0,1)="P",
   _xlfn.XLOOKUP($B17,'TH_MLG GRADE 10'!$B$7:$B$49,'TH_MLG GRADE 10'!$BM$7:$BM$49,"",0,1)&lt;=TODAY()-MOD(WEEKDAY(TODAY(),2)-5,7)),$D17,0)</f>
        <v>0</v>
      </c>
      <c r="Z67" s="65">
        <f ca="1">IF(AND($D17&lt;&gt;0,_xlfn.XLOOKUP($B17,'TH_MLG GRADE 10'!$B$7:$B$49,'TH_MLG GRADE 10'!BE$7:BE$49,"",0,1)="P",
   _xlfn.XLOOKUP($B17,'TH_MLG GRADE 10'!$B$7:$B$49,'TH_MLG GRADE 10'!$BK$7:$BK$49,"",0,1)&lt;=TODAY()-MOD(WEEKDAY(TODAY(),2)-5,7)),$D17,0)</f>
        <v>0</v>
      </c>
      <c r="AA67" s="65">
        <f ca="1">IF(AND($D17&lt;&gt;0,_xlfn.XLOOKUP($B17,'TH_MLG GRADE 10'!$B$7:$B$49,'TH_MLG GRADE 10'!BF$7:BF$49,"",0,1)="P",
   _xlfn.XLOOKUP($B17,'TH_MLG GRADE 10'!$B$7:$B$49,'TH_MLG GRADE 10'!$BL$7:$BL$49,"",0,1)&lt;=TODAY()-MOD(WEEKDAY(TODAY(),2)-5,7)),$D17,0)</f>
        <v>0</v>
      </c>
      <c r="AB67" s="65">
        <f ca="1">IF(AND($D17&lt;&gt;0,_xlfn.XLOOKUP($B17,'TH_MLG GRADE 10'!$B$7:$B$49,'TH_MLG GRADE 10'!BG$7:BG$49,"",0,1)="P",
   _xlfn.XLOOKUP($B17,'TH_MLG GRADE 10'!$B$7:$B$49,'TH_MLG GRADE 10'!$BM$7:$BM$49,"",0,1)&lt;=TODAY()-MOD(WEEKDAY(TODAY(),2)-5,7)),$D17,0)</f>
        <v>0</v>
      </c>
      <c r="AC67" s="65" t="e">
        <f ca="1">IF(AND($D17&lt;&gt;0,_xlfn.XLOOKUP($B17,'TH_MLG GRADE 10'!$B$7:$B$49,'TH_MLG GRADE 10'!#REF!,"",0,1)="P",
   _xlfn.XLOOKUP($B17,'TH_MLG GRADE 10'!$B$7:$B$49,'TH_MLG GRADE 10'!$BK$7:$BK$49,"",0,1)&lt;=TODAY()-MOD(WEEKDAY(TODAY(),2)-5,7)),$D17,0)</f>
        <v>#REF!</v>
      </c>
      <c r="AD67" s="65" t="e">
        <f ca="1">IF(AND($D17&lt;&gt;0,_xlfn.XLOOKUP($B17,'TH_MLG GRADE 10'!$B$7:$B$49,'TH_MLG GRADE 10'!#REF!,"",0,1)="P",
   _xlfn.XLOOKUP($B17,'TH_MLG GRADE 10'!$B$7:$B$49,'TH_MLG GRADE 10'!$BL$7:$BL$49,"",0,1)&lt;=TODAY()-MOD(WEEKDAY(TODAY(),2)-5,7)),$D17,0)</f>
        <v>#REF!</v>
      </c>
      <c r="AE67" s="65" t="e">
        <f ca="1">IF(AND($D17&lt;&gt;0,_xlfn.XLOOKUP($B17,'TH_MLG GRADE 10'!$B$7:$B$49,'TH_MLG GRADE 10'!#REF!,"",0,1)="P",
   _xlfn.XLOOKUP($B17,'TH_MLG GRADE 10'!$B$7:$B$49,'TH_MLG GRADE 10'!$BM$7:$BM$49,"",0,1)&lt;=TODAY()-MOD(WEEKDAY(TODAY(),2)-5,7)),$D17,0)</f>
        <v>#REF!</v>
      </c>
      <c r="AF67" s="65" t="e">
        <f ca="1">IF(AND($D17&lt;&gt;0,_xlfn.XLOOKUP($B17,'TH_MLG GRADE 10'!$B$7:$B$49,'TH_MLG GRADE 10'!#REF!,"",0,1)="P",
   _xlfn.XLOOKUP($B17,'TH_MLG GRADE 10'!$B$7:$B$49,'TH_MLG GRADE 10'!$BK$7:$BK$49,"",0,1)&lt;=TODAY()-MOD(WEEKDAY(TODAY(),2)-5,7)),$D17,0)</f>
        <v>#REF!</v>
      </c>
      <c r="AG67" s="65" t="e">
        <f ca="1">IF(AND($D17&lt;&gt;0,_xlfn.XLOOKUP($B17,'TH_MLG GRADE 10'!$B$7:$B$49,'TH_MLG GRADE 10'!#REF!,"",0,1)="P",
   _xlfn.XLOOKUP($B17,'TH_MLG GRADE 10'!$B$7:$B$49,'TH_MLG GRADE 10'!$BL$7:$BL$49,"",0,1)&lt;=TODAY()-MOD(WEEKDAY(TODAY(),2)-5,7)),$D17,0)</f>
        <v>#REF!</v>
      </c>
      <c r="AH67" s="65" t="e">
        <f ca="1">IF(AND($D17&lt;&gt;0,_xlfn.XLOOKUP($B17,'TH_MLG GRADE 10'!$B$7:$B$49,'TH_MLG GRADE 10'!#REF!,"",0,1)="P",
   _xlfn.XLOOKUP($B17,'TH_MLG GRADE 10'!$B$7:$B$49,'TH_MLG GRADE 10'!$BM$7:$BM$49,"",0,1)&lt;=TODAY()-MOD(WEEKDAY(TODAY(),2)-5,7)),$D17,0)</f>
        <v>#REF!</v>
      </c>
      <c r="AI67" s="67">
        <f ca="1">IF(AND($D17&lt;&gt;0,_xlfn.XLOOKUP($B17,'TH_CMI GRADE 10'!$B$7:$B$49,'TH_CMI GRADE 10'!C$7:C$49,"",0,1)="P",
   _xlfn.XLOOKUP($B17,'TH_CMI GRADE 10'!$B$7:$B$49,'TH_CMI GRADE 10'!$AS$7:$AS$49,"",0,1)&lt;=TODAY()-MOD(WEEKDAY(TODAY(),2)-5,7)),$D17,0)</f>
        <v>0</v>
      </c>
      <c r="AJ67" s="67">
        <f ca="1">IF(AND($D17&lt;&gt;0,_xlfn.XLOOKUP($B17,'TH_CMI GRADE 10'!$B$7:$B$49,'TH_CMI GRADE 10'!D$7:D$49,"",0,1)="P",
   _xlfn.XLOOKUP($B17,'TH_CMI GRADE 10'!$B$7:$B$49,'TH_CMI GRADE 10'!$AT$7:$AT$49,"",0,1)&lt;=TODAY()-MOD(WEEKDAY(TODAY(),2)-5,7)),$D17,0)</f>
        <v>0</v>
      </c>
      <c r="AK67" s="67" t="e">
        <f ca="1">IF(AND($D17&lt;&gt;0,_xlfn.XLOOKUP($B17,'TH_CMI GRADE 10'!$B$7:$B$49,'TH_CMI GRADE 10'!H$7:H$49,"",0,1)="P",
   _xlfn.XLOOKUP($B17,'TH_CMI GRADE 10'!$B$7:$B$49,'TH_CMI GRADE 10'!#REF!,"",0,1)&lt;=TODAY()-MOD(WEEKDAY(TODAY(),2)-5,7)),$D17,0)</f>
        <v>#REF!</v>
      </c>
      <c r="AL67" s="67">
        <f ca="1">IF(AND($D17&lt;&gt;0,_xlfn.XLOOKUP($B17,'TH_CMI GRADE 10'!$B$7:$B$49,'TH_CMI GRADE 10'!I$7:I$49,"",0,1)="P",
   _xlfn.XLOOKUP($B17,'TH_CMI GRADE 10'!$B$7:$B$49,'TH_CMI GRADE 10'!$AS$7:$AS$49,"",0,1)&lt;=TODAY()-MOD(WEEKDAY(TODAY(),2)-5,7)),$D17,0)</f>
        <v>0</v>
      </c>
      <c r="AM67" s="67">
        <f ca="1">IF(AND($D17&lt;&gt;0,_xlfn.XLOOKUP($B17,'TH_CMI GRADE 10'!$B$7:$B$49,'TH_CMI GRADE 10'!J$7:J$49,"",0,1)="P",
   _xlfn.XLOOKUP($B17,'TH_CMI GRADE 10'!$B$7:$B$49,'TH_CMI GRADE 10'!$AT$7:$AT$49,"",0,1)&lt;=TODAY()-MOD(WEEKDAY(TODAY(),2)-5,7)),$D17,0)</f>
        <v>0</v>
      </c>
      <c r="AN67" s="67" t="e">
        <f ca="1">IF(AND($D17&lt;&gt;0,_xlfn.XLOOKUP($B17,'TH_CMI GRADE 10'!$B$7:$B$49,'TH_CMI GRADE 10'!K$7:K$49,"",0,1)="P",
   _xlfn.XLOOKUP($B17,'TH_CMI GRADE 10'!$B$7:$B$49,'TH_CMI GRADE 10'!#REF!,"",0,1)&lt;=TODAY()-MOD(WEEKDAY(TODAY(),2)-5,7)),$D17,0)</f>
        <v>#REF!</v>
      </c>
      <c r="AO67" s="67">
        <f ca="1">IF(AND($D17&lt;&gt;0,_xlfn.XLOOKUP($B17,'TH_CMI GRADE 10'!$B$7:$B$49,'TH_CMI GRADE 10'!O$7:O$49,"",0,1)="P",
   _xlfn.XLOOKUP($B17,'TH_CMI GRADE 10'!$B$7:$B$49,'TH_CMI GRADE 10'!$AS$7:$AS$49,"",0,1)&lt;=TODAY()-MOD(WEEKDAY(TODAY(),2)-5,7)),$D17,0)</f>
        <v>0</v>
      </c>
      <c r="AP67" s="67">
        <f ca="1">IF(AND($D17&lt;&gt;0,_xlfn.XLOOKUP($B17,'TH_CMI GRADE 10'!$B$7:$B$49,'TH_CMI GRADE 10'!P$7:P$49,"",0,1)="P",
   _xlfn.XLOOKUP($B17,'TH_CMI GRADE 10'!$B$7:$B$49,'TH_CMI GRADE 10'!$AT$7:$AT$49,"",0,1)&lt;=TODAY()-MOD(WEEKDAY(TODAY(),2)-5,7)),$D17,0)</f>
        <v>0</v>
      </c>
      <c r="AQ67" s="67" t="e">
        <f ca="1">IF(AND($D17&lt;&gt;0,_xlfn.XLOOKUP($B17,'TH_CMI GRADE 10'!$B$7:$B$49,'TH_CMI GRADE 10'!Q$7:Q$49,"",0,1)="P",
   _xlfn.XLOOKUP($B17,'TH_CMI GRADE 10'!$B$7:$B$49,'TH_CMI GRADE 10'!#REF!,"",0,1)&lt;=TODAY()-MOD(WEEKDAY(TODAY(),2)-5,7)),$D17,0)</f>
        <v>#REF!</v>
      </c>
      <c r="AR67" s="67">
        <f ca="1">IF(AND($D17&lt;&gt;0,_xlfn.XLOOKUP($B17,'TH_CMI GRADE 10'!$B$7:$B$49,'TH_CMI GRADE 10'!U$7:U$49,"",0,1)="P",
   _xlfn.XLOOKUP($B17,'TH_CMI GRADE 10'!$B$7:$B$49,'TH_CMI GRADE 10'!$AS$7:$AS$49,"",0,1)&lt;=TODAY()-MOD(WEEKDAY(TODAY(),2)-5,7)),$D17,0)</f>
        <v>0</v>
      </c>
      <c r="AS67" s="67">
        <f ca="1">IF(AND($D17&lt;&gt;0,_xlfn.XLOOKUP($B17,'TH_CMI GRADE 10'!$B$7:$B$49,'TH_CMI GRADE 10'!V$7:V$49,"",0,1)="P",
   _xlfn.XLOOKUP($B17,'TH_CMI GRADE 10'!$B$7:$B$49,'TH_CMI GRADE 10'!$AT$7:$AT$49,"",0,1)&lt;=TODAY()-MOD(WEEKDAY(TODAY(),2)-5,7)),$D17,0)</f>
        <v>0</v>
      </c>
      <c r="AT67" s="67" t="e">
        <f ca="1">IF(AND($D17&lt;&gt;0,_xlfn.XLOOKUP($B17,'TH_CMI GRADE 10'!$B$7:$B$49,'TH_CMI GRADE 10'!W$7:W$49,"",0,1)="P",
   _xlfn.XLOOKUP($B17,'TH_CMI GRADE 10'!$B$7:$B$49,'TH_CMI GRADE 10'!#REF!,"",0,1)&lt;=TODAY()-MOD(WEEKDAY(TODAY(),2)-5,7)),$D17,0)</f>
        <v>#REF!</v>
      </c>
      <c r="AU67" s="67">
        <f ca="1">IF(AND($D17&lt;&gt;0,_xlfn.XLOOKUP($B17,'TH_CMI GRADE 10'!$B$7:$B$49,'TH_CMI GRADE 10'!AA$7:AA$49,"",0,1)="P",
   _xlfn.XLOOKUP($B17,'TH_CMI GRADE 10'!$B$7:$B$49,'TH_CMI GRADE 10'!$AS$7:$AS$49,"",0,1)&lt;=TODAY()-MOD(WEEKDAY(TODAY(),2)-5,7)),$D17,0)</f>
        <v>2</v>
      </c>
      <c r="AV67" s="67">
        <f ca="1">IF(AND($D17&lt;&gt;0,_xlfn.XLOOKUP($B17,'TH_CMI GRADE 10'!$B$7:$B$49,'TH_CMI GRADE 10'!AB$7:AB$49,"",0,1)="P",
   _xlfn.XLOOKUP($B17,'TH_CMI GRADE 10'!$B$7:$B$49,'TH_CMI GRADE 10'!$AT$7:$AT$49,"",0,1)&lt;=TODAY()-MOD(WEEKDAY(TODAY(),2)-5,7)),$D17,0)</f>
        <v>2</v>
      </c>
      <c r="AW67" s="67" t="e">
        <f ca="1">IF(AND($D17&lt;&gt;0,_xlfn.XLOOKUP($B17,'TH_CMI GRADE 10'!$B$7:$B$49,'TH_CMI GRADE 10'!AC$7:AC$49,"",0,1)="P",
   _xlfn.XLOOKUP($B17,'TH_CMI GRADE 10'!$B$7:$B$49,'TH_CMI GRADE 10'!#REF!,"",0,1)&lt;=TODAY()-MOD(WEEKDAY(TODAY(),2)-5,7)),$D17,0)</f>
        <v>#REF!</v>
      </c>
      <c r="AX67" s="67">
        <f ca="1">IF(AND($D17&lt;&gt;0,_xlfn.XLOOKUP($B17,'TH_CMI GRADE 10'!$B$7:$B$49,'TH_CMI GRADE 10'!AG$7:AG$49,"",0,1)="P",
   _xlfn.XLOOKUP($B17,'TH_CMI GRADE 10'!$B$7:$B$49,'TH_CMI GRADE 10'!$AS$7:$AS$49,"",0,1)&lt;=TODAY()-MOD(WEEKDAY(TODAY(),2)-5,7)),$D17,0)</f>
        <v>2</v>
      </c>
      <c r="AY67" s="67">
        <f ca="1">IF(AND($D17&lt;&gt;0,_xlfn.XLOOKUP($B17,'TH_CMI GRADE 10'!$B$7:$B$49,'TH_CMI GRADE 10'!AH$7:AH$49,"",0,1)="P",
   _xlfn.XLOOKUP($B17,'TH_CMI GRADE 10'!$B$7:$B$49,'TH_CMI GRADE 10'!$AT$7:$AT$49,"",0,1)&lt;=TODAY()-MOD(WEEKDAY(TODAY(),2)-5,7)),$D17,0)</f>
        <v>2</v>
      </c>
      <c r="AZ67" s="67" t="e">
        <f ca="1">IF(AND($D17&lt;&gt;0,_xlfn.XLOOKUP($B17,'TH_CMI GRADE 10'!$B$7:$B$49,'TH_CMI GRADE 10'!AI$7:AI$49,"",0,1)="P",
   _xlfn.XLOOKUP($B17,'TH_CMI GRADE 10'!$B$7:$B$49,'TH_CMI GRADE 10'!#REF!,"",0,1)&lt;=TODAY()-MOD(WEEKDAY(TODAY(),2)-5,7)),$D17,0)</f>
        <v>#REF!</v>
      </c>
      <c r="BA67" s="65" t="e">
        <f ca="1">IF(AND($D17&lt;&gt;0,_xlfn.XLOOKUP($B17,'PW_MLG GRADE 10'!$B$7:$B$31,'PW_MLG GRADE 10'!R$7:R$31,"",0,1)="P",
   _xlfn.XLOOKUP($B17,'PW_MLG GRADE 10'!$B$7:$B$31,'PW_MLG GRADE 10'!#REF!,"",0,1)&lt;=TODAY()-MOD(WEEKDAY(TODAY(),2)-5,7)),$D17,0)</f>
        <v>#REF!</v>
      </c>
      <c r="BB67" s="65" t="e">
        <f ca="1">IF(AND($D17&lt;&gt;0,_xlfn.XLOOKUP($B17,'PW_MLG GRADE 10'!$B$7:$B$31,'PW_MLG GRADE 10'!S$7:S$31,"",0,1)="P",
   _xlfn.XLOOKUP($B17,'PW_MLG GRADE 10'!$B$7:$B$31,'PW_MLG GRADE 10'!#REF!,"",0,1)&lt;=TODAY()-MOD(WEEKDAY(TODAY(),2)-5,7)),$D17,0)</f>
        <v>#REF!</v>
      </c>
      <c r="BC67" s="65" t="e">
        <f ca="1">IF(AND($D17&lt;&gt;0,_xlfn.XLOOKUP($B17,'PW_MLG GRADE 10'!$B$7:$B$31,'PW_MLG GRADE 10'!T$7:T$31,"",0,1)="P",
   _xlfn.XLOOKUP($B17,'PW_MLG GRADE 10'!$B$7:$B$31,'PW_MLG GRADE 10'!#REF!,"",0,1)&lt;=TODAY()-MOD(WEEKDAY(TODAY(),2)-5,7)),$D17,0)</f>
        <v>#REF!</v>
      </c>
      <c r="BD67" s="65" t="e">
        <f ca="1">IF(AND($D17&lt;&gt;0,_xlfn.XLOOKUP($B17,'PW_MLG GRADE 10'!$B$7:$B$31,'PW_MLG GRADE 10'!AA$7:AA$31,"",0,1)="P",
   _xlfn.XLOOKUP($B17,'PW_MLG GRADE 10'!$B$7:$B$31,'PW_MLG GRADE 10'!#REF!,"",0,1)&lt;=TODAY()-MOD(WEEKDAY(TODAY(),2)-5,7)),$D17,0)</f>
        <v>#REF!</v>
      </c>
      <c r="BE67" s="65" t="e">
        <f ca="1">IF(AND($D17&lt;&gt;0,_xlfn.XLOOKUP($B17,'PW_MLG GRADE 10'!$B$7:$B$31,'PW_MLG GRADE 10'!AB$7:AB$31,"",0,1)="P",
   _xlfn.XLOOKUP($B17,'PW_MLG GRADE 10'!$B$7:$B$31,'PW_MLG GRADE 10'!#REF!,"",0,1)&lt;=TODAY()-MOD(WEEKDAY(TODAY(),2)-5,7)),$D17,0)</f>
        <v>#REF!</v>
      </c>
      <c r="BF67" s="65" t="e">
        <f ca="1">IF(AND($D17&lt;&gt;0,_xlfn.XLOOKUP($B17,'PW_MLG GRADE 10'!$B$7:$B$31,'PW_MLG GRADE 10'!AC$7:AC$31,"",0,1)="P",
   _xlfn.XLOOKUP($B17,'PW_MLG GRADE 10'!$B$7:$B$31,'PW_MLG GRADE 10'!#REF!,"",0,1)&lt;=TODAY()-MOD(WEEKDAY(TODAY(),2)-5,7)),$D17,0)</f>
        <v>#REF!</v>
      </c>
      <c r="BG67" s="65" t="e">
        <f ca="1">IF(AND($D17&lt;&gt;0,_xlfn.XLOOKUP($B17,'PW_MLG GRADE 10'!$B$7:$B$31,'PW_MLG GRADE 10'!AD$7:AD$31,"",0,1)="P",
   _xlfn.XLOOKUP($B17,'PW_MLG GRADE 10'!$B$7:$B$31,'PW_MLG GRADE 10'!#REF!,"",0,1)&lt;=TODAY()-MOD(WEEKDAY(TODAY(),2)-5,7)),$D17,0)</f>
        <v>#REF!</v>
      </c>
      <c r="BH67" s="65" t="e">
        <f ca="1">IF(AND($D17&lt;&gt;0,_xlfn.XLOOKUP($B17,'PW_MLG GRADE 10'!$B$7:$B$31,'PW_MLG GRADE 10'!AE$7:AE$31,"",0,1)="P",
   _xlfn.XLOOKUP($B17,'PW_MLG GRADE 10'!$B$7:$B$31,'PW_MLG GRADE 10'!#REF!,"",0,1)&lt;=TODAY()-MOD(WEEKDAY(TODAY(),2)-5,7)),$D17,0)</f>
        <v>#REF!</v>
      </c>
      <c r="BI67" s="65" t="e">
        <f ca="1">IF(AND($D17&lt;&gt;0,_xlfn.XLOOKUP($B17,'PW_MLG GRADE 10'!$B$7:$B$31,'PW_MLG GRADE 10'!AF$7:AF$31,"",0,1)="P",
   _xlfn.XLOOKUP($B17,'PW_MLG GRADE 10'!$B$7:$B$31,'PW_MLG GRADE 10'!#REF!,"",0,1)&lt;=TODAY()-MOD(WEEKDAY(TODAY(),2)-5,7)),$D17,0)</f>
        <v>#REF!</v>
      </c>
      <c r="BJ67" s="65" t="e">
        <f ca="1">IF(AND($D17&lt;&gt;0,_xlfn.XLOOKUP($B17,'PW_MLG GRADE 10'!$B$7:$B$31,'PW_MLG GRADE 10'!AG$7:AG$31,"",0,1)="P",
   _xlfn.XLOOKUP($B17,'PW_MLG GRADE 10'!$B$7:$B$31,'PW_MLG GRADE 10'!#REF!,"",0,1)&lt;=TODAY()-MOD(WEEKDAY(TODAY(),2)-5,7)),$D17,0)</f>
        <v>#REF!</v>
      </c>
      <c r="BK67" s="65" t="e">
        <f ca="1">IF(AND($D17&lt;&gt;0,_xlfn.XLOOKUP($B17,'PW_MLG GRADE 10'!$B$7:$B$31,'PW_MLG GRADE 10'!AH$7:AH$31,"",0,1)="P",
   _xlfn.XLOOKUP($B17,'PW_MLG GRADE 10'!$B$7:$B$31,'PW_MLG GRADE 10'!#REF!,"",0,1)&lt;=TODAY()-MOD(WEEKDAY(TODAY(),2)-5,7)),$D17,0)</f>
        <v>#REF!</v>
      </c>
      <c r="BL67" s="65" t="e">
        <f ca="1">IF(AND($D17&lt;&gt;0,_xlfn.XLOOKUP($B17,'PW_MLG GRADE 10'!$B$7:$B$31,'PW_MLG GRADE 10'!AI$7:AI$31,"",0,1)="P",
   _xlfn.XLOOKUP($B17,'PW_MLG GRADE 10'!$B$7:$B$31,'PW_MLG GRADE 10'!#REF!,"",0,1)&lt;=TODAY()-MOD(WEEKDAY(TODAY(),2)-5,7)),$D17,0)</f>
        <v>#REF!</v>
      </c>
      <c r="BM67" s="65" t="e">
        <f ca="1">IF(AND($D17&lt;&gt;0,_xlfn.XLOOKUP($B17,'PW_MLG GRADE 10'!$B$7:$B$31,'PW_MLG GRADE 10'!AJ$7:AJ$31,"",0,1)="P",
   _xlfn.XLOOKUP($B17,'PW_MLG GRADE 10'!$B$7:$B$31,'PW_MLG GRADE 10'!#REF!,"",0,1)&lt;=TODAY()-MOD(WEEKDAY(TODAY(),2)-5,7)),$D17,0)</f>
        <v>#REF!</v>
      </c>
      <c r="BN67" s="65" t="e">
        <f ca="1">IF(AND($D17&lt;&gt;0,_xlfn.XLOOKUP($B17,'PW_MLG GRADE 10'!$B$7:$B$31,'PW_MLG GRADE 10'!AK$7:AK$31,"",0,1)="P",
   _xlfn.XLOOKUP($B17,'PW_MLG GRADE 10'!$B$7:$B$31,'PW_MLG GRADE 10'!#REF!,"",0,1)&lt;=TODAY()-MOD(WEEKDAY(TODAY(),2)-5,7)),$D17,0)</f>
        <v>#REF!</v>
      </c>
      <c r="BO67" s="65" t="e">
        <f ca="1">IF(AND($D17&lt;&gt;0,_xlfn.XLOOKUP($B17,'PW_MLG GRADE 10'!$B$7:$B$31,'PW_MLG GRADE 10'!AL$7:AL$31,"",0,1)="P",
   _xlfn.XLOOKUP($B17,'PW_MLG GRADE 10'!$B$7:$B$31,'PW_MLG GRADE 10'!#REF!,"",0,1)&lt;=TODAY()-MOD(WEEKDAY(TODAY(),2)-5,7)),$D17,0)</f>
        <v>#REF!</v>
      </c>
      <c r="BP67" s="65" t="e">
        <f ca="1">IF(AND($D17&lt;&gt;0,_xlfn.XLOOKUP($B17,'PW_MLG GRADE 10'!$B$7:$B$31,'PW_MLG GRADE 10'!AM$7:AM$31,"",0,1)="P",
   _xlfn.XLOOKUP($B17,'PW_MLG GRADE 10'!$B$7:$B$31,'PW_MLG GRADE 10'!#REF!,"",0,1)&lt;=TODAY()-MOD(WEEKDAY(TODAY(),2)-5,7)),$D17,0)</f>
        <v>#REF!</v>
      </c>
      <c r="BQ67" s="65" t="e">
        <f ca="1">IF(AND($D17&lt;&gt;0,_xlfn.XLOOKUP($B17,'PW_MLG GRADE 10'!$B$7:$B$31,'PW_MLG GRADE 10'!AN$7:AN$31,"",0,1)="P",
   _xlfn.XLOOKUP($B17,'PW_MLG GRADE 10'!$B$7:$B$31,'PW_MLG GRADE 10'!#REF!,"",0,1)&lt;=TODAY()-MOD(WEEKDAY(TODAY(),2)-5,7)),$D17,0)</f>
        <v>#REF!</v>
      </c>
      <c r="BR67" s="65" t="e">
        <f ca="1">IF(AND($D17&lt;&gt;0,_xlfn.XLOOKUP($B17,'PW_MLG GRADE 10'!$B$7:$B$31,'PW_MLG GRADE 10'!AO$7:AO$31,"",0,1)="P",
   _xlfn.XLOOKUP($B17,'PW_MLG GRADE 10'!$B$7:$B$31,'PW_MLG GRADE 10'!#REF!,"",0,1)&lt;=TODAY()-MOD(WEEKDAY(TODAY(),2)-5,7)),$D17,0)</f>
        <v>#REF!</v>
      </c>
      <c r="BS67" s="65" t="e">
        <f ca="1">IF(AND($D17&lt;&gt;0,_xlfn.XLOOKUP($B17,'PW_MLG GRADE 10'!$B$7:$B$31,'PW_MLG GRADE 10'!AP$7:AP$31,"",0,1)="P",
   _xlfn.XLOOKUP($B17,'PW_MLG GRADE 10'!$B$7:$B$31,'PW_MLG GRADE 10'!#REF!,"",0,1)&lt;=TODAY()-MOD(WEEKDAY(TODAY(),2)-5,7)),$D17,0)</f>
        <v>#REF!</v>
      </c>
      <c r="BT67" s="65" t="e">
        <f ca="1">IF(AND($D17&lt;&gt;0,_xlfn.XLOOKUP($B17,'PW_MLG GRADE 10'!$B$7:$B$31,'PW_MLG GRADE 10'!AQ$7:AQ$31,"",0,1)="P",
   _xlfn.XLOOKUP($B17,'PW_MLG GRADE 10'!$B$7:$B$31,'PW_MLG GRADE 10'!#REF!,"",0,1)&lt;=TODAY()-MOD(WEEKDAY(TODAY(),2)-5,7)),$D17,0)</f>
        <v>#REF!</v>
      </c>
      <c r="BU67" s="65" t="e">
        <f ca="1">IF(AND($D17&lt;&gt;0,_xlfn.XLOOKUP($B17,'PW_MLG GRADE 10'!$B$7:$B$31,'PW_MLG GRADE 10'!AR$7:AR$31,"",0,1)="P",
   _xlfn.XLOOKUP($B17,'PW_MLG GRADE 10'!$B$7:$B$31,'PW_MLG GRADE 10'!#REF!,"",0,1)&lt;=TODAY()-MOD(WEEKDAY(TODAY(),2)-5,7)),$D17,0)</f>
        <v>#REF!</v>
      </c>
      <c r="BV67" s="65" t="e">
        <f ca="1">IF(AND($D17&lt;&gt;0,_xlfn.XLOOKUP($B17,'PW_MLG GRADE 10'!$B$7:$B$31,'PW_MLG GRADE 10'!AY$7:AY$31,"",0,1)="P",
   _xlfn.XLOOKUP($B17,'PW_MLG GRADE 10'!$B$7:$B$31,'PW_MLG GRADE 10'!#REF!,"",0,1)&lt;=TODAY()-MOD(WEEKDAY(TODAY(),2)-5,7)),$D17,0)</f>
        <v>#REF!</v>
      </c>
      <c r="BW67" s="65" t="e">
        <f ca="1">IF(AND($D17&lt;&gt;0,_xlfn.XLOOKUP($B17,'PW_MLG GRADE 10'!$B$7:$B$31,'PW_MLG GRADE 10'!AZ$7:AZ$31,"",0,1)="P",
   _xlfn.XLOOKUP($B17,'PW_MLG GRADE 10'!$B$7:$B$31,'PW_MLG GRADE 10'!#REF!,"",0,1)&lt;=TODAY()-MOD(WEEKDAY(TODAY(),2)-5,7)),$D17,0)</f>
        <v>#REF!</v>
      </c>
      <c r="BX67" s="65" t="e">
        <f ca="1">IF(AND($D17&lt;&gt;0,_xlfn.XLOOKUP($B17,'PW_MLG GRADE 10'!$B$7:$B$31,'PW_MLG GRADE 10'!BA$7:BA$31,"",0,1)="P",
   _xlfn.XLOOKUP($B17,'PW_MLG GRADE 10'!$B$7:$B$31,'PW_MLG GRADE 10'!#REF!,"",0,1)&lt;=TODAY()-MOD(WEEKDAY(TODAY(),2)-5,7)),$D17,0)</f>
        <v>#REF!</v>
      </c>
      <c r="BY67" s="65" t="e">
        <f ca="1">IF(AND($D17&lt;&gt;0,_xlfn.XLOOKUP($B17,'PW_MLG GRADE 10'!$B$7:$B$31,'PW_MLG GRADE 10'!BB$7:BB$31,"",0,1)="P",
   _xlfn.XLOOKUP($B17,'PW_MLG GRADE 10'!$B$7:$B$31,'PW_MLG GRADE 10'!#REF!,"",0,1)&lt;=TODAY()-MOD(WEEKDAY(TODAY(),2)-5,7)),$D17,0)</f>
        <v>#REF!</v>
      </c>
      <c r="BZ67" s="65" t="e">
        <f ca="1">IF(AND($D17&lt;&gt;0,_xlfn.XLOOKUP($B17,'PW_MLG GRADE 10'!$B$7:$B$31,'PW_MLG GRADE 10'!BC$7:BC$31,"",0,1)="P",
   _xlfn.XLOOKUP($B17,'PW_MLG GRADE 10'!$B$7:$B$31,'PW_MLG GRADE 10'!#REF!,"",0,1)&lt;=TODAY()-MOD(WEEKDAY(TODAY(),2)-5,7)),$D17,0)</f>
        <v>#REF!</v>
      </c>
      <c r="CA67" s="65" t="e">
        <f ca="1">IF(AND($D17&lt;&gt;0,_xlfn.XLOOKUP($B17,'PW_MLG GRADE 10'!$B$7:$B$31,'PW_MLG GRADE 10'!BD$7:BD$31,"",0,1)="P",
   _xlfn.XLOOKUP($B17,'PW_MLG GRADE 10'!$B$7:$B$31,'PW_MLG GRADE 10'!#REF!,"",0,1)&lt;=TODAY()-MOD(WEEKDAY(TODAY(),2)-5,7)),$D17,0)</f>
        <v>#REF!</v>
      </c>
      <c r="CB67" s="65" t="e">
        <f ca="1">IF(AND($D17&lt;&gt;0,_xlfn.XLOOKUP($B17,'PW_MLG GRADE 10'!$B$7:$B$31,'PW_MLG GRADE 10'!BE$7:BE$31,"",0,1)="P",
   _xlfn.XLOOKUP($B17,'PW_MLG GRADE 10'!$B$7:$B$31,'PW_MLG GRADE 10'!#REF!,"",0,1)&lt;=TODAY()-MOD(WEEKDAY(TODAY(),2)-5,7)),$D17,0)</f>
        <v>#REF!</v>
      </c>
      <c r="CC67" s="65" t="e">
        <f ca="1">IF(AND($D17&lt;&gt;0,_xlfn.XLOOKUP($B17,'PW_MLG GRADE 10'!$B$7:$B$31,'PW_MLG GRADE 10'!BF$7:BF$31,"",0,1)="P",
   _xlfn.XLOOKUP($B17,'PW_MLG GRADE 10'!$B$7:$B$31,'PW_MLG GRADE 10'!#REF!,"",0,1)&lt;=TODAY()-MOD(WEEKDAY(TODAY(),2)-5,7)),$D17,0)</f>
        <v>#REF!</v>
      </c>
      <c r="CD67" s="65" t="e">
        <f ca="1">IF(AND($D17&lt;&gt;0,_xlfn.XLOOKUP($B17,'PW_MLG GRADE 10'!$B$7:$B$31,'PW_MLG GRADE 10'!BG$7:BG$31,"",0,1)="P",
   _xlfn.XLOOKUP($B17,'PW_MLG GRADE 10'!$B$7:$B$31,'PW_MLG GRADE 10'!#REF!,"",0,1)&lt;=TODAY()-MOD(WEEKDAY(TODAY(),2)-5,7)),$D17,0)</f>
        <v>#REF!</v>
      </c>
      <c r="CE67" s="67">
        <f ca="1">IF(AND($D17&lt;&gt;0,_xlfn.XLOOKUP($B17,'PW_CMI GRADE 10'!$B$7:$B$31,'PW_CMI GRADE 10'!AY$7:AY$31,"",0,1)="P",
   _xlfn.XLOOKUP($B17,'PW_CMI GRADE 10'!$B$7:$B$31,'PW_CMI GRADE 10'!$U$7:$U$31,"",0,1)&lt;=TODAY()-MOD(WEEKDAY(TODAY(),2)-5,7)),$D17,0)</f>
        <v>0</v>
      </c>
      <c r="CF67" s="67">
        <f ca="1">IF(AND($D17&lt;&gt;0,_xlfn.XLOOKUP($B17,'PW_CMI GRADE 10'!$B$7:$B$31,'PW_CMI GRADE 10'!AZ$7:AZ$31,"",0,1)="P",
   _xlfn.XLOOKUP($B17,'PW_CMI GRADE 10'!$B$7:$B$31,'PW_CMI GRADE 10'!$V$7:$V$31,"",0,1)&lt;=TODAY()-MOD(WEEKDAY(TODAY(),2)-5,7)),$D17,0)</f>
        <v>0</v>
      </c>
      <c r="CG67" s="67">
        <f ca="1">IF(AND($D17&lt;&gt;0,_xlfn.XLOOKUP($B17,'PW_CMI GRADE 10'!$B$7:$B$31,'PW_CMI GRADE 10'!BA$7:BA$31,"",0,1)="P",
   _xlfn.XLOOKUP($B17,'PW_CMI GRADE 10'!$B$7:$B$31,'PW_CMI GRADE 10'!$W$7:$W$31,"",0,1)&lt;=TODAY()-MOD(WEEKDAY(TODAY(),2)-5,7)),$D17,0)</f>
        <v>0</v>
      </c>
      <c r="CH67" s="67">
        <f ca="1">IF(AND($D17&lt;&gt;0,_xlfn.XLOOKUP($B17,'PW_CMI GRADE 10'!$B$7:$B$31,'PW_CMI GRADE 10'!BB$7:BB$31,"",0,1)="P",
   _xlfn.XLOOKUP($B17,'PW_CMI GRADE 10'!$B$7:$B$31,'PW_CMI GRADE 10'!$U$7:$U$31,"",0,1)&lt;=TODAY()-MOD(WEEKDAY(TODAY(),2)-5,7)),$D17,0)</f>
        <v>0</v>
      </c>
      <c r="CI67" s="67">
        <f ca="1">IF(AND($D17&lt;&gt;0,_xlfn.XLOOKUP($B17,'PW_CMI GRADE 10'!$B$7:$B$31,'PW_CMI GRADE 10'!BC$7:BC$31,"",0,1)="P",
   _xlfn.XLOOKUP($B17,'PW_CMI GRADE 10'!$B$7:$B$31,'PW_CMI GRADE 10'!$V$7:$V$31,"",0,1)&lt;=TODAY()-MOD(WEEKDAY(TODAY(),2)-5,7)),$D17,0)</f>
        <v>0</v>
      </c>
      <c r="CJ67" s="67">
        <f ca="1">IF(AND($D17&lt;&gt;0,_xlfn.XLOOKUP($B17,'PW_CMI GRADE 10'!$B$7:$B$31,'PW_CMI GRADE 10'!BD$7:BD$31,"",0,1)="P",
   _xlfn.XLOOKUP($B17,'PW_CMI GRADE 10'!$B$7:$B$31,'PW_CMI GRADE 10'!$W$7:$W$31,"",0,1)&lt;=TODAY()-MOD(WEEKDAY(TODAY(),2)-5,7)),$D17,0)</f>
        <v>0</v>
      </c>
      <c r="CK67" s="67">
        <f ca="1">IF(AND($D17&lt;&gt;0,_xlfn.XLOOKUP($B17,'PW_CMI GRADE 10'!$B$7:$B$31,'PW_CMI GRADE 10'!BE$7:BE$31,"",0,1)="P",
   _xlfn.XLOOKUP($B17,'PW_CMI GRADE 10'!$B$7:$B$31,'PW_CMI GRADE 10'!$U$7:$U$31,"",0,1)&lt;=TODAY()-MOD(WEEKDAY(TODAY(),2)-5,7)),$D17,0)</f>
        <v>0</v>
      </c>
      <c r="CL67" s="67">
        <f ca="1">IF(AND($D17&lt;&gt;0,_xlfn.XLOOKUP($B17,'PW_CMI GRADE 10'!$B$7:$B$31,'PW_CMI GRADE 10'!BF$7:BF$31,"",0,1)="P",
   _xlfn.XLOOKUP($B17,'PW_CMI GRADE 10'!$B$7:$B$31,'PW_CMI GRADE 10'!$V$7:$V$31,"",0,1)&lt;=TODAY()-MOD(WEEKDAY(TODAY(),2)-5,7)),$D17,0)</f>
        <v>0</v>
      </c>
      <c r="CM67" s="67">
        <f ca="1">IF(AND($D17&lt;&gt;0,_xlfn.XLOOKUP($B17,'PW_CMI GRADE 10'!$B$7:$B$31,'PW_CMI GRADE 10'!BG$7:BG$31,"",0,1)="P",
   _xlfn.XLOOKUP($B17,'PW_CMI GRADE 10'!$B$7:$B$31,'PW_CMI GRADE 10'!$W$7:$W$31,"",0,1)&lt;=TODAY()-MOD(WEEKDAY(TODAY(),2)-5,7)),$D17,0)</f>
        <v>0</v>
      </c>
      <c r="CN67" s="67">
        <f ca="1">IF(AND($D17&lt;&gt;0,_xlfn.XLOOKUP($B17,'PW_CMI GRADE 10'!$B$7:$B$31,'PW_CMI GRADE 10'!BH$7:BH$31,"",0,1)="P",
   _xlfn.XLOOKUP($B17,'PW_CMI GRADE 10'!$B$7:$B$31,'PW_CMI GRADE 10'!$U$7:$U$31,"",0,1)&lt;=TODAY()-MOD(WEEKDAY(TODAY(),2)-5,7)),$D17,0)</f>
        <v>0</v>
      </c>
      <c r="CO67" s="67">
        <f ca="1">IF(AND($D17&lt;&gt;0,_xlfn.XLOOKUP($B17,'PW_CMI GRADE 10'!$B$7:$B$31,'PW_CMI GRADE 10'!BI$7:BI$31,"",0,1)="P",
   _xlfn.XLOOKUP($B17,'PW_CMI GRADE 10'!$B$7:$B$31,'PW_CMI GRADE 10'!$V$7:$V$31,"",0,1)&lt;=TODAY()-MOD(WEEKDAY(TODAY(),2)-5,7)),$D17,0)</f>
        <v>0</v>
      </c>
      <c r="CP67" s="67">
        <f ca="1">IF(AND($D17&lt;&gt;0,_xlfn.XLOOKUP($B17,'PW_CMI GRADE 10'!$B$7:$B$31,'PW_CMI GRADE 10'!BJ$7:BJ$31,"",0,1)="P",
   _xlfn.XLOOKUP($B17,'PW_CMI GRADE 10'!$B$7:$B$31,'PW_CMI GRADE 10'!$W$7:$W$31,"",0,1)&lt;=TODAY()-MOD(WEEKDAY(TODAY(),2)-5,7)),$D17,0)</f>
        <v>0</v>
      </c>
      <c r="CQ67" s="67">
        <f ca="1">IF(AND($D17&lt;&gt;0,_xlfn.XLOOKUP($B17,'PW_CMI GRADE 10'!$B$7:$B$31,'PW_CMI GRADE 10'!BK$7:BK$31,"",0,1)="P",
   _xlfn.XLOOKUP($B17,'PW_CMI GRADE 10'!$B$7:$B$31,'PW_CMI GRADE 10'!$U$7:$U$31,"",0,1)&lt;=TODAY()-MOD(WEEKDAY(TODAY(),2)-5,7)),$D17,0)</f>
        <v>0</v>
      </c>
      <c r="CR67" s="67">
        <f ca="1">IF(AND($D17&lt;&gt;0,_xlfn.XLOOKUP($B17,'PW_CMI GRADE 10'!$B$7:$B$31,'PW_CMI GRADE 10'!BL$7:BL$31,"",0,1)="P",
   _xlfn.XLOOKUP($B17,'PW_CMI GRADE 10'!$B$7:$B$31,'PW_CMI GRADE 10'!$V$7:$V$31,"",0,1)&lt;=TODAY()-MOD(WEEKDAY(TODAY(),2)-5,7)),$D17,0)</f>
        <v>0</v>
      </c>
      <c r="CS67" s="67">
        <f ca="1">IF(AND($D17&lt;&gt;0,_xlfn.XLOOKUP($B17,'PW_CMI GRADE 10'!$B$7:$B$31,'PW_CMI GRADE 10'!BM$7:BM$31,"",0,1)="P",
   _xlfn.XLOOKUP($B17,'PW_CMI GRADE 10'!$B$7:$B$31,'PW_CMI GRADE 10'!$W$7:$W$31,"",0,1)&lt;=TODAY()-MOD(WEEKDAY(TODAY(),2)-5,7)),$D17,0)</f>
        <v>0</v>
      </c>
      <c r="CT67" s="67">
        <f ca="1">IF(AND($D17&lt;&gt;0,_xlfn.XLOOKUP($B17,'PW_CMI GRADE 10'!$B$7:$B$31,'PW_CMI GRADE 10'!BN$7:BN$31,"",0,1)="P",
   _xlfn.XLOOKUP($B17,'PW_CMI GRADE 10'!$B$7:$B$31,'PW_CMI GRADE 10'!$U$7:$U$31,"",0,1)&lt;=TODAY()-MOD(WEEKDAY(TODAY(),2)-5,7)),$D17,0)</f>
        <v>0</v>
      </c>
      <c r="CU67" s="67">
        <f ca="1">IF(AND($D17&lt;&gt;0,_xlfn.XLOOKUP($B17,'PW_CMI GRADE 10'!$B$7:$B$31,'PW_CMI GRADE 10'!BO$7:BO$31,"",0,1)="P",
   _xlfn.XLOOKUP($B17,'PW_CMI GRADE 10'!$B$7:$B$31,'PW_CMI GRADE 10'!$V$7:$V$31,"",0,1)&lt;=TODAY()-MOD(WEEKDAY(TODAY(),2)-5,7)),$D17,0)</f>
        <v>0</v>
      </c>
      <c r="CV67" s="67">
        <f ca="1">IF(AND($D17&lt;&gt;0,_xlfn.XLOOKUP($B17,'PW_CMI GRADE 10'!$B$7:$B$31,'PW_CMI GRADE 10'!BP$7:BP$31,"",0,1)="P",
   _xlfn.XLOOKUP($B17,'PW_CMI GRADE 10'!$B$7:$B$31,'PW_CMI GRADE 10'!$W$7:$W$31,"",0,1)&lt;=TODAY()-MOD(WEEKDAY(TODAY(),2)-5,7)),$D17,0)</f>
        <v>0</v>
      </c>
      <c r="CW67" s="62" t="e">
        <f t="shared" ca="1" si="132"/>
        <v>#REF!</v>
      </c>
      <c r="CX67" s="62" t="e">
        <f t="shared" ca="1" si="69"/>
        <v>#REF!</v>
      </c>
      <c r="CY67" s="62" t="e">
        <f t="shared" ca="1" si="70"/>
        <v>#REF!</v>
      </c>
      <c r="CZ67" s="62" t="e">
        <f t="shared" ca="1" si="71"/>
        <v>#REF!</v>
      </c>
      <c r="DA67" s="62" t="e">
        <f t="shared" ca="1" si="72"/>
        <v>#REF!</v>
      </c>
      <c r="DB67" s="62" t="e">
        <f t="shared" ca="1" si="73"/>
        <v>#REF!</v>
      </c>
      <c r="DC67" s="62" t="e">
        <f t="shared" ca="1" si="74"/>
        <v>#REF!</v>
      </c>
      <c r="DD67" s="62" t="e">
        <f t="shared" ca="1" si="75"/>
        <v>#REF!</v>
      </c>
      <c r="DE67" s="62" t="e">
        <f t="shared" ca="1" si="76"/>
        <v>#REF!</v>
      </c>
      <c r="DF67" s="62" t="e">
        <f t="shared" ca="1" si="77"/>
        <v>#REF!</v>
      </c>
      <c r="DG67" s="62" t="e">
        <f t="shared" ca="1" si="78"/>
        <v>#REF!</v>
      </c>
      <c r="DH67" s="62" t="e">
        <f t="shared" ca="1" si="79"/>
        <v>#REF!</v>
      </c>
      <c r="DI67" s="62" t="e">
        <f t="shared" ca="1" si="80"/>
        <v>#REF!</v>
      </c>
      <c r="DJ67" s="62" t="e">
        <f t="shared" ca="1" si="81"/>
        <v>#REF!</v>
      </c>
      <c r="DK67" s="62" t="e">
        <f t="shared" ca="1" si="82"/>
        <v>#REF!</v>
      </c>
      <c r="DL67" s="62" t="e">
        <f t="shared" ca="1" si="83"/>
        <v>#REF!</v>
      </c>
      <c r="DM67" s="62" t="e">
        <f t="shared" ca="1" si="84"/>
        <v>#REF!</v>
      </c>
      <c r="DN67" s="62" t="e">
        <f t="shared" ca="1" si="85"/>
        <v>#REF!</v>
      </c>
      <c r="DO67" s="62" t="e">
        <f t="shared" ca="1" si="86"/>
        <v>#REF!</v>
      </c>
      <c r="DP67" s="62" t="e">
        <f t="shared" ca="1" si="87"/>
        <v>#REF!</v>
      </c>
      <c r="DQ67" s="62" t="e">
        <f t="shared" ca="1" si="88"/>
        <v>#REF!</v>
      </c>
      <c r="DR67" s="62" t="e">
        <f t="shared" ca="1" si="89"/>
        <v>#REF!</v>
      </c>
      <c r="DS67" s="62" t="e">
        <f t="shared" ca="1" si="90"/>
        <v>#REF!</v>
      </c>
      <c r="DT67" s="62" t="e">
        <f t="shared" ca="1" si="91"/>
        <v>#REF!</v>
      </c>
      <c r="DU67" s="62" t="e">
        <f t="shared" ca="1" si="92"/>
        <v>#REF!</v>
      </c>
      <c r="DV67" s="62" t="e">
        <f t="shared" ca="1" si="93"/>
        <v>#REF!</v>
      </c>
      <c r="DW67" s="62" t="e">
        <f t="shared" ca="1" si="94"/>
        <v>#REF!</v>
      </c>
      <c r="DX67" s="62" t="e">
        <f t="shared" ca="1" si="95"/>
        <v>#REF!</v>
      </c>
      <c r="DY67" s="62" t="e">
        <f t="shared" ca="1" si="96"/>
        <v>#REF!</v>
      </c>
      <c r="DZ67" s="62" t="e">
        <f t="shared" ca="1" si="97"/>
        <v>#REF!</v>
      </c>
      <c r="EA67" s="63" t="e">
        <f t="shared" ca="1" si="98"/>
        <v>#REF!</v>
      </c>
      <c r="EB67" s="63" t="e">
        <f t="shared" ca="1" si="99"/>
        <v>#REF!</v>
      </c>
      <c r="EC67" s="63" t="e">
        <f t="shared" ca="1" si="100"/>
        <v>#REF!</v>
      </c>
      <c r="ED67" s="63" t="e">
        <f t="shared" ca="1" si="101"/>
        <v>#REF!</v>
      </c>
      <c r="EE67" s="63" t="e">
        <f t="shared" ca="1" si="102"/>
        <v>#REF!</v>
      </c>
      <c r="EF67" s="63" t="e">
        <f t="shared" ca="1" si="103"/>
        <v>#REF!</v>
      </c>
      <c r="EG67" s="63" t="e">
        <f t="shared" ca="1" si="104"/>
        <v>#REF!</v>
      </c>
      <c r="EH67" s="63" t="e">
        <f t="shared" ca="1" si="105"/>
        <v>#REF!</v>
      </c>
      <c r="EI67" s="63" t="e">
        <f t="shared" ca="1" si="106"/>
        <v>#REF!</v>
      </c>
      <c r="EJ67" s="63" t="e">
        <f t="shared" ca="1" si="107"/>
        <v>#REF!</v>
      </c>
      <c r="EK67" s="63" t="e">
        <f t="shared" ca="1" si="108"/>
        <v>#REF!</v>
      </c>
      <c r="EL67" s="63" t="e">
        <f t="shared" ca="1" si="109"/>
        <v>#REF!</v>
      </c>
      <c r="EM67" s="63" t="e">
        <f t="shared" ca="1" si="110"/>
        <v>#REF!</v>
      </c>
      <c r="EN67" s="63" t="e">
        <f t="shared" ca="1" si="111"/>
        <v>#REF!</v>
      </c>
      <c r="EO67" s="63" t="e">
        <f t="shared" ca="1" si="112"/>
        <v>#REF!</v>
      </c>
      <c r="EP67" s="63" t="e">
        <f t="shared" ca="1" si="113"/>
        <v>#REF!</v>
      </c>
      <c r="ET67" t="str">
        <v>5A.2</v>
      </c>
      <c r="EU67" s="38" t="e">
        <f t="shared" ca="1" si="114"/>
        <v>#REF!</v>
      </c>
      <c r="EV67" s="38" t="e">
        <f t="shared" ca="1" si="115"/>
        <v>#REF!</v>
      </c>
      <c r="EW67" s="38" t="e">
        <f t="shared" ca="1" si="116"/>
        <v>#REF!</v>
      </c>
      <c r="EX67" s="38" t="e">
        <f t="shared" ca="1" si="117"/>
        <v>#REF!</v>
      </c>
      <c r="EY67" s="38" t="e">
        <f t="shared" ca="1" si="118"/>
        <v>#REF!</v>
      </c>
      <c r="EZ67" s="38" t="e">
        <f t="shared" ca="1" si="119"/>
        <v>#REF!</v>
      </c>
      <c r="FA67" s="38" t="e">
        <f t="shared" ca="1" si="120"/>
        <v>#REF!</v>
      </c>
      <c r="FB67" s="38" t="e">
        <f t="shared" ca="1" si="121"/>
        <v>#REF!</v>
      </c>
      <c r="FC67" s="38" t="e">
        <f t="shared" ca="1" si="122"/>
        <v>#REF!</v>
      </c>
      <c r="FD67" s="38" t="e">
        <f t="shared" ca="1" si="123"/>
        <v>#REF!</v>
      </c>
      <c r="FE67" s="38">
        <f t="shared" ca="1" si="133"/>
        <v>0</v>
      </c>
      <c r="FF67" s="38" t="e">
        <f t="shared" ca="1" si="124"/>
        <v>#REF!</v>
      </c>
      <c r="FG67" s="38" t="e">
        <f t="shared" ca="1" si="125"/>
        <v>#REF!</v>
      </c>
      <c r="FH67" s="38" t="e">
        <f t="shared" ca="1" si="126"/>
        <v>#REF!</v>
      </c>
      <c r="FI67" s="38" t="e">
        <f t="shared" ca="1" si="127"/>
        <v>#REF!</v>
      </c>
      <c r="FJ67" s="38" t="e">
        <f t="shared" ca="1" si="128"/>
        <v>#REF!</v>
      </c>
      <c r="FK67" s="38" t="e">
        <f t="shared" ca="1" si="129"/>
        <v>#REF!</v>
      </c>
      <c r="FL67" s="38">
        <f t="shared" ca="1" si="130"/>
        <v>0</v>
      </c>
      <c r="FM67" s="38">
        <v>1</v>
      </c>
      <c r="FN67" s="38">
        <f t="shared" si="134"/>
        <v>0.66666666666666663</v>
      </c>
      <c r="FO67" s="38">
        <f t="shared" si="135"/>
        <v>0.33333333333333331</v>
      </c>
    </row>
    <row r="68" spans="1:171">
      <c r="A68" s="64" t="str">
        <f t="shared" si="131"/>
        <v>3A.1</v>
      </c>
      <c r="B68" s="64" t="s">
        <v>49</v>
      </c>
      <c r="C68" s="29">
        <v>0</v>
      </c>
      <c r="D68" s="29">
        <v>4</v>
      </c>
      <c r="E68" s="65">
        <f ca="1">IF(AND($D18&lt;&gt;0,_xlfn.XLOOKUP($B18,'TH_MLG GRADE 10'!$B$7:$B$49,'TH_MLG GRADE 10'!C$7:C$49,"",0,1)="P",
   _xlfn.XLOOKUP($B18,'TH_MLG GRADE 10'!$B$7:$B$49,'TH_MLG GRADE 10'!$BK$7:$BK$49,"",0,1)&lt;=TODAY()-MOD(WEEKDAY(TODAY(),2)-5,7)),$D18,0)</f>
        <v>0</v>
      </c>
      <c r="F68" s="65">
        <f ca="1">IF(AND($D18&lt;&gt;0,_xlfn.XLOOKUP($B18,'TH_MLG GRADE 10'!$B$7:$B$49,'TH_MLG GRADE 10'!D$7:D$49,"",0,1)="P",
   _xlfn.XLOOKUP($B18,'TH_MLG GRADE 10'!$B$7:$B$49,'TH_MLG GRADE 10'!$BL$7:$BL$49,"",0,1)&lt;=TODAY()-MOD(WEEKDAY(TODAY(),2)-5,7)),$D18,0)</f>
        <v>0</v>
      </c>
      <c r="G68" s="65">
        <f ca="1">IF(AND($D18&lt;&gt;0,_xlfn.XLOOKUP($B18,'TH_MLG GRADE 10'!$B$7:$B$49,'TH_MLG GRADE 10'!E$7:E$49,"",0,1)="P",
   _xlfn.XLOOKUP($B18,'TH_MLG GRADE 10'!$B$7:$B$49,'TH_MLG GRADE 10'!$BM$7:$BM$49,"",0,1)&lt;=TODAY()-MOD(WEEKDAY(TODAY(),2)-5,7)),$D18,0)</f>
        <v>0</v>
      </c>
      <c r="H68" s="65">
        <f ca="1">IF(AND($D18&lt;&gt;0,_xlfn.XLOOKUP($B18,'TH_MLG GRADE 10'!$B$7:$B$49,'TH_MLG GRADE 10'!I$7:I$49,"",0,1)="P",
   _xlfn.XLOOKUP($B18,'TH_MLG GRADE 10'!$B$7:$B$49,'TH_MLG GRADE 10'!$BK$7:$BK$49,"",0,1)&lt;=TODAY()-MOD(WEEKDAY(TODAY(),2)-5,7)),$D18,0)</f>
        <v>0</v>
      </c>
      <c r="I68" s="65">
        <f ca="1">IF(AND($D18&lt;&gt;0,_xlfn.XLOOKUP($B18,'TH_MLG GRADE 10'!$B$7:$B$49,'TH_MLG GRADE 10'!J$7:J$49,"",0,1)="P",
   _xlfn.XLOOKUP($B18,'TH_MLG GRADE 10'!$B$7:$B$49,'TH_MLG GRADE 10'!$BL$7:$BL$49,"",0,1)&lt;=TODAY()-MOD(WEEKDAY(TODAY(),2)-5,7)),$D18,0)</f>
        <v>0</v>
      </c>
      <c r="J68" s="65">
        <f ca="1">IF(AND($D18&lt;&gt;0,_xlfn.XLOOKUP($B18,'TH_MLG GRADE 10'!$B$7:$B$49,'TH_MLG GRADE 10'!K$7:K$49,"",0,1)="P",
   _xlfn.XLOOKUP($B18,'TH_MLG GRADE 10'!$B$7:$B$49,'TH_MLG GRADE 10'!$BM$7:$BM$49,"",0,1)&lt;=TODAY()-MOD(WEEKDAY(TODAY(),2)-5,7)),$D18,0)</f>
        <v>0</v>
      </c>
      <c r="K68" s="65">
        <f ca="1">IF(AND($D18&lt;&gt;0,_xlfn.XLOOKUP($B18,'TH_MLG GRADE 10'!$B$7:$B$49,'TH_MLG GRADE 10'!O$7:O$49,"",0,1)="P",
   _xlfn.XLOOKUP($B18,'TH_MLG GRADE 10'!$B$7:$B$49,'TH_MLG GRADE 10'!$BK$7:$BK$49,"",0,1)&lt;=TODAY()-MOD(WEEKDAY(TODAY(),2)-5,7)),$D18,0)</f>
        <v>0</v>
      </c>
      <c r="L68" s="65">
        <f ca="1">IF(AND($D18&lt;&gt;0,_xlfn.XLOOKUP($B18,'TH_MLG GRADE 10'!$B$7:$B$49,'TH_MLG GRADE 10'!P$7:P$49,"",0,1)="P",
   _xlfn.XLOOKUP($B18,'TH_MLG GRADE 10'!$B$7:$B$49,'TH_MLG GRADE 10'!$BL$7:$BL$49,"",0,1)&lt;=TODAY()-MOD(WEEKDAY(TODAY(),2)-5,7)),$D18,0)</f>
        <v>0</v>
      </c>
      <c r="M68" s="65">
        <f ca="1">IF(AND($D18&lt;&gt;0,_xlfn.XLOOKUP($B18,'TH_MLG GRADE 10'!$B$7:$B$49,'TH_MLG GRADE 10'!Q$7:Q$49,"",0,1)="P",
   _xlfn.XLOOKUP($B18,'TH_MLG GRADE 10'!$B$7:$B$49,'TH_MLG GRADE 10'!$BM$7:$BM$49,"",0,1)&lt;=TODAY()-MOD(WEEKDAY(TODAY(),2)-5,7)),$D18,0)</f>
        <v>0</v>
      </c>
      <c r="N68" s="65">
        <f ca="1">IF(AND($D18&lt;&gt;0,_xlfn.XLOOKUP($B18,'TH_MLG GRADE 10'!$B$7:$B$49,'TH_MLG GRADE 10'!AA$7:AA$49,"",0,1)="P",
   _xlfn.XLOOKUP($B18,'TH_MLG GRADE 10'!$B$7:$B$49,'TH_MLG GRADE 10'!$BK$7:$BK$49,"",0,1)&lt;=TODAY()-MOD(WEEKDAY(TODAY(),2)-5,7)),$D18,0)</f>
        <v>4</v>
      </c>
      <c r="O68" s="65">
        <f ca="1">IF(AND($D18&lt;&gt;0,_xlfn.XLOOKUP($B18,'TH_MLG GRADE 10'!$B$7:$B$49,'TH_MLG GRADE 10'!AB$7:AB$49,"",0,1)="P",
   _xlfn.XLOOKUP($B18,'TH_MLG GRADE 10'!$B$7:$B$49,'TH_MLG GRADE 10'!$BL$7:$BL$49,"",0,1)&lt;=TODAY()-MOD(WEEKDAY(TODAY(),2)-5,7)),$D18,0)</f>
        <v>4</v>
      </c>
      <c r="P68" s="65">
        <f ca="1">IF(AND($D18&lt;&gt;0,_xlfn.XLOOKUP($B18,'TH_MLG GRADE 10'!$B$7:$B$49,'TH_MLG GRADE 10'!AC$7:AC$49,"",0,1)="P",
   _xlfn.XLOOKUP($B18,'TH_MLG GRADE 10'!$B$7:$B$49,'TH_MLG GRADE 10'!$BM$7:$BM$49,"",0,1)&lt;=TODAY()-MOD(WEEKDAY(TODAY(),2)-5,7)),$D18,0)</f>
        <v>0</v>
      </c>
      <c r="Q68" s="65">
        <f ca="1">IF(AND($D18&lt;&gt;0,_xlfn.XLOOKUP($B18,'TH_MLG GRADE 10'!$B$7:$B$49,'TH_MLG GRADE 10'!AG$7:AG$49,"",0,1)="P",
   _xlfn.XLOOKUP($B18,'TH_MLG GRADE 10'!$B$7:$B$49,'TH_MLG GRADE 10'!$BK$7:$BK$49,"",0,1)&lt;=TODAY()-MOD(WEEKDAY(TODAY(),2)-5,7)),$D18,0)</f>
        <v>4</v>
      </c>
      <c r="R68" s="65">
        <f ca="1">IF(AND($D18&lt;&gt;0,_xlfn.XLOOKUP($B18,'TH_MLG GRADE 10'!$B$7:$B$49,'TH_MLG GRADE 10'!AH$7:AH$49,"",0,1)="P",
   _xlfn.XLOOKUP($B18,'TH_MLG GRADE 10'!$B$7:$B$49,'TH_MLG GRADE 10'!$BL$7:$BL$49,"",0,1)&lt;=TODAY()-MOD(WEEKDAY(TODAY(),2)-5,7)),$D18,0)</f>
        <v>4</v>
      </c>
      <c r="S68" s="65">
        <f ca="1">IF(AND($D18&lt;&gt;0,_xlfn.XLOOKUP($B18,'TH_MLG GRADE 10'!$B$7:$B$49,'TH_MLG GRADE 10'!AI$7:AI$49,"",0,1)="P",
   _xlfn.XLOOKUP($B18,'TH_MLG GRADE 10'!$B$7:$B$49,'TH_MLG GRADE 10'!$BM$7:$BM$49,"",0,1)&lt;=TODAY()-MOD(WEEKDAY(TODAY(),2)-5,7)),$D18,0)</f>
        <v>4</v>
      </c>
      <c r="T68" s="65">
        <f ca="1">IF(AND($D18&lt;&gt;0,_xlfn.XLOOKUP($B18,'TH_MLG GRADE 10'!$B$7:$B$49,'TH_MLG GRADE 10'!AM$7:AM$49,"",0,1)="P",
   _xlfn.XLOOKUP($B18,'TH_MLG GRADE 10'!$B$7:$B$49,'TH_MLG GRADE 10'!$BK$7:$BK$49,"",0,1)&lt;=TODAY()-MOD(WEEKDAY(TODAY(),2)-5,7)),$D18,0)</f>
        <v>4</v>
      </c>
      <c r="U68" s="65">
        <f ca="1">IF(AND($D18&lt;&gt;0,_xlfn.XLOOKUP($B18,'TH_MLG GRADE 10'!$B$7:$B$49,'TH_MLG GRADE 10'!AN$7:AN$49,"",0,1)="P",
   _xlfn.XLOOKUP($B18,'TH_MLG GRADE 10'!$B$7:$B$49,'TH_MLG GRADE 10'!$BL$7:$BL$49,"",0,1)&lt;=TODAY()-MOD(WEEKDAY(TODAY(),2)-5,7)),$D18,0)</f>
        <v>4</v>
      </c>
      <c r="V68" s="65">
        <f ca="1">IF(AND($D18&lt;&gt;0,_xlfn.XLOOKUP($B18,'TH_MLG GRADE 10'!$B$7:$B$49,'TH_MLG GRADE 10'!AO$7:AO$49,"",0,1)="P",
   _xlfn.XLOOKUP($B18,'TH_MLG GRADE 10'!$B$7:$B$49,'TH_MLG GRADE 10'!$BM$7:$BM$49,"",0,1)&lt;=TODAY()-MOD(WEEKDAY(TODAY(),2)-5,7)),$D18,0)</f>
        <v>0</v>
      </c>
      <c r="W68" s="65">
        <f ca="1">IF(AND($D18&lt;&gt;0,_xlfn.XLOOKUP($B18,'TH_MLG GRADE 10'!$B$7:$B$49,'TH_MLG GRADE 10'!AY$7:AY$49,"",0,1)="P",
   _xlfn.XLOOKUP($B18,'TH_MLG GRADE 10'!$B$7:$B$49,'TH_MLG GRADE 10'!$BK$7:$BK$49,"",0,1)&lt;=TODAY()-MOD(WEEKDAY(TODAY(),2)-5,7)),$D18,0)</f>
        <v>4</v>
      </c>
      <c r="X68" s="65">
        <f ca="1">IF(AND($D18&lt;&gt;0,_xlfn.XLOOKUP($B18,'TH_MLG GRADE 10'!$B$7:$B$49,'TH_MLG GRADE 10'!AZ$7:AZ$49,"",0,1)="P",
   _xlfn.XLOOKUP($B18,'TH_MLG GRADE 10'!$B$7:$B$49,'TH_MLG GRADE 10'!$BL$7:$BL$49,"",0,1)&lt;=TODAY()-MOD(WEEKDAY(TODAY(),2)-5,7)),$D18,0)</f>
        <v>4</v>
      </c>
      <c r="Y68" s="65">
        <f ca="1">IF(AND($D18&lt;&gt;0,_xlfn.XLOOKUP($B18,'TH_MLG GRADE 10'!$B$7:$B$49,'TH_MLG GRADE 10'!BA$7:BA$49,"",0,1)="P",
   _xlfn.XLOOKUP($B18,'TH_MLG GRADE 10'!$B$7:$B$49,'TH_MLG GRADE 10'!$BM$7:$BM$49,"",0,1)&lt;=TODAY()-MOD(WEEKDAY(TODAY(),2)-5,7)),$D18,0)</f>
        <v>0</v>
      </c>
      <c r="Z68" s="65">
        <f ca="1">IF(AND($D18&lt;&gt;0,_xlfn.XLOOKUP($B18,'TH_MLG GRADE 10'!$B$7:$B$49,'TH_MLG GRADE 10'!BE$7:BE$49,"",0,1)="P",
   _xlfn.XLOOKUP($B18,'TH_MLG GRADE 10'!$B$7:$B$49,'TH_MLG GRADE 10'!$BK$7:$BK$49,"",0,1)&lt;=TODAY()-MOD(WEEKDAY(TODAY(),2)-5,7)),$D18,0)</f>
        <v>0</v>
      </c>
      <c r="AA68" s="65">
        <f ca="1">IF(AND($D18&lt;&gt;0,_xlfn.XLOOKUP($B18,'TH_MLG GRADE 10'!$B$7:$B$49,'TH_MLG GRADE 10'!BF$7:BF$49,"",0,1)="P",
   _xlfn.XLOOKUP($B18,'TH_MLG GRADE 10'!$B$7:$B$49,'TH_MLG GRADE 10'!$BL$7:$BL$49,"",0,1)&lt;=TODAY()-MOD(WEEKDAY(TODAY(),2)-5,7)),$D18,0)</f>
        <v>0</v>
      </c>
      <c r="AB68" s="65">
        <f ca="1">IF(AND($D18&lt;&gt;0,_xlfn.XLOOKUP($B18,'TH_MLG GRADE 10'!$B$7:$B$49,'TH_MLG GRADE 10'!BG$7:BG$49,"",0,1)="P",
   _xlfn.XLOOKUP($B18,'TH_MLG GRADE 10'!$B$7:$B$49,'TH_MLG GRADE 10'!$BM$7:$BM$49,"",0,1)&lt;=TODAY()-MOD(WEEKDAY(TODAY(),2)-5,7)),$D18,0)</f>
        <v>0</v>
      </c>
      <c r="AC68" s="65" t="e">
        <f ca="1">IF(AND($D18&lt;&gt;0,_xlfn.XLOOKUP($B18,'TH_MLG GRADE 10'!$B$7:$B$49,'TH_MLG GRADE 10'!#REF!,"",0,1)="P",
   _xlfn.XLOOKUP($B18,'TH_MLG GRADE 10'!$B$7:$B$49,'TH_MLG GRADE 10'!$BK$7:$BK$49,"",0,1)&lt;=TODAY()-MOD(WEEKDAY(TODAY(),2)-5,7)),$D18,0)</f>
        <v>#REF!</v>
      </c>
      <c r="AD68" s="65" t="e">
        <f ca="1">IF(AND($D18&lt;&gt;0,_xlfn.XLOOKUP($B18,'TH_MLG GRADE 10'!$B$7:$B$49,'TH_MLG GRADE 10'!#REF!,"",0,1)="P",
   _xlfn.XLOOKUP($B18,'TH_MLG GRADE 10'!$B$7:$B$49,'TH_MLG GRADE 10'!$BL$7:$BL$49,"",0,1)&lt;=TODAY()-MOD(WEEKDAY(TODAY(),2)-5,7)),$D18,0)</f>
        <v>#REF!</v>
      </c>
      <c r="AE68" s="65" t="e">
        <f ca="1">IF(AND($D18&lt;&gt;0,_xlfn.XLOOKUP($B18,'TH_MLG GRADE 10'!$B$7:$B$49,'TH_MLG GRADE 10'!#REF!,"",0,1)="P",
   _xlfn.XLOOKUP($B18,'TH_MLG GRADE 10'!$B$7:$B$49,'TH_MLG GRADE 10'!$BM$7:$BM$49,"",0,1)&lt;=TODAY()-MOD(WEEKDAY(TODAY(),2)-5,7)),$D18,0)</f>
        <v>#REF!</v>
      </c>
      <c r="AF68" s="65" t="e">
        <f ca="1">IF(AND($D18&lt;&gt;0,_xlfn.XLOOKUP($B18,'TH_MLG GRADE 10'!$B$7:$B$49,'TH_MLG GRADE 10'!#REF!,"",0,1)="P",
   _xlfn.XLOOKUP($B18,'TH_MLG GRADE 10'!$B$7:$B$49,'TH_MLG GRADE 10'!$BK$7:$BK$49,"",0,1)&lt;=TODAY()-MOD(WEEKDAY(TODAY(),2)-5,7)),$D18,0)</f>
        <v>#REF!</v>
      </c>
      <c r="AG68" s="65" t="e">
        <f ca="1">IF(AND($D18&lt;&gt;0,_xlfn.XLOOKUP($B18,'TH_MLG GRADE 10'!$B$7:$B$49,'TH_MLG GRADE 10'!#REF!,"",0,1)="P",
   _xlfn.XLOOKUP($B18,'TH_MLG GRADE 10'!$B$7:$B$49,'TH_MLG GRADE 10'!$BL$7:$BL$49,"",0,1)&lt;=TODAY()-MOD(WEEKDAY(TODAY(),2)-5,7)),$D18,0)</f>
        <v>#REF!</v>
      </c>
      <c r="AH68" s="65" t="e">
        <f ca="1">IF(AND($D18&lt;&gt;0,_xlfn.XLOOKUP($B18,'TH_MLG GRADE 10'!$B$7:$B$49,'TH_MLG GRADE 10'!#REF!,"",0,1)="P",
   _xlfn.XLOOKUP($B18,'TH_MLG GRADE 10'!$B$7:$B$49,'TH_MLG GRADE 10'!$BM$7:$BM$49,"",0,1)&lt;=TODAY()-MOD(WEEKDAY(TODAY(),2)-5,7)),$D18,0)</f>
        <v>#REF!</v>
      </c>
      <c r="AI68" s="67">
        <f ca="1">IF(AND($D18&lt;&gt;0,_xlfn.XLOOKUP($B18,'TH_CMI GRADE 10'!$B$7:$B$49,'TH_CMI GRADE 10'!C$7:C$49,"",0,1)="P",
   _xlfn.XLOOKUP($B18,'TH_CMI GRADE 10'!$B$7:$B$49,'TH_CMI GRADE 10'!$AS$7:$AS$49,"",0,1)&lt;=TODAY()-MOD(WEEKDAY(TODAY(),2)-5,7)),$D18,0)</f>
        <v>0</v>
      </c>
      <c r="AJ68" s="67">
        <f ca="1">IF(AND($D18&lt;&gt;0,_xlfn.XLOOKUP($B18,'TH_CMI GRADE 10'!$B$7:$B$49,'TH_CMI GRADE 10'!D$7:D$49,"",0,1)="P",
   _xlfn.XLOOKUP($B18,'TH_CMI GRADE 10'!$B$7:$B$49,'TH_CMI GRADE 10'!$AT$7:$AT$49,"",0,1)&lt;=TODAY()-MOD(WEEKDAY(TODAY(),2)-5,7)),$D18,0)</f>
        <v>0</v>
      </c>
      <c r="AK68" s="67" t="e">
        <f ca="1">IF(AND($D18&lt;&gt;0,_xlfn.XLOOKUP($B18,'TH_CMI GRADE 10'!$B$7:$B$49,'TH_CMI GRADE 10'!H$7:H$49,"",0,1)="P",
   _xlfn.XLOOKUP($B18,'TH_CMI GRADE 10'!$B$7:$B$49,'TH_CMI GRADE 10'!#REF!,"",0,1)&lt;=TODAY()-MOD(WEEKDAY(TODAY(),2)-5,7)),$D18,0)</f>
        <v>#REF!</v>
      </c>
      <c r="AL68" s="67">
        <f ca="1">IF(AND($D18&lt;&gt;0,_xlfn.XLOOKUP($B18,'TH_CMI GRADE 10'!$B$7:$B$49,'TH_CMI GRADE 10'!I$7:I$49,"",0,1)="P",
   _xlfn.XLOOKUP($B18,'TH_CMI GRADE 10'!$B$7:$B$49,'TH_CMI GRADE 10'!$AS$7:$AS$49,"",0,1)&lt;=TODAY()-MOD(WEEKDAY(TODAY(),2)-5,7)),$D18,0)</f>
        <v>4</v>
      </c>
      <c r="AM68" s="67">
        <f ca="1">IF(AND($D18&lt;&gt;0,_xlfn.XLOOKUP($B18,'TH_CMI GRADE 10'!$B$7:$B$49,'TH_CMI GRADE 10'!J$7:J$49,"",0,1)="P",
   _xlfn.XLOOKUP($B18,'TH_CMI GRADE 10'!$B$7:$B$49,'TH_CMI GRADE 10'!$AT$7:$AT$49,"",0,1)&lt;=TODAY()-MOD(WEEKDAY(TODAY(),2)-5,7)),$D18,0)</f>
        <v>4</v>
      </c>
      <c r="AN68" s="67" t="e">
        <f ca="1">IF(AND($D18&lt;&gt;0,_xlfn.XLOOKUP($B18,'TH_CMI GRADE 10'!$B$7:$B$49,'TH_CMI GRADE 10'!K$7:K$49,"",0,1)="P",
   _xlfn.XLOOKUP($B18,'TH_CMI GRADE 10'!$B$7:$B$49,'TH_CMI GRADE 10'!#REF!,"",0,1)&lt;=TODAY()-MOD(WEEKDAY(TODAY(),2)-5,7)),$D18,0)</f>
        <v>#REF!</v>
      </c>
      <c r="AO68" s="67">
        <f ca="1">IF(AND($D18&lt;&gt;0,_xlfn.XLOOKUP($B18,'TH_CMI GRADE 10'!$B$7:$B$49,'TH_CMI GRADE 10'!O$7:O$49,"",0,1)="P",
   _xlfn.XLOOKUP($B18,'TH_CMI GRADE 10'!$B$7:$B$49,'TH_CMI GRADE 10'!$AS$7:$AS$49,"",0,1)&lt;=TODAY()-MOD(WEEKDAY(TODAY(),2)-5,7)),$D18,0)</f>
        <v>4</v>
      </c>
      <c r="AP68" s="67">
        <f ca="1">IF(AND($D18&lt;&gt;0,_xlfn.XLOOKUP($B18,'TH_CMI GRADE 10'!$B$7:$B$49,'TH_CMI GRADE 10'!P$7:P$49,"",0,1)="P",
   _xlfn.XLOOKUP($B18,'TH_CMI GRADE 10'!$B$7:$B$49,'TH_CMI GRADE 10'!$AT$7:$AT$49,"",0,1)&lt;=TODAY()-MOD(WEEKDAY(TODAY(),2)-5,7)),$D18,0)</f>
        <v>4</v>
      </c>
      <c r="AQ68" s="67" t="e">
        <f ca="1">IF(AND($D18&lt;&gt;0,_xlfn.XLOOKUP($B18,'TH_CMI GRADE 10'!$B$7:$B$49,'TH_CMI GRADE 10'!Q$7:Q$49,"",0,1)="P",
   _xlfn.XLOOKUP($B18,'TH_CMI GRADE 10'!$B$7:$B$49,'TH_CMI GRADE 10'!#REF!,"",0,1)&lt;=TODAY()-MOD(WEEKDAY(TODAY(),2)-5,7)),$D18,0)</f>
        <v>#REF!</v>
      </c>
      <c r="AR68" s="67">
        <f ca="1">IF(AND($D18&lt;&gt;0,_xlfn.XLOOKUP($B18,'TH_CMI GRADE 10'!$B$7:$B$49,'TH_CMI GRADE 10'!U$7:U$49,"",0,1)="P",
   _xlfn.XLOOKUP($B18,'TH_CMI GRADE 10'!$B$7:$B$49,'TH_CMI GRADE 10'!$AS$7:$AS$49,"",0,1)&lt;=TODAY()-MOD(WEEKDAY(TODAY(),2)-5,7)),$D18,0)</f>
        <v>0</v>
      </c>
      <c r="AS68" s="67">
        <f ca="1">IF(AND($D18&lt;&gt;0,_xlfn.XLOOKUP($B18,'TH_CMI GRADE 10'!$B$7:$B$49,'TH_CMI GRADE 10'!V$7:V$49,"",0,1)="P",
   _xlfn.XLOOKUP($B18,'TH_CMI GRADE 10'!$B$7:$B$49,'TH_CMI GRADE 10'!$AT$7:$AT$49,"",0,1)&lt;=TODAY()-MOD(WEEKDAY(TODAY(),2)-5,7)),$D18,0)</f>
        <v>0</v>
      </c>
      <c r="AT68" s="67" t="e">
        <f ca="1">IF(AND($D18&lt;&gt;0,_xlfn.XLOOKUP($B18,'TH_CMI GRADE 10'!$B$7:$B$49,'TH_CMI GRADE 10'!W$7:W$49,"",0,1)="P",
   _xlfn.XLOOKUP($B18,'TH_CMI GRADE 10'!$B$7:$B$49,'TH_CMI GRADE 10'!#REF!,"",0,1)&lt;=TODAY()-MOD(WEEKDAY(TODAY(),2)-5,7)),$D18,0)</f>
        <v>#REF!</v>
      </c>
      <c r="AU68" s="67">
        <f ca="1">IF(AND($D18&lt;&gt;0,_xlfn.XLOOKUP($B18,'TH_CMI GRADE 10'!$B$7:$B$49,'TH_CMI GRADE 10'!AA$7:AA$49,"",0,1)="P",
   _xlfn.XLOOKUP($B18,'TH_CMI GRADE 10'!$B$7:$B$49,'TH_CMI GRADE 10'!$AS$7:$AS$49,"",0,1)&lt;=TODAY()-MOD(WEEKDAY(TODAY(),2)-5,7)),$D18,0)</f>
        <v>0</v>
      </c>
      <c r="AV68" s="67">
        <f ca="1">IF(AND($D18&lt;&gt;0,_xlfn.XLOOKUP($B18,'TH_CMI GRADE 10'!$B$7:$B$49,'TH_CMI GRADE 10'!AB$7:AB$49,"",0,1)="P",
   _xlfn.XLOOKUP($B18,'TH_CMI GRADE 10'!$B$7:$B$49,'TH_CMI GRADE 10'!$AT$7:$AT$49,"",0,1)&lt;=TODAY()-MOD(WEEKDAY(TODAY(),2)-5,7)),$D18,0)</f>
        <v>0</v>
      </c>
      <c r="AW68" s="67" t="e">
        <f ca="1">IF(AND($D18&lt;&gt;0,_xlfn.XLOOKUP($B18,'TH_CMI GRADE 10'!$B$7:$B$49,'TH_CMI GRADE 10'!AC$7:AC$49,"",0,1)="P",
   _xlfn.XLOOKUP($B18,'TH_CMI GRADE 10'!$B$7:$B$49,'TH_CMI GRADE 10'!#REF!,"",0,1)&lt;=TODAY()-MOD(WEEKDAY(TODAY(),2)-5,7)),$D18,0)</f>
        <v>#REF!</v>
      </c>
      <c r="AX68" s="67">
        <f ca="1">IF(AND($D18&lt;&gt;0,_xlfn.XLOOKUP($B18,'TH_CMI GRADE 10'!$B$7:$B$49,'TH_CMI GRADE 10'!AG$7:AG$49,"",0,1)="P",
   _xlfn.XLOOKUP($B18,'TH_CMI GRADE 10'!$B$7:$B$49,'TH_CMI GRADE 10'!$AS$7:$AS$49,"",0,1)&lt;=TODAY()-MOD(WEEKDAY(TODAY(),2)-5,7)),$D18,0)</f>
        <v>0</v>
      </c>
      <c r="AY68" s="67">
        <f ca="1">IF(AND($D18&lt;&gt;0,_xlfn.XLOOKUP($B18,'TH_CMI GRADE 10'!$B$7:$B$49,'TH_CMI GRADE 10'!AH$7:AH$49,"",0,1)="P",
   _xlfn.XLOOKUP($B18,'TH_CMI GRADE 10'!$B$7:$B$49,'TH_CMI GRADE 10'!$AT$7:$AT$49,"",0,1)&lt;=TODAY()-MOD(WEEKDAY(TODAY(),2)-5,7)),$D18,0)</f>
        <v>0</v>
      </c>
      <c r="AZ68" s="67" t="e">
        <f ca="1">IF(AND($D18&lt;&gt;0,_xlfn.XLOOKUP($B18,'TH_CMI GRADE 10'!$B$7:$B$49,'TH_CMI GRADE 10'!AI$7:AI$49,"",0,1)="P",
   _xlfn.XLOOKUP($B18,'TH_CMI GRADE 10'!$B$7:$B$49,'TH_CMI GRADE 10'!#REF!,"",0,1)&lt;=TODAY()-MOD(WEEKDAY(TODAY(),2)-5,7)),$D18,0)</f>
        <v>#REF!</v>
      </c>
      <c r="BA68" s="65" t="e">
        <f ca="1">IF(AND($D18&lt;&gt;0,_xlfn.XLOOKUP($B18,'PW_MLG GRADE 10'!$B$7:$B$31,'PW_MLG GRADE 10'!R$7:R$31,"",0,1)="P",
   _xlfn.XLOOKUP($B18,'PW_MLG GRADE 10'!$B$7:$B$31,'PW_MLG GRADE 10'!#REF!,"",0,1)&lt;=TODAY()-MOD(WEEKDAY(TODAY(),2)-5,7)),$D18,0)</f>
        <v>#REF!</v>
      </c>
      <c r="BB68" s="65" t="e">
        <f ca="1">IF(AND($D18&lt;&gt;0,_xlfn.XLOOKUP($B18,'PW_MLG GRADE 10'!$B$7:$B$31,'PW_MLG GRADE 10'!S$7:S$31,"",0,1)="P",
   _xlfn.XLOOKUP($B18,'PW_MLG GRADE 10'!$B$7:$B$31,'PW_MLG GRADE 10'!#REF!,"",0,1)&lt;=TODAY()-MOD(WEEKDAY(TODAY(),2)-5,7)),$D18,0)</f>
        <v>#REF!</v>
      </c>
      <c r="BC68" s="65" t="e">
        <f ca="1">IF(AND($D18&lt;&gt;0,_xlfn.XLOOKUP($B18,'PW_MLG GRADE 10'!$B$7:$B$31,'PW_MLG GRADE 10'!T$7:T$31,"",0,1)="P",
   _xlfn.XLOOKUP($B18,'PW_MLG GRADE 10'!$B$7:$B$31,'PW_MLG GRADE 10'!#REF!,"",0,1)&lt;=TODAY()-MOD(WEEKDAY(TODAY(),2)-5,7)),$D18,0)</f>
        <v>#REF!</v>
      </c>
      <c r="BD68" s="65" t="e">
        <f ca="1">IF(AND($D18&lt;&gt;0,_xlfn.XLOOKUP($B18,'PW_MLG GRADE 10'!$B$7:$B$31,'PW_MLG GRADE 10'!AA$7:AA$31,"",0,1)="P",
   _xlfn.XLOOKUP($B18,'PW_MLG GRADE 10'!$B$7:$B$31,'PW_MLG GRADE 10'!#REF!,"",0,1)&lt;=TODAY()-MOD(WEEKDAY(TODAY(),2)-5,7)),$D18,0)</f>
        <v>#REF!</v>
      </c>
      <c r="BE68" s="65" t="e">
        <f ca="1">IF(AND($D18&lt;&gt;0,_xlfn.XLOOKUP($B18,'PW_MLG GRADE 10'!$B$7:$B$31,'PW_MLG GRADE 10'!AB$7:AB$31,"",0,1)="P",
   _xlfn.XLOOKUP($B18,'PW_MLG GRADE 10'!$B$7:$B$31,'PW_MLG GRADE 10'!#REF!,"",0,1)&lt;=TODAY()-MOD(WEEKDAY(TODAY(),2)-5,7)),$D18,0)</f>
        <v>#REF!</v>
      </c>
      <c r="BF68" s="65" t="e">
        <f ca="1">IF(AND($D18&lt;&gt;0,_xlfn.XLOOKUP($B18,'PW_MLG GRADE 10'!$B$7:$B$31,'PW_MLG GRADE 10'!AC$7:AC$31,"",0,1)="P",
   _xlfn.XLOOKUP($B18,'PW_MLG GRADE 10'!$B$7:$B$31,'PW_MLG GRADE 10'!#REF!,"",0,1)&lt;=TODAY()-MOD(WEEKDAY(TODAY(),2)-5,7)),$D18,0)</f>
        <v>#REF!</v>
      </c>
      <c r="BG68" s="65" t="e">
        <f ca="1">IF(AND($D18&lt;&gt;0,_xlfn.XLOOKUP($B18,'PW_MLG GRADE 10'!$B$7:$B$31,'PW_MLG GRADE 10'!AD$7:AD$31,"",0,1)="P",
   _xlfn.XLOOKUP($B18,'PW_MLG GRADE 10'!$B$7:$B$31,'PW_MLG GRADE 10'!#REF!,"",0,1)&lt;=TODAY()-MOD(WEEKDAY(TODAY(),2)-5,7)),$D18,0)</f>
        <v>#REF!</v>
      </c>
      <c r="BH68" s="65" t="e">
        <f ca="1">IF(AND($D18&lt;&gt;0,_xlfn.XLOOKUP($B18,'PW_MLG GRADE 10'!$B$7:$B$31,'PW_MLG GRADE 10'!AE$7:AE$31,"",0,1)="P",
   _xlfn.XLOOKUP($B18,'PW_MLG GRADE 10'!$B$7:$B$31,'PW_MLG GRADE 10'!#REF!,"",0,1)&lt;=TODAY()-MOD(WEEKDAY(TODAY(),2)-5,7)),$D18,0)</f>
        <v>#REF!</v>
      </c>
      <c r="BI68" s="65" t="e">
        <f ca="1">IF(AND($D18&lt;&gt;0,_xlfn.XLOOKUP($B18,'PW_MLG GRADE 10'!$B$7:$B$31,'PW_MLG GRADE 10'!AF$7:AF$31,"",0,1)="P",
   _xlfn.XLOOKUP($B18,'PW_MLG GRADE 10'!$B$7:$B$31,'PW_MLG GRADE 10'!#REF!,"",0,1)&lt;=TODAY()-MOD(WEEKDAY(TODAY(),2)-5,7)),$D18,0)</f>
        <v>#REF!</v>
      </c>
      <c r="BJ68" s="65" t="e">
        <f ca="1">IF(AND($D18&lt;&gt;0,_xlfn.XLOOKUP($B18,'PW_MLG GRADE 10'!$B$7:$B$31,'PW_MLG GRADE 10'!AG$7:AG$31,"",0,1)="P",
   _xlfn.XLOOKUP($B18,'PW_MLG GRADE 10'!$B$7:$B$31,'PW_MLG GRADE 10'!#REF!,"",0,1)&lt;=TODAY()-MOD(WEEKDAY(TODAY(),2)-5,7)),$D18,0)</f>
        <v>#REF!</v>
      </c>
      <c r="BK68" s="65" t="e">
        <f ca="1">IF(AND($D18&lt;&gt;0,_xlfn.XLOOKUP($B18,'PW_MLG GRADE 10'!$B$7:$B$31,'PW_MLG GRADE 10'!AH$7:AH$31,"",0,1)="P",
   _xlfn.XLOOKUP($B18,'PW_MLG GRADE 10'!$B$7:$B$31,'PW_MLG GRADE 10'!#REF!,"",0,1)&lt;=TODAY()-MOD(WEEKDAY(TODAY(),2)-5,7)),$D18,0)</f>
        <v>#REF!</v>
      </c>
      <c r="BL68" s="65" t="e">
        <f ca="1">IF(AND($D18&lt;&gt;0,_xlfn.XLOOKUP($B18,'PW_MLG GRADE 10'!$B$7:$B$31,'PW_MLG GRADE 10'!AI$7:AI$31,"",0,1)="P",
   _xlfn.XLOOKUP($B18,'PW_MLG GRADE 10'!$B$7:$B$31,'PW_MLG GRADE 10'!#REF!,"",0,1)&lt;=TODAY()-MOD(WEEKDAY(TODAY(),2)-5,7)),$D18,0)</f>
        <v>#REF!</v>
      </c>
      <c r="BM68" s="65" t="e">
        <f ca="1">IF(AND($D18&lt;&gt;0,_xlfn.XLOOKUP($B18,'PW_MLG GRADE 10'!$B$7:$B$31,'PW_MLG GRADE 10'!AJ$7:AJ$31,"",0,1)="P",
   _xlfn.XLOOKUP($B18,'PW_MLG GRADE 10'!$B$7:$B$31,'PW_MLG GRADE 10'!#REF!,"",0,1)&lt;=TODAY()-MOD(WEEKDAY(TODAY(),2)-5,7)),$D18,0)</f>
        <v>#REF!</v>
      </c>
      <c r="BN68" s="65" t="e">
        <f ca="1">IF(AND($D18&lt;&gt;0,_xlfn.XLOOKUP($B18,'PW_MLG GRADE 10'!$B$7:$B$31,'PW_MLG GRADE 10'!AK$7:AK$31,"",0,1)="P",
   _xlfn.XLOOKUP($B18,'PW_MLG GRADE 10'!$B$7:$B$31,'PW_MLG GRADE 10'!#REF!,"",0,1)&lt;=TODAY()-MOD(WEEKDAY(TODAY(),2)-5,7)),$D18,0)</f>
        <v>#REF!</v>
      </c>
      <c r="BO68" s="65" t="e">
        <f ca="1">IF(AND($D18&lt;&gt;0,_xlfn.XLOOKUP($B18,'PW_MLG GRADE 10'!$B$7:$B$31,'PW_MLG GRADE 10'!AL$7:AL$31,"",0,1)="P",
   _xlfn.XLOOKUP($B18,'PW_MLG GRADE 10'!$B$7:$B$31,'PW_MLG GRADE 10'!#REF!,"",0,1)&lt;=TODAY()-MOD(WEEKDAY(TODAY(),2)-5,7)),$D18,0)</f>
        <v>#REF!</v>
      </c>
      <c r="BP68" s="65" t="e">
        <f ca="1">IF(AND($D18&lt;&gt;0,_xlfn.XLOOKUP($B18,'PW_MLG GRADE 10'!$B$7:$B$31,'PW_MLG GRADE 10'!AM$7:AM$31,"",0,1)="P",
   _xlfn.XLOOKUP($B18,'PW_MLG GRADE 10'!$B$7:$B$31,'PW_MLG GRADE 10'!#REF!,"",0,1)&lt;=TODAY()-MOD(WEEKDAY(TODAY(),2)-5,7)),$D18,0)</f>
        <v>#REF!</v>
      </c>
      <c r="BQ68" s="65" t="e">
        <f ca="1">IF(AND($D18&lt;&gt;0,_xlfn.XLOOKUP($B18,'PW_MLG GRADE 10'!$B$7:$B$31,'PW_MLG GRADE 10'!AN$7:AN$31,"",0,1)="P",
   _xlfn.XLOOKUP($B18,'PW_MLG GRADE 10'!$B$7:$B$31,'PW_MLG GRADE 10'!#REF!,"",0,1)&lt;=TODAY()-MOD(WEEKDAY(TODAY(),2)-5,7)),$D18,0)</f>
        <v>#REF!</v>
      </c>
      <c r="BR68" s="65" t="e">
        <f ca="1">IF(AND($D18&lt;&gt;0,_xlfn.XLOOKUP($B18,'PW_MLG GRADE 10'!$B$7:$B$31,'PW_MLG GRADE 10'!AO$7:AO$31,"",0,1)="P",
   _xlfn.XLOOKUP($B18,'PW_MLG GRADE 10'!$B$7:$B$31,'PW_MLG GRADE 10'!#REF!,"",0,1)&lt;=TODAY()-MOD(WEEKDAY(TODAY(),2)-5,7)),$D18,0)</f>
        <v>#REF!</v>
      </c>
      <c r="BS68" s="65" t="e">
        <f ca="1">IF(AND($D18&lt;&gt;0,_xlfn.XLOOKUP($B18,'PW_MLG GRADE 10'!$B$7:$B$31,'PW_MLG GRADE 10'!AP$7:AP$31,"",0,1)="P",
   _xlfn.XLOOKUP($B18,'PW_MLG GRADE 10'!$B$7:$B$31,'PW_MLG GRADE 10'!#REF!,"",0,1)&lt;=TODAY()-MOD(WEEKDAY(TODAY(),2)-5,7)),$D18,0)</f>
        <v>#REF!</v>
      </c>
      <c r="BT68" s="65" t="e">
        <f ca="1">IF(AND($D18&lt;&gt;0,_xlfn.XLOOKUP($B18,'PW_MLG GRADE 10'!$B$7:$B$31,'PW_MLG GRADE 10'!AQ$7:AQ$31,"",0,1)="P",
   _xlfn.XLOOKUP($B18,'PW_MLG GRADE 10'!$B$7:$B$31,'PW_MLG GRADE 10'!#REF!,"",0,1)&lt;=TODAY()-MOD(WEEKDAY(TODAY(),2)-5,7)),$D18,0)</f>
        <v>#REF!</v>
      </c>
      <c r="BU68" s="65" t="e">
        <f ca="1">IF(AND($D18&lt;&gt;0,_xlfn.XLOOKUP($B18,'PW_MLG GRADE 10'!$B$7:$B$31,'PW_MLG GRADE 10'!AR$7:AR$31,"",0,1)="P",
   _xlfn.XLOOKUP($B18,'PW_MLG GRADE 10'!$B$7:$B$31,'PW_MLG GRADE 10'!#REF!,"",0,1)&lt;=TODAY()-MOD(WEEKDAY(TODAY(),2)-5,7)),$D18,0)</f>
        <v>#REF!</v>
      </c>
      <c r="BV68" s="65" t="e">
        <f ca="1">IF(AND($D18&lt;&gt;0,_xlfn.XLOOKUP($B18,'PW_MLG GRADE 10'!$B$7:$B$31,'PW_MLG GRADE 10'!AY$7:AY$31,"",0,1)="P",
   _xlfn.XLOOKUP($B18,'PW_MLG GRADE 10'!$B$7:$B$31,'PW_MLG GRADE 10'!#REF!,"",0,1)&lt;=TODAY()-MOD(WEEKDAY(TODAY(),2)-5,7)),$D18,0)</f>
        <v>#REF!</v>
      </c>
      <c r="BW68" s="65" t="e">
        <f ca="1">IF(AND($D18&lt;&gt;0,_xlfn.XLOOKUP($B18,'PW_MLG GRADE 10'!$B$7:$B$31,'PW_MLG GRADE 10'!AZ$7:AZ$31,"",0,1)="P",
   _xlfn.XLOOKUP($B18,'PW_MLG GRADE 10'!$B$7:$B$31,'PW_MLG GRADE 10'!#REF!,"",0,1)&lt;=TODAY()-MOD(WEEKDAY(TODAY(),2)-5,7)),$D18,0)</f>
        <v>#REF!</v>
      </c>
      <c r="BX68" s="65" t="e">
        <f ca="1">IF(AND($D18&lt;&gt;0,_xlfn.XLOOKUP($B18,'PW_MLG GRADE 10'!$B$7:$B$31,'PW_MLG GRADE 10'!BA$7:BA$31,"",0,1)="P",
   _xlfn.XLOOKUP($B18,'PW_MLG GRADE 10'!$B$7:$B$31,'PW_MLG GRADE 10'!#REF!,"",0,1)&lt;=TODAY()-MOD(WEEKDAY(TODAY(),2)-5,7)),$D18,0)</f>
        <v>#REF!</v>
      </c>
      <c r="BY68" s="65" t="e">
        <f ca="1">IF(AND($D18&lt;&gt;0,_xlfn.XLOOKUP($B18,'PW_MLG GRADE 10'!$B$7:$B$31,'PW_MLG GRADE 10'!BB$7:BB$31,"",0,1)="P",
   _xlfn.XLOOKUP($B18,'PW_MLG GRADE 10'!$B$7:$B$31,'PW_MLG GRADE 10'!#REF!,"",0,1)&lt;=TODAY()-MOD(WEEKDAY(TODAY(),2)-5,7)),$D18,0)</f>
        <v>#REF!</v>
      </c>
      <c r="BZ68" s="65" t="e">
        <f ca="1">IF(AND($D18&lt;&gt;0,_xlfn.XLOOKUP($B18,'PW_MLG GRADE 10'!$B$7:$B$31,'PW_MLG GRADE 10'!BC$7:BC$31,"",0,1)="P",
   _xlfn.XLOOKUP($B18,'PW_MLG GRADE 10'!$B$7:$B$31,'PW_MLG GRADE 10'!#REF!,"",0,1)&lt;=TODAY()-MOD(WEEKDAY(TODAY(),2)-5,7)),$D18,0)</f>
        <v>#REF!</v>
      </c>
      <c r="CA68" s="65" t="e">
        <f ca="1">IF(AND($D18&lt;&gt;0,_xlfn.XLOOKUP($B18,'PW_MLG GRADE 10'!$B$7:$B$31,'PW_MLG GRADE 10'!BD$7:BD$31,"",0,1)="P",
   _xlfn.XLOOKUP($B18,'PW_MLG GRADE 10'!$B$7:$B$31,'PW_MLG GRADE 10'!#REF!,"",0,1)&lt;=TODAY()-MOD(WEEKDAY(TODAY(),2)-5,7)),$D18,0)</f>
        <v>#REF!</v>
      </c>
      <c r="CB68" s="65" t="e">
        <f ca="1">IF(AND($D18&lt;&gt;0,_xlfn.XLOOKUP($B18,'PW_MLG GRADE 10'!$B$7:$B$31,'PW_MLG GRADE 10'!BE$7:BE$31,"",0,1)="P",
   _xlfn.XLOOKUP($B18,'PW_MLG GRADE 10'!$B$7:$B$31,'PW_MLG GRADE 10'!#REF!,"",0,1)&lt;=TODAY()-MOD(WEEKDAY(TODAY(),2)-5,7)),$D18,0)</f>
        <v>#REF!</v>
      </c>
      <c r="CC68" s="65" t="e">
        <f ca="1">IF(AND($D18&lt;&gt;0,_xlfn.XLOOKUP($B18,'PW_MLG GRADE 10'!$B$7:$B$31,'PW_MLG GRADE 10'!BF$7:BF$31,"",0,1)="P",
   _xlfn.XLOOKUP($B18,'PW_MLG GRADE 10'!$B$7:$B$31,'PW_MLG GRADE 10'!#REF!,"",0,1)&lt;=TODAY()-MOD(WEEKDAY(TODAY(),2)-5,7)),$D18,0)</f>
        <v>#REF!</v>
      </c>
      <c r="CD68" s="65" t="e">
        <f ca="1">IF(AND($D18&lt;&gt;0,_xlfn.XLOOKUP($B18,'PW_MLG GRADE 10'!$B$7:$B$31,'PW_MLG GRADE 10'!BG$7:BG$31,"",0,1)="P",
   _xlfn.XLOOKUP($B18,'PW_MLG GRADE 10'!$B$7:$B$31,'PW_MLG GRADE 10'!#REF!,"",0,1)&lt;=TODAY()-MOD(WEEKDAY(TODAY(),2)-5,7)),$D18,0)</f>
        <v>#REF!</v>
      </c>
      <c r="CE68" s="67">
        <f ca="1">IF(AND($D18&lt;&gt;0,_xlfn.XLOOKUP($B18,'PW_CMI GRADE 10'!$B$7:$B$31,'PW_CMI GRADE 10'!AY$7:AY$31,"",0,1)="P",
   _xlfn.XLOOKUP($B18,'PW_CMI GRADE 10'!$B$7:$B$31,'PW_CMI GRADE 10'!$U$7:$U$31,"",0,1)&lt;=TODAY()-MOD(WEEKDAY(TODAY(),2)-5,7)),$D18,0)</f>
        <v>0</v>
      </c>
      <c r="CF68" s="67">
        <f ca="1">IF(AND($D18&lt;&gt;0,_xlfn.XLOOKUP($B18,'PW_CMI GRADE 10'!$B$7:$B$31,'PW_CMI GRADE 10'!AZ$7:AZ$31,"",0,1)="P",
   _xlfn.XLOOKUP($B18,'PW_CMI GRADE 10'!$B$7:$B$31,'PW_CMI GRADE 10'!$V$7:$V$31,"",0,1)&lt;=TODAY()-MOD(WEEKDAY(TODAY(),2)-5,7)),$D18,0)</f>
        <v>0</v>
      </c>
      <c r="CG68" s="67">
        <f ca="1">IF(AND($D18&lt;&gt;0,_xlfn.XLOOKUP($B18,'PW_CMI GRADE 10'!$B$7:$B$31,'PW_CMI GRADE 10'!BA$7:BA$31,"",0,1)="P",
   _xlfn.XLOOKUP($B18,'PW_CMI GRADE 10'!$B$7:$B$31,'PW_CMI GRADE 10'!$W$7:$W$31,"",0,1)&lt;=TODAY()-MOD(WEEKDAY(TODAY(),2)-5,7)),$D18,0)</f>
        <v>0</v>
      </c>
      <c r="CH68" s="67">
        <f ca="1">IF(AND($D18&lt;&gt;0,_xlfn.XLOOKUP($B18,'PW_CMI GRADE 10'!$B$7:$B$31,'PW_CMI GRADE 10'!BB$7:BB$31,"",0,1)="P",
   _xlfn.XLOOKUP($B18,'PW_CMI GRADE 10'!$B$7:$B$31,'PW_CMI GRADE 10'!$U$7:$U$31,"",0,1)&lt;=TODAY()-MOD(WEEKDAY(TODAY(),2)-5,7)),$D18,0)</f>
        <v>0</v>
      </c>
      <c r="CI68" s="67">
        <f ca="1">IF(AND($D18&lt;&gt;0,_xlfn.XLOOKUP($B18,'PW_CMI GRADE 10'!$B$7:$B$31,'PW_CMI GRADE 10'!BC$7:BC$31,"",0,1)="P",
   _xlfn.XLOOKUP($B18,'PW_CMI GRADE 10'!$B$7:$B$31,'PW_CMI GRADE 10'!$V$7:$V$31,"",0,1)&lt;=TODAY()-MOD(WEEKDAY(TODAY(),2)-5,7)),$D18,0)</f>
        <v>0</v>
      </c>
      <c r="CJ68" s="67">
        <f ca="1">IF(AND($D18&lt;&gt;0,_xlfn.XLOOKUP($B18,'PW_CMI GRADE 10'!$B$7:$B$31,'PW_CMI GRADE 10'!BD$7:BD$31,"",0,1)="P",
   _xlfn.XLOOKUP($B18,'PW_CMI GRADE 10'!$B$7:$B$31,'PW_CMI GRADE 10'!$W$7:$W$31,"",0,1)&lt;=TODAY()-MOD(WEEKDAY(TODAY(),2)-5,7)),$D18,0)</f>
        <v>0</v>
      </c>
      <c r="CK68" s="67">
        <f ca="1">IF(AND($D18&lt;&gt;0,_xlfn.XLOOKUP($B18,'PW_CMI GRADE 10'!$B$7:$B$31,'PW_CMI GRADE 10'!BE$7:BE$31,"",0,1)="P",
   _xlfn.XLOOKUP($B18,'PW_CMI GRADE 10'!$B$7:$B$31,'PW_CMI GRADE 10'!$U$7:$U$31,"",0,1)&lt;=TODAY()-MOD(WEEKDAY(TODAY(),2)-5,7)),$D18,0)</f>
        <v>0</v>
      </c>
      <c r="CL68" s="67">
        <f ca="1">IF(AND($D18&lt;&gt;0,_xlfn.XLOOKUP($B18,'PW_CMI GRADE 10'!$B$7:$B$31,'PW_CMI GRADE 10'!BF$7:BF$31,"",0,1)="P",
   _xlfn.XLOOKUP($B18,'PW_CMI GRADE 10'!$B$7:$B$31,'PW_CMI GRADE 10'!$V$7:$V$31,"",0,1)&lt;=TODAY()-MOD(WEEKDAY(TODAY(),2)-5,7)),$D18,0)</f>
        <v>0</v>
      </c>
      <c r="CM68" s="67">
        <f ca="1">IF(AND($D18&lt;&gt;0,_xlfn.XLOOKUP($B18,'PW_CMI GRADE 10'!$B$7:$B$31,'PW_CMI GRADE 10'!BG$7:BG$31,"",0,1)="P",
   _xlfn.XLOOKUP($B18,'PW_CMI GRADE 10'!$B$7:$B$31,'PW_CMI GRADE 10'!$W$7:$W$31,"",0,1)&lt;=TODAY()-MOD(WEEKDAY(TODAY(),2)-5,7)),$D18,0)</f>
        <v>0</v>
      </c>
      <c r="CN68" s="67">
        <f ca="1">IF(AND($D18&lt;&gt;0,_xlfn.XLOOKUP($B18,'PW_CMI GRADE 10'!$B$7:$B$31,'PW_CMI GRADE 10'!BH$7:BH$31,"",0,1)="P",
   _xlfn.XLOOKUP($B18,'PW_CMI GRADE 10'!$B$7:$B$31,'PW_CMI GRADE 10'!$U$7:$U$31,"",0,1)&lt;=TODAY()-MOD(WEEKDAY(TODAY(),2)-5,7)),$D18,0)</f>
        <v>0</v>
      </c>
      <c r="CO68" s="67">
        <f ca="1">IF(AND($D18&lt;&gt;0,_xlfn.XLOOKUP($B18,'PW_CMI GRADE 10'!$B$7:$B$31,'PW_CMI GRADE 10'!BI$7:BI$31,"",0,1)="P",
   _xlfn.XLOOKUP($B18,'PW_CMI GRADE 10'!$B$7:$B$31,'PW_CMI GRADE 10'!$V$7:$V$31,"",0,1)&lt;=TODAY()-MOD(WEEKDAY(TODAY(),2)-5,7)),$D18,0)</f>
        <v>0</v>
      </c>
      <c r="CP68" s="67">
        <f ca="1">IF(AND($D18&lt;&gt;0,_xlfn.XLOOKUP($B18,'PW_CMI GRADE 10'!$B$7:$B$31,'PW_CMI GRADE 10'!BJ$7:BJ$31,"",0,1)="P",
   _xlfn.XLOOKUP($B18,'PW_CMI GRADE 10'!$B$7:$B$31,'PW_CMI GRADE 10'!$W$7:$W$31,"",0,1)&lt;=TODAY()-MOD(WEEKDAY(TODAY(),2)-5,7)),$D18,0)</f>
        <v>0</v>
      </c>
      <c r="CQ68" s="67">
        <f ca="1">IF(AND($D18&lt;&gt;0,_xlfn.XLOOKUP($B18,'PW_CMI GRADE 10'!$B$7:$B$31,'PW_CMI GRADE 10'!BK$7:BK$31,"",0,1)="P",
   _xlfn.XLOOKUP($B18,'PW_CMI GRADE 10'!$B$7:$B$31,'PW_CMI GRADE 10'!$U$7:$U$31,"",0,1)&lt;=TODAY()-MOD(WEEKDAY(TODAY(),2)-5,7)),$D18,0)</f>
        <v>0</v>
      </c>
      <c r="CR68" s="67">
        <f ca="1">IF(AND($D18&lt;&gt;0,_xlfn.XLOOKUP($B18,'PW_CMI GRADE 10'!$B$7:$B$31,'PW_CMI GRADE 10'!BL$7:BL$31,"",0,1)="P",
   _xlfn.XLOOKUP($B18,'PW_CMI GRADE 10'!$B$7:$B$31,'PW_CMI GRADE 10'!$V$7:$V$31,"",0,1)&lt;=TODAY()-MOD(WEEKDAY(TODAY(),2)-5,7)),$D18,0)</f>
        <v>0</v>
      </c>
      <c r="CS68" s="67">
        <f ca="1">IF(AND($D18&lt;&gt;0,_xlfn.XLOOKUP($B18,'PW_CMI GRADE 10'!$B$7:$B$31,'PW_CMI GRADE 10'!BM$7:BM$31,"",0,1)="P",
   _xlfn.XLOOKUP($B18,'PW_CMI GRADE 10'!$B$7:$B$31,'PW_CMI GRADE 10'!$W$7:$W$31,"",0,1)&lt;=TODAY()-MOD(WEEKDAY(TODAY(),2)-5,7)),$D18,0)</f>
        <v>0</v>
      </c>
      <c r="CT68" s="67">
        <f ca="1">IF(AND($D18&lt;&gt;0,_xlfn.XLOOKUP($B18,'PW_CMI GRADE 10'!$B$7:$B$31,'PW_CMI GRADE 10'!BN$7:BN$31,"",0,1)="P",
   _xlfn.XLOOKUP($B18,'PW_CMI GRADE 10'!$B$7:$B$31,'PW_CMI GRADE 10'!$U$7:$U$31,"",0,1)&lt;=TODAY()-MOD(WEEKDAY(TODAY(),2)-5,7)),$D18,0)</f>
        <v>0</v>
      </c>
      <c r="CU68" s="67">
        <f ca="1">IF(AND($D18&lt;&gt;0,_xlfn.XLOOKUP($B18,'PW_CMI GRADE 10'!$B$7:$B$31,'PW_CMI GRADE 10'!BO$7:BO$31,"",0,1)="P",
   _xlfn.XLOOKUP($B18,'PW_CMI GRADE 10'!$B$7:$B$31,'PW_CMI GRADE 10'!$V$7:$V$31,"",0,1)&lt;=TODAY()-MOD(WEEKDAY(TODAY(),2)-5,7)),$D18,0)</f>
        <v>0</v>
      </c>
      <c r="CV68" s="67">
        <f ca="1">IF(AND($D18&lt;&gt;0,_xlfn.XLOOKUP($B18,'PW_CMI GRADE 10'!$B$7:$B$31,'PW_CMI GRADE 10'!BP$7:BP$31,"",0,1)="P",
   _xlfn.XLOOKUP($B18,'PW_CMI GRADE 10'!$B$7:$B$31,'PW_CMI GRADE 10'!$W$7:$W$31,"",0,1)&lt;=TODAY()-MOD(WEEKDAY(TODAY(),2)-5,7)),$D18,0)</f>
        <v>0</v>
      </c>
      <c r="CW68" s="62" t="e">
        <f t="shared" ca="1" si="132"/>
        <v>#REF!</v>
      </c>
      <c r="CX68" s="62" t="e">
        <f t="shared" ca="1" si="69"/>
        <v>#REF!</v>
      </c>
      <c r="CY68" s="62" t="e">
        <f t="shared" ca="1" si="70"/>
        <v>#REF!</v>
      </c>
      <c r="CZ68" s="62" t="e">
        <f t="shared" ca="1" si="71"/>
        <v>#REF!</v>
      </c>
      <c r="DA68" s="62" t="e">
        <f t="shared" ca="1" si="72"/>
        <v>#REF!</v>
      </c>
      <c r="DB68" s="62" t="e">
        <f t="shared" ca="1" si="73"/>
        <v>#REF!</v>
      </c>
      <c r="DC68" s="62" t="e">
        <f t="shared" ca="1" si="74"/>
        <v>#REF!</v>
      </c>
      <c r="DD68" s="62" t="e">
        <f t="shared" ca="1" si="75"/>
        <v>#REF!</v>
      </c>
      <c r="DE68" s="62" t="e">
        <f t="shared" ca="1" si="76"/>
        <v>#REF!</v>
      </c>
      <c r="DF68" s="62" t="e">
        <f t="shared" ca="1" si="77"/>
        <v>#REF!</v>
      </c>
      <c r="DG68" s="62" t="e">
        <f t="shared" ca="1" si="78"/>
        <v>#REF!</v>
      </c>
      <c r="DH68" s="62" t="e">
        <f t="shared" ca="1" si="79"/>
        <v>#REF!</v>
      </c>
      <c r="DI68" s="62" t="e">
        <f t="shared" ca="1" si="80"/>
        <v>#REF!</v>
      </c>
      <c r="DJ68" s="62" t="e">
        <f t="shared" ca="1" si="81"/>
        <v>#REF!</v>
      </c>
      <c r="DK68" s="62" t="e">
        <f t="shared" ca="1" si="82"/>
        <v>#REF!</v>
      </c>
      <c r="DL68" s="62" t="e">
        <f t="shared" ca="1" si="83"/>
        <v>#REF!</v>
      </c>
      <c r="DM68" s="62" t="e">
        <f t="shared" ca="1" si="84"/>
        <v>#REF!</v>
      </c>
      <c r="DN68" s="62" t="e">
        <f t="shared" ca="1" si="85"/>
        <v>#REF!</v>
      </c>
      <c r="DO68" s="62" t="e">
        <f t="shared" ca="1" si="86"/>
        <v>#REF!</v>
      </c>
      <c r="DP68" s="62" t="e">
        <f t="shared" ca="1" si="87"/>
        <v>#REF!</v>
      </c>
      <c r="DQ68" s="62" t="e">
        <f t="shared" ca="1" si="88"/>
        <v>#REF!</v>
      </c>
      <c r="DR68" s="62" t="e">
        <f t="shared" ca="1" si="89"/>
        <v>#REF!</v>
      </c>
      <c r="DS68" s="62" t="e">
        <f t="shared" ca="1" si="90"/>
        <v>#REF!</v>
      </c>
      <c r="DT68" s="62" t="e">
        <f t="shared" ca="1" si="91"/>
        <v>#REF!</v>
      </c>
      <c r="DU68" s="62" t="e">
        <f t="shared" ca="1" si="92"/>
        <v>#REF!</v>
      </c>
      <c r="DV68" s="62" t="e">
        <f t="shared" ca="1" si="93"/>
        <v>#REF!</v>
      </c>
      <c r="DW68" s="62" t="e">
        <f t="shared" ca="1" si="94"/>
        <v>#REF!</v>
      </c>
      <c r="DX68" s="62" t="e">
        <f t="shared" ca="1" si="95"/>
        <v>#REF!</v>
      </c>
      <c r="DY68" s="62" t="e">
        <f t="shared" ca="1" si="96"/>
        <v>#REF!</v>
      </c>
      <c r="DZ68" s="62" t="e">
        <f t="shared" ca="1" si="97"/>
        <v>#REF!</v>
      </c>
      <c r="EA68" s="63" t="e">
        <f t="shared" ca="1" si="98"/>
        <v>#REF!</v>
      </c>
      <c r="EB68" s="63" t="e">
        <f t="shared" ca="1" si="99"/>
        <v>#REF!</v>
      </c>
      <c r="EC68" s="63" t="e">
        <f t="shared" ca="1" si="100"/>
        <v>#REF!</v>
      </c>
      <c r="ED68" s="63" t="e">
        <f t="shared" ca="1" si="101"/>
        <v>#REF!</v>
      </c>
      <c r="EE68" s="63" t="e">
        <f t="shared" ca="1" si="102"/>
        <v>#REF!</v>
      </c>
      <c r="EF68" s="63" t="e">
        <f t="shared" ca="1" si="103"/>
        <v>#REF!</v>
      </c>
      <c r="EG68" s="63" t="e">
        <f t="shared" ca="1" si="104"/>
        <v>#REF!</v>
      </c>
      <c r="EH68" s="63" t="e">
        <f t="shared" ca="1" si="105"/>
        <v>#REF!</v>
      </c>
      <c r="EI68" s="63" t="e">
        <f t="shared" ca="1" si="106"/>
        <v>#REF!</v>
      </c>
      <c r="EJ68" s="63" t="e">
        <f t="shared" ca="1" si="107"/>
        <v>#REF!</v>
      </c>
      <c r="EK68" s="63" t="e">
        <f t="shared" ca="1" si="108"/>
        <v>#REF!</v>
      </c>
      <c r="EL68" s="63" t="e">
        <f t="shared" ca="1" si="109"/>
        <v>#REF!</v>
      </c>
      <c r="EM68" s="63" t="e">
        <f t="shared" ca="1" si="110"/>
        <v>#REF!</v>
      </c>
      <c r="EN68" s="63" t="e">
        <f t="shared" ca="1" si="111"/>
        <v>#REF!</v>
      </c>
      <c r="EO68" s="63" t="e">
        <f t="shared" ca="1" si="112"/>
        <v>#REF!</v>
      </c>
      <c r="EP68" s="63" t="e">
        <f t="shared" ca="1" si="113"/>
        <v>#REF!</v>
      </c>
      <c r="ET68" t="str">
        <v>6A.1</v>
      </c>
      <c r="EU68" s="38" t="e">
        <f t="shared" ca="1" si="114"/>
        <v>#REF!</v>
      </c>
      <c r="EV68" s="38" t="e">
        <f t="shared" ca="1" si="115"/>
        <v>#REF!</v>
      </c>
      <c r="EW68" s="38" t="e">
        <f t="shared" ca="1" si="116"/>
        <v>#REF!</v>
      </c>
      <c r="EX68" s="38" t="e">
        <f t="shared" ca="1" si="117"/>
        <v>#REF!</v>
      </c>
      <c r="EY68" s="38" t="e">
        <f t="shared" ca="1" si="118"/>
        <v>#REF!</v>
      </c>
      <c r="EZ68" s="38" t="e">
        <f t="shared" ca="1" si="119"/>
        <v>#REF!</v>
      </c>
      <c r="FA68" s="38" t="e">
        <f t="shared" ca="1" si="120"/>
        <v>#REF!</v>
      </c>
      <c r="FB68" s="38" t="e">
        <f t="shared" ca="1" si="121"/>
        <v>#REF!</v>
      </c>
      <c r="FC68" s="38" t="e">
        <f t="shared" ca="1" si="122"/>
        <v>#REF!</v>
      </c>
      <c r="FD68" s="38" t="e">
        <f t="shared" ca="1" si="123"/>
        <v>#REF!</v>
      </c>
      <c r="FE68" s="38">
        <f t="shared" ca="1" si="133"/>
        <v>0</v>
      </c>
      <c r="FF68" s="38" t="e">
        <f t="shared" ca="1" si="124"/>
        <v>#REF!</v>
      </c>
      <c r="FG68" s="38" t="e">
        <f t="shared" ca="1" si="125"/>
        <v>#REF!</v>
      </c>
      <c r="FH68" s="38" t="e">
        <f t="shared" ca="1" si="126"/>
        <v>#REF!</v>
      </c>
      <c r="FI68" s="38" t="e">
        <f t="shared" ca="1" si="127"/>
        <v>#REF!</v>
      </c>
      <c r="FJ68" s="38" t="e">
        <f t="shared" ca="1" si="128"/>
        <v>#REF!</v>
      </c>
      <c r="FK68" s="38" t="e">
        <f t="shared" ca="1" si="129"/>
        <v>#REF!</v>
      </c>
      <c r="FL68" s="38">
        <f t="shared" ca="1" si="130"/>
        <v>0</v>
      </c>
      <c r="FM68" s="38">
        <v>1</v>
      </c>
      <c r="FN68" s="38">
        <f t="shared" si="134"/>
        <v>0.66666666666666663</v>
      </c>
      <c r="FO68" s="38">
        <f t="shared" si="135"/>
        <v>0.33333333333333331</v>
      </c>
    </row>
    <row r="69" spans="1:171">
      <c r="A69" s="64" t="str">
        <f t="shared" si="131"/>
        <v>3A.2</v>
      </c>
      <c r="B69" s="64" t="s">
        <v>50</v>
      </c>
      <c r="C69" s="30">
        <v>0</v>
      </c>
      <c r="D69" s="30">
        <v>2</v>
      </c>
      <c r="E69" s="65">
        <f ca="1">IF(AND($D19&lt;&gt;0,_xlfn.XLOOKUP($B19,'TH_MLG GRADE 10'!$B$7:$B$49,'TH_MLG GRADE 10'!C$7:C$49,"",0,1)="P",
   _xlfn.XLOOKUP($B19,'TH_MLG GRADE 10'!$B$7:$B$49,'TH_MLG GRADE 10'!$BK$7:$BK$49,"",0,1)&lt;=TODAY()-MOD(WEEKDAY(TODAY(),2)-5,7)),$D19,0)</f>
        <v>0</v>
      </c>
      <c r="F69" s="65">
        <f ca="1">IF(AND($D19&lt;&gt;0,_xlfn.XLOOKUP($B19,'TH_MLG GRADE 10'!$B$7:$B$49,'TH_MLG GRADE 10'!D$7:D$49,"",0,1)="P",
   _xlfn.XLOOKUP($B19,'TH_MLG GRADE 10'!$B$7:$B$49,'TH_MLG GRADE 10'!$BL$7:$BL$49,"",0,1)&lt;=TODAY()-MOD(WEEKDAY(TODAY(),2)-5,7)),$D19,0)</f>
        <v>0</v>
      </c>
      <c r="G69" s="65">
        <f ca="1">IF(AND($D19&lt;&gt;0,_xlfn.XLOOKUP($B19,'TH_MLG GRADE 10'!$B$7:$B$49,'TH_MLG GRADE 10'!E$7:E$49,"",0,1)="P",
   _xlfn.XLOOKUP($B19,'TH_MLG GRADE 10'!$B$7:$B$49,'TH_MLG GRADE 10'!$BM$7:$BM$49,"",0,1)&lt;=TODAY()-MOD(WEEKDAY(TODAY(),2)-5,7)),$D19,0)</f>
        <v>0</v>
      </c>
      <c r="H69" s="65">
        <f ca="1">IF(AND($D19&lt;&gt;0,_xlfn.XLOOKUP($B19,'TH_MLG GRADE 10'!$B$7:$B$49,'TH_MLG GRADE 10'!I$7:I$49,"",0,1)="P",
   _xlfn.XLOOKUP($B19,'TH_MLG GRADE 10'!$B$7:$B$49,'TH_MLG GRADE 10'!$BK$7:$BK$49,"",0,1)&lt;=TODAY()-MOD(WEEKDAY(TODAY(),2)-5,7)),$D19,0)</f>
        <v>0</v>
      </c>
      <c r="I69" s="65">
        <f ca="1">IF(AND($D19&lt;&gt;0,_xlfn.XLOOKUP($B19,'TH_MLG GRADE 10'!$B$7:$B$49,'TH_MLG GRADE 10'!J$7:J$49,"",0,1)="P",
   _xlfn.XLOOKUP($B19,'TH_MLG GRADE 10'!$B$7:$B$49,'TH_MLG GRADE 10'!$BL$7:$BL$49,"",0,1)&lt;=TODAY()-MOD(WEEKDAY(TODAY(),2)-5,7)),$D19,0)</f>
        <v>0</v>
      </c>
      <c r="J69" s="65">
        <f ca="1">IF(AND($D19&lt;&gt;0,_xlfn.XLOOKUP($B19,'TH_MLG GRADE 10'!$B$7:$B$49,'TH_MLG GRADE 10'!K$7:K$49,"",0,1)="P",
   _xlfn.XLOOKUP($B19,'TH_MLG GRADE 10'!$B$7:$B$49,'TH_MLG GRADE 10'!$BM$7:$BM$49,"",0,1)&lt;=TODAY()-MOD(WEEKDAY(TODAY(),2)-5,7)),$D19,0)</f>
        <v>0</v>
      </c>
      <c r="K69" s="65">
        <f ca="1">IF(AND($D19&lt;&gt;0,_xlfn.XLOOKUP($B19,'TH_MLG GRADE 10'!$B$7:$B$49,'TH_MLG GRADE 10'!O$7:O$49,"",0,1)="P",
   _xlfn.XLOOKUP($B19,'TH_MLG GRADE 10'!$B$7:$B$49,'TH_MLG GRADE 10'!$BK$7:$BK$49,"",0,1)&lt;=TODAY()-MOD(WEEKDAY(TODAY(),2)-5,7)),$D19,0)</f>
        <v>0</v>
      </c>
      <c r="L69" s="65">
        <f ca="1">IF(AND($D19&lt;&gt;0,_xlfn.XLOOKUP($B19,'TH_MLG GRADE 10'!$B$7:$B$49,'TH_MLG GRADE 10'!P$7:P$49,"",0,1)="P",
   _xlfn.XLOOKUP($B19,'TH_MLG GRADE 10'!$B$7:$B$49,'TH_MLG GRADE 10'!$BL$7:$BL$49,"",0,1)&lt;=TODAY()-MOD(WEEKDAY(TODAY(),2)-5,7)),$D19,0)</f>
        <v>0</v>
      </c>
      <c r="M69" s="65">
        <f ca="1">IF(AND($D19&lt;&gt;0,_xlfn.XLOOKUP($B19,'TH_MLG GRADE 10'!$B$7:$B$49,'TH_MLG GRADE 10'!Q$7:Q$49,"",0,1)="P",
   _xlfn.XLOOKUP($B19,'TH_MLG GRADE 10'!$B$7:$B$49,'TH_MLG GRADE 10'!$BM$7:$BM$49,"",0,1)&lt;=TODAY()-MOD(WEEKDAY(TODAY(),2)-5,7)),$D19,0)</f>
        <v>0</v>
      </c>
      <c r="N69" s="65">
        <f ca="1">IF(AND($D19&lt;&gt;0,_xlfn.XLOOKUP($B19,'TH_MLG GRADE 10'!$B$7:$B$49,'TH_MLG GRADE 10'!AA$7:AA$49,"",0,1)="P",
   _xlfn.XLOOKUP($B19,'TH_MLG GRADE 10'!$B$7:$B$49,'TH_MLG GRADE 10'!$BK$7:$BK$49,"",0,1)&lt;=TODAY()-MOD(WEEKDAY(TODAY(),2)-5,7)),$D19,0)</f>
        <v>0</v>
      </c>
      <c r="O69" s="65">
        <f ca="1">IF(AND($D19&lt;&gt;0,_xlfn.XLOOKUP($B19,'TH_MLG GRADE 10'!$B$7:$B$49,'TH_MLG GRADE 10'!AB$7:AB$49,"",0,1)="P",
   _xlfn.XLOOKUP($B19,'TH_MLG GRADE 10'!$B$7:$B$49,'TH_MLG GRADE 10'!$BL$7:$BL$49,"",0,1)&lt;=TODAY()-MOD(WEEKDAY(TODAY(),2)-5,7)),$D19,0)</f>
        <v>0</v>
      </c>
      <c r="P69" s="65">
        <f ca="1">IF(AND($D19&lt;&gt;0,_xlfn.XLOOKUP($B19,'TH_MLG GRADE 10'!$B$7:$B$49,'TH_MLG GRADE 10'!AC$7:AC$49,"",0,1)="P",
   _xlfn.XLOOKUP($B19,'TH_MLG GRADE 10'!$B$7:$B$49,'TH_MLG GRADE 10'!$BM$7:$BM$49,"",0,1)&lt;=TODAY()-MOD(WEEKDAY(TODAY(),2)-5,7)),$D19,0)</f>
        <v>0</v>
      </c>
      <c r="Q69" s="65">
        <f ca="1">IF(AND($D19&lt;&gt;0,_xlfn.XLOOKUP($B19,'TH_MLG GRADE 10'!$B$7:$B$49,'TH_MLG GRADE 10'!AG$7:AG$49,"",0,1)="P",
   _xlfn.XLOOKUP($B19,'TH_MLG GRADE 10'!$B$7:$B$49,'TH_MLG GRADE 10'!$BK$7:$BK$49,"",0,1)&lt;=TODAY()-MOD(WEEKDAY(TODAY(),2)-5,7)),$D19,0)</f>
        <v>2</v>
      </c>
      <c r="R69" s="65">
        <f ca="1">IF(AND($D19&lt;&gt;0,_xlfn.XLOOKUP($B19,'TH_MLG GRADE 10'!$B$7:$B$49,'TH_MLG GRADE 10'!AH$7:AH$49,"",0,1)="P",
   _xlfn.XLOOKUP($B19,'TH_MLG GRADE 10'!$B$7:$B$49,'TH_MLG GRADE 10'!$BL$7:$BL$49,"",0,1)&lt;=TODAY()-MOD(WEEKDAY(TODAY(),2)-5,7)),$D19,0)</f>
        <v>2</v>
      </c>
      <c r="S69" s="65">
        <f ca="1">IF(AND($D19&lt;&gt;0,_xlfn.XLOOKUP($B19,'TH_MLG GRADE 10'!$B$7:$B$49,'TH_MLG GRADE 10'!AI$7:AI$49,"",0,1)="P",
   _xlfn.XLOOKUP($B19,'TH_MLG GRADE 10'!$B$7:$B$49,'TH_MLG GRADE 10'!$BM$7:$BM$49,"",0,1)&lt;=TODAY()-MOD(WEEKDAY(TODAY(),2)-5,7)),$D19,0)</f>
        <v>2</v>
      </c>
      <c r="T69" s="65">
        <f ca="1">IF(AND($D19&lt;&gt;0,_xlfn.XLOOKUP($B19,'TH_MLG GRADE 10'!$B$7:$B$49,'TH_MLG GRADE 10'!AM$7:AM$49,"",0,1)="P",
   _xlfn.XLOOKUP($B19,'TH_MLG GRADE 10'!$B$7:$B$49,'TH_MLG GRADE 10'!$BK$7:$BK$49,"",0,1)&lt;=TODAY()-MOD(WEEKDAY(TODAY(),2)-5,7)),$D19,0)</f>
        <v>0</v>
      </c>
      <c r="U69" s="65">
        <f ca="1">IF(AND($D19&lt;&gt;0,_xlfn.XLOOKUP($B19,'TH_MLG GRADE 10'!$B$7:$B$49,'TH_MLG GRADE 10'!AN$7:AN$49,"",0,1)="P",
   _xlfn.XLOOKUP($B19,'TH_MLG GRADE 10'!$B$7:$B$49,'TH_MLG GRADE 10'!$BL$7:$BL$49,"",0,1)&lt;=TODAY()-MOD(WEEKDAY(TODAY(),2)-5,7)),$D19,0)</f>
        <v>0</v>
      </c>
      <c r="V69" s="65">
        <f ca="1">IF(AND($D19&lt;&gt;0,_xlfn.XLOOKUP($B19,'TH_MLG GRADE 10'!$B$7:$B$49,'TH_MLG GRADE 10'!AO$7:AO$49,"",0,1)="P",
   _xlfn.XLOOKUP($B19,'TH_MLG GRADE 10'!$B$7:$B$49,'TH_MLG GRADE 10'!$BM$7:$BM$49,"",0,1)&lt;=TODAY()-MOD(WEEKDAY(TODAY(),2)-5,7)),$D19,0)</f>
        <v>0</v>
      </c>
      <c r="W69" s="65">
        <f ca="1">IF(AND($D19&lt;&gt;0,_xlfn.XLOOKUP($B19,'TH_MLG GRADE 10'!$B$7:$B$49,'TH_MLG GRADE 10'!AY$7:AY$49,"",0,1)="P",
   _xlfn.XLOOKUP($B19,'TH_MLG GRADE 10'!$B$7:$B$49,'TH_MLG GRADE 10'!$BK$7:$BK$49,"",0,1)&lt;=TODAY()-MOD(WEEKDAY(TODAY(),2)-5,7)),$D19,0)</f>
        <v>0</v>
      </c>
      <c r="X69" s="65">
        <f ca="1">IF(AND($D19&lt;&gt;0,_xlfn.XLOOKUP($B19,'TH_MLG GRADE 10'!$B$7:$B$49,'TH_MLG GRADE 10'!AZ$7:AZ$49,"",0,1)="P",
   _xlfn.XLOOKUP($B19,'TH_MLG GRADE 10'!$B$7:$B$49,'TH_MLG GRADE 10'!$BL$7:$BL$49,"",0,1)&lt;=TODAY()-MOD(WEEKDAY(TODAY(),2)-5,7)),$D19,0)</f>
        <v>0</v>
      </c>
      <c r="Y69" s="65">
        <f ca="1">IF(AND($D19&lt;&gt;0,_xlfn.XLOOKUP($B19,'TH_MLG GRADE 10'!$B$7:$B$49,'TH_MLG GRADE 10'!BA$7:BA$49,"",0,1)="P",
   _xlfn.XLOOKUP($B19,'TH_MLG GRADE 10'!$B$7:$B$49,'TH_MLG GRADE 10'!$BM$7:$BM$49,"",0,1)&lt;=TODAY()-MOD(WEEKDAY(TODAY(),2)-5,7)),$D19,0)</f>
        <v>0</v>
      </c>
      <c r="Z69" s="65">
        <f ca="1">IF(AND($D19&lt;&gt;0,_xlfn.XLOOKUP($B19,'TH_MLG GRADE 10'!$B$7:$B$49,'TH_MLG GRADE 10'!BE$7:BE$49,"",0,1)="P",
   _xlfn.XLOOKUP($B19,'TH_MLG GRADE 10'!$B$7:$B$49,'TH_MLG GRADE 10'!$BK$7:$BK$49,"",0,1)&lt;=TODAY()-MOD(WEEKDAY(TODAY(),2)-5,7)),$D19,0)</f>
        <v>0</v>
      </c>
      <c r="AA69" s="65">
        <f ca="1">IF(AND($D19&lt;&gt;0,_xlfn.XLOOKUP($B19,'TH_MLG GRADE 10'!$B$7:$B$49,'TH_MLG GRADE 10'!BF$7:BF$49,"",0,1)="P",
   _xlfn.XLOOKUP($B19,'TH_MLG GRADE 10'!$B$7:$B$49,'TH_MLG GRADE 10'!$BL$7:$BL$49,"",0,1)&lt;=TODAY()-MOD(WEEKDAY(TODAY(),2)-5,7)),$D19,0)</f>
        <v>0</v>
      </c>
      <c r="AB69" s="65">
        <f ca="1">IF(AND($D19&lt;&gt;0,_xlfn.XLOOKUP($B19,'TH_MLG GRADE 10'!$B$7:$B$49,'TH_MLG GRADE 10'!BG$7:BG$49,"",0,1)="P",
   _xlfn.XLOOKUP($B19,'TH_MLG GRADE 10'!$B$7:$B$49,'TH_MLG GRADE 10'!$BM$7:$BM$49,"",0,1)&lt;=TODAY()-MOD(WEEKDAY(TODAY(),2)-5,7)),$D19,0)</f>
        <v>0</v>
      </c>
      <c r="AC69" s="65" t="e">
        <f ca="1">IF(AND($D19&lt;&gt;0,_xlfn.XLOOKUP($B19,'TH_MLG GRADE 10'!$B$7:$B$49,'TH_MLG GRADE 10'!#REF!,"",0,1)="P",
   _xlfn.XLOOKUP($B19,'TH_MLG GRADE 10'!$B$7:$B$49,'TH_MLG GRADE 10'!$BK$7:$BK$49,"",0,1)&lt;=TODAY()-MOD(WEEKDAY(TODAY(),2)-5,7)),$D19,0)</f>
        <v>#REF!</v>
      </c>
      <c r="AD69" s="65" t="e">
        <f ca="1">IF(AND($D19&lt;&gt;0,_xlfn.XLOOKUP($B19,'TH_MLG GRADE 10'!$B$7:$B$49,'TH_MLG GRADE 10'!#REF!,"",0,1)="P",
   _xlfn.XLOOKUP($B19,'TH_MLG GRADE 10'!$B$7:$B$49,'TH_MLG GRADE 10'!$BL$7:$BL$49,"",0,1)&lt;=TODAY()-MOD(WEEKDAY(TODAY(),2)-5,7)),$D19,0)</f>
        <v>#REF!</v>
      </c>
      <c r="AE69" s="65" t="e">
        <f ca="1">IF(AND($D19&lt;&gt;0,_xlfn.XLOOKUP($B19,'TH_MLG GRADE 10'!$B$7:$B$49,'TH_MLG GRADE 10'!#REF!,"",0,1)="P",
   _xlfn.XLOOKUP($B19,'TH_MLG GRADE 10'!$B$7:$B$49,'TH_MLG GRADE 10'!$BM$7:$BM$49,"",0,1)&lt;=TODAY()-MOD(WEEKDAY(TODAY(),2)-5,7)),$D19,0)</f>
        <v>#REF!</v>
      </c>
      <c r="AF69" s="65" t="e">
        <f ca="1">IF(AND($D19&lt;&gt;0,_xlfn.XLOOKUP($B19,'TH_MLG GRADE 10'!$B$7:$B$49,'TH_MLG GRADE 10'!#REF!,"",0,1)="P",
   _xlfn.XLOOKUP($B19,'TH_MLG GRADE 10'!$B$7:$B$49,'TH_MLG GRADE 10'!$BK$7:$BK$49,"",0,1)&lt;=TODAY()-MOD(WEEKDAY(TODAY(),2)-5,7)),$D19,0)</f>
        <v>#REF!</v>
      </c>
      <c r="AG69" s="65" t="e">
        <f ca="1">IF(AND($D19&lt;&gt;0,_xlfn.XLOOKUP($B19,'TH_MLG GRADE 10'!$B$7:$B$49,'TH_MLG GRADE 10'!#REF!,"",0,1)="P",
   _xlfn.XLOOKUP($B19,'TH_MLG GRADE 10'!$B$7:$B$49,'TH_MLG GRADE 10'!$BL$7:$BL$49,"",0,1)&lt;=TODAY()-MOD(WEEKDAY(TODAY(),2)-5,7)),$D19,0)</f>
        <v>#REF!</v>
      </c>
      <c r="AH69" s="65" t="e">
        <f ca="1">IF(AND($D19&lt;&gt;0,_xlfn.XLOOKUP($B19,'TH_MLG GRADE 10'!$B$7:$B$49,'TH_MLG GRADE 10'!#REF!,"",0,1)="P",
   _xlfn.XLOOKUP($B19,'TH_MLG GRADE 10'!$B$7:$B$49,'TH_MLG GRADE 10'!$BM$7:$BM$49,"",0,1)&lt;=TODAY()-MOD(WEEKDAY(TODAY(),2)-5,7)),$D19,0)</f>
        <v>#REF!</v>
      </c>
      <c r="AI69" s="67">
        <f ca="1">IF(AND($D19&lt;&gt;0,_xlfn.XLOOKUP($B19,'TH_CMI GRADE 10'!$B$7:$B$49,'TH_CMI GRADE 10'!C$7:C$49,"",0,1)="P",
   _xlfn.XLOOKUP($B19,'TH_CMI GRADE 10'!$B$7:$B$49,'TH_CMI GRADE 10'!$AS$7:$AS$49,"",0,1)&lt;=TODAY()-MOD(WEEKDAY(TODAY(),2)-5,7)),$D19,0)</f>
        <v>0</v>
      </c>
      <c r="AJ69" s="67">
        <f ca="1">IF(AND($D19&lt;&gt;0,_xlfn.XLOOKUP($B19,'TH_CMI GRADE 10'!$B$7:$B$49,'TH_CMI GRADE 10'!D$7:D$49,"",0,1)="P",
   _xlfn.XLOOKUP($B19,'TH_CMI GRADE 10'!$B$7:$B$49,'TH_CMI GRADE 10'!$AT$7:$AT$49,"",0,1)&lt;=TODAY()-MOD(WEEKDAY(TODAY(),2)-5,7)),$D19,0)</f>
        <v>0</v>
      </c>
      <c r="AK69" s="67" t="e">
        <f ca="1">IF(AND($D19&lt;&gt;0,_xlfn.XLOOKUP($B19,'TH_CMI GRADE 10'!$B$7:$B$49,'TH_CMI GRADE 10'!H$7:H$49,"",0,1)="P",
   _xlfn.XLOOKUP($B19,'TH_CMI GRADE 10'!$B$7:$B$49,'TH_CMI GRADE 10'!#REF!,"",0,1)&lt;=TODAY()-MOD(WEEKDAY(TODAY(),2)-5,7)),$D19,0)</f>
        <v>#REF!</v>
      </c>
      <c r="AL69" s="67">
        <f ca="1">IF(AND($D19&lt;&gt;0,_xlfn.XLOOKUP($B19,'TH_CMI GRADE 10'!$B$7:$B$49,'TH_CMI GRADE 10'!I$7:I$49,"",0,1)="P",
   _xlfn.XLOOKUP($B19,'TH_CMI GRADE 10'!$B$7:$B$49,'TH_CMI GRADE 10'!$AS$7:$AS$49,"",0,1)&lt;=TODAY()-MOD(WEEKDAY(TODAY(),2)-5,7)),$D19,0)</f>
        <v>2</v>
      </c>
      <c r="AM69" s="67">
        <f ca="1">IF(AND($D19&lt;&gt;0,_xlfn.XLOOKUP($B19,'TH_CMI GRADE 10'!$B$7:$B$49,'TH_CMI GRADE 10'!J$7:J$49,"",0,1)="P",
   _xlfn.XLOOKUP($B19,'TH_CMI GRADE 10'!$B$7:$B$49,'TH_CMI GRADE 10'!$AT$7:$AT$49,"",0,1)&lt;=TODAY()-MOD(WEEKDAY(TODAY(),2)-5,7)),$D19,0)</f>
        <v>2</v>
      </c>
      <c r="AN69" s="67" t="e">
        <f ca="1">IF(AND($D19&lt;&gt;0,_xlfn.XLOOKUP($B19,'TH_CMI GRADE 10'!$B$7:$B$49,'TH_CMI GRADE 10'!K$7:K$49,"",0,1)="P",
   _xlfn.XLOOKUP($B19,'TH_CMI GRADE 10'!$B$7:$B$49,'TH_CMI GRADE 10'!#REF!,"",0,1)&lt;=TODAY()-MOD(WEEKDAY(TODAY(),2)-5,7)),$D19,0)</f>
        <v>#REF!</v>
      </c>
      <c r="AO69" s="67">
        <f ca="1">IF(AND($D19&lt;&gt;0,_xlfn.XLOOKUP($B19,'TH_CMI GRADE 10'!$B$7:$B$49,'TH_CMI GRADE 10'!O$7:O$49,"",0,1)="P",
   _xlfn.XLOOKUP($B19,'TH_CMI GRADE 10'!$B$7:$B$49,'TH_CMI GRADE 10'!$AS$7:$AS$49,"",0,1)&lt;=TODAY()-MOD(WEEKDAY(TODAY(),2)-5,7)),$D19,0)</f>
        <v>2</v>
      </c>
      <c r="AP69" s="67">
        <f ca="1">IF(AND($D19&lt;&gt;0,_xlfn.XLOOKUP($B19,'TH_CMI GRADE 10'!$B$7:$B$49,'TH_CMI GRADE 10'!P$7:P$49,"",0,1)="P",
   _xlfn.XLOOKUP($B19,'TH_CMI GRADE 10'!$B$7:$B$49,'TH_CMI GRADE 10'!$AT$7:$AT$49,"",0,1)&lt;=TODAY()-MOD(WEEKDAY(TODAY(),2)-5,7)),$D19,0)</f>
        <v>2</v>
      </c>
      <c r="AQ69" s="67" t="e">
        <f ca="1">IF(AND($D19&lt;&gt;0,_xlfn.XLOOKUP($B19,'TH_CMI GRADE 10'!$B$7:$B$49,'TH_CMI GRADE 10'!Q$7:Q$49,"",0,1)="P",
   _xlfn.XLOOKUP($B19,'TH_CMI GRADE 10'!$B$7:$B$49,'TH_CMI GRADE 10'!#REF!,"",0,1)&lt;=TODAY()-MOD(WEEKDAY(TODAY(),2)-5,7)),$D19,0)</f>
        <v>#REF!</v>
      </c>
      <c r="AR69" s="67">
        <f ca="1">IF(AND($D19&lt;&gt;0,_xlfn.XLOOKUP($B19,'TH_CMI GRADE 10'!$B$7:$B$49,'TH_CMI GRADE 10'!U$7:U$49,"",0,1)="P",
   _xlfn.XLOOKUP($B19,'TH_CMI GRADE 10'!$B$7:$B$49,'TH_CMI GRADE 10'!$AS$7:$AS$49,"",0,1)&lt;=TODAY()-MOD(WEEKDAY(TODAY(),2)-5,7)),$D19,0)</f>
        <v>0</v>
      </c>
      <c r="AS69" s="67">
        <f ca="1">IF(AND($D19&lt;&gt;0,_xlfn.XLOOKUP($B19,'TH_CMI GRADE 10'!$B$7:$B$49,'TH_CMI GRADE 10'!V$7:V$49,"",0,1)="P",
   _xlfn.XLOOKUP($B19,'TH_CMI GRADE 10'!$B$7:$B$49,'TH_CMI GRADE 10'!$AT$7:$AT$49,"",0,1)&lt;=TODAY()-MOD(WEEKDAY(TODAY(),2)-5,7)),$D19,0)</f>
        <v>0</v>
      </c>
      <c r="AT69" s="67" t="e">
        <f ca="1">IF(AND($D19&lt;&gt;0,_xlfn.XLOOKUP($B19,'TH_CMI GRADE 10'!$B$7:$B$49,'TH_CMI GRADE 10'!W$7:W$49,"",0,1)="P",
   _xlfn.XLOOKUP($B19,'TH_CMI GRADE 10'!$B$7:$B$49,'TH_CMI GRADE 10'!#REF!,"",0,1)&lt;=TODAY()-MOD(WEEKDAY(TODAY(),2)-5,7)),$D19,0)</f>
        <v>#REF!</v>
      </c>
      <c r="AU69" s="67">
        <f ca="1">IF(AND($D19&lt;&gt;0,_xlfn.XLOOKUP($B19,'TH_CMI GRADE 10'!$B$7:$B$49,'TH_CMI GRADE 10'!AA$7:AA$49,"",0,1)="P",
   _xlfn.XLOOKUP($B19,'TH_CMI GRADE 10'!$B$7:$B$49,'TH_CMI GRADE 10'!$AS$7:$AS$49,"",0,1)&lt;=TODAY()-MOD(WEEKDAY(TODAY(),2)-5,7)),$D19,0)</f>
        <v>0</v>
      </c>
      <c r="AV69" s="67">
        <f ca="1">IF(AND($D19&lt;&gt;0,_xlfn.XLOOKUP($B19,'TH_CMI GRADE 10'!$B$7:$B$49,'TH_CMI GRADE 10'!AB$7:AB$49,"",0,1)="P",
   _xlfn.XLOOKUP($B19,'TH_CMI GRADE 10'!$B$7:$B$49,'TH_CMI GRADE 10'!$AT$7:$AT$49,"",0,1)&lt;=TODAY()-MOD(WEEKDAY(TODAY(),2)-5,7)),$D19,0)</f>
        <v>0</v>
      </c>
      <c r="AW69" s="67" t="e">
        <f ca="1">IF(AND($D19&lt;&gt;0,_xlfn.XLOOKUP($B19,'TH_CMI GRADE 10'!$B$7:$B$49,'TH_CMI GRADE 10'!AC$7:AC$49,"",0,1)="P",
   _xlfn.XLOOKUP($B19,'TH_CMI GRADE 10'!$B$7:$B$49,'TH_CMI GRADE 10'!#REF!,"",0,1)&lt;=TODAY()-MOD(WEEKDAY(TODAY(),2)-5,7)),$D19,0)</f>
        <v>#REF!</v>
      </c>
      <c r="AX69" s="67">
        <f ca="1">IF(AND($D19&lt;&gt;0,_xlfn.XLOOKUP($B19,'TH_CMI GRADE 10'!$B$7:$B$49,'TH_CMI GRADE 10'!AG$7:AG$49,"",0,1)="P",
   _xlfn.XLOOKUP($B19,'TH_CMI GRADE 10'!$B$7:$B$49,'TH_CMI GRADE 10'!$AS$7:$AS$49,"",0,1)&lt;=TODAY()-MOD(WEEKDAY(TODAY(),2)-5,7)),$D19,0)</f>
        <v>0</v>
      </c>
      <c r="AY69" s="67">
        <f ca="1">IF(AND($D19&lt;&gt;0,_xlfn.XLOOKUP($B19,'TH_CMI GRADE 10'!$B$7:$B$49,'TH_CMI GRADE 10'!AH$7:AH$49,"",0,1)="P",
   _xlfn.XLOOKUP($B19,'TH_CMI GRADE 10'!$B$7:$B$49,'TH_CMI GRADE 10'!$AT$7:$AT$49,"",0,1)&lt;=TODAY()-MOD(WEEKDAY(TODAY(),2)-5,7)),$D19,0)</f>
        <v>0</v>
      </c>
      <c r="AZ69" s="67" t="e">
        <f ca="1">IF(AND($D19&lt;&gt;0,_xlfn.XLOOKUP($B19,'TH_CMI GRADE 10'!$B$7:$B$49,'TH_CMI GRADE 10'!AI$7:AI$49,"",0,1)="P",
   _xlfn.XLOOKUP($B19,'TH_CMI GRADE 10'!$B$7:$B$49,'TH_CMI GRADE 10'!#REF!,"",0,1)&lt;=TODAY()-MOD(WEEKDAY(TODAY(),2)-5,7)),$D19,0)</f>
        <v>#REF!</v>
      </c>
      <c r="BA69" s="65" t="e">
        <f ca="1">IF(AND($D19&lt;&gt;0,_xlfn.XLOOKUP($B19,'PW_MLG GRADE 10'!$B$7:$B$31,'PW_MLG GRADE 10'!R$7:R$31,"",0,1)="P",
   _xlfn.XLOOKUP($B19,'PW_MLG GRADE 10'!$B$7:$B$31,'PW_MLG GRADE 10'!#REF!,"",0,1)&lt;=TODAY()-MOD(WEEKDAY(TODAY(),2)-5,7)),$D19,0)</f>
        <v>#REF!</v>
      </c>
      <c r="BB69" s="65" t="e">
        <f ca="1">IF(AND($D19&lt;&gt;0,_xlfn.XLOOKUP($B19,'PW_MLG GRADE 10'!$B$7:$B$31,'PW_MLG GRADE 10'!S$7:S$31,"",0,1)="P",
   _xlfn.XLOOKUP($B19,'PW_MLG GRADE 10'!$B$7:$B$31,'PW_MLG GRADE 10'!#REF!,"",0,1)&lt;=TODAY()-MOD(WEEKDAY(TODAY(),2)-5,7)),$D19,0)</f>
        <v>#REF!</v>
      </c>
      <c r="BC69" s="65" t="e">
        <f ca="1">IF(AND($D19&lt;&gt;0,_xlfn.XLOOKUP($B19,'PW_MLG GRADE 10'!$B$7:$B$31,'PW_MLG GRADE 10'!T$7:T$31,"",0,1)="P",
   _xlfn.XLOOKUP($B19,'PW_MLG GRADE 10'!$B$7:$B$31,'PW_MLG GRADE 10'!#REF!,"",0,1)&lt;=TODAY()-MOD(WEEKDAY(TODAY(),2)-5,7)),$D19,0)</f>
        <v>#REF!</v>
      </c>
      <c r="BD69" s="65" t="e">
        <f ca="1">IF(AND($D19&lt;&gt;0,_xlfn.XLOOKUP($B19,'PW_MLG GRADE 10'!$B$7:$B$31,'PW_MLG GRADE 10'!AA$7:AA$31,"",0,1)="P",
   _xlfn.XLOOKUP($B19,'PW_MLG GRADE 10'!$B$7:$B$31,'PW_MLG GRADE 10'!#REF!,"",0,1)&lt;=TODAY()-MOD(WEEKDAY(TODAY(),2)-5,7)),$D19,0)</f>
        <v>#REF!</v>
      </c>
      <c r="BE69" s="65" t="e">
        <f ca="1">IF(AND($D19&lt;&gt;0,_xlfn.XLOOKUP($B19,'PW_MLG GRADE 10'!$B$7:$B$31,'PW_MLG GRADE 10'!AB$7:AB$31,"",0,1)="P",
   _xlfn.XLOOKUP($B19,'PW_MLG GRADE 10'!$B$7:$B$31,'PW_MLG GRADE 10'!#REF!,"",0,1)&lt;=TODAY()-MOD(WEEKDAY(TODAY(),2)-5,7)),$D19,0)</f>
        <v>#REF!</v>
      </c>
      <c r="BF69" s="65" t="e">
        <f ca="1">IF(AND($D19&lt;&gt;0,_xlfn.XLOOKUP($B19,'PW_MLG GRADE 10'!$B$7:$B$31,'PW_MLG GRADE 10'!AC$7:AC$31,"",0,1)="P",
   _xlfn.XLOOKUP($B19,'PW_MLG GRADE 10'!$B$7:$B$31,'PW_MLG GRADE 10'!#REF!,"",0,1)&lt;=TODAY()-MOD(WEEKDAY(TODAY(),2)-5,7)),$D19,0)</f>
        <v>#REF!</v>
      </c>
      <c r="BG69" s="65" t="e">
        <f ca="1">IF(AND($D19&lt;&gt;0,_xlfn.XLOOKUP($B19,'PW_MLG GRADE 10'!$B$7:$B$31,'PW_MLG GRADE 10'!AD$7:AD$31,"",0,1)="P",
   _xlfn.XLOOKUP($B19,'PW_MLG GRADE 10'!$B$7:$B$31,'PW_MLG GRADE 10'!#REF!,"",0,1)&lt;=TODAY()-MOD(WEEKDAY(TODAY(),2)-5,7)),$D19,0)</f>
        <v>#REF!</v>
      </c>
      <c r="BH69" s="65" t="e">
        <f ca="1">IF(AND($D19&lt;&gt;0,_xlfn.XLOOKUP($B19,'PW_MLG GRADE 10'!$B$7:$B$31,'PW_MLG GRADE 10'!AE$7:AE$31,"",0,1)="P",
   _xlfn.XLOOKUP($B19,'PW_MLG GRADE 10'!$B$7:$B$31,'PW_MLG GRADE 10'!#REF!,"",0,1)&lt;=TODAY()-MOD(WEEKDAY(TODAY(),2)-5,7)),$D19,0)</f>
        <v>#REF!</v>
      </c>
      <c r="BI69" s="65" t="e">
        <f ca="1">IF(AND($D19&lt;&gt;0,_xlfn.XLOOKUP($B19,'PW_MLG GRADE 10'!$B$7:$B$31,'PW_MLG GRADE 10'!AF$7:AF$31,"",0,1)="P",
   _xlfn.XLOOKUP($B19,'PW_MLG GRADE 10'!$B$7:$B$31,'PW_MLG GRADE 10'!#REF!,"",0,1)&lt;=TODAY()-MOD(WEEKDAY(TODAY(),2)-5,7)),$D19,0)</f>
        <v>#REF!</v>
      </c>
      <c r="BJ69" s="65" t="e">
        <f ca="1">IF(AND($D19&lt;&gt;0,_xlfn.XLOOKUP($B19,'PW_MLG GRADE 10'!$B$7:$B$31,'PW_MLG GRADE 10'!AG$7:AG$31,"",0,1)="P",
   _xlfn.XLOOKUP($B19,'PW_MLG GRADE 10'!$B$7:$B$31,'PW_MLG GRADE 10'!#REF!,"",0,1)&lt;=TODAY()-MOD(WEEKDAY(TODAY(),2)-5,7)),$D19,0)</f>
        <v>#REF!</v>
      </c>
      <c r="BK69" s="65" t="e">
        <f ca="1">IF(AND($D19&lt;&gt;0,_xlfn.XLOOKUP($B19,'PW_MLG GRADE 10'!$B$7:$B$31,'PW_MLG GRADE 10'!AH$7:AH$31,"",0,1)="P",
   _xlfn.XLOOKUP($B19,'PW_MLG GRADE 10'!$B$7:$B$31,'PW_MLG GRADE 10'!#REF!,"",0,1)&lt;=TODAY()-MOD(WEEKDAY(TODAY(),2)-5,7)),$D19,0)</f>
        <v>#REF!</v>
      </c>
      <c r="BL69" s="65" t="e">
        <f ca="1">IF(AND($D19&lt;&gt;0,_xlfn.XLOOKUP($B19,'PW_MLG GRADE 10'!$B$7:$B$31,'PW_MLG GRADE 10'!AI$7:AI$31,"",0,1)="P",
   _xlfn.XLOOKUP($B19,'PW_MLG GRADE 10'!$B$7:$B$31,'PW_MLG GRADE 10'!#REF!,"",0,1)&lt;=TODAY()-MOD(WEEKDAY(TODAY(),2)-5,7)),$D19,0)</f>
        <v>#REF!</v>
      </c>
      <c r="BM69" s="65" t="e">
        <f ca="1">IF(AND($D19&lt;&gt;0,_xlfn.XLOOKUP($B19,'PW_MLG GRADE 10'!$B$7:$B$31,'PW_MLG GRADE 10'!AJ$7:AJ$31,"",0,1)="P",
   _xlfn.XLOOKUP($B19,'PW_MLG GRADE 10'!$B$7:$B$31,'PW_MLG GRADE 10'!#REF!,"",0,1)&lt;=TODAY()-MOD(WEEKDAY(TODAY(),2)-5,7)),$D19,0)</f>
        <v>#REF!</v>
      </c>
      <c r="BN69" s="65" t="e">
        <f ca="1">IF(AND($D19&lt;&gt;0,_xlfn.XLOOKUP($B19,'PW_MLG GRADE 10'!$B$7:$B$31,'PW_MLG GRADE 10'!AK$7:AK$31,"",0,1)="P",
   _xlfn.XLOOKUP($B19,'PW_MLG GRADE 10'!$B$7:$B$31,'PW_MLG GRADE 10'!#REF!,"",0,1)&lt;=TODAY()-MOD(WEEKDAY(TODAY(),2)-5,7)),$D19,0)</f>
        <v>#REF!</v>
      </c>
      <c r="BO69" s="65" t="e">
        <f ca="1">IF(AND($D19&lt;&gt;0,_xlfn.XLOOKUP($B19,'PW_MLG GRADE 10'!$B$7:$B$31,'PW_MLG GRADE 10'!AL$7:AL$31,"",0,1)="P",
   _xlfn.XLOOKUP($B19,'PW_MLG GRADE 10'!$B$7:$B$31,'PW_MLG GRADE 10'!#REF!,"",0,1)&lt;=TODAY()-MOD(WEEKDAY(TODAY(),2)-5,7)),$D19,0)</f>
        <v>#REF!</v>
      </c>
      <c r="BP69" s="65" t="e">
        <f ca="1">IF(AND($D19&lt;&gt;0,_xlfn.XLOOKUP($B19,'PW_MLG GRADE 10'!$B$7:$B$31,'PW_MLG GRADE 10'!AM$7:AM$31,"",0,1)="P",
   _xlfn.XLOOKUP($B19,'PW_MLG GRADE 10'!$B$7:$B$31,'PW_MLG GRADE 10'!#REF!,"",0,1)&lt;=TODAY()-MOD(WEEKDAY(TODAY(),2)-5,7)),$D19,0)</f>
        <v>#REF!</v>
      </c>
      <c r="BQ69" s="65" t="e">
        <f ca="1">IF(AND($D19&lt;&gt;0,_xlfn.XLOOKUP($B19,'PW_MLG GRADE 10'!$B$7:$B$31,'PW_MLG GRADE 10'!AN$7:AN$31,"",0,1)="P",
   _xlfn.XLOOKUP($B19,'PW_MLG GRADE 10'!$B$7:$B$31,'PW_MLG GRADE 10'!#REF!,"",0,1)&lt;=TODAY()-MOD(WEEKDAY(TODAY(),2)-5,7)),$D19,0)</f>
        <v>#REF!</v>
      </c>
      <c r="BR69" s="65" t="e">
        <f ca="1">IF(AND($D19&lt;&gt;0,_xlfn.XLOOKUP($B19,'PW_MLG GRADE 10'!$B$7:$B$31,'PW_MLG GRADE 10'!AO$7:AO$31,"",0,1)="P",
   _xlfn.XLOOKUP($B19,'PW_MLG GRADE 10'!$B$7:$B$31,'PW_MLG GRADE 10'!#REF!,"",0,1)&lt;=TODAY()-MOD(WEEKDAY(TODAY(),2)-5,7)),$D19,0)</f>
        <v>#REF!</v>
      </c>
      <c r="BS69" s="65" t="e">
        <f ca="1">IF(AND($D19&lt;&gt;0,_xlfn.XLOOKUP($B19,'PW_MLG GRADE 10'!$B$7:$B$31,'PW_MLG GRADE 10'!AP$7:AP$31,"",0,1)="P",
   _xlfn.XLOOKUP($B19,'PW_MLG GRADE 10'!$B$7:$B$31,'PW_MLG GRADE 10'!#REF!,"",0,1)&lt;=TODAY()-MOD(WEEKDAY(TODAY(),2)-5,7)),$D19,0)</f>
        <v>#REF!</v>
      </c>
      <c r="BT69" s="65" t="e">
        <f ca="1">IF(AND($D19&lt;&gt;0,_xlfn.XLOOKUP($B19,'PW_MLG GRADE 10'!$B$7:$B$31,'PW_MLG GRADE 10'!AQ$7:AQ$31,"",0,1)="P",
   _xlfn.XLOOKUP($B19,'PW_MLG GRADE 10'!$B$7:$B$31,'PW_MLG GRADE 10'!#REF!,"",0,1)&lt;=TODAY()-MOD(WEEKDAY(TODAY(),2)-5,7)),$D19,0)</f>
        <v>#REF!</v>
      </c>
      <c r="BU69" s="65" t="e">
        <f ca="1">IF(AND($D19&lt;&gt;0,_xlfn.XLOOKUP($B19,'PW_MLG GRADE 10'!$B$7:$B$31,'PW_MLG GRADE 10'!AR$7:AR$31,"",0,1)="P",
   _xlfn.XLOOKUP($B19,'PW_MLG GRADE 10'!$B$7:$B$31,'PW_MLG GRADE 10'!#REF!,"",0,1)&lt;=TODAY()-MOD(WEEKDAY(TODAY(),2)-5,7)),$D19,0)</f>
        <v>#REF!</v>
      </c>
      <c r="BV69" s="65" t="e">
        <f ca="1">IF(AND($D19&lt;&gt;0,_xlfn.XLOOKUP($B19,'PW_MLG GRADE 10'!$B$7:$B$31,'PW_MLG GRADE 10'!AY$7:AY$31,"",0,1)="P",
   _xlfn.XLOOKUP($B19,'PW_MLG GRADE 10'!$B$7:$B$31,'PW_MLG GRADE 10'!#REF!,"",0,1)&lt;=TODAY()-MOD(WEEKDAY(TODAY(),2)-5,7)),$D19,0)</f>
        <v>#REF!</v>
      </c>
      <c r="BW69" s="65" t="e">
        <f ca="1">IF(AND($D19&lt;&gt;0,_xlfn.XLOOKUP($B19,'PW_MLG GRADE 10'!$B$7:$B$31,'PW_MLG GRADE 10'!AZ$7:AZ$31,"",0,1)="P",
   _xlfn.XLOOKUP($B19,'PW_MLG GRADE 10'!$B$7:$B$31,'PW_MLG GRADE 10'!#REF!,"",0,1)&lt;=TODAY()-MOD(WEEKDAY(TODAY(),2)-5,7)),$D19,0)</f>
        <v>#REF!</v>
      </c>
      <c r="BX69" s="65" t="e">
        <f ca="1">IF(AND($D19&lt;&gt;0,_xlfn.XLOOKUP($B19,'PW_MLG GRADE 10'!$B$7:$B$31,'PW_MLG GRADE 10'!BA$7:BA$31,"",0,1)="P",
   _xlfn.XLOOKUP($B19,'PW_MLG GRADE 10'!$B$7:$B$31,'PW_MLG GRADE 10'!#REF!,"",0,1)&lt;=TODAY()-MOD(WEEKDAY(TODAY(),2)-5,7)),$D19,0)</f>
        <v>#REF!</v>
      </c>
      <c r="BY69" s="65" t="e">
        <f ca="1">IF(AND($D19&lt;&gt;0,_xlfn.XLOOKUP($B19,'PW_MLG GRADE 10'!$B$7:$B$31,'PW_MLG GRADE 10'!BB$7:BB$31,"",0,1)="P",
   _xlfn.XLOOKUP($B19,'PW_MLG GRADE 10'!$B$7:$B$31,'PW_MLG GRADE 10'!#REF!,"",0,1)&lt;=TODAY()-MOD(WEEKDAY(TODAY(),2)-5,7)),$D19,0)</f>
        <v>#REF!</v>
      </c>
      <c r="BZ69" s="65" t="e">
        <f ca="1">IF(AND($D19&lt;&gt;0,_xlfn.XLOOKUP($B19,'PW_MLG GRADE 10'!$B$7:$B$31,'PW_MLG GRADE 10'!BC$7:BC$31,"",0,1)="P",
   _xlfn.XLOOKUP($B19,'PW_MLG GRADE 10'!$B$7:$B$31,'PW_MLG GRADE 10'!#REF!,"",0,1)&lt;=TODAY()-MOD(WEEKDAY(TODAY(),2)-5,7)),$D19,0)</f>
        <v>#REF!</v>
      </c>
      <c r="CA69" s="65" t="e">
        <f ca="1">IF(AND($D19&lt;&gt;0,_xlfn.XLOOKUP($B19,'PW_MLG GRADE 10'!$B$7:$B$31,'PW_MLG GRADE 10'!BD$7:BD$31,"",0,1)="P",
   _xlfn.XLOOKUP($B19,'PW_MLG GRADE 10'!$B$7:$B$31,'PW_MLG GRADE 10'!#REF!,"",0,1)&lt;=TODAY()-MOD(WEEKDAY(TODAY(),2)-5,7)),$D19,0)</f>
        <v>#REF!</v>
      </c>
      <c r="CB69" s="65" t="e">
        <f ca="1">IF(AND($D19&lt;&gt;0,_xlfn.XLOOKUP($B19,'PW_MLG GRADE 10'!$B$7:$B$31,'PW_MLG GRADE 10'!BE$7:BE$31,"",0,1)="P",
   _xlfn.XLOOKUP($B19,'PW_MLG GRADE 10'!$B$7:$B$31,'PW_MLG GRADE 10'!#REF!,"",0,1)&lt;=TODAY()-MOD(WEEKDAY(TODAY(),2)-5,7)),$D19,0)</f>
        <v>#REF!</v>
      </c>
      <c r="CC69" s="65" t="e">
        <f ca="1">IF(AND($D19&lt;&gt;0,_xlfn.XLOOKUP($B19,'PW_MLG GRADE 10'!$B$7:$B$31,'PW_MLG GRADE 10'!BF$7:BF$31,"",0,1)="P",
   _xlfn.XLOOKUP($B19,'PW_MLG GRADE 10'!$B$7:$B$31,'PW_MLG GRADE 10'!#REF!,"",0,1)&lt;=TODAY()-MOD(WEEKDAY(TODAY(),2)-5,7)),$D19,0)</f>
        <v>#REF!</v>
      </c>
      <c r="CD69" s="65" t="e">
        <f ca="1">IF(AND($D19&lt;&gt;0,_xlfn.XLOOKUP($B19,'PW_MLG GRADE 10'!$B$7:$B$31,'PW_MLG GRADE 10'!BG$7:BG$31,"",0,1)="P",
   _xlfn.XLOOKUP($B19,'PW_MLG GRADE 10'!$B$7:$B$31,'PW_MLG GRADE 10'!#REF!,"",0,1)&lt;=TODAY()-MOD(WEEKDAY(TODAY(),2)-5,7)),$D19,0)</f>
        <v>#REF!</v>
      </c>
      <c r="CE69" s="67">
        <f ca="1">IF(AND($D19&lt;&gt;0,_xlfn.XLOOKUP($B19,'PW_CMI GRADE 10'!$B$7:$B$31,'PW_CMI GRADE 10'!AY$7:AY$31,"",0,1)="P",
   _xlfn.XLOOKUP($B19,'PW_CMI GRADE 10'!$B$7:$B$31,'PW_CMI GRADE 10'!$U$7:$U$31,"",0,1)&lt;=TODAY()-MOD(WEEKDAY(TODAY(),2)-5,7)),$D19,0)</f>
        <v>0</v>
      </c>
      <c r="CF69" s="67">
        <f ca="1">IF(AND($D19&lt;&gt;0,_xlfn.XLOOKUP($B19,'PW_CMI GRADE 10'!$B$7:$B$31,'PW_CMI GRADE 10'!AZ$7:AZ$31,"",0,1)="P",
   _xlfn.XLOOKUP($B19,'PW_CMI GRADE 10'!$B$7:$B$31,'PW_CMI GRADE 10'!$V$7:$V$31,"",0,1)&lt;=TODAY()-MOD(WEEKDAY(TODAY(),2)-5,7)),$D19,0)</f>
        <v>0</v>
      </c>
      <c r="CG69" s="67">
        <f ca="1">IF(AND($D19&lt;&gt;0,_xlfn.XLOOKUP($B19,'PW_CMI GRADE 10'!$B$7:$B$31,'PW_CMI GRADE 10'!BA$7:BA$31,"",0,1)="P",
   _xlfn.XLOOKUP($B19,'PW_CMI GRADE 10'!$B$7:$B$31,'PW_CMI GRADE 10'!$W$7:$W$31,"",0,1)&lt;=TODAY()-MOD(WEEKDAY(TODAY(),2)-5,7)),$D19,0)</f>
        <v>0</v>
      </c>
      <c r="CH69" s="67">
        <f ca="1">IF(AND($D19&lt;&gt;0,_xlfn.XLOOKUP($B19,'PW_CMI GRADE 10'!$B$7:$B$31,'PW_CMI GRADE 10'!BB$7:BB$31,"",0,1)="P",
   _xlfn.XLOOKUP($B19,'PW_CMI GRADE 10'!$B$7:$B$31,'PW_CMI GRADE 10'!$U$7:$U$31,"",0,1)&lt;=TODAY()-MOD(WEEKDAY(TODAY(),2)-5,7)),$D19,0)</f>
        <v>0</v>
      </c>
      <c r="CI69" s="67">
        <f ca="1">IF(AND($D19&lt;&gt;0,_xlfn.XLOOKUP($B19,'PW_CMI GRADE 10'!$B$7:$B$31,'PW_CMI GRADE 10'!BC$7:BC$31,"",0,1)="P",
   _xlfn.XLOOKUP($B19,'PW_CMI GRADE 10'!$B$7:$B$31,'PW_CMI GRADE 10'!$V$7:$V$31,"",0,1)&lt;=TODAY()-MOD(WEEKDAY(TODAY(),2)-5,7)),$D19,0)</f>
        <v>0</v>
      </c>
      <c r="CJ69" s="67">
        <f ca="1">IF(AND($D19&lt;&gt;0,_xlfn.XLOOKUP($B19,'PW_CMI GRADE 10'!$B$7:$B$31,'PW_CMI GRADE 10'!BD$7:BD$31,"",0,1)="P",
   _xlfn.XLOOKUP($B19,'PW_CMI GRADE 10'!$B$7:$B$31,'PW_CMI GRADE 10'!$W$7:$W$31,"",0,1)&lt;=TODAY()-MOD(WEEKDAY(TODAY(),2)-5,7)),$D19,0)</f>
        <v>0</v>
      </c>
      <c r="CK69" s="67">
        <f ca="1">IF(AND($D19&lt;&gt;0,_xlfn.XLOOKUP($B19,'PW_CMI GRADE 10'!$B$7:$B$31,'PW_CMI GRADE 10'!BE$7:BE$31,"",0,1)="P",
   _xlfn.XLOOKUP($B19,'PW_CMI GRADE 10'!$B$7:$B$31,'PW_CMI GRADE 10'!$U$7:$U$31,"",0,1)&lt;=TODAY()-MOD(WEEKDAY(TODAY(),2)-5,7)),$D19,0)</f>
        <v>0</v>
      </c>
      <c r="CL69" s="67">
        <f ca="1">IF(AND($D19&lt;&gt;0,_xlfn.XLOOKUP($B19,'PW_CMI GRADE 10'!$B$7:$B$31,'PW_CMI GRADE 10'!BF$7:BF$31,"",0,1)="P",
   _xlfn.XLOOKUP($B19,'PW_CMI GRADE 10'!$B$7:$B$31,'PW_CMI GRADE 10'!$V$7:$V$31,"",0,1)&lt;=TODAY()-MOD(WEEKDAY(TODAY(),2)-5,7)),$D19,0)</f>
        <v>0</v>
      </c>
      <c r="CM69" s="67">
        <f ca="1">IF(AND($D19&lt;&gt;0,_xlfn.XLOOKUP($B19,'PW_CMI GRADE 10'!$B$7:$B$31,'PW_CMI GRADE 10'!BG$7:BG$31,"",0,1)="P",
   _xlfn.XLOOKUP($B19,'PW_CMI GRADE 10'!$B$7:$B$31,'PW_CMI GRADE 10'!$W$7:$W$31,"",0,1)&lt;=TODAY()-MOD(WEEKDAY(TODAY(),2)-5,7)),$D19,0)</f>
        <v>0</v>
      </c>
      <c r="CN69" s="67">
        <f ca="1">IF(AND($D19&lt;&gt;0,_xlfn.XLOOKUP($B19,'PW_CMI GRADE 10'!$B$7:$B$31,'PW_CMI GRADE 10'!BH$7:BH$31,"",0,1)="P",
   _xlfn.XLOOKUP($B19,'PW_CMI GRADE 10'!$B$7:$B$31,'PW_CMI GRADE 10'!$U$7:$U$31,"",0,1)&lt;=TODAY()-MOD(WEEKDAY(TODAY(),2)-5,7)),$D19,0)</f>
        <v>0</v>
      </c>
      <c r="CO69" s="67">
        <f ca="1">IF(AND($D19&lt;&gt;0,_xlfn.XLOOKUP($B19,'PW_CMI GRADE 10'!$B$7:$B$31,'PW_CMI GRADE 10'!BI$7:BI$31,"",0,1)="P",
   _xlfn.XLOOKUP($B19,'PW_CMI GRADE 10'!$B$7:$B$31,'PW_CMI GRADE 10'!$V$7:$V$31,"",0,1)&lt;=TODAY()-MOD(WEEKDAY(TODAY(),2)-5,7)),$D19,0)</f>
        <v>0</v>
      </c>
      <c r="CP69" s="67">
        <f ca="1">IF(AND($D19&lt;&gt;0,_xlfn.XLOOKUP($B19,'PW_CMI GRADE 10'!$B$7:$B$31,'PW_CMI GRADE 10'!BJ$7:BJ$31,"",0,1)="P",
   _xlfn.XLOOKUP($B19,'PW_CMI GRADE 10'!$B$7:$B$31,'PW_CMI GRADE 10'!$W$7:$W$31,"",0,1)&lt;=TODAY()-MOD(WEEKDAY(TODAY(),2)-5,7)),$D19,0)</f>
        <v>0</v>
      </c>
      <c r="CQ69" s="67">
        <f ca="1">IF(AND($D19&lt;&gt;0,_xlfn.XLOOKUP($B19,'PW_CMI GRADE 10'!$B$7:$B$31,'PW_CMI GRADE 10'!BK$7:BK$31,"",0,1)="P",
   _xlfn.XLOOKUP($B19,'PW_CMI GRADE 10'!$B$7:$B$31,'PW_CMI GRADE 10'!$U$7:$U$31,"",0,1)&lt;=TODAY()-MOD(WEEKDAY(TODAY(),2)-5,7)),$D19,0)</f>
        <v>0</v>
      </c>
      <c r="CR69" s="67">
        <f ca="1">IF(AND($D19&lt;&gt;0,_xlfn.XLOOKUP($B19,'PW_CMI GRADE 10'!$B$7:$B$31,'PW_CMI GRADE 10'!BL$7:BL$31,"",0,1)="P",
   _xlfn.XLOOKUP($B19,'PW_CMI GRADE 10'!$B$7:$B$31,'PW_CMI GRADE 10'!$V$7:$V$31,"",0,1)&lt;=TODAY()-MOD(WEEKDAY(TODAY(),2)-5,7)),$D19,0)</f>
        <v>0</v>
      </c>
      <c r="CS69" s="67">
        <f ca="1">IF(AND($D19&lt;&gt;0,_xlfn.XLOOKUP($B19,'PW_CMI GRADE 10'!$B$7:$B$31,'PW_CMI GRADE 10'!BM$7:BM$31,"",0,1)="P",
   _xlfn.XLOOKUP($B19,'PW_CMI GRADE 10'!$B$7:$B$31,'PW_CMI GRADE 10'!$W$7:$W$31,"",0,1)&lt;=TODAY()-MOD(WEEKDAY(TODAY(),2)-5,7)),$D19,0)</f>
        <v>0</v>
      </c>
      <c r="CT69" s="67">
        <f ca="1">IF(AND($D19&lt;&gt;0,_xlfn.XLOOKUP($B19,'PW_CMI GRADE 10'!$B$7:$B$31,'PW_CMI GRADE 10'!BN$7:BN$31,"",0,1)="P",
   _xlfn.XLOOKUP($B19,'PW_CMI GRADE 10'!$B$7:$B$31,'PW_CMI GRADE 10'!$U$7:$U$31,"",0,1)&lt;=TODAY()-MOD(WEEKDAY(TODAY(),2)-5,7)),$D19,0)</f>
        <v>0</v>
      </c>
      <c r="CU69" s="67">
        <f ca="1">IF(AND($D19&lt;&gt;0,_xlfn.XLOOKUP($B19,'PW_CMI GRADE 10'!$B$7:$B$31,'PW_CMI GRADE 10'!BO$7:BO$31,"",0,1)="P",
   _xlfn.XLOOKUP($B19,'PW_CMI GRADE 10'!$B$7:$B$31,'PW_CMI GRADE 10'!$V$7:$V$31,"",0,1)&lt;=TODAY()-MOD(WEEKDAY(TODAY(),2)-5,7)),$D19,0)</f>
        <v>0</v>
      </c>
      <c r="CV69" s="67">
        <f ca="1">IF(AND($D19&lt;&gt;0,_xlfn.XLOOKUP($B19,'PW_CMI GRADE 10'!$B$7:$B$31,'PW_CMI GRADE 10'!BP$7:BP$31,"",0,1)="P",
   _xlfn.XLOOKUP($B19,'PW_CMI GRADE 10'!$B$7:$B$31,'PW_CMI GRADE 10'!$W$7:$W$31,"",0,1)&lt;=TODAY()-MOD(WEEKDAY(TODAY(),2)-5,7)),$D19,0)</f>
        <v>0</v>
      </c>
      <c r="CW69" s="62" t="e">
        <f t="shared" ca="1" si="132"/>
        <v>#REF!</v>
      </c>
      <c r="CX69" s="62" t="e">
        <f t="shared" ca="1" si="69"/>
        <v>#REF!</v>
      </c>
      <c r="CY69" s="62" t="e">
        <f t="shared" ca="1" si="70"/>
        <v>#REF!</v>
      </c>
      <c r="CZ69" s="62" t="e">
        <f t="shared" ca="1" si="71"/>
        <v>#REF!</v>
      </c>
      <c r="DA69" s="62" t="e">
        <f t="shared" ca="1" si="72"/>
        <v>#REF!</v>
      </c>
      <c r="DB69" s="62" t="e">
        <f t="shared" ca="1" si="73"/>
        <v>#REF!</v>
      </c>
      <c r="DC69" s="62" t="e">
        <f t="shared" ca="1" si="74"/>
        <v>#REF!</v>
      </c>
      <c r="DD69" s="62" t="e">
        <f t="shared" ca="1" si="75"/>
        <v>#REF!</v>
      </c>
      <c r="DE69" s="62" t="e">
        <f t="shared" ca="1" si="76"/>
        <v>#REF!</v>
      </c>
      <c r="DF69" s="62" t="e">
        <f t="shared" ca="1" si="77"/>
        <v>#REF!</v>
      </c>
      <c r="DG69" s="62" t="e">
        <f t="shared" ca="1" si="78"/>
        <v>#REF!</v>
      </c>
      <c r="DH69" s="62" t="e">
        <f t="shared" ca="1" si="79"/>
        <v>#REF!</v>
      </c>
      <c r="DI69" s="62" t="e">
        <f t="shared" ca="1" si="80"/>
        <v>#REF!</v>
      </c>
      <c r="DJ69" s="62" t="e">
        <f t="shared" ca="1" si="81"/>
        <v>#REF!</v>
      </c>
      <c r="DK69" s="62" t="e">
        <f t="shared" ca="1" si="82"/>
        <v>#REF!</v>
      </c>
      <c r="DL69" s="62" t="e">
        <f t="shared" ca="1" si="83"/>
        <v>#REF!</v>
      </c>
      <c r="DM69" s="62" t="e">
        <f t="shared" ca="1" si="84"/>
        <v>#REF!</v>
      </c>
      <c r="DN69" s="62" t="e">
        <f t="shared" ca="1" si="85"/>
        <v>#REF!</v>
      </c>
      <c r="DO69" s="62" t="e">
        <f t="shared" ca="1" si="86"/>
        <v>#REF!</v>
      </c>
      <c r="DP69" s="62" t="e">
        <f t="shared" ca="1" si="87"/>
        <v>#REF!</v>
      </c>
      <c r="DQ69" s="62" t="e">
        <f t="shared" ca="1" si="88"/>
        <v>#REF!</v>
      </c>
      <c r="DR69" s="62" t="e">
        <f t="shared" ca="1" si="89"/>
        <v>#REF!</v>
      </c>
      <c r="DS69" s="62" t="e">
        <f t="shared" ca="1" si="90"/>
        <v>#REF!</v>
      </c>
      <c r="DT69" s="62" t="e">
        <f t="shared" ca="1" si="91"/>
        <v>#REF!</v>
      </c>
      <c r="DU69" s="62" t="e">
        <f t="shared" ca="1" si="92"/>
        <v>#REF!</v>
      </c>
      <c r="DV69" s="62" t="e">
        <f t="shared" ca="1" si="93"/>
        <v>#REF!</v>
      </c>
      <c r="DW69" s="62" t="e">
        <f t="shared" ca="1" si="94"/>
        <v>#REF!</v>
      </c>
      <c r="DX69" s="62" t="e">
        <f t="shared" ca="1" si="95"/>
        <v>#REF!</v>
      </c>
      <c r="DY69" s="62" t="e">
        <f t="shared" ca="1" si="96"/>
        <v>#REF!</v>
      </c>
      <c r="DZ69" s="62" t="e">
        <f t="shared" ca="1" si="97"/>
        <v>#REF!</v>
      </c>
      <c r="EA69" s="63" t="e">
        <f t="shared" ca="1" si="98"/>
        <v>#REF!</v>
      </c>
      <c r="EB69" s="63" t="e">
        <f t="shared" ca="1" si="99"/>
        <v>#REF!</v>
      </c>
      <c r="EC69" s="63" t="e">
        <f t="shared" ca="1" si="100"/>
        <v>#REF!</v>
      </c>
      <c r="ED69" s="63" t="e">
        <f t="shared" ca="1" si="101"/>
        <v>#REF!</v>
      </c>
      <c r="EE69" s="63" t="e">
        <f t="shared" ca="1" si="102"/>
        <v>#REF!</v>
      </c>
      <c r="EF69" s="63" t="e">
        <f t="shared" ca="1" si="103"/>
        <v>#REF!</v>
      </c>
      <c r="EG69" s="63" t="e">
        <f t="shared" ca="1" si="104"/>
        <v>#REF!</v>
      </c>
      <c r="EH69" s="63" t="e">
        <f t="shared" ca="1" si="105"/>
        <v>#REF!</v>
      </c>
      <c r="EI69" s="63" t="e">
        <f t="shared" ca="1" si="106"/>
        <v>#REF!</v>
      </c>
      <c r="EJ69" s="63" t="e">
        <f t="shared" ca="1" si="107"/>
        <v>#REF!</v>
      </c>
      <c r="EK69" s="63" t="e">
        <f t="shared" ca="1" si="108"/>
        <v>#REF!</v>
      </c>
      <c r="EL69" s="63" t="e">
        <f t="shared" ca="1" si="109"/>
        <v>#REF!</v>
      </c>
      <c r="EM69" s="63" t="e">
        <f t="shared" ca="1" si="110"/>
        <v>#REF!</v>
      </c>
      <c r="EN69" s="63" t="e">
        <f t="shared" ca="1" si="111"/>
        <v>#REF!</v>
      </c>
      <c r="EO69" s="63" t="e">
        <f t="shared" ca="1" si="112"/>
        <v>#REF!</v>
      </c>
      <c r="EP69" s="63" t="e">
        <f t="shared" ca="1" si="113"/>
        <v>#REF!</v>
      </c>
      <c r="ET69" t="str">
        <v>6A.2</v>
      </c>
      <c r="EU69" s="38" t="e">
        <f t="shared" ca="1" si="114"/>
        <v>#REF!</v>
      </c>
      <c r="EV69" s="38" t="e">
        <f t="shared" ca="1" si="115"/>
        <v>#REF!</v>
      </c>
      <c r="EW69" s="38" t="e">
        <f t="shared" ca="1" si="116"/>
        <v>#REF!</v>
      </c>
      <c r="EX69" s="38" t="e">
        <f t="shared" ca="1" si="117"/>
        <v>#REF!</v>
      </c>
      <c r="EY69" s="38" t="e">
        <f t="shared" ca="1" si="118"/>
        <v>#REF!</v>
      </c>
      <c r="EZ69" s="38" t="e">
        <f t="shared" ca="1" si="119"/>
        <v>#REF!</v>
      </c>
      <c r="FA69" s="38" t="e">
        <f t="shared" ca="1" si="120"/>
        <v>#REF!</v>
      </c>
      <c r="FB69" s="38" t="e">
        <f t="shared" ca="1" si="121"/>
        <v>#REF!</v>
      </c>
      <c r="FC69" s="38" t="e">
        <f t="shared" ca="1" si="122"/>
        <v>#REF!</v>
      </c>
      <c r="FD69" s="38" t="e">
        <f t="shared" ca="1" si="123"/>
        <v>#REF!</v>
      </c>
      <c r="FE69" s="38">
        <f t="shared" ca="1" si="133"/>
        <v>0</v>
      </c>
      <c r="FF69" s="38" t="e">
        <f t="shared" ca="1" si="124"/>
        <v>#REF!</v>
      </c>
      <c r="FG69" s="38" t="e">
        <f t="shared" ca="1" si="125"/>
        <v>#REF!</v>
      </c>
      <c r="FH69" s="38" t="e">
        <f t="shared" ca="1" si="126"/>
        <v>#REF!</v>
      </c>
      <c r="FI69" s="38" t="e">
        <f t="shared" ca="1" si="127"/>
        <v>#REF!</v>
      </c>
      <c r="FJ69" s="38" t="e">
        <f t="shared" ca="1" si="128"/>
        <v>#REF!</v>
      </c>
      <c r="FK69" s="38" t="e">
        <f t="shared" ca="1" si="129"/>
        <v>#REF!</v>
      </c>
      <c r="FL69" s="38">
        <f t="shared" ca="1" si="130"/>
        <v>0</v>
      </c>
      <c r="FM69" s="38">
        <v>1</v>
      </c>
      <c r="FN69" s="38">
        <f t="shared" si="134"/>
        <v>0.66666666666666663</v>
      </c>
      <c r="FO69" s="38">
        <f t="shared" si="135"/>
        <v>0.33333333333333331</v>
      </c>
    </row>
    <row r="70" spans="1:171">
      <c r="A70" s="64" t="str">
        <f t="shared" si="131"/>
        <v>3A.3</v>
      </c>
      <c r="B70" s="64" t="s">
        <v>51</v>
      </c>
      <c r="C70" s="30">
        <v>8</v>
      </c>
      <c r="D70" s="30"/>
      <c r="E70" s="65">
        <f ca="1">IF(AND($D20&lt;&gt;0,_xlfn.XLOOKUP($B20,'TH_MLG GRADE 10'!$B$7:$B$49,'TH_MLG GRADE 10'!C$7:C$49,"",0,1)="P",
   _xlfn.XLOOKUP($B20,'TH_MLG GRADE 10'!$B$7:$B$49,'TH_MLG GRADE 10'!$BK$7:$BK$49,"",0,1)&lt;=TODAY()-MOD(WEEKDAY(TODAY(),2)-5,7)),$D20,0)</f>
        <v>0</v>
      </c>
      <c r="F70" s="65">
        <f ca="1">IF(AND($D20&lt;&gt;0,_xlfn.XLOOKUP($B20,'TH_MLG GRADE 10'!$B$7:$B$49,'TH_MLG GRADE 10'!D$7:D$49,"",0,1)="P",
   _xlfn.XLOOKUP($B20,'TH_MLG GRADE 10'!$B$7:$B$49,'TH_MLG GRADE 10'!$BL$7:$BL$49,"",0,1)&lt;=TODAY()-MOD(WEEKDAY(TODAY(),2)-5,7)),$D20,0)</f>
        <v>0</v>
      </c>
      <c r="G70" s="65">
        <f ca="1">IF(AND($D20&lt;&gt;0,_xlfn.XLOOKUP($B20,'TH_MLG GRADE 10'!$B$7:$B$49,'TH_MLG GRADE 10'!E$7:E$49,"",0,1)="P",
   _xlfn.XLOOKUP($B20,'TH_MLG GRADE 10'!$B$7:$B$49,'TH_MLG GRADE 10'!$BM$7:$BM$49,"",0,1)&lt;=TODAY()-MOD(WEEKDAY(TODAY(),2)-5,7)),$D20,0)</f>
        <v>0</v>
      </c>
      <c r="H70" s="65">
        <f ca="1">IF(AND($D20&lt;&gt;0,_xlfn.XLOOKUP($B20,'TH_MLG GRADE 10'!$B$7:$B$49,'TH_MLG GRADE 10'!I$7:I$49,"",0,1)="P",
   _xlfn.XLOOKUP($B20,'TH_MLG GRADE 10'!$B$7:$B$49,'TH_MLG GRADE 10'!$BK$7:$BK$49,"",0,1)&lt;=TODAY()-MOD(WEEKDAY(TODAY(),2)-5,7)),$D20,0)</f>
        <v>0</v>
      </c>
      <c r="I70" s="65">
        <f ca="1">IF(AND($D20&lt;&gt;0,_xlfn.XLOOKUP($B20,'TH_MLG GRADE 10'!$B$7:$B$49,'TH_MLG GRADE 10'!J$7:J$49,"",0,1)="P",
   _xlfn.XLOOKUP($B20,'TH_MLG GRADE 10'!$B$7:$B$49,'TH_MLG GRADE 10'!$BL$7:$BL$49,"",0,1)&lt;=TODAY()-MOD(WEEKDAY(TODAY(),2)-5,7)),$D20,0)</f>
        <v>0</v>
      </c>
      <c r="J70" s="65">
        <f ca="1">IF(AND($D20&lt;&gt;0,_xlfn.XLOOKUP($B20,'TH_MLG GRADE 10'!$B$7:$B$49,'TH_MLG GRADE 10'!K$7:K$49,"",0,1)="P",
   _xlfn.XLOOKUP($B20,'TH_MLG GRADE 10'!$B$7:$B$49,'TH_MLG GRADE 10'!$BM$7:$BM$49,"",0,1)&lt;=TODAY()-MOD(WEEKDAY(TODAY(),2)-5,7)),$D20,0)</f>
        <v>0</v>
      </c>
      <c r="K70" s="65">
        <f ca="1">IF(AND($D20&lt;&gt;0,_xlfn.XLOOKUP($B20,'TH_MLG GRADE 10'!$B$7:$B$49,'TH_MLG GRADE 10'!O$7:O$49,"",0,1)="P",
   _xlfn.XLOOKUP($B20,'TH_MLG GRADE 10'!$B$7:$B$49,'TH_MLG GRADE 10'!$BK$7:$BK$49,"",0,1)&lt;=TODAY()-MOD(WEEKDAY(TODAY(),2)-5,7)),$D20,0)</f>
        <v>0</v>
      </c>
      <c r="L70" s="65">
        <f ca="1">IF(AND($D20&lt;&gt;0,_xlfn.XLOOKUP($B20,'TH_MLG GRADE 10'!$B$7:$B$49,'TH_MLG GRADE 10'!P$7:P$49,"",0,1)="P",
   _xlfn.XLOOKUP($B20,'TH_MLG GRADE 10'!$B$7:$B$49,'TH_MLG GRADE 10'!$BL$7:$BL$49,"",0,1)&lt;=TODAY()-MOD(WEEKDAY(TODAY(),2)-5,7)),$D20,0)</f>
        <v>0</v>
      </c>
      <c r="M70" s="65">
        <f ca="1">IF(AND($D20&lt;&gt;0,_xlfn.XLOOKUP($B20,'TH_MLG GRADE 10'!$B$7:$B$49,'TH_MLG GRADE 10'!Q$7:Q$49,"",0,1)="P",
   _xlfn.XLOOKUP($B20,'TH_MLG GRADE 10'!$B$7:$B$49,'TH_MLG GRADE 10'!$BM$7:$BM$49,"",0,1)&lt;=TODAY()-MOD(WEEKDAY(TODAY(),2)-5,7)),$D20,0)</f>
        <v>0</v>
      </c>
      <c r="N70" s="65">
        <f ca="1">IF(AND($D20&lt;&gt;0,_xlfn.XLOOKUP($B20,'TH_MLG GRADE 10'!$B$7:$B$49,'TH_MLG GRADE 10'!AA$7:AA$49,"",0,1)="P",
   _xlfn.XLOOKUP($B20,'TH_MLG GRADE 10'!$B$7:$B$49,'TH_MLG GRADE 10'!$BK$7:$BK$49,"",0,1)&lt;=TODAY()-MOD(WEEKDAY(TODAY(),2)-5,7)),$D20,0)</f>
        <v>0</v>
      </c>
      <c r="O70" s="65">
        <f ca="1">IF(AND($D20&lt;&gt;0,_xlfn.XLOOKUP($B20,'TH_MLG GRADE 10'!$B$7:$B$49,'TH_MLG GRADE 10'!AB$7:AB$49,"",0,1)="P",
   _xlfn.XLOOKUP($B20,'TH_MLG GRADE 10'!$B$7:$B$49,'TH_MLG GRADE 10'!$BL$7:$BL$49,"",0,1)&lt;=TODAY()-MOD(WEEKDAY(TODAY(),2)-5,7)),$D20,0)</f>
        <v>0</v>
      </c>
      <c r="P70" s="65">
        <f ca="1">IF(AND($D20&lt;&gt;0,_xlfn.XLOOKUP($B20,'TH_MLG GRADE 10'!$B$7:$B$49,'TH_MLG GRADE 10'!AC$7:AC$49,"",0,1)="P",
   _xlfn.XLOOKUP($B20,'TH_MLG GRADE 10'!$B$7:$B$49,'TH_MLG GRADE 10'!$BM$7:$BM$49,"",0,1)&lt;=TODAY()-MOD(WEEKDAY(TODAY(),2)-5,7)),$D20,0)</f>
        <v>0</v>
      </c>
      <c r="Q70" s="65">
        <f ca="1">IF(AND($D20&lt;&gt;0,_xlfn.XLOOKUP($B20,'TH_MLG GRADE 10'!$B$7:$B$49,'TH_MLG GRADE 10'!AG$7:AG$49,"",0,1)="P",
   _xlfn.XLOOKUP($B20,'TH_MLG GRADE 10'!$B$7:$B$49,'TH_MLG GRADE 10'!$BK$7:$BK$49,"",0,1)&lt;=TODAY()-MOD(WEEKDAY(TODAY(),2)-5,7)),$D20,0)</f>
        <v>0</v>
      </c>
      <c r="R70" s="65">
        <f ca="1">IF(AND($D20&lt;&gt;0,_xlfn.XLOOKUP($B20,'TH_MLG GRADE 10'!$B$7:$B$49,'TH_MLG GRADE 10'!AH$7:AH$49,"",0,1)="P",
   _xlfn.XLOOKUP($B20,'TH_MLG GRADE 10'!$B$7:$B$49,'TH_MLG GRADE 10'!$BL$7:$BL$49,"",0,1)&lt;=TODAY()-MOD(WEEKDAY(TODAY(),2)-5,7)),$D20,0)</f>
        <v>0</v>
      </c>
      <c r="S70" s="65">
        <f ca="1">IF(AND($D20&lt;&gt;0,_xlfn.XLOOKUP($B20,'TH_MLG GRADE 10'!$B$7:$B$49,'TH_MLG GRADE 10'!AI$7:AI$49,"",0,1)="P",
   _xlfn.XLOOKUP($B20,'TH_MLG GRADE 10'!$B$7:$B$49,'TH_MLG GRADE 10'!$BM$7:$BM$49,"",0,1)&lt;=TODAY()-MOD(WEEKDAY(TODAY(),2)-5,7)),$D20,0)</f>
        <v>0</v>
      </c>
      <c r="T70" s="65">
        <f ca="1">IF(AND($D20&lt;&gt;0,_xlfn.XLOOKUP($B20,'TH_MLG GRADE 10'!$B$7:$B$49,'TH_MLG GRADE 10'!AM$7:AM$49,"",0,1)="P",
   _xlfn.XLOOKUP($B20,'TH_MLG GRADE 10'!$B$7:$B$49,'TH_MLG GRADE 10'!$BK$7:$BK$49,"",0,1)&lt;=TODAY()-MOD(WEEKDAY(TODAY(),2)-5,7)),$D20,0)</f>
        <v>0</v>
      </c>
      <c r="U70" s="65">
        <f ca="1">IF(AND($D20&lt;&gt;0,_xlfn.XLOOKUP($B20,'TH_MLG GRADE 10'!$B$7:$B$49,'TH_MLG GRADE 10'!AN$7:AN$49,"",0,1)="P",
   _xlfn.XLOOKUP($B20,'TH_MLG GRADE 10'!$B$7:$B$49,'TH_MLG GRADE 10'!$BL$7:$BL$49,"",0,1)&lt;=TODAY()-MOD(WEEKDAY(TODAY(),2)-5,7)),$D20,0)</f>
        <v>0</v>
      </c>
      <c r="V70" s="65">
        <f ca="1">IF(AND($D20&lt;&gt;0,_xlfn.XLOOKUP($B20,'TH_MLG GRADE 10'!$B$7:$B$49,'TH_MLG GRADE 10'!AO$7:AO$49,"",0,1)="P",
   _xlfn.XLOOKUP($B20,'TH_MLG GRADE 10'!$B$7:$B$49,'TH_MLG GRADE 10'!$BM$7:$BM$49,"",0,1)&lt;=TODAY()-MOD(WEEKDAY(TODAY(),2)-5,7)),$D20,0)</f>
        <v>0</v>
      </c>
      <c r="W70" s="65">
        <f ca="1">IF(AND($D20&lt;&gt;0,_xlfn.XLOOKUP($B20,'TH_MLG GRADE 10'!$B$7:$B$49,'TH_MLG GRADE 10'!AY$7:AY$49,"",0,1)="P",
   _xlfn.XLOOKUP($B20,'TH_MLG GRADE 10'!$B$7:$B$49,'TH_MLG GRADE 10'!$BK$7:$BK$49,"",0,1)&lt;=TODAY()-MOD(WEEKDAY(TODAY(),2)-5,7)),$D20,0)</f>
        <v>0</v>
      </c>
      <c r="X70" s="65">
        <f ca="1">IF(AND($D20&lt;&gt;0,_xlfn.XLOOKUP($B20,'TH_MLG GRADE 10'!$B$7:$B$49,'TH_MLG GRADE 10'!AZ$7:AZ$49,"",0,1)="P",
   _xlfn.XLOOKUP($B20,'TH_MLG GRADE 10'!$B$7:$B$49,'TH_MLG GRADE 10'!$BL$7:$BL$49,"",0,1)&lt;=TODAY()-MOD(WEEKDAY(TODAY(),2)-5,7)),$D20,0)</f>
        <v>0</v>
      </c>
      <c r="Y70" s="65">
        <f ca="1">IF(AND($D20&lt;&gt;0,_xlfn.XLOOKUP($B20,'TH_MLG GRADE 10'!$B$7:$B$49,'TH_MLG GRADE 10'!BA$7:BA$49,"",0,1)="P",
   _xlfn.XLOOKUP($B20,'TH_MLG GRADE 10'!$B$7:$B$49,'TH_MLG GRADE 10'!$BM$7:$BM$49,"",0,1)&lt;=TODAY()-MOD(WEEKDAY(TODAY(),2)-5,7)),$D20,0)</f>
        <v>0</v>
      </c>
      <c r="Z70" s="65">
        <f ca="1">IF(AND($D20&lt;&gt;0,_xlfn.XLOOKUP($B20,'TH_MLG GRADE 10'!$B$7:$B$49,'TH_MLG GRADE 10'!BE$7:BE$49,"",0,1)="P",
   _xlfn.XLOOKUP($B20,'TH_MLG GRADE 10'!$B$7:$B$49,'TH_MLG GRADE 10'!$BK$7:$BK$49,"",0,1)&lt;=TODAY()-MOD(WEEKDAY(TODAY(),2)-5,7)),$D20,0)</f>
        <v>0</v>
      </c>
      <c r="AA70" s="65">
        <f ca="1">IF(AND($D20&lt;&gt;0,_xlfn.XLOOKUP($B20,'TH_MLG GRADE 10'!$B$7:$B$49,'TH_MLG GRADE 10'!BF$7:BF$49,"",0,1)="P",
   _xlfn.XLOOKUP($B20,'TH_MLG GRADE 10'!$B$7:$B$49,'TH_MLG GRADE 10'!$BL$7:$BL$49,"",0,1)&lt;=TODAY()-MOD(WEEKDAY(TODAY(),2)-5,7)),$D20,0)</f>
        <v>0</v>
      </c>
      <c r="AB70" s="65">
        <f ca="1">IF(AND($D20&lt;&gt;0,_xlfn.XLOOKUP($B20,'TH_MLG GRADE 10'!$B$7:$B$49,'TH_MLG GRADE 10'!BG$7:BG$49,"",0,1)="P",
   _xlfn.XLOOKUP($B20,'TH_MLG GRADE 10'!$B$7:$B$49,'TH_MLG GRADE 10'!$BM$7:$BM$49,"",0,1)&lt;=TODAY()-MOD(WEEKDAY(TODAY(),2)-5,7)),$D20,0)</f>
        <v>0</v>
      </c>
      <c r="AC70" s="65" t="e">
        <f ca="1">IF(AND($D20&lt;&gt;0,_xlfn.XLOOKUP($B20,'TH_MLG GRADE 10'!$B$7:$B$49,'TH_MLG GRADE 10'!#REF!,"",0,1)="P",
   _xlfn.XLOOKUP($B20,'TH_MLG GRADE 10'!$B$7:$B$49,'TH_MLG GRADE 10'!$BK$7:$BK$49,"",0,1)&lt;=TODAY()-MOD(WEEKDAY(TODAY(),2)-5,7)),$D20,0)</f>
        <v>#REF!</v>
      </c>
      <c r="AD70" s="65" t="e">
        <f ca="1">IF(AND($D20&lt;&gt;0,_xlfn.XLOOKUP($B20,'TH_MLG GRADE 10'!$B$7:$B$49,'TH_MLG GRADE 10'!#REF!,"",0,1)="P",
   _xlfn.XLOOKUP($B20,'TH_MLG GRADE 10'!$B$7:$B$49,'TH_MLG GRADE 10'!$BL$7:$BL$49,"",0,1)&lt;=TODAY()-MOD(WEEKDAY(TODAY(),2)-5,7)),$D20,0)</f>
        <v>#REF!</v>
      </c>
      <c r="AE70" s="65" t="e">
        <f ca="1">IF(AND($D20&lt;&gt;0,_xlfn.XLOOKUP($B20,'TH_MLG GRADE 10'!$B$7:$B$49,'TH_MLG GRADE 10'!#REF!,"",0,1)="P",
   _xlfn.XLOOKUP($B20,'TH_MLG GRADE 10'!$B$7:$B$49,'TH_MLG GRADE 10'!$BM$7:$BM$49,"",0,1)&lt;=TODAY()-MOD(WEEKDAY(TODAY(),2)-5,7)),$D20,0)</f>
        <v>#REF!</v>
      </c>
      <c r="AF70" s="65" t="e">
        <f ca="1">IF(AND($D20&lt;&gt;0,_xlfn.XLOOKUP($B20,'TH_MLG GRADE 10'!$B$7:$B$49,'TH_MLG GRADE 10'!#REF!,"",0,1)="P",
   _xlfn.XLOOKUP($B20,'TH_MLG GRADE 10'!$B$7:$B$49,'TH_MLG GRADE 10'!$BK$7:$BK$49,"",0,1)&lt;=TODAY()-MOD(WEEKDAY(TODAY(),2)-5,7)),$D20,0)</f>
        <v>#REF!</v>
      </c>
      <c r="AG70" s="65" t="e">
        <f ca="1">IF(AND($D20&lt;&gt;0,_xlfn.XLOOKUP($B20,'TH_MLG GRADE 10'!$B$7:$B$49,'TH_MLG GRADE 10'!#REF!,"",0,1)="P",
   _xlfn.XLOOKUP($B20,'TH_MLG GRADE 10'!$B$7:$B$49,'TH_MLG GRADE 10'!$BL$7:$BL$49,"",0,1)&lt;=TODAY()-MOD(WEEKDAY(TODAY(),2)-5,7)),$D20,0)</f>
        <v>#REF!</v>
      </c>
      <c r="AH70" s="65" t="e">
        <f ca="1">IF(AND($D20&lt;&gt;0,_xlfn.XLOOKUP($B20,'TH_MLG GRADE 10'!$B$7:$B$49,'TH_MLG GRADE 10'!#REF!,"",0,1)="P",
   _xlfn.XLOOKUP($B20,'TH_MLG GRADE 10'!$B$7:$B$49,'TH_MLG GRADE 10'!$BM$7:$BM$49,"",0,1)&lt;=TODAY()-MOD(WEEKDAY(TODAY(),2)-5,7)),$D20,0)</f>
        <v>#REF!</v>
      </c>
      <c r="AI70" s="67">
        <f ca="1">IF(AND($D20&lt;&gt;0,_xlfn.XLOOKUP($B20,'TH_CMI GRADE 10'!$B$7:$B$49,'TH_CMI GRADE 10'!C$7:C$49,"",0,1)="P",
   _xlfn.XLOOKUP($B20,'TH_CMI GRADE 10'!$B$7:$B$49,'TH_CMI GRADE 10'!$AS$7:$AS$49,"",0,1)&lt;=TODAY()-MOD(WEEKDAY(TODAY(),2)-5,7)),$D20,0)</f>
        <v>0</v>
      </c>
      <c r="AJ70" s="67">
        <f ca="1">IF(AND($D20&lt;&gt;0,_xlfn.XLOOKUP($B20,'TH_CMI GRADE 10'!$B$7:$B$49,'TH_CMI GRADE 10'!D$7:D$49,"",0,1)="P",
   _xlfn.XLOOKUP($B20,'TH_CMI GRADE 10'!$B$7:$B$49,'TH_CMI GRADE 10'!$AT$7:$AT$49,"",0,1)&lt;=TODAY()-MOD(WEEKDAY(TODAY(),2)-5,7)),$D20,0)</f>
        <v>0</v>
      </c>
      <c r="AK70" s="67" t="e">
        <f ca="1">IF(AND($D20&lt;&gt;0,_xlfn.XLOOKUP($B20,'TH_CMI GRADE 10'!$B$7:$B$49,'TH_CMI GRADE 10'!H$7:H$49,"",0,1)="P",
   _xlfn.XLOOKUP($B20,'TH_CMI GRADE 10'!$B$7:$B$49,'TH_CMI GRADE 10'!#REF!,"",0,1)&lt;=TODAY()-MOD(WEEKDAY(TODAY(),2)-5,7)),$D20,0)</f>
        <v>#REF!</v>
      </c>
      <c r="AL70" s="67">
        <f ca="1">IF(AND($D20&lt;&gt;0,_xlfn.XLOOKUP($B20,'TH_CMI GRADE 10'!$B$7:$B$49,'TH_CMI GRADE 10'!I$7:I$49,"",0,1)="P",
   _xlfn.XLOOKUP($B20,'TH_CMI GRADE 10'!$B$7:$B$49,'TH_CMI GRADE 10'!$AS$7:$AS$49,"",0,1)&lt;=TODAY()-MOD(WEEKDAY(TODAY(),2)-5,7)),$D20,0)</f>
        <v>0</v>
      </c>
      <c r="AM70" s="67">
        <f ca="1">IF(AND($D20&lt;&gt;0,_xlfn.XLOOKUP($B20,'TH_CMI GRADE 10'!$B$7:$B$49,'TH_CMI GRADE 10'!J$7:J$49,"",0,1)="P",
   _xlfn.XLOOKUP($B20,'TH_CMI GRADE 10'!$B$7:$B$49,'TH_CMI GRADE 10'!$AT$7:$AT$49,"",0,1)&lt;=TODAY()-MOD(WEEKDAY(TODAY(),2)-5,7)),$D20,0)</f>
        <v>0</v>
      </c>
      <c r="AN70" s="67" t="e">
        <f ca="1">IF(AND($D20&lt;&gt;0,_xlfn.XLOOKUP($B20,'TH_CMI GRADE 10'!$B$7:$B$49,'TH_CMI GRADE 10'!K$7:K$49,"",0,1)="P",
   _xlfn.XLOOKUP($B20,'TH_CMI GRADE 10'!$B$7:$B$49,'TH_CMI GRADE 10'!#REF!,"",0,1)&lt;=TODAY()-MOD(WEEKDAY(TODAY(),2)-5,7)),$D20,0)</f>
        <v>#REF!</v>
      </c>
      <c r="AO70" s="67">
        <f ca="1">IF(AND($D20&lt;&gt;0,_xlfn.XLOOKUP($B20,'TH_CMI GRADE 10'!$B$7:$B$49,'TH_CMI GRADE 10'!O$7:O$49,"",0,1)="P",
   _xlfn.XLOOKUP($B20,'TH_CMI GRADE 10'!$B$7:$B$49,'TH_CMI GRADE 10'!$AS$7:$AS$49,"",0,1)&lt;=TODAY()-MOD(WEEKDAY(TODAY(),2)-5,7)),$D20,0)</f>
        <v>0</v>
      </c>
      <c r="AP70" s="67">
        <f ca="1">IF(AND($D20&lt;&gt;0,_xlfn.XLOOKUP($B20,'TH_CMI GRADE 10'!$B$7:$B$49,'TH_CMI GRADE 10'!P$7:P$49,"",0,1)="P",
   _xlfn.XLOOKUP($B20,'TH_CMI GRADE 10'!$B$7:$B$49,'TH_CMI GRADE 10'!$AT$7:$AT$49,"",0,1)&lt;=TODAY()-MOD(WEEKDAY(TODAY(),2)-5,7)),$D20,0)</f>
        <v>0</v>
      </c>
      <c r="AQ70" s="67" t="e">
        <f ca="1">IF(AND($D20&lt;&gt;0,_xlfn.XLOOKUP($B20,'TH_CMI GRADE 10'!$B$7:$B$49,'TH_CMI GRADE 10'!Q$7:Q$49,"",0,1)="P",
   _xlfn.XLOOKUP($B20,'TH_CMI GRADE 10'!$B$7:$B$49,'TH_CMI GRADE 10'!#REF!,"",0,1)&lt;=TODAY()-MOD(WEEKDAY(TODAY(),2)-5,7)),$D20,0)</f>
        <v>#REF!</v>
      </c>
      <c r="AR70" s="67">
        <f ca="1">IF(AND($D20&lt;&gt;0,_xlfn.XLOOKUP($B20,'TH_CMI GRADE 10'!$B$7:$B$49,'TH_CMI GRADE 10'!U$7:U$49,"",0,1)="P",
   _xlfn.XLOOKUP($B20,'TH_CMI GRADE 10'!$B$7:$B$49,'TH_CMI GRADE 10'!$AS$7:$AS$49,"",0,1)&lt;=TODAY()-MOD(WEEKDAY(TODAY(),2)-5,7)),$D20,0)</f>
        <v>0</v>
      </c>
      <c r="AS70" s="67">
        <f ca="1">IF(AND($D20&lt;&gt;0,_xlfn.XLOOKUP($B20,'TH_CMI GRADE 10'!$B$7:$B$49,'TH_CMI GRADE 10'!V$7:V$49,"",0,1)="P",
   _xlfn.XLOOKUP($B20,'TH_CMI GRADE 10'!$B$7:$B$49,'TH_CMI GRADE 10'!$AT$7:$AT$49,"",0,1)&lt;=TODAY()-MOD(WEEKDAY(TODAY(),2)-5,7)),$D20,0)</f>
        <v>0</v>
      </c>
      <c r="AT70" s="67" t="e">
        <f ca="1">IF(AND($D20&lt;&gt;0,_xlfn.XLOOKUP($B20,'TH_CMI GRADE 10'!$B$7:$B$49,'TH_CMI GRADE 10'!W$7:W$49,"",0,1)="P",
   _xlfn.XLOOKUP($B20,'TH_CMI GRADE 10'!$B$7:$B$49,'TH_CMI GRADE 10'!#REF!,"",0,1)&lt;=TODAY()-MOD(WEEKDAY(TODAY(),2)-5,7)),$D20,0)</f>
        <v>#REF!</v>
      </c>
      <c r="AU70" s="67">
        <f ca="1">IF(AND($D20&lt;&gt;0,_xlfn.XLOOKUP($B20,'TH_CMI GRADE 10'!$B$7:$B$49,'TH_CMI GRADE 10'!AA$7:AA$49,"",0,1)="P",
   _xlfn.XLOOKUP($B20,'TH_CMI GRADE 10'!$B$7:$B$49,'TH_CMI GRADE 10'!$AS$7:$AS$49,"",0,1)&lt;=TODAY()-MOD(WEEKDAY(TODAY(),2)-5,7)),$D20,0)</f>
        <v>0</v>
      </c>
      <c r="AV70" s="67">
        <f ca="1">IF(AND($D20&lt;&gt;0,_xlfn.XLOOKUP($B20,'TH_CMI GRADE 10'!$B$7:$B$49,'TH_CMI GRADE 10'!AB$7:AB$49,"",0,1)="P",
   _xlfn.XLOOKUP($B20,'TH_CMI GRADE 10'!$B$7:$B$49,'TH_CMI GRADE 10'!$AT$7:$AT$49,"",0,1)&lt;=TODAY()-MOD(WEEKDAY(TODAY(),2)-5,7)),$D20,0)</f>
        <v>0</v>
      </c>
      <c r="AW70" s="67" t="e">
        <f ca="1">IF(AND($D20&lt;&gt;0,_xlfn.XLOOKUP($B20,'TH_CMI GRADE 10'!$B$7:$B$49,'TH_CMI GRADE 10'!AC$7:AC$49,"",0,1)="P",
   _xlfn.XLOOKUP($B20,'TH_CMI GRADE 10'!$B$7:$B$49,'TH_CMI GRADE 10'!#REF!,"",0,1)&lt;=TODAY()-MOD(WEEKDAY(TODAY(),2)-5,7)),$D20,0)</f>
        <v>#REF!</v>
      </c>
      <c r="AX70" s="67">
        <f ca="1">IF(AND($D20&lt;&gt;0,_xlfn.XLOOKUP($B20,'TH_CMI GRADE 10'!$B$7:$B$49,'TH_CMI GRADE 10'!AG$7:AG$49,"",0,1)="P",
   _xlfn.XLOOKUP($B20,'TH_CMI GRADE 10'!$B$7:$B$49,'TH_CMI GRADE 10'!$AS$7:$AS$49,"",0,1)&lt;=TODAY()-MOD(WEEKDAY(TODAY(),2)-5,7)),$D20,0)</f>
        <v>0</v>
      </c>
      <c r="AY70" s="67">
        <f ca="1">IF(AND($D20&lt;&gt;0,_xlfn.XLOOKUP($B20,'TH_CMI GRADE 10'!$B$7:$B$49,'TH_CMI GRADE 10'!AH$7:AH$49,"",0,1)="P",
   _xlfn.XLOOKUP($B20,'TH_CMI GRADE 10'!$B$7:$B$49,'TH_CMI GRADE 10'!$AT$7:$AT$49,"",0,1)&lt;=TODAY()-MOD(WEEKDAY(TODAY(),2)-5,7)),$D20,0)</f>
        <v>0</v>
      </c>
      <c r="AZ70" s="67" t="e">
        <f ca="1">IF(AND($D20&lt;&gt;0,_xlfn.XLOOKUP($B20,'TH_CMI GRADE 10'!$B$7:$B$49,'TH_CMI GRADE 10'!AI$7:AI$49,"",0,1)="P",
   _xlfn.XLOOKUP($B20,'TH_CMI GRADE 10'!$B$7:$B$49,'TH_CMI GRADE 10'!#REF!,"",0,1)&lt;=TODAY()-MOD(WEEKDAY(TODAY(),2)-5,7)),$D20,0)</f>
        <v>#REF!</v>
      </c>
      <c r="BA70" s="65" t="e">
        <f ca="1">IF(AND($D20&lt;&gt;0,_xlfn.XLOOKUP($B20,'PW_MLG GRADE 10'!$B$7:$B$31,'PW_MLG GRADE 10'!R$7:R$31,"",0,1)="P",
   _xlfn.XLOOKUP($B20,'PW_MLG GRADE 10'!$B$7:$B$31,'PW_MLG GRADE 10'!#REF!,"",0,1)&lt;=TODAY()-MOD(WEEKDAY(TODAY(),2)-5,7)),$D20,0)</f>
        <v>#REF!</v>
      </c>
      <c r="BB70" s="65" t="e">
        <f ca="1">IF(AND($D20&lt;&gt;0,_xlfn.XLOOKUP($B20,'PW_MLG GRADE 10'!$B$7:$B$31,'PW_MLG GRADE 10'!S$7:S$31,"",0,1)="P",
   _xlfn.XLOOKUP($B20,'PW_MLG GRADE 10'!$B$7:$B$31,'PW_MLG GRADE 10'!#REF!,"",0,1)&lt;=TODAY()-MOD(WEEKDAY(TODAY(),2)-5,7)),$D20,0)</f>
        <v>#REF!</v>
      </c>
      <c r="BC70" s="65" t="e">
        <f ca="1">IF(AND($D20&lt;&gt;0,_xlfn.XLOOKUP($B20,'PW_MLG GRADE 10'!$B$7:$B$31,'PW_MLG GRADE 10'!T$7:T$31,"",0,1)="P",
   _xlfn.XLOOKUP($B20,'PW_MLG GRADE 10'!$B$7:$B$31,'PW_MLG GRADE 10'!#REF!,"",0,1)&lt;=TODAY()-MOD(WEEKDAY(TODAY(),2)-5,7)),$D20,0)</f>
        <v>#REF!</v>
      </c>
      <c r="BD70" s="65" t="e">
        <f ca="1">IF(AND($D20&lt;&gt;0,_xlfn.XLOOKUP($B20,'PW_MLG GRADE 10'!$B$7:$B$31,'PW_MLG GRADE 10'!AA$7:AA$31,"",0,1)="P",
   _xlfn.XLOOKUP($B20,'PW_MLG GRADE 10'!$B$7:$B$31,'PW_MLG GRADE 10'!#REF!,"",0,1)&lt;=TODAY()-MOD(WEEKDAY(TODAY(),2)-5,7)),$D20,0)</f>
        <v>#REF!</v>
      </c>
      <c r="BE70" s="65" t="e">
        <f ca="1">IF(AND($D20&lt;&gt;0,_xlfn.XLOOKUP($B20,'PW_MLG GRADE 10'!$B$7:$B$31,'PW_MLG GRADE 10'!AB$7:AB$31,"",0,1)="P",
   _xlfn.XLOOKUP($B20,'PW_MLG GRADE 10'!$B$7:$B$31,'PW_MLG GRADE 10'!#REF!,"",0,1)&lt;=TODAY()-MOD(WEEKDAY(TODAY(),2)-5,7)),$D20,0)</f>
        <v>#REF!</v>
      </c>
      <c r="BF70" s="65" t="e">
        <f ca="1">IF(AND($D20&lt;&gt;0,_xlfn.XLOOKUP($B20,'PW_MLG GRADE 10'!$B$7:$B$31,'PW_MLG GRADE 10'!AC$7:AC$31,"",0,1)="P",
   _xlfn.XLOOKUP($B20,'PW_MLG GRADE 10'!$B$7:$B$31,'PW_MLG GRADE 10'!#REF!,"",0,1)&lt;=TODAY()-MOD(WEEKDAY(TODAY(),2)-5,7)),$D20,0)</f>
        <v>#REF!</v>
      </c>
      <c r="BG70" s="65" t="e">
        <f ca="1">IF(AND($D20&lt;&gt;0,_xlfn.XLOOKUP($B20,'PW_MLG GRADE 10'!$B$7:$B$31,'PW_MLG GRADE 10'!AD$7:AD$31,"",0,1)="P",
   _xlfn.XLOOKUP($B20,'PW_MLG GRADE 10'!$B$7:$B$31,'PW_MLG GRADE 10'!#REF!,"",0,1)&lt;=TODAY()-MOD(WEEKDAY(TODAY(),2)-5,7)),$D20,0)</f>
        <v>#REF!</v>
      </c>
      <c r="BH70" s="65" t="e">
        <f ca="1">IF(AND($D20&lt;&gt;0,_xlfn.XLOOKUP($B20,'PW_MLG GRADE 10'!$B$7:$B$31,'PW_MLG GRADE 10'!AE$7:AE$31,"",0,1)="P",
   _xlfn.XLOOKUP($B20,'PW_MLG GRADE 10'!$B$7:$B$31,'PW_MLG GRADE 10'!#REF!,"",0,1)&lt;=TODAY()-MOD(WEEKDAY(TODAY(),2)-5,7)),$D20,0)</f>
        <v>#REF!</v>
      </c>
      <c r="BI70" s="65" t="e">
        <f ca="1">IF(AND($D20&lt;&gt;0,_xlfn.XLOOKUP($B20,'PW_MLG GRADE 10'!$B$7:$B$31,'PW_MLG GRADE 10'!AF$7:AF$31,"",0,1)="P",
   _xlfn.XLOOKUP($B20,'PW_MLG GRADE 10'!$B$7:$B$31,'PW_MLG GRADE 10'!#REF!,"",0,1)&lt;=TODAY()-MOD(WEEKDAY(TODAY(),2)-5,7)),$D20,0)</f>
        <v>#REF!</v>
      </c>
      <c r="BJ70" s="65" t="e">
        <f ca="1">IF(AND($D20&lt;&gt;0,_xlfn.XLOOKUP($B20,'PW_MLG GRADE 10'!$B$7:$B$31,'PW_MLG GRADE 10'!AG$7:AG$31,"",0,1)="P",
   _xlfn.XLOOKUP($B20,'PW_MLG GRADE 10'!$B$7:$B$31,'PW_MLG GRADE 10'!#REF!,"",0,1)&lt;=TODAY()-MOD(WEEKDAY(TODAY(),2)-5,7)),$D20,0)</f>
        <v>#REF!</v>
      </c>
      <c r="BK70" s="65" t="e">
        <f ca="1">IF(AND($D20&lt;&gt;0,_xlfn.XLOOKUP($B20,'PW_MLG GRADE 10'!$B$7:$B$31,'PW_MLG GRADE 10'!AH$7:AH$31,"",0,1)="P",
   _xlfn.XLOOKUP($B20,'PW_MLG GRADE 10'!$B$7:$B$31,'PW_MLG GRADE 10'!#REF!,"",0,1)&lt;=TODAY()-MOD(WEEKDAY(TODAY(),2)-5,7)),$D20,0)</f>
        <v>#REF!</v>
      </c>
      <c r="BL70" s="65" t="e">
        <f ca="1">IF(AND($D20&lt;&gt;0,_xlfn.XLOOKUP($B20,'PW_MLG GRADE 10'!$B$7:$B$31,'PW_MLG GRADE 10'!AI$7:AI$31,"",0,1)="P",
   _xlfn.XLOOKUP($B20,'PW_MLG GRADE 10'!$B$7:$B$31,'PW_MLG GRADE 10'!#REF!,"",0,1)&lt;=TODAY()-MOD(WEEKDAY(TODAY(),2)-5,7)),$D20,0)</f>
        <v>#REF!</v>
      </c>
      <c r="BM70" s="65" t="e">
        <f ca="1">IF(AND($D20&lt;&gt;0,_xlfn.XLOOKUP($B20,'PW_MLG GRADE 10'!$B$7:$B$31,'PW_MLG GRADE 10'!AJ$7:AJ$31,"",0,1)="P",
   _xlfn.XLOOKUP($B20,'PW_MLG GRADE 10'!$B$7:$B$31,'PW_MLG GRADE 10'!#REF!,"",0,1)&lt;=TODAY()-MOD(WEEKDAY(TODAY(),2)-5,7)),$D20,0)</f>
        <v>#REF!</v>
      </c>
      <c r="BN70" s="65" t="e">
        <f ca="1">IF(AND($D20&lt;&gt;0,_xlfn.XLOOKUP($B20,'PW_MLG GRADE 10'!$B$7:$B$31,'PW_MLG GRADE 10'!AK$7:AK$31,"",0,1)="P",
   _xlfn.XLOOKUP($B20,'PW_MLG GRADE 10'!$B$7:$B$31,'PW_MLG GRADE 10'!#REF!,"",0,1)&lt;=TODAY()-MOD(WEEKDAY(TODAY(),2)-5,7)),$D20,0)</f>
        <v>#REF!</v>
      </c>
      <c r="BO70" s="65" t="e">
        <f ca="1">IF(AND($D20&lt;&gt;0,_xlfn.XLOOKUP($B20,'PW_MLG GRADE 10'!$B$7:$B$31,'PW_MLG GRADE 10'!AL$7:AL$31,"",0,1)="P",
   _xlfn.XLOOKUP($B20,'PW_MLG GRADE 10'!$B$7:$B$31,'PW_MLG GRADE 10'!#REF!,"",0,1)&lt;=TODAY()-MOD(WEEKDAY(TODAY(),2)-5,7)),$D20,0)</f>
        <v>#REF!</v>
      </c>
      <c r="BP70" s="65" t="e">
        <f ca="1">IF(AND($D20&lt;&gt;0,_xlfn.XLOOKUP($B20,'PW_MLG GRADE 10'!$B$7:$B$31,'PW_MLG GRADE 10'!AM$7:AM$31,"",0,1)="P",
   _xlfn.XLOOKUP($B20,'PW_MLG GRADE 10'!$B$7:$B$31,'PW_MLG GRADE 10'!#REF!,"",0,1)&lt;=TODAY()-MOD(WEEKDAY(TODAY(),2)-5,7)),$D20,0)</f>
        <v>#REF!</v>
      </c>
      <c r="BQ70" s="65" t="e">
        <f ca="1">IF(AND($D20&lt;&gt;0,_xlfn.XLOOKUP($B20,'PW_MLG GRADE 10'!$B$7:$B$31,'PW_MLG GRADE 10'!AN$7:AN$31,"",0,1)="P",
   _xlfn.XLOOKUP($B20,'PW_MLG GRADE 10'!$B$7:$B$31,'PW_MLG GRADE 10'!#REF!,"",0,1)&lt;=TODAY()-MOD(WEEKDAY(TODAY(),2)-5,7)),$D20,0)</f>
        <v>#REF!</v>
      </c>
      <c r="BR70" s="65" t="e">
        <f ca="1">IF(AND($D20&lt;&gt;0,_xlfn.XLOOKUP($B20,'PW_MLG GRADE 10'!$B$7:$B$31,'PW_MLG GRADE 10'!AO$7:AO$31,"",0,1)="P",
   _xlfn.XLOOKUP($B20,'PW_MLG GRADE 10'!$B$7:$B$31,'PW_MLG GRADE 10'!#REF!,"",0,1)&lt;=TODAY()-MOD(WEEKDAY(TODAY(),2)-5,7)),$D20,0)</f>
        <v>#REF!</v>
      </c>
      <c r="BS70" s="65" t="e">
        <f ca="1">IF(AND($D20&lt;&gt;0,_xlfn.XLOOKUP($B20,'PW_MLG GRADE 10'!$B$7:$B$31,'PW_MLG GRADE 10'!AP$7:AP$31,"",0,1)="P",
   _xlfn.XLOOKUP($B20,'PW_MLG GRADE 10'!$B$7:$B$31,'PW_MLG GRADE 10'!#REF!,"",0,1)&lt;=TODAY()-MOD(WEEKDAY(TODAY(),2)-5,7)),$D20,0)</f>
        <v>#REF!</v>
      </c>
      <c r="BT70" s="65" t="e">
        <f ca="1">IF(AND($D20&lt;&gt;0,_xlfn.XLOOKUP($B20,'PW_MLG GRADE 10'!$B$7:$B$31,'PW_MLG GRADE 10'!AQ$7:AQ$31,"",0,1)="P",
   _xlfn.XLOOKUP($B20,'PW_MLG GRADE 10'!$B$7:$B$31,'PW_MLG GRADE 10'!#REF!,"",0,1)&lt;=TODAY()-MOD(WEEKDAY(TODAY(),2)-5,7)),$D20,0)</f>
        <v>#REF!</v>
      </c>
      <c r="BU70" s="65" t="e">
        <f ca="1">IF(AND($D20&lt;&gt;0,_xlfn.XLOOKUP($B20,'PW_MLG GRADE 10'!$B$7:$B$31,'PW_MLG GRADE 10'!AR$7:AR$31,"",0,1)="P",
   _xlfn.XLOOKUP($B20,'PW_MLG GRADE 10'!$B$7:$B$31,'PW_MLG GRADE 10'!#REF!,"",0,1)&lt;=TODAY()-MOD(WEEKDAY(TODAY(),2)-5,7)),$D20,0)</f>
        <v>#REF!</v>
      </c>
      <c r="BV70" s="65" t="e">
        <f ca="1">IF(AND($D20&lt;&gt;0,_xlfn.XLOOKUP($B20,'PW_MLG GRADE 10'!$B$7:$B$31,'PW_MLG GRADE 10'!AY$7:AY$31,"",0,1)="P",
   _xlfn.XLOOKUP($B20,'PW_MLG GRADE 10'!$B$7:$B$31,'PW_MLG GRADE 10'!#REF!,"",0,1)&lt;=TODAY()-MOD(WEEKDAY(TODAY(),2)-5,7)),$D20,0)</f>
        <v>#REF!</v>
      </c>
      <c r="BW70" s="65" t="e">
        <f ca="1">IF(AND($D20&lt;&gt;0,_xlfn.XLOOKUP($B20,'PW_MLG GRADE 10'!$B$7:$B$31,'PW_MLG GRADE 10'!AZ$7:AZ$31,"",0,1)="P",
   _xlfn.XLOOKUP($B20,'PW_MLG GRADE 10'!$B$7:$B$31,'PW_MLG GRADE 10'!#REF!,"",0,1)&lt;=TODAY()-MOD(WEEKDAY(TODAY(),2)-5,7)),$D20,0)</f>
        <v>#REF!</v>
      </c>
      <c r="BX70" s="65" t="e">
        <f ca="1">IF(AND($D20&lt;&gt;0,_xlfn.XLOOKUP($B20,'PW_MLG GRADE 10'!$B$7:$B$31,'PW_MLG GRADE 10'!BA$7:BA$31,"",0,1)="P",
   _xlfn.XLOOKUP($B20,'PW_MLG GRADE 10'!$B$7:$B$31,'PW_MLG GRADE 10'!#REF!,"",0,1)&lt;=TODAY()-MOD(WEEKDAY(TODAY(),2)-5,7)),$D20,0)</f>
        <v>#REF!</v>
      </c>
      <c r="BY70" s="65" t="e">
        <f ca="1">IF(AND($D20&lt;&gt;0,_xlfn.XLOOKUP($B20,'PW_MLG GRADE 10'!$B$7:$B$31,'PW_MLG GRADE 10'!BB$7:BB$31,"",0,1)="P",
   _xlfn.XLOOKUP($B20,'PW_MLG GRADE 10'!$B$7:$B$31,'PW_MLG GRADE 10'!#REF!,"",0,1)&lt;=TODAY()-MOD(WEEKDAY(TODAY(),2)-5,7)),$D20,0)</f>
        <v>#REF!</v>
      </c>
      <c r="BZ70" s="65" t="e">
        <f ca="1">IF(AND($D20&lt;&gt;0,_xlfn.XLOOKUP($B20,'PW_MLG GRADE 10'!$B$7:$B$31,'PW_MLG GRADE 10'!BC$7:BC$31,"",0,1)="P",
   _xlfn.XLOOKUP($B20,'PW_MLG GRADE 10'!$B$7:$B$31,'PW_MLG GRADE 10'!#REF!,"",0,1)&lt;=TODAY()-MOD(WEEKDAY(TODAY(),2)-5,7)),$D20,0)</f>
        <v>#REF!</v>
      </c>
      <c r="CA70" s="65" t="e">
        <f ca="1">IF(AND($D20&lt;&gt;0,_xlfn.XLOOKUP($B20,'PW_MLG GRADE 10'!$B$7:$B$31,'PW_MLG GRADE 10'!BD$7:BD$31,"",0,1)="P",
   _xlfn.XLOOKUP($B20,'PW_MLG GRADE 10'!$B$7:$B$31,'PW_MLG GRADE 10'!#REF!,"",0,1)&lt;=TODAY()-MOD(WEEKDAY(TODAY(),2)-5,7)),$D20,0)</f>
        <v>#REF!</v>
      </c>
      <c r="CB70" s="65" t="e">
        <f ca="1">IF(AND($D20&lt;&gt;0,_xlfn.XLOOKUP($B20,'PW_MLG GRADE 10'!$B$7:$B$31,'PW_MLG GRADE 10'!BE$7:BE$31,"",0,1)="P",
   _xlfn.XLOOKUP($B20,'PW_MLG GRADE 10'!$B$7:$B$31,'PW_MLG GRADE 10'!#REF!,"",0,1)&lt;=TODAY()-MOD(WEEKDAY(TODAY(),2)-5,7)),$D20,0)</f>
        <v>#REF!</v>
      </c>
      <c r="CC70" s="65" t="e">
        <f ca="1">IF(AND($D20&lt;&gt;0,_xlfn.XLOOKUP($B20,'PW_MLG GRADE 10'!$B$7:$B$31,'PW_MLG GRADE 10'!BF$7:BF$31,"",0,1)="P",
   _xlfn.XLOOKUP($B20,'PW_MLG GRADE 10'!$B$7:$B$31,'PW_MLG GRADE 10'!#REF!,"",0,1)&lt;=TODAY()-MOD(WEEKDAY(TODAY(),2)-5,7)),$D20,0)</f>
        <v>#REF!</v>
      </c>
      <c r="CD70" s="65" t="e">
        <f ca="1">IF(AND($D20&lt;&gt;0,_xlfn.XLOOKUP($B20,'PW_MLG GRADE 10'!$B$7:$B$31,'PW_MLG GRADE 10'!BG$7:BG$31,"",0,1)="P",
   _xlfn.XLOOKUP($B20,'PW_MLG GRADE 10'!$B$7:$B$31,'PW_MLG GRADE 10'!#REF!,"",0,1)&lt;=TODAY()-MOD(WEEKDAY(TODAY(),2)-5,7)),$D20,0)</f>
        <v>#REF!</v>
      </c>
      <c r="CE70" s="67">
        <f ca="1">IF(AND($D20&lt;&gt;0,_xlfn.XLOOKUP($B20,'PW_CMI GRADE 10'!$B$7:$B$31,'PW_CMI GRADE 10'!AY$7:AY$31,"",0,1)="P",
   _xlfn.XLOOKUP($B20,'PW_CMI GRADE 10'!$B$7:$B$31,'PW_CMI GRADE 10'!$U$7:$U$31,"",0,1)&lt;=TODAY()-MOD(WEEKDAY(TODAY(),2)-5,7)),$D20,0)</f>
        <v>0</v>
      </c>
      <c r="CF70" s="67">
        <f ca="1">IF(AND($D20&lt;&gt;0,_xlfn.XLOOKUP($B20,'PW_CMI GRADE 10'!$B$7:$B$31,'PW_CMI GRADE 10'!AZ$7:AZ$31,"",0,1)="P",
   _xlfn.XLOOKUP($B20,'PW_CMI GRADE 10'!$B$7:$B$31,'PW_CMI GRADE 10'!$V$7:$V$31,"",0,1)&lt;=TODAY()-MOD(WEEKDAY(TODAY(),2)-5,7)),$D20,0)</f>
        <v>0</v>
      </c>
      <c r="CG70" s="67">
        <f ca="1">IF(AND($D20&lt;&gt;0,_xlfn.XLOOKUP($B20,'PW_CMI GRADE 10'!$B$7:$B$31,'PW_CMI GRADE 10'!BA$7:BA$31,"",0,1)="P",
   _xlfn.XLOOKUP($B20,'PW_CMI GRADE 10'!$B$7:$B$31,'PW_CMI GRADE 10'!$W$7:$W$31,"",0,1)&lt;=TODAY()-MOD(WEEKDAY(TODAY(),2)-5,7)),$D20,0)</f>
        <v>0</v>
      </c>
      <c r="CH70" s="67">
        <f ca="1">IF(AND($D20&lt;&gt;0,_xlfn.XLOOKUP($B20,'PW_CMI GRADE 10'!$B$7:$B$31,'PW_CMI GRADE 10'!BB$7:BB$31,"",0,1)="P",
   _xlfn.XLOOKUP($B20,'PW_CMI GRADE 10'!$B$7:$B$31,'PW_CMI GRADE 10'!$U$7:$U$31,"",0,1)&lt;=TODAY()-MOD(WEEKDAY(TODAY(),2)-5,7)),$D20,0)</f>
        <v>0</v>
      </c>
      <c r="CI70" s="67">
        <f ca="1">IF(AND($D20&lt;&gt;0,_xlfn.XLOOKUP($B20,'PW_CMI GRADE 10'!$B$7:$B$31,'PW_CMI GRADE 10'!BC$7:BC$31,"",0,1)="P",
   _xlfn.XLOOKUP($B20,'PW_CMI GRADE 10'!$B$7:$B$31,'PW_CMI GRADE 10'!$V$7:$V$31,"",0,1)&lt;=TODAY()-MOD(WEEKDAY(TODAY(),2)-5,7)),$D20,0)</f>
        <v>0</v>
      </c>
      <c r="CJ70" s="67">
        <f ca="1">IF(AND($D20&lt;&gt;0,_xlfn.XLOOKUP($B20,'PW_CMI GRADE 10'!$B$7:$B$31,'PW_CMI GRADE 10'!BD$7:BD$31,"",0,1)="P",
   _xlfn.XLOOKUP($B20,'PW_CMI GRADE 10'!$B$7:$B$31,'PW_CMI GRADE 10'!$W$7:$W$31,"",0,1)&lt;=TODAY()-MOD(WEEKDAY(TODAY(),2)-5,7)),$D20,0)</f>
        <v>0</v>
      </c>
      <c r="CK70" s="67">
        <f ca="1">IF(AND($D20&lt;&gt;0,_xlfn.XLOOKUP($B20,'PW_CMI GRADE 10'!$B$7:$B$31,'PW_CMI GRADE 10'!BE$7:BE$31,"",0,1)="P",
   _xlfn.XLOOKUP($B20,'PW_CMI GRADE 10'!$B$7:$B$31,'PW_CMI GRADE 10'!$U$7:$U$31,"",0,1)&lt;=TODAY()-MOD(WEEKDAY(TODAY(),2)-5,7)),$D20,0)</f>
        <v>0</v>
      </c>
      <c r="CL70" s="67">
        <f ca="1">IF(AND($D20&lt;&gt;0,_xlfn.XLOOKUP($B20,'PW_CMI GRADE 10'!$B$7:$B$31,'PW_CMI GRADE 10'!BF$7:BF$31,"",0,1)="P",
   _xlfn.XLOOKUP($B20,'PW_CMI GRADE 10'!$B$7:$B$31,'PW_CMI GRADE 10'!$V$7:$V$31,"",0,1)&lt;=TODAY()-MOD(WEEKDAY(TODAY(),2)-5,7)),$D20,0)</f>
        <v>0</v>
      </c>
      <c r="CM70" s="67">
        <f ca="1">IF(AND($D20&lt;&gt;0,_xlfn.XLOOKUP($B20,'PW_CMI GRADE 10'!$B$7:$B$31,'PW_CMI GRADE 10'!BG$7:BG$31,"",0,1)="P",
   _xlfn.XLOOKUP($B20,'PW_CMI GRADE 10'!$B$7:$B$31,'PW_CMI GRADE 10'!$W$7:$W$31,"",0,1)&lt;=TODAY()-MOD(WEEKDAY(TODAY(),2)-5,7)),$D20,0)</f>
        <v>0</v>
      </c>
      <c r="CN70" s="67">
        <f ca="1">IF(AND($D20&lt;&gt;0,_xlfn.XLOOKUP($B20,'PW_CMI GRADE 10'!$B$7:$B$31,'PW_CMI GRADE 10'!BH$7:BH$31,"",0,1)="P",
   _xlfn.XLOOKUP($B20,'PW_CMI GRADE 10'!$B$7:$B$31,'PW_CMI GRADE 10'!$U$7:$U$31,"",0,1)&lt;=TODAY()-MOD(WEEKDAY(TODAY(),2)-5,7)),$D20,0)</f>
        <v>0</v>
      </c>
      <c r="CO70" s="67">
        <f ca="1">IF(AND($D20&lt;&gt;0,_xlfn.XLOOKUP($B20,'PW_CMI GRADE 10'!$B$7:$B$31,'PW_CMI GRADE 10'!BI$7:BI$31,"",0,1)="P",
   _xlfn.XLOOKUP($B20,'PW_CMI GRADE 10'!$B$7:$B$31,'PW_CMI GRADE 10'!$V$7:$V$31,"",0,1)&lt;=TODAY()-MOD(WEEKDAY(TODAY(),2)-5,7)),$D20,0)</f>
        <v>0</v>
      </c>
      <c r="CP70" s="67">
        <f ca="1">IF(AND($D20&lt;&gt;0,_xlfn.XLOOKUP($B20,'PW_CMI GRADE 10'!$B$7:$B$31,'PW_CMI GRADE 10'!BJ$7:BJ$31,"",0,1)="P",
   _xlfn.XLOOKUP($B20,'PW_CMI GRADE 10'!$B$7:$B$31,'PW_CMI GRADE 10'!$W$7:$W$31,"",0,1)&lt;=TODAY()-MOD(WEEKDAY(TODAY(),2)-5,7)),$D20,0)</f>
        <v>0</v>
      </c>
      <c r="CQ70" s="67">
        <f ca="1">IF(AND($D20&lt;&gt;0,_xlfn.XLOOKUP($B20,'PW_CMI GRADE 10'!$B$7:$B$31,'PW_CMI GRADE 10'!BK$7:BK$31,"",0,1)="P",
   _xlfn.XLOOKUP($B20,'PW_CMI GRADE 10'!$B$7:$B$31,'PW_CMI GRADE 10'!$U$7:$U$31,"",0,1)&lt;=TODAY()-MOD(WEEKDAY(TODAY(),2)-5,7)),$D20,0)</f>
        <v>0</v>
      </c>
      <c r="CR70" s="67">
        <f ca="1">IF(AND($D20&lt;&gt;0,_xlfn.XLOOKUP($B20,'PW_CMI GRADE 10'!$B$7:$B$31,'PW_CMI GRADE 10'!BL$7:BL$31,"",0,1)="P",
   _xlfn.XLOOKUP($B20,'PW_CMI GRADE 10'!$B$7:$B$31,'PW_CMI GRADE 10'!$V$7:$V$31,"",0,1)&lt;=TODAY()-MOD(WEEKDAY(TODAY(),2)-5,7)),$D20,0)</f>
        <v>0</v>
      </c>
      <c r="CS70" s="67">
        <f ca="1">IF(AND($D20&lt;&gt;0,_xlfn.XLOOKUP($B20,'PW_CMI GRADE 10'!$B$7:$B$31,'PW_CMI GRADE 10'!BM$7:BM$31,"",0,1)="P",
   _xlfn.XLOOKUP($B20,'PW_CMI GRADE 10'!$B$7:$B$31,'PW_CMI GRADE 10'!$W$7:$W$31,"",0,1)&lt;=TODAY()-MOD(WEEKDAY(TODAY(),2)-5,7)),$D20,0)</f>
        <v>0</v>
      </c>
      <c r="CT70" s="67">
        <f ca="1">IF(AND($D20&lt;&gt;0,_xlfn.XLOOKUP($B20,'PW_CMI GRADE 10'!$B$7:$B$31,'PW_CMI GRADE 10'!BN$7:BN$31,"",0,1)="P",
   _xlfn.XLOOKUP($B20,'PW_CMI GRADE 10'!$B$7:$B$31,'PW_CMI GRADE 10'!$U$7:$U$31,"",0,1)&lt;=TODAY()-MOD(WEEKDAY(TODAY(),2)-5,7)),$D20,0)</f>
        <v>0</v>
      </c>
      <c r="CU70" s="67">
        <f ca="1">IF(AND($D20&lt;&gt;0,_xlfn.XLOOKUP($B20,'PW_CMI GRADE 10'!$B$7:$B$31,'PW_CMI GRADE 10'!BO$7:BO$31,"",0,1)="P",
   _xlfn.XLOOKUP($B20,'PW_CMI GRADE 10'!$B$7:$B$31,'PW_CMI GRADE 10'!$V$7:$V$31,"",0,1)&lt;=TODAY()-MOD(WEEKDAY(TODAY(),2)-5,7)),$D20,0)</f>
        <v>0</v>
      </c>
      <c r="CV70" s="67">
        <f ca="1">IF(AND($D20&lt;&gt;0,_xlfn.XLOOKUP($B20,'PW_CMI GRADE 10'!$B$7:$B$31,'PW_CMI GRADE 10'!BP$7:BP$31,"",0,1)="P",
   _xlfn.XLOOKUP($B20,'PW_CMI GRADE 10'!$B$7:$B$31,'PW_CMI GRADE 10'!$W$7:$W$31,"",0,1)&lt;=TODAY()-MOD(WEEKDAY(TODAY(),2)-5,7)),$D20,0)</f>
        <v>0</v>
      </c>
      <c r="CW70" s="62" t="e">
        <f t="shared" ca="1" si="132"/>
        <v>#REF!</v>
      </c>
      <c r="CX70" s="62" t="e">
        <f t="shared" ca="1" si="69"/>
        <v>#REF!</v>
      </c>
      <c r="CY70" s="62" t="e">
        <f t="shared" ca="1" si="70"/>
        <v>#REF!</v>
      </c>
      <c r="CZ70" s="62" t="e">
        <f t="shared" ca="1" si="71"/>
        <v>#REF!</v>
      </c>
      <c r="DA70" s="62" t="e">
        <f t="shared" ca="1" si="72"/>
        <v>#REF!</v>
      </c>
      <c r="DB70" s="62" t="e">
        <f t="shared" ca="1" si="73"/>
        <v>#REF!</v>
      </c>
      <c r="DC70" s="62" t="e">
        <f t="shared" ca="1" si="74"/>
        <v>#REF!</v>
      </c>
      <c r="DD70" s="62" t="e">
        <f t="shared" ca="1" si="75"/>
        <v>#REF!</v>
      </c>
      <c r="DE70" s="62" t="e">
        <f t="shared" ca="1" si="76"/>
        <v>#REF!</v>
      </c>
      <c r="DF70" s="62" t="e">
        <f t="shared" ca="1" si="77"/>
        <v>#REF!</v>
      </c>
      <c r="DG70" s="62" t="e">
        <f t="shared" ca="1" si="78"/>
        <v>#REF!</v>
      </c>
      <c r="DH70" s="62" t="e">
        <f t="shared" ca="1" si="79"/>
        <v>#REF!</v>
      </c>
      <c r="DI70" s="62" t="e">
        <f t="shared" ca="1" si="80"/>
        <v>#REF!</v>
      </c>
      <c r="DJ70" s="62" t="e">
        <f t="shared" ca="1" si="81"/>
        <v>#REF!</v>
      </c>
      <c r="DK70" s="62" t="e">
        <f t="shared" ca="1" si="82"/>
        <v>#REF!</v>
      </c>
      <c r="DL70" s="62" t="e">
        <f t="shared" ca="1" si="83"/>
        <v>#REF!</v>
      </c>
      <c r="DM70" s="62" t="e">
        <f t="shared" ca="1" si="84"/>
        <v>#REF!</v>
      </c>
      <c r="DN70" s="62" t="e">
        <f t="shared" ca="1" si="85"/>
        <v>#REF!</v>
      </c>
      <c r="DO70" s="62" t="e">
        <f t="shared" ca="1" si="86"/>
        <v>#REF!</v>
      </c>
      <c r="DP70" s="62" t="e">
        <f t="shared" ca="1" si="87"/>
        <v>#REF!</v>
      </c>
      <c r="DQ70" s="62" t="e">
        <f t="shared" ca="1" si="88"/>
        <v>#REF!</v>
      </c>
      <c r="DR70" s="62" t="e">
        <f t="shared" ca="1" si="89"/>
        <v>#REF!</v>
      </c>
      <c r="DS70" s="62" t="e">
        <f t="shared" ca="1" si="90"/>
        <v>#REF!</v>
      </c>
      <c r="DT70" s="62" t="e">
        <f t="shared" ca="1" si="91"/>
        <v>#REF!</v>
      </c>
      <c r="DU70" s="62" t="e">
        <f t="shared" ca="1" si="92"/>
        <v>#REF!</v>
      </c>
      <c r="DV70" s="62" t="e">
        <f t="shared" ca="1" si="93"/>
        <v>#REF!</v>
      </c>
      <c r="DW70" s="62" t="e">
        <f t="shared" ca="1" si="94"/>
        <v>#REF!</v>
      </c>
      <c r="DX70" s="62" t="e">
        <f t="shared" ca="1" si="95"/>
        <v>#REF!</v>
      </c>
      <c r="DY70" s="62" t="e">
        <f t="shared" ca="1" si="96"/>
        <v>#REF!</v>
      </c>
      <c r="DZ70" s="62" t="e">
        <f t="shared" ca="1" si="97"/>
        <v>#REF!</v>
      </c>
      <c r="EA70" s="63" t="e">
        <f t="shared" ca="1" si="98"/>
        <v>#REF!</v>
      </c>
      <c r="EB70" s="63" t="e">
        <f t="shared" ca="1" si="99"/>
        <v>#REF!</v>
      </c>
      <c r="EC70" s="63" t="e">
        <f t="shared" ca="1" si="100"/>
        <v>#REF!</v>
      </c>
      <c r="ED70" s="63" t="e">
        <f t="shared" ca="1" si="101"/>
        <v>#REF!</v>
      </c>
      <c r="EE70" s="63" t="e">
        <f t="shared" ca="1" si="102"/>
        <v>#REF!</v>
      </c>
      <c r="EF70" s="63" t="e">
        <f t="shared" ca="1" si="103"/>
        <v>#REF!</v>
      </c>
      <c r="EG70" s="63" t="e">
        <f t="shared" ca="1" si="104"/>
        <v>#REF!</v>
      </c>
      <c r="EH70" s="63" t="e">
        <f t="shared" ca="1" si="105"/>
        <v>#REF!</v>
      </c>
      <c r="EI70" s="63" t="e">
        <f t="shared" ca="1" si="106"/>
        <v>#REF!</v>
      </c>
      <c r="EJ70" s="63" t="e">
        <f t="shared" ca="1" si="107"/>
        <v>#REF!</v>
      </c>
      <c r="EK70" s="63" t="e">
        <f t="shared" ca="1" si="108"/>
        <v>#REF!</v>
      </c>
      <c r="EL70" s="63" t="e">
        <f t="shared" ca="1" si="109"/>
        <v>#REF!</v>
      </c>
      <c r="EM70" s="63" t="e">
        <f t="shared" ca="1" si="110"/>
        <v>#REF!</v>
      </c>
      <c r="EN70" s="63" t="e">
        <f t="shared" ca="1" si="111"/>
        <v>#REF!</v>
      </c>
      <c r="EO70" s="63" t="e">
        <f t="shared" ca="1" si="112"/>
        <v>#REF!</v>
      </c>
      <c r="EP70" s="63" t="e">
        <f t="shared" ca="1" si="113"/>
        <v>#REF!</v>
      </c>
      <c r="ET70" t="str">
        <v>7A.1</v>
      </c>
      <c r="EU70" s="38" t="e">
        <f t="shared" ca="1" si="114"/>
        <v>#REF!</v>
      </c>
      <c r="EV70" s="38" t="e">
        <f t="shared" ca="1" si="115"/>
        <v>#REF!</v>
      </c>
      <c r="EW70" s="38" t="e">
        <f t="shared" ca="1" si="116"/>
        <v>#REF!</v>
      </c>
      <c r="EX70" s="38" t="e">
        <f t="shared" ca="1" si="117"/>
        <v>#REF!</v>
      </c>
      <c r="EY70" s="38" t="e">
        <f t="shared" ca="1" si="118"/>
        <v>#REF!</v>
      </c>
      <c r="EZ70" s="38" t="e">
        <f t="shared" ca="1" si="119"/>
        <v>#REF!</v>
      </c>
      <c r="FA70" s="38" t="e">
        <f t="shared" ca="1" si="120"/>
        <v>#REF!</v>
      </c>
      <c r="FB70" s="38" t="e">
        <f t="shared" ca="1" si="121"/>
        <v>#REF!</v>
      </c>
      <c r="FC70" s="38" t="e">
        <f t="shared" ca="1" si="122"/>
        <v>#REF!</v>
      </c>
      <c r="FD70" s="38" t="e">
        <f t="shared" ca="1" si="123"/>
        <v>#REF!</v>
      </c>
      <c r="FE70" s="38">
        <f t="shared" ca="1" si="133"/>
        <v>0</v>
      </c>
      <c r="FF70" s="38" t="e">
        <f t="shared" ca="1" si="124"/>
        <v>#REF!</v>
      </c>
      <c r="FG70" s="38" t="e">
        <f t="shared" ca="1" si="125"/>
        <v>#REF!</v>
      </c>
      <c r="FH70" s="38" t="e">
        <f t="shared" ca="1" si="126"/>
        <v>#REF!</v>
      </c>
      <c r="FI70" s="38" t="e">
        <f t="shared" ca="1" si="127"/>
        <v>#REF!</v>
      </c>
      <c r="FJ70" s="38" t="e">
        <f t="shared" ca="1" si="128"/>
        <v>#REF!</v>
      </c>
      <c r="FK70" s="38" t="e">
        <f t="shared" ca="1" si="129"/>
        <v>#REF!</v>
      </c>
      <c r="FL70" s="38">
        <f t="shared" ca="1" si="130"/>
        <v>0</v>
      </c>
      <c r="FM70" s="38">
        <v>1</v>
      </c>
      <c r="FN70" s="38">
        <f t="shared" si="134"/>
        <v>0.66666666666666663</v>
      </c>
      <c r="FO70" s="38">
        <f t="shared" si="135"/>
        <v>0.33333333333333331</v>
      </c>
    </row>
    <row r="71" spans="1:171">
      <c r="A71" s="64" t="str">
        <f t="shared" si="131"/>
        <v>3A.3</v>
      </c>
      <c r="B71" s="64" t="s">
        <v>52</v>
      </c>
      <c r="C71" s="30">
        <v>8</v>
      </c>
      <c r="D71" s="30"/>
      <c r="E71" s="65">
        <f ca="1">IF(AND($D21&lt;&gt;0,_xlfn.XLOOKUP($B21,'TH_MLG GRADE 10'!$B$7:$B$49,'TH_MLG GRADE 10'!C$7:C$49,"",0,1)="P",
   _xlfn.XLOOKUP($B21,'TH_MLG GRADE 10'!$B$7:$B$49,'TH_MLG GRADE 10'!$BK$7:$BK$49,"",0,1)&lt;=TODAY()-MOD(WEEKDAY(TODAY(),2)-5,7)),$D21,0)</f>
        <v>0</v>
      </c>
      <c r="F71" s="65">
        <f ca="1">IF(AND($D21&lt;&gt;0,_xlfn.XLOOKUP($B21,'TH_MLG GRADE 10'!$B$7:$B$49,'TH_MLG GRADE 10'!D$7:D$49,"",0,1)="P",
   _xlfn.XLOOKUP($B21,'TH_MLG GRADE 10'!$B$7:$B$49,'TH_MLG GRADE 10'!$BL$7:$BL$49,"",0,1)&lt;=TODAY()-MOD(WEEKDAY(TODAY(),2)-5,7)),$D21,0)</f>
        <v>0</v>
      </c>
      <c r="G71" s="65">
        <f ca="1">IF(AND($D21&lt;&gt;0,_xlfn.XLOOKUP($B21,'TH_MLG GRADE 10'!$B$7:$B$49,'TH_MLG GRADE 10'!E$7:E$49,"",0,1)="P",
   _xlfn.XLOOKUP($B21,'TH_MLG GRADE 10'!$B$7:$B$49,'TH_MLG GRADE 10'!$BM$7:$BM$49,"",0,1)&lt;=TODAY()-MOD(WEEKDAY(TODAY(),2)-5,7)),$D21,0)</f>
        <v>0</v>
      </c>
      <c r="H71" s="65">
        <f ca="1">IF(AND($D21&lt;&gt;0,_xlfn.XLOOKUP($B21,'TH_MLG GRADE 10'!$B$7:$B$49,'TH_MLG GRADE 10'!I$7:I$49,"",0,1)="P",
   _xlfn.XLOOKUP($B21,'TH_MLG GRADE 10'!$B$7:$B$49,'TH_MLG GRADE 10'!$BK$7:$BK$49,"",0,1)&lt;=TODAY()-MOD(WEEKDAY(TODAY(),2)-5,7)),$D21,0)</f>
        <v>0</v>
      </c>
      <c r="I71" s="65">
        <f ca="1">IF(AND($D21&lt;&gt;0,_xlfn.XLOOKUP($B21,'TH_MLG GRADE 10'!$B$7:$B$49,'TH_MLG GRADE 10'!J$7:J$49,"",0,1)="P",
   _xlfn.XLOOKUP($B21,'TH_MLG GRADE 10'!$B$7:$B$49,'TH_MLG GRADE 10'!$BL$7:$BL$49,"",0,1)&lt;=TODAY()-MOD(WEEKDAY(TODAY(),2)-5,7)),$D21,0)</f>
        <v>0</v>
      </c>
      <c r="J71" s="65">
        <f ca="1">IF(AND($D21&lt;&gt;0,_xlfn.XLOOKUP($B21,'TH_MLG GRADE 10'!$B$7:$B$49,'TH_MLG GRADE 10'!K$7:K$49,"",0,1)="P",
   _xlfn.XLOOKUP($B21,'TH_MLG GRADE 10'!$B$7:$B$49,'TH_MLG GRADE 10'!$BM$7:$BM$49,"",0,1)&lt;=TODAY()-MOD(WEEKDAY(TODAY(),2)-5,7)),$D21,0)</f>
        <v>0</v>
      </c>
      <c r="K71" s="65">
        <f ca="1">IF(AND($D21&lt;&gt;0,_xlfn.XLOOKUP($B21,'TH_MLG GRADE 10'!$B$7:$B$49,'TH_MLG GRADE 10'!O$7:O$49,"",0,1)="P",
   _xlfn.XLOOKUP($B21,'TH_MLG GRADE 10'!$B$7:$B$49,'TH_MLG GRADE 10'!$BK$7:$BK$49,"",0,1)&lt;=TODAY()-MOD(WEEKDAY(TODAY(),2)-5,7)),$D21,0)</f>
        <v>0</v>
      </c>
      <c r="L71" s="65">
        <f ca="1">IF(AND($D21&lt;&gt;0,_xlfn.XLOOKUP($B21,'TH_MLG GRADE 10'!$B$7:$B$49,'TH_MLG GRADE 10'!P$7:P$49,"",0,1)="P",
   _xlfn.XLOOKUP($B21,'TH_MLG GRADE 10'!$B$7:$B$49,'TH_MLG GRADE 10'!$BL$7:$BL$49,"",0,1)&lt;=TODAY()-MOD(WEEKDAY(TODAY(),2)-5,7)),$D21,0)</f>
        <v>0</v>
      </c>
      <c r="M71" s="65">
        <f ca="1">IF(AND($D21&lt;&gt;0,_xlfn.XLOOKUP($B21,'TH_MLG GRADE 10'!$B$7:$B$49,'TH_MLG GRADE 10'!Q$7:Q$49,"",0,1)="P",
   _xlfn.XLOOKUP($B21,'TH_MLG GRADE 10'!$B$7:$B$49,'TH_MLG GRADE 10'!$BM$7:$BM$49,"",0,1)&lt;=TODAY()-MOD(WEEKDAY(TODAY(),2)-5,7)),$D21,0)</f>
        <v>0</v>
      </c>
      <c r="N71" s="65">
        <f ca="1">IF(AND($D21&lt;&gt;0,_xlfn.XLOOKUP($B21,'TH_MLG GRADE 10'!$B$7:$B$49,'TH_MLG GRADE 10'!AA$7:AA$49,"",0,1)="P",
   _xlfn.XLOOKUP($B21,'TH_MLG GRADE 10'!$B$7:$B$49,'TH_MLG GRADE 10'!$BK$7:$BK$49,"",0,1)&lt;=TODAY()-MOD(WEEKDAY(TODAY(),2)-5,7)),$D21,0)</f>
        <v>0</v>
      </c>
      <c r="O71" s="65">
        <f ca="1">IF(AND($D21&lt;&gt;0,_xlfn.XLOOKUP($B21,'TH_MLG GRADE 10'!$B$7:$B$49,'TH_MLG GRADE 10'!AB$7:AB$49,"",0,1)="P",
   _xlfn.XLOOKUP($B21,'TH_MLG GRADE 10'!$B$7:$B$49,'TH_MLG GRADE 10'!$BL$7:$BL$49,"",0,1)&lt;=TODAY()-MOD(WEEKDAY(TODAY(),2)-5,7)),$D21,0)</f>
        <v>0</v>
      </c>
      <c r="P71" s="65">
        <f ca="1">IF(AND($D21&lt;&gt;0,_xlfn.XLOOKUP($B21,'TH_MLG GRADE 10'!$B$7:$B$49,'TH_MLG GRADE 10'!AC$7:AC$49,"",0,1)="P",
   _xlfn.XLOOKUP($B21,'TH_MLG GRADE 10'!$B$7:$B$49,'TH_MLG GRADE 10'!$BM$7:$BM$49,"",0,1)&lt;=TODAY()-MOD(WEEKDAY(TODAY(),2)-5,7)),$D21,0)</f>
        <v>0</v>
      </c>
      <c r="Q71" s="65">
        <f ca="1">IF(AND($D21&lt;&gt;0,_xlfn.XLOOKUP($B21,'TH_MLG GRADE 10'!$B$7:$B$49,'TH_MLG GRADE 10'!AG$7:AG$49,"",0,1)="P",
   _xlfn.XLOOKUP($B21,'TH_MLG GRADE 10'!$B$7:$B$49,'TH_MLG GRADE 10'!$BK$7:$BK$49,"",0,1)&lt;=TODAY()-MOD(WEEKDAY(TODAY(),2)-5,7)),$D21,0)</f>
        <v>0</v>
      </c>
      <c r="R71" s="65">
        <f ca="1">IF(AND($D21&lt;&gt;0,_xlfn.XLOOKUP($B21,'TH_MLG GRADE 10'!$B$7:$B$49,'TH_MLG GRADE 10'!AH$7:AH$49,"",0,1)="P",
   _xlfn.XLOOKUP($B21,'TH_MLG GRADE 10'!$B$7:$B$49,'TH_MLG GRADE 10'!$BL$7:$BL$49,"",0,1)&lt;=TODAY()-MOD(WEEKDAY(TODAY(),2)-5,7)),$D21,0)</f>
        <v>0</v>
      </c>
      <c r="S71" s="65">
        <f ca="1">IF(AND($D21&lt;&gt;0,_xlfn.XLOOKUP($B21,'TH_MLG GRADE 10'!$B$7:$B$49,'TH_MLG GRADE 10'!AI$7:AI$49,"",0,1)="P",
   _xlfn.XLOOKUP($B21,'TH_MLG GRADE 10'!$B$7:$B$49,'TH_MLG GRADE 10'!$BM$7:$BM$49,"",0,1)&lt;=TODAY()-MOD(WEEKDAY(TODAY(),2)-5,7)),$D21,0)</f>
        <v>0</v>
      </c>
      <c r="T71" s="65">
        <f ca="1">IF(AND($D21&lt;&gt;0,_xlfn.XLOOKUP($B21,'TH_MLG GRADE 10'!$B$7:$B$49,'TH_MLG GRADE 10'!AM$7:AM$49,"",0,1)="P",
   _xlfn.XLOOKUP($B21,'TH_MLG GRADE 10'!$B$7:$B$49,'TH_MLG GRADE 10'!$BK$7:$BK$49,"",0,1)&lt;=TODAY()-MOD(WEEKDAY(TODAY(),2)-5,7)),$D21,0)</f>
        <v>0</v>
      </c>
      <c r="U71" s="65">
        <f ca="1">IF(AND($D21&lt;&gt;0,_xlfn.XLOOKUP($B21,'TH_MLG GRADE 10'!$B$7:$B$49,'TH_MLG GRADE 10'!AN$7:AN$49,"",0,1)="P",
   _xlfn.XLOOKUP($B21,'TH_MLG GRADE 10'!$B$7:$B$49,'TH_MLG GRADE 10'!$BL$7:$BL$49,"",0,1)&lt;=TODAY()-MOD(WEEKDAY(TODAY(),2)-5,7)),$D21,0)</f>
        <v>0</v>
      </c>
      <c r="V71" s="65">
        <f ca="1">IF(AND($D21&lt;&gt;0,_xlfn.XLOOKUP($B21,'TH_MLG GRADE 10'!$B$7:$B$49,'TH_MLG GRADE 10'!AO$7:AO$49,"",0,1)="P",
   _xlfn.XLOOKUP($B21,'TH_MLG GRADE 10'!$B$7:$B$49,'TH_MLG GRADE 10'!$BM$7:$BM$49,"",0,1)&lt;=TODAY()-MOD(WEEKDAY(TODAY(),2)-5,7)),$D21,0)</f>
        <v>0</v>
      </c>
      <c r="W71" s="65">
        <f ca="1">IF(AND($D21&lt;&gt;0,_xlfn.XLOOKUP($B21,'TH_MLG GRADE 10'!$B$7:$B$49,'TH_MLG GRADE 10'!AY$7:AY$49,"",0,1)="P",
   _xlfn.XLOOKUP($B21,'TH_MLG GRADE 10'!$B$7:$B$49,'TH_MLG GRADE 10'!$BK$7:$BK$49,"",0,1)&lt;=TODAY()-MOD(WEEKDAY(TODAY(),2)-5,7)),$D21,0)</f>
        <v>0</v>
      </c>
      <c r="X71" s="65">
        <f ca="1">IF(AND($D21&lt;&gt;0,_xlfn.XLOOKUP($B21,'TH_MLG GRADE 10'!$B$7:$B$49,'TH_MLG GRADE 10'!AZ$7:AZ$49,"",0,1)="P",
   _xlfn.XLOOKUP($B21,'TH_MLG GRADE 10'!$B$7:$B$49,'TH_MLG GRADE 10'!$BL$7:$BL$49,"",0,1)&lt;=TODAY()-MOD(WEEKDAY(TODAY(),2)-5,7)),$D21,0)</f>
        <v>0</v>
      </c>
      <c r="Y71" s="65">
        <f ca="1">IF(AND($D21&lt;&gt;0,_xlfn.XLOOKUP($B21,'TH_MLG GRADE 10'!$B$7:$B$49,'TH_MLG GRADE 10'!BA$7:BA$49,"",0,1)="P",
   _xlfn.XLOOKUP($B21,'TH_MLG GRADE 10'!$B$7:$B$49,'TH_MLG GRADE 10'!$BM$7:$BM$49,"",0,1)&lt;=TODAY()-MOD(WEEKDAY(TODAY(),2)-5,7)),$D21,0)</f>
        <v>0</v>
      </c>
      <c r="Z71" s="65">
        <f ca="1">IF(AND($D21&lt;&gt;0,_xlfn.XLOOKUP($B21,'TH_MLG GRADE 10'!$B$7:$B$49,'TH_MLG GRADE 10'!BE$7:BE$49,"",0,1)="P",
   _xlfn.XLOOKUP($B21,'TH_MLG GRADE 10'!$B$7:$B$49,'TH_MLG GRADE 10'!$BK$7:$BK$49,"",0,1)&lt;=TODAY()-MOD(WEEKDAY(TODAY(),2)-5,7)),$D21,0)</f>
        <v>0</v>
      </c>
      <c r="AA71" s="65">
        <f ca="1">IF(AND($D21&lt;&gt;0,_xlfn.XLOOKUP($B21,'TH_MLG GRADE 10'!$B$7:$B$49,'TH_MLG GRADE 10'!BF$7:BF$49,"",0,1)="P",
   _xlfn.XLOOKUP($B21,'TH_MLG GRADE 10'!$B$7:$B$49,'TH_MLG GRADE 10'!$BL$7:$BL$49,"",0,1)&lt;=TODAY()-MOD(WEEKDAY(TODAY(),2)-5,7)),$D21,0)</f>
        <v>0</v>
      </c>
      <c r="AB71" s="65">
        <f ca="1">IF(AND($D21&lt;&gt;0,_xlfn.XLOOKUP($B21,'TH_MLG GRADE 10'!$B$7:$B$49,'TH_MLG GRADE 10'!BG$7:BG$49,"",0,1)="P",
   _xlfn.XLOOKUP($B21,'TH_MLG GRADE 10'!$B$7:$B$49,'TH_MLG GRADE 10'!$BM$7:$BM$49,"",0,1)&lt;=TODAY()-MOD(WEEKDAY(TODAY(),2)-5,7)),$D21,0)</f>
        <v>0</v>
      </c>
      <c r="AC71" s="65" t="e">
        <f ca="1">IF(AND($D21&lt;&gt;0,_xlfn.XLOOKUP($B21,'TH_MLG GRADE 10'!$B$7:$B$49,'TH_MLG GRADE 10'!#REF!,"",0,1)="P",
   _xlfn.XLOOKUP($B21,'TH_MLG GRADE 10'!$B$7:$B$49,'TH_MLG GRADE 10'!$BK$7:$BK$49,"",0,1)&lt;=TODAY()-MOD(WEEKDAY(TODAY(),2)-5,7)),$D21,0)</f>
        <v>#REF!</v>
      </c>
      <c r="AD71" s="65" t="e">
        <f ca="1">IF(AND($D21&lt;&gt;0,_xlfn.XLOOKUP($B21,'TH_MLG GRADE 10'!$B$7:$B$49,'TH_MLG GRADE 10'!#REF!,"",0,1)="P",
   _xlfn.XLOOKUP($B21,'TH_MLG GRADE 10'!$B$7:$B$49,'TH_MLG GRADE 10'!$BL$7:$BL$49,"",0,1)&lt;=TODAY()-MOD(WEEKDAY(TODAY(),2)-5,7)),$D21,0)</f>
        <v>#REF!</v>
      </c>
      <c r="AE71" s="65" t="e">
        <f ca="1">IF(AND($D21&lt;&gt;0,_xlfn.XLOOKUP($B21,'TH_MLG GRADE 10'!$B$7:$B$49,'TH_MLG GRADE 10'!#REF!,"",0,1)="P",
   _xlfn.XLOOKUP($B21,'TH_MLG GRADE 10'!$B$7:$B$49,'TH_MLG GRADE 10'!$BM$7:$BM$49,"",0,1)&lt;=TODAY()-MOD(WEEKDAY(TODAY(),2)-5,7)),$D21,0)</f>
        <v>#REF!</v>
      </c>
      <c r="AF71" s="65" t="e">
        <f ca="1">IF(AND($D21&lt;&gt;0,_xlfn.XLOOKUP($B21,'TH_MLG GRADE 10'!$B$7:$B$49,'TH_MLG GRADE 10'!#REF!,"",0,1)="P",
   _xlfn.XLOOKUP($B21,'TH_MLG GRADE 10'!$B$7:$B$49,'TH_MLG GRADE 10'!$BK$7:$BK$49,"",0,1)&lt;=TODAY()-MOD(WEEKDAY(TODAY(),2)-5,7)),$D21,0)</f>
        <v>#REF!</v>
      </c>
      <c r="AG71" s="65" t="e">
        <f ca="1">IF(AND($D21&lt;&gt;0,_xlfn.XLOOKUP($B21,'TH_MLG GRADE 10'!$B$7:$B$49,'TH_MLG GRADE 10'!#REF!,"",0,1)="P",
   _xlfn.XLOOKUP($B21,'TH_MLG GRADE 10'!$B$7:$B$49,'TH_MLG GRADE 10'!$BL$7:$BL$49,"",0,1)&lt;=TODAY()-MOD(WEEKDAY(TODAY(),2)-5,7)),$D21,0)</f>
        <v>#REF!</v>
      </c>
      <c r="AH71" s="65" t="e">
        <f ca="1">IF(AND($D21&lt;&gt;0,_xlfn.XLOOKUP($B21,'TH_MLG GRADE 10'!$B$7:$B$49,'TH_MLG GRADE 10'!#REF!,"",0,1)="P",
   _xlfn.XLOOKUP($B21,'TH_MLG GRADE 10'!$B$7:$B$49,'TH_MLG GRADE 10'!$BM$7:$BM$49,"",0,1)&lt;=TODAY()-MOD(WEEKDAY(TODAY(),2)-5,7)),$D21,0)</f>
        <v>#REF!</v>
      </c>
      <c r="AI71" s="67">
        <f ca="1">IF(AND($D21&lt;&gt;0,_xlfn.XLOOKUP($B21,'TH_CMI GRADE 10'!$B$7:$B$49,'TH_CMI GRADE 10'!C$7:C$49,"",0,1)="P",
   _xlfn.XLOOKUP($B21,'TH_CMI GRADE 10'!$B$7:$B$49,'TH_CMI GRADE 10'!$AS$7:$AS$49,"",0,1)&lt;=TODAY()-MOD(WEEKDAY(TODAY(),2)-5,7)),$D21,0)</f>
        <v>0</v>
      </c>
      <c r="AJ71" s="67">
        <f ca="1">IF(AND($D21&lt;&gt;0,_xlfn.XLOOKUP($B21,'TH_CMI GRADE 10'!$B$7:$B$49,'TH_CMI GRADE 10'!D$7:D$49,"",0,1)="P",
   _xlfn.XLOOKUP($B21,'TH_CMI GRADE 10'!$B$7:$B$49,'TH_CMI GRADE 10'!$AT$7:$AT$49,"",0,1)&lt;=TODAY()-MOD(WEEKDAY(TODAY(),2)-5,7)),$D21,0)</f>
        <v>0</v>
      </c>
      <c r="AK71" s="67" t="e">
        <f ca="1">IF(AND($D21&lt;&gt;0,_xlfn.XLOOKUP($B21,'TH_CMI GRADE 10'!$B$7:$B$49,'TH_CMI GRADE 10'!H$7:H$49,"",0,1)="P",
   _xlfn.XLOOKUP($B21,'TH_CMI GRADE 10'!$B$7:$B$49,'TH_CMI GRADE 10'!#REF!,"",0,1)&lt;=TODAY()-MOD(WEEKDAY(TODAY(),2)-5,7)),$D21,0)</f>
        <v>#REF!</v>
      </c>
      <c r="AL71" s="67">
        <f ca="1">IF(AND($D21&lt;&gt;0,_xlfn.XLOOKUP($B21,'TH_CMI GRADE 10'!$B$7:$B$49,'TH_CMI GRADE 10'!I$7:I$49,"",0,1)="P",
   _xlfn.XLOOKUP($B21,'TH_CMI GRADE 10'!$B$7:$B$49,'TH_CMI GRADE 10'!$AS$7:$AS$49,"",0,1)&lt;=TODAY()-MOD(WEEKDAY(TODAY(),2)-5,7)),$D21,0)</f>
        <v>0</v>
      </c>
      <c r="AM71" s="67">
        <f ca="1">IF(AND($D21&lt;&gt;0,_xlfn.XLOOKUP($B21,'TH_CMI GRADE 10'!$B$7:$B$49,'TH_CMI GRADE 10'!J$7:J$49,"",0,1)="P",
   _xlfn.XLOOKUP($B21,'TH_CMI GRADE 10'!$B$7:$B$49,'TH_CMI GRADE 10'!$AT$7:$AT$49,"",0,1)&lt;=TODAY()-MOD(WEEKDAY(TODAY(),2)-5,7)),$D21,0)</f>
        <v>0</v>
      </c>
      <c r="AN71" s="67" t="e">
        <f ca="1">IF(AND($D21&lt;&gt;0,_xlfn.XLOOKUP($B21,'TH_CMI GRADE 10'!$B$7:$B$49,'TH_CMI GRADE 10'!K$7:K$49,"",0,1)="P",
   _xlfn.XLOOKUP($B21,'TH_CMI GRADE 10'!$B$7:$B$49,'TH_CMI GRADE 10'!#REF!,"",0,1)&lt;=TODAY()-MOD(WEEKDAY(TODAY(),2)-5,7)),$D21,0)</f>
        <v>#REF!</v>
      </c>
      <c r="AO71" s="67">
        <f ca="1">IF(AND($D21&lt;&gt;0,_xlfn.XLOOKUP($B21,'TH_CMI GRADE 10'!$B$7:$B$49,'TH_CMI GRADE 10'!O$7:O$49,"",0,1)="P",
   _xlfn.XLOOKUP($B21,'TH_CMI GRADE 10'!$B$7:$B$49,'TH_CMI GRADE 10'!$AS$7:$AS$49,"",0,1)&lt;=TODAY()-MOD(WEEKDAY(TODAY(),2)-5,7)),$D21,0)</f>
        <v>0</v>
      </c>
      <c r="AP71" s="67">
        <f ca="1">IF(AND($D21&lt;&gt;0,_xlfn.XLOOKUP($B21,'TH_CMI GRADE 10'!$B$7:$B$49,'TH_CMI GRADE 10'!P$7:P$49,"",0,1)="P",
   _xlfn.XLOOKUP($B21,'TH_CMI GRADE 10'!$B$7:$B$49,'TH_CMI GRADE 10'!$AT$7:$AT$49,"",0,1)&lt;=TODAY()-MOD(WEEKDAY(TODAY(),2)-5,7)),$D21,0)</f>
        <v>0</v>
      </c>
      <c r="AQ71" s="67" t="e">
        <f ca="1">IF(AND($D21&lt;&gt;0,_xlfn.XLOOKUP($B21,'TH_CMI GRADE 10'!$B$7:$B$49,'TH_CMI GRADE 10'!Q$7:Q$49,"",0,1)="P",
   _xlfn.XLOOKUP($B21,'TH_CMI GRADE 10'!$B$7:$B$49,'TH_CMI GRADE 10'!#REF!,"",0,1)&lt;=TODAY()-MOD(WEEKDAY(TODAY(),2)-5,7)),$D21,0)</f>
        <v>#REF!</v>
      </c>
      <c r="AR71" s="67">
        <f ca="1">IF(AND($D21&lt;&gt;0,_xlfn.XLOOKUP($B21,'TH_CMI GRADE 10'!$B$7:$B$49,'TH_CMI GRADE 10'!U$7:U$49,"",0,1)="P",
   _xlfn.XLOOKUP($B21,'TH_CMI GRADE 10'!$B$7:$B$49,'TH_CMI GRADE 10'!$AS$7:$AS$49,"",0,1)&lt;=TODAY()-MOD(WEEKDAY(TODAY(),2)-5,7)),$D21,0)</f>
        <v>0</v>
      </c>
      <c r="AS71" s="67">
        <f ca="1">IF(AND($D21&lt;&gt;0,_xlfn.XLOOKUP($B21,'TH_CMI GRADE 10'!$B$7:$B$49,'TH_CMI GRADE 10'!V$7:V$49,"",0,1)="P",
   _xlfn.XLOOKUP($B21,'TH_CMI GRADE 10'!$B$7:$B$49,'TH_CMI GRADE 10'!$AT$7:$AT$49,"",0,1)&lt;=TODAY()-MOD(WEEKDAY(TODAY(),2)-5,7)),$D21,0)</f>
        <v>0</v>
      </c>
      <c r="AT71" s="67" t="e">
        <f ca="1">IF(AND($D21&lt;&gt;0,_xlfn.XLOOKUP($B21,'TH_CMI GRADE 10'!$B$7:$B$49,'TH_CMI GRADE 10'!W$7:W$49,"",0,1)="P",
   _xlfn.XLOOKUP($B21,'TH_CMI GRADE 10'!$B$7:$B$49,'TH_CMI GRADE 10'!#REF!,"",0,1)&lt;=TODAY()-MOD(WEEKDAY(TODAY(),2)-5,7)),$D21,0)</f>
        <v>#REF!</v>
      </c>
      <c r="AU71" s="67">
        <f ca="1">IF(AND($D21&lt;&gt;0,_xlfn.XLOOKUP($B21,'TH_CMI GRADE 10'!$B$7:$B$49,'TH_CMI GRADE 10'!AA$7:AA$49,"",0,1)="P",
   _xlfn.XLOOKUP($B21,'TH_CMI GRADE 10'!$B$7:$B$49,'TH_CMI GRADE 10'!$AS$7:$AS$49,"",0,1)&lt;=TODAY()-MOD(WEEKDAY(TODAY(),2)-5,7)),$D21,0)</f>
        <v>0</v>
      </c>
      <c r="AV71" s="67">
        <f ca="1">IF(AND($D21&lt;&gt;0,_xlfn.XLOOKUP($B21,'TH_CMI GRADE 10'!$B$7:$B$49,'TH_CMI GRADE 10'!AB$7:AB$49,"",0,1)="P",
   _xlfn.XLOOKUP($B21,'TH_CMI GRADE 10'!$B$7:$B$49,'TH_CMI GRADE 10'!$AT$7:$AT$49,"",0,1)&lt;=TODAY()-MOD(WEEKDAY(TODAY(),2)-5,7)),$D21,0)</f>
        <v>0</v>
      </c>
      <c r="AW71" s="67" t="e">
        <f ca="1">IF(AND($D21&lt;&gt;0,_xlfn.XLOOKUP($B21,'TH_CMI GRADE 10'!$B$7:$B$49,'TH_CMI GRADE 10'!AC$7:AC$49,"",0,1)="P",
   _xlfn.XLOOKUP($B21,'TH_CMI GRADE 10'!$B$7:$B$49,'TH_CMI GRADE 10'!#REF!,"",0,1)&lt;=TODAY()-MOD(WEEKDAY(TODAY(),2)-5,7)),$D21,0)</f>
        <v>#REF!</v>
      </c>
      <c r="AX71" s="67">
        <f ca="1">IF(AND($D21&lt;&gt;0,_xlfn.XLOOKUP($B21,'TH_CMI GRADE 10'!$B$7:$B$49,'TH_CMI GRADE 10'!AG$7:AG$49,"",0,1)="P",
   _xlfn.XLOOKUP($B21,'TH_CMI GRADE 10'!$B$7:$B$49,'TH_CMI GRADE 10'!$AS$7:$AS$49,"",0,1)&lt;=TODAY()-MOD(WEEKDAY(TODAY(),2)-5,7)),$D21,0)</f>
        <v>0</v>
      </c>
      <c r="AY71" s="67">
        <f ca="1">IF(AND($D21&lt;&gt;0,_xlfn.XLOOKUP($B21,'TH_CMI GRADE 10'!$B$7:$B$49,'TH_CMI GRADE 10'!AH$7:AH$49,"",0,1)="P",
   _xlfn.XLOOKUP($B21,'TH_CMI GRADE 10'!$B$7:$B$49,'TH_CMI GRADE 10'!$AT$7:$AT$49,"",0,1)&lt;=TODAY()-MOD(WEEKDAY(TODAY(),2)-5,7)),$D21,0)</f>
        <v>0</v>
      </c>
      <c r="AZ71" s="67" t="e">
        <f ca="1">IF(AND($D21&lt;&gt;0,_xlfn.XLOOKUP($B21,'TH_CMI GRADE 10'!$B$7:$B$49,'TH_CMI GRADE 10'!AI$7:AI$49,"",0,1)="P",
   _xlfn.XLOOKUP($B21,'TH_CMI GRADE 10'!$B$7:$B$49,'TH_CMI GRADE 10'!#REF!,"",0,1)&lt;=TODAY()-MOD(WEEKDAY(TODAY(),2)-5,7)),$D21,0)</f>
        <v>#REF!</v>
      </c>
      <c r="BA71" s="65" t="e">
        <f ca="1">IF(AND($D21&lt;&gt;0,_xlfn.XLOOKUP($B21,'PW_MLG GRADE 10'!$B$7:$B$31,'PW_MLG GRADE 10'!R$7:R$31,"",0,1)="P",
   _xlfn.XLOOKUP($B21,'PW_MLG GRADE 10'!$B$7:$B$31,'PW_MLG GRADE 10'!#REF!,"",0,1)&lt;=TODAY()-MOD(WEEKDAY(TODAY(),2)-5,7)),$D21,0)</f>
        <v>#REF!</v>
      </c>
      <c r="BB71" s="65" t="e">
        <f ca="1">IF(AND($D21&lt;&gt;0,_xlfn.XLOOKUP($B21,'PW_MLG GRADE 10'!$B$7:$B$31,'PW_MLG GRADE 10'!S$7:S$31,"",0,1)="P",
   _xlfn.XLOOKUP($B21,'PW_MLG GRADE 10'!$B$7:$B$31,'PW_MLG GRADE 10'!#REF!,"",0,1)&lt;=TODAY()-MOD(WEEKDAY(TODAY(),2)-5,7)),$D21,0)</f>
        <v>#REF!</v>
      </c>
      <c r="BC71" s="65" t="e">
        <f ca="1">IF(AND($D21&lt;&gt;0,_xlfn.XLOOKUP($B21,'PW_MLG GRADE 10'!$B$7:$B$31,'PW_MLG GRADE 10'!T$7:T$31,"",0,1)="P",
   _xlfn.XLOOKUP($B21,'PW_MLG GRADE 10'!$B$7:$B$31,'PW_MLG GRADE 10'!#REF!,"",0,1)&lt;=TODAY()-MOD(WEEKDAY(TODAY(),2)-5,7)),$D21,0)</f>
        <v>#REF!</v>
      </c>
      <c r="BD71" s="65" t="e">
        <f ca="1">IF(AND($D21&lt;&gt;0,_xlfn.XLOOKUP($B21,'PW_MLG GRADE 10'!$B$7:$B$31,'PW_MLG GRADE 10'!AA$7:AA$31,"",0,1)="P",
   _xlfn.XLOOKUP($B21,'PW_MLG GRADE 10'!$B$7:$B$31,'PW_MLG GRADE 10'!#REF!,"",0,1)&lt;=TODAY()-MOD(WEEKDAY(TODAY(),2)-5,7)),$D21,0)</f>
        <v>#REF!</v>
      </c>
      <c r="BE71" s="65" t="e">
        <f ca="1">IF(AND($D21&lt;&gt;0,_xlfn.XLOOKUP($B21,'PW_MLG GRADE 10'!$B$7:$B$31,'PW_MLG GRADE 10'!AB$7:AB$31,"",0,1)="P",
   _xlfn.XLOOKUP($B21,'PW_MLG GRADE 10'!$B$7:$B$31,'PW_MLG GRADE 10'!#REF!,"",0,1)&lt;=TODAY()-MOD(WEEKDAY(TODAY(),2)-5,7)),$D21,0)</f>
        <v>#REF!</v>
      </c>
      <c r="BF71" s="65" t="e">
        <f ca="1">IF(AND($D21&lt;&gt;0,_xlfn.XLOOKUP($B21,'PW_MLG GRADE 10'!$B$7:$B$31,'PW_MLG GRADE 10'!AC$7:AC$31,"",0,1)="P",
   _xlfn.XLOOKUP($B21,'PW_MLG GRADE 10'!$B$7:$B$31,'PW_MLG GRADE 10'!#REF!,"",0,1)&lt;=TODAY()-MOD(WEEKDAY(TODAY(),2)-5,7)),$D21,0)</f>
        <v>#REF!</v>
      </c>
      <c r="BG71" s="65" t="e">
        <f ca="1">IF(AND($D21&lt;&gt;0,_xlfn.XLOOKUP($B21,'PW_MLG GRADE 10'!$B$7:$B$31,'PW_MLG GRADE 10'!AD$7:AD$31,"",0,1)="P",
   _xlfn.XLOOKUP($B21,'PW_MLG GRADE 10'!$B$7:$B$31,'PW_MLG GRADE 10'!#REF!,"",0,1)&lt;=TODAY()-MOD(WEEKDAY(TODAY(),2)-5,7)),$D21,0)</f>
        <v>#REF!</v>
      </c>
      <c r="BH71" s="65" t="e">
        <f ca="1">IF(AND($D21&lt;&gt;0,_xlfn.XLOOKUP($B21,'PW_MLG GRADE 10'!$B$7:$B$31,'PW_MLG GRADE 10'!AE$7:AE$31,"",0,1)="P",
   _xlfn.XLOOKUP($B21,'PW_MLG GRADE 10'!$B$7:$B$31,'PW_MLG GRADE 10'!#REF!,"",0,1)&lt;=TODAY()-MOD(WEEKDAY(TODAY(),2)-5,7)),$D21,0)</f>
        <v>#REF!</v>
      </c>
      <c r="BI71" s="65" t="e">
        <f ca="1">IF(AND($D21&lt;&gt;0,_xlfn.XLOOKUP($B21,'PW_MLG GRADE 10'!$B$7:$B$31,'PW_MLG GRADE 10'!AF$7:AF$31,"",0,1)="P",
   _xlfn.XLOOKUP($B21,'PW_MLG GRADE 10'!$B$7:$B$31,'PW_MLG GRADE 10'!#REF!,"",0,1)&lt;=TODAY()-MOD(WEEKDAY(TODAY(),2)-5,7)),$D21,0)</f>
        <v>#REF!</v>
      </c>
      <c r="BJ71" s="65" t="e">
        <f ca="1">IF(AND($D21&lt;&gt;0,_xlfn.XLOOKUP($B21,'PW_MLG GRADE 10'!$B$7:$B$31,'PW_MLG GRADE 10'!AG$7:AG$31,"",0,1)="P",
   _xlfn.XLOOKUP($B21,'PW_MLG GRADE 10'!$B$7:$B$31,'PW_MLG GRADE 10'!#REF!,"",0,1)&lt;=TODAY()-MOD(WEEKDAY(TODAY(),2)-5,7)),$D21,0)</f>
        <v>#REF!</v>
      </c>
      <c r="BK71" s="65" t="e">
        <f ca="1">IF(AND($D21&lt;&gt;0,_xlfn.XLOOKUP($B21,'PW_MLG GRADE 10'!$B$7:$B$31,'PW_MLG GRADE 10'!AH$7:AH$31,"",0,1)="P",
   _xlfn.XLOOKUP($B21,'PW_MLG GRADE 10'!$B$7:$B$31,'PW_MLG GRADE 10'!#REF!,"",0,1)&lt;=TODAY()-MOD(WEEKDAY(TODAY(),2)-5,7)),$D21,0)</f>
        <v>#REF!</v>
      </c>
      <c r="BL71" s="65" t="e">
        <f ca="1">IF(AND($D21&lt;&gt;0,_xlfn.XLOOKUP($B21,'PW_MLG GRADE 10'!$B$7:$B$31,'PW_MLG GRADE 10'!AI$7:AI$31,"",0,1)="P",
   _xlfn.XLOOKUP($B21,'PW_MLG GRADE 10'!$B$7:$B$31,'PW_MLG GRADE 10'!#REF!,"",0,1)&lt;=TODAY()-MOD(WEEKDAY(TODAY(),2)-5,7)),$D21,0)</f>
        <v>#REF!</v>
      </c>
      <c r="BM71" s="65" t="e">
        <f ca="1">IF(AND($D21&lt;&gt;0,_xlfn.XLOOKUP($B21,'PW_MLG GRADE 10'!$B$7:$B$31,'PW_MLG GRADE 10'!AJ$7:AJ$31,"",0,1)="P",
   _xlfn.XLOOKUP($B21,'PW_MLG GRADE 10'!$B$7:$B$31,'PW_MLG GRADE 10'!#REF!,"",0,1)&lt;=TODAY()-MOD(WEEKDAY(TODAY(),2)-5,7)),$D21,0)</f>
        <v>#REF!</v>
      </c>
      <c r="BN71" s="65" t="e">
        <f ca="1">IF(AND($D21&lt;&gt;0,_xlfn.XLOOKUP($B21,'PW_MLG GRADE 10'!$B$7:$B$31,'PW_MLG GRADE 10'!AK$7:AK$31,"",0,1)="P",
   _xlfn.XLOOKUP($B21,'PW_MLG GRADE 10'!$B$7:$B$31,'PW_MLG GRADE 10'!#REF!,"",0,1)&lt;=TODAY()-MOD(WEEKDAY(TODAY(),2)-5,7)),$D21,0)</f>
        <v>#REF!</v>
      </c>
      <c r="BO71" s="65" t="e">
        <f ca="1">IF(AND($D21&lt;&gt;0,_xlfn.XLOOKUP($B21,'PW_MLG GRADE 10'!$B$7:$B$31,'PW_MLG GRADE 10'!AL$7:AL$31,"",0,1)="P",
   _xlfn.XLOOKUP($B21,'PW_MLG GRADE 10'!$B$7:$B$31,'PW_MLG GRADE 10'!#REF!,"",0,1)&lt;=TODAY()-MOD(WEEKDAY(TODAY(),2)-5,7)),$D21,0)</f>
        <v>#REF!</v>
      </c>
      <c r="BP71" s="65" t="e">
        <f ca="1">IF(AND($D21&lt;&gt;0,_xlfn.XLOOKUP($B21,'PW_MLG GRADE 10'!$B$7:$B$31,'PW_MLG GRADE 10'!AM$7:AM$31,"",0,1)="P",
   _xlfn.XLOOKUP($B21,'PW_MLG GRADE 10'!$B$7:$B$31,'PW_MLG GRADE 10'!#REF!,"",0,1)&lt;=TODAY()-MOD(WEEKDAY(TODAY(),2)-5,7)),$D21,0)</f>
        <v>#REF!</v>
      </c>
      <c r="BQ71" s="65" t="e">
        <f ca="1">IF(AND($D21&lt;&gt;0,_xlfn.XLOOKUP($B21,'PW_MLG GRADE 10'!$B$7:$B$31,'PW_MLG GRADE 10'!AN$7:AN$31,"",0,1)="P",
   _xlfn.XLOOKUP($B21,'PW_MLG GRADE 10'!$B$7:$B$31,'PW_MLG GRADE 10'!#REF!,"",0,1)&lt;=TODAY()-MOD(WEEKDAY(TODAY(),2)-5,7)),$D21,0)</f>
        <v>#REF!</v>
      </c>
      <c r="BR71" s="65" t="e">
        <f ca="1">IF(AND($D21&lt;&gt;0,_xlfn.XLOOKUP($B21,'PW_MLG GRADE 10'!$B$7:$B$31,'PW_MLG GRADE 10'!AO$7:AO$31,"",0,1)="P",
   _xlfn.XLOOKUP($B21,'PW_MLG GRADE 10'!$B$7:$B$31,'PW_MLG GRADE 10'!#REF!,"",0,1)&lt;=TODAY()-MOD(WEEKDAY(TODAY(),2)-5,7)),$D21,0)</f>
        <v>#REF!</v>
      </c>
      <c r="BS71" s="65" t="e">
        <f ca="1">IF(AND($D21&lt;&gt;0,_xlfn.XLOOKUP($B21,'PW_MLG GRADE 10'!$B$7:$B$31,'PW_MLG GRADE 10'!AP$7:AP$31,"",0,1)="P",
   _xlfn.XLOOKUP($B21,'PW_MLG GRADE 10'!$B$7:$B$31,'PW_MLG GRADE 10'!#REF!,"",0,1)&lt;=TODAY()-MOD(WEEKDAY(TODAY(),2)-5,7)),$D21,0)</f>
        <v>#REF!</v>
      </c>
      <c r="BT71" s="65" t="e">
        <f ca="1">IF(AND($D21&lt;&gt;0,_xlfn.XLOOKUP($B21,'PW_MLG GRADE 10'!$B$7:$B$31,'PW_MLG GRADE 10'!AQ$7:AQ$31,"",0,1)="P",
   _xlfn.XLOOKUP($B21,'PW_MLG GRADE 10'!$B$7:$B$31,'PW_MLG GRADE 10'!#REF!,"",0,1)&lt;=TODAY()-MOD(WEEKDAY(TODAY(),2)-5,7)),$D21,0)</f>
        <v>#REF!</v>
      </c>
      <c r="BU71" s="65" t="e">
        <f ca="1">IF(AND($D21&lt;&gt;0,_xlfn.XLOOKUP($B21,'PW_MLG GRADE 10'!$B$7:$B$31,'PW_MLG GRADE 10'!AR$7:AR$31,"",0,1)="P",
   _xlfn.XLOOKUP($B21,'PW_MLG GRADE 10'!$B$7:$B$31,'PW_MLG GRADE 10'!#REF!,"",0,1)&lt;=TODAY()-MOD(WEEKDAY(TODAY(),2)-5,7)),$D21,0)</f>
        <v>#REF!</v>
      </c>
      <c r="BV71" s="65" t="e">
        <f ca="1">IF(AND($D21&lt;&gt;0,_xlfn.XLOOKUP($B21,'PW_MLG GRADE 10'!$B$7:$B$31,'PW_MLG GRADE 10'!AY$7:AY$31,"",0,1)="P",
   _xlfn.XLOOKUP($B21,'PW_MLG GRADE 10'!$B$7:$B$31,'PW_MLG GRADE 10'!#REF!,"",0,1)&lt;=TODAY()-MOD(WEEKDAY(TODAY(),2)-5,7)),$D21,0)</f>
        <v>#REF!</v>
      </c>
      <c r="BW71" s="65" t="e">
        <f ca="1">IF(AND($D21&lt;&gt;0,_xlfn.XLOOKUP($B21,'PW_MLG GRADE 10'!$B$7:$B$31,'PW_MLG GRADE 10'!AZ$7:AZ$31,"",0,1)="P",
   _xlfn.XLOOKUP($B21,'PW_MLG GRADE 10'!$B$7:$B$31,'PW_MLG GRADE 10'!#REF!,"",0,1)&lt;=TODAY()-MOD(WEEKDAY(TODAY(),2)-5,7)),$D21,0)</f>
        <v>#REF!</v>
      </c>
      <c r="BX71" s="65" t="e">
        <f ca="1">IF(AND($D21&lt;&gt;0,_xlfn.XLOOKUP($B21,'PW_MLG GRADE 10'!$B$7:$B$31,'PW_MLG GRADE 10'!BA$7:BA$31,"",0,1)="P",
   _xlfn.XLOOKUP($B21,'PW_MLG GRADE 10'!$B$7:$B$31,'PW_MLG GRADE 10'!#REF!,"",0,1)&lt;=TODAY()-MOD(WEEKDAY(TODAY(),2)-5,7)),$D21,0)</f>
        <v>#REF!</v>
      </c>
      <c r="BY71" s="65" t="e">
        <f ca="1">IF(AND($D21&lt;&gt;0,_xlfn.XLOOKUP($B21,'PW_MLG GRADE 10'!$B$7:$B$31,'PW_MLG GRADE 10'!BB$7:BB$31,"",0,1)="P",
   _xlfn.XLOOKUP($B21,'PW_MLG GRADE 10'!$B$7:$B$31,'PW_MLG GRADE 10'!#REF!,"",0,1)&lt;=TODAY()-MOD(WEEKDAY(TODAY(),2)-5,7)),$D21,0)</f>
        <v>#REF!</v>
      </c>
      <c r="BZ71" s="65" t="e">
        <f ca="1">IF(AND($D21&lt;&gt;0,_xlfn.XLOOKUP($B21,'PW_MLG GRADE 10'!$B$7:$B$31,'PW_MLG GRADE 10'!BC$7:BC$31,"",0,1)="P",
   _xlfn.XLOOKUP($B21,'PW_MLG GRADE 10'!$B$7:$B$31,'PW_MLG GRADE 10'!#REF!,"",0,1)&lt;=TODAY()-MOD(WEEKDAY(TODAY(),2)-5,7)),$D21,0)</f>
        <v>#REF!</v>
      </c>
      <c r="CA71" s="65" t="e">
        <f ca="1">IF(AND($D21&lt;&gt;0,_xlfn.XLOOKUP($B21,'PW_MLG GRADE 10'!$B$7:$B$31,'PW_MLG GRADE 10'!BD$7:BD$31,"",0,1)="P",
   _xlfn.XLOOKUP($B21,'PW_MLG GRADE 10'!$B$7:$B$31,'PW_MLG GRADE 10'!#REF!,"",0,1)&lt;=TODAY()-MOD(WEEKDAY(TODAY(),2)-5,7)),$D21,0)</f>
        <v>#REF!</v>
      </c>
      <c r="CB71" s="65" t="e">
        <f ca="1">IF(AND($D21&lt;&gt;0,_xlfn.XLOOKUP($B21,'PW_MLG GRADE 10'!$B$7:$B$31,'PW_MLG GRADE 10'!BE$7:BE$31,"",0,1)="P",
   _xlfn.XLOOKUP($B21,'PW_MLG GRADE 10'!$B$7:$B$31,'PW_MLG GRADE 10'!#REF!,"",0,1)&lt;=TODAY()-MOD(WEEKDAY(TODAY(),2)-5,7)),$D21,0)</f>
        <v>#REF!</v>
      </c>
      <c r="CC71" s="65" t="e">
        <f ca="1">IF(AND($D21&lt;&gt;0,_xlfn.XLOOKUP($B21,'PW_MLG GRADE 10'!$B$7:$B$31,'PW_MLG GRADE 10'!BF$7:BF$31,"",0,1)="P",
   _xlfn.XLOOKUP($B21,'PW_MLG GRADE 10'!$B$7:$B$31,'PW_MLG GRADE 10'!#REF!,"",0,1)&lt;=TODAY()-MOD(WEEKDAY(TODAY(),2)-5,7)),$D21,0)</f>
        <v>#REF!</v>
      </c>
      <c r="CD71" s="65" t="e">
        <f ca="1">IF(AND($D21&lt;&gt;0,_xlfn.XLOOKUP($B21,'PW_MLG GRADE 10'!$B$7:$B$31,'PW_MLG GRADE 10'!BG$7:BG$31,"",0,1)="P",
   _xlfn.XLOOKUP($B21,'PW_MLG GRADE 10'!$B$7:$B$31,'PW_MLG GRADE 10'!#REF!,"",0,1)&lt;=TODAY()-MOD(WEEKDAY(TODAY(),2)-5,7)),$D21,0)</f>
        <v>#REF!</v>
      </c>
      <c r="CE71" s="67">
        <f ca="1">IF(AND($D21&lt;&gt;0,_xlfn.XLOOKUP($B21,'PW_CMI GRADE 10'!$B$7:$B$31,'PW_CMI GRADE 10'!AY$7:AY$31,"",0,1)="P",
   _xlfn.XLOOKUP($B21,'PW_CMI GRADE 10'!$B$7:$B$31,'PW_CMI GRADE 10'!$U$7:$U$31,"",0,1)&lt;=TODAY()-MOD(WEEKDAY(TODAY(),2)-5,7)),$D21,0)</f>
        <v>0</v>
      </c>
      <c r="CF71" s="67">
        <f ca="1">IF(AND($D21&lt;&gt;0,_xlfn.XLOOKUP($B21,'PW_CMI GRADE 10'!$B$7:$B$31,'PW_CMI GRADE 10'!AZ$7:AZ$31,"",0,1)="P",
   _xlfn.XLOOKUP($B21,'PW_CMI GRADE 10'!$B$7:$B$31,'PW_CMI GRADE 10'!$V$7:$V$31,"",0,1)&lt;=TODAY()-MOD(WEEKDAY(TODAY(),2)-5,7)),$D21,0)</f>
        <v>0</v>
      </c>
      <c r="CG71" s="67">
        <f ca="1">IF(AND($D21&lt;&gt;0,_xlfn.XLOOKUP($B21,'PW_CMI GRADE 10'!$B$7:$B$31,'PW_CMI GRADE 10'!BA$7:BA$31,"",0,1)="P",
   _xlfn.XLOOKUP($B21,'PW_CMI GRADE 10'!$B$7:$B$31,'PW_CMI GRADE 10'!$W$7:$W$31,"",0,1)&lt;=TODAY()-MOD(WEEKDAY(TODAY(),2)-5,7)),$D21,0)</f>
        <v>0</v>
      </c>
      <c r="CH71" s="67">
        <f ca="1">IF(AND($D21&lt;&gt;0,_xlfn.XLOOKUP($B21,'PW_CMI GRADE 10'!$B$7:$B$31,'PW_CMI GRADE 10'!BB$7:BB$31,"",0,1)="P",
   _xlfn.XLOOKUP($B21,'PW_CMI GRADE 10'!$B$7:$B$31,'PW_CMI GRADE 10'!$U$7:$U$31,"",0,1)&lt;=TODAY()-MOD(WEEKDAY(TODAY(),2)-5,7)),$D21,0)</f>
        <v>0</v>
      </c>
      <c r="CI71" s="67">
        <f ca="1">IF(AND($D21&lt;&gt;0,_xlfn.XLOOKUP($B21,'PW_CMI GRADE 10'!$B$7:$B$31,'PW_CMI GRADE 10'!BC$7:BC$31,"",0,1)="P",
   _xlfn.XLOOKUP($B21,'PW_CMI GRADE 10'!$B$7:$B$31,'PW_CMI GRADE 10'!$V$7:$V$31,"",0,1)&lt;=TODAY()-MOD(WEEKDAY(TODAY(),2)-5,7)),$D21,0)</f>
        <v>0</v>
      </c>
      <c r="CJ71" s="67">
        <f ca="1">IF(AND($D21&lt;&gt;0,_xlfn.XLOOKUP($B21,'PW_CMI GRADE 10'!$B$7:$B$31,'PW_CMI GRADE 10'!BD$7:BD$31,"",0,1)="P",
   _xlfn.XLOOKUP($B21,'PW_CMI GRADE 10'!$B$7:$B$31,'PW_CMI GRADE 10'!$W$7:$W$31,"",0,1)&lt;=TODAY()-MOD(WEEKDAY(TODAY(),2)-5,7)),$D21,0)</f>
        <v>0</v>
      </c>
      <c r="CK71" s="67">
        <f ca="1">IF(AND($D21&lt;&gt;0,_xlfn.XLOOKUP($B21,'PW_CMI GRADE 10'!$B$7:$B$31,'PW_CMI GRADE 10'!BE$7:BE$31,"",0,1)="P",
   _xlfn.XLOOKUP($B21,'PW_CMI GRADE 10'!$B$7:$B$31,'PW_CMI GRADE 10'!$U$7:$U$31,"",0,1)&lt;=TODAY()-MOD(WEEKDAY(TODAY(),2)-5,7)),$D21,0)</f>
        <v>0</v>
      </c>
      <c r="CL71" s="67">
        <f ca="1">IF(AND($D21&lt;&gt;0,_xlfn.XLOOKUP($B21,'PW_CMI GRADE 10'!$B$7:$B$31,'PW_CMI GRADE 10'!BF$7:BF$31,"",0,1)="P",
   _xlfn.XLOOKUP($B21,'PW_CMI GRADE 10'!$B$7:$B$31,'PW_CMI GRADE 10'!$V$7:$V$31,"",0,1)&lt;=TODAY()-MOD(WEEKDAY(TODAY(),2)-5,7)),$D21,0)</f>
        <v>0</v>
      </c>
      <c r="CM71" s="67">
        <f ca="1">IF(AND($D21&lt;&gt;0,_xlfn.XLOOKUP($B21,'PW_CMI GRADE 10'!$B$7:$B$31,'PW_CMI GRADE 10'!BG$7:BG$31,"",0,1)="P",
   _xlfn.XLOOKUP($B21,'PW_CMI GRADE 10'!$B$7:$B$31,'PW_CMI GRADE 10'!$W$7:$W$31,"",0,1)&lt;=TODAY()-MOD(WEEKDAY(TODAY(),2)-5,7)),$D21,0)</f>
        <v>0</v>
      </c>
      <c r="CN71" s="67">
        <f ca="1">IF(AND($D21&lt;&gt;0,_xlfn.XLOOKUP($B21,'PW_CMI GRADE 10'!$B$7:$B$31,'PW_CMI GRADE 10'!BH$7:BH$31,"",0,1)="P",
   _xlfn.XLOOKUP($B21,'PW_CMI GRADE 10'!$B$7:$B$31,'PW_CMI GRADE 10'!$U$7:$U$31,"",0,1)&lt;=TODAY()-MOD(WEEKDAY(TODAY(),2)-5,7)),$D21,0)</f>
        <v>0</v>
      </c>
      <c r="CO71" s="67">
        <f ca="1">IF(AND($D21&lt;&gt;0,_xlfn.XLOOKUP($B21,'PW_CMI GRADE 10'!$B$7:$B$31,'PW_CMI GRADE 10'!BI$7:BI$31,"",0,1)="P",
   _xlfn.XLOOKUP($B21,'PW_CMI GRADE 10'!$B$7:$B$31,'PW_CMI GRADE 10'!$V$7:$V$31,"",0,1)&lt;=TODAY()-MOD(WEEKDAY(TODAY(),2)-5,7)),$D21,0)</f>
        <v>0</v>
      </c>
      <c r="CP71" s="67">
        <f ca="1">IF(AND($D21&lt;&gt;0,_xlfn.XLOOKUP($B21,'PW_CMI GRADE 10'!$B$7:$B$31,'PW_CMI GRADE 10'!BJ$7:BJ$31,"",0,1)="P",
   _xlfn.XLOOKUP($B21,'PW_CMI GRADE 10'!$B$7:$B$31,'PW_CMI GRADE 10'!$W$7:$W$31,"",0,1)&lt;=TODAY()-MOD(WEEKDAY(TODAY(),2)-5,7)),$D21,0)</f>
        <v>0</v>
      </c>
      <c r="CQ71" s="67">
        <f ca="1">IF(AND($D21&lt;&gt;0,_xlfn.XLOOKUP($B21,'PW_CMI GRADE 10'!$B$7:$B$31,'PW_CMI GRADE 10'!BK$7:BK$31,"",0,1)="P",
   _xlfn.XLOOKUP($B21,'PW_CMI GRADE 10'!$B$7:$B$31,'PW_CMI GRADE 10'!$U$7:$U$31,"",0,1)&lt;=TODAY()-MOD(WEEKDAY(TODAY(),2)-5,7)),$D21,0)</f>
        <v>0</v>
      </c>
      <c r="CR71" s="67">
        <f ca="1">IF(AND($D21&lt;&gt;0,_xlfn.XLOOKUP($B21,'PW_CMI GRADE 10'!$B$7:$B$31,'PW_CMI GRADE 10'!BL$7:BL$31,"",0,1)="P",
   _xlfn.XLOOKUP($B21,'PW_CMI GRADE 10'!$B$7:$B$31,'PW_CMI GRADE 10'!$V$7:$V$31,"",0,1)&lt;=TODAY()-MOD(WEEKDAY(TODAY(),2)-5,7)),$D21,0)</f>
        <v>0</v>
      </c>
      <c r="CS71" s="67">
        <f ca="1">IF(AND($D21&lt;&gt;0,_xlfn.XLOOKUP($B21,'PW_CMI GRADE 10'!$B$7:$B$31,'PW_CMI GRADE 10'!BM$7:BM$31,"",0,1)="P",
   _xlfn.XLOOKUP($B21,'PW_CMI GRADE 10'!$B$7:$B$31,'PW_CMI GRADE 10'!$W$7:$W$31,"",0,1)&lt;=TODAY()-MOD(WEEKDAY(TODAY(),2)-5,7)),$D21,0)</f>
        <v>0</v>
      </c>
      <c r="CT71" s="67">
        <f ca="1">IF(AND($D21&lt;&gt;0,_xlfn.XLOOKUP($B21,'PW_CMI GRADE 10'!$B$7:$B$31,'PW_CMI GRADE 10'!BN$7:BN$31,"",0,1)="P",
   _xlfn.XLOOKUP($B21,'PW_CMI GRADE 10'!$B$7:$B$31,'PW_CMI GRADE 10'!$U$7:$U$31,"",0,1)&lt;=TODAY()-MOD(WEEKDAY(TODAY(),2)-5,7)),$D21,0)</f>
        <v>0</v>
      </c>
      <c r="CU71" s="67">
        <f ca="1">IF(AND($D21&lt;&gt;0,_xlfn.XLOOKUP($B21,'PW_CMI GRADE 10'!$B$7:$B$31,'PW_CMI GRADE 10'!BO$7:BO$31,"",0,1)="P",
   _xlfn.XLOOKUP($B21,'PW_CMI GRADE 10'!$B$7:$B$31,'PW_CMI GRADE 10'!$V$7:$V$31,"",0,1)&lt;=TODAY()-MOD(WEEKDAY(TODAY(),2)-5,7)),$D21,0)</f>
        <v>0</v>
      </c>
      <c r="CV71" s="67">
        <f ca="1">IF(AND($D21&lt;&gt;0,_xlfn.XLOOKUP($B21,'PW_CMI GRADE 10'!$B$7:$B$31,'PW_CMI GRADE 10'!BP$7:BP$31,"",0,1)="P",
   _xlfn.XLOOKUP($B21,'PW_CMI GRADE 10'!$B$7:$B$31,'PW_CMI GRADE 10'!$W$7:$W$31,"",0,1)&lt;=TODAY()-MOD(WEEKDAY(TODAY(),2)-5,7)),$D21,0)</f>
        <v>0</v>
      </c>
      <c r="CW71" s="62" t="e">
        <f t="shared" ca="1" si="132"/>
        <v>#REF!</v>
      </c>
      <c r="CX71" s="62" t="e">
        <f t="shared" ca="1" si="69"/>
        <v>#REF!</v>
      </c>
      <c r="CY71" s="62" t="e">
        <f t="shared" ca="1" si="70"/>
        <v>#REF!</v>
      </c>
      <c r="CZ71" s="62" t="e">
        <f t="shared" ca="1" si="71"/>
        <v>#REF!</v>
      </c>
      <c r="DA71" s="62" t="e">
        <f t="shared" ca="1" si="72"/>
        <v>#REF!</v>
      </c>
      <c r="DB71" s="62" t="e">
        <f t="shared" ca="1" si="73"/>
        <v>#REF!</v>
      </c>
      <c r="DC71" s="62" t="e">
        <f t="shared" ca="1" si="74"/>
        <v>#REF!</v>
      </c>
      <c r="DD71" s="62" t="e">
        <f t="shared" ca="1" si="75"/>
        <v>#REF!</v>
      </c>
      <c r="DE71" s="62" t="e">
        <f t="shared" ca="1" si="76"/>
        <v>#REF!</v>
      </c>
      <c r="DF71" s="62" t="e">
        <f t="shared" ca="1" si="77"/>
        <v>#REF!</v>
      </c>
      <c r="DG71" s="62" t="e">
        <f t="shared" ca="1" si="78"/>
        <v>#REF!</v>
      </c>
      <c r="DH71" s="62" t="e">
        <f t="shared" ca="1" si="79"/>
        <v>#REF!</v>
      </c>
      <c r="DI71" s="62" t="e">
        <f t="shared" ca="1" si="80"/>
        <v>#REF!</v>
      </c>
      <c r="DJ71" s="62" t="e">
        <f t="shared" ca="1" si="81"/>
        <v>#REF!</v>
      </c>
      <c r="DK71" s="62" t="e">
        <f t="shared" ca="1" si="82"/>
        <v>#REF!</v>
      </c>
      <c r="DL71" s="62" t="e">
        <f t="shared" ca="1" si="83"/>
        <v>#REF!</v>
      </c>
      <c r="DM71" s="62" t="e">
        <f t="shared" ca="1" si="84"/>
        <v>#REF!</v>
      </c>
      <c r="DN71" s="62" t="e">
        <f t="shared" ca="1" si="85"/>
        <v>#REF!</v>
      </c>
      <c r="DO71" s="62" t="e">
        <f t="shared" ca="1" si="86"/>
        <v>#REF!</v>
      </c>
      <c r="DP71" s="62" t="e">
        <f t="shared" ca="1" si="87"/>
        <v>#REF!</v>
      </c>
      <c r="DQ71" s="62" t="e">
        <f t="shared" ca="1" si="88"/>
        <v>#REF!</v>
      </c>
      <c r="DR71" s="62" t="e">
        <f t="shared" ca="1" si="89"/>
        <v>#REF!</v>
      </c>
      <c r="DS71" s="62" t="e">
        <f t="shared" ca="1" si="90"/>
        <v>#REF!</v>
      </c>
      <c r="DT71" s="62" t="e">
        <f t="shared" ca="1" si="91"/>
        <v>#REF!</v>
      </c>
      <c r="DU71" s="62" t="e">
        <f t="shared" ca="1" si="92"/>
        <v>#REF!</v>
      </c>
      <c r="DV71" s="62" t="e">
        <f t="shared" ca="1" si="93"/>
        <v>#REF!</v>
      </c>
      <c r="DW71" s="62" t="e">
        <f t="shared" ca="1" si="94"/>
        <v>#REF!</v>
      </c>
      <c r="DX71" s="62" t="e">
        <f t="shared" ca="1" si="95"/>
        <v>#REF!</v>
      </c>
      <c r="DY71" s="62" t="e">
        <f t="shared" ca="1" si="96"/>
        <v>#REF!</v>
      </c>
      <c r="DZ71" s="62" t="e">
        <f t="shared" ca="1" si="97"/>
        <v>#REF!</v>
      </c>
      <c r="EA71" s="63" t="e">
        <f t="shared" ca="1" si="98"/>
        <v>#REF!</v>
      </c>
      <c r="EB71" s="63" t="e">
        <f t="shared" ca="1" si="99"/>
        <v>#REF!</v>
      </c>
      <c r="EC71" s="63" t="e">
        <f t="shared" ca="1" si="100"/>
        <v>#REF!</v>
      </c>
      <c r="ED71" s="63" t="e">
        <f t="shared" ca="1" si="101"/>
        <v>#REF!</v>
      </c>
      <c r="EE71" s="63" t="e">
        <f t="shared" ca="1" si="102"/>
        <v>#REF!</v>
      </c>
      <c r="EF71" s="63" t="e">
        <f t="shared" ca="1" si="103"/>
        <v>#REF!</v>
      </c>
      <c r="EG71" s="63" t="e">
        <f t="shared" ca="1" si="104"/>
        <v>#REF!</v>
      </c>
      <c r="EH71" s="63" t="e">
        <f t="shared" ca="1" si="105"/>
        <v>#REF!</v>
      </c>
      <c r="EI71" s="63" t="e">
        <f t="shared" ca="1" si="106"/>
        <v>#REF!</v>
      </c>
      <c r="EJ71" s="63" t="e">
        <f t="shared" ca="1" si="107"/>
        <v>#REF!</v>
      </c>
      <c r="EK71" s="63" t="e">
        <f t="shared" ca="1" si="108"/>
        <v>#REF!</v>
      </c>
      <c r="EL71" s="63" t="e">
        <f t="shared" ca="1" si="109"/>
        <v>#REF!</v>
      </c>
      <c r="EM71" s="63" t="e">
        <f t="shared" ca="1" si="110"/>
        <v>#REF!</v>
      </c>
      <c r="EN71" s="63" t="e">
        <f t="shared" ca="1" si="111"/>
        <v>#REF!</v>
      </c>
      <c r="EO71" s="63" t="e">
        <f t="shared" ca="1" si="112"/>
        <v>#REF!</v>
      </c>
      <c r="EP71" s="63" t="e">
        <f t="shared" ca="1" si="113"/>
        <v>#REF!</v>
      </c>
    </row>
    <row r="72" spans="1:171">
      <c r="A72" s="64" t="str">
        <f t="shared" si="131"/>
        <v>4A.1</v>
      </c>
      <c r="B72" s="64" t="s">
        <v>53</v>
      </c>
      <c r="C72" s="29"/>
      <c r="D72" s="29">
        <v>2</v>
      </c>
      <c r="E72" s="65">
        <f ca="1">IF(AND($D22&lt;&gt;0,_xlfn.XLOOKUP($B22,'TH_MLG GRADE 10'!$B$7:$B$49,'TH_MLG GRADE 10'!C$7:C$49,"",0,1)="P",
   _xlfn.XLOOKUP($B22,'TH_MLG GRADE 10'!$B$7:$B$49,'TH_MLG GRADE 10'!$BK$7:$BK$49,"",0,1)&lt;=TODAY()-MOD(WEEKDAY(TODAY(),2)-5,7)),$D22,0)</f>
        <v>0</v>
      </c>
      <c r="F72" s="65">
        <f ca="1">IF(AND($D22&lt;&gt;0,_xlfn.XLOOKUP($B22,'TH_MLG GRADE 10'!$B$7:$B$49,'TH_MLG GRADE 10'!D$7:D$49,"",0,1)="P",
   _xlfn.XLOOKUP($B22,'TH_MLG GRADE 10'!$B$7:$B$49,'TH_MLG GRADE 10'!$BL$7:$BL$49,"",0,1)&lt;=TODAY()-MOD(WEEKDAY(TODAY(),2)-5,7)),$D22,0)</f>
        <v>0</v>
      </c>
      <c r="G72" s="65">
        <f ca="1">IF(AND($D22&lt;&gt;0,_xlfn.XLOOKUP($B22,'TH_MLG GRADE 10'!$B$7:$B$49,'TH_MLG GRADE 10'!E$7:E$49,"",0,1)="P",
   _xlfn.XLOOKUP($B22,'TH_MLG GRADE 10'!$B$7:$B$49,'TH_MLG GRADE 10'!$BM$7:$BM$49,"",0,1)&lt;=TODAY()-MOD(WEEKDAY(TODAY(),2)-5,7)),$D22,0)</f>
        <v>0</v>
      </c>
      <c r="H72" s="65">
        <f ca="1">IF(AND($D22&lt;&gt;0,_xlfn.XLOOKUP($B22,'TH_MLG GRADE 10'!$B$7:$B$49,'TH_MLG GRADE 10'!I$7:I$49,"",0,1)="P",
   _xlfn.XLOOKUP($B22,'TH_MLG GRADE 10'!$B$7:$B$49,'TH_MLG GRADE 10'!$BK$7:$BK$49,"",0,1)&lt;=TODAY()-MOD(WEEKDAY(TODAY(),2)-5,7)),$D22,0)</f>
        <v>0</v>
      </c>
      <c r="I72" s="65">
        <f ca="1">IF(AND($D22&lt;&gt;0,_xlfn.XLOOKUP($B22,'TH_MLG GRADE 10'!$B$7:$B$49,'TH_MLG GRADE 10'!J$7:J$49,"",0,1)="P",
   _xlfn.XLOOKUP($B22,'TH_MLG GRADE 10'!$B$7:$B$49,'TH_MLG GRADE 10'!$BL$7:$BL$49,"",0,1)&lt;=TODAY()-MOD(WEEKDAY(TODAY(),2)-5,7)),$D22,0)</f>
        <v>0</v>
      </c>
      <c r="J72" s="65">
        <f ca="1">IF(AND($D22&lt;&gt;0,_xlfn.XLOOKUP($B22,'TH_MLG GRADE 10'!$B$7:$B$49,'TH_MLG GRADE 10'!K$7:K$49,"",0,1)="P",
   _xlfn.XLOOKUP($B22,'TH_MLG GRADE 10'!$B$7:$B$49,'TH_MLG GRADE 10'!$BM$7:$BM$49,"",0,1)&lt;=TODAY()-MOD(WEEKDAY(TODAY(),2)-5,7)),$D22,0)</f>
        <v>0</v>
      </c>
      <c r="K72" s="65">
        <f ca="1">IF(AND($D22&lt;&gt;0,_xlfn.XLOOKUP($B22,'TH_MLG GRADE 10'!$B$7:$B$49,'TH_MLG GRADE 10'!O$7:O$49,"",0,1)="P",
   _xlfn.XLOOKUP($B22,'TH_MLG GRADE 10'!$B$7:$B$49,'TH_MLG GRADE 10'!$BK$7:$BK$49,"",0,1)&lt;=TODAY()-MOD(WEEKDAY(TODAY(),2)-5,7)),$D22,0)</f>
        <v>0</v>
      </c>
      <c r="L72" s="65">
        <f ca="1">IF(AND($D22&lt;&gt;0,_xlfn.XLOOKUP($B22,'TH_MLG GRADE 10'!$B$7:$B$49,'TH_MLG GRADE 10'!P$7:P$49,"",0,1)="P",
   _xlfn.XLOOKUP($B22,'TH_MLG GRADE 10'!$B$7:$B$49,'TH_MLG GRADE 10'!$BL$7:$BL$49,"",0,1)&lt;=TODAY()-MOD(WEEKDAY(TODAY(),2)-5,7)),$D22,0)</f>
        <v>0</v>
      </c>
      <c r="M72" s="65">
        <f ca="1">IF(AND($D22&lt;&gt;0,_xlfn.XLOOKUP($B22,'TH_MLG GRADE 10'!$B$7:$B$49,'TH_MLG GRADE 10'!Q$7:Q$49,"",0,1)="P",
   _xlfn.XLOOKUP($B22,'TH_MLG GRADE 10'!$B$7:$B$49,'TH_MLG GRADE 10'!$BM$7:$BM$49,"",0,1)&lt;=TODAY()-MOD(WEEKDAY(TODAY(),2)-5,7)),$D22,0)</f>
        <v>0</v>
      </c>
      <c r="N72" s="65">
        <f ca="1">IF(AND($D22&lt;&gt;0,_xlfn.XLOOKUP($B22,'TH_MLG GRADE 10'!$B$7:$B$49,'TH_MLG GRADE 10'!AA$7:AA$49,"",0,1)="P",
   _xlfn.XLOOKUP($B22,'TH_MLG GRADE 10'!$B$7:$B$49,'TH_MLG GRADE 10'!$BK$7:$BK$49,"",0,1)&lt;=TODAY()-MOD(WEEKDAY(TODAY(),2)-5,7)),$D22,0)</f>
        <v>2</v>
      </c>
      <c r="O72" s="65">
        <f ca="1">IF(AND($D22&lt;&gt;0,_xlfn.XLOOKUP($B22,'TH_MLG GRADE 10'!$B$7:$B$49,'TH_MLG GRADE 10'!AB$7:AB$49,"",0,1)="P",
   _xlfn.XLOOKUP($B22,'TH_MLG GRADE 10'!$B$7:$B$49,'TH_MLG GRADE 10'!$BL$7:$BL$49,"",0,1)&lt;=TODAY()-MOD(WEEKDAY(TODAY(),2)-5,7)),$D22,0)</f>
        <v>0</v>
      </c>
      <c r="P72" s="65">
        <f ca="1">IF(AND($D22&lt;&gt;0,_xlfn.XLOOKUP($B22,'TH_MLG GRADE 10'!$B$7:$B$49,'TH_MLG GRADE 10'!AC$7:AC$49,"",0,1)="P",
   _xlfn.XLOOKUP($B22,'TH_MLG GRADE 10'!$B$7:$B$49,'TH_MLG GRADE 10'!$BM$7:$BM$49,"",0,1)&lt;=TODAY()-MOD(WEEKDAY(TODAY(),2)-5,7)),$D22,0)</f>
        <v>2</v>
      </c>
      <c r="Q72" s="65">
        <f ca="1">IF(AND($D22&lt;&gt;0,_xlfn.XLOOKUP($B22,'TH_MLG GRADE 10'!$B$7:$B$49,'TH_MLG GRADE 10'!AG$7:AG$49,"",0,1)="P",
   _xlfn.XLOOKUP($B22,'TH_MLG GRADE 10'!$B$7:$B$49,'TH_MLG GRADE 10'!$BK$7:$BK$49,"",0,1)&lt;=TODAY()-MOD(WEEKDAY(TODAY(),2)-5,7)),$D22,0)</f>
        <v>2</v>
      </c>
      <c r="R72" s="65">
        <f ca="1">IF(AND($D22&lt;&gt;0,_xlfn.XLOOKUP($B22,'TH_MLG GRADE 10'!$B$7:$B$49,'TH_MLG GRADE 10'!AH$7:AH$49,"",0,1)="P",
   _xlfn.XLOOKUP($B22,'TH_MLG GRADE 10'!$B$7:$B$49,'TH_MLG GRADE 10'!$BL$7:$BL$49,"",0,1)&lt;=TODAY()-MOD(WEEKDAY(TODAY(),2)-5,7)),$D22,0)</f>
        <v>2</v>
      </c>
      <c r="S72" s="65">
        <f ca="1">IF(AND($D22&lt;&gt;0,_xlfn.XLOOKUP($B22,'TH_MLG GRADE 10'!$B$7:$B$49,'TH_MLG GRADE 10'!AI$7:AI$49,"",0,1)="P",
   _xlfn.XLOOKUP($B22,'TH_MLG GRADE 10'!$B$7:$B$49,'TH_MLG GRADE 10'!$BM$7:$BM$49,"",0,1)&lt;=TODAY()-MOD(WEEKDAY(TODAY(),2)-5,7)),$D22,0)</f>
        <v>2</v>
      </c>
      <c r="T72" s="65">
        <f ca="1">IF(AND($D22&lt;&gt;0,_xlfn.XLOOKUP($B22,'TH_MLG GRADE 10'!$B$7:$B$49,'TH_MLG GRADE 10'!AM$7:AM$49,"",0,1)="P",
   _xlfn.XLOOKUP($B22,'TH_MLG GRADE 10'!$B$7:$B$49,'TH_MLG GRADE 10'!$BK$7:$BK$49,"",0,1)&lt;=TODAY()-MOD(WEEKDAY(TODAY(),2)-5,7)),$D22,0)</f>
        <v>0</v>
      </c>
      <c r="U72" s="65">
        <f ca="1">IF(AND($D22&lt;&gt;0,_xlfn.XLOOKUP($B22,'TH_MLG GRADE 10'!$B$7:$B$49,'TH_MLG GRADE 10'!AN$7:AN$49,"",0,1)="P",
   _xlfn.XLOOKUP($B22,'TH_MLG GRADE 10'!$B$7:$B$49,'TH_MLG GRADE 10'!$BL$7:$BL$49,"",0,1)&lt;=TODAY()-MOD(WEEKDAY(TODAY(),2)-5,7)),$D22,0)</f>
        <v>0</v>
      </c>
      <c r="V72" s="65">
        <f ca="1">IF(AND($D22&lt;&gt;0,_xlfn.XLOOKUP($B22,'TH_MLG GRADE 10'!$B$7:$B$49,'TH_MLG GRADE 10'!AO$7:AO$49,"",0,1)="P",
   _xlfn.XLOOKUP($B22,'TH_MLG GRADE 10'!$B$7:$B$49,'TH_MLG GRADE 10'!$BM$7:$BM$49,"",0,1)&lt;=TODAY()-MOD(WEEKDAY(TODAY(),2)-5,7)),$D22,0)</f>
        <v>0</v>
      </c>
      <c r="W72" s="65">
        <f ca="1">IF(AND($D22&lt;&gt;0,_xlfn.XLOOKUP($B22,'TH_MLG GRADE 10'!$B$7:$B$49,'TH_MLG GRADE 10'!AY$7:AY$49,"",0,1)="P",
   _xlfn.XLOOKUP($B22,'TH_MLG GRADE 10'!$B$7:$B$49,'TH_MLG GRADE 10'!$BK$7:$BK$49,"",0,1)&lt;=TODAY()-MOD(WEEKDAY(TODAY(),2)-5,7)),$D22,0)</f>
        <v>0</v>
      </c>
      <c r="X72" s="65">
        <f ca="1">IF(AND($D22&lt;&gt;0,_xlfn.XLOOKUP($B22,'TH_MLG GRADE 10'!$B$7:$B$49,'TH_MLG GRADE 10'!AZ$7:AZ$49,"",0,1)="P",
   _xlfn.XLOOKUP($B22,'TH_MLG GRADE 10'!$B$7:$B$49,'TH_MLG GRADE 10'!$BL$7:$BL$49,"",0,1)&lt;=TODAY()-MOD(WEEKDAY(TODAY(),2)-5,7)),$D22,0)</f>
        <v>0</v>
      </c>
      <c r="Y72" s="65">
        <f ca="1">IF(AND($D22&lt;&gt;0,_xlfn.XLOOKUP($B22,'TH_MLG GRADE 10'!$B$7:$B$49,'TH_MLG GRADE 10'!BA$7:BA$49,"",0,1)="P",
   _xlfn.XLOOKUP($B22,'TH_MLG GRADE 10'!$B$7:$B$49,'TH_MLG GRADE 10'!$BM$7:$BM$49,"",0,1)&lt;=TODAY()-MOD(WEEKDAY(TODAY(),2)-5,7)),$D22,0)</f>
        <v>0</v>
      </c>
      <c r="Z72" s="65">
        <f ca="1">IF(AND($D22&lt;&gt;0,_xlfn.XLOOKUP($B22,'TH_MLG GRADE 10'!$B$7:$B$49,'TH_MLG GRADE 10'!BE$7:BE$49,"",0,1)="P",
   _xlfn.XLOOKUP($B22,'TH_MLG GRADE 10'!$B$7:$B$49,'TH_MLG GRADE 10'!$BK$7:$BK$49,"",0,1)&lt;=TODAY()-MOD(WEEKDAY(TODAY(),2)-5,7)),$D22,0)</f>
        <v>0</v>
      </c>
      <c r="AA72" s="65">
        <f ca="1">IF(AND($D22&lt;&gt;0,_xlfn.XLOOKUP($B22,'TH_MLG GRADE 10'!$B$7:$B$49,'TH_MLG GRADE 10'!BF$7:BF$49,"",0,1)="P",
   _xlfn.XLOOKUP($B22,'TH_MLG GRADE 10'!$B$7:$B$49,'TH_MLG GRADE 10'!$BL$7:$BL$49,"",0,1)&lt;=TODAY()-MOD(WEEKDAY(TODAY(),2)-5,7)),$D22,0)</f>
        <v>0</v>
      </c>
      <c r="AB72" s="65">
        <f ca="1">IF(AND($D22&lt;&gt;0,_xlfn.XLOOKUP($B22,'TH_MLG GRADE 10'!$B$7:$B$49,'TH_MLG GRADE 10'!BG$7:BG$49,"",0,1)="P",
   _xlfn.XLOOKUP($B22,'TH_MLG GRADE 10'!$B$7:$B$49,'TH_MLG GRADE 10'!$BM$7:$BM$49,"",0,1)&lt;=TODAY()-MOD(WEEKDAY(TODAY(),2)-5,7)),$D22,0)</f>
        <v>0</v>
      </c>
      <c r="AC72" s="65" t="e">
        <f ca="1">IF(AND($D22&lt;&gt;0,_xlfn.XLOOKUP($B22,'TH_MLG GRADE 10'!$B$7:$B$49,'TH_MLG GRADE 10'!#REF!,"",0,1)="P",
   _xlfn.XLOOKUP($B22,'TH_MLG GRADE 10'!$B$7:$B$49,'TH_MLG GRADE 10'!$BK$7:$BK$49,"",0,1)&lt;=TODAY()-MOD(WEEKDAY(TODAY(),2)-5,7)),$D22,0)</f>
        <v>#REF!</v>
      </c>
      <c r="AD72" s="65" t="e">
        <f ca="1">IF(AND($D22&lt;&gt;0,_xlfn.XLOOKUP($B22,'TH_MLG GRADE 10'!$B$7:$B$49,'TH_MLG GRADE 10'!#REF!,"",0,1)="P",
   _xlfn.XLOOKUP($B22,'TH_MLG GRADE 10'!$B$7:$B$49,'TH_MLG GRADE 10'!$BL$7:$BL$49,"",0,1)&lt;=TODAY()-MOD(WEEKDAY(TODAY(),2)-5,7)),$D22,0)</f>
        <v>#REF!</v>
      </c>
      <c r="AE72" s="65" t="e">
        <f ca="1">IF(AND($D22&lt;&gt;0,_xlfn.XLOOKUP($B22,'TH_MLG GRADE 10'!$B$7:$B$49,'TH_MLG GRADE 10'!#REF!,"",0,1)="P",
   _xlfn.XLOOKUP($B22,'TH_MLG GRADE 10'!$B$7:$B$49,'TH_MLG GRADE 10'!$BM$7:$BM$49,"",0,1)&lt;=TODAY()-MOD(WEEKDAY(TODAY(),2)-5,7)),$D22,0)</f>
        <v>#REF!</v>
      </c>
      <c r="AF72" s="65" t="e">
        <f ca="1">IF(AND($D22&lt;&gt;0,_xlfn.XLOOKUP($B22,'TH_MLG GRADE 10'!$B$7:$B$49,'TH_MLG GRADE 10'!#REF!,"",0,1)="P",
   _xlfn.XLOOKUP($B22,'TH_MLG GRADE 10'!$B$7:$B$49,'TH_MLG GRADE 10'!$BK$7:$BK$49,"",0,1)&lt;=TODAY()-MOD(WEEKDAY(TODAY(),2)-5,7)),$D22,0)</f>
        <v>#REF!</v>
      </c>
      <c r="AG72" s="65" t="e">
        <f ca="1">IF(AND($D22&lt;&gt;0,_xlfn.XLOOKUP($B22,'TH_MLG GRADE 10'!$B$7:$B$49,'TH_MLG GRADE 10'!#REF!,"",0,1)="P",
   _xlfn.XLOOKUP($B22,'TH_MLG GRADE 10'!$B$7:$B$49,'TH_MLG GRADE 10'!$BL$7:$BL$49,"",0,1)&lt;=TODAY()-MOD(WEEKDAY(TODAY(),2)-5,7)),$D22,0)</f>
        <v>#REF!</v>
      </c>
      <c r="AH72" s="65" t="e">
        <f ca="1">IF(AND($D22&lt;&gt;0,_xlfn.XLOOKUP($B22,'TH_MLG GRADE 10'!$B$7:$B$49,'TH_MLG GRADE 10'!#REF!,"",0,1)="P",
   _xlfn.XLOOKUP($B22,'TH_MLG GRADE 10'!$B$7:$B$49,'TH_MLG GRADE 10'!$BM$7:$BM$49,"",0,1)&lt;=TODAY()-MOD(WEEKDAY(TODAY(),2)-5,7)),$D22,0)</f>
        <v>#REF!</v>
      </c>
      <c r="AI72" s="67">
        <f ca="1">IF(AND($D22&lt;&gt;0,_xlfn.XLOOKUP($B22,'TH_CMI GRADE 10'!$B$7:$B$49,'TH_CMI GRADE 10'!C$7:C$49,"",0,1)="P",
   _xlfn.XLOOKUP($B22,'TH_CMI GRADE 10'!$B$7:$B$49,'TH_CMI GRADE 10'!$AS$7:$AS$49,"",0,1)&lt;=TODAY()-MOD(WEEKDAY(TODAY(),2)-5,7)),$D22,0)</f>
        <v>0</v>
      </c>
      <c r="AJ72" s="67">
        <f ca="1">IF(AND($D22&lt;&gt;0,_xlfn.XLOOKUP($B22,'TH_CMI GRADE 10'!$B$7:$B$49,'TH_CMI GRADE 10'!D$7:D$49,"",0,1)="P",
   _xlfn.XLOOKUP($B22,'TH_CMI GRADE 10'!$B$7:$B$49,'TH_CMI GRADE 10'!$AT$7:$AT$49,"",0,1)&lt;=TODAY()-MOD(WEEKDAY(TODAY(),2)-5,7)),$D22,0)</f>
        <v>0</v>
      </c>
      <c r="AK72" s="67" t="e">
        <f ca="1">IF(AND($D22&lt;&gt;0,_xlfn.XLOOKUP($B22,'TH_CMI GRADE 10'!$B$7:$B$49,'TH_CMI GRADE 10'!H$7:H$49,"",0,1)="P",
   _xlfn.XLOOKUP($B22,'TH_CMI GRADE 10'!$B$7:$B$49,'TH_CMI GRADE 10'!#REF!,"",0,1)&lt;=TODAY()-MOD(WEEKDAY(TODAY(),2)-5,7)),$D22,0)</f>
        <v>#REF!</v>
      </c>
      <c r="AL72" s="67">
        <f ca="1">IF(AND($D22&lt;&gt;0,_xlfn.XLOOKUP($B22,'TH_CMI GRADE 10'!$B$7:$B$49,'TH_CMI GRADE 10'!I$7:I$49,"",0,1)="P",
   _xlfn.XLOOKUP($B22,'TH_CMI GRADE 10'!$B$7:$B$49,'TH_CMI GRADE 10'!$AS$7:$AS$49,"",0,1)&lt;=TODAY()-MOD(WEEKDAY(TODAY(),2)-5,7)),$D22,0)</f>
        <v>0</v>
      </c>
      <c r="AM72" s="67">
        <f ca="1">IF(AND($D22&lt;&gt;0,_xlfn.XLOOKUP($B22,'TH_CMI GRADE 10'!$B$7:$B$49,'TH_CMI GRADE 10'!J$7:J$49,"",0,1)="P",
   _xlfn.XLOOKUP($B22,'TH_CMI GRADE 10'!$B$7:$B$49,'TH_CMI GRADE 10'!$AT$7:$AT$49,"",0,1)&lt;=TODAY()-MOD(WEEKDAY(TODAY(),2)-5,7)),$D22,0)</f>
        <v>0</v>
      </c>
      <c r="AN72" s="67" t="e">
        <f ca="1">IF(AND($D22&lt;&gt;0,_xlfn.XLOOKUP($B22,'TH_CMI GRADE 10'!$B$7:$B$49,'TH_CMI GRADE 10'!K$7:K$49,"",0,1)="P",
   _xlfn.XLOOKUP($B22,'TH_CMI GRADE 10'!$B$7:$B$49,'TH_CMI GRADE 10'!#REF!,"",0,1)&lt;=TODAY()-MOD(WEEKDAY(TODAY(),2)-5,7)),$D22,0)</f>
        <v>#REF!</v>
      </c>
      <c r="AO72" s="67">
        <f ca="1">IF(AND($D22&lt;&gt;0,_xlfn.XLOOKUP($B22,'TH_CMI GRADE 10'!$B$7:$B$49,'TH_CMI GRADE 10'!O$7:O$49,"",0,1)="P",
   _xlfn.XLOOKUP($B22,'TH_CMI GRADE 10'!$B$7:$B$49,'TH_CMI GRADE 10'!$AS$7:$AS$49,"",0,1)&lt;=TODAY()-MOD(WEEKDAY(TODAY(),2)-5,7)),$D22,0)</f>
        <v>0</v>
      </c>
      <c r="AP72" s="67">
        <f ca="1">IF(AND($D22&lt;&gt;0,_xlfn.XLOOKUP($B22,'TH_CMI GRADE 10'!$B$7:$B$49,'TH_CMI GRADE 10'!P$7:P$49,"",0,1)="P",
   _xlfn.XLOOKUP($B22,'TH_CMI GRADE 10'!$B$7:$B$49,'TH_CMI GRADE 10'!$AT$7:$AT$49,"",0,1)&lt;=TODAY()-MOD(WEEKDAY(TODAY(),2)-5,7)),$D22,0)</f>
        <v>0</v>
      </c>
      <c r="AQ72" s="67" t="e">
        <f ca="1">IF(AND($D22&lt;&gt;0,_xlfn.XLOOKUP($B22,'TH_CMI GRADE 10'!$B$7:$B$49,'TH_CMI GRADE 10'!Q$7:Q$49,"",0,1)="P",
   _xlfn.XLOOKUP($B22,'TH_CMI GRADE 10'!$B$7:$B$49,'TH_CMI GRADE 10'!#REF!,"",0,1)&lt;=TODAY()-MOD(WEEKDAY(TODAY(),2)-5,7)),$D22,0)</f>
        <v>#REF!</v>
      </c>
      <c r="AR72" s="67">
        <f ca="1">IF(AND($D22&lt;&gt;0,_xlfn.XLOOKUP($B22,'TH_CMI GRADE 10'!$B$7:$B$49,'TH_CMI GRADE 10'!U$7:U$49,"",0,1)="P",
   _xlfn.XLOOKUP($B22,'TH_CMI GRADE 10'!$B$7:$B$49,'TH_CMI GRADE 10'!$AS$7:$AS$49,"",0,1)&lt;=TODAY()-MOD(WEEKDAY(TODAY(),2)-5,7)),$D22,0)</f>
        <v>0</v>
      </c>
      <c r="AS72" s="67">
        <f ca="1">IF(AND($D22&lt;&gt;0,_xlfn.XLOOKUP($B22,'TH_CMI GRADE 10'!$B$7:$B$49,'TH_CMI GRADE 10'!V$7:V$49,"",0,1)="P",
   _xlfn.XLOOKUP($B22,'TH_CMI GRADE 10'!$B$7:$B$49,'TH_CMI GRADE 10'!$AT$7:$AT$49,"",0,1)&lt;=TODAY()-MOD(WEEKDAY(TODAY(),2)-5,7)),$D22,0)</f>
        <v>0</v>
      </c>
      <c r="AT72" s="67" t="e">
        <f ca="1">IF(AND($D22&lt;&gt;0,_xlfn.XLOOKUP($B22,'TH_CMI GRADE 10'!$B$7:$B$49,'TH_CMI GRADE 10'!W$7:W$49,"",0,1)="P",
   _xlfn.XLOOKUP($B22,'TH_CMI GRADE 10'!$B$7:$B$49,'TH_CMI GRADE 10'!#REF!,"",0,1)&lt;=TODAY()-MOD(WEEKDAY(TODAY(),2)-5,7)),$D22,0)</f>
        <v>#REF!</v>
      </c>
      <c r="AU72" s="67">
        <f ca="1">IF(AND($D22&lt;&gt;0,_xlfn.XLOOKUP($B22,'TH_CMI GRADE 10'!$B$7:$B$49,'TH_CMI GRADE 10'!AA$7:AA$49,"",0,1)="P",
   _xlfn.XLOOKUP($B22,'TH_CMI GRADE 10'!$B$7:$B$49,'TH_CMI GRADE 10'!$AS$7:$AS$49,"",0,1)&lt;=TODAY()-MOD(WEEKDAY(TODAY(),2)-5,7)),$D22,0)</f>
        <v>2</v>
      </c>
      <c r="AV72" s="67">
        <f ca="1">IF(AND($D22&lt;&gt;0,_xlfn.XLOOKUP($B22,'TH_CMI GRADE 10'!$B$7:$B$49,'TH_CMI GRADE 10'!AB$7:AB$49,"",0,1)="P",
   _xlfn.XLOOKUP($B22,'TH_CMI GRADE 10'!$B$7:$B$49,'TH_CMI GRADE 10'!$AT$7:$AT$49,"",0,1)&lt;=TODAY()-MOD(WEEKDAY(TODAY(),2)-5,7)),$D22,0)</f>
        <v>2</v>
      </c>
      <c r="AW72" s="67" t="e">
        <f ca="1">IF(AND($D22&lt;&gt;0,_xlfn.XLOOKUP($B22,'TH_CMI GRADE 10'!$B$7:$B$49,'TH_CMI GRADE 10'!AC$7:AC$49,"",0,1)="P",
   _xlfn.XLOOKUP($B22,'TH_CMI GRADE 10'!$B$7:$B$49,'TH_CMI GRADE 10'!#REF!,"",0,1)&lt;=TODAY()-MOD(WEEKDAY(TODAY(),2)-5,7)),$D22,0)</f>
        <v>#REF!</v>
      </c>
      <c r="AX72" s="67">
        <f ca="1">IF(AND($D22&lt;&gt;0,_xlfn.XLOOKUP($B22,'TH_CMI GRADE 10'!$B$7:$B$49,'TH_CMI GRADE 10'!AG$7:AG$49,"",0,1)="P",
   _xlfn.XLOOKUP($B22,'TH_CMI GRADE 10'!$B$7:$B$49,'TH_CMI GRADE 10'!$AS$7:$AS$49,"",0,1)&lt;=TODAY()-MOD(WEEKDAY(TODAY(),2)-5,7)),$D22,0)</f>
        <v>2</v>
      </c>
      <c r="AY72" s="67">
        <f ca="1">IF(AND($D22&lt;&gt;0,_xlfn.XLOOKUP($B22,'TH_CMI GRADE 10'!$B$7:$B$49,'TH_CMI GRADE 10'!AH$7:AH$49,"",0,1)="P",
   _xlfn.XLOOKUP($B22,'TH_CMI GRADE 10'!$B$7:$B$49,'TH_CMI GRADE 10'!$AT$7:$AT$49,"",0,1)&lt;=TODAY()-MOD(WEEKDAY(TODAY(),2)-5,7)),$D22,0)</f>
        <v>2</v>
      </c>
      <c r="AZ72" s="67" t="e">
        <f ca="1">IF(AND($D22&lt;&gt;0,_xlfn.XLOOKUP($B22,'TH_CMI GRADE 10'!$B$7:$B$49,'TH_CMI GRADE 10'!AI$7:AI$49,"",0,1)="P",
   _xlfn.XLOOKUP($B22,'TH_CMI GRADE 10'!$B$7:$B$49,'TH_CMI GRADE 10'!#REF!,"",0,1)&lt;=TODAY()-MOD(WEEKDAY(TODAY(),2)-5,7)),$D22,0)</f>
        <v>#REF!</v>
      </c>
      <c r="BA72" s="65" t="e">
        <f ca="1">IF(AND($D22&lt;&gt;0,_xlfn.XLOOKUP($B22,'PW_MLG GRADE 10'!$B$7:$B$31,'PW_MLG GRADE 10'!R$7:R$31,"",0,1)="P",
   _xlfn.XLOOKUP($B22,'PW_MLG GRADE 10'!$B$7:$B$31,'PW_MLG GRADE 10'!#REF!,"",0,1)&lt;=TODAY()-MOD(WEEKDAY(TODAY(),2)-5,7)),$D22,0)</f>
        <v>#REF!</v>
      </c>
      <c r="BB72" s="65" t="e">
        <f ca="1">IF(AND($D22&lt;&gt;0,_xlfn.XLOOKUP($B22,'PW_MLG GRADE 10'!$B$7:$B$31,'PW_MLG GRADE 10'!S$7:S$31,"",0,1)="P",
   _xlfn.XLOOKUP($B22,'PW_MLG GRADE 10'!$B$7:$B$31,'PW_MLG GRADE 10'!#REF!,"",0,1)&lt;=TODAY()-MOD(WEEKDAY(TODAY(),2)-5,7)),$D22,0)</f>
        <v>#REF!</v>
      </c>
      <c r="BC72" s="65" t="e">
        <f ca="1">IF(AND($D22&lt;&gt;0,_xlfn.XLOOKUP($B22,'PW_MLG GRADE 10'!$B$7:$B$31,'PW_MLG GRADE 10'!T$7:T$31,"",0,1)="P",
   _xlfn.XLOOKUP($B22,'PW_MLG GRADE 10'!$B$7:$B$31,'PW_MLG GRADE 10'!#REF!,"",0,1)&lt;=TODAY()-MOD(WEEKDAY(TODAY(),2)-5,7)),$D22,0)</f>
        <v>#REF!</v>
      </c>
      <c r="BD72" s="65" t="e">
        <f ca="1">IF(AND($D22&lt;&gt;0,_xlfn.XLOOKUP($B22,'PW_MLG GRADE 10'!$B$7:$B$31,'PW_MLG GRADE 10'!AA$7:AA$31,"",0,1)="P",
   _xlfn.XLOOKUP($B22,'PW_MLG GRADE 10'!$B$7:$B$31,'PW_MLG GRADE 10'!#REF!,"",0,1)&lt;=TODAY()-MOD(WEEKDAY(TODAY(),2)-5,7)),$D22,0)</f>
        <v>#REF!</v>
      </c>
      <c r="BE72" s="65" t="e">
        <f ca="1">IF(AND($D22&lt;&gt;0,_xlfn.XLOOKUP($B22,'PW_MLG GRADE 10'!$B$7:$B$31,'PW_MLG GRADE 10'!AB$7:AB$31,"",0,1)="P",
   _xlfn.XLOOKUP($B22,'PW_MLG GRADE 10'!$B$7:$B$31,'PW_MLG GRADE 10'!#REF!,"",0,1)&lt;=TODAY()-MOD(WEEKDAY(TODAY(),2)-5,7)),$D22,0)</f>
        <v>#REF!</v>
      </c>
      <c r="BF72" s="65" t="e">
        <f ca="1">IF(AND($D22&lt;&gt;0,_xlfn.XLOOKUP($B22,'PW_MLG GRADE 10'!$B$7:$B$31,'PW_MLG GRADE 10'!AC$7:AC$31,"",0,1)="P",
   _xlfn.XLOOKUP($B22,'PW_MLG GRADE 10'!$B$7:$B$31,'PW_MLG GRADE 10'!#REF!,"",0,1)&lt;=TODAY()-MOD(WEEKDAY(TODAY(),2)-5,7)),$D22,0)</f>
        <v>#REF!</v>
      </c>
      <c r="BG72" s="65" t="e">
        <f ca="1">IF(AND($D22&lt;&gt;0,_xlfn.XLOOKUP($B22,'PW_MLG GRADE 10'!$B$7:$B$31,'PW_MLG GRADE 10'!AD$7:AD$31,"",0,1)="P",
   _xlfn.XLOOKUP($B22,'PW_MLG GRADE 10'!$B$7:$B$31,'PW_MLG GRADE 10'!#REF!,"",0,1)&lt;=TODAY()-MOD(WEEKDAY(TODAY(),2)-5,7)),$D22,0)</f>
        <v>#REF!</v>
      </c>
      <c r="BH72" s="65" t="e">
        <f ca="1">IF(AND($D22&lt;&gt;0,_xlfn.XLOOKUP($B22,'PW_MLG GRADE 10'!$B$7:$B$31,'PW_MLG GRADE 10'!AE$7:AE$31,"",0,1)="P",
   _xlfn.XLOOKUP($B22,'PW_MLG GRADE 10'!$B$7:$B$31,'PW_MLG GRADE 10'!#REF!,"",0,1)&lt;=TODAY()-MOD(WEEKDAY(TODAY(),2)-5,7)),$D22,0)</f>
        <v>#REF!</v>
      </c>
      <c r="BI72" s="65" t="e">
        <f ca="1">IF(AND($D22&lt;&gt;0,_xlfn.XLOOKUP($B22,'PW_MLG GRADE 10'!$B$7:$B$31,'PW_MLG GRADE 10'!AF$7:AF$31,"",0,1)="P",
   _xlfn.XLOOKUP($B22,'PW_MLG GRADE 10'!$B$7:$B$31,'PW_MLG GRADE 10'!#REF!,"",0,1)&lt;=TODAY()-MOD(WEEKDAY(TODAY(),2)-5,7)),$D22,0)</f>
        <v>#REF!</v>
      </c>
      <c r="BJ72" s="65" t="e">
        <f ca="1">IF(AND($D22&lt;&gt;0,_xlfn.XLOOKUP($B22,'PW_MLG GRADE 10'!$B$7:$B$31,'PW_MLG GRADE 10'!AG$7:AG$31,"",0,1)="P",
   _xlfn.XLOOKUP($B22,'PW_MLG GRADE 10'!$B$7:$B$31,'PW_MLG GRADE 10'!#REF!,"",0,1)&lt;=TODAY()-MOD(WEEKDAY(TODAY(),2)-5,7)),$D22,0)</f>
        <v>#REF!</v>
      </c>
      <c r="BK72" s="65" t="e">
        <f ca="1">IF(AND($D22&lt;&gt;0,_xlfn.XLOOKUP($B22,'PW_MLG GRADE 10'!$B$7:$B$31,'PW_MLG GRADE 10'!AH$7:AH$31,"",0,1)="P",
   _xlfn.XLOOKUP($B22,'PW_MLG GRADE 10'!$B$7:$B$31,'PW_MLG GRADE 10'!#REF!,"",0,1)&lt;=TODAY()-MOD(WEEKDAY(TODAY(),2)-5,7)),$D22,0)</f>
        <v>#REF!</v>
      </c>
      <c r="BL72" s="65" t="e">
        <f ca="1">IF(AND($D22&lt;&gt;0,_xlfn.XLOOKUP($B22,'PW_MLG GRADE 10'!$B$7:$B$31,'PW_MLG GRADE 10'!AI$7:AI$31,"",0,1)="P",
   _xlfn.XLOOKUP($B22,'PW_MLG GRADE 10'!$B$7:$B$31,'PW_MLG GRADE 10'!#REF!,"",0,1)&lt;=TODAY()-MOD(WEEKDAY(TODAY(),2)-5,7)),$D22,0)</f>
        <v>#REF!</v>
      </c>
      <c r="BM72" s="65" t="e">
        <f ca="1">IF(AND($D22&lt;&gt;0,_xlfn.XLOOKUP($B22,'PW_MLG GRADE 10'!$B$7:$B$31,'PW_MLG GRADE 10'!AJ$7:AJ$31,"",0,1)="P",
   _xlfn.XLOOKUP($B22,'PW_MLG GRADE 10'!$B$7:$B$31,'PW_MLG GRADE 10'!#REF!,"",0,1)&lt;=TODAY()-MOD(WEEKDAY(TODAY(),2)-5,7)),$D22,0)</f>
        <v>#REF!</v>
      </c>
      <c r="BN72" s="65" t="e">
        <f ca="1">IF(AND($D22&lt;&gt;0,_xlfn.XLOOKUP($B22,'PW_MLG GRADE 10'!$B$7:$B$31,'PW_MLG GRADE 10'!AK$7:AK$31,"",0,1)="P",
   _xlfn.XLOOKUP($B22,'PW_MLG GRADE 10'!$B$7:$B$31,'PW_MLG GRADE 10'!#REF!,"",0,1)&lt;=TODAY()-MOD(WEEKDAY(TODAY(),2)-5,7)),$D22,0)</f>
        <v>#REF!</v>
      </c>
      <c r="BO72" s="65" t="e">
        <f ca="1">IF(AND($D22&lt;&gt;0,_xlfn.XLOOKUP($B22,'PW_MLG GRADE 10'!$B$7:$B$31,'PW_MLG GRADE 10'!AL$7:AL$31,"",0,1)="P",
   _xlfn.XLOOKUP($B22,'PW_MLG GRADE 10'!$B$7:$B$31,'PW_MLG GRADE 10'!#REF!,"",0,1)&lt;=TODAY()-MOD(WEEKDAY(TODAY(),2)-5,7)),$D22,0)</f>
        <v>#REF!</v>
      </c>
      <c r="BP72" s="65" t="e">
        <f ca="1">IF(AND($D22&lt;&gt;0,_xlfn.XLOOKUP($B22,'PW_MLG GRADE 10'!$B$7:$B$31,'PW_MLG GRADE 10'!AM$7:AM$31,"",0,1)="P",
   _xlfn.XLOOKUP($B22,'PW_MLG GRADE 10'!$B$7:$B$31,'PW_MLG GRADE 10'!#REF!,"",0,1)&lt;=TODAY()-MOD(WEEKDAY(TODAY(),2)-5,7)),$D22,0)</f>
        <v>#REF!</v>
      </c>
      <c r="BQ72" s="65" t="e">
        <f ca="1">IF(AND($D22&lt;&gt;0,_xlfn.XLOOKUP($B22,'PW_MLG GRADE 10'!$B$7:$B$31,'PW_MLG GRADE 10'!AN$7:AN$31,"",0,1)="P",
   _xlfn.XLOOKUP($B22,'PW_MLG GRADE 10'!$B$7:$B$31,'PW_MLG GRADE 10'!#REF!,"",0,1)&lt;=TODAY()-MOD(WEEKDAY(TODAY(),2)-5,7)),$D22,0)</f>
        <v>#REF!</v>
      </c>
      <c r="BR72" s="65" t="e">
        <f ca="1">IF(AND($D22&lt;&gt;0,_xlfn.XLOOKUP($B22,'PW_MLG GRADE 10'!$B$7:$B$31,'PW_MLG GRADE 10'!AO$7:AO$31,"",0,1)="P",
   _xlfn.XLOOKUP($B22,'PW_MLG GRADE 10'!$B$7:$B$31,'PW_MLG GRADE 10'!#REF!,"",0,1)&lt;=TODAY()-MOD(WEEKDAY(TODAY(),2)-5,7)),$D22,0)</f>
        <v>#REF!</v>
      </c>
      <c r="BS72" s="65" t="e">
        <f ca="1">IF(AND($D22&lt;&gt;0,_xlfn.XLOOKUP($B22,'PW_MLG GRADE 10'!$B$7:$B$31,'PW_MLG GRADE 10'!AP$7:AP$31,"",0,1)="P",
   _xlfn.XLOOKUP($B22,'PW_MLG GRADE 10'!$B$7:$B$31,'PW_MLG GRADE 10'!#REF!,"",0,1)&lt;=TODAY()-MOD(WEEKDAY(TODAY(),2)-5,7)),$D22,0)</f>
        <v>#REF!</v>
      </c>
      <c r="BT72" s="65" t="e">
        <f ca="1">IF(AND($D22&lt;&gt;0,_xlfn.XLOOKUP($B22,'PW_MLG GRADE 10'!$B$7:$B$31,'PW_MLG GRADE 10'!AQ$7:AQ$31,"",0,1)="P",
   _xlfn.XLOOKUP($B22,'PW_MLG GRADE 10'!$B$7:$B$31,'PW_MLG GRADE 10'!#REF!,"",0,1)&lt;=TODAY()-MOD(WEEKDAY(TODAY(),2)-5,7)),$D22,0)</f>
        <v>#REF!</v>
      </c>
      <c r="BU72" s="65" t="e">
        <f ca="1">IF(AND($D22&lt;&gt;0,_xlfn.XLOOKUP($B22,'PW_MLG GRADE 10'!$B$7:$B$31,'PW_MLG GRADE 10'!AR$7:AR$31,"",0,1)="P",
   _xlfn.XLOOKUP($B22,'PW_MLG GRADE 10'!$B$7:$B$31,'PW_MLG GRADE 10'!#REF!,"",0,1)&lt;=TODAY()-MOD(WEEKDAY(TODAY(),2)-5,7)),$D22,0)</f>
        <v>#REF!</v>
      </c>
      <c r="BV72" s="65" t="e">
        <f ca="1">IF(AND($D22&lt;&gt;0,_xlfn.XLOOKUP($B22,'PW_MLG GRADE 10'!$B$7:$B$31,'PW_MLG GRADE 10'!AY$7:AY$31,"",0,1)="P",
   _xlfn.XLOOKUP($B22,'PW_MLG GRADE 10'!$B$7:$B$31,'PW_MLG GRADE 10'!#REF!,"",0,1)&lt;=TODAY()-MOD(WEEKDAY(TODAY(),2)-5,7)),$D22,0)</f>
        <v>#REF!</v>
      </c>
      <c r="BW72" s="65" t="e">
        <f ca="1">IF(AND($D22&lt;&gt;0,_xlfn.XLOOKUP($B22,'PW_MLG GRADE 10'!$B$7:$B$31,'PW_MLG GRADE 10'!AZ$7:AZ$31,"",0,1)="P",
   _xlfn.XLOOKUP($B22,'PW_MLG GRADE 10'!$B$7:$B$31,'PW_MLG GRADE 10'!#REF!,"",0,1)&lt;=TODAY()-MOD(WEEKDAY(TODAY(),2)-5,7)),$D22,0)</f>
        <v>#REF!</v>
      </c>
      <c r="BX72" s="65" t="e">
        <f ca="1">IF(AND($D22&lt;&gt;0,_xlfn.XLOOKUP($B22,'PW_MLG GRADE 10'!$B$7:$B$31,'PW_MLG GRADE 10'!BA$7:BA$31,"",0,1)="P",
   _xlfn.XLOOKUP($B22,'PW_MLG GRADE 10'!$B$7:$B$31,'PW_MLG GRADE 10'!#REF!,"",0,1)&lt;=TODAY()-MOD(WEEKDAY(TODAY(),2)-5,7)),$D22,0)</f>
        <v>#REF!</v>
      </c>
      <c r="BY72" s="65" t="e">
        <f ca="1">IF(AND($D22&lt;&gt;0,_xlfn.XLOOKUP($B22,'PW_MLG GRADE 10'!$B$7:$B$31,'PW_MLG GRADE 10'!BB$7:BB$31,"",0,1)="P",
   _xlfn.XLOOKUP($B22,'PW_MLG GRADE 10'!$B$7:$B$31,'PW_MLG GRADE 10'!#REF!,"",0,1)&lt;=TODAY()-MOD(WEEKDAY(TODAY(),2)-5,7)),$D22,0)</f>
        <v>#REF!</v>
      </c>
      <c r="BZ72" s="65" t="e">
        <f ca="1">IF(AND($D22&lt;&gt;0,_xlfn.XLOOKUP($B22,'PW_MLG GRADE 10'!$B$7:$B$31,'PW_MLG GRADE 10'!BC$7:BC$31,"",0,1)="P",
   _xlfn.XLOOKUP($B22,'PW_MLG GRADE 10'!$B$7:$B$31,'PW_MLG GRADE 10'!#REF!,"",0,1)&lt;=TODAY()-MOD(WEEKDAY(TODAY(),2)-5,7)),$D22,0)</f>
        <v>#REF!</v>
      </c>
      <c r="CA72" s="65" t="e">
        <f ca="1">IF(AND($D22&lt;&gt;0,_xlfn.XLOOKUP($B22,'PW_MLG GRADE 10'!$B$7:$B$31,'PW_MLG GRADE 10'!BD$7:BD$31,"",0,1)="P",
   _xlfn.XLOOKUP($B22,'PW_MLG GRADE 10'!$B$7:$B$31,'PW_MLG GRADE 10'!#REF!,"",0,1)&lt;=TODAY()-MOD(WEEKDAY(TODAY(),2)-5,7)),$D22,0)</f>
        <v>#REF!</v>
      </c>
      <c r="CB72" s="65" t="e">
        <f ca="1">IF(AND($D22&lt;&gt;0,_xlfn.XLOOKUP($B22,'PW_MLG GRADE 10'!$B$7:$B$31,'PW_MLG GRADE 10'!BE$7:BE$31,"",0,1)="P",
   _xlfn.XLOOKUP($B22,'PW_MLG GRADE 10'!$B$7:$B$31,'PW_MLG GRADE 10'!#REF!,"",0,1)&lt;=TODAY()-MOD(WEEKDAY(TODAY(),2)-5,7)),$D22,0)</f>
        <v>#REF!</v>
      </c>
      <c r="CC72" s="65" t="e">
        <f ca="1">IF(AND($D22&lt;&gt;0,_xlfn.XLOOKUP($B22,'PW_MLG GRADE 10'!$B$7:$B$31,'PW_MLG GRADE 10'!BF$7:BF$31,"",0,1)="P",
   _xlfn.XLOOKUP($B22,'PW_MLG GRADE 10'!$B$7:$B$31,'PW_MLG GRADE 10'!#REF!,"",0,1)&lt;=TODAY()-MOD(WEEKDAY(TODAY(),2)-5,7)),$D22,0)</f>
        <v>#REF!</v>
      </c>
      <c r="CD72" s="65" t="e">
        <f ca="1">IF(AND($D22&lt;&gt;0,_xlfn.XLOOKUP($B22,'PW_MLG GRADE 10'!$B$7:$B$31,'PW_MLG GRADE 10'!BG$7:BG$31,"",0,1)="P",
   _xlfn.XLOOKUP($B22,'PW_MLG GRADE 10'!$B$7:$B$31,'PW_MLG GRADE 10'!#REF!,"",0,1)&lt;=TODAY()-MOD(WEEKDAY(TODAY(),2)-5,7)),$D22,0)</f>
        <v>#REF!</v>
      </c>
      <c r="CE72" s="67">
        <f ca="1">IF(AND($D22&lt;&gt;0,_xlfn.XLOOKUP($B22,'PW_CMI GRADE 10'!$B$7:$B$31,'PW_CMI GRADE 10'!AY$7:AY$31,"",0,1)="P",
   _xlfn.XLOOKUP($B22,'PW_CMI GRADE 10'!$B$7:$B$31,'PW_CMI GRADE 10'!$U$7:$U$31,"",0,1)&lt;=TODAY()-MOD(WEEKDAY(TODAY(),2)-5,7)),$D22,0)</f>
        <v>0</v>
      </c>
      <c r="CF72" s="67">
        <f ca="1">IF(AND($D22&lt;&gt;0,_xlfn.XLOOKUP($B22,'PW_CMI GRADE 10'!$B$7:$B$31,'PW_CMI GRADE 10'!AZ$7:AZ$31,"",0,1)="P",
   _xlfn.XLOOKUP($B22,'PW_CMI GRADE 10'!$B$7:$B$31,'PW_CMI GRADE 10'!$V$7:$V$31,"",0,1)&lt;=TODAY()-MOD(WEEKDAY(TODAY(),2)-5,7)),$D22,0)</f>
        <v>0</v>
      </c>
      <c r="CG72" s="67">
        <f ca="1">IF(AND($D22&lt;&gt;0,_xlfn.XLOOKUP($B22,'PW_CMI GRADE 10'!$B$7:$B$31,'PW_CMI GRADE 10'!BA$7:BA$31,"",0,1)="P",
   _xlfn.XLOOKUP($B22,'PW_CMI GRADE 10'!$B$7:$B$31,'PW_CMI GRADE 10'!$W$7:$W$31,"",0,1)&lt;=TODAY()-MOD(WEEKDAY(TODAY(),2)-5,7)),$D22,0)</f>
        <v>0</v>
      </c>
      <c r="CH72" s="67">
        <f ca="1">IF(AND($D22&lt;&gt;0,_xlfn.XLOOKUP($B22,'PW_CMI GRADE 10'!$B$7:$B$31,'PW_CMI GRADE 10'!BB$7:BB$31,"",0,1)="P",
   _xlfn.XLOOKUP($B22,'PW_CMI GRADE 10'!$B$7:$B$31,'PW_CMI GRADE 10'!$U$7:$U$31,"",0,1)&lt;=TODAY()-MOD(WEEKDAY(TODAY(),2)-5,7)),$D22,0)</f>
        <v>0</v>
      </c>
      <c r="CI72" s="67">
        <f ca="1">IF(AND($D22&lt;&gt;0,_xlfn.XLOOKUP($B22,'PW_CMI GRADE 10'!$B$7:$B$31,'PW_CMI GRADE 10'!BC$7:BC$31,"",0,1)="P",
   _xlfn.XLOOKUP($B22,'PW_CMI GRADE 10'!$B$7:$B$31,'PW_CMI GRADE 10'!$V$7:$V$31,"",0,1)&lt;=TODAY()-MOD(WEEKDAY(TODAY(),2)-5,7)),$D22,0)</f>
        <v>0</v>
      </c>
      <c r="CJ72" s="67">
        <f ca="1">IF(AND($D22&lt;&gt;0,_xlfn.XLOOKUP($B22,'PW_CMI GRADE 10'!$B$7:$B$31,'PW_CMI GRADE 10'!BD$7:BD$31,"",0,1)="P",
   _xlfn.XLOOKUP($B22,'PW_CMI GRADE 10'!$B$7:$B$31,'PW_CMI GRADE 10'!$W$7:$W$31,"",0,1)&lt;=TODAY()-MOD(WEEKDAY(TODAY(),2)-5,7)),$D22,0)</f>
        <v>0</v>
      </c>
      <c r="CK72" s="67">
        <f ca="1">IF(AND($D22&lt;&gt;0,_xlfn.XLOOKUP($B22,'PW_CMI GRADE 10'!$B$7:$B$31,'PW_CMI GRADE 10'!BE$7:BE$31,"",0,1)="P",
   _xlfn.XLOOKUP($B22,'PW_CMI GRADE 10'!$B$7:$B$31,'PW_CMI GRADE 10'!$U$7:$U$31,"",0,1)&lt;=TODAY()-MOD(WEEKDAY(TODAY(),2)-5,7)),$D22,0)</f>
        <v>0</v>
      </c>
      <c r="CL72" s="67">
        <f ca="1">IF(AND($D22&lt;&gt;0,_xlfn.XLOOKUP($B22,'PW_CMI GRADE 10'!$B$7:$B$31,'PW_CMI GRADE 10'!BF$7:BF$31,"",0,1)="P",
   _xlfn.XLOOKUP($B22,'PW_CMI GRADE 10'!$B$7:$B$31,'PW_CMI GRADE 10'!$V$7:$V$31,"",0,1)&lt;=TODAY()-MOD(WEEKDAY(TODAY(),2)-5,7)),$D22,0)</f>
        <v>0</v>
      </c>
      <c r="CM72" s="67">
        <f ca="1">IF(AND($D22&lt;&gt;0,_xlfn.XLOOKUP($B22,'PW_CMI GRADE 10'!$B$7:$B$31,'PW_CMI GRADE 10'!BG$7:BG$31,"",0,1)="P",
   _xlfn.XLOOKUP($B22,'PW_CMI GRADE 10'!$B$7:$B$31,'PW_CMI GRADE 10'!$W$7:$W$31,"",0,1)&lt;=TODAY()-MOD(WEEKDAY(TODAY(),2)-5,7)),$D22,0)</f>
        <v>0</v>
      </c>
      <c r="CN72" s="67">
        <f ca="1">IF(AND($D22&lt;&gt;0,_xlfn.XLOOKUP($B22,'PW_CMI GRADE 10'!$B$7:$B$31,'PW_CMI GRADE 10'!BH$7:BH$31,"",0,1)="P",
   _xlfn.XLOOKUP($B22,'PW_CMI GRADE 10'!$B$7:$B$31,'PW_CMI GRADE 10'!$U$7:$U$31,"",0,1)&lt;=TODAY()-MOD(WEEKDAY(TODAY(),2)-5,7)),$D22,0)</f>
        <v>0</v>
      </c>
      <c r="CO72" s="67">
        <f ca="1">IF(AND($D22&lt;&gt;0,_xlfn.XLOOKUP($B22,'PW_CMI GRADE 10'!$B$7:$B$31,'PW_CMI GRADE 10'!BI$7:BI$31,"",0,1)="P",
   _xlfn.XLOOKUP($B22,'PW_CMI GRADE 10'!$B$7:$B$31,'PW_CMI GRADE 10'!$V$7:$V$31,"",0,1)&lt;=TODAY()-MOD(WEEKDAY(TODAY(),2)-5,7)),$D22,0)</f>
        <v>0</v>
      </c>
      <c r="CP72" s="67">
        <f ca="1">IF(AND($D22&lt;&gt;0,_xlfn.XLOOKUP($B22,'PW_CMI GRADE 10'!$B$7:$B$31,'PW_CMI GRADE 10'!BJ$7:BJ$31,"",0,1)="P",
   _xlfn.XLOOKUP($B22,'PW_CMI GRADE 10'!$B$7:$B$31,'PW_CMI GRADE 10'!$W$7:$W$31,"",0,1)&lt;=TODAY()-MOD(WEEKDAY(TODAY(),2)-5,7)),$D22,0)</f>
        <v>0</v>
      </c>
      <c r="CQ72" s="67">
        <f ca="1">IF(AND($D22&lt;&gt;0,_xlfn.XLOOKUP($B22,'PW_CMI GRADE 10'!$B$7:$B$31,'PW_CMI GRADE 10'!BK$7:BK$31,"",0,1)="P",
   _xlfn.XLOOKUP($B22,'PW_CMI GRADE 10'!$B$7:$B$31,'PW_CMI GRADE 10'!$U$7:$U$31,"",0,1)&lt;=TODAY()-MOD(WEEKDAY(TODAY(),2)-5,7)),$D22,0)</f>
        <v>0</v>
      </c>
      <c r="CR72" s="67">
        <f ca="1">IF(AND($D22&lt;&gt;0,_xlfn.XLOOKUP($B22,'PW_CMI GRADE 10'!$B$7:$B$31,'PW_CMI GRADE 10'!BL$7:BL$31,"",0,1)="P",
   _xlfn.XLOOKUP($B22,'PW_CMI GRADE 10'!$B$7:$B$31,'PW_CMI GRADE 10'!$V$7:$V$31,"",0,1)&lt;=TODAY()-MOD(WEEKDAY(TODAY(),2)-5,7)),$D22,0)</f>
        <v>0</v>
      </c>
      <c r="CS72" s="67">
        <f ca="1">IF(AND($D22&lt;&gt;0,_xlfn.XLOOKUP($B22,'PW_CMI GRADE 10'!$B$7:$B$31,'PW_CMI GRADE 10'!BM$7:BM$31,"",0,1)="P",
   _xlfn.XLOOKUP($B22,'PW_CMI GRADE 10'!$B$7:$B$31,'PW_CMI GRADE 10'!$W$7:$W$31,"",0,1)&lt;=TODAY()-MOD(WEEKDAY(TODAY(),2)-5,7)),$D22,0)</f>
        <v>0</v>
      </c>
      <c r="CT72" s="67">
        <f ca="1">IF(AND($D22&lt;&gt;0,_xlfn.XLOOKUP($B22,'PW_CMI GRADE 10'!$B$7:$B$31,'PW_CMI GRADE 10'!BN$7:BN$31,"",0,1)="P",
   _xlfn.XLOOKUP($B22,'PW_CMI GRADE 10'!$B$7:$B$31,'PW_CMI GRADE 10'!$U$7:$U$31,"",0,1)&lt;=TODAY()-MOD(WEEKDAY(TODAY(),2)-5,7)),$D22,0)</f>
        <v>0</v>
      </c>
      <c r="CU72" s="67">
        <f ca="1">IF(AND($D22&lt;&gt;0,_xlfn.XLOOKUP($B22,'PW_CMI GRADE 10'!$B$7:$B$31,'PW_CMI GRADE 10'!BO$7:BO$31,"",0,1)="P",
   _xlfn.XLOOKUP($B22,'PW_CMI GRADE 10'!$B$7:$B$31,'PW_CMI GRADE 10'!$V$7:$V$31,"",0,1)&lt;=TODAY()-MOD(WEEKDAY(TODAY(),2)-5,7)),$D22,0)</f>
        <v>0</v>
      </c>
      <c r="CV72" s="67">
        <f ca="1">IF(AND($D22&lt;&gt;0,_xlfn.XLOOKUP($B22,'PW_CMI GRADE 10'!$B$7:$B$31,'PW_CMI GRADE 10'!BP$7:BP$31,"",0,1)="P",
   _xlfn.XLOOKUP($B22,'PW_CMI GRADE 10'!$B$7:$B$31,'PW_CMI GRADE 10'!$W$7:$W$31,"",0,1)&lt;=TODAY()-MOD(WEEKDAY(TODAY(),2)-5,7)),$D22,0)</f>
        <v>0</v>
      </c>
      <c r="CW72" s="62" t="e">
        <f t="shared" ca="1" si="132"/>
        <v>#REF!</v>
      </c>
      <c r="CX72" s="62" t="e">
        <f t="shared" ca="1" si="69"/>
        <v>#REF!</v>
      </c>
      <c r="CY72" s="62" t="e">
        <f t="shared" ca="1" si="70"/>
        <v>#REF!</v>
      </c>
      <c r="CZ72" s="62" t="e">
        <f t="shared" ca="1" si="71"/>
        <v>#REF!</v>
      </c>
      <c r="DA72" s="62" t="e">
        <f t="shared" ca="1" si="72"/>
        <v>#REF!</v>
      </c>
      <c r="DB72" s="62" t="e">
        <f t="shared" ca="1" si="73"/>
        <v>#REF!</v>
      </c>
      <c r="DC72" s="62" t="e">
        <f t="shared" ca="1" si="74"/>
        <v>#REF!</v>
      </c>
      <c r="DD72" s="62" t="e">
        <f t="shared" ca="1" si="75"/>
        <v>#REF!</v>
      </c>
      <c r="DE72" s="62" t="e">
        <f t="shared" ca="1" si="76"/>
        <v>#REF!</v>
      </c>
      <c r="DF72" s="62" t="e">
        <f t="shared" ca="1" si="77"/>
        <v>#REF!</v>
      </c>
      <c r="DG72" s="62" t="e">
        <f t="shared" ca="1" si="78"/>
        <v>#REF!</v>
      </c>
      <c r="DH72" s="62" t="e">
        <f t="shared" ca="1" si="79"/>
        <v>#REF!</v>
      </c>
      <c r="DI72" s="62" t="e">
        <f t="shared" ca="1" si="80"/>
        <v>#REF!</v>
      </c>
      <c r="DJ72" s="62" t="e">
        <f t="shared" ca="1" si="81"/>
        <v>#REF!</v>
      </c>
      <c r="DK72" s="62" t="e">
        <f t="shared" ca="1" si="82"/>
        <v>#REF!</v>
      </c>
      <c r="DL72" s="62" t="e">
        <f t="shared" ca="1" si="83"/>
        <v>#REF!</v>
      </c>
      <c r="DM72" s="62" t="e">
        <f t="shared" ca="1" si="84"/>
        <v>#REF!</v>
      </c>
      <c r="DN72" s="62" t="e">
        <f t="shared" ca="1" si="85"/>
        <v>#REF!</v>
      </c>
      <c r="DO72" s="62" t="e">
        <f t="shared" ca="1" si="86"/>
        <v>#REF!</v>
      </c>
      <c r="DP72" s="62" t="e">
        <f t="shared" ca="1" si="87"/>
        <v>#REF!</v>
      </c>
      <c r="DQ72" s="62" t="e">
        <f t="shared" ca="1" si="88"/>
        <v>#REF!</v>
      </c>
      <c r="DR72" s="62" t="e">
        <f t="shared" ca="1" si="89"/>
        <v>#REF!</v>
      </c>
      <c r="DS72" s="62" t="e">
        <f t="shared" ca="1" si="90"/>
        <v>#REF!</v>
      </c>
      <c r="DT72" s="62" t="e">
        <f t="shared" ca="1" si="91"/>
        <v>#REF!</v>
      </c>
      <c r="DU72" s="62" t="e">
        <f t="shared" ca="1" si="92"/>
        <v>#REF!</v>
      </c>
      <c r="DV72" s="62" t="e">
        <f t="shared" ca="1" si="93"/>
        <v>#REF!</v>
      </c>
      <c r="DW72" s="62" t="e">
        <f t="shared" ca="1" si="94"/>
        <v>#REF!</v>
      </c>
      <c r="DX72" s="62" t="e">
        <f t="shared" ca="1" si="95"/>
        <v>#REF!</v>
      </c>
      <c r="DY72" s="62" t="e">
        <f t="shared" ca="1" si="96"/>
        <v>#REF!</v>
      </c>
      <c r="DZ72" s="62" t="e">
        <f t="shared" ca="1" si="97"/>
        <v>#REF!</v>
      </c>
      <c r="EA72" s="63" t="e">
        <f t="shared" ca="1" si="98"/>
        <v>#REF!</v>
      </c>
      <c r="EB72" s="63" t="e">
        <f t="shared" ca="1" si="99"/>
        <v>#REF!</v>
      </c>
      <c r="EC72" s="63" t="e">
        <f t="shared" ca="1" si="100"/>
        <v>#REF!</v>
      </c>
      <c r="ED72" s="63" t="e">
        <f t="shared" ca="1" si="101"/>
        <v>#REF!</v>
      </c>
      <c r="EE72" s="63" t="e">
        <f t="shared" ca="1" si="102"/>
        <v>#REF!</v>
      </c>
      <c r="EF72" s="63" t="e">
        <f t="shared" ca="1" si="103"/>
        <v>#REF!</v>
      </c>
      <c r="EG72" s="63" t="e">
        <f t="shared" ca="1" si="104"/>
        <v>#REF!</v>
      </c>
      <c r="EH72" s="63" t="e">
        <f t="shared" ca="1" si="105"/>
        <v>#REF!</v>
      </c>
      <c r="EI72" s="63" t="e">
        <f t="shared" ca="1" si="106"/>
        <v>#REF!</v>
      </c>
      <c r="EJ72" s="63" t="e">
        <f t="shared" ca="1" si="107"/>
        <v>#REF!</v>
      </c>
      <c r="EK72" s="63" t="e">
        <f t="shared" ca="1" si="108"/>
        <v>#REF!</v>
      </c>
      <c r="EL72" s="63" t="e">
        <f t="shared" ca="1" si="109"/>
        <v>#REF!</v>
      </c>
      <c r="EM72" s="63" t="e">
        <f t="shared" ca="1" si="110"/>
        <v>#REF!</v>
      </c>
      <c r="EN72" s="63" t="e">
        <f t="shared" ca="1" si="111"/>
        <v>#REF!</v>
      </c>
      <c r="EO72" s="63" t="e">
        <f t="shared" ca="1" si="112"/>
        <v>#REF!</v>
      </c>
      <c r="EP72" s="63" t="e">
        <f t="shared" ca="1" si="113"/>
        <v>#REF!</v>
      </c>
    </row>
    <row r="73" spans="1:171">
      <c r="A73" s="64" t="str">
        <f t="shared" si="131"/>
        <v>4A.1</v>
      </c>
      <c r="B73" s="64" t="s">
        <v>54</v>
      </c>
      <c r="C73" s="29">
        <v>2</v>
      </c>
      <c r="D73" s="29">
        <v>1</v>
      </c>
      <c r="E73" s="65">
        <f ca="1">IF(AND($D23&lt;&gt;0,_xlfn.XLOOKUP($B23,'TH_MLG GRADE 10'!$B$7:$B$49,'TH_MLG GRADE 10'!C$7:C$49,"",0,1)="P",
   _xlfn.XLOOKUP($B23,'TH_MLG GRADE 10'!$B$7:$B$49,'TH_MLG GRADE 10'!$BK$7:$BK$49,"",0,1)&lt;=TODAY()-MOD(WEEKDAY(TODAY(),2)-5,7)),$D23,0)</f>
        <v>0</v>
      </c>
      <c r="F73" s="65">
        <f ca="1">IF(AND($D23&lt;&gt;0,_xlfn.XLOOKUP($B23,'TH_MLG GRADE 10'!$B$7:$B$49,'TH_MLG GRADE 10'!D$7:D$49,"",0,1)="P",
   _xlfn.XLOOKUP($B23,'TH_MLG GRADE 10'!$B$7:$B$49,'TH_MLG GRADE 10'!$BL$7:$BL$49,"",0,1)&lt;=TODAY()-MOD(WEEKDAY(TODAY(),2)-5,7)),$D23,0)</f>
        <v>0</v>
      </c>
      <c r="G73" s="65">
        <f ca="1">IF(AND($D23&lt;&gt;0,_xlfn.XLOOKUP($B23,'TH_MLG GRADE 10'!$B$7:$B$49,'TH_MLG GRADE 10'!E$7:E$49,"",0,1)="P",
   _xlfn.XLOOKUP($B23,'TH_MLG GRADE 10'!$B$7:$B$49,'TH_MLG GRADE 10'!$BM$7:$BM$49,"",0,1)&lt;=TODAY()-MOD(WEEKDAY(TODAY(),2)-5,7)),$D23,0)</f>
        <v>0</v>
      </c>
      <c r="H73" s="65">
        <f ca="1">IF(AND($D23&lt;&gt;0,_xlfn.XLOOKUP($B23,'TH_MLG GRADE 10'!$B$7:$B$49,'TH_MLG GRADE 10'!I$7:I$49,"",0,1)="P",
   _xlfn.XLOOKUP($B23,'TH_MLG GRADE 10'!$B$7:$B$49,'TH_MLG GRADE 10'!$BK$7:$BK$49,"",0,1)&lt;=TODAY()-MOD(WEEKDAY(TODAY(),2)-5,7)),$D23,0)</f>
        <v>0</v>
      </c>
      <c r="I73" s="65">
        <f ca="1">IF(AND($D23&lt;&gt;0,_xlfn.XLOOKUP($B23,'TH_MLG GRADE 10'!$B$7:$B$49,'TH_MLG GRADE 10'!J$7:J$49,"",0,1)="P",
   _xlfn.XLOOKUP($B23,'TH_MLG GRADE 10'!$B$7:$B$49,'TH_MLG GRADE 10'!$BL$7:$BL$49,"",0,1)&lt;=TODAY()-MOD(WEEKDAY(TODAY(),2)-5,7)),$D23,0)</f>
        <v>0</v>
      </c>
      <c r="J73" s="65">
        <f ca="1">IF(AND($D23&lt;&gt;0,_xlfn.XLOOKUP($B23,'TH_MLG GRADE 10'!$B$7:$B$49,'TH_MLG GRADE 10'!K$7:K$49,"",0,1)="P",
   _xlfn.XLOOKUP($B23,'TH_MLG GRADE 10'!$B$7:$B$49,'TH_MLG GRADE 10'!$BM$7:$BM$49,"",0,1)&lt;=TODAY()-MOD(WEEKDAY(TODAY(),2)-5,7)),$D23,0)</f>
        <v>0</v>
      </c>
      <c r="K73" s="65">
        <f ca="1">IF(AND($D23&lt;&gt;0,_xlfn.XLOOKUP($B23,'TH_MLG GRADE 10'!$B$7:$B$49,'TH_MLG GRADE 10'!O$7:O$49,"",0,1)="P",
   _xlfn.XLOOKUP($B23,'TH_MLG GRADE 10'!$B$7:$B$49,'TH_MLG GRADE 10'!$BK$7:$BK$49,"",0,1)&lt;=TODAY()-MOD(WEEKDAY(TODAY(),2)-5,7)),$D23,0)</f>
        <v>0</v>
      </c>
      <c r="L73" s="65">
        <f ca="1">IF(AND($D23&lt;&gt;0,_xlfn.XLOOKUP($B23,'TH_MLG GRADE 10'!$B$7:$B$49,'TH_MLG GRADE 10'!P$7:P$49,"",0,1)="P",
   _xlfn.XLOOKUP($B23,'TH_MLG GRADE 10'!$B$7:$B$49,'TH_MLG GRADE 10'!$BL$7:$BL$49,"",0,1)&lt;=TODAY()-MOD(WEEKDAY(TODAY(),2)-5,7)),$D23,0)</f>
        <v>0</v>
      </c>
      <c r="M73" s="65">
        <f ca="1">IF(AND($D23&lt;&gt;0,_xlfn.XLOOKUP($B23,'TH_MLG GRADE 10'!$B$7:$B$49,'TH_MLG GRADE 10'!Q$7:Q$49,"",0,1)="P",
   _xlfn.XLOOKUP($B23,'TH_MLG GRADE 10'!$B$7:$B$49,'TH_MLG GRADE 10'!$BM$7:$BM$49,"",0,1)&lt;=TODAY()-MOD(WEEKDAY(TODAY(),2)-5,7)),$D23,0)</f>
        <v>0</v>
      </c>
      <c r="N73" s="65">
        <f ca="1">IF(AND($D23&lt;&gt;0,_xlfn.XLOOKUP($B23,'TH_MLG GRADE 10'!$B$7:$B$49,'TH_MLG GRADE 10'!AA$7:AA$49,"",0,1)="P",
   _xlfn.XLOOKUP($B23,'TH_MLG GRADE 10'!$B$7:$B$49,'TH_MLG GRADE 10'!$BK$7:$BK$49,"",0,1)&lt;=TODAY()-MOD(WEEKDAY(TODAY(),2)-5,7)),$D23,0)</f>
        <v>0</v>
      </c>
      <c r="O73" s="65">
        <f ca="1">IF(AND($D23&lt;&gt;0,_xlfn.XLOOKUP($B23,'TH_MLG GRADE 10'!$B$7:$B$49,'TH_MLG GRADE 10'!AB$7:AB$49,"",0,1)="P",
   _xlfn.XLOOKUP($B23,'TH_MLG GRADE 10'!$B$7:$B$49,'TH_MLG GRADE 10'!$BL$7:$BL$49,"",0,1)&lt;=TODAY()-MOD(WEEKDAY(TODAY(),2)-5,7)),$D23,0)</f>
        <v>0</v>
      </c>
      <c r="P73" s="65">
        <f ca="1">IF(AND($D23&lt;&gt;0,_xlfn.XLOOKUP($B23,'TH_MLG GRADE 10'!$B$7:$B$49,'TH_MLG GRADE 10'!AC$7:AC$49,"",0,1)="P",
   _xlfn.XLOOKUP($B23,'TH_MLG GRADE 10'!$B$7:$B$49,'TH_MLG GRADE 10'!$BM$7:$BM$49,"",0,1)&lt;=TODAY()-MOD(WEEKDAY(TODAY(),2)-5,7)),$D23,0)</f>
        <v>0</v>
      </c>
      <c r="Q73" s="65">
        <f ca="1">IF(AND($D23&lt;&gt;0,_xlfn.XLOOKUP($B23,'TH_MLG GRADE 10'!$B$7:$B$49,'TH_MLG GRADE 10'!AG$7:AG$49,"",0,1)="P",
   _xlfn.XLOOKUP($B23,'TH_MLG GRADE 10'!$B$7:$B$49,'TH_MLG GRADE 10'!$BK$7:$BK$49,"",0,1)&lt;=TODAY()-MOD(WEEKDAY(TODAY(),2)-5,7)),$D23,0)</f>
        <v>1</v>
      </c>
      <c r="R73" s="65">
        <f ca="1">IF(AND($D23&lt;&gt;0,_xlfn.XLOOKUP($B23,'TH_MLG GRADE 10'!$B$7:$B$49,'TH_MLG GRADE 10'!AH$7:AH$49,"",0,1)="P",
   _xlfn.XLOOKUP($B23,'TH_MLG GRADE 10'!$B$7:$B$49,'TH_MLG GRADE 10'!$BL$7:$BL$49,"",0,1)&lt;=TODAY()-MOD(WEEKDAY(TODAY(),2)-5,7)),$D23,0)</f>
        <v>1</v>
      </c>
      <c r="S73" s="65">
        <f ca="1">IF(AND($D23&lt;&gt;0,_xlfn.XLOOKUP($B23,'TH_MLG GRADE 10'!$B$7:$B$49,'TH_MLG GRADE 10'!AI$7:AI$49,"",0,1)="P",
   _xlfn.XLOOKUP($B23,'TH_MLG GRADE 10'!$B$7:$B$49,'TH_MLG GRADE 10'!$BM$7:$BM$49,"",0,1)&lt;=TODAY()-MOD(WEEKDAY(TODAY(),2)-5,7)),$D23,0)</f>
        <v>1</v>
      </c>
      <c r="T73" s="65">
        <f ca="1">IF(AND($D23&lt;&gt;0,_xlfn.XLOOKUP($B23,'TH_MLG GRADE 10'!$B$7:$B$49,'TH_MLG GRADE 10'!AM$7:AM$49,"",0,1)="P",
   _xlfn.XLOOKUP($B23,'TH_MLG GRADE 10'!$B$7:$B$49,'TH_MLG GRADE 10'!$BK$7:$BK$49,"",0,1)&lt;=TODAY()-MOD(WEEKDAY(TODAY(),2)-5,7)),$D23,0)</f>
        <v>0</v>
      </c>
      <c r="U73" s="65">
        <f ca="1">IF(AND($D23&lt;&gt;0,_xlfn.XLOOKUP($B23,'TH_MLG GRADE 10'!$B$7:$B$49,'TH_MLG GRADE 10'!AN$7:AN$49,"",0,1)="P",
   _xlfn.XLOOKUP($B23,'TH_MLG GRADE 10'!$B$7:$B$49,'TH_MLG GRADE 10'!$BL$7:$BL$49,"",0,1)&lt;=TODAY()-MOD(WEEKDAY(TODAY(),2)-5,7)),$D23,0)</f>
        <v>0</v>
      </c>
      <c r="V73" s="65">
        <f ca="1">IF(AND($D23&lt;&gt;0,_xlfn.XLOOKUP($B23,'TH_MLG GRADE 10'!$B$7:$B$49,'TH_MLG GRADE 10'!AO$7:AO$49,"",0,1)="P",
   _xlfn.XLOOKUP($B23,'TH_MLG GRADE 10'!$B$7:$B$49,'TH_MLG GRADE 10'!$BM$7:$BM$49,"",0,1)&lt;=TODAY()-MOD(WEEKDAY(TODAY(),2)-5,7)),$D23,0)</f>
        <v>0</v>
      </c>
      <c r="W73" s="65">
        <f ca="1">IF(AND($D23&lt;&gt;0,_xlfn.XLOOKUP($B23,'TH_MLG GRADE 10'!$B$7:$B$49,'TH_MLG GRADE 10'!AY$7:AY$49,"",0,1)="P",
   _xlfn.XLOOKUP($B23,'TH_MLG GRADE 10'!$B$7:$B$49,'TH_MLG GRADE 10'!$BK$7:$BK$49,"",0,1)&lt;=TODAY()-MOD(WEEKDAY(TODAY(),2)-5,7)),$D23,0)</f>
        <v>0</v>
      </c>
      <c r="X73" s="65">
        <f ca="1">IF(AND($D23&lt;&gt;0,_xlfn.XLOOKUP($B23,'TH_MLG GRADE 10'!$B$7:$B$49,'TH_MLG GRADE 10'!AZ$7:AZ$49,"",0,1)="P",
   _xlfn.XLOOKUP($B23,'TH_MLG GRADE 10'!$B$7:$B$49,'TH_MLG GRADE 10'!$BL$7:$BL$49,"",0,1)&lt;=TODAY()-MOD(WEEKDAY(TODAY(),2)-5,7)),$D23,0)</f>
        <v>0</v>
      </c>
      <c r="Y73" s="65">
        <f ca="1">IF(AND($D23&lt;&gt;0,_xlfn.XLOOKUP($B23,'TH_MLG GRADE 10'!$B$7:$B$49,'TH_MLG GRADE 10'!BA$7:BA$49,"",0,1)="P",
   _xlfn.XLOOKUP($B23,'TH_MLG GRADE 10'!$B$7:$B$49,'TH_MLG GRADE 10'!$BM$7:$BM$49,"",0,1)&lt;=TODAY()-MOD(WEEKDAY(TODAY(),2)-5,7)),$D23,0)</f>
        <v>0</v>
      </c>
      <c r="Z73" s="65">
        <f ca="1">IF(AND($D23&lt;&gt;0,_xlfn.XLOOKUP($B23,'TH_MLG GRADE 10'!$B$7:$B$49,'TH_MLG GRADE 10'!BE$7:BE$49,"",0,1)="P",
   _xlfn.XLOOKUP($B23,'TH_MLG GRADE 10'!$B$7:$B$49,'TH_MLG GRADE 10'!$BK$7:$BK$49,"",0,1)&lt;=TODAY()-MOD(WEEKDAY(TODAY(),2)-5,7)),$D23,0)</f>
        <v>0</v>
      </c>
      <c r="AA73" s="65">
        <f ca="1">IF(AND($D23&lt;&gt;0,_xlfn.XLOOKUP($B23,'TH_MLG GRADE 10'!$B$7:$B$49,'TH_MLG GRADE 10'!BF$7:BF$49,"",0,1)="P",
   _xlfn.XLOOKUP($B23,'TH_MLG GRADE 10'!$B$7:$B$49,'TH_MLG GRADE 10'!$BL$7:$BL$49,"",0,1)&lt;=TODAY()-MOD(WEEKDAY(TODAY(),2)-5,7)),$D23,0)</f>
        <v>0</v>
      </c>
      <c r="AB73" s="65">
        <f ca="1">IF(AND($D23&lt;&gt;0,_xlfn.XLOOKUP($B23,'TH_MLG GRADE 10'!$B$7:$B$49,'TH_MLG GRADE 10'!BG$7:BG$49,"",0,1)="P",
   _xlfn.XLOOKUP($B23,'TH_MLG GRADE 10'!$B$7:$B$49,'TH_MLG GRADE 10'!$BM$7:$BM$49,"",0,1)&lt;=TODAY()-MOD(WEEKDAY(TODAY(),2)-5,7)),$D23,0)</f>
        <v>0</v>
      </c>
      <c r="AC73" s="65" t="e">
        <f ca="1">IF(AND($D23&lt;&gt;0,_xlfn.XLOOKUP($B23,'TH_MLG GRADE 10'!$B$7:$B$49,'TH_MLG GRADE 10'!#REF!,"",0,1)="P",
   _xlfn.XLOOKUP($B23,'TH_MLG GRADE 10'!$B$7:$B$49,'TH_MLG GRADE 10'!$BK$7:$BK$49,"",0,1)&lt;=TODAY()-MOD(WEEKDAY(TODAY(),2)-5,7)),$D23,0)</f>
        <v>#REF!</v>
      </c>
      <c r="AD73" s="65" t="e">
        <f ca="1">IF(AND($D23&lt;&gt;0,_xlfn.XLOOKUP($B23,'TH_MLG GRADE 10'!$B$7:$B$49,'TH_MLG GRADE 10'!#REF!,"",0,1)="P",
   _xlfn.XLOOKUP($B23,'TH_MLG GRADE 10'!$B$7:$B$49,'TH_MLG GRADE 10'!$BL$7:$BL$49,"",0,1)&lt;=TODAY()-MOD(WEEKDAY(TODAY(),2)-5,7)),$D23,0)</f>
        <v>#REF!</v>
      </c>
      <c r="AE73" s="65" t="e">
        <f ca="1">IF(AND($D23&lt;&gt;0,_xlfn.XLOOKUP($B23,'TH_MLG GRADE 10'!$B$7:$B$49,'TH_MLG GRADE 10'!#REF!,"",0,1)="P",
   _xlfn.XLOOKUP($B23,'TH_MLG GRADE 10'!$B$7:$B$49,'TH_MLG GRADE 10'!$BM$7:$BM$49,"",0,1)&lt;=TODAY()-MOD(WEEKDAY(TODAY(),2)-5,7)),$D23,0)</f>
        <v>#REF!</v>
      </c>
      <c r="AF73" s="65" t="e">
        <f ca="1">IF(AND($D23&lt;&gt;0,_xlfn.XLOOKUP($B23,'TH_MLG GRADE 10'!$B$7:$B$49,'TH_MLG GRADE 10'!#REF!,"",0,1)="P",
   _xlfn.XLOOKUP($B23,'TH_MLG GRADE 10'!$B$7:$B$49,'TH_MLG GRADE 10'!$BK$7:$BK$49,"",0,1)&lt;=TODAY()-MOD(WEEKDAY(TODAY(),2)-5,7)),$D23,0)</f>
        <v>#REF!</v>
      </c>
      <c r="AG73" s="65" t="e">
        <f ca="1">IF(AND($D23&lt;&gt;0,_xlfn.XLOOKUP($B23,'TH_MLG GRADE 10'!$B$7:$B$49,'TH_MLG GRADE 10'!#REF!,"",0,1)="P",
   _xlfn.XLOOKUP($B23,'TH_MLG GRADE 10'!$B$7:$B$49,'TH_MLG GRADE 10'!$BL$7:$BL$49,"",0,1)&lt;=TODAY()-MOD(WEEKDAY(TODAY(),2)-5,7)),$D23,0)</f>
        <v>#REF!</v>
      </c>
      <c r="AH73" s="65" t="e">
        <f ca="1">IF(AND($D23&lt;&gt;0,_xlfn.XLOOKUP($B23,'TH_MLG GRADE 10'!$B$7:$B$49,'TH_MLG GRADE 10'!#REF!,"",0,1)="P",
   _xlfn.XLOOKUP($B23,'TH_MLG GRADE 10'!$B$7:$B$49,'TH_MLG GRADE 10'!$BM$7:$BM$49,"",0,1)&lt;=TODAY()-MOD(WEEKDAY(TODAY(),2)-5,7)),$D23,0)</f>
        <v>#REF!</v>
      </c>
      <c r="AI73" s="67">
        <f ca="1">IF(AND($D23&lt;&gt;0,_xlfn.XLOOKUP($B23,'TH_CMI GRADE 10'!$B$7:$B$49,'TH_CMI GRADE 10'!C$7:C$49,"",0,1)="P",
   _xlfn.XLOOKUP($B23,'TH_CMI GRADE 10'!$B$7:$B$49,'TH_CMI GRADE 10'!$AS$7:$AS$49,"",0,1)&lt;=TODAY()-MOD(WEEKDAY(TODAY(),2)-5,7)),$D23,0)</f>
        <v>0</v>
      </c>
      <c r="AJ73" s="67">
        <f ca="1">IF(AND($D23&lt;&gt;0,_xlfn.XLOOKUP($B23,'TH_CMI GRADE 10'!$B$7:$B$49,'TH_CMI GRADE 10'!D$7:D$49,"",0,1)="P",
   _xlfn.XLOOKUP($B23,'TH_CMI GRADE 10'!$B$7:$B$49,'TH_CMI GRADE 10'!$AT$7:$AT$49,"",0,1)&lt;=TODAY()-MOD(WEEKDAY(TODAY(),2)-5,7)),$D23,0)</f>
        <v>0</v>
      </c>
      <c r="AK73" s="67" t="e">
        <f ca="1">IF(AND($D23&lt;&gt;0,_xlfn.XLOOKUP($B23,'TH_CMI GRADE 10'!$B$7:$B$49,'TH_CMI GRADE 10'!H$7:H$49,"",0,1)="P",
   _xlfn.XLOOKUP($B23,'TH_CMI GRADE 10'!$B$7:$B$49,'TH_CMI GRADE 10'!#REF!,"",0,1)&lt;=TODAY()-MOD(WEEKDAY(TODAY(),2)-5,7)),$D23,0)</f>
        <v>#REF!</v>
      </c>
      <c r="AL73" s="67">
        <f ca="1">IF(AND($D23&lt;&gt;0,_xlfn.XLOOKUP($B23,'TH_CMI GRADE 10'!$B$7:$B$49,'TH_CMI GRADE 10'!I$7:I$49,"",0,1)="P",
   _xlfn.XLOOKUP($B23,'TH_CMI GRADE 10'!$B$7:$B$49,'TH_CMI GRADE 10'!$AS$7:$AS$49,"",0,1)&lt;=TODAY()-MOD(WEEKDAY(TODAY(),2)-5,7)),$D23,0)</f>
        <v>0</v>
      </c>
      <c r="AM73" s="67">
        <f ca="1">IF(AND($D23&lt;&gt;0,_xlfn.XLOOKUP($B23,'TH_CMI GRADE 10'!$B$7:$B$49,'TH_CMI GRADE 10'!J$7:J$49,"",0,1)="P",
   _xlfn.XLOOKUP($B23,'TH_CMI GRADE 10'!$B$7:$B$49,'TH_CMI GRADE 10'!$AT$7:$AT$49,"",0,1)&lt;=TODAY()-MOD(WEEKDAY(TODAY(),2)-5,7)),$D23,0)</f>
        <v>0</v>
      </c>
      <c r="AN73" s="67" t="e">
        <f ca="1">IF(AND($D23&lt;&gt;0,_xlfn.XLOOKUP($B23,'TH_CMI GRADE 10'!$B$7:$B$49,'TH_CMI GRADE 10'!K$7:K$49,"",0,1)="P",
   _xlfn.XLOOKUP($B23,'TH_CMI GRADE 10'!$B$7:$B$49,'TH_CMI GRADE 10'!#REF!,"",0,1)&lt;=TODAY()-MOD(WEEKDAY(TODAY(),2)-5,7)),$D23,0)</f>
        <v>#REF!</v>
      </c>
      <c r="AO73" s="67">
        <f ca="1">IF(AND($D23&lt;&gt;0,_xlfn.XLOOKUP($B23,'TH_CMI GRADE 10'!$B$7:$B$49,'TH_CMI GRADE 10'!O$7:O$49,"",0,1)="P",
   _xlfn.XLOOKUP($B23,'TH_CMI GRADE 10'!$B$7:$B$49,'TH_CMI GRADE 10'!$AS$7:$AS$49,"",0,1)&lt;=TODAY()-MOD(WEEKDAY(TODAY(),2)-5,7)),$D23,0)</f>
        <v>0</v>
      </c>
      <c r="AP73" s="67">
        <f ca="1">IF(AND($D23&lt;&gt;0,_xlfn.XLOOKUP($B23,'TH_CMI GRADE 10'!$B$7:$B$49,'TH_CMI GRADE 10'!P$7:P$49,"",0,1)="P",
   _xlfn.XLOOKUP($B23,'TH_CMI GRADE 10'!$B$7:$B$49,'TH_CMI GRADE 10'!$AT$7:$AT$49,"",0,1)&lt;=TODAY()-MOD(WEEKDAY(TODAY(),2)-5,7)),$D23,0)</f>
        <v>0</v>
      </c>
      <c r="AQ73" s="67" t="e">
        <f ca="1">IF(AND($D23&lt;&gt;0,_xlfn.XLOOKUP($B23,'TH_CMI GRADE 10'!$B$7:$B$49,'TH_CMI GRADE 10'!Q$7:Q$49,"",0,1)="P",
   _xlfn.XLOOKUP($B23,'TH_CMI GRADE 10'!$B$7:$B$49,'TH_CMI GRADE 10'!#REF!,"",0,1)&lt;=TODAY()-MOD(WEEKDAY(TODAY(),2)-5,7)),$D23,0)</f>
        <v>#REF!</v>
      </c>
      <c r="AR73" s="67">
        <f ca="1">IF(AND($D23&lt;&gt;0,_xlfn.XLOOKUP($B23,'TH_CMI GRADE 10'!$B$7:$B$49,'TH_CMI GRADE 10'!U$7:U$49,"",0,1)="P",
   _xlfn.XLOOKUP($B23,'TH_CMI GRADE 10'!$B$7:$B$49,'TH_CMI GRADE 10'!$AS$7:$AS$49,"",0,1)&lt;=TODAY()-MOD(WEEKDAY(TODAY(),2)-5,7)),$D23,0)</f>
        <v>0</v>
      </c>
      <c r="AS73" s="67">
        <f ca="1">IF(AND($D23&lt;&gt;0,_xlfn.XLOOKUP($B23,'TH_CMI GRADE 10'!$B$7:$B$49,'TH_CMI GRADE 10'!V$7:V$49,"",0,1)="P",
   _xlfn.XLOOKUP($B23,'TH_CMI GRADE 10'!$B$7:$B$49,'TH_CMI GRADE 10'!$AT$7:$AT$49,"",0,1)&lt;=TODAY()-MOD(WEEKDAY(TODAY(),2)-5,7)),$D23,0)</f>
        <v>0</v>
      </c>
      <c r="AT73" s="67" t="e">
        <f ca="1">IF(AND($D23&lt;&gt;0,_xlfn.XLOOKUP($B23,'TH_CMI GRADE 10'!$B$7:$B$49,'TH_CMI GRADE 10'!W$7:W$49,"",0,1)="P",
   _xlfn.XLOOKUP($B23,'TH_CMI GRADE 10'!$B$7:$B$49,'TH_CMI GRADE 10'!#REF!,"",0,1)&lt;=TODAY()-MOD(WEEKDAY(TODAY(),2)-5,7)),$D23,0)</f>
        <v>#REF!</v>
      </c>
      <c r="AU73" s="67">
        <f ca="1">IF(AND($D23&lt;&gt;0,_xlfn.XLOOKUP($B23,'TH_CMI GRADE 10'!$B$7:$B$49,'TH_CMI GRADE 10'!AA$7:AA$49,"",0,1)="P",
   _xlfn.XLOOKUP($B23,'TH_CMI GRADE 10'!$B$7:$B$49,'TH_CMI GRADE 10'!$AS$7:$AS$49,"",0,1)&lt;=TODAY()-MOD(WEEKDAY(TODAY(),2)-5,7)),$D23,0)</f>
        <v>1</v>
      </c>
      <c r="AV73" s="67">
        <f ca="1">IF(AND($D23&lt;&gt;0,_xlfn.XLOOKUP($B23,'TH_CMI GRADE 10'!$B$7:$B$49,'TH_CMI GRADE 10'!AB$7:AB$49,"",0,1)="P",
   _xlfn.XLOOKUP($B23,'TH_CMI GRADE 10'!$B$7:$B$49,'TH_CMI GRADE 10'!$AT$7:$AT$49,"",0,1)&lt;=TODAY()-MOD(WEEKDAY(TODAY(),2)-5,7)),$D23,0)</f>
        <v>1</v>
      </c>
      <c r="AW73" s="67" t="e">
        <f ca="1">IF(AND($D23&lt;&gt;0,_xlfn.XLOOKUP($B23,'TH_CMI GRADE 10'!$B$7:$B$49,'TH_CMI GRADE 10'!AC$7:AC$49,"",0,1)="P",
   _xlfn.XLOOKUP($B23,'TH_CMI GRADE 10'!$B$7:$B$49,'TH_CMI GRADE 10'!#REF!,"",0,1)&lt;=TODAY()-MOD(WEEKDAY(TODAY(),2)-5,7)),$D23,0)</f>
        <v>#REF!</v>
      </c>
      <c r="AX73" s="67">
        <f ca="1">IF(AND($D23&lt;&gt;0,_xlfn.XLOOKUP($B23,'TH_CMI GRADE 10'!$B$7:$B$49,'TH_CMI GRADE 10'!AG$7:AG$49,"",0,1)="P",
   _xlfn.XLOOKUP($B23,'TH_CMI GRADE 10'!$B$7:$B$49,'TH_CMI GRADE 10'!$AS$7:$AS$49,"",0,1)&lt;=TODAY()-MOD(WEEKDAY(TODAY(),2)-5,7)),$D23,0)</f>
        <v>1</v>
      </c>
      <c r="AY73" s="67">
        <f ca="1">IF(AND($D23&lt;&gt;0,_xlfn.XLOOKUP($B23,'TH_CMI GRADE 10'!$B$7:$B$49,'TH_CMI GRADE 10'!AH$7:AH$49,"",0,1)="P",
   _xlfn.XLOOKUP($B23,'TH_CMI GRADE 10'!$B$7:$B$49,'TH_CMI GRADE 10'!$AT$7:$AT$49,"",0,1)&lt;=TODAY()-MOD(WEEKDAY(TODAY(),2)-5,7)),$D23,0)</f>
        <v>1</v>
      </c>
      <c r="AZ73" s="67" t="e">
        <f ca="1">IF(AND($D23&lt;&gt;0,_xlfn.XLOOKUP($B23,'TH_CMI GRADE 10'!$B$7:$B$49,'TH_CMI GRADE 10'!AI$7:AI$49,"",0,1)="P",
   _xlfn.XLOOKUP($B23,'TH_CMI GRADE 10'!$B$7:$B$49,'TH_CMI GRADE 10'!#REF!,"",0,1)&lt;=TODAY()-MOD(WEEKDAY(TODAY(),2)-5,7)),$D23,0)</f>
        <v>#REF!</v>
      </c>
      <c r="BA73" s="65" t="e">
        <f ca="1">IF(AND($D23&lt;&gt;0,_xlfn.XLOOKUP($B23,'PW_MLG GRADE 10'!$B$7:$B$31,'PW_MLG GRADE 10'!R$7:R$31,"",0,1)="P",
   _xlfn.XLOOKUP($B23,'PW_MLG GRADE 10'!$B$7:$B$31,'PW_MLG GRADE 10'!#REF!,"",0,1)&lt;=TODAY()-MOD(WEEKDAY(TODAY(),2)-5,7)),$D23,0)</f>
        <v>#REF!</v>
      </c>
      <c r="BB73" s="65" t="e">
        <f ca="1">IF(AND($D23&lt;&gt;0,_xlfn.XLOOKUP($B23,'PW_MLG GRADE 10'!$B$7:$B$31,'PW_MLG GRADE 10'!S$7:S$31,"",0,1)="P",
   _xlfn.XLOOKUP($B23,'PW_MLG GRADE 10'!$B$7:$B$31,'PW_MLG GRADE 10'!#REF!,"",0,1)&lt;=TODAY()-MOD(WEEKDAY(TODAY(),2)-5,7)),$D23,0)</f>
        <v>#REF!</v>
      </c>
      <c r="BC73" s="65" t="e">
        <f ca="1">IF(AND($D23&lt;&gt;0,_xlfn.XLOOKUP($B23,'PW_MLG GRADE 10'!$B$7:$B$31,'PW_MLG GRADE 10'!T$7:T$31,"",0,1)="P",
   _xlfn.XLOOKUP($B23,'PW_MLG GRADE 10'!$B$7:$B$31,'PW_MLG GRADE 10'!#REF!,"",0,1)&lt;=TODAY()-MOD(WEEKDAY(TODAY(),2)-5,7)),$D23,0)</f>
        <v>#REF!</v>
      </c>
      <c r="BD73" s="65" t="e">
        <f ca="1">IF(AND($D23&lt;&gt;0,_xlfn.XLOOKUP($B23,'PW_MLG GRADE 10'!$B$7:$B$31,'PW_MLG GRADE 10'!AA$7:AA$31,"",0,1)="P",
   _xlfn.XLOOKUP($B23,'PW_MLG GRADE 10'!$B$7:$B$31,'PW_MLG GRADE 10'!#REF!,"",0,1)&lt;=TODAY()-MOD(WEEKDAY(TODAY(),2)-5,7)),$D23,0)</f>
        <v>#REF!</v>
      </c>
      <c r="BE73" s="65" t="e">
        <f ca="1">IF(AND($D23&lt;&gt;0,_xlfn.XLOOKUP($B23,'PW_MLG GRADE 10'!$B$7:$B$31,'PW_MLG GRADE 10'!AB$7:AB$31,"",0,1)="P",
   _xlfn.XLOOKUP($B23,'PW_MLG GRADE 10'!$B$7:$B$31,'PW_MLG GRADE 10'!#REF!,"",0,1)&lt;=TODAY()-MOD(WEEKDAY(TODAY(),2)-5,7)),$D23,0)</f>
        <v>#REF!</v>
      </c>
      <c r="BF73" s="65" t="e">
        <f ca="1">IF(AND($D23&lt;&gt;0,_xlfn.XLOOKUP($B23,'PW_MLG GRADE 10'!$B$7:$B$31,'PW_MLG GRADE 10'!AC$7:AC$31,"",0,1)="P",
   _xlfn.XLOOKUP($B23,'PW_MLG GRADE 10'!$B$7:$B$31,'PW_MLG GRADE 10'!#REF!,"",0,1)&lt;=TODAY()-MOD(WEEKDAY(TODAY(),2)-5,7)),$D23,0)</f>
        <v>#REF!</v>
      </c>
      <c r="BG73" s="65" t="e">
        <f ca="1">IF(AND($D23&lt;&gt;0,_xlfn.XLOOKUP($B23,'PW_MLG GRADE 10'!$B$7:$B$31,'PW_MLG GRADE 10'!AD$7:AD$31,"",0,1)="P",
   _xlfn.XLOOKUP($B23,'PW_MLG GRADE 10'!$B$7:$B$31,'PW_MLG GRADE 10'!#REF!,"",0,1)&lt;=TODAY()-MOD(WEEKDAY(TODAY(),2)-5,7)),$D23,0)</f>
        <v>#REF!</v>
      </c>
      <c r="BH73" s="65" t="e">
        <f ca="1">IF(AND($D23&lt;&gt;0,_xlfn.XLOOKUP($B23,'PW_MLG GRADE 10'!$B$7:$B$31,'PW_MLG GRADE 10'!AE$7:AE$31,"",0,1)="P",
   _xlfn.XLOOKUP($B23,'PW_MLG GRADE 10'!$B$7:$B$31,'PW_MLG GRADE 10'!#REF!,"",0,1)&lt;=TODAY()-MOD(WEEKDAY(TODAY(),2)-5,7)),$D23,0)</f>
        <v>#REF!</v>
      </c>
      <c r="BI73" s="65" t="e">
        <f ca="1">IF(AND($D23&lt;&gt;0,_xlfn.XLOOKUP($B23,'PW_MLG GRADE 10'!$B$7:$B$31,'PW_MLG GRADE 10'!AF$7:AF$31,"",0,1)="P",
   _xlfn.XLOOKUP($B23,'PW_MLG GRADE 10'!$B$7:$B$31,'PW_MLG GRADE 10'!#REF!,"",0,1)&lt;=TODAY()-MOD(WEEKDAY(TODAY(),2)-5,7)),$D23,0)</f>
        <v>#REF!</v>
      </c>
      <c r="BJ73" s="65" t="e">
        <f ca="1">IF(AND($D23&lt;&gt;0,_xlfn.XLOOKUP($B23,'PW_MLG GRADE 10'!$B$7:$B$31,'PW_MLG GRADE 10'!AG$7:AG$31,"",0,1)="P",
   _xlfn.XLOOKUP($B23,'PW_MLG GRADE 10'!$B$7:$B$31,'PW_MLG GRADE 10'!#REF!,"",0,1)&lt;=TODAY()-MOD(WEEKDAY(TODAY(),2)-5,7)),$D23,0)</f>
        <v>#REF!</v>
      </c>
      <c r="BK73" s="65" t="e">
        <f ca="1">IF(AND($D23&lt;&gt;0,_xlfn.XLOOKUP($B23,'PW_MLG GRADE 10'!$B$7:$B$31,'PW_MLG GRADE 10'!AH$7:AH$31,"",0,1)="P",
   _xlfn.XLOOKUP($B23,'PW_MLG GRADE 10'!$B$7:$B$31,'PW_MLG GRADE 10'!#REF!,"",0,1)&lt;=TODAY()-MOD(WEEKDAY(TODAY(),2)-5,7)),$D23,0)</f>
        <v>#REF!</v>
      </c>
      <c r="BL73" s="65" t="e">
        <f ca="1">IF(AND($D23&lt;&gt;0,_xlfn.XLOOKUP($B23,'PW_MLG GRADE 10'!$B$7:$B$31,'PW_MLG GRADE 10'!AI$7:AI$31,"",0,1)="P",
   _xlfn.XLOOKUP($B23,'PW_MLG GRADE 10'!$B$7:$B$31,'PW_MLG GRADE 10'!#REF!,"",0,1)&lt;=TODAY()-MOD(WEEKDAY(TODAY(),2)-5,7)),$D23,0)</f>
        <v>#REF!</v>
      </c>
      <c r="BM73" s="65" t="e">
        <f ca="1">IF(AND($D23&lt;&gt;0,_xlfn.XLOOKUP($B23,'PW_MLG GRADE 10'!$B$7:$B$31,'PW_MLG GRADE 10'!AJ$7:AJ$31,"",0,1)="P",
   _xlfn.XLOOKUP($B23,'PW_MLG GRADE 10'!$B$7:$B$31,'PW_MLG GRADE 10'!#REF!,"",0,1)&lt;=TODAY()-MOD(WEEKDAY(TODAY(),2)-5,7)),$D23,0)</f>
        <v>#REF!</v>
      </c>
      <c r="BN73" s="65" t="e">
        <f ca="1">IF(AND($D23&lt;&gt;0,_xlfn.XLOOKUP($B23,'PW_MLG GRADE 10'!$B$7:$B$31,'PW_MLG GRADE 10'!AK$7:AK$31,"",0,1)="P",
   _xlfn.XLOOKUP($B23,'PW_MLG GRADE 10'!$B$7:$B$31,'PW_MLG GRADE 10'!#REF!,"",0,1)&lt;=TODAY()-MOD(WEEKDAY(TODAY(),2)-5,7)),$D23,0)</f>
        <v>#REF!</v>
      </c>
      <c r="BO73" s="65" t="e">
        <f ca="1">IF(AND($D23&lt;&gt;0,_xlfn.XLOOKUP($B23,'PW_MLG GRADE 10'!$B$7:$B$31,'PW_MLG GRADE 10'!AL$7:AL$31,"",0,1)="P",
   _xlfn.XLOOKUP($B23,'PW_MLG GRADE 10'!$B$7:$B$31,'PW_MLG GRADE 10'!#REF!,"",0,1)&lt;=TODAY()-MOD(WEEKDAY(TODAY(),2)-5,7)),$D23,0)</f>
        <v>#REF!</v>
      </c>
      <c r="BP73" s="65" t="e">
        <f ca="1">IF(AND($D23&lt;&gt;0,_xlfn.XLOOKUP($B23,'PW_MLG GRADE 10'!$B$7:$B$31,'PW_MLG GRADE 10'!AM$7:AM$31,"",0,1)="P",
   _xlfn.XLOOKUP($B23,'PW_MLG GRADE 10'!$B$7:$B$31,'PW_MLG GRADE 10'!#REF!,"",0,1)&lt;=TODAY()-MOD(WEEKDAY(TODAY(),2)-5,7)),$D23,0)</f>
        <v>#REF!</v>
      </c>
      <c r="BQ73" s="65" t="e">
        <f ca="1">IF(AND($D23&lt;&gt;0,_xlfn.XLOOKUP($B23,'PW_MLG GRADE 10'!$B$7:$B$31,'PW_MLG GRADE 10'!AN$7:AN$31,"",0,1)="P",
   _xlfn.XLOOKUP($B23,'PW_MLG GRADE 10'!$B$7:$B$31,'PW_MLG GRADE 10'!#REF!,"",0,1)&lt;=TODAY()-MOD(WEEKDAY(TODAY(),2)-5,7)),$D23,0)</f>
        <v>#REF!</v>
      </c>
      <c r="BR73" s="65" t="e">
        <f ca="1">IF(AND($D23&lt;&gt;0,_xlfn.XLOOKUP($B23,'PW_MLG GRADE 10'!$B$7:$B$31,'PW_MLG GRADE 10'!AO$7:AO$31,"",0,1)="P",
   _xlfn.XLOOKUP($B23,'PW_MLG GRADE 10'!$B$7:$B$31,'PW_MLG GRADE 10'!#REF!,"",0,1)&lt;=TODAY()-MOD(WEEKDAY(TODAY(),2)-5,7)),$D23,0)</f>
        <v>#REF!</v>
      </c>
      <c r="BS73" s="65" t="e">
        <f ca="1">IF(AND($D23&lt;&gt;0,_xlfn.XLOOKUP($B23,'PW_MLG GRADE 10'!$B$7:$B$31,'PW_MLG GRADE 10'!AP$7:AP$31,"",0,1)="P",
   _xlfn.XLOOKUP($B23,'PW_MLG GRADE 10'!$B$7:$B$31,'PW_MLG GRADE 10'!#REF!,"",0,1)&lt;=TODAY()-MOD(WEEKDAY(TODAY(),2)-5,7)),$D23,0)</f>
        <v>#REF!</v>
      </c>
      <c r="BT73" s="65" t="e">
        <f ca="1">IF(AND($D23&lt;&gt;0,_xlfn.XLOOKUP($B23,'PW_MLG GRADE 10'!$B$7:$B$31,'PW_MLG GRADE 10'!AQ$7:AQ$31,"",0,1)="P",
   _xlfn.XLOOKUP($B23,'PW_MLG GRADE 10'!$B$7:$B$31,'PW_MLG GRADE 10'!#REF!,"",0,1)&lt;=TODAY()-MOD(WEEKDAY(TODAY(),2)-5,7)),$D23,0)</f>
        <v>#REF!</v>
      </c>
      <c r="BU73" s="65" t="e">
        <f ca="1">IF(AND($D23&lt;&gt;0,_xlfn.XLOOKUP($B23,'PW_MLG GRADE 10'!$B$7:$B$31,'PW_MLG GRADE 10'!AR$7:AR$31,"",0,1)="P",
   _xlfn.XLOOKUP($B23,'PW_MLG GRADE 10'!$B$7:$B$31,'PW_MLG GRADE 10'!#REF!,"",0,1)&lt;=TODAY()-MOD(WEEKDAY(TODAY(),2)-5,7)),$D23,0)</f>
        <v>#REF!</v>
      </c>
      <c r="BV73" s="65" t="e">
        <f ca="1">IF(AND($D23&lt;&gt;0,_xlfn.XLOOKUP($B23,'PW_MLG GRADE 10'!$B$7:$B$31,'PW_MLG GRADE 10'!AY$7:AY$31,"",0,1)="P",
   _xlfn.XLOOKUP($B23,'PW_MLG GRADE 10'!$B$7:$B$31,'PW_MLG GRADE 10'!#REF!,"",0,1)&lt;=TODAY()-MOD(WEEKDAY(TODAY(),2)-5,7)),$D23,0)</f>
        <v>#REF!</v>
      </c>
      <c r="BW73" s="65" t="e">
        <f ca="1">IF(AND($D23&lt;&gt;0,_xlfn.XLOOKUP($B23,'PW_MLG GRADE 10'!$B$7:$B$31,'PW_MLG GRADE 10'!AZ$7:AZ$31,"",0,1)="P",
   _xlfn.XLOOKUP($B23,'PW_MLG GRADE 10'!$B$7:$B$31,'PW_MLG GRADE 10'!#REF!,"",0,1)&lt;=TODAY()-MOD(WEEKDAY(TODAY(),2)-5,7)),$D23,0)</f>
        <v>#REF!</v>
      </c>
      <c r="BX73" s="65" t="e">
        <f ca="1">IF(AND($D23&lt;&gt;0,_xlfn.XLOOKUP($B23,'PW_MLG GRADE 10'!$B$7:$B$31,'PW_MLG GRADE 10'!BA$7:BA$31,"",0,1)="P",
   _xlfn.XLOOKUP($B23,'PW_MLG GRADE 10'!$B$7:$B$31,'PW_MLG GRADE 10'!#REF!,"",0,1)&lt;=TODAY()-MOD(WEEKDAY(TODAY(),2)-5,7)),$D23,0)</f>
        <v>#REF!</v>
      </c>
      <c r="BY73" s="65" t="e">
        <f ca="1">IF(AND($D23&lt;&gt;0,_xlfn.XLOOKUP($B23,'PW_MLG GRADE 10'!$B$7:$B$31,'PW_MLG GRADE 10'!BB$7:BB$31,"",0,1)="P",
   _xlfn.XLOOKUP($B23,'PW_MLG GRADE 10'!$B$7:$B$31,'PW_MLG GRADE 10'!#REF!,"",0,1)&lt;=TODAY()-MOD(WEEKDAY(TODAY(),2)-5,7)),$D23,0)</f>
        <v>#REF!</v>
      </c>
      <c r="BZ73" s="65" t="e">
        <f ca="1">IF(AND($D23&lt;&gt;0,_xlfn.XLOOKUP($B23,'PW_MLG GRADE 10'!$B$7:$B$31,'PW_MLG GRADE 10'!BC$7:BC$31,"",0,1)="P",
   _xlfn.XLOOKUP($B23,'PW_MLG GRADE 10'!$B$7:$B$31,'PW_MLG GRADE 10'!#REF!,"",0,1)&lt;=TODAY()-MOD(WEEKDAY(TODAY(),2)-5,7)),$D23,0)</f>
        <v>#REF!</v>
      </c>
      <c r="CA73" s="65" t="e">
        <f ca="1">IF(AND($D23&lt;&gt;0,_xlfn.XLOOKUP($B23,'PW_MLG GRADE 10'!$B$7:$B$31,'PW_MLG GRADE 10'!BD$7:BD$31,"",0,1)="P",
   _xlfn.XLOOKUP($B23,'PW_MLG GRADE 10'!$B$7:$B$31,'PW_MLG GRADE 10'!#REF!,"",0,1)&lt;=TODAY()-MOD(WEEKDAY(TODAY(),2)-5,7)),$D23,0)</f>
        <v>#REF!</v>
      </c>
      <c r="CB73" s="65" t="e">
        <f ca="1">IF(AND($D23&lt;&gt;0,_xlfn.XLOOKUP($B23,'PW_MLG GRADE 10'!$B$7:$B$31,'PW_MLG GRADE 10'!BE$7:BE$31,"",0,1)="P",
   _xlfn.XLOOKUP($B23,'PW_MLG GRADE 10'!$B$7:$B$31,'PW_MLG GRADE 10'!#REF!,"",0,1)&lt;=TODAY()-MOD(WEEKDAY(TODAY(),2)-5,7)),$D23,0)</f>
        <v>#REF!</v>
      </c>
      <c r="CC73" s="65" t="e">
        <f ca="1">IF(AND($D23&lt;&gt;0,_xlfn.XLOOKUP($B23,'PW_MLG GRADE 10'!$B$7:$B$31,'PW_MLG GRADE 10'!BF$7:BF$31,"",0,1)="P",
   _xlfn.XLOOKUP($B23,'PW_MLG GRADE 10'!$B$7:$B$31,'PW_MLG GRADE 10'!#REF!,"",0,1)&lt;=TODAY()-MOD(WEEKDAY(TODAY(),2)-5,7)),$D23,0)</f>
        <v>#REF!</v>
      </c>
      <c r="CD73" s="65" t="e">
        <f ca="1">IF(AND($D23&lt;&gt;0,_xlfn.XLOOKUP($B23,'PW_MLG GRADE 10'!$B$7:$B$31,'PW_MLG GRADE 10'!BG$7:BG$31,"",0,1)="P",
   _xlfn.XLOOKUP($B23,'PW_MLG GRADE 10'!$B$7:$B$31,'PW_MLG GRADE 10'!#REF!,"",0,1)&lt;=TODAY()-MOD(WEEKDAY(TODAY(),2)-5,7)),$D23,0)</f>
        <v>#REF!</v>
      </c>
      <c r="CE73" s="67">
        <f ca="1">IF(AND($D23&lt;&gt;0,_xlfn.XLOOKUP($B23,'PW_CMI GRADE 10'!$B$7:$B$31,'PW_CMI GRADE 10'!AY$7:AY$31,"",0,1)="P",
   _xlfn.XLOOKUP($B23,'PW_CMI GRADE 10'!$B$7:$B$31,'PW_CMI GRADE 10'!$U$7:$U$31,"",0,1)&lt;=TODAY()-MOD(WEEKDAY(TODAY(),2)-5,7)),$D23,0)</f>
        <v>0</v>
      </c>
      <c r="CF73" s="67">
        <f ca="1">IF(AND($D23&lt;&gt;0,_xlfn.XLOOKUP($B23,'PW_CMI GRADE 10'!$B$7:$B$31,'PW_CMI GRADE 10'!AZ$7:AZ$31,"",0,1)="P",
   _xlfn.XLOOKUP($B23,'PW_CMI GRADE 10'!$B$7:$B$31,'PW_CMI GRADE 10'!$V$7:$V$31,"",0,1)&lt;=TODAY()-MOD(WEEKDAY(TODAY(),2)-5,7)),$D23,0)</f>
        <v>0</v>
      </c>
      <c r="CG73" s="67">
        <f ca="1">IF(AND($D23&lt;&gt;0,_xlfn.XLOOKUP($B23,'PW_CMI GRADE 10'!$B$7:$B$31,'PW_CMI GRADE 10'!BA$7:BA$31,"",0,1)="P",
   _xlfn.XLOOKUP($B23,'PW_CMI GRADE 10'!$B$7:$B$31,'PW_CMI GRADE 10'!$W$7:$W$31,"",0,1)&lt;=TODAY()-MOD(WEEKDAY(TODAY(),2)-5,7)),$D23,0)</f>
        <v>0</v>
      </c>
      <c r="CH73" s="67">
        <f ca="1">IF(AND($D23&lt;&gt;0,_xlfn.XLOOKUP($B23,'PW_CMI GRADE 10'!$B$7:$B$31,'PW_CMI GRADE 10'!BB$7:BB$31,"",0,1)="P",
   _xlfn.XLOOKUP($B23,'PW_CMI GRADE 10'!$B$7:$B$31,'PW_CMI GRADE 10'!$U$7:$U$31,"",0,1)&lt;=TODAY()-MOD(WEEKDAY(TODAY(),2)-5,7)),$D23,0)</f>
        <v>0</v>
      </c>
      <c r="CI73" s="67">
        <f ca="1">IF(AND($D23&lt;&gt;0,_xlfn.XLOOKUP($B23,'PW_CMI GRADE 10'!$B$7:$B$31,'PW_CMI GRADE 10'!BC$7:BC$31,"",0,1)="P",
   _xlfn.XLOOKUP($B23,'PW_CMI GRADE 10'!$B$7:$B$31,'PW_CMI GRADE 10'!$V$7:$V$31,"",0,1)&lt;=TODAY()-MOD(WEEKDAY(TODAY(),2)-5,7)),$D23,0)</f>
        <v>0</v>
      </c>
      <c r="CJ73" s="67">
        <f ca="1">IF(AND($D23&lt;&gt;0,_xlfn.XLOOKUP($B23,'PW_CMI GRADE 10'!$B$7:$B$31,'PW_CMI GRADE 10'!BD$7:BD$31,"",0,1)="P",
   _xlfn.XLOOKUP($B23,'PW_CMI GRADE 10'!$B$7:$B$31,'PW_CMI GRADE 10'!$W$7:$W$31,"",0,1)&lt;=TODAY()-MOD(WEEKDAY(TODAY(),2)-5,7)),$D23,0)</f>
        <v>0</v>
      </c>
      <c r="CK73" s="67">
        <f ca="1">IF(AND($D23&lt;&gt;0,_xlfn.XLOOKUP($B23,'PW_CMI GRADE 10'!$B$7:$B$31,'PW_CMI GRADE 10'!BE$7:BE$31,"",0,1)="P",
   _xlfn.XLOOKUP($B23,'PW_CMI GRADE 10'!$B$7:$B$31,'PW_CMI GRADE 10'!$U$7:$U$31,"",0,1)&lt;=TODAY()-MOD(WEEKDAY(TODAY(),2)-5,7)),$D23,0)</f>
        <v>0</v>
      </c>
      <c r="CL73" s="67">
        <f ca="1">IF(AND($D23&lt;&gt;0,_xlfn.XLOOKUP($B23,'PW_CMI GRADE 10'!$B$7:$B$31,'PW_CMI GRADE 10'!BF$7:BF$31,"",0,1)="P",
   _xlfn.XLOOKUP($B23,'PW_CMI GRADE 10'!$B$7:$B$31,'PW_CMI GRADE 10'!$V$7:$V$31,"",0,1)&lt;=TODAY()-MOD(WEEKDAY(TODAY(),2)-5,7)),$D23,0)</f>
        <v>0</v>
      </c>
      <c r="CM73" s="67">
        <f ca="1">IF(AND($D23&lt;&gt;0,_xlfn.XLOOKUP($B23,'PW_CMI GRADE 10'!$B$7:$B$31,'PW_CMI GRADE 10'!BG$7:BG$31,"",0,1)="P",
   _xlfn.XLOOKUP($B23,'PW_CMI GRADE 10'!$B$7:$B$31,'PW_CMI GRADE 10'!$W$7:$W$31,"",0,1)&lt;=TODAY()-MOD(WEEKDAY(TODAY(),2)-5,7)),$D23,0)</f>
        <v>0</v>
      </c>
      <c r="CN73" s="67">
        <f ca="1">IF(AND($D23&lt;&gt;0,_xlfn.XLOOKUP($B23,'PW_CMI GRADE 10'!$B$7:$B$31,'PW_CMI GRADE 10'!BH$7:BH$31,"",0,1)="P",
   _xlfn.XLOOKUP($B23,'PW_CMI GRADE 10'!$B$7:$B$31,'PW_CMI GRADE 10'!$U$7:$U$31,"",0,1)&lt;=TODAY()-MOD(WEEKDAY(TODAY(),2)-5,7)),$D23,0)</f>
        <v>0</v>
      </c>
      <c r="CO73" s="67">
        <f ca="1">IF(AND($D23&lt;&gt;0,_xlfn.XLOOKUP($B23,'PW_CMI GRADE 10'!$B$7:$B$31,'PW_CMI GRADE 10'!BI$7:BI$31,"",0,1)="P",
   _xlfn.XLOOKUP($B23,'PW_CMI GRADE 10'!$B$7:$B$31,'PW_CMI GRADE 10'!$V$7:$V$31,"",0,1)&lt;=TODAY()-MOD(WEEKDAY(TODAY(),2)-5,7)),$D23,0)</f>
        <v>0</v>
      </c>
      <c r="CP73" s="67">
        <f ca="1">IF(AND($D23&lt;&gt;0,_xlfn.XLOOKUP($B23,'PW_CMI GRADE 10'!$B$7:$B$31,'PW_CMI GRADE 10'!BJ$7:BJ$31,"",0,1)="P",
   _xlfn.XLOOKUP($B23,'PW_CMI GRADE 10'!$B$7:$B$31,'PW_CMI GRADE 10'!$W$7:$W$31,"",0,1)&lt;=TODAY()-MOD(WEEKDAY(TODAY(),2)-5,7)),$D23,0)</f>
        <v>0</v>
      </c>
      <c r="CQ73" s="67">
        <f ca="1">IF(AND($D23&lt;&gt;0,_xlfn.XLOOKUP($B23,'PW_CMI GRADE 10'!$B$7:$B$31,'PW_CMI GRADE 10'!BK$7:BK$31,"",0,1)="P",
   _xlfn.XLOOKUP($B23,'PW_CMI GRADE 10'!$B$7:$B$31,'PW_CMI GRADE 10'!$U$7:$U$31,"",0,1)&lt;=TODAY()-MOD(WEEKDAY(TODAY(),2)-5,7)),$D23,0)</f>
        <v>0</v>
      </c>
      <c r="CR73" s="67">
        <f ca="1">IF(AND($D23&lt;&gt;0,_xlfn.XLOOKUP($B23,'PW_CMI GRADE 10'!$B$7:$B$31,'PW_CMI GRADE 10'!BL$7:BL$31,"",0,1)="P",
   _xlfn.XLOOKUP($B23,'PW_CMI GRADE 10'!$B$7:$B$31,'PW_CMI GRADE 10'!$V$7:$V$31,"",0,1)&lt;=TODAY()-MOD(WEEKDAY(TODAY(),2)-5,7)),$D23,0)</f>
        <v>0</v>
      </c>
      <c r="CS73" s="67">
        <f ca="1">IF(AND($D23&lt;&gt;0,_xlfn.XLOOKUP($B23,'PW_CMI GRADE 10'!$B$7:$B$31,'PW_CMI GRADE 10'!BM$7:BM$31,"",0,1)="P",
   _xlfn.XLOOKUP($B23,'PW_CMI GRADE 10'!$B$7:$B$31,'PW_CMI GRADE 10'!$W$7:$W$31,"",0,1)&lt;=TODAY()-MOD(WEEKDAY(TODAY(),2)-5,7)),$D23,0)</f>
        <v>0</v>
      </c>
      <c r="CT73" s="67">
        <f ca="1">IF(AND($D23&lt;&gt;0,_xlfn.XLOOKUP($B23,'PW_CMI GRADE 10'!$B$7:$B$31,'PW_CMI GRADE 10'!BN$7:BN$31,"",0,1)="P",
   _xlfn.XLOOKUP($B23,'PW_CMI GRADE 10'!$B$7:$B$31,'PW_CMI GRADE 10'!$U$7:$U$31,"",0,1)&lt;=TODAY()-MOD(WEEKDAY(TODAY(),2)-5,7)),$D23,0)</f>
        <v>0</v>
      </c>
      <c r="CU73" s="67">
        <f ca="1">IF(AND($D23&lt;&gt;0,_xlfn.XLOOKUP($B23,'PW_CMI GRADE 10'!$B$7:$B$31,'PW_CMI GRADE 10'!BO$7:BO$31,"",0,1)="P",
   _xlfn.XLOOKUP($B23,'PW_CMI GRADE 10'!$B$7:$B$31,'PW_CMI GRADE 10'!$V$7:$V$31,"",0,1)&lt;=TODAY()-MOD(WEEKDAY(TODAY(),2)-5,7)),$D23,0)</f>
        <v>0</v>
      </c>
      <c r="CV73" s="67">
        <f ca="1">IF(AND($D23&lt;&gt;0,_xlfn.XLOOKUP($B23,'PW_CMI GRADE 10'!$B$7:$B$31,'PW_CMI GRADE 10'!BP$7:BP$31,"",0,1)="P",
   _xlfn.XLOOKUP($B23,'PW_CMI GRADE 10'!$B$7:$B$31,'PW_CMI GRADE 10'!$W$7:$W$31,"",0,1)&lt;=TODAY()-MOD(WEEKDAY(TODAY(),2)-5,7)),$D23,0)</f>
        <v>0</v>
      </c>
      <c r="CW73" s="62" t="e">
        <f t="shared" ca="1" si="132"/>
        <v>#REF!</v>
      </c>
      <c r="CX73" s="62" t="e">
        <f t="shared" ca="1" si="69"/>
        <v>#REF!</v>
      </c>
      <c r="CY73" s="62" t="e">
        <f t="shared" ca="1" si="70"/>
        <v>#REF!</v>
      </c>
      <c r="CZ73" s="62" t="e">
        <f t="shared" ca="1" si="71"/>
        <v>#REF!</v>
      </c>
      <c r="DA73" s="62" t="e">
        <f t="shared" ca="1" si="72"/>
        <v>#REF!</v>
      </c>
      <c r="DB73" s="62" t="e">
        <f t="shared" ca="1" si="73"/>
        <v>#REF!</v>
      </c>
      <c r="DC73" s="62" t="e">
        <f t="shared" ca="1" si="74"/>
        <v>#REF!</v>
      </c>
      <c r="DD73" s="62" t="e">
        <f t="shared" ca="1" si="75"/>
        <v>#REF!</v>
      </c>
      <c r="DE73" s="62" t="e">
        <f t="shared" ca="1" si="76"/>
        <v>#REF!</v>
      </c>
      <c r="DF73" s="62" t="e">
        <f t="shared" ca="1" si="77"/>
        <v>#REF!</v>
      </c>
      <c r="DG73" s="62" t="e">
        <f t="shared" ca="1" si="78"/>
        <v>#REF!</v>
      </c>
      <c r="DH73" s="62" t="e">
        <f t="shared" ca="1" si="79"/>
        <v>#REF!</v>
      </c>
      <c r="DI73" s="62" t="e">
        <f t="shared" ca="1" si="80"/>
        <v>#REF!</v>
      </c>
      <c r="DJ73" s="62" t="e">
        <f t="shared" ca="1" si="81"/>
        <v>#REF!</v>
      </c>
      <c r="DK73" s="62" t="e">
        <f t="shared" ca="1" si="82"/>
        <v>#REF!</v>
      </c>
      <c r="DL73" s="62" t="e">
        <f t="shared" ca="1" si="83"/>
        <v>#REF!</v>
      </c>
      <c r="DM73" s="62" t="e">
        <f t="shared" ca="1" si="84"/>
        <v>#REF!</v>
      </c>
      <c r="DN73" s="62" t="e">
        <f t="shared" ca="1" si="85"/>
        <v>#REF!</v>
      </c>
      <c r="DO73" s="62" t="e">
        <f t="shared" ca="1" si="86"/>
        <v>#REF!</v>
      </c>
      <c r="DP73" s="62" t="e">
        <f t="shared" ca="1" si="87"/>
        <v>#REF!</v>
      </c>
      <c r="DQ73" s="62" t="e">
        <f t="shared" ca="1" si="88"/>
        <v>#REF!</v>
      </c>
      <c r="DR73" s="62" t="e">
        <f t="shared" ca="1" si="89"/>
        <v>#REF!</v>
      </c>
      <c r="DS73" s="62" t="e">
        <f t="shared" ca="1" si="90"/>
        <v>#REF!</v>
      </c>
      <c r="DT73" s="62" t="e">
        <f t="shared" ca="1" si="91"/>
        <v>#REF!</v>
      </c>
      <c r="DU73" s="62" t="e">
        <f t="shared" ca="1" si="92"/>
        <v>#REF!</v>
      </c>
      <c r="DV73" s="62" t="e">
        <f t="shared" ca="1" si="93"/>
        <v>#REF!</v>
      </c>
      <c r="DW73" s="62" t="e">
        <f t="shared" ca="1" si="94"/>
        <v>#REF!</v>
      </c>
      <c r="DX73" s="62" t="e">
        <f t="shared" ca="1" si="95"/>
        <v>#REF!</v>
      </c>
      <c r="DY73" s="62" t="e">
        <f t="shared" ca="1" si="96"/>
        <v>#REF!</v>
      </c>
      <c r="DZ73" s="62" t="e">
        <f t="shared" ca="1" si="97"/>
        <v>#REF!</v>
      </c>
      <c r="EA73" s="63" t="e">
        <f t="shared" ca="1" si="98"/>
        <v>#REF!</v>
      </c>
      <c r="EB73" s="63" t="e">
        <f t="shared" ca="1" si="99"/>
        <v>#REF!</v>
      </c>
      <c r="EC73" s="63" t="e">
        <f t="shared" ca="1" si="100"/>
        <v>#REF!</v>
      </c>
      <c r="ED73" s="63" t="e">
        <f t="shared" ca="1" si="101"/>
        <v>#REF!</v>
      </c>
      <c r="EE73" s="63" t="e">
        <f t="shared" ca="1" si="102"/>
        <v>#REF!</v>
      </c>
      <c r="EF73" s="63" t="e">
        <f t="shared" ca="1" si="103"/>
        <v>#REF!</v>
      </c>
      <c r="EG73" s="63" t="e">
        <f t="shared" ca="1" si="104"/>
        <v>#REF!</v>
      </c>
      <c r="EH73" s="63" t="e">
        <f t="shared" ca="1" si="105"/>
        <v>#REF!</v>
      </c>
      <c r="EI73" s="63" t="e">
        <f t="shared" ca="1" si="106"/>
        <v>#REF!</v>
      </c>
      <c r="EJ73" s="63" t="e">
        <f t="shared" ca="1" si="107"/>
        <v>#REF!</v>
      </c>
      <c r="EK73" s="63" t="e">
        <f t="shared" ca="1" si="108"/>
        <v>#REF!</v>
      </c>
      <c r="EL73" s="63" t="e">
        <f t="shared" ca="1" si="109"/>
        <v>#REF!</v>
      </c>
      <c r="EM73" s="63" t="e">
        <f t="shared" ca="1" si="110"/>
        <v>#REF!</v>
      </c>
      <c r="EN73" s="63" t="e">
        <f t="shared" ca="1" si="111"/>
        <v>#REF!</v>
      </c>
      <c r="EO73" s="63" t="e">
        <f t="shared" ca="1" si="112"/>
        <v>#REF!</v>
      </c>
      <c r="EP73" s="63" t="e">
        <f t="shared" ca="1" si="113"/>
        <v>#REF!</v>
      </c>
    </row>
    <row r="74" spans="1:171">
      <c r="A74" s="64" t="str">
        <f t="shared" si="131"/>
        <v>4A.1</v>
      </c>
      <c r="B74" s="64" t="s">
        <v>55</v>
      </c>
      <c r="C74" s="29">
        <v>2</v>
      </c>
      <c r="D74" s="29">
        <v>1</v>
      </c>
      <c r="E74" s="65">
        <f ca="1">IF(AND($D24&lt;&gt;0,_xlfn.XLOOKUP($B24,'TH_MLG GRADE 10'!$B$7:$B$49,'TH_MLG GRADE 10'!C$7:C$49,"",0,1)="P",
   _xlfn.XLOOKUP($B24,'TH_MLG GRADE 10'!$B$7:$B$49,'TH_MLG GRADE 10'!$BK$7:$BK$49,"",0,1)&lt;=TODAY()-MOD(WEEKDAY(TODAY(),2)-5,7)),$D24,0)</f>
        <v>0</v>
      </c>
      <c r="F74" s="65">
        <f ca="1">IF(AND($D24&lt;&gt;0,_xlfn.XLOOKUP($B24,'TH_MLG GRADE 10'!$B$7:$B$49,'TH_MLG GRADE 10'!D$7:D$49,"",0,1)="P",
   _xlfn.XLOOKUP($B24,'TH_MLG GRADE 10'!$B$7:$B$49,'TH_MLG GRADE 10'!$BL$7:$BL$49,"",0,1)&lt;=TODAY()-MOD(WEEKDAY(TODAY(),2)-5,7)),$D24,0)</f>
        <v>0</v>
      </c>
      <c r="G74" s="65">
        <f ca="1">IF(AND($D24&lt;&gt;0,_xlfn.XLOOKUP($B24,'TH_MLG GRADE 10'!$B$7:$B$49,'TH_MLG GRADE 10'!E$7:E$49,"",0,1)="P",
   _xlfn.XLOOKUP($B24,'TH_MLG GRADE 10'!$B$7:$B$49,'TH_MLG GRADE 10'!$BM$7:$BM$49,"",0,1)&lt;=TODAY()-MOD(WEEKDAY(TODAY(),2)-5,7)),$D24,0)</f>
        <v>0</v>
      </c>
      <c r="H74" s="65">
        <f ca="1">IF(AND($D24&lt;&gt;0,_xlfn.XLOOKUP($B24,'TH_MLG GRADE 10'!$B$7:$B$49,'TH_MLG GRADE 10'!I$7:I$49,"",0,1)="P",
   _xlfn.XLOOKUP($B24,'TH_MLG GRADE 10'!$B$7:$B$49,'TH_MLG GRADE 10'!$BK$7:$BK$49,"",0,1)&lt;=TODAY()-MOD(WEEKDAY(TODAY(),2)-5,7)),$D24,0)</f>
        <v>0</v>
      </c>
      <c r="I74" s="65">
        <f ca="1">IF(AND($D24&lt;&gt;0,_xlfn.XLOOKUP($B24,'TH_MLG GRADE 10'!$B$7:$B$49,'TH_MLG GRADE 10'!J$7:J$49,"",0,1)="P",
   _xlfn.XLOOKUP($B24,'TH_MLG GRADE 10'!$B$7:$B$49,'TH_MLG GRADE 10'!$BL$7:$BL$49,"",0,1)&lt;=TODAY()-MOD(WEEKDAY(TODAY(),2)-5,7)),$D24,0)</f>
        <v>0</v>
      </c>
      <c r="J74" s="65">
        <f ca="1">IF(AND($D24&lt;&gt;0,_xlfn.XLOOKUP($B24,'TH_MLG GRADE 10'!$B$7:$B$49,'TH_MLG GRADE 10'!K$7:K$49,"",0,1)="P",
   _xlfn.XLOOKUP($B24,'TH_MLG GRADE 10'!$B$7:$B$49,'TH_MLG GRADE 10'!$BM$7:$BM$49,"",0,1)&lt;=TODAY()-MOD(WEEKDAY(TODAY(),2)-5,7)),$D24,0)</f>
        <v>0</v>
      </c>
      <c r="K74" s="65">
        <f ca="1">IF(AND($D24&lt;&gt;0,_xlfn.XLOOKUP($B24,'TH_MLG GRADE 10'!$B$7:$B$49,'TH_MLG GRADE 10'!O$7:O$49,"",0,1)="P",
   _xlfn.XLOOKUP($B24,'TH_MLG GRADE 10'!$B$7:$B$49,'TH_MLG GRADE 10'!$BK$7:$BK$49,"",0,1)&lt;=TODAY()-MOD(WEEKDAY(TODAY(),2)-5,7)),$D24,0)</f>
        <v>1</v>
      </c>
      <c r="L74" s="65">
        <f ca="1">IF(AND($D24&lt;&gt;0,_xlfn.XLOOKUP($B24,'TH_MLG GRADE 10'!$B$7:$B$49,'TH_MLG GRADE 10'!P$7:P$49,"",0,1)="P",
   _xlfn.XLOOKUP($B24,'TH_MLG GRADE 10'!$B$7:$B$49,'TH_MLG GRADE 10'!$BL$7:$BL$49,"",0,1)&lt;=TODAY()-MOD(WEEKDAY(TODAY(),2)-5,7)),$D24,0)</f>
        <v>0</v>
      </c>
      <c r="M74" s="65">
        <f ca="1">IF(AND($D24&lt;&gt;0,_xlfn.XLOOKUP($B24,'TH_MLG GRADE 10'!$B$7:$B$49,'TH_MLG GRADE 10'!Q$7:Q$49,"",0,1)="P",
   _xlfn.XLOOKUP($B24,'TH_MLG GRADE 10'!$B$7:$B$49,'TH_MLG GRADE 10'!$BM$7:$BM$49,"",0,1)&lt;=TODAY()-MOD(WEEKDAY(TODAY(),2)-5,7)),$D24,0)</f>
        <v>1</v>
      </c>
      <c r="N74" s="65">
        <f ca="1">IF(AND($D24&lt;&gt;0,_xlfn.XLOOKUP($B24,'TH_MLG GRADE 10'!$B$7:$B$49,'TH_MLG GRADE 10'!AA$7:AA$49,"",0,1)="P",
   _xlfn.XLOOKUP($B24,'TH_MLG GRADE 10'!$B$7:$B$49,'TH_MLG GRADE 10'!$BK$7:$BK$49,"",0,1)&lt;=TODAY()-MOD(WEEKDAY(TODAY(),2)-5,7)),$D24,0)</f>
        <v>1</v>
      </c>
      <c r="O74" s="65">
        <f ca="1">IF(AND($D24&lt;&gt;0,_xlfn.XLOOKUP($B24,'TH_MLG GRADE 10'!$B$7:$B$49,'TH_MLG GRADE 10'!AB$7:AB$49,"",0,1)="P",
   _xlfn.XLOOKUP($B24,'TH_MLG GRADE 10'!$B$7:$B$49,'TH_MLG GRADE 10'!$BL$7:$BL$49,"",0,1)&lt;=TODAY()-MOD(WEEKDAY(TODAY(),2)-5,7)),$D24,0)</f>
        <v>0</v>
      </c>
      <c r="P74" s="65">
        <f ca="1">IF(AND($D24&lt;&gt;0,_xlfn.XLOOKUP($B24,'TH_MLG GRADE 10'!$B$7:$B$49,'TH_MLG GRADE 10'!AC$7:AC$49,"",0,1)="P",
   _xlfn.XLOOKUP($B24,'TH_MLG GRADE 10'!$B$7:$B$49,'TH_MLG GRADE 10'!$BM$7:$BM$49,"",0,1)&lt;=TODAY()-MOD(WEEKDAY(TODAY(),2)-5,7)),$D24,0)</f>
        <v>1</v>
      </c>
      <c r="Q74" s="65">
        <f ca="1">IF(AND($D24&lt;&gt;0,_xlfn.XLOOKUP($B24,'TH_MLG GRADE 10'!$B$7:$B$49,'TH_MLG GRADE 10'!AG$7:AG$49,"",0,1)="P",
   _xlfn.XLOOKUP($B24,'TH_MLG GRADE 10'!$B$7:$B$49,'TH_MLG GRADE 10'!$BK$7:$BK$49,"",0,1)&lt;=TODAY()-MOD(WEEKDAY(TODAY(),2)-5,7)),$D24,0)</f>
        <v>1</v>
      </c>
      <c r="R74" s="65">
        <f ca="1">IF(AND($D24&lt;&gt;0,_xlfn.XLOOKUP($B24,'TH_MLG GRADE 10'!$B$7:$B$49,'TH_MLG GRADE 10'!AH$7:AH$49,"",0,1)="P",
   _xlfn.XLOOKUP($B24,'TH_MLG GRADE 10'!$B$7:$B$49,'TH_MLG GRADE 10'!$BL$7:$BL$49,"",0,1)&lt;=TODAY()-MOD(WEEKDAY(TODAY(),2)-5,7)),$D24,0)</f>
        <v>1</v>
      </c>
      <c r="S74" s="65">
        <f ca="1">IF(AND($D24&lt;&gt;0,_xlfn.XLOOKUP($B24,'TH_MLG GRADE 10'!$B$7:$B$49,'TH_MLG GRADE 10'!AI$7:AI$49,"",0,1)="P",
   _xlfn.XLOOKUP($B24,'TH_MLG GRADE 10'!$B$7:$B$49,'TH_MLG GRADE 10'!$BM$7:$BM$49,"",0,1)&lt;=TODAY()-MOD(WEEKDAY(TODAY(),2)-5,7)),$D24,0)</f>
        <v>1</v>
      </c>
      <c r="T74" s="65">
        <f ca="1">IF(AND($D24&lt;&gt;0,_xlfn.XLOOKUP($B24,'TH_MLG GRADE 10'!$B$7:$B$49,'TH_MLG GRADE 10'!AM$7:AM$49,"",0,1)="P",
   _xlfn.XLOOKUP($B24,'TH_MLG GRADE 10'!$B$7:$B$49,'TH_MLG GRADE 10'!$BK$7:$BK$49,"",0,1)&lt;=TODAY()-MOD(WEEKDAY(TODAY(),2)-5,7)),$D24,0)</f>
        <v>0</v>
      </c>
      <c r="U74" s="65">
        <f ca="1">IF(AND($D24&lt;&gt;0,_xlfn.XLOOKUP($B24,'TH_MLG GRADE 10'!$B$7:$B$49,'TH_MLG GRADE 10'!AN$7:AN$49,"",0,1)="P",
   _xlfn.XLOOKUP($B24,'TH_MLG GRADE 10'!$B$7:$B$49,'TH_MLG GRADE 10'!$BL$7:$BL$49,"",0,1)&lt;=TODAY()-MOD(WEEKDAY(TODAY(),2)-5,7)),$D24,0)</f>
        <v>0</v>
      </c>
      <c r="V74" s="65">
        <f ca="1">IF(AND($D24&lt;&gt;0,_xlfn.XLOOKUP($B24,'TH_MLG GRADE 10'!$B$7:$B$49,'TH_MLG GRADE 10'!AO$7:AO$49,"",0,1)="P",
   _xlfn.XLOOKUP($B24,'TH_MLG GRADE 10'!$B$7:$B$49,'TH_MLG GRADE 10'!$BM$7:$BM$49,"",0,1)&lt;=TODAY()-MOD(WEEKDAY(TODAY(),2)-5,7)),$D24,0)</f>
        <v>0</v>
      </c>
      <c r="W74" s="65">
        <f ca="1">IF(AND($D24&lt;&gt;0,_xlfn.XLOOKUP($B24,'TH_MLG GRADE 10'!$B$7:$B$49,'TH_MLG GRADE 10'!AY$7:AY$49,"",0,1)="P",
   _xlfn.XLOOKUP($B24,'TH_MLG GRADE 10'!$B$7:$B$49,'TH_MLG GRADE 10'!$BK$7:$BK$49,"",0,1)&lt;=TODAY()-MOD(WEEKDAY(TODAY(),2)-5,7)),$D24,0)</f>
        <v>0</v>
      </c>
      <c r="X74" s="65">
        <f ca="1">IF(AND($D24&lt;&gt;0,_xlfn.XLOOKUP($B24,'TH_MLG GRADE 10'!$B$7:$B$49,'TH_MLG GRADE 10'!AZ$7:AZ$49,"",0,1)="P",
   _xlfn.XLOOKUP($B24,'TH_MLG GRADE 10'!$B$7:$B$49,'TH_MLG GRADE 10'!$BL$7:$BL$49,"",0,1)&lt;=TODAY()-MOD(WEEKDAY(TODAY(),2)-5,7)),$D24,0)</f>
        <v>0</v>
      </c>
      <c r="Y74" s="65">
        <f ca="1">IF(AND($D24&lt;&gt;0,_xlfn.XLOOKUP($B24,'TH_MLG GRADE 10'!$B$7:$B$49,'TH_MLG GRADE 10'!BA$7:BA$49,"",0,1)="P",
   _xlfn.XLOOKUP($B24,'TH_MLG GRADE 10'!$B$7:$B$49,'TH_MLG GRADE 10'!$BM$7:$BM$49,"",0,1)&lt;=TODAY()-MOD(WEEKDAY(TODAY(),2)-5,7)),$D24,0)</f>
        <v>0</v>
      </c>
      <c r="Z74" s="65">
        <f ca="1">IF(AND($D24&lt;&gt;0,_xlfn.XLOOKUP($B24,'TH_MLG GRADE 10'!$B$7:$B$49,'TH_MLG GRADE 10'!BE$7:BE$49,"",0,1)="P",
   _xlfn.XLOOKUP($B24,'TH_MLG GRADE 10'!$B$7:$B$49,'TH_MLG GRADE 10'!$BK$7:$BK$49,"",0,1)&lt;=TODAY()-MOD(WEEKDAY(TODAY(),2)-5,7)),$D24,0)</f>
        <v>0</v>
      </c>
      <c r="AA74" s="65">
        <f ca="1">IF(AND($D24&lt;&gt;0,_xlfn.XLOOKUP($B24,'TH_MLG GRADE 10'!$B$7:$B$49,'TH_MLG GRADE 10'!BF$7:BF$49,"",0,1)="P",
   _xlfn.XLOOKUP($B24,'TH_MLG GRADE 10'!$B$7:$B$49,'TH_MLG GRADE 10'!$BL$7:$BL$49,"",0,1)&lt;=TODAY()-MOD(WEEKDAY(TODAY(),2)-5,7)),$D24,0)</f>
        <v>0</v>
      </c>
      <c r="AB74" s="65">
        <f ca="1">IF(AND($D24&lt;&gt;0,_xlfn.XLOOKUP($B24,'TH_MLG GRADE 10'!$B$7:$B$49,'TH_MLG GRADE 10'!BG$7:BG$49,"",0,1)="P",
   _xlfn.XLOOKUP($B24,'TH_MLG GRADE 10'!$B$7:$B$49,'TH_MLG GRADE 10'!$BM$7:$BM$49,"",0,1)&lt;=TODAY()-MOD(WEEKDAY(TODAY(),2)-5,7)),$D24,0)</f>
        <v>0</v>
      </c>
      <c r="AC74" s="65" t="e">
        <f ca="1">IF(AND($D24&lt;&gt;0,_xlfn.XLOOKUP($B24,'TH_MLG GRADE 10'!$B$7:$B$49,'TH_MLG GRADE 10'!#REF!,"",0,1)="P",
   _xlfn.XLOOKUP($B24,'TH_MLG GRADE 10'!$B$7:$B$49,'TH_MLG GRADE 10'!$BK$7:$BK$49,"",0,1)&lt;=TODAY()-MOD(WEEKDAY(TODAY(),2)-5,7)),$D24,0)</f>
        <v>#REF!</v>
      </c>
      <c r="AD74" s="65" t="e">
        <f ca="1">IF(AND($D24&lt;&gt;0,_xlfn.XLOOKUP($B24,'TH_MLG GRADE 10'!$B$7:$B$49,'TH_MLG GRADE 10'!#REF!,"",0,1)="P",
   _xlfn.XLOOKUP($B24,'TH_MLG GRADE 10'!$B$7:$B$49,'TH_MLG GRADE 10'!$BL$7:$BL$49,"",0,1)&lt;=TODAY()-MOD(WEEKDAY(TODAY(),2)-5,7)),$D24,0)</f>
        <v>#REF!</v>
      </c>
      <c r="AE74" s="65" t="e">
        <f ca="1">IF(AND($D24&lt;&gt;0,_xlfn.XLOOKUP($B24,'TH_MLG GRADE 10'!$B$7:$B$49,'TH_MLG GRADE 10'!#REF!,"",0,1)="P",
   _xlfn.XLOOKUP($B24,'TH_MLG GRADE 10'!$B$7:$B$49,'TH_MLG GRADE 10'!$BM$7:$BM$49,"",0,1)&lt;=TODAY()-MOD(WEEKDAY(TODAY(),2)-5,7)),$D24,0)</f>
        <v>#REF!</v>
      </c>
      <c r="AF74" s="65" t="e">
        <f ca="1">IF(AND($D24&lt;&gt;0,_xlfn.XLOOKUP($B24,'TH_MLG GRADE 10'!$B$7:$B$49,'TH_MLG GRADE 10'!#REF!,"",0,1)="P",
   _xlfn.XLOOKUP($B24,'TH_MLG GRADE 10'!$B$7:$B$49,'TH_MLG GRADE 10'!$BK$7:$BK$49,"",0,1)&lt;=TODAY()-MOD(WEEKDAY(TODAY(),2)-5,7)),$D24,0)</f>
        <v>#REF!</v>
      </c>
      <c r="AG74" s="65" t="e">
        <f ca="1">IF(AND($D24&lt;&gt;0,_xlfn.XLOOKUP($B24,'TH_MLG GRADE 10'!$B$7:$B$49,'TH_MLG GRADE 10'!#REF!,"",0,1)="P",
   _xlfn.XLOOKUP($B24,'TH_MLG GRADE 10'!$B$7:$B$49,'TH_MLG GRADE 10'!$BL$7:$BL$49,"",0,1)&lt;=TODAY()-MOD(WEEKDAY(TODAY(),2)-5,7)),$D24,0)</f>
        <v>#REF!</v>
      </c>
      <c r="AH74" s="65" t="e">
        <f ca="1">IF(AND($D24&lt;&gt;0,_xlfn.XLOOKUP($B24,'TH_MLG GRADE 10'!$B$7:$B$49,'TH_MLG GRADE 10'!#REF!,"",0,1)="P",
   _xlfn.XLOOKUP($B24,'TH_MLG GRADE 10'!$B$7:$B$49,'TH_MLG GRADE 10'!$BM$7:$BM$49,"",0,1)&lt;=TODAY()-MOD(WEEKDAY(TODAY(),2)-5,7)),$D24,0)</f>
        <v>#REF!</v>
      </c>
      <c r="AI74" s="67">
        <f ca="1">IF(AND($D24&lt;&gt;0,_xlfn.XLOOKUP($B24,'TH_CMI GRADE 10'!$B$7:$B$49,'TH_CMI GRADE 10'!C$7:C$49,"",0,1)="P",
   _xlfn.XLOOKUP($B24,'TH_CMI GRADE 10'!$B$7:$B$49,'TH_CMI GRADE 10'!$AS$7:$AS$49,"",0,1)&lt;=TODAY()-MOD(WEEKDAY(TODAY(),2)-5,7)),$D24,0)</f>
        <v>0</v>
      </c>
      <c r="AJ74" s="67">
        <f ca="1">IF(AND($D24&lt;&gt;0,_xlfn.XLOOKUP($B24,'TH_CMI GRADE 10'!$B$7:$B$49,'TH_CMI GRADE 10'!D$7:D$49,"",0,1)="P",
   _xlfn.XLOOKUP($B24,'TH_CMI GRADE 10'!$B$7:$B$49,'TH_CMI GRADE 10'!$AT$7:$AT$49,"",0,1)&lt;=TODAY()-MOD(WEEKDAY(TODAY(),2)-5,7)),$D24,0)</f>
        <v>0</v>
      </c>
      <c r="AK74" s="67" t="e">
        <f ca="1">IF(AND($D24&lt;&gt;0,_xlfn.XLOOKUP($B24,'TH_CMI GRADE 10'!$B$7:$B$49,'TH_CMI GRADE 10'!H$7:H$49,"",0,1)="P",
   _xlfn.XLOOKUP($B24,'TH_CMI GRADE 10'!$B$7:$B$49,'TH_CMI GRADE 10'!#REF!,"",0,1)&lt;=TODAY()-MOD(WEEKDAY(TODAY(),2)-5,7)),$D24,0)</f>
        <v>#REF!</v>
      </c>
      <c r="AL74" s="67">
        <f ca="1">IF(AND($D24&lt;&gt;0,_xlfn.XLOOKUP($B24,'TH_CMI GRADE 10'!$B$7:$B$49,'TH_CMI GRADE 10'!I$7:I$49,"",0,1)="P",
   _xlfn.XLOOKUP($B24,'TH_CMI GRADE 10'!$B$7:$B$49,'TH_CMI GRADE 10'!$AS$7:$AS$49,"",0,1)&lt;=TODAY()-MOD(WEEKDAY(TODAY(),2)-5,7)),$D24,0)</f>
        <v>0</v>
      </c>
      <c r="AM74" s="67">
        <f ca="1">IF(AND($D24&lt;&gt;0,_xlfn.XLOOKUP($B24,'TH_CMI GRADE 10'!$B$7:$B$49,'TH_CMI GRADE 10'!J$7:J$49,"",0,1)="P",
   _xlfn.XLOOKUP($B24,'TH_CMI GRADE 10'!$B$7:$B$49,'TH_CMI GRADE 10'!$AT$7:$AT$49,"",0,1)&lt;=TODAY()-MOD(WEEKDAY(TODAY(),2)-5,7)),$D24,0)</f>
        <v>0</v>
      </c>
      <c r="AN74" s="67" t="e">
        <f ca="1">IF(AND($D24&lt;&gt;0,_xlfn.XLOOKUP($B24,'TH_CMI GRADE 10'!$B$7:$B$49,'TH_CMI GRADE 10'!K$7:K$49,"",0,1)="P",
   _xlfn.XLOOKUP($B24,'TH_CMI GRADE 10'!$B$7:$B$49,'TH_CMI GRADE 10'!#REF!,"",0,1)&lt;=TODAY()-MOD(WEEKDAY(TODAY(),2)-5,7)),$D24,0)</f>
        <v>#REF!</v>
      </c>
      <c r="AO74" s="67">
        <f ca="1">IF(AND($D24&lt;&gt;0,_xlfn.XLOOKUP($B24,'TH_CMI GRADE 10'!$B$7:$B$49,'TH_CMI GRADE 10'!O$7:O$49,"",0,1)="P",
   _xlfn.XLOOKUP($B24,'TH_CMI GRADE 10'!$B$7:$B$49,'TH_CMI GRADE 10'!$AS$7:$AS$49,"",0,1)&lt;=TODAY()-MOD(WEEKDAY(TODAY(),2)-5,7)),$D24,0)</f>
        <v>0</v>
      </c>
      <c r="AP74" s="67">
        <f ca="1">IF(AND($D24&lt;&gt;0,_xlfn.XLOOKUP($B24,'TH_CMI GRADE 10'!$B$7:$B$49,'TH_CMI GRADE 10'!P$7:P$49,"",0,1)="P",
   _xlfn.XLOOKUP($B24,'TH_CMI GRADE 10'!$B$7:$B$49,'TH_CMI GRADE 10'!$AT$7:$AT$49,"",0,1)&lt;=TODAY()-MOD(WEEKDAY(TODAY(),2)-5,7)),$D24,0)</f>
        <v>0</v>
      </c>
      <c r="AQ74" s="67" t="e">
        <f ca="1">IF(AND($D24&lt;&gt;0,_xlfn.XLOOKUP($B24,'TH_CMI GRADE 10'!$B$7:$B$49,'TH_CMI GRADE 10'!Q$7:Q$49,"",0,1)="P",
   _xlfn.XLOOKUP($B24,'TH_CMI GRADE 10'!$B$7:$B$49,'TH_CMI GRADE 10'!#REF!,"",0,1)&lt;=TODAY()-MOD(WEEKDAY(TODAY(),2)-5,7)),$D24,0)</f>
        <v>#REF!</v>
      </c>
      <c r="AR74" s="67">
        <f ca="1">IF(AND($D24&lt;&gt;0,_xlfn.XLOOKUP($B24,'TH_CMI GRADE 10'!$B$7:$B$49,'TH_CMI GRADE 10'!U$7:U$49,"",0,1)="P",
   _xlfn.XLOOKUP($B24,'TH_CMI GRADE 10'!$B$7:$B$49,'TH_CMI GRADE 10'!$AS$7:$AS$49,"",0,1)&lt;=TODAY()-MOD(WEEKDAY(TODAY(),2)-5,7)),$D24,0)</f>
        <v>0</v>
      </c>
      <c r="AS74" s="67">
        <f ca="1">IF(AND($D24&lt;&gt;0,_xlfn.XLOOKUP($B24,'TH_CMI GRADE 10'!$B$7:$B$49,'TH_CMI GRADE 10'!V$7:V$49,"",0,1)="P",
   _xlfn.XLOOKUP($B24,'TH_CMI GRADE 10'!$B$7:$B$49,'TH_CMI GRADE 10'!$AT$7:$AT$49,"",0,1)&lt;=TODAY()-MOD(WEEKDAY(TODAY(),2)-5,7)),$D24,0)</f>
        <v>0</v>
      </c>
      <c r="AT74" s="67" t="e">
        <f ca="1">IF(AND($D24&lt;&gt;0,_xlfn.XLOOKUP($B24,'TH_CMI GRADE 10'!$B$7:$B$49,'TH_CMI GRADE 10'!W$7:W$49,"",0,1)="P",
   _xlfn.XLOOKUP($B24,'TH_CMI GRADE 10'!$B$7:$B$49,'TH_CMI GRADE 10'!#REF!,"",0,1)&lt;=TODAY()-MOD(WEEKDAY(TODAY(),2)-5,7)),$D24,0)</f>
        <v>#REF!</v>
      </c>
      <c r="AU74" s="67">
        <f ca="1">IF(AND($D24&lt;&gt;0,_xlfn.XLOOKUP($B24,'TH_CMI GRADE 10'!$B$7:$B$49,'TH_CMI GRADE 10'!AA$7:AA$49,"",0,1)="P",
   _xlfn.XLOOKUP($B24,'TH_CMI GRADE 10'!$B$7:$B$49,'TH_CMI GRADE 10'!$AS$7:$AS$49,"",0,1)&lt;=TODAY()-MOD(WEEKDAY(TODAY(),2)-5,7)),$D24,0)</f>
        <v>1</v>
      </c>
      <c r="AV74" s="67">
        <f ca="1">IF(AND($D24&lt;&gt;0,_xlfn.XLOOKUP($B24,'TH_CMI GRADE 10'!$B$7:$B$49,'TH_CMI GRADE 10'!AB$7:AB$49,"",0,1)="P",
   _xlfn.XLOOKUP($B24,'TH_CMI GRADE 10'!$B$7:$B$49,'TH_CMI GRADE 10'!$AT$7:$AT$49,"",0,1)&lt;=TODAY()-MOD(WEEKDAY(TODAY(),2)-5,7)),$D24,0)</f>
        <v>1</v>
      </c>
      <c r="AW74" s="67" t="e">
        <f ca="1">IF(AND($D24&lt;&gt;0,_xlfn.XLOOKUP($B24,'TH_CMI GRADE 10'!$B$7:$B$49,'TH_CMI GRADE 10'!AC$7:AC$49,"",0,1)="P",
   _xlfn.XLOOKUP($B24,'TH_CMI GRADE 10'!$B$7:$B$49,'TH_CMI GRADE 10'!#REF!,"",0,1)&lt;=TODAY()-MOD(WEEKDAY(TODAY(),2)-5,7)),$D24,0)</f>
        <v>#REF!</v>
      </c>
      <c r="AX74" s="67">
        <f ca="1">IF(AND($D24&lt;&gt;0,_xlfn.XLOOKUP($B24,'TH_CMI GRADE 10'!$B$7:$B$49,'TH_CMI GRADE 10'!AG$7:AG$49,"",0,1)="P",
   _xlfn.XLOOKUP($B24,'TH_CMI GRADE 10'!$B$7:$B$49,'TH_CMI GRADE 10'!$AS$7:$AS$49,"",0,1)&lt;=TODAY()-MOD(WEEKDAY(TODAY(),2)-5,7)),$D24,0)</f>
        <v>1</v>
      </c>
      <c r="AY74" s="67">
        <f ca="1">IF(AND($D24&lt;&gt;0,_xlfn.XLOOKUP($B24,'TH_CMI GRADE 10'!$B$7:$B$49,'TH_CMI GRADE 10'!AH$7:AH$49,"",0,1)="P",
   _xlfn.XLOOKUP($B24,'TH_CMI GRADE 10'!$B$7:$B$49,'TH_CMI GRADE 10'!$AT$7:$AT$49,"",0,1)&lt;=TODAY()-MOD(WEEKDAY(TODAY(),2)-5,7)),$D24,0)</f>
        <v>1</v>
      </c>
      <c r="AZ74" s="67" t="e">
        <f ca="1">IF(AND($D24&lt;&gt;0,_xlfn.XLOOKUP($B24,'TH_CMI GRADE 10'!$B$7:$B$49,'TH_CMI GRADE 10'!AI$7:AI$49,"",0,1)="P",
   _xlfn.XLOOKUP($B24,'TH_CMI GRADE 10'!$B$7:$B$49,'TH_CMI GRADE 10'!#REF!,"",0,1)&lt;=TODAY()-MOD(WEEKDAY(TODAY(),2)-5,7)),$D24,0)</f>
        <v>#REF!</v>
      </c>
      <c r="BA74" s="65" t="e">
        <f ca="1">IF(AND($D24&lt;&gt;0,_xlfn.XLOOKUP($B24,'PW_MLG GRADE 10'!$B$7:$B$31,'PW_MLG GRADE 10'!R$7:R$31,"",0,1)="P",
   _xlfn.XLOOKUP($B24,'PW_MLG GRADE 10'!$B$7:$B$31,'PW_MLG GRADE 10'!#REF!,"",0,1)&lt;=TODAY()-MOD(WEEKDAY(TODAY(),2)-5,7)),$D24,0)</f>
        <v>#REF!</v>
      </c>
      <c r="BB74" s="65" t="e">
        <f ca="1">IF(AND($D24&lt;&gt;0,_xlfn.XLOOKUP($B24,'PW_MLG GRADE 10'!$B$7:$B$31,'PW_MLG GRADE 10'!S$7:S$31,"",0,1)="P",
   _xlfn.XLOOKUP($B24,'PW_MLG GRADE 10'!$B$7:$B$31,'PW_MLG GRADE 10'!#REF!,"",0,1)&lt;=TODAY()-MOD(WEEKDAY(TODAY(),2)-5,7)),$D24,0)</f>
        <v>#REF!</v>
      </c>
      <c r="BC74" s="65" t="e">
        <f ca="1">IF(AND($D24&lt;&gt;0,_xlfn.XLOOKUP($B24,'PW_MLG GRADE 10'!$B$7:$B$31,'PW_MLG GRADE 10'!T$7:T$31,"",0,1)="P",
   _xlfn.XLOOKUP($B24,'PW_MLG GRADE 10'!$B$7:$B$31,'PW_MLG GRADE 10'!#REF!,"",0,1)&lt;=TODAY()-MOD(WEEKDAY(TODAY(),2)-5,7)),$D24,0)</f>
        <v>#REF!</v>
      </c>
      <c r="BD74" s="65" t="e">
        <f ca="1">IF(AND($D24&lt;&gt;0,_xlfn.XLOOKUP($B24,'PW_MLG GRADE 10'!$B$7:$B$31,'PW_MLG GRADE 10'!AA$7:AA$31,"",0,1)="P",
   _xlfn.XLOOKUP($B24,'PW_MLG GRADE 10'!$B$7:$B$31,'PW_MLG GRADE 10'!#REF!,"",0,1)&lt;=TODAY()-MOD(WEEKDAY(TODAY(),2)-5,7)),$D24,0)</f>
        <v>#REF!</v>
      </c>
      <c r="BE74" s="65" t="e">
        <f ca="1">IF(AND($D24&lt;&gt;0,_xlfn.XLOOKUP($B24,'PW_MLG GRADE 10'!$B$7:$B$31,'PW_MLG GRADE 10'!AB$7:AB$31,"",0,1)="P",
   _xlfn.XLOOKUP($B24,'PW_MLG GRADE 10'!$B$7:$B$31,'PW_MLG GRADE 10'!#REF!,"",0,1)&lt;=TODAY()-MOD(WEEKDAY(TODAY(),2)-5,7)),$D24,0)</f>
        <v>#REF!</v>
      </c>
      <c r="BF74" s="65" t="e">
        <f ca="1">IF(AND($D24&lt;&gt;0,_xlfn.XLOOKUP($B24,'PW_MLG GRADE 10'!$B$7:$B$31,'PW_MLG GRADE 10'!AC$7:AC$31,"",0,1)="P",
   _xlfn.XLOOKUP($B24,'PW_MLG GRADE 10'!$B$7:$B$31,'PW_MLG GRADE 10'!#REF!,"",0,1)&lt;=TODAY()-MOD(WEEKDAY(TODAY(),2)-5,7)),$D24,0)</f>
        <v>#REF!</v>
      </c>
      <c r="BG74" s="65" t="e">
        <f ca="1">IF(AND($D24&lt;&gt;0,_xlfn.XLOOKUP($B24,'PW_MLG GRADE 10'!$B$7:$B$31,'PW_MLG GRADE 10'!AD$7:AD$31,"",0,1)="P",
   _xlfn.XLOOKUP($B24,'PW_MLG GRADE 10'!$B$7:$B$31,'PW_MLG GRADE 10'!#REF!,"",0,1)&lt;=TODAY()-MOD(WEEKDAY(TODAY(),2)-5,7)),$D24,0)</f>
        <v>#REF!</v>
      </c>
      <c r="BH74" s="65" t="e">
        <f ca="1">IF(AND($D24&lt;&gt;0,_xlfn.XLOOKUP($B24,'PW_MLG GRADE 10'!$B$7:$B$31,'PW_MLG GRADE 10'!AE$7:AE$31,"",0,1)="P",
   _xlfn.XLOOKUP($B24,'PW_MLG GRADE 10'!$B$7:$B$31,'PW_MLG GRADE 10'!#REF!,"",0,1)&lt;=TODAY()-MOD(WEEKDAY(TODAY(),2)-5,7)),$D24,0)</f>
        <v>#REF!</v>
      </c>
      <c r="BI74" s="65" t="e">
        <f ca="1">IF(AND($D24&lt;&gt;0,_xlfn.XLOOKUP($B24,'PW_MLG GRADE 10'!$B$7:$B$31,'PW_MLG GRADE 10'!AF$7:AF$31,"",0,1)="P",
   _xlfn.XLOOKUP($B24,'PW_MLG GRADE 10'!$B$7:$B$31,'PW_MLG GRADE 10'!#REF!,"",0,1)&lt;=TODAY()-MOD(WEEKDAY(TODAY(),2)-5,7)),$D24,0)</f>
        <v>#REF!</v>
      </c>
      <c r="BJ74" s="65" t="e">
        <f ca="1">IF(AND($D24&lt;&gt;0,_xlfn.XLOOKUP($B24,'PW_MLG GRADE 10'!$B$7:$B$31,'PW_MLG GRADE 10'!AG$7:AG$31,"",0,1)="P",
   _xlfn.XLOOKUP($B24,'PW_MLG GRADE 10'!$B$7:$B$31,'PW_MLG GRADE 10'!#REF!,"",0,1)&lt;=TODAY()-MOD(WEEKDAY(TODAY(),2)-5,7)),$D24,0)</f>
        <v>#REF!</v>
      </c>
      <c r="BK74" s="65" t="e">
        <f ca="1">IF(AND($D24&lt;&gt;0,_xlfn.XLOOKUP($B24,'PW_MLG GRADE 10'!$B$7:$B$31,'PW_MLG GRADE 10'!AH$7:AH$31,"",0,1)="P",
   _xlfn.XLOOKUP($B24,'PW_MLG GRADE 10'!$B$7:$B$31,'PW_MLG GRADE 10'!#REF!,"",0,1)&lt;=TODAY()-MOD(WEEKDAY(TODAY(),2)-5,7)),$D24,0)</f>
        <v>#REF!</v>
      </c>
      <c r="BL74" s="65" t="e">
        <f ca="1">IF(AND($D24&lt;&gt;0,_xlfn.XLOOKUP($B24,'PW_MLG GRADE 10'!$B$7:$B$31,'PW_MLG GRADE 10'!AI$7:AI$31,"",0,1)="P",
   _xlfn.XLOOKUP($B24,'PW_MLG GRADE 10'!$B$7:$B$31,'PW_MLG GRADE 10'!#REF!,"",0,1)&lt;=TODAY()-MOD(WEEKDAY(TODAY(),2)-5,7)),$D24,0)</f>
        <v>#REF!</v>
      </c>
      <c r="BM74" s="65" t="e">
        <f ca="1">IF(AND($D24&lt;&gt;0,_xlfn.XLOOKUP($B24,'PW_MLG GRADE 10'!$B$7:$B$31,'PW_MLG GRADE 10'!AJ$7:AJ$31,"",0,1)="P",
   _xlfn.XLOOKUP($B24,'PW_MLG GRADE 10'!$B$7:$B$31,'PW_MLG GRADE 10'!#REF!,"",0,1)&lt;=TODAY()-MOD(WEEKDAY(TODAY(),2)-5,7)),$D24,0)</f>
        <v>#REF!</v>
      </c>
      <c r="BN74" s="65" t="e">
        <f ca="1">IF(AND($D24&lt;&gt;0,_xlfn.XLOOKUP($B24,'PW_MLG GRADE 10'!$B$7:$B$31,'PW_MLG GRADE 10'!AK$7:AK$31,"",0,1)="P",
   _xlfn.XLOOKUP($B24,'PW_MLG GRADE 10'!$B$7:$B$31,'PW_MLG GRADE 10'!#REF!,"",0,1)&lt;=TODAY()-MOD(WEEKDAY(TODAY(),2)-5,7)),$D24,0)</f>
        <v>#REF!</v>
      </c>
      <c r="BO74" s="65" t="e">
        <f ca="1">IF(AND($D24&lt;&gt;0,_xlfn.XLOOKUP($B24,'PW_MLG GRADE 10'!$B$7:$B$31,'PW_MLG GRADE 10'!AL$7:AL$31,"",0,1)="P",
   _xlfn.XLOOKUP($B24,'PW_MLG GRADE 10'!$B$7:$B$31,'PW_MLG GRADE 10'!#REF!,"",0,1)&lt;=TODAY()-MOD(WEEKDAY(TODAY(),2)-5,7)),$D24,0)</f>
        <v>#REF!</v>
      </c>
      <c r="BP74" s="65" t="e">
        <f ca="1">IF(AND($D24&lt;&gt;0,_xlfn.XLOOKUP($B24,'PW_MLG GRADE 10'!$B$7:$B$31,'PW_MLG GRADE 10'!AM$7:AM$31,"",0,1)="P",
   _xlfn.XLOOKUP($B24,'PW_MLG GRADE 10'!$B$7:$B$31,'PW_MLG GRADE 10'!#REF!,"",0,1)&lt;=TODAY()-MOD(WEEKDAY(TODAY(),2)-5,7)),$D24,0)</f>
        <v>#REF!</v>
      </c>
      <c r="BQ74" s="65" t="e">
        <f ca="1">IF(AND($D24&lt;&gt;0,_xlfn.XLOOKUP($B24,'PW_MLG GRADE 10'!$B$7:$B$31,'PW_MLG GRADE 10'!AN$7:AN$31,"",0,1)="P",
   _xlfn.XLOOKUP($B24,'PW_MLG GRADE 10'!$B$7:$B$31,'PW_MLG GRADE 10'!#REF!,"",0,1)&lt;=TODAY()-MOD(WEEKDAY(TODAY(),2)-5,7)),$D24,0)</f>
        <v>#REF!</v>
      </c>
      <c r="BR74" s="65" t="e">
        <f ca="1">IF(AND($D24&lt;&gt;0,_xlfn.XLOOKUP($B24,'PW_MLG GRADE 10'!$B$7:$B$31,'PW_MLG GRADE 10'!AO$7:AO$31,"",0,1)="P",
   _xlfn.XLOOKUP($B24,'PW_MLG GRADE 10'!$B$7:$B$31,'PW_MLG GRADE 10'!#REF!,"",0,1)&lt;=TODAY()-MOD(WEEKDAY(TODAY(),2)-5,7)),$D24,0)</f>
        <v>#REF!</v>
      </c>
      <c r="BS74" s="65" t="e">
        <f ca="1">IF(AND($D24&lt;&gt;0,_xlfn.XLOOKUP($B24,'PW_MLG GRADE 10'!$B$7:$B$31,'PW_MLG GRADE 10'!AP$7:AP$31,"",0,1)="P",
   _xlfn.XLOOKUP($B24,'PW_MLG GRADE 10'!$B$7:$B$31,'PW_MLG GRADE 10'!#REF!,"",0,1)&lt;=TODAY()-MOD(WEEKDAY(TODAY(),2)-5,7)),$D24,0)</f>
        <v>#REF!</v>
      </c>
      <c r="BT74" s="65" t="e">
        <f ca="1">IF(AND($D24&lt;&gt;0,_xlfn.XLOOKUP($B24,'PW_MLG GRADE 10'!$B$7:$B$31,'PW_MLG GRADE 10'!AQ$7:AQ$31,"",0,1)="P",
   _xlfn.XLOOKUP($B24,'PW_MLG GRADE 10'!$B$7:$B$31,'PW_MLG GRADE 10'!#REF!,"",0,1)&lt;=TODAY()-MOD(WEEKDAY(TODAY(),2)-5,7)),$D24,0)</f>
        <v>#REF!</v>
      </c>
      <c r="BU74" s="65" t="e">
        <f ca="1">IF(AND($D24&lt;&gt;0,_xlfn.XLOOKUP($B24,'PW_MLG GRADE 10'!$B$7:$B$31,'PW_MLG GRADE 10'!AR$7:AR$31,"",0,1)="P",
   _xlfn.XLOOKUP($B24,'PW_MLG GRADE 10'!$B$7:$B$31,'PW_MLG GRADE 10'!#REF!,"",0,1)&lt;=TODAY()-MOD(WEEKDAY(TODAY(),2)-5,7)),$D24,0)</f>
        <v>#REF!</v>
      </c>
      <c r="BV74" s="65" t="e">
        <f ca="1">IF(AND($D24&lt;&gt;0,_xlfn.XLOOKUP($B24,'PW_MLG GRADE 10'!$B$7:$B$31,'PW_MLG GRADE 10'!AY$7:AY$31,"",0,1)="P",
   _xlfn.XLOOKUP($B24,'PW_MLG GRADE 10'!$B$7:$B$31,'PW_MLG GRADE 10'!#REF!,"",0,1)&lt;=TODAY()-MOD(WEEKDAY(TODAY(),2)-5,7)),$D24,0)</f>
        <v>#REF!</v>
      </c>
      <c r="BW74" s="65" t="e">
        <f ca="1">IF(AND($D24&lt;&gt;0,_xlfn.XLOOKUP($B24,'PW_MLG GRADE 10'!$B$7:$B$31,'PW_MLG GRADE 10'!AZ$7:AZ$31,"",0,1)="P",
   _xlfn.XLOOKUP($B24,'PW_MLG GRADE 10'!$B$7:$B$31,'PW_MLG GRADE 10'!#REF!,"",0,1)&lt;=TODAY()-MOD(WEEKDAY(TODAY(),2)-5,7)),$D24,0)</f>
        <v>#REF!</v>
      </c>
      <c r="BX74" s="65" t="e">
        <f ca="1">IF(AND($D24&lt;&gt;0,_xlfn.XLOOKUP($B24,'PW_MLG GRADE 10'!$B$7:$B$31,'PW_MLG GRADE 10'!BA$7:BA$31,"",0,1)="P",
   _xlfn.XLOOKUP($B24,'PW_MLG GRADE 10'!$B$7:$B$31,'PW_MLG GRADE 10'!#REF!,"",0,1)&lt;=TODAY()-MOD(WEEKDAY(TODAY(),2)-5,7)),$D24,0)</f>
        <v>#REF!</v>
      </c>
      <c r="BY74" s="65" t="e">
        <f ca="1">IF(AND($D24&lt;&gt;0,_xlfn.XLOOKUP($B24,'PW_MLG GRADE 10'!$B$7:$B$31,'PW_MLG GRADE 10'!BB$7:BB$31,"",0,1)="P",
   _xlfn.XLOOKUP($B24,'PW_MLG GRADE 10'!$B$7:$B$31,'PW_MLG GRADE 10'!#REF!,"",0,1)&lt;=TODAY()-MOD(WEEKDAY(TODAY(),2)-5,7)),$D24,0)</f>
        <v>#REF!</v>
      </c>
      <c r="BZ74" s="65" t="e">
        <f ca="1">IF(AND($D24&lt;&gt;0,_xlfn.XLOOKUP($B24,'PW_MLG GRADE 10'!$B$7:$B$31,'PW_MLG GRADE 10'!BC$7:BC$31,"",0,1)="P",
   _xlfn.XLOOKUP($B24,'PW_MLG GRADE 10'!$B$7:$B$31,'PW_MLG GRADE 10'!#REF!,"",0,1)&lt;=TODAY()-MOD(WEEKDAY(TODAY(),2)-5,7)),$D24,0)</f>
        <v>#REF!</v>
      </c>
      <c r="CA74" s="65" t="e">
        <f ca="1">IF(AND($D24&lt;&gt;0,_xlfn.XLOOKUP($B24,'PW_MLG GRADE 10'!$B$7:$B$31,'PW_MLG GRADE 10'!BD$7:BD$31,"",0,1)="P",
   _xlfn.XLOOKUP($B24,'PW_MLG GRADE 10'!$B$7:$B$31,'PW_MLG GRADE 10'!#REF!,"",0,1)&lt;=TODAY()-MOD(WEEKDAY(TODAY(),2)-5,7)),$D24,0)</f>
        <v>#REF!</v>
      </c>
      <c r="CB74" s="65" t="e">
        <f ca="1">IF(AND($D24&lt;&gt;0,_xlfn.XLOOKUP($B24,'PW_MLG GRADE 10'!$B$7:$B$31,'PW_MLG GRADE 10'!BE$7:BE$31,"",0,1)="P",
   _xlfn.XLOOKUP($B24,'PW_MLG GRADE 10'!$B$7:$B$31,'PW_MLG GRADE 10'!#REF!,"",0,1)&lt;=TODAY()-MOD(WEEKDAY(TODAY(),2)-5,7)),$D24,0)</f>
        <v>#REF!</v>
      </c>
      <c r="CC74" s="65" t="e">
        <f ca="1">IF(AND($D24&lt;&gt;0,_xlfn.XLOOKUP($B24,'PW_MLG GRADE 10'!$B$7:$B$31,'PW_MLG GRADE 10'!BF$7:BF$31,"",0,1)="P",
   _xlfn.XLOOKUP($B24,'PW_MLG GRADE 10'!$B$7:$B$31,'PW_MLG GRADE 10'!#REF!,"",0,1)&lt;=TODAY()-MOD(WEEKDAY(TODAY(),2)-5,7)),$D24,0)</f>
        <v>#REF!</v>
      </c>
      <c r="CD74" s="65" t="e">
        <f ca="1">IF(AND($D24&lt;&gt;0,_xlfn.XLOOKUP($B24,'PW_MLG GRADE 10'!$B$7:$B$31,'PW_MLG GRADE 10'!BG$7:BG$31,"",0,1)="P",
   _xlfn.XLOOKUP($B24,'PW_MLG GRADE 10'!$B$7:$B$31,'PW_MLG GRADE 10'!#REF!,"",0,1)&lt;=TODAY()-MOD(WEEKDAY(TODAY(),2)-5,7)),$D24,0)</f>
        <v>#REF!</v>
      </c>
      <c r="CE74" s="67">
        <f ca="1">IF(AND($D24&lt;&gt;0,_xlfn.XLOOKUP($B24,'PW_CMI GRADE 10'!$B$7:$B$31,'PW_CMI GRADE 10'!AY$7:AY$31,"",0,1)="P",
   _xlfn.XLOOKUP($B24,'PW_CMI GRADE 10'!$B$7:$B$31,'PW_CMI GRADE 10'!$U$7:$U$31,"",0,1)&lt;=TODAY()-MOD(WEEKDAY(TODAY(),2)-5,7)),$D24,0)</f>
        <v>0</v>
      </c>
      <c r="CF74" s="67">
        <f ca="1">IF(AND($D24&lt;&gt;0,_xlfn.XLOOKUP($B24,'PW_CMI GRADE 10'!$B$7:$B$31,'PW_CMI GRADE 10'!AZ$7:AZ$31,"",0,1)="P",
   _xlfn.XLOOKUP($B24,'PW_CMI GRADE 10'!$B$7:$B$31,'PW_CMI GRADE 10'!$V$7:$V$31,"",0,1)&lt;=TODAY()-MOD(WEEKDAY(TODAY(),2)-5,7)),$D24,0)</f>
        <v>0</v>
      </c>
      <c r="CG74" s="67">
        <f ca="1">IF(AND($D24&lt;&gt;0,_xlfn.XLOOKUP($B24,'PW_CMI GRADE 10'!$B$7:$B$31,'PW_CMI GRADE 10'!BA$7:BA$31,"",0,1)="P",
   _xlfn.XLOOKUP($B24,'PW_CMI GRADE 10'!$B$7:$B$31,'PW_CMI GRADE 10'!$W$7:$W$31,"",0,1)&lt;=TODAY()-MOD(WEEKDAY(TODAY(),2)-5,7)),$D24,0)</f>
        <v>0</v>
      </c>
      <c r="CH74" s="67">
        <f ca="1">IF(AND($D24&lt;&gt;0,_xlfn.XLOOKUP($B24,'PW_CMI GRADE 10'!$B$7:$B$31,'PW_CMI GRADE 10'!BB$7:BB$31,"",0,1)="P",
   _xlfn.XLOOKUP($B24,'PW_CMI GRADE 10'!$B$7:$B$31,'PW_CMI GRADE 10'!$U$7:$U$31,"",0,1)&lt;=TODAY()-MOD(WEEKDAY(TODAY(),2)-5,7)),$D24,0)</f>
        <v>0</v>
      </c>
      <c r="CI74" s="67">
        <f ca="1">IF(AND($D24&lt;&gt;0,_xlfn.XLOOKUP($B24,'PW_CMI GRADE 10'!$B$7:$B$31,'PW_CMI GRADE 10'!BC$7:BC$31,"",0,1)="P",
   _xlfn.XLOOKUP($B24,'PW_CMI GRADE 10'!$B$7:$B$31,'PW_CMI GRADE 10'!$V$7:$V$31,"",0,1)&lt;=TODAY()-MOD(WEEKDAY(TODAY(),2)-5,7)),$D24,0)</f>
        <v>0</v>
      </c>
      <c r="CJ74" s="67">
        <f ca="1">IF(AND($D24&lt;&gt;0,_xlfn.XLOOKUP($B24,'PW_CMI GRADE 10'!$B$7:$B$31,'PW_CMI GRADE 10'!BD$7:BD$31,"",0,1)="P",
   _xlfn.XLOOKUP($B24,'PW_CMI GRADE 10'!$B$7:$B$31,'PW_CMI GRADE 10'!$W$7:$W$31,"",0,1)&lt;=TODAY()-MOD(WEEKDAY(TODAY(),2)-5,7)),$D24,0)</f>
        <v>0</v>
      </c>
      <c r="CK74" s="67">
        <f ca="1">IF(AND($D24&lt;&gt;0,_xlfn.XLOOKUP($B24,'PW_CMI GRADE 10'!$B$7:$B$31,'PW_CMI GRADE 10'!BE$7:BE$31,"",0,1)="P",
   _xlfn.XLOOKUP($B24,'PW_CMI GRADE 10'!$B$7:$B$31,'PW_CMI GRADE 10'!$U$7:$U$31,"",0,1)&lt;=TODAY()-MOD(WEEKDAY(TODAY(),2)-5,7)),$D24,0)</f>
        <v>0</v>
      </c>
      <c r="CL74" s="67">
        <f ca="1">IF(AND($D24&lt;&gt;0,_xlfn.XLOOKUP($B24,'PW_CMI GRADE 10'!$B$7:$B$31,'PW_CMI GRADE 10'!BF$7:BF$31,"",0,1)="P",
   _xlfn.XLOOKUP($B24,'PW_CMI GRADE 10'!$B$7:$B$31,'PW_CMI GRADE 10'!$V$7:$V$31,"",0,1)&lt;=TODAY()-MOD(WEEKDAY(TODAY(),2)-5,7)),$D24,0)</f>
        <v>0</v>
      </c>
      <c r="CM74" s="67">
        <f ca="1">IF(AND($D24&lt;&gt;0,_xlfn.XLOOKUP($B24,'PW_CMI GRADE 10'!$B$7:$B$31,'PW_CMI GRADE 10'!BG$7:BG$31,"",0,1)="P",
   _xlfn.XLOOKUP($B24,'PW_CMI GRADE 10'!$B$7:$B$31,'PW_CMI GRADE 10'!$W$7:$W$31,"",0,1)&lt;=TODAY()-MOD(WEEKDAY(TODAY(),2)-5,7)),$D24,0)</f>
        <v>0</v>
      </c>
      <c r="CN74" s="67">
        <f ca="1">IF(AND($D24&lt;&gt;0,_xlfn.XLOOKUP($B24,'PW_CMI GRADE 10'!$B$7:$B$31,'PW_CMI GRADE 10'!BH$7:BH$31,"",0,1)="P",
   _xlfn.XLOOKUP($B24,'PW_CMI GRADE 10'!$B$7:$B$31,'PW_CMI GRADE 10'!$U$7:$U$31,"",0,1)&lt;=TODAY()-MOD(WEEKDAY(TODAY(),2)-5,7)),$D24,0)</f>
        <v>0</v>
      </c>
      <c r="CO74" s="67">
        <f ca="1">IF(AND($D24&lt;&gt;0,_xlfn.XLOOKUP($B24,'PW_CMI GRADE 10'!$B$7:$B$31,'PW_CMI GRADE 10'!BI$7:BI$31,"",0,1)="P",
   _xlfn.XLOOKUP($B24,'PW_CMI GRADE 10'!$B$7:$B$31,'PW_CMI GRADE 10'!$V$7:$V$31,"",0,1)&lt;=TODAY()-MOD(WEEKDAY(TODAY(),2)-5,7)),$D24,0)</f>
        <v>0</v>
      </c>
      <c r="CP74" s="67">
        <f ca="1">IF(AND($D24&lt;&gt;0,_xlfn.XLOOKUP($B24,'PW_CMI GRADE 10'!$B$7:$B$31,'PW_CMI GRADE 10'!BJ$7:BJ$31,"",0,1)="P",
   _xlfn.XLOOKUP($B24,'PW_CMI GRADE 10'!$B$7:$B$31,'PW_CMI GRADE 10'!$W$7:$W$31,"",0,1)&lt;=TODAY()-MOD(WEEKDAY(TODAY(),2)-5,7)),$D24,0)</f>
        <v>0</v>
      </c>
      <c r="CQ74" s="67">
        <f ca="1">IF(AND($D24&lt;&gt;0,_xlfn.XLOOKUP($B24,'PW_CMI GRADE 10'!$B$7:$B$31,'PW_CMI GRADE 10'!BK$7:BK$31,"",0,1)="P",
   _xlfn.XLOOKUP($B24,'PW_CMI GRADE 10'!$B$7:$B$31,'PW_CMI GRADE 10'!$U$7:$U$31,"",0,1)&lt;=TODAY()-MOD(WEEKDAY(TODAY(),2)-5,7)),$D24,0)</f>
        <v>0</v>
      </c>
      <c r="CR74" s="67">
        <f ca="1">IF(AND($D24&lt;&gt;0,_xlfn.XLOOKUP($B24,'PW_CMI GRADE 10'!$B$7:$B$31,'PW_CMI GRADE 10'!BL$7:BL$31,"",0,1)="P",
   _xlfn.XLOOKUP($B24,'PW_CMI GRADE 10'!$B$7:$B$31,'PW_CMI GRADE 10'!$V$7:$V$31,"",0,1)&lt;=TODAY()-MOD(WEEKDAY(TODAY(),2)-5,7)),$D24,0)</f>
        <v>0</v>
      </c>
      <c r="CS74" s="67">
        <f ca="1">IF(AND($D24&lt;&gt;0,_xlfn.XLOOKUP($B24,'PW_CMI GRADE 10'!$B$7:$B$31,'PW_CMI GRADE 10'!BM$7:BM$31,"",0,1)="P",
   _xlfn.XLOOKUP($B24,'PW_CMI GRADE 10'!$B$7:$B$31,'PW_CMI GRADE 10'!$W$7:$W$31,"",0,1)&lt;=TODAY()-MOD(WEEKDAY(TODAY(),2)-5,7)),$D24,0)</f>
        <v>0</v>
      </c>
      <c r="CT74" s="67">
        <f ca="1">IF(AND($D24&lt;&gt;0,_xlfn.XLOOKUP($B24,'PW_CMI GRADE 10'!$B$7:$B$31,'PW_CMI GRADE 10'!BN$7:BN$31,"",0,1)="P",
   _xlfn.XLOOKUP($B24,'PW_CMI GRADE 10'!$B$7:$B$31,'PW_CMI GRADE 10'!$U$7:$U$31,"",0,1)&lt;=TODAY()-MOD(WEEKDAY(TODAY(),2)-5,7)),$D24,0)</f>
        <v>0</v>
      </c>
      <c r="CU74" s="67">
        <f ca="1">IF(AND($D24&lt;&gt;0,_xlfn.XLOOKUP($B24,'PW_CMI GRADE 10'!$B$7:$B$31,'PW_CMI GRADE 10'!BO$7:BO$31,"",0,1)="P",
   _xlfn.XLOOKUP($B24,'PW_CMI GRADE 10'!$B$7:$B$31,'PW_CMI GRADE 10'!$V$7:$V$31,"",0,1)&lt;=TODAY()-MOD(WEEKDAY(TODAY(),2)-5,7)),$D24,0)</f>
        <v>0</v>
      </c>
      <c r="CV74" s="67">
        <f ca="1">IF(AND($D24&lt;&gt;0,_xlfn.XLOOKUP($B24,'PW_CMI GRADE 10'!$B$7:$B$31,'PW_CMI GRADE 10'!BP$7:BP$31,"",0,1)="P",
   _xlfn.XLOOKUP($B24,'PW_CMI GRADE 10'!$B$7:$B$31,'PW_CMI GRADE 10'!$W$7:$W$31,"",0,1)&lt;=TODAY()-MOD(WEEKDAY(TODAY(),2)-5,7)),$D24,0)</f>
        <v>0</v>
      </c>
      <c r="CW74" s="62" t="e">
        <f t="shared" ca="1" si="132"/>
        <v>#REF!</v>
      </c>
      <c r="CX74" s="62" t="e">
        <f t="shared" ca="1" si="69"/>
        <v>#REF!</v>
      </c>
      <c r="CY74" s="62" t="e">
        <f t="shared" ca="1" si="70"/>
        <v>#REF!</v>
      </c>
      <c r="CZ74" s="62" t="e">
        <f t="shared" ca="1" si="71"/>
        <v>#REF!</v>
      </c>
      <c r="DA74" s="62" t="e">
        <f t="shared" ca="1" si="72"/>
        <v>#REF!</v>
      </c>
      <c r="DB74" s="62" t="e">
        <f t="shared" ca="1" si="73"/>
        <v>#REF!</v>
      </c>
      <c r="DC74" s="62" t="e">
        <f t="shared" ca="1" si="74"/>
        <v>#REF!</v>
      </c>
      <c r="DD74" s="62" t="e">
        <f t="shared" ca="1" si="75"/>
        <v>#REF!</v>
      </c>
      <c r="DE74" s="62" t="e">
        <f t="shared" ca="1" si="76"/>
        <v>#REF!</v>
      </c>
      <c r="DF74" s="62" t="e">
        <f t="shared" ca="1" si="77"/>
        <v>#REF!</v>
      </c>
      <c r="DG74" s="62" t="e">
        <f t="shared" ca="1" si="78"/>
        <v>#REF!</v>
      </c>
      <c r="DH74" s="62" t="e">
        <f t="shared" ca="1" si="79"/>
        <v>#REF!</v>
      </c>
      <c r="DI74" s="62" t="e">
        <f t="shared" ca="1" si="80"/>
        <v>#REF!</v>
      </c>
      <c r="DJ74" s="62" t="e">
        <f t="shared" ca="1" si="81"/>
        <v>#REF!</v>
      </c>
      <c r="DK74" s="62" t="e">
        <f t="shared" ca="1" si="82"/>
        <v>#REF!</v>
      </c>
      <c r="DL74" s="62" t="e">
        <f t="shared" ca="1" si="83"/>
        <v>#REF!</v>
      </c>
      <c r="DM74" s="62" t="e">
        <f t="shared" ca="1" si="84"/>
        <v>#REF!</v>
      </c>
      <c r="DN74" s="62" t="e">
        <f t="shared" ca="1" si="85"/>
        <v>#REF!</v>
      </c>
      <c r="DO74" s="62" t="e">
        <f t="shared" ca="1" si="86"/>
        <v>#REF!</v>
      </c>
      <c r="DP74" s="62" t="e">
        <f t="shared" ca="1" si="87"/>
        <v>#REF!</v>
      </c>
      <c r="DQ74" s="62" t="e">
        <f t="shared" ca="1" si="88"/>
        <v>#REF!</v>
      </c>
      <c r="DR74" s="62" t="e">
        <f t="shared" ca="1" si="89"/>
        <v>#REF!</v>
      </c>
      <c r="DS74" s="62" t="e">
        <f t="shared" ca="1" si="90"/>
        <v>#REF!</v>
      </c>
      <c r="DT74" s="62" t="e">
        <f t="shared" ca="1" si="91"/>
        <v>#REF!</v>
      </c>
      <c r="DU74" s="62" t="e">
        <f t="shared" ca="1" si="92"/>
        <v>#REF!</v>
      </c>
      <c r="DV74" s="62" t="e">
        <f t="shared" ca="1" si="93"/>
        <v>#REF!</v>
      </c>
      <c r="DW74" s="62" t="e">
        <f t="shared" ca="1" si="94"/>
        <v>#REF!</v>
      </c>
      <c r="DX74" s="62" t="e">
        <f t="shared" ca="1" si="95"/>
        <v>#REF!</v>
      </c>
      <c r="DY74" s="62" t="e">
        <f t="shared" ca="1" si="96"/>
        <v>#REF!</v>
      </c>
      <c r="DZ74" s="62" t="e">
        <f t="shared" ca="1" si="97"/>
        <v>#REF!</v>
      </c>
      <c r="EA74" s="63" t="e">
        <f t="shared" ca="1" si="98"/>
        <v>#REF!</v>
      </c>
      <c r="EB74" s="63" t="e">
        <f t="shared" ca="1" si="99"/>
        <v>#REF!</v>
      </c>
      <c r="EC74" s="63" t="e">
        <f t="shared" ca="1" si="100"/>
        <v>#REF!</v>
      </c>
      <c r="ED74" s="63" t="e">
        <f t="shared" ca="1" si="101"/>
        <v>#REF!</v>
      </c>
      <c r="EE74" s="63" t="e">
        <f t="shared" ca="1" si="102"/>
        <v>#REF!</v>
      </c>
      <c r="EF74" s="63" t="e">
        <f t="shared" ca="1" si="103"/>
        <v>#REF!</v>
      </c>
      <c r="EG74" s="63" t="e">
        <f t="shared" ca="1" si="104"/>
        <v>#REF!</v>
      </c>
      <c r="EH74" s="63" t="e">
        <f t="shared" ca="1" si="105"/>
        <v>#REF!</v>
      </c>
      <c r="EI74" s="63" t="e">
        <f t="shared" ca="1" si="106"/>
        <v>#REF!</v>
      </c>
      <c r="EJ74" s="63" t="e">
        <f t="shared" ca="1" si="107"/>
        <v>#REF!</v>
      </c>
      <c r="EK74" s="63" t="e">
        <f t="shared" ca="1" si="108"/>
        <v>#REF!</v>
      </c>
      <c r="EL74" s="63" t="e">
        <f t="shared" ca="1" si="109"/>
        <v>#REF!</v>
      </c>
      <c r="EM74" s="63" t="e">
        <f t="shared" ca="1" si="110"/>
        <v>#REF!</v>
      </c>
      <c r="EN74" s="63" t="e">
        <f t="shared" ca="1" si="111"/>
        <v>#REF!</v>
      </c>
      <c r="EO74" s="63" t="e">
        <f t="shared" ca="1" si="112"/>
        <v>#REF!</v>
      </c>
      <c r="EP74" s="63" t="e">
        <f t="shared" ca="1" si="113"/>
        <v>#REF!</v>
      </c>
    </row>
    <row r="75" spans="1:171">
      <c r="A75" s="64" t="str">
        <f t="shared" si="131"/>
        <v>4A.1</v>
      </c>
      <c r="B75" s="64" t="s">
        <v>56</v>
      </c>
      <c r="C75" s="29">
        <v>0</v>
      </c>
      <c r="D75" s="29">
        <v>1</v>
      </c>
      <c r="E75" s="65">
        <f ca="1">IF(AND($D25&lt;&gt;0,_xlfn.XLOOKUP($B25,'TH_MLG GRADE 10'!$B$7:$B$49,'TH_MLG GRADE 10'!C$7:C$49,"",0,1)="P",
   _xlfn.XLOOKUP($B25,'TH_MLG GRADE 10'!$B$7:$B$49,'TH_MLG GRADE 10'!$BK$7:$BK$49,"",0,1)&lt;=TODAY()-MOD(WEEKDAY(TODAY(),2)-5,7)),$D25,0)</f>
        <v>0</v>
      </c>
      <c r="F75" s="65">
        <f ca="1">IF(AND($D25&lt;&gt;0,_xlfn.XLOOKUP($B25,'TH_MLG GRADE 10'!$B$7:$B$49,'TH_MLG GRADE 10'!D$7:D$49,"",0,1)="P",
   _xlfn.XLOOKUP($B25,'TH_MLG GRADE 10'!$B$7:$B$49,'TH_MLG GRADE 10'!$BL$7:$BL$49,"",0,1)&lt;=TODAY()-MOD(WEEKDAY(TODAY(),2)-5,7)),$D25,0)</f>
        <v>0</v>
      </c>
      <c r="G75" s="65">
        <f ca="1">IF(AND($D25&lt;&gt;0,_xlfn.XLOOKUP($B25,'TH_MLG GRADE 10'!$B$7:$B$49,'TH_MLG GRADE 10'!E$7:E$49,"",0,1)="P",
   _xlfn.XLOOKUP($B25,'TH_MLG GRADE 10'!$B$7:$B$49,'TH_MLG GRADE 10'!$BM$7:$BM$49,"",0,1)&lt;=TODAY()-MOD(WEEKDAY(TODAY(),2)-5,7)),$D25,0)</f>
        <v>0</v>
      </c>
      <c r="H75" s="65">
        <f ca="1">IF(AND($D25&lt;&gt;0,_xlfn.XLOOKUP($B25,'TH_MLG GRADE 10'!$B$7:$B$49,'TH_MLG GRADE 10'!I$7:I$49,"",0,1)="P",
   _xlfn.XLOOKUP($B25,'TH_MLG GRADE 10'!$B$7:$B$49,'TH_MLG GRADE 10'!$BK$7:$BK$49,"",0,1)&lt;=TODAY()-MOD(WEEKDAY(TODAY(),2)-5,7)),$D25,0)</f>
        <v>0</v>
      </c>
      <c r="I75" s="65">
        <f ca="1">IF(AND($D25&lt;&gt;0,_xlfn.XLOOKUP($B25,'TH_MLG GRADE 10'!$B$7:$B$49,'TH_MLG GRADE 10'!J$7:J$49,"",0,1)="P",
   _xlfn.XLOOKUP($B25,'TH_MLG GRADE 10'!$B$7:$B$49,'TH_MLG GRADE 10'!$BL$7:$BL$49,"",0,1)&lt;=TODAY()-MOD(WEEKDAY(TODAY(),2)-5,7)),$D25,0)</f>
        <v>0</v>
      </c>
      <c r="J75" s="65">
        <f ca="1">IF(AND($D25&lt;&gt;0,_xlfn.XLOOKUP($B25,'TH_MLG GRADE 10'!$B$7:$B$49,'TH_MLG GRADE 10'!K$7:K$49,"",0,1)="P",
   _xlfn.XLOOKUP($B25,'TH_MLG GRADE 10'!$B$7:$B$49,'TH_MLG GRADE 10'!$BM$7:$BM$49,"",0,1)&lt;=TODAY()-MOD(WEEKDAY(TODAY(),2)-5,7)),$D25,0)</f>
        <v>0</v>
      </c>
      <c r="K75" s="65">
        <f ca="1">IF(AND($D25&lt;&gt;0,_xlfn.XLOOKUP($B25,'TH_MLG GRADE 10'!$B$7:$B$49,'TH_MLG GRADE 10'!O$7:O$49,"",0,1)="P",
   _xlfn.XLOOKUP($B25,'TH_MLG GRADE 10'!$B$7:$B$49,'TH_MLG GRADE 10'!$BK$7:$BK$49,"",0,1)&lt;=TODAY()-MOD(WEEKDAY(TODAY(),2)-5,7)),$D25,0)</f>
        <v>1</v>
      </c>
      <c r="L75" s="65">
        <f ca="1">IF(AND($D25&lt;&gt;0,_xlfn.XLOOKUP($B25,'TH_MLG GRADE 10'!$B$7:$B$49,'TH_MLG GRADE 10'!P$7:P$49,"",0,1)="P",
   _xlfn.XLOOKUP($B25,'TH_MLG GRADE 10'!$B$7:$B$49,'TH_MLG GRADE 10'!$BL$7:$BL$49,"",0,1)&lt;=TODAY()-MOD(WEEKDAY(TODAY(),2)-5,7)),$D25,0)</f>
        <v>0</v>
      </c>
      <c r="M75" s="65">
        <f ca="1">IF(AND($D25&lt;&gt;0,_xlfn.XLOOKUP($B25,'TH_MLG GRADE 10'!$B$7:$B$49,'TH_MLG GRADE 10'!Q$7:Q$49,"",0,1)="P",
   _xlfn.XLOOKUP($B25,'TH_MLG GRADE 10'!$B$7:$B$49,'TH_MLG GRADE 10'!$BM$7:$BM$49,"",0,1)&lt;=TODAY()-MOD(WEEKDAY(TODAY(),2)-5,7)),$D25,0)</f>
        <v>0</v>
      </c>
      <c r="N75" s="65">
        <f ca="1">IF(AND($D25&lt;&gt;0,_xlfn.XLOOKUP($B25,'TH_MLG GRADE 10'!$B$7:$B$49,'TH_MLG GRADE 10'!AA$7:AA$49,"",0,1)="P",
   _xlfn.XLOOKUP($B25,'TH_MLG GRADE 10'!$B$7:$B$49,'TH_MLG GRADE 10'!$BK$7:$BK$49,"",0,1)&lt;=TODAY()-MOD(WEEKDAY(TODAY(),2)-5,7)),$D25,0)</f>
        <v>1</v>
      </c>
      <c r="O75" s="65">
        <f ca="1">IF(AND($D25&lt;&gt;0,_xlfn.XLOOKUP($B25,'TH_MLG GRADE 10'!$B$7:$B$49,'TH_MLG GRADE 10'!AB$7:AB$49,"",0,1)="P",
   _xlfn.XLOOKUP($B25,'TH_MLG GRADE 10'!$B$7:$B$49,'TH_MLG GRADE 10'!$BL$7:$BL$49,"",0,1)&lt;=TODAY()-MOD(WEEKDAY(TODAY(),2)-5,7)),$D25,0)</f>
        <v>0</v>
      </c>
      <c r="P75" s="65">
        <f ca="1">IF(AND($D25&lt;&gt;0,_xlfn.XLOOKUP($B25,'TH_MLG GRADE 10'!$B$7:$B$49,'TH_MLG GRADE 10'!AC$7:AC$49,"",0,1)="P",
   _xlfn.XLOOKUP($B25,'TH_MLG GRADE 10'!$B$7:$B$49,'TH_MLG GRADE 10'!$BM$7:$BM$49,"",0,1)&lt;=TODAY()-MOD(WEEKDAY(TODAY(),2)-5,7)),$D25,0)</f>
        <v>1</v>
      </c>
      <c r="Q75" s="65">
        <f ca="1">IF(AND($D25&lt;&gt;0,_xlfn.XLOOKUP($B25,'TH_MLG GRADE 10'!$B$7:$B$49,'TH_MLG GRADE 10'!AG$7:AG$49,"",0,1)="P",
   _xlfn.XLOOKUP($B25,'TH_MLG GRADE 10'!$B$7:$B$49,'TH_MLG GRADE 10'!$BK$7:$BK$49,"",0,1)&lt;=TODAY()-MOD(WEEKDAY(TODAY(),2)-5,7)),$D25,0)</f>
        <v>0</v>
      </c>
      <c r="R75" s="65">
        <f ca="1">IF(AND($D25&lt;&gt;0,_xlfn.XLOOKUP($B25,'TH_MLG GRADE 10'!$B$7:$B$49,'TH_MLG GRADE 10'!AH$7:AH$49,"",0,1)="P",
   _xlfn.XLOOKUP($B25,'TH_MLG GRADE 10'!$B$7:$B$49,'TH_MLG GRADE 10'!$BL$7:$BL$49,"",0,1)&lt;=TODAY()-MOD(WEEKDAY(TODAY(),2)-5,7)),$D25,0)</f>
        <v>1</v>
      </c>
      <c r="S75" s="65">
        <f ca="1">IF(AND($D25&lt;&gt;0,_xlfn.XLOOKUP($B25,'TH_MLG GRADE 10'!$B$7:$B$49,'TH_MLG GRADE 10'!AI$7:AI$49,"",0,1)="P",
   _xlfn.XLOOKUP($B25,'TH_MLG GRADE 10'!$B$7:$B$49,'TH_MLG GRADE 10'!$BM$7:$BM$49,"",0,1)&lt;=TODAY()-MOD(WEEKDAY(TODAY(),2)-5,7)),$D25,0)</f>
        <v>1</v>
      </c>
      <c r="T75" s="65">
        <f ca="1">IF(AND($D25&lt;&gt;0,_xlfn.XLOOKUP($B25,'TH_MLG GRADE 10'!$B$7:$B$49,'TH_MLG GRADE 10'!AM$7:AM$49,"",0,1)="P",
   _xlfn.XLOOKUP($B25,'TH_MLG GRADE 10'!$B$7:$B$49,'TH_MLG GRADE 10'!$BK$7:$BK$49,"",0,1)&lt;=TODAY()-MOD(WEEKDAY(TODAY(),2)-5,7)),$D25,0)</f>
        <v>0</v>
      </c>
      <c r="U75" s="65">
        <f ca="1">IF(AND($D25&lt;&gt;0,_xlfn.XLOOKUP($B25,'TH_MLG GRADE 10'!$B$7:$B$49,'TH_MLG GRADE 10'!AN$7:AN$49,"",0,1)="P",
   _xlfn.XLOOKUP($B25,'TH_MLG GRADE 10'!$B$7:$B$49,'TH_MLG GRADE 10'!$BL$7:$BL$49,"",0,1)&lt;=TODAY()-MOD(WEEKDAY(TODAY(),2)-5,7)),$D25,0)</f>
        <v>0</v>
      </c>
      <c r="V75" s="65">
        <f ca="1">IF(AND($D25&lt;&gt;0,_xlfn.XLOOKUP($B25,'TH_MLG GRADE 10'!$B$7:$B$49,'TH_MLG GRADE 10'!AO$7:AO$49,"",0,1)="P",
   _xlfn.XLOOKUP($B25,'TH_MLG GRADE 10'!$B$7:$B$49,'TH_MLG GRADE 10'!$BM$7:$BM$49,"",0,1)&lt;=TODAY()-MOD(WEEKDAY(TODAY(),2)-5,7)),$D25,0)</f>
        <v>0</v>
      </c>
      <c r="W75" s="65">
        <f ca="1">IF(AND($D25&lt;&gt;0,_xlfn.XLOOKUP($B25,'TH_MLG GRADE 10'!$B$7:$B$49,'TH_MLG GRADE 10'!AY$7:AY$49,"",0,1)="P",
   _xlfn.XLOOKUP($B25,'TH_MLG GRADE 10'!$B$7:$B$49,'TH_MLG GRADE 10'!$BK$7:$BK$49,"",0,1)&lt;=TODAY()-MOD(WEEKDAY(TODAY(),2)-5,7)),$D25,0)</f>
        <v>0</v>
      </c>
      <c r="X75" s="65">
        <f ca="1">IF(AND($D25&lt;&gt;0,_xlfn.XLOOKUP($B25,'TH_MLG GRADE 10'!$B$7:$B$49,'TH_MLG GRADE 10'!AZ$7:AZ$49,"",0,1)="P",
   _xlfn.XLOOKUP($B25,'TH_MLG GRADE 10'!$B$7:$B$49,'TH_MLG GRADE 10'!$BL$7:$BL$49,"",0,1)&lt;=TODAY()-MOD(WEEKDAY(TODAY(),2)-5,7)),$D25,0)</f>
        <v>0</v>
      </c>
      <c r="Y75" s="65">
        <f ca="1">IF(AND($D25&lt;&gt;0,_xlfn.XLOOKUP($B25,'TH_MLG GRADE 10'!$B$7:$B$49,'TH_MLG GRADE 10'!BA$7:BA$49,"",0,1)="P",
   _xlfn.XLOOKUP($B25,'TH_MLG GRADE 10'!$B$7:$B$49,'TH_MLG GRADE 10'!$BM$7:$BM$49,"",0,1)&lt;=TODAY()-MOD(WEEKDAY(TODAY(),2)-5,7)),$D25,0)</f>
        <v>0</v>
      </c>
      <c r="Z75" s="65">
        <f ca="1">IF(AND($D25&lt;&gt;0,_xlfn.XLOOKUP($B25,'TH_MLG GRADE 10'!$B$7:$B$49,'TH_MLG GRADE 10'!BE$7:BE$49,"",0,1)="P",
   _xlfn.XLOOKUP($B25,'TH_MLG GRADE 10'!$B$7:$B$49,'TH_MLG GRADE 10'!$BK$7:$BK$49,"",0,1)&lt;=TODAY()-MOD(WEEKDAY(TODAY(),2)-5,7)),$D25,0)</f>
        <v>0</v>
      </c>
      <c r="AA75" s="65">
        <f ca="1">IF(AND($D25&lt;&gt;0,_xlfn.XLOOKUP($B25,'TH_MLG GRADE 10'!$B$7:$B$49,'TH_MLG GRADE 10'!BF$7:BF$49,"",0,1)="P",
   _xlfn.XLOOKUP($B25,'TH_MLG GRADE 10'!$B$7:$B$49,'TH_MLG GRADE 10'!$BL$7:$BL$49,"",0,1)&lt;=TODAY()-MOD(WEEKDAY(TODAY(),2)-5,7)),$D25,0)</f>
        <v>0</v>
      </c>
      <c r="AB75" s="65">
        <f ca="1">IF(AND($D25&lt;&gt;0,_xlfn.XLOOKUP($B25,'TH_MLG GRADE 10'!$B$7:$B$49,'TH_MLG GRADE 10'!BG$7:BG$49,"",0,1)="P",
   _xlfn.XLOOKUP($B25,'TH_MLG GRADE 10'!$B$7:$B$49,'TH_MLG GRADE 10'!$BM$7:$BM$49,"",0,1)&lt;=TODAY()-MOD(WEEKDAY(TODAY(),2)-5,7)),$D25,0)</f>
        <v>0</v>
      </c>
      <c r="AC75" s="65" t="e">
        <f ca="1">IF(AND($D25&lt;&gt;0,_xlfn.XLOOKUP($B25,'TH_MLG GRADE 10'!$B$7:$B$49,'TH_MLG GRADE 10'!#REF!,"",0,1)="P",
   _xlfn.XLOOKUP($B25,'TH_MLG GRADE 10'!$B$7:$B$49,'TH_MLG GRADE 10'!$BK$7:$BK$49,"",0,1)&lt;=TODAY()-MOD(WEEKDAY(TODAY(),2)-5,7)),$D25,0)</f>
        <v>#REF!</v>
      </c>
      <c r="AD75" s="65" t="e">
        <f ca="1">IF(AND($D25&lt;&gt;0,_xlfn.XLOOKUP($B25,'TH_MLG GRADE 10'!$B$7:$B$49,'TH_MLG GRADE 10'!#REF!,"",0,1)="P",
   _xlfn.XLOOKUP($B25,'TH_MLG GRADE 10'!$B$7:$B$49,'TH_MLG GRADE 10'!$BL$7:$BL$49,"",0,1)&lt;=TODAY()-MOD(WEEKDAY(TODAY(),2)-5,7)),$D25,0)</f>
        <v>#REF!</v>
      </c>
      <c r="AE75" s="65" t="e">
        <f ca="1">IF(AND($D25&lt;&gt;0,_xlfn.XLOOKUP($B25,'TH_MLG GRADE 10'!$B$7:$B$49,'TH_MLG GRADE 10'!#REF!,"",0,1)="P",
   _xlfn.XLOOKUP($B25,'TH_MLG GRADE 10'!$B$7:$B$49,'TH_MLG GRADE 10'!$BM$7:$BM$49,"",0,1)&lt;=TODAY()-MOD(WEEKDAY(TODAY(),2)-5,7)),$D25,0)</f>
        <v>#REF!</v>
      </c>
      <c r="AF75" s="65" t="e">
        <f ca="1">IF(AND($D25&lt;&gt;0,_xlfn.XLOOKUP($B25,'TH_MLG GRADE 10'!$B$7:$B$49,'TH_MLG GRADE 10'!#REF!,"",0,1)="P",
   _xlfn.XLOOKUP($B25,'TH_MLG GRADE 10'!$B$7:$B$49,'TH_MLG GRADE 10'!$BK$7:$BK$49,"",0,1)&lt;=TODAY()-MOD(WEEKDAY(TODAY(),2)-5,7)),$D25,0)</f>
        <v>#REF!</v>
      </c>
      <c r="AG75" s="65" t="e">
        <f ca="1">IF(AND($D25&lt;&gt;0,_xlfn.XLOOKUP($B25,'TH_MLG GRADE 10'!$B$7:$B$49,'TH_MLG GRADE 10'!#REF!,"",0,1)="P",
   _xlfn.XLOOKUP($B25,'TH_MLG GRADE 10'!$B$7:$B$49,'TH_MLG GRADE 10'!$BL$7:$BL$49,"",0,1)&lt;=TODAY()-MOD(WEEKDAY(TODAY(),2)-5,7)),$D25,0)</f>
        <v>#REF!</v>
      </c>
      <c r="AH75" s="65" t="e">
        <f ca="1">IF(AND($D25&lt;&gt;0,_xlfn.XLOOKUP($B25,'TH_MLG GRADE 10'!$B$7:$B$49,'TH_MLG GRADE 10'!#REF!,"",0,1)="P",
   _xlfn.XLOOKUP($B25,'TH_MLG GRADE 10'!$B$7:$B$49,'TH_MLG GRADE 10'!$BM$7:$BM$49,"",0,1)&lt;=TODAY()-MOD(WEEKDAY(TODAY(),2)-5,7)),$D25,0)</f>
        <v>#REF!</v>
      </c>
      <c r="AI75" s="67">
        <f ca="1">IF(AND($D25&lt;&gt;0,_xlfn.XLOOKUP($B25,'TH_CMI GRADE 10'!$B$7:$B$49,'TH_CMI GRADE 10'!C$7:C$49,"",0,1)="P",
   _xlfn.XLOOKUP($B25,'TH_CMI GRADE 10'!$B$7:$B$49,'TH_CMI GRADE 10'!$AS$7:$AS$49,"",0,1)&lt;=TODAY()-MOD(WEEKDAY(TODAY(),2)-5,7)),$D25,0)</f>
        <v>0</v>
      </c>
      <c r="AJ75" s="67">
        <f ca="1">IF(AND($D25&lt;&gt;0,_xlfn.XLOOKUP($B25,'TH_CMI GRADE 10'!$B$7:$B$49,'TH_CMI GRADE 10'!D$7:D$49,"",0,1)="P",
   _xlfn.XLOOKUP($B25,'TH_CMI GRADE 10'!$B$7:$B$49,'TH_CMI GRADE 10'!$AT$7:$AT$49,"",0,1)&lt;=TODAY()-MOD(WEEKDAY(TODAY(),2)-5,7)),$D25,0)</f>
        <v>0</v>
      </c>
      <c r="AK75" s="67" t="e">
        <f ca="1">IF(AND($D25&lt;&gt;0,_xlfn.XLOOKUP($B25,'TH_CMI GRADE 10'!$B$7:$B$49,'TH_CMI GRADE 10'!H$7:H$49,"",0,1)="P",
   _xlfn.XLOOKUP($B25,'TH_CMI GRADE 10'!$B$7:$B$49,'TH_CMI GRADE 10'!#REF!,"",0,1)&lt;=TODAY()-MOD(WEEKDAY(TODAY(),2)-5,7)),$D25,0)</f>
        <v>#REF!</v>
      </c>
      <c r="AL75" s="67">
        <f ca="1">IF(AND($D25&lt;&gt;0,_xlfn.XLOOKUP($B25,'TH_CMI GRADE 10'!$B$7:$B$49,'TH_CMI GRADE 10'!I$7:I$49,"",0,1)="P",
   _xlfn.XLOOKUP($B25,'TH_CMI GRADE 10'!$B$7:$B$49,'TH_CMI GRADE 10'!$AS$7:$AS$49,"",0,1)&lt;=TODAY()-MOD(WEEKDAY(TODAY(),2)-5,7)),$D25,0)</f>
        <v>0</v>
      </c>
      <c r="AM75" s="67">
        <f ca="1">IF(AND($D25&lt;&gt;0,_xlfn.XLOOKUP($B25,'TH_CMI GRADE 10'!$B$7:$B$49,'TH_CMI GRADE 10'!J$7:J$49,"",0,1)="P",
   _xlfn.XLOOKUP($B25,'TH_CMI GRADE 10'!$B$7:$B$49,'TH_CMI GRADE 10'!$AT$7:$AT$49,"",0,1)&lt;=TODAY()-MOD(WEEKDAY(TODAY(),2)-5,7)),$D25,0)</f>
        <v>0</v>
      </c>
      <c r="AN75" s="67" t="e">
        <f ca="1">IF(AND($D25&lt;&gt;0,_xlfn.XLOOKUP($B25,'TH_CMI GRADE 10'!$B$7:$B$49,'TH_CMI GRADE 10'!K$7:K$49,"",0,1)="P",
   _xlfn.XLOOKUP($B25,'TH_CMI GRADE 10'!$B$7:$B$49,'TH_CMI GRADE 10'!#REF!,"",0,1)&lt;=TODAY()-MOD(WEEKDAY(TODAY(),2)-5,7)),$D25,0)</f>
        <v>#REF!</v>
      </c>
      <c r="AO75" s="67">
        <f ca="1">IF(AND($D25&lt;&gt;0,_xlfn.XLOOKUP($B25,'TH_CMI GRADE 10'!$B$7:$B$49,'TH_CMI GRADE 10'!O$7:O$49,"",0,1)="P",
   _xlfn.XLOOKUP($B25,'TH_CMI GRADE 10'!$B$7:$B$49,'TH_CMI GRADE 10'!$AS$7:$AS$49,"",0,1)&lt;=TODAY()-MOD(WEEKDAY(TODAY(),2)-5,7)),$D25,0)</f>
        <v>0</v>
      </c>
      <c r="AP75" s="67">
        <f ca="1">IF(AND($D25&lt;&gt;0,_xlfn.XLOOKUP($B25,'TH_CMI GRADE 10'!$B$7:$B$49,'TH_CMI GRADE 10'!P$7:P$49,"",0,1)="P",
   _xlfn.XLOOKUP($B25,'TH_CMI GRADE 10'!$B$7:$B$49,'TH_CMI GRADE 10'!$AT$7:$AT$49,"",0,1)&lt;=TODAY()-MOD(WEEKDAY(TODAY(),2)-5,7)),$D25,0)</f>
        <v>0</v>
      </c>
      <c r="AQ75" s="67" t="e">
        <f ca="1">IF(AND($D25&lt;&gt;0,_xlfn.XLOOKUP($B25,'TH_CMI GRADE 10'!$B$7:$B$49,'TH_CMI GRADE 10'!Q$7:Q$49,"",0,1)="P",
   _xlfn.XLOOKUP($B25,'TH_CMI GRADE 10'!$B$7:$B$49,'TH_CMI GRADE 10'!#REF!,"",0,1)&lt;=TODAY()-MOD(WEEKDAY(TODAY(),2)-5,7)),$D25,0)</f>
        <v>#REF!</v>
      </c>
      <c r="AR75" s="67">
        <f ca="1">IF(AND($D25&lt;&gt;0,_xlfn.XLOOKUP($B25,'TH_CMI GRADE 10'!$B$7:$B$49,'TH_CMI GRADE 10'!U$7:U$49,"",0,1)="P",
   _xlfn.XLOOKUP($B25,'TH_CMI GRADE 10'!$B$7:$B$49,'TH_CMI GRADE 10'!$AS$7:$AS$49,"",0,1)&lt;=TODAY()-MOD(WEEKDAY(TODAY(),2)-5,7)),$D25,0)</f>
        <v>0</v>
      </c>
      <c r="AS75" s="67">
        <f ca="1">IF(AND($D25&lt;&gt;0,_xlfn.XLOOKUP($B25,'TH_CMI GRADE 10'!$B$7:$B$49,'TH_CMI GRADE 10'!V$7:V$49,"",0,1)="P",
   _xlfn.XLOOKUP($B25,'TH_CMI GRADE 10'!$B$7:$B$49,'TH_CMI GRADE 10'!$AT$7:$AT$49,"",0,1)&lt;=TODAY()-MOD(WEEKDAY(TODAY(),2)-5,7)),$D25,0)</f>
        <v>0</v>
      </c>
      <c r="AT75" s="67" t="e">
        <f ca="1">IF(AND($D25&lt;&gt;0,_xlfn.XLOOKUP($B25,'TH_CMI GRADE 10'!$B$7:$B$49,'TH_CMI GRADE 10'!W$7:W$49,"",0,1)="P",
   _xlfn.XLOOKUP($B25,'TH_CMI GRADE 10'!$B$7:$B$49,'TH_CMI GRADE 10'!#REF!,"",0,1)&lt;=TODAY()-MOD(WEEKDAY(TODAY(),2)-5,7)),$D25,0)</f>
        <v>#REF!</v>
      </c>
      <c r="AU75" s="67">
        <f ca="1">IF(AND($D25&lt;&gt;0,_xlfn.XLOOKUP($B25,'TH_CMI GRADE 10'!$B$7:$B$49,'TH_CMI GRADE 10'!AA$7:AA$49,"",0,1)="P",
   _xlfn.XLOOKUP($B25,'TH_CMI GRADE 10'!$B$7:$B$49,'TH_CMI GRADE 10'!$AS$7:$AS$49,"",0,1)&lt;=TODAY()-MOD(WEEKDAY(TODAY(),2)-5,7)),$D25,0)</f>
        <v>1</v>
      </c>
      <c r="AV75" s="67">
        <f ca="1">IF(AND($D25&lt;&gt;0,_xlfn.XLOOKUP($B25,'TH_CMI GRADE 10'!$B$7:$B$49,'TH_CMI GRADE 10'!AB$7:AB$49,"",0,1)="P",
   _xlfn.XLOOKUP($B25,'TH_CMI GRADE 10'!$B$7:$B$49,'TH_CMI GRADE 10'!$AT$7:$AT$49,"",0,1)&lt;=TODAY()-MOD(WEEKDAY(TODAY(),2)-5,7)),$D25,0)</f>
        <v>1</v>
      </c>
      <c r="AW75" s="67" t="e">
        <f ca="1">IF(AND($D25&lt;&gt;0,_xlfn.XLOOKUP($B25,'TH_CMI GRADE 10'!$B$7:$B$49,'TH_CMI GRADE 10'!AC$7:AC$49,"",0,1)="P",
   _xlfn.XLOOKUP($B25,'TH_CMI GRADE 10'!$B$7:$B$49,'TH_CMI GRADE 10'!#REF!,"",0,1)&lt;=TODAY()-MOD(WEEKDAY(TODAY(),2)-5,7)),$D25,0)</f>
        <v>#REF!</v>
      </c>
      <c r="AX75" s="67">
        <f ca="1">IF(AND($D25&lt;&gt;0,_xlfn.XLOOKUP($B25,'TH_CMI GRADE 10'!$B$7:$B$49,'TH_CMI GRADE 10'!AG$7:AG$49,"",0,1)="P",
   _xlfn.XLOOKUP($B25,'TH_CMI GRADE 10'!$B$7:$B$49,'TH_CMI GRADE 10'!$AS$7:$AS$49,"",0,1)&lt;=TODAY()-MOD(WEEKDAY(TODAY(),2)-5,7)),$D25,0)</f>
        <v>1</v>
      </c>
      <c r="AY75" s="67">
        <f ca="1">IF(AND($D25&lt;&gt;0,_xlfn.XLOOKUP($B25,'TH_CMI GRADE 10'!$B$7:$B$49,'TH_CMI GRADE 10'!AH$7:AH$49,"",0,1)="P",
   _xlfn.XLOOKUP($B25,'TH_CMI GRADE 10'!$B$7:$B$49,'TH_CMI GRADE 10'!$AT$7:$AT$49,"",0,1)&lt;=TODAY()-MOD(WEEKDAY(TODAY(),2)-5,7)),$D25,0)</f>
        <v>1</v>
      </c>
      <c r="AZ75" s="67" t="e">
        <f ca="1">IF(AND($D25&lt;&gt;0,_xlfn.XLOOKUP($B25,'TH_CMI GRADE 10'!$B$7:$B$49,'TH_CMI GRADE 10'!AI$7:AI$49,"",0,1)="P",
   _xlfn.XLOOKUP($B25,'TH_CMI GRADE 10'!$B$7:$B$49,'TH_CMI GRADE 10'!#REF!,"",0,1)&lt;=TODAY()-MOD(WEEKDAY(TODAY(),2)-5,7)),$D25,0)</f>
        <v>#REF!</v>
      </c>
      <c r="BA75" s="65" t="e">
        <f ca="1">IF(AND($D25&lt;&gt;0,_xlfn.XLOOKUP($B25,'PW_MLG GRADE 10'!$B$7:$B$31,'PW_MLG GRADE 10'!R$7:R$31,"",0,1)="P",
   _xlfn.XLOOKUP($B25,'PW_MLG GRADE 10'!$B$7:$B$31,'PW_MLG GRADE 10'!#REF!,"",0,1)&lt;=TODAY()-MOD(WEEKDAY(TODAY(),2)-5,7)),$D25,0)</f>
        <v>#REF!</v>
      </c>
      <c r="BB75" s="65" t="e">
        <f ca="1">IF(AND($D25&lt;&gt;0,_xlfn.XLOOKUP($B25,'PW_MLG GRADE 10'!$B$7:$B$31,'PW_MLG GRADE 10'!S$7:S$31,"",0,1)="P",
   _xlfn.XLOOKUP($B25,'PW_MLG GRADE 10'!$B$7:$B$31,'PW_MLG GRADE 10'!#REF!,"",0,1)&lt;=TODAY()-MOD(WEEKDAY(TODAY(),2)-5,7)),$D25,0)</f>
        <v>#REF!</v>
      </c>
      <c r="BC75" s="65" t="e">
        <f ca="1">IF(AND($D25&lt;&gt;0,_xlfn.XLOOKUP($B25,'PW_MLG GRADE 10'!$B$7:$B$31,'PW_MLG GRADE 10'!T$7:T$31,"",0,1)="P",
   _xlfn.XLOOKUP($B25,'PW_MLG GRADE 10'!$B$7:$B$31,'PW_MLG GRADE 10'!#REF!,"",0,1)&lt;=TODAY()-MOD(WEEKDAY(TODAY(),2)-5,7)),$D25,0)</f>
        <v>#REF!</v>
      </c>
      <c r="BD75" s="65" t="e">
        <f ca="1">IF(AND($D25&lt;&gt;0,_xlfn.XLOOKUP($B25,'PW_MLG GRADE 10'!$B$7:$B$31,'PW_MLG GRADE 10'!AA$7:AA$31,"",0,1)="P",
   _xlfn.XLOOKUP($B25,'PW_MLG GRADE 10'!$B$7:$B$31,'PW_MLG GRADE 10'!#REF!,"",0,1)&lt;=TODAY()-MOD(WEEKDAY(TODAY(),2)-5,7)),$D25,0)</f>
        <v>#REF!</v>
      </c>
      <c r="BE75" s="65" t="e">
        <f ca="1">IF(AND($D25&lt;&gt;0,_xlfn.XLOOKUP($B25,'PW_MLG GRADE 10'!$B$7:$B$31,'PW_MLG GRADE 10'!AB$7:AB$31,"",0,1)="P",
   _xlfn.XLOOKUP($B25,'PW_MLG GRADE 10'!$B$7:$B$31,'PW_MLG GRADE 10'!#REF!,"",0,1)&lt;=TODAY()-MOD(WEEKDAY(TODAY(),2)-5,7)),$D25,0)</f>
        <v>#REF!</v>
      </c>
      <c r="BF75" s="65" t="e">
        <f ca="1">IF(AND($D25&lt;&gt;0,_xlfn.XLOOKUP($B25,'PW_MLG GRADE 10'!$B$7:$B$31,'PW_MLG GRADE 10'!AC$7:AC$31,"",0,1)="P",
   _xlfn.XLOOKUP($B25,'PW_MLG GRADE 10'!$B$7:$B$31,'PW_MLG GRADE 10'!#REF!,"",0,1)&lt;=TODAY()-MOD(WEEKDAY(TODAY(),2)-5,7)),$D25,0)</f>
        <v>#REF!</v>
      </c>
      <c r="BG75" s="65" t="e">
        <f ca="1">IF(AND($D25&lt;&gt;0,_xlfn.XLOOKUP($B25,'PW_MLG GRADE 10'!$B$7:$B$31,'PW_MLG GRADE 10'!AD$7:AD$31,"",0,1)="P",
   _xlfn.XLOOKUP($B25,'PW_MLG GRADE 10'!$B$7:$B$31,'PW_MLG GRADE 10'!#REF!,"",0,1)&lt;=TODAY()-MOD(WEEKDAY(TODAY(),2)-5,7)),$D25,0)</f>
        <v>#REF!</v>
      </c>
      <c r="BH75" s="65" t="e">
        <f ca="1">IF(AND($D25&lt;&gt;0,_xlfn.XLOOKUP($B25,'PW_MLG GRADE 10'!$B$7:$B$31,'PW_MLG GRADE 10'!AE$7:AE$31,"",0,1)="P",
   _xlfn.XLOOKUP($B25,'PW_MLG GRADE 10'!$B$7:$B$31,'PW_MLG GRADE 10'!#REF!,"",0,1)&lt;=TODAY()-MOD(WEEKDAY(TODAY(),2)-5,7)),$D25,0)</f>
        <v>#REF!</v>
      </c>
      <c r="BI75" s="65" t="e">
        <f ca="1">IF(AND($D25&lt;&gt;0,_xlfn.XLOOKUP($B25,'PW_MLG GRADE 10'!$B$7:$B$31,'PW_MLG GRADE 10'!AF$7:AF$31,"",0,1)="P",
   _xlfn.XLOOKUP($B25,'PW_MLG GRADE 10'!$B$7:$B$31,'PW_MLG GRADE 10'!#REF!,"",0,1)&lt;=TODAY()-MOD(WEEKDAY(TODAY(),2)-5,7)),$D25,0)</f>
        <v>#REF!</v>
      </c>
      <c r="BJ75" s="65" t="e">
        <f ca="1">IF(AND($D25&lt;&gt;0,_xlfn.XLOOKUP($B25,'PW_MLG GRADE 10'!$B$7:$B$31,'PW_MLG GRADE 10'!AG$7:AG$31,"",0,1)="P",
   _xlfn.XLOOKUP($B25,'PW_MLG GRADE 10'!$B$7:$B$31,'PW_MLG GRADE 10'!#REF!,"",0,1)&lt;=TODAY()-MOD(WEEKDAY(TODAY(),2)-5,7)),$D25,0)</f>
        <v>#REF!</v>
      </c>
      <c r="BK75" s="65" t="e">
        <f ca="1">IF(AND($D25&lt;&gt;0,_xlfn.XLOOKUP($B25,'PW_MLG GRADE 10'!$B$7:$B$31,'PW_MLG GRADE 10'!AH$7:AH$31,"",0,1)="P",
   _xlfn.XLOOKUP($B25,'PW_MLG GRADE 10'!$B$7:$B$31,'PW_MLG GRADE 10'!#REF!,"",0,1)&lt;=TODAY()-MOD(WEEKDAY(TODAY(),2)-5,7)),$D25,0)</f>
        <v>#REF!</v>
      </c>
      <c r="BL75" s="65" t="e">
        <f ca="1">IF(AND($D25&lt;&gt;0,_xlfn.XLOOKUP($B25,'PW_MLG GRADE 10'!$B$7:$B$31,'PW_MLG GRADE 10'!AI$7:AI$31,"",0,1)="P",
   _xlfn.XLOOKUP($B25,'PW_MLG GRADE 10'!$B$7:$B$31,'PW_MLG GRADE 10'!#REF!,"",0,1)&lt;=TODAY()-MOD(WEEKDAY(TODAY(),2)-5,7)),$D25,0)</f>
        <v>#REF!</v>
      </c>
      <c r="BM75" s="65" t="e">
        <f ca="1">IF(AND($D25&lt;&gt;0,_xlfn.XLOOKUP($B25,'PW_MLG GRADE 10'!$B$7:$B$31,'PW_MLG GRADE 10'!AJ$7:AJ$31,"",0,1)="P",
   _xlfn.XLOOKUP($B25,'PW_MLG GRADE 10'!$B$7:$B$31,'PW_MLG GRADE 10'!#REF!,"",0,1)&lt;=TODAY()-MOD(WEEKDAY(TODAY(),2)-5,7)),$D25,0)</f>
        <v>#REF!</v>
      </c>
      <c r="BN75" s="65" t="e">
        <f ca="1">IF(AND($D25&lt;&gt;0,_xlfn.XLOOKUP($B25,'PW_MLG GRADE 10'!$B$7:$B$31,'PW_MLG GRADE 10'!AK$7:AK$31,"",0,1)="P",
   _xlfn.XLOOKUP($B25,'PW_MLG GRADE 10'!$B$7:$B$31,'PW_MLG GRADE 10'!#REF!,"",0,1)&lt;=TODAY()-MOD(WEEKDAY(TODAY(),2)-5,7)),$D25,0)</f>
        <v>#REF!</v>
      </c>
      <c r="BO75" s="65" t="e">
        <f ca="1">IF(AND($D25&lt;&gt;0,_xlfn.XLOOKUP($B25,'PW_MLG GRADE 10'!$B$7:$B$31,'PW_MLG GRADE 10'!AL$7:AL$31,"",0,1)="P",
   _xlfn.XLOOKUP($B25,'PW_MLG GRADE 10'!$B$7:$B$31,'PW_MLG GRADE 10'!#REF!,"",0,1)&lt;=TODAY()-MOD(WEEKDAY(TODAY(),2)-5,7)),$D25,0)</f>
        <v>#REF!</v>
      </c>
      <c r="BP75" s="65" t="e">
        <f ca="1">IF(AND($D25&lt;&gt;0,_xlfn.XLOOKUP($B25,'PW_MLG GRADE 10'!$B$7:$B$31,'PW_MLG GRADE 10'!AM$7:AM$31,"",0,1)="P",
   _xlfn.XLOOKUP($B25,'PW_MLG GRADE 10'!$B$7:$B$31,'PW_MLG GRADE 10'!#REF!,"",0,1)&lt;=TODAY()-MOD(WEEKDAY(TODAY(),2)-5,7)),$D25,0)</f>
        <v>#REF!</v>
      </c>
      <c r="BQ75" s="65" t="e">
        <f ca="1">IF(AND($D25&lt;&gt;0,_xlfn.XLOOKUP($B25,'PW_MLG GRADE 10'!$B$7:$B$31,'PW_MLG GRADE 10'!AN$7:AN$31,"",0,1)="P",
   _xlfn.XLOOKUP($B25,'PW_MLG GRADE 10'!$B$7:$B$31,'PW_MLG GRADE 10'!#REF!,"",0,1)&lt;=TODAY()-MOD(WEEKDAY(TODAY(),2)-5,7)),$D25,0)</f>
        <v>#REF!</v>
      </c>
      <c r="BR75" s="65" t="e">
        <f ca="1">IF(AND($D25&lt;&gt;0,_xlfn.XLOOKUP($B25,'PW_MLG GRADE 10'!$B$7:$B$31,'PW_MLG GRADE 10'!AO$7:AO$31,"",0,1)="P",
   _xlfn.XLOOKUP($B25,'PW_MLG GRADE 10'!$B$7:$B$31,'PW_MLG GRADE 10'!#REF!,"",0,1)&lt;=TODAY()-MOD(WEEKDAY(TODAY(),2)-5,7)),$D25,0)</f>
        <v>#REF!</v>
      </c>
      <c r="BS75" s="65" t="e">
        <f ca="1">IF(AND($D25&lt;&gt;0,_xlfn.XLOOKUP($B25,'PW_MLG GRADE 10'!$B$7:$B$31,'PW_MLG GRADE 10'!AP$7:AP$31,"",0,1)="P",
   _xlfn.XLOOKUP($B25,'PW_MLG GRADE 10'!$B$7:$B$31,'PW_MLG GRADE 10'!#REF!,"",0,1)&lt;=TODAY()-MOD(WEEKDAY(TODAY(),2)-5,7)),$D25,0)</f>
        <v>#REF!</v>
      </c>
      <c r="BT75" s="65" t="e">
        <f ca="1">IF(AND($D25&lt;&gt;0,_xlfn.XLOOKUP($B25,'PW_MLG GRADE 10'!$B$7:$B$31,'PW_MLG GRADE 10'!AQ$7:AQ$31,"",0,1)="P",
   _xlfn.XLOOKUP($B25,'PW_MLG GRADE 10'!$B$7:$B$31,'PW_MLG GRADE 10'!#REF!,"",0,1)&lt;=TODAY()-MOD(WEEKDAY(TODAY(),2)-5,7)),$D25,0)</f>
        <v>#REF!</v>
      </c>
      <c r="BU75" s="65" t="e">
        <f ca="1">IF(AND($D25&lt;&gt;0,_xlfn.XLOOKUP($B25,'PW_MLG GRADE 10'!$B$7:$B$31,'PW_MLG GRADE 10'!AR$7:AR$31,"",0,1)="P",
   _xlfn.XLOOKUP($B25,'PW_MLG GRADE 10'!$B$7:$B$31,'PW_MLG GRADE 10'!#REF!,"",0,1)&lt;=TODAY()-MOD(WEEKDAY(TODAY(),2)-5,7)),$D25,0)</f>
        <v>#REF!</v>
      </c>
      <c r="BV75" s="65" t="e">
        <f ca="1">IF(AND($D25&lt;&gt;0,_xlfn.XLOOKUP($B25,'PW_MLG GRADE 10'!$B$7:$B$31,'PW_MLG GRADE 10'!AY$7:AY$31,"",0,1)="P",
   _xlfn.XLOOKUP($B25,'PW_MLG GRADE 10'!$B$7:$B$31,'PW_MLG GRADE 10'!#REF!,"",0,1)&lt;=TODAY()-MOD(WEEKDAY(TODAY(),2)-5,7)),$D25,0)</f>
        <v>#REF!</v>
      </c>
      <c r="BW75" s="65" t="e">
        <f ca="1">IF(AND($D25&lt;&gt;0,_xlfn.XLOOKUP($B25,'PW_MLG GRADE 10'!$B$7:$B$31,'PW_MLG GRADE 10'!AZ$7:AZ$31,"",0,1)="P",
   _xlfn.XLOOKUP($B25,'PW_MLG GRADE 10'!$B$7:$B$31,'PW_MLG GRADE 10'!#REF!,"",0,1)&lt;=TODAY()-MOD(WEEKDAY(TODAY(),2)-5,7)),$D25,0)</f>
        <v>#REF!</v>
      </c>
      <c r="BX75" s="65" t="e">
        <f ca="1">IF(AND($D25&lt;&gt;0,_xlfn.XLOOKUP($B25,'PW_MLG GRADE 10'!$B$7:$B$31,'PW_MLG GRADE 10'!BA$7:BA$31,"",0,1)="P",
   _xlfn.XLOOKUP($B25,'PW_MLG GRADE 10'!$B$7:$B$31,'PW_MLG GRADE 10'!#REF!,"",0,1)&lt;=TODAY()-MOD(WEEKDAY(TODAY(),2)-5,7)),$D25,0)</f>
        <v>#REF!</v>
      </c>
      <c r="BY75" s="65" t="e">
        <f ca="1">IF(AND($D25&lt;&gt;0,_xlfn.XLOOKUP($B25,'PW_MLG GRADE 10'!$B$7:$B$31,'PW_MLG GRADE 10'!BB$7:BB$31,"",0,1)="P",
   _xlfn.XLOOKUP($B25,'PW_MLG GRADE 10'!$B$7:$B$31,'PW_MLG GRADE 10'!#REF!,"",0,1)&lt;=TODAY()-MOD(WEEKDAY(TODAY(),2)-5,7)),$D25,0)</f>
        <v>#REF!</v>
      </c>
      <c r="BZ75" s="65" t="e">
        <f ca="1">IF(AND($D25&lt;&gt;0,_xlfn.XLOOKUP($B25,'PW_MLG GRADE 10'!$B$7:$B$31,'PW_MLG GRADE 10'!BC$7:BC$31,"",0,1)="P",
   _xlfn.XLOOKUP($B25,'PW_MLG GRADE 10'!$B$7:$B$31,'PW_MLG GRADE 10'!#REF!,"",0,1)&lt;=TODAY()-MOD(WEEKDAY(TODAY(),2)-5,7)),$D25,0)</f>
        <v>#REF!</v>
      </c>
      <c r="CA75" s="65" t="e">
        <f ca="1">IF(AND($D25&lt;&gt;0,_xlfn.XLOOKUP($B25,'PW_MLG GRADE 10'!$B$7:$B$31,'PW_MLG GRADE 10'!BD$7:BD$31,"",0,1)="P",
   _xlfn.XLOOKUP($B25,'PW_MLG GRADE 10'!$B$7:$B$31,'PW_MLG GRADE 10'!#REF!,"",0,1)&lt;=TODAY()-MOD(WEEKDAY(TODAY(),2)-5,7)),$D25,0)</f>
        <v>#REF!</v>
      </c>
      <c r="CB75" s="65" t="e">
        <f ca="1">IF(AND($D25&lt;&gt;0,_xlfn.XLOOKUP($B25,'PW_MLG GRADE 10'!$B$7:$B$31,'PW_MLG GRADE 10'!BE$7:BE$31,"",0,1)="P",
   _xlfn.XLOOKUP($B25,'PW_MLG GRADE 10'!$B$7:$B$31,'PW_MLG GRADE 10'!#REF!,"",0,1)&lt;=TODAY()-MOD(WEEKDAY(TODAY(),2)-5,7)),$D25,0)</f>
        <v>#REF!</v>
      </c>
      <c r="CC75" s="65" t="e">
        <f ca="1">IF(AND($D25&lt;&gt;0,_xlfn.XLOOKUP($B25,'PW_MLG GRADE 10'!$B$7:$B$31,'PW_MLG GRADE 10'!BF$7:BF$31,"",0,1)="P",
   _xlfn.XLOOKUP($B25,'PW_MLG GRADE 10'!$B$7:$B$31,'PW_MLG GRADE 10'!#REF!,"",0,1)&lt;=TODAY()-MOD(WEEKDAY(TODAY(),2)-5,7)),$D25,0)</f>
        <v>#REF!</v>
      </c>
      <c r="CD75" s="65" t="e">
        <f ca="1">IF(AND($D25&lt;&gt;0,_xlfn.XLOOKUP($B25,'PW_MLG GRADE 10'!$B$7:$B$31,'PW_MLG GRADE 10'!BG$7:BG$31,"",0,1)="P",
   _xlfn.XLOOKUP($B25,'PW_MLG GRADE 10'!$B$7:$B$31,'PW_MLG GRADE 10'!#REF!,"",0,1)&lt;=TODAY()-MOD(WEEKDAY(TODAY(),2)-5,7)),$D25,0)</f>
        <v>#REF!</v>
      </c>
      <c r="CE75" s="67">
        <f ca="1">IF(AND($D25&lt;&gt;0,_xlfn.XLOOKUP($B25,'PW_CMI GRADE 10'!$B$7:$B$31,'PW_CMI GRADE 10'!AY$7:AY$31,"",0,1)="P",
   _xlfn.XLOOKUP($B25,'PW_CMI GRADE 10'!$B$7:$B$31,'PW_CMI GRADE 10'!$U$7:$U$31,"",0,1)&lt;=TODAY()-MOD(WEEKDAY(TODAY(),2)-5,7)),$D25,0)</f>
        <v>0</v>
      </c>
      <c r="CF75" s="67">
        <f ca="1">IF(AND($D25&lt;&gt;0,_xlfn.XLOOKUP($B25,'PW_CMI GRADE 10'!$B$7:$B$31,'PW_CMI GRADE 10'!AZ$7:AZ$31,"",0,1)="P",
   _xlfn.XLOOKUP($B25,'PW_CMI GRADE 10'!$B$7:$B$31,'PW_CMI GRADE 10'!$V$7:$V$31,"",0,1)&lt;=TODAY()-MOD(WEEKDAY(TODAY(),2)-5,7)),$D25,0)</f>
        <v>0</v>
      </c>
      <c r="CG75" s="67">
        <f ca="1">IF(AND($D25&lt;&gt;0,_xlfn.XLOOKUP($B25,'PW_CMI GRADE 10'!$B$7:$B$31,'PW_CMI GRADE 10'!BA$7:BA$31,"",0,1)="P",
   _xlfn.XLOOKUP($B25,'PW_CMI GRADE 10'!$B$7:$B$31,'PW_CMI GRADE 10'!$W$7:$W$31,"",0,1)&lt;=TODAY()-MOD(WEEKDAY(TODAY(),2)-5,7)),$D25,0)</f>
        <v>0</v>
      </c>
      <c r="CH75" s="67">
        <f ca="1">IF(AND($D25&lt;&gt;0,_xlfn.XLOOKUP($B25,'PW_CMI GRADE 10'!$B$7:$B$31,'PW_CMI GRADE 10'!BB$7:BB$31,"",0,1)="P",
   _xlfn.XLOOKUP($B25,'PW_CMI GRADE 10'!$B$7:$B$31,'PW_CMI GRADE 10'!$U$7:$U$31,"",0,1)&lt;=TODAY()-MOD(WEEKDAY(TODAY(),2)-5,7)),$D25,0)</f>
        <v>0</v>
      </c>
      <c r="CI75" s="67">
        <f ca="1">IF(AND($D25&lt;&gt;0,_xlfn.XLOOKUP($B25,'PW_CMI GRADE 10'!$B$7:$B$31,'PW_CMI GRADE 10'!BC$7:BC$31,"",0,1)="P",
   _xlfn.XLOOKUP($B25,'PW_CMI GRADE 10'!$B$7:$B$31,'PW_CMI GRADE 10'!$V$7:$V$31,"",0,1)&lt;=TODAY()-MOD(WEEKDAY(TODAY(),2)-5,7)),$D25,0)</f>
        <v>0</v>
      </c>
      <c r="CJ75" s="67">
        <f ca="1">IF(AND($D25&lt;&gt;0,_xlfn.XLOOKUP($B25,'PW_CMI GRADE 10'!$B$7:$B$31,'PW_CMI GRADE 10'!BD$7:BD$31,"",0,1)="P",
   _xlfn.XLOOKUP($B25,'PW_CMI GRADE 10'!$B$7:$B$31,'PW_CMI GRADE 10'!$W$7:$W$31,"",0,1)&lt;=TODAY()-MOD(WEEKDAY(TODAY(),2)-5,7)),$D25,0)</f>
        <v>0</v>
      </c>
      <c r="CK75" s="67">
        <f ca="1">IF(AND($D25&lt;&gt;0,_xlfn.XLOOKUP($B25,'PW_CMI GRADE 10'!$B$7:$B$31,'PW_CMI GRADE 10'!BE$7:BE$31,"",0,1)="P",
   _xlfn.XLOOKUP($B25,'PW_CMI GRADE 10'!$B$7:$B$31,'PW_CMI GRADE 10'!$U$7:$U$31,"",0,1)&lt;=TODAY()-MOD(WEEKDAY(TODAY(),2)-5,7)),$D25,0)</f>
        <v>0</v>
      </c>
      <c r="CL75" s="67">
        <f ca="1">IF(AND($D25&lt;&gt;0,_xlfn.XLOOKUP($B25,'PW_CMI GRADE 10'!$B$7:$B$31,'PW_CMI GRADE 10'!BF$7:BF$31,"",0,1)="P",
   _xlfn.XLOOKUP($B25,'PW_CMI GRADE 10'!$B$7:$B$31,'PW_CMI GRADE 10'!$V$7:$V$31,"",0,1)&lt;=TODAY()-MOD(WEEKDAY(TODAY(),2)-5,7)),$D25,0)</f>
        <v>0</v>
      </c>
      <c r="CM75" s="67">
        <f ca="1">IF(AND($D25&lt;&gt;0,_xlfn.XLOOKUP($B25,'PW_CMI GRADE 10'!$B$7:$B$31,'PW_CMI GRADE 10'!BG$7:BG$31,"",0,1)="P",
   _xlfn.XLOOKUP($B25,'PW_CMI GRADE 10'!$B$7:$B$31,'PW_CMI GRADE 10'!$W$7:$W$31,"",0,1)&lt;=TODAY()-MOD(WEEKDAY(TODAY(),2)-5,7)),$D25,0)</f>
        <v>0</v>
      </c>
      <c r="CN75" s="67">
        <f ca="1">IF(AND($D25&lt;&gt;0,_xlfn.XLOOKUP($B25,'PW_CMI GRADE 10'!$B$7:$B$31,'PW_CMI GRADE 10'!BH$7:BH$31,"",0,1)="P",
   _xlfn.XLOOKUP($B25,'PW_CMI GRADE 10'!$B$7:$B$31,'PW_CMI GRADE 10'!$U$7:$U$31,"",0,1)&lt;=TODAY()-MOD(WEEKDAY(TODAY(),2)-5,7)),$D25,0)</f>
        <v>0</v>
      </c>
      <c r="CO75" s="67">
        <f ca="1">IF(AND($D25&lt;&gt;0,_xlfn.XLOOKUP($B25,'PW_CMI GRADE 10'!$B$7:$B$31,'PW_CMI GRADE 10'!BI$7:BI$31,"",0,1)="P",
   _xlfn.XLOOKUP($B25,'PW_CMI GRADE 10'!$B$7:$B$31,'PW_CMI GRADE 10'!$V$7:$V$31,"",0,1)&lt;=TODAY()-MOD(WEEKDAY(TODAY(),2)-5,7)),$D25,0)</f>
        <v>0</v>
      </c>
      <c r="CP75" s="67">
        <f ca="1">IF(AND($D25&lt;&gt;0,_xlfn.XLOOKUP($B25,'PW_CMI GRADE 10'!$B$7:$B$31,'PW_CMI GRADE 10'!BJ$7:BJ$31,"",0,1)="P",
   _xlfn.XLOOKUP($B25,'PW_CMI GRADE 10'!$B$7:$B$31,'PW_CMI GRADE 10'!$W$7:$W$31,"",0,1)&lt;=TODAY()-MOD(WEEKDAY(TODAY(),2)-5,7)),$D25,0)</f>
        <v>0</v>
      </c>
      <c r="CQ75" s="67">
        <f ca="1">IF(AND($D25&lt;&gt;0,_xlfn.XLOOKUP($B25,'PW_CMI GRADE 10'!$B$7:$B$31,'PW_CMI GRADE 10'!BK$7:BK$31,"",0,1)="P",
   _xlfn.XLOOKUP($B25,'PW_CMI GRADE 10'!$B$7:$B$31,'PW_CMI GRADE 10'!$U$7:$U$31,"",0,1)&lt;=TODAY()-MOD(WEEKDAY(TODAY(),2)-5,7)),$D25,0)</f>
        <v>0</v>
      </c>
      <c r="CR75" s="67">
        <f ca="1">IF(AND($D25&lt;&gt;0,_xlfn.XLOOKUP($B25,'PW_CMI GRADE 10'!$B$7:$B$31,'PW_CMI GRADE 10'!BL$7:BL$31,"",0,1)="P",
   _xlfn.XLOOKUP($B25,'PW_CMI GRADE 10'!$B$7:$B$31,'PW_CMI GRADE 10'!$V$7:$V$31,"",0,1)&lt;=TODAY()-MOD(WEEKDAY(TODAY(),2)-5,7)),$D25,0)</f>
        <v>0</v>
      </c>
      <c r="CS75" s="67">
        <f ca="1">IF(AND($D25&lt;&gt;0,_xlfn.XLOOKUP($B25,'PW_CMI GRADE 10'!$B$7:$B$31,'PW_CMI GRADE 10'!BM$7:BM$31,"",0,1)="P",
   _xlfn.XLOOKUP($B25,'PW_CMI GRADE 10'!$B$7:$B$31,'PW_CMI GRADE 10'!$W$7:$W$31,"",0,1)&lt;=TODAY()-MOD(WEEKDAY(TODAY(),2)-5,7)),$D25,0)</f>
        <v>0</v>
      </c>
      <c r="CT75" s="67">
        <f ca="1">IF(AND($D25&lt;&gt;0,_xlfn.XLOOKUP($B25,'PW_CMI GRADE 10'!$B$7:$B$31,'PW_CMI GRADE 10'!BN$7:BN$31,"",0,1)="P",
   _xlfn.XLOOKUP($B25,'PW_CMI GRADE 10'!$B$7:$B$31,'PW_CMI GRADE 10'!$U$7:$U$31,"",0,1)&lt;=TODAY()-MOD(WEEKDAY(TODAY(),2)-5,7)),$D25,0)</f>
        <v>0</v>
      </c>
      <c r="CU75" s="67">
        <f ca="1">IF(AND($D25&lt;&gt;0,_xlfn.XLOOKUP($B25,'PW_CMI GRADE 10'!$B$7:$B$31,'PW_CMI GRADE 10'!BO$7:BO$31,"",0,1)="P",
   _xlfn.XLOOKUP($B25,'PW_CMI GRADE 10'!$B$7:$B$31,'PW_CMI GRADE 10'!$V$7:$V$31,"",0,1)&lt;=TODAY()-MOD(WEEKDAY(TODAY(),2)-5,7)),$D25,0)</f>
        <v>0</v>
      </c>
      <c r="CV75" s="67">
        <f ca="1">IF(AND($D25&lt;&gt;0,_xlfn.XLOOKUP($B25,'PW_CMI GRADE 10'!$B$7:$B$31,'PW_CMI GRADE 10'!BP$7:BP$31,"",0,1)="P",
   _xlfn.XLOOKUP($B25,'PW_CMI GRADE 10'!$B$7:$B$31,'PW_CMI GRADE 10'!$W$7:$W$31,"",0,1)&lt;=TODAY()-MOD(WEEKDAY(TODAY(),2)-5,7)),$D25,0)</f>
        <v>0</v>
      </c>
      <c r="CW75" s="62" t="e">
        <f t="shared" ca="1" si="132"/>
        <v>#REF!</v>
      </c>
      <c r="CX75" s="62" t="e">
        <f t="shared" ca="1" si="69"/>
        <v>#REF!</v>
      </c>
      <c r="CY75" s="62" t="e">
        <f t="shared" ca="1" si="70"/>
        <v>#REF!</v>
      </c>
      <c r="CZ75" s="62" t="e">
        <f t="shared" ca="1" si="71"/>
        <v>#REF!</v>
      </c>
      <c r="DA75" s="62" t="e">
        <f t="shared" ca="1" si="72"/>
        <v>#REF!</v>
      </c>
      <c r="DB75" s="62" t="e">
        <f t="shared" ca="1" si="73"/>
        <v>#REF!</v>
      </c>
      <c r="DC75" s="62" t="e">
        <f t="shared" ca="1" si="74"/>
        <v>#REF!</v>
      </c>
      <c r="DD75" s="62" t="e">
        <f t="shared" ca="1" si="75"/>
        <v>#REF!</v>
      </c>
      <c r="DE75" s="62" t="e">
        <f t="shared" ca="1" si="76"/>
        <v>#REF!</v>
      </c>
      <c r="DF75" s="62" t="e">
        <f t="shared" ca="1" si="77"/>
        <v>#REF!</v>
      </c>
      <c r="DG75" s="62" t="e">
        <f t="shared" ca="1" si="78"/>
        <v>#REF!</v>
      </c>
      <c r="DH75" s="62" t="e">
        <f t="shared" ca="1" si="79"/>
        <v>#REF!</v>
      </c>
      <c r="DI75" s="62" t="e">
        <f t="shared" ca="1" si="80"/>
        <v>#REF!</v>
      </c>
      <c r="DJ75" s="62" t="e">
        <f t="shared" ca="1" si="81"/>
        <v>#REF!</v>
      </c>
      <c r="DK75" s="62" t="e">
        <f t="shared" ca="1" si="82"/>
        <v>#REF!</v>
      </c>
      <c r="DL75" s="62" t="e">
        <f t="shared" ca="1" si="83"/>
        <v>#REF!</v>
      </c>
      <c r="DM75" s="62" t="e">
        <f t="shared" ca="1" si="84"/>
        <v>#REF!</v>
      </c>
      <c r="DN75" s="62" t="e">
        <f t="shared" ca="1" si="85"/>
        <v>#REF!</v>
      </c>
      <c r="DO75" s="62" t="e">
        <f t="shared" ca="1" si="86"/>
        <v>#REF!</v>
      </c>
      <c r="DP75" s="62" t="e">
        <f t="shared" ca="1" si="87"/>
        <v>#REF!</v>
      </c>
      <c r="DQ75" s="62" t="e">
        <f t="shared" ca="1" si="88"/>
        <v>#REF!</v>
      </c>
      <c r="DR75" s="62" t="e">
        <f t="shared" ca="1" si="89"/>
        <v>#REF!</v>
      </c>
      <c r="DS75" s="62" t="e">
        <f t="shared" ca="1" si="90"/>
        <v>#REF!</v>
      </c>
      <c r="DT75" s="62" t="e">
        <f t="shared" ca="1" si="91"/>
        <v>#REF!</v>
      </c>
      <c r="DU75" s="62" t="e">
        <f t="shared" ca="1" si="92"/>
        <v>#REF!</v>
      </c>
      <c r="DV75" s="62" t="e">
        <f t="shared" ca="1" si="93"/>
        <v>#REF!</v>
      </c>
      <c r="DW75" s="62" t="e">
        <f t="shared" ca="1" si="94"/>
        <v>#REF!</v>
      </c>
      <c r="DX75" s="62" t="e">
        <f t="shared" ca="1" si="95"/>
        <v>#REF!</v>
      </c>
      <c r="DY75" s="62" t="e">
        <f t="shared" ca="1" si="96"/>
        <v>#REF!</v>
      </c>
      <c r="DZ75" s="62" t="e">
        <f t="shared" ca="1" si="97"/>
        <v>#REF!</v>
      </c>
      <c r="EA75" s="63" t="e">
        <f t="shared" ca="1" si="98"/>
        <v>#REF!</v>
      </c>
      <c r="EB75" s="63" t="e">
        <f t="shared" ca="1" si="99"/>
        <v>#REF!</v>
      </c>
      <c r="EC75" s="63" t="e">
        <f t="shared" ca="1" si="100"/>
        <v>#REF!</v>
      </c>
      <c r="ED75" s="63" t="e">
        <f t="shared" ca="1" si="101"/>
        <v>#REF!</v>
      </c>
      <c r="EE75" s="63" t="e">
        <f t="shared" ca="1" si="102"/>
        <v>#REF!</v>
      </c>
      <c r="EF75" s="63" t="e">
        <f t="shared" ca="1" si="103"/>
        <v>#REF!</v>
      </c>
      <c r="EG75" s="63" t="e">
        <f t="shared" ca="1" si="104"/>
        <v>#REF!</v>
      </c>
      <c r="EH75" s="63" t="e">
        <f t="shared" ca="1" si="105"/>
        <v>#REF!</v>
      </c>
      <c r="EI75" s="63" t="e">
        <f t="shared" ca="1" si="106"/>
        <v>#REF!</v>
      </c>
      <c r="EJ75" s="63" t="e">
        <f t="shared" ca="1" si="107"/>
        <v>#REF!</v>
      </c>
      <c r="EK75" s="63" t="e">
        <f t="shared" ca="1" si="108"/>
        <v>#REF!</v>
      </c>
      <c r="EL75" s="63" t="e">
        <f t="shared" ca="1" si="109"/>
        <v>#REF!</v>
      </c>
      <c r="EM75" s="63" t="e">
        <f t="shared" ca="1" si="110"/>
        <v>#REF!</v>
      </c>
      <c r="EN75" s="63" t="e">
        <f t="shared" ca="1" si="111"/>
        <v>#REF!</v>
      </c>
      <c r="EO75" s="63" t="e">
        <f t="shared" ca="1" si="112"/>
        <v>#REF!</v>
      </c>
      <c r="EP75" s="63" t="e">
        <f t="shared" ca="1" si="113"/>
        <v>#REF!</v>
      </c>
    </row>
    <row r="76" spans="1:171">
      <c r="A76" s="64" t="str">
        <f t="shared" si="131"/>
        <v>4A.1</v>
      </c>
      <c r="B76" s="64" t="s">
        <v>57</v>
      </c>
      <c r="C76" s="30">
        <v>0</v>
      </c>
      <c r="D76" s="30">
        <v>1</v>
      </c>
      <c r="E76" s="65">
        <f ca="1">IF(AND($D26&lt;&gt;0,_xlfn.XLOOKUP($B26,'TH_MLG GRADE 10'!$B$7:$B$49,'TH_MLG GRADE 10'!C$7:C$49,"",0,1)="P",
   _xlfn.XLOOKUP($B26,'TH_MLG GRADE 10'!$B$7:$B$49,'TH_MLG GRADE 10'!$BK$7:$BK$49,"",0,1)&lt;=TODAY()-MOD(WEEKDAY(TODAY(),2)-5,7)),$D26,0)</f>
        <v>0</v>
      </c>
      <c r="F76" s="65">
        <f ca="1">IF(AND($D26&lt;&gt;0,_xlfn.XLOOKUP($B26,'TH_MLG GRADE 10'!$B$7:$B$49,'TH_MLG GRADE 10'!D$7:D$49,"",0,1)="P",
   _xlfn.XLOOKUP($B26,'TH_MLG GRADE 10'!$B$7:$B$49,'TH_MLG GRADE 10'!$BL$7:$BL$49,"",0,1)&lt;=TODAY()-MOD(WEEKDAY(TODAY(),2)-5,7)),$D26,0)</f>
        <v>0</v>
      </c>
      <c r="G76" s="65">
        <f ca="1">IF(AND($D26&lt;&gt;0,_xlfn.XLOOKUP($B26,'TH_MLG GRADE 10'!$B$7:$B$49,'TH_MLG GRADE 10'!E$7:E$49,"",0,1)="P",
   _xlfn.XLOOKUP($B26,'TH_MLG GRADE 10'!$B$7:$B$49,'TH_MLG GRADE 10'!$BM$7:$BM$49,"",0,1)&lt;=TODAY()-MOD(WEEKDAY(TODAY(),2)-5,7)),$D26,0)</f>
        <v>0</v>
      </c>
      <c r="H76" s="65">
        <f ca="1">IF(AND($D26&lt;&gt;0,_xlfn.XLOOKUP($B26,'TH_MLG GRADE 10'!$B$7:$B$49,'TH_MLG GRADE 10'!I$7:I$49,"",0,1)="P",
   _xlfn.XLOOKUP($B26,'TH_MLG GRADE 10'!$B$7:$B$49,'TH_MLG GRADE 10'!$BK$7:$BK$49,"",0,1)&lt;=TODAY()-MOD(WEEKDAY(TODAY(),2)-5,7)),$D26,0)</f>
        <v>0</v>
      </c>
      <c r="I76" s="65">
        <f ca="1">IF(AND($D26&lt;&gt;0,_xlfn.XLOOKUP($B26,'TH_MLG GRADE 10'!$B$7:$B$49,'TH_MLG GRADE 10'!J$7:J$49,"",0,1)="P",
   _xlfn.XLOOKUP($B26,'TH_MLG GRADE 10'!$B$7:$B$49,'TH_MLG GRADE 10'!$BL$7:$BL$49,"",0,1)&lt;=TODAY()-MOD(WEEKDAY(TODAY(),2)-5,7)),$D26,0)</f>
        <v>0</v>
      </c>
      <c r="J76" s="65">
        <f ca="1">IF(AND($D26&lt;&gt;0,_xlfn.XLOOKUP($B26,'TH_MLG GRADE 10'!$B$7:$B$49,'TH_MLG GRADE 10'!K$7:K$49,"",0,1)="P",
   _xlfn.XLOOKUP($B26,'TH_MLG GRADE 10'!$B$7:$B$49,'TH_MLG GRADE 10'!$BM$7:$BM$49,"",0,1)&lt;=TODAY()-MOD(WEEKDAY(TODAY(),2)-5,7)),$D26,0)</f>
        <v>0</v>
      </c>
      <c r="K76" s="65">
        <f ca="1">IF(AND($D26&lt;&gt;0,_xlfn.XLOOKUP($B26,'TH_MLG GRADE 10'!$B$7:$B$49,'TH_MLG GRADE 10'!O$7:O$49,"",0,1)="P",
   _xlfn.XLOOKUP($B26,'TH_MLG GRADE 10'!$B$7:$B$49,'TH_MLG GRADE 10'!$BK$7:$BK$49,"",0,1)&lt;=TODAY()-MOD(WEEKDAY(TODAY(),2)-5,7)),$D26,0)</f>
        <v>0</v>
      </c>
      <c r="L76" s="65">
        <f ca="1">IF(AND($D26&lt;&gt;0,_xlfn.XLOOKUP($B26,'TH_MLG GRADE 10'!$B$7:$B$49,'TH_MLG GRADE 10'!P$7:P$49,"",0,1)="P",
   _xlfn.XLOOKUP($B26,'TH_MLG GRADE 10'!$B$7:$B$49,'TH_MLG GRADE 10'!$BL$7:$BL$49,"",0,1)&lt;=TODAY()-MOD(WEEKDAY(TODAY(),2)-5,7)),$D26,0)</f>
        <v>0</v>
      </c>
      <c r="M76" s="65">
        <f ca="1">IF(AND($D26&lt;&gt;0,_xlfn.XLOOKUP($B26,'TH_MLG GRADE 10'!$B$7:$B$49,'TH_MLG GRADE 10'!Q$7:Q$49,"",0,1)="P",
   _xlfn.XLOOKUP($B26,'TH_MLG GRADE 10'!$B$7:$B$49,'TH_MLG GRADE 10'!$BM$7:$BM$49,"",0,1)&lt;=TODAY()-MOD(WEEKDAY(TODAY(),2)-5,7)),$D26,0)</f>
        <v>0</v>
      </c>
      <c r="N76" s="65">
        <f ca="1">IF(AND($D26&lt;&gt;0,_xlfn.XLOOKUP($B26,'TH_MLG GRADE 10'!$B$7:$B$49,'TH_MLG GRADE 10'!AA$7:AA$49,"",0,1)="P",
   _xlfn.XLOOKUP($B26,'TH_MLG GRADE 10'!$B$7:$B$49,'TH_MLG GRADE 10'!$BK$7:$BK$49,"",0,1)&lt;=TODAY()-MOD(WEEKDAY(TODAY(),2)-5,7)),$D26,0)</f>
        <v>1</v>
      </c>
      <c r="O76" s="65">
        <f ca="1">IF(AND($D26&lt;&gt;0,_xlfn.XLOOKUP($B26,'TH_MLG GRADE 10'!$B$7:$B$49,'TH_MLG GRADE 10'!AB$7:AB$49,"",0,1)="P",
   _xlfn.XLOOKUP($B26,'TH_MLG GRADE 10'!$B$7:$B$49,'TH_MLG GRADE 10'!$BL$7:$BL$49,"",0,1)&lt;=TODAY()-MOD(WEEKDAY(TODAY(),2)-5,7)),$D26,0)</f>
        <v>0</v>
      </c>
      <c r="P76" s="65">
        <f ca="1">IF(AND($D26&lt;&gt;0,_xlfn.XLOOKUP($B26,'TH_MLG GRADE 10'!$B$7:$B$49,'TH_MLG GRADE 10'!AC$7:AC$49,"",0,1)="P",
   _xlfn.XLOOKUP($B26,'TH_MLG GRADE 10'!$B$7:$B$49,'TH_MLG GRADE 10'!$BM$7:$BM$49,"",0,1)&lt;=TODAY()-MOD(WEEKDAY(TODAY(),2)-5,7)),$D26,0)</f>
        <v>1</v>
      </c>
      <c r="Q76" s="65">
        <f ca="1">IF(AND($D26&lt;&gt;0,_xlfn.XLOOKUP($B26,'TH_MLG GRADE 10'!$B$7:$B$49,'TH_MLG GRADE 10'!AG$7:AG$49,"",0,1)="P",
   _xlfn.XLOOKUP($B26,'TH_MLG GRADE 10'!$B$7:$B$49,'TH_MLG GRADE 10'!$BK$7:$BK$49,"",0,1)&lt;=TODAY()-MOD(WEEKDAY(TODAY(),2)-5,7)),$D26,0)</f>
        <v>1</v>
      </c>
      <c r="R76" s="65">
        <f ca="1">IF(AND($D26&lt;&gt;0,_xlfn.XLOOKUP($B26,'TH_MLG GRADE 10'!$B$7:$B$49,'TH_MLG GRADE 10'!AH$7:AH$49,"",0,1)="P",
   _xlfn.XLOOKUP($B26,'TH_MLG GRADE 10'!$B$7:$B$49,'TH_MLG GRADE 10'!$BL$7:$BL$49,"",0,1)&lt;=TODAY()-MOD(WEEKDAY(TODAY(),2)-5,7)),$D26,0)</f>
        <v>1</v>
      </c>
      <c r="S76" s="65">
        <f ca="1">IF(AND($D26&lt;&gt;0,_xlfn.XLOOKUP($B26,'TH_MLG GRADE 10'!$B$7:$B$49,'TH_MLG GRADE 10'!AI$7:AI$49,"",0,1)="P",
   _xlfn.XLOOKUP($B26,'TH_MLG GRADE 10'!$B$7:$B$49,'TH_MLG GRADE 10'!$BM$7:$BM$49,"",0,1)&lt;=TODAY()-MOD(WEEKDAY(TODAY(),2)-5,7)),$D26,0)</f>
        <v>1</v>
      </c>
      <c r="T76" s="65">
        <f ca="1">IF(AND($D26&lt;&gt;0,_xlfn.XLOOKUP($B26,'TH_MLG GRADE 10'!$B$7:$B$49,'TH_MLG GRADE 10'!AM$7:AM$49,"",0,1)="P",
   _xlfn.XLOOKUP($B26,'TH_MLG GRADE 10'!$B$7:$B$49,'TH_MLG GRADE 10'!$BK$7:$BK$49,"",0,1)&lt;=TODAY()-MOD(WEEKDAY(TODAY(),2)-5,7)),$D26,0)</f>
        <v>0</v>
      </c>
      <c r="U76" s="65">
        <f ca="1">IF(AND($D26&lt;&gt;0,_xlfn.XLOOKUP($B26,'TH_MLG GRADE 10'!$B$7:$B$49,'TH_MLG GRADE 10'!AN$7:AN$49,"",0,1)="P",
   _xlfn.XLOOKUP($B26,'TH_MLG GRADE 10'!$B$7:$B$49,'TH_MLG GRADE 10'!$BL$7:$BL$49,"",0,1)&lt;=TODAY()-MOD(WEEKDAY(TODAY(),2)-5,7)),$D26,0)</f>
        <v>0</v>
      </c>
      <c r="V76" s="65">
        <f ca="1">IF(AND($D26&lt;&gt;0,_xlfn.XLOOKUP($B26,'TH_MLG GRADE 10'!$B$7:$B$49,'TH_MLG GRADE 10'!AO$7:AO$49,"",0,1)="P",
   _xlfn.XLOOKUP($B26,'TH_MLG GRADE 10'!$B$7:$B$49,'TH_MLG GRADE 10'!$BM$7:$BM$49,"",0,1)&lt;=TODAY()-MOD(WEEKDAY(TODAY(),2)-5,7)),$D26,0)</f>
        <v>0</v>
      </c>
      <c r="W76" s="65">
        <f ca="1">IF(AND($D26&lt;&gt;0,_xlfn.XLOOKUP($B26,'TH_MLG GRADE 10'!$B$7:$B$49,'TH_MLG GRADE 10'!AY$7:AY$49,"",0,1)="P",
   _xlfn.XLOOKUP($B26,'TH_MLG GRADE 10'!$B$7:$B$49,'TH_MLG GRADE 10'!$BK$7:$BK$49,"",0,1)&lt;=TODAY()-MOD(WEEKDAY(TODAY(),2)-5,7)),$D26,0)</f>
        <v>0</v>
      </c>
      <c r="X76" s="65">
        <f ca="1">IF(AND($D26&lt;&gt;0,_xlfn.XLOOKUP($B26,'TH_MLG GRADE 10'!$B$7:$B$49,'TH_MLG GRADE 10'!AZ$7:AZ$49,"",0,1)="P",
   _xlfn.XLOOKUP($B26,'TH_MLG GRADE 10'!$B$7:$B$49,'TH_MLG GRADE 10'!$BL$7:$BL$49,"",0,1)&lt;=TODAY()-MOD(WEEKDAY(TODAY(),2)-5,7)),$D26,0)</f>
        <v>0</v>
      </c>
      <c r="Y76" s="65">
        <f ca="1">IF(AND($D26&lt;&gt;0,_xlfn.XLOOKUP($B26,'TH_MLG GRADE 10'!$B$7:$B$49,'TH_MLG GRADE 10'!BA$7:BA$49,"",0,1)="P",
   _xlfn.XLOOKUP($B26,'TH_MLG GRADE 10'!$B$7:$B$49,'TH_MLG GRADE 10'!$BM$7:$BM$49,"",0,1)&lt;=TODAY()-MOD(WEEKDAY(TODAY(),2)-5,7)),$D26,0)</f>
        <v>0</v>
      </c>
      <c r="Z76" s="65">
        <f ca="1">IF(AND($D26&lt;&gt;0,_xlfn.XLOOKUP($B26,'TH_MLG GRADE 10'!$B$7:$B$49,'TH_MLG GRADE 10'!BE$7:BE$49,"",0,1)="P",
   _xlfn.XLOOKUP($B26,'TH_MLG GRADE 10'!$B$7:$B$49,'TH_MLG GRADE 10'!$BK$7:$BK$49,"",0,1)&lt;=TODAY()-MOD(WEEKDAY(TODAY(),2)-5,7)),$D26,0)</f>
        <v>0</v>
      </c>
      <c r="AA76" s="65">
        <f ca="1">IF(AND($D26&lt;&gt;0,_xlfn.XLOOKUP($B26,'TH_MLG GRADE 10'!$B$7:$B$49,'TH_MLG GRADE 10'!BF$7:BF$49,"",0,1)="P",
   _xlfn.XLOOKUP($B26,'TH_MLG GRADE 10'!$B$7:$B$49,'TH_MLG GRADE 10'!$BL$7:$BL$49,"",0,1)&lt;=TODAY()-MOD(WEEKDAY(TODAY(),2)-5,7)),$D26,0)</f>
        <v>0</v>
      </c>
      <c r="AB76" s="65">
        <f ca="1">IF(AND($D26&lt;&gt;0,_xlfn.XLOOKUP($B26,'TH_MLG GRADE 10'!$B$7:$B$49,'TH_MLG GRADE 10'!BG$7:BG$49,"",0,1)="P",
   _xlfn.XLOOKUP($B26,'TH_MLG GRADE 10'!$B$7:$B$49,'TH_MLG GRADE 10'!$BM$7:$BM$49,"",0,1)&lt;=TODAY()-MOD(WEEKDAY(TODAY(),2)-5,7)),$D26,0)</f>
        <v>0</v>
      </c>
      <c r="AC76" s="65" t="e">
        <f ca="1">IF(AND($D26&lt;&gt;0,_xlfn.XLOOKUP($B26,'TH_MLG GRADE 10'!$B$7:$B$49,'TH_MLG GRADE 10'!#REF!,"",0,1)="P",
   _xlfn.XLOOKUP($B26,'TH_MLG GRADE 10'!$B$7:$B$49,'TH_MLG GRADE 10'!$BK$7:$BK$49,"",0,1)&lt;=TODAY()-MOD(WEEKDAY(TODAY(),2)-5,7)),$D26,0)</f>
        <v>#REF!</v>
      </c>
      <c r="AD76" s="65" t="e">
        <f ca="1">IF(AND($D26&lt;&gt;0,_xlfn.XLOOKUP($B26,'TH_MLG GRADE 10'!$B$7:$B$49,'TH_MLG GRADE 10'!#REF!,"",0,1)="P",
   _xlfn.XLOOKUP($B26,'TH_MLG GRADE 10'!$B$7:$B$49,'TH_MLG GRADE 10'!$BL$7:$BL$49,"",0,1)&lt;=TODAY()-MOD(WEEKDAY(TODAY(),2)-5,7)),$D26,0)</f>
        <v>#REF!</v>
      </c>
      <c r="AE76" s="65" t="e">
        <f ca="1">IF(AND($D26&lt;&gt;0,_xlfn.XLOOKUP($B26,'TH_MLG GRADE 10'!$B$7:$B$49,'TH_MLG GRADE 10'!#REF!,"",0,1)="P",
   _xlfn.XLOOKUP($B26,'TH_MLG GRADE 10'!$B$7:$B$49,'TH_MLG GRADE 10'!$BM$7:$BM$49,"",0,1)&lt;=TODAY()-MOD(WEEKDAY(TODAY(),2)-5,7)),$D26,0)</f>
        <v>#REF!</v>
      </c>
      <c r="AF76" s="65" t="e">
        <f ca="1">IF(AND($D26&lt;&gt;0,_xlfn.XLOOKUP($B26,'TH_MLG GRADE 10'!$B$7:$B$49,'TH_MLG GRADE 10'!#REF!,"",0,1)="P",
   _xlfn.XLOOKUP($B26,'TH_MLG GRADE 10'!$B$7:$B$49,'TH_MLG GRADE 10'!$BK$7:$BK$49,"",0,1)&lt;=TODAY()-MOD(WEEKDAY(TODAY(),2)-5,7)),$D26,0)</f>
        <v>#REF!</v>
      </c>
      <c r="AG76" s="65" t="e">
        <f ca="1">IF(AND($D26&lt;&gt;0,_xlfn.XLOOKUP($B26,'TH_MLG GRADE 10'!$B$7:$B$49,'TH_MLG GRADE 10'!#REF!,"",0,1)="P",
   _xlfn.XLOOKUP($B26,'TH_MLG GRADE 10'!$B$7:$B$49,'TH_MLG GRADE 10'!$BL$7:$BL$49,"",0,1)&lt;=TODAY()-MOD(WEEKDAY(TODAY(),2)-5,7)),$D26,0)</f>
        <v>#REF!</v>
      </c>
      <c r="AH76" s="65" t="e">
        <f ca="1">IF(AND($D26&lt;&gt;0,_xlfn.XLOOKUP($B26,'TH_MLG GRADE 10'!$B$7:$B$49,'TH_MLG GRADE 10'!#REF!,"",0,1)="P",
   _xlfn.XLOOKUP($B26,'TH_MLG GRADE 10'!$B$7:$B$49,'TH_MLG GRADE 10'!$BM$7:$BM$49,"",0,1)&lt;=TODAY()-MOD(WEEKDAY(TODAY(),2)-5,7)),$D26,0)</f>
        <v>#REF!</v>
      </c>
      <c r="AI76" s="67">
        <f ca="1">IF(AND($D26&lt;&gt;0,_xlfn.XLOOKUP($B26,'TH_CMI GRADE 10'!$B$7:$B$49,'TH_CMI GRADE 10'!C$7:C$49,"",0,1)="P",
   _xlfn.XLOOKUP($B26,'TH_CMI GRADE 10'!$B$7:$B$49,'TH_CMI GRADE 10'!$AS$7:$AS$49,"",0,1)&lt;=TODAY()-MOD(WEEKDAY(TODAY(),2)-5,7)),$D26,0)</f>
        <v>0</v>
      </c>
      <c r="AJ76" s="67">
        <f ca="1">IF(AND($D26&lt;&gt;0,_xlfn.XLOOKUP($B26,'TH_CMI GRADE 10'!$B$7:$B$49,'TH_CMI GRADE 10'!D$7:D$49,"",0,1)="P",
   _xlfn.XLOOKUP($B26,'TH_CMI GRADE 10'!$B$7:$B$49,'TH_CMI GRADE 10'!$AT$7:$AT$49,"",0,1)&lt;=TODAY()-MOD(WEEKDAY(TODAY(),2)-5,7)),$D26,0)</f>
        <v>0</v>
      </c>
      <c r="AK76" s="67" t="e">
        <f ca="1">IF(AND($D26&lt;&gt;0,_xlfn.XLOOKUP($B26,'TH_CMI GRADE 10'!$B$7:$B$49,'TH_CMI GRADE 10'!H$7:H$49,"",0,1)="P",
   _xlfn.XLOOKUP($B26,'TH_CMI GRADE 10'!$B$7:$B$49,'TH_CMI GRADE 10'!#REF!,"",0,1)&lt;=TODAY()-MOD(WEEKDAY(TODAY(),2)-5,7)),$D26,0)</f>
        <v>#REF!</v>
      </c>
      <c r="AL76" s="67">
        <f ca="1">IF(AND($D26&lt;&gt;0,_xlfn.XLOOKUP($B26,'TH_CMI GRADE 10'!$B$7:$B$49,'TH_CMI GRADE 10'!I$7:I$49,"",0,1)="P",
   _xlfn.XLOOKUP($B26,'TH_CMI GRADE 10'!$B$7:$B$49,'TH_CMI GRADE 10'!$AS$7:$AS$49,"",0,1)&lt;=TODAY()-MOD(WEEKDAY(TODAY(),2)-5,7)),$D26,0)</f>
        <v>0</v>
      </c>
      <c r="AM76" s="67">
        <f ca="1">IF(AND($D26&lt;&gt;0,_xlfn.XLOOKUP($B26,'TH_CMI GRADE 10'!$B$7:$B$49,'TH_CMI GRADE 10'!J$7:J$49,"",0,1)="P",
   _xlfn.XLOOKUP($B26,'TH_CMI GRADE 10'!$B$7:$B$49,'TH_CMI GRADE 10'!$AT$7:$AT$49,"",0,1)&lt;=TODAY()-MOD(WEEKDAY(TODAY(),2)-5,7)),$D26,0)</f>
        <v>0</v>
      </c>
      <c r="AN76" s="67" t="e">
        <f ca="1">IF(AND($D26&lt;&gt;0,_xlfn.XLOOKUP($B26,'TH_CMI GRADE 10'!$B$7:$B$49,'TH_CMI GRADE 10'!K$7:K$49,"",0,1)="P",
   _xlfn.XLOOKUP($B26,'TH_CMI GRADE 10'!$B$7:$B$49,'TH_CMI GRADE 10'!#REF!,"",0,1)&lt;=TODAY()-MOD(WEEKDAY(TODAY(),2)-5,7)),$D26,0)</f>
        <v>#REF!</v>
      </c>
      <c r="AO76" s="67">
        <f ca="1">IF(AND($D26&lt;&gt;0,_xlfn.XLOOKUP($B26,'TH_CMI GRADE 10'!$B$7:$B$49,'TH_CMI GRADE 10'!O$7:O$49,"",0,1)="P",
   _xlfn.XLOOKUP($B26,'TH_CMI GRADE 10'!$B$7:$B$49,'TH_CMI GRADE 10'!$AS$7:$AS$49,"",0,1)&lt;=TODAY()-MOD(WEEKDAY(TODAY(),2)-5,7)),$D26,0)</f>
        <v>0</v>
      </c>
      <c r="AP76" s="67">
        <f ca="1">IF(AND($D26&lt;&gt;0,_xlfn.XLOOKUP($B26,'TH_CMI GRADE 10'!$B$7:$B$49,'TH_CMI GRADE 10'!P$7:P$49,"",0,1)="P",
   _xlfn.XLOOKUP($B26,'TH_CMI GRADE 10'!$B$7:$B$49,'TH_CMI GRADE 10'!$AT$7:$AT$49,"",0,1)&lt;=TODAY()-MOD(WEEKDAY(TODAY(),2)-5,7)),$D26,0)</f>
        <v>0</v>
      </c>
      <c r="AQ76" s="67" t="e">
        <f ca="1">IF(AND($D26&lt;&gt;0,_xlfn.XLOOKUP($B26,'TH_CMI GRADE 10'!$B$7:$B$49,'TH_CMI GRADE 10'!Q$7:Q$49,"",0,1)="P",
   _xlfn.XLOOKUP($B26,'TH_CMI GRADE 10'!$B$7:$B$49,'TH_CMI GRADE 10'!#REF!,"",0,1)&lt;=TODAY()-MOD(WEEKDAY(TODAY(),2)-5,7)),$D26,0)</f>
        <v>#REF!</v>
      </c>
      <c r="AR76" s="67">
        <f ca="1">IF(AND($D26&lt;&gt;0,_xlfn.XLOOKUP($B26,'TH_CMI GRADE 10'!$B$7:$B$49,'TH_CMI GRADE 10'!U$7:U$49,"",0,1)="P",
   _xlfn.XLOOKUP($B26,'TH_CMI GRADE 10'!$B$7:$B$49,'TH_CMI GRADE 10'!$AS$7:$AS$49,"",0,1)&lt;=TODAY()-MOD(WEEKDAY(TODAY(),2)-5,7)),$D26,0)</f>
        <v>0</v>
      </c>
      <c r="AS76" s="67">
        <f ca="1">IF(AND($D26&lt;&gt;0,_xlfn.XLOOKUP($B26,'TH_CMI GRADE 10'!$B$7:$B$49,'TH_CMI GRADE 10'!V$7:V$49,"",0,1)="P",
   _xlfn.XLOOKUP($B26,'TH_CMI GRADE 10'!$B$7:$B$49,'TH_CMI GRADE 10'!$AT$7:$AT$49,"",0,1)&lt;=TODAY()-MOD(WEEKDAY(TODAY(),2)-5,7)),$D26,0)</f>
        <v>0</v>
      </c>
      <c r="AT76" s="67" t="e">
        <f ca="1">IF(AND($D26&lt;&gt;0,_xlfn.XLOOKUP($B26,'TH_CMI GRADE 10'!$B$7:$B$49,'TH_CMI GRADE 10'!W$7:W$49,"",0,1)="P",
   _xlfn.XLOOKUP($B26,'TH_CMI GRADE 10'!$B$7:$B$49,'TH_CMI GRADE 10'!#REF!,"",0,1)&lt;=TODAY()-MOD(WEEKDAY(TODAY(),2)-5,7)),$D26,0)</f>
        <v>#REF!</v>
      </c>
      <c r="AU76" s="67">
        <f ca="1">IF(AND($D26&lt;&gt;0,_xlfn.XLOOKUP($B26,'TH_CMI GRADE 10'!$B$7:$B$49,'TH_CMI GRADE 10'!AA$7:AA$49,"",0,1)="P",
   _xlfn.XLOOKUP($B26,'TH_CMI GRADE 10'!$B$7:$B$49,'TH_CMI GRADE 10'!$AS$7:$AS$49,"",0,1)&lt;=TODAY()-MOD(WEEKDAY(TODAY(),2)-5,7)),$D26,0)</f>
        <v>1</v>
      </c>
      <c r="AV76" s="67">
        <f ca="1">IF(AND($D26&lt;&gt;0,_xlfn.XLOOKUP($B26,'TH_CMI GRADE 10'!$B$7:$B$49,'TH_CMI GRADE 10'!AB$7:AB$49,"",0,1)="P",
   _xlfn.XLOOKUP($B26,'TH_CMI GRADE 10'!$B$7:$B$49,'TH_CMI GRADE 10'!$AT$7:$AT$49,"",0,1)&lt;=TODAY()-MOD(WEEKDAY(TODAY(),2)-5,7)),$D26,0)</f>
        <v>1</v>
      </c>
      <c r="AW76" s="67" t="e">
        <f ca="1">IF(AND($D26&lt;&gt;0,_xlfn.XLOOKUP($B26,'TH_CMI GRADE 10'!$B$7:$B$49,'TH_CMI GRADE 10'!AC$7:AC$49,"",0,1)="P",
   _xlfn.XLOOKUP($B26,'TH_CMI GRADE 10'!$B$7:$B$49,'TH_CMI GRADE 10'!#REF!,"",0,1)&lt;=TODAY()-MOD(WEEKDAY(TODAY(),2)-5,7)),$D26,0)</f>
        <v>#REF!</v>
      </c>
      <c r="AX76" s="67">
        <f ca="1">IF(AND($D26&lt;&gt;0,_xlfn.XLOOKUP($B26,'TH_CMI GRADE 10'!$B$7:$B$49,'TH_CMI GRADE 10'!AG$7:AG$49,"",0,1)="P",
   _xlfn.XLOOKUP($B26,'TH_CMI GRADE 10'!$B$7:$B$49,'TH_CMI GRADE 10'!$AS$7:$AS$49,"",0,1)&lt;=TODAY()-MOD(WEEKDAY(TODAY(),2)-5,7)),$D26,0)</f>
        <v>1</v>
      </c>
      <c r="AY76" s="67">
        <f ca="1">IF(AND($D26&lt;&gt;0,_xlfn.XLOOKUP($B26,'TH_CMI GRADE 10'!$B$7:$B$49,'TH_CMI GRADE 10'!AH$7:AH$49,"",0,1)="P",
   _xlfn.XLOOKUP($B26,'TH_CMI GRADE 10'!$B$7:$B$49,'TH_CMI GRADE 10'!$AT$7:$AT$49,"",0,1)&lt;=TODAY()-MOD(WEEKDAY(TODAY(),2)-5,7)),$D26,0)</f>
        <v>1</v>
      </c>
      <c r="AZ76" s="67" t="e">
        <f ca="1">IF(AND($D26&lt;&gt;0,_xlfn.XLOOKUP($B26,'TH_CMI GRADE 10'!$B$7:$B$49,'TH_CMI GRADE 10'!AI$7:AI$49,"",0,1)="P",
   _xlfn.XLOOKUP($B26,'TH_CMI GRADE 10'!$B$7:$B$49,'TH_CMI GRADE 10'!#REF!,"",0,1)&lt;=TODAY()-MOD(WEEKDAY(TODAY(),2)-5,7)),$D26,0)</f>
        <v>#REF!</v>
      </c>
      <c r="BA76" s="65" t="e">
        <f ca="1">IF(AND($D26&lt;&gt;0,_xlfn.XLOOKUP($B26,'PW_MLG GRADE 10'!$B$7:$B$31,'PW_MLG GRADE 10'!R$7:R$31,"",0,1)="P",
   _xlfn.XLOOKUP($B26,'PW_MLG GRADE 10'!$B$7:$B$31,'PW_MLG GRADE 10'!#REF!,"",0,1)&lt;=TODAY()-MOD(WEEKDAY(TODAY(),2)-5,7)),$D26,0)</f>
        <v>#REF!</v>
      </c>
      <c r="BB76" s="65" t="e">
        <f ca="1">IF(AND($D26&lt;&gt;0,_xlfn.XLOOKUP($B26,'PW_MLG GRADE 10'!$B$7:$B$31,'PW_MLG GRADE 10'!S$7:S$31,"",0,1)="P",
   _xlfn.XLOOKUP($B26,'PW_MLG GRADE 10'!$B$7:$B$31,'PW_MLG GRADE 10'!#REF!,"",0,1)&lt;=TODAY()-MOD(WEEKDAY(TODAY(),2)-5,7)),$D26,0)</f>
        <v>#REF!</v>
      </c>
      <c r="BC76" s="65" t="e">
        <f ca="1">IF(AND($D26&lt;&gt;0,_xlfn.XLOOKUP($B26,'PW_MLG GRADE 10'!$B$7:$B$31,'PW_MLG GRADE 10'!T$7:T$31,"",0,1)="P",
   _xlfn.XLOOKUP($B26,'PW_MLG GRADE 10'!$B$7:$B$31,'PW_MLG GRADE 10'!#REF!,"",0,1)&lt;=TODAY()-MOD(WEEKDAY(TODAY(),2)-5,7)),$D26,0)</f>
        <v>#REF!</v>
      </c>
      <c r="BD76" s="65" t="e">
        <f ca="1">IF(AND($D26&lt;&gt;0,_xlfn.XLOOKUP($B26,'PW_MLG GRADE 10'!$B$7:$B$31,'PW_MLG GRADE 10'!AA$7:AA$31,"",0,1)="P",
   _xlfn.XLOOKUP($B26,'PW_MLG GRADE 10'!$B$7:$B$31,'PW_MLG GRADE 10'!#REF!,"",0,1)&lt;=TODAY()-MOD(WEEKDAY(TODAY(),2)-5,7)),$D26,0)</f>
        <v>#REF!</v>
      </c>
      <c r="BE76" s="65" t="e">
        <f ca="1">IF(AND($D26&lt;&gt;0,_xlfn.XLOOKUP($B26,'PW_MLG GRADE 10'!$B$7:$B$31,'PW_MLG GRADE 10'!AB$7:AB$31,"",0,1)="P",
   _xlfn.XLOOKUP($B26,'PW_MLG GRADE 10'!$B$7:$B$31,'PW_MLG GRADE 10'!#REF!,"",0,1)&lt;=TODAY()-MOD(WEEKDAY(TODAY(),2)-5,7)),$D26,0)</f>
        <v>#REF!</v>
      </c>
      <c r="BF76" s="65" t="e">
        <f ca="1">IF(AND($D26&lt;&gt;0,_xlfn.XLOOKUP($B26,'PW_MLG GRADE 10'!$B$7:$B$31,'PW_MLG GRADE 10'!AC$7:AC$31,"",0,1)="P",
   _xlfn.XLOOKUP($B26,'PW_MLG GRADE 10'!$B$7:$B$31,'PW_MLG GRADE 10'!#REF!,"",0,1)&lt;=TODAY()-MOD(WEEKDAY(TODAY(),2)-5,7)),$D26,0)</f>
        <v>#REF!</v>
      </c>
      <c r="BG76" s="65" t="e">
        <f ca="1">IF(AND($D26&lt;&gt;0,_xlfn.XLOOKUP($B26,'PW_MLG GRADE 10'!$B$7:$B$31,'PW_MLG GRADE 10'!AD$7:AD$31,"",0,1)="P",
   _xlfn.XLOOKUP($B26,'PW_MLG GRADE 10'!$B$7:$B$31,'PW_MLG GRADE 10'!#REF!,"",0,1)&lt;=TODAY()-MOD(WEEKDAY(TODAY(),2)-5,7)),$D26,0)</f>
        <v>#REF!</v>
      </c>
      <c r="BH76" s="65" t="e">
        <f ca="1">IF(AND($D26&lt;&gt;0,_xlfn.XLOOKUP($B26,'PW_MLG GRADE 10'!$B$7:$B$31,'PW_MLG GRADE 10'!AE$7:AE$31,"",0,1)="P",
   _xlfn.XLOOKUP($B26,'PW_MLG GRADE 10'!$B$7:$B$31,'PW_MLG GRADE 10'!#REF!,"",0,1)&lt;=TODAY()-MOD(WEEKDAY(TODAY(),2)-5,7)),$D26,0)</f>
        <v>#REF!</v>
      </c>
      <c r="BI76" s="65" t="e">
        <f ca="1">IF(AND($D26&lt;&gt;0,_xlfn.XLOOKUP($B26,'PW_MLG GRADE 10'!$B$7:$B$31,'PW_MLG GRADE 10'!AF$7:AF$31,"",0,1)="P",
   _xlfn.XLOOKUP($B26,'PW_MLG GRADE 10'!$B$7:$B$31,'PW_MLG GRADE 10'!#REF!,"",0,1)&lt;=TODAY()-MOD(WEEKDAY(TODAY(),2)-5,7)),$D26,0)</f>
        <v>#REF!</v>
      </c>
      <c r="BJ76" s="65" t="e">
        <f ca="1">IF(AND($D26&lt;&gt;0,_xlfn.XLOOKUP($B26,'PW_MLG GRADE 10'!$B$7:$B$31,'PW_MLG GRADE 10'!AG$7:AG$31,"",0,1)="P",
   _xlfn.XLOOKUP($B26,'PW_MLG GRADE 10'!$B$7:$B$31,'PW_MLG GRADE 10'!#REF!,"",0,1)&lt;=TODAY()-MOD(WEEKDAY(TODAY(),2)-5,7)),$D26,0)</f>
        <v>#REF!</v>
      </c>
      <c r="BK76" s="65" t="e">
        <f ca="1">IF(AND($D26&lt;&gt;0,_xlfn.XLOOKUP($B26,'PW_MLG GRADE 10'!$B$7:$B$31,'PW_MLG GRADE 10'!AH$7:AH$31,"",0,1)="P",
   _xlfn.XLOOKUP($B26,'PW_MLG GRADE 10'!$B$7:$B$31,'PW_MLG GRADE 10'!#REF!,"",0,1)&lt;=TODAY()-MOD(WEEKDAY(TODAY(),2)-5,7)),$D26,0)</f>
        <v>#REF!</v>
      </c>
      <c r="BL76" s="65" t="e">
        <f ca="1">IF(AND($D26&lt;&gt;0,_xlfn.XLOOKUP($B26,'PW_MLG GRADE 10'!$B$7:$B$31,'PW_MLG GRADE 10'!AI$7:AI$31,"",0,1)="P",
   _xlfn.XLOOKUP($B26,'PW_MLG GRADE 10'!$B$7:$B$31,'PW_MLG GRADE 10'!#REF!,"",0,1)&lt;=TODAY()-MOD(WEEKDAY(TODAY(),2)-5,7)),$D26,0)</f>
        <v>#REF!</v>
      </c>
      <c r="BM76" s="65" t="e">
        <f ca="1">IF(AND($D26&lt;&gt;0,_xlfn.XLOOKUP($B26,'PW_MLG GRADE 10'!$B$7:$B$31,'PW_MLG GRADE 10'!AJ$7:AJ$31,"",0,1)="P",
   _xlfn.XLOOKUP($B26,'PW_MLG GRADE 10'!$B$7:$B$31,'PW_MLG GRADE 10'!#REF!,"",0,1)&lt;=TODAY()-MOD(WEEKDAY(TODAY(),2)-5,7)),$D26,0)</f>
        <v>#REF!</v>
      </c>
      <c r="BN76" s="65" t="e">
        <f ca="1">IF(AND($D26&lt;&gt;0,_xlfn.XLOOKUP($B26,'PW_MLG GRADE 10'!$B$7:$B$31,'PW_MLG GRADE 10'!AK$7:AK$31,"",0,1)="P",
   _xlfn.XLOOKUP($B26,'PW_MLG GRADE 10'!$B$7:$B$31,'PW_MLG GRADE 10'!#REF!,"",0,1)&lt;=TODAY()-MOD(WEEKDAY(TODAY(),2)-5,7)),$D26,0)</f>
        <v>#REF!</v>
      </c>
      <c r="BO76" s="65" t="e">
        <f ca="1">IF(AND($D26&lt;&gt;0,_xlfn.XLOOKUP($B26,'PW_MLG GRADE 10'!$B$7:$B$31,'PW_MLG GRADE 10'!AL$7:AL$31,"",0,1)="P",
   _xlfn.XLOOKUP($B26,'PW_MLG GRADE 10'!$B$7:$B$31,'PW_MLG GRADE 10'!#REF!,"",0,1)&lt;=TODAY()-MOD(WEEKDAY(TODAY(),2)-5,7)),$D26,0)</f>
        <v>#REF!</v>
      </c>
      <c r="BP76" s="65" t="e">
        <f ca="1">IF(AND($D26&lt;&gt;0,_xlfn.XLOOKUP($B26,'PW_MLG GRADE 10'!$B$7:$B$31,'PW_MLG GRADE 10'!AM$7:AM$31,"",0,1)="P",
   _xlfn.XLOOKUP($B26,'PW_MLG GRADE 10'!$B$7:$B$31,'PW_MLG GRADE 10'!#REF!,"",0,1)&lt;=TODAY()-MOD(WEEKDAY(TODAY(),2)-5,7)),$D26,0)</f>
        <v>#REF!</v>
      </c>
      <c r="BQ76" s="65" t="e">
        <f ca="1">IF(AND($D26&lt;&gt;0,_xlfn.XLOOKUP($B26,'PW_MLG GRADE 10'!$B$7:$B$31,'PW_MLG GRADE 10'!AN$7:AN$31,"",0,1)="P",
   _xlfn.XLOOKUP($B26,'PW_MLG GRADE 10'!$B$7:$B$31,'PW_MLG GRADE 10'!#REF!,"",0,1)&lt;=TODAY()-MOD(WEEKDAY(TODAY(),2)-5,7)),$D26,0)</f>
        <v>#REF!</v>
      </c>
      <c r="BR76" s="65" t="e">
        <f ca="1">IF(AND($D26&lt;&gt;0,_xlfn.XLOOKUP($B26,'PW_MLG GRADE 10'!$B$7:$B$31,'PW_MLG GRADE 10'!AO$7:AO$31,"",0,1)="P",
   _xlfn.XLOOKUP($B26,'PW_MLG GRADE 10'!$B$7:$B$31,'PW_MLG GRADE 10'!#REF!,"",0,1)&lt;=TODAY()-MOD(WEEKDAY(TODAY(),2)-5,7)),$D26,0)</f>
        <v>#REF!</v>
      </c>
      <c r="BS76" s="65" t="e">
        <f ca="1">IF(AND($D26&lt;&gt;0,_xlfn.XLOOKUP($B26,'PW_MLG GRADE 10'!$B$7:$B$31,'PW_MLG GRADE 10'!AP$7:AP$31,"",0,1)="P",
   _xlfn.XLOOKUP($B26,'PW_MLG GRADE 10'!$B$7:$B$31,'PW_MLG GRADE 10'!#REF!,"",0,1)&lt;=TODAY()-MOD(WEEKDAY(TODAY(),2)-5,7)),$D26,0)</f>
        <v>#REF!</v>
      </c>
      <c r="BT76" s="65" t="e">
        <f ca="1">IF(AND($D26&lt;&gt;0,_xlfn.XLOOKUP($B26,'PW_MLG GRADE 10'!$B$7:$B$31,'PW_MLG GRADE 10'!AQ$7:AQ$31,"",0,1)="P",
   _xlfn.XLOOKUP($B26,'PW_MLG GRADE 10'!$B$7:$B$31,'PW_MLG GRADE 10'!#REF!,"",0,1)&lt;=TODAY()-MOD(WEEKDAY(TODAY(),2)-5,7)),$D26,0)</f>
        <v>#REF!</v>
      </c>
      <c r="BU76" s="65" t="e">
        <f ca="1">IF(AND($D26&lt;&gt;0,_xlfn.XLOOKUP($B26,'PW_MLG GRADE 10'!$B$7:$B$31,'PW_MLG GRADE 10'!AR$7:AR$31,"",0,1)="P",
   _xlfn.XLOOKUP($B26,'PW_MLG GRADE 10'!$B$7:$B$31,'PW_MLG GRADE 10'!#REF!,"",0,1)&lt;=TODAY()-MOD(WEEKDAY(TODAY(),2)-5,7)),$D26,0)</f>
        <v>#REF!</v>
      </c>
      <c r="BV76" s="65" t="e">
        <f ca="1">IF(AND($D26&lt;&gt;0,_xlfn.XLOOKUP($B26,'PW_MLG GRADE 10'!$B$7:$B$31,'PW_MLG GRADE 10'!AY$7:AY$31,"",0,1)="P",
   _xlfn.XLOOKUP($B26,'PW_MLG GRADE 10'!$B$7:$B$31,'PW_MLG GRADE 10'!#REF!,"",0,1)&lt;=TODAY()-MOD(WEEKDAY(TODAY(),2)-5,7)),$D26,0)</f>
        <v>#REF!</v>
      </c>
      <c r="BW76" s="65" t="e">
        <f ca="1">IF(AND($D26&lt;&gt;0,_xlfn.XLOOKUP($B26,'PW_MLG GRADE 10'!$B$7:$B$31,'PW_MLG GRADE 10'!AZ$7:AZ$31,"",0,1)="P",
   _xlfn.XLOOKUP($B26,'PW_MLG GRADE 10'!$B$7:$B$31,'PW_MLG GRADE 10'!#REF!,"",0,1)&lt;=TODAY()-MOD(WEEKDAY(TODAY(),2)-5,7)),$D26,0)</f>
        <v>#REF!</v>
      </c>
      <c r="BX76" s="65" t="e">
        <f ca="1">IF(AND($D26&lt;&gt;0,_xlfn.XLOOKUP($B26,'PW_MLG GRADE 10'!$B$7:$B$31,'PW_MLG GRADE 10'!BA$7:BA$31,"",0,1)="P",
   _xlfn.XLOOKUP($B26,'PW_MLG GRADE 10'!$B$7:$B$31,'PW_MLG GRADE 10'!#REF!,"",0,1)&lt;=TODAY()-MOD(WEEKDAY(TODAY(),2)-5,7)),$D26,0)</f>
        <v>#REF!</v>
      </c>
      <c r="BY76" s="65" t="e">
        <f ca="1">IF(AND($D26&lt;&gt;0,_xlfn.XLOOKUP($B26,'PW_MLG GRADE 10'!$B$7:$B$31,'PW_MLG GRADE 10'!BB$7:BB$31,"",0,1)="P",
   _xlfn.XLOOKUP($B26,'PW_MLG GRADE 10'!$B$7:$B$31,'PW_MLG GRADE 10'!#REF!,"",0,1)&lt;=TODAY()-MOD(WEEKDAY(TODAY(),2)-5,7)),$D26,0)</f>
        <v>#REF!</v>
      </c>
      <c r="BZ76" s="65" t="e">
        <f ca="1">IF(AND($D26&lt;&gt;0,_xlfn.XLOOKUP($B26,'PW_MLG GRADE 10'!$B$7:$B$31,'PW_MLG GRADE 10'!BC$7:BC$31,"",0,1)="P",
   _xlfn.XLOOKUP($B26,'PW_MLG GRADE 10'!$B$7:$B$31,'PW_MLG GRADE 10'!#REF!,"",0,1)&lt;=TODAY()-MOD(WEEKDAY(TODAY(),2)-5,7)),$D26,0)</f>
        <v>#REF!</v>
      </c>
      <c r="CA76" s="65" t="e">
        <f ca="1">IF(AND($D26&lt;&gt;0,_xlfn.XLOOKUP($B26,'PW_MLG GRADE 10'!$B$7:$B$31,'PW_MLG GRADE 10'!BD$7:BD$31,"",0,1)="P",
   _xlfn.XLOOKUP($B26,'PW_MLG GRADE 10'!$B$7:$B$31,'PW_MLG GRADE 10'!#REF!,"",0,1)&lt;=TODAY()-MOD(WEEKDAY(TODAY(),2)-5,7)),$D26,0)</f>
        <v>#REF!</v>
      </c>
      <c r="CB76" s="65" t="e">
        <f ca="1">IF(AND($D26&lt;&gt;0,_xlfn.XLOOKUP($B26,'PW_MLG GRADE 10'!$B$7:$B$31,'PW_MLG GRADE 10'!BE$7:BE$31,"",0,1)="P",
   _xlfn.XLOOKUP($B26,'PW_MLG GRADE 10'!$B$7:$B$31,'PW_MLG GRADE 10'!#REF!,"",0,1)&lt;=TODAY()-MOD(WEEKDAY(TODAY(),2)-5,7)),$D26,0)</f>
        <v>#REF!</v>
      </c>
      <c r="CC76" s="65" t="e">
        <f ca="1">IF(AND($D26&lt;&gt;0,_xlfn.XLOOKUP($B26,'PW_MLG GRADE 10'!$B$7:$B$31,'PW_MLG GRADE 10'!BF$7:BF$31,"",0,1)="P",
   _xlfn.XLOOKUP($B26,'PW_MLG GRADE 10'!$B$7:$B$31,'PW_MLG GRADE 10'!#REF!,"",0,1)&lt;=TODAY()-MOD(WEEKDAY(TODAY(),2)-5,7)),$D26,0)</f>
        <v>#REF!</v>
      </c>
      <c r="CD76" s="65" t="e">
        <f ca="1">IF(AND($D26&lt;&gt;0,_xlfn.XLOOKUP($B26,'PW_MLG GRADE 10'!$B$7:$B$31,'PW_MLG GRADE 10'!BG$7:BG$31,"",0,1)="P",
   _xlfn.XLOOKUP($B26,'PW_MLG GRADE 10'!$B$7:$B$31,'PW_MLG GRADE 10'!#REF!,"",0,1)&lt;=TODAY()-MOD(WEEKDAY(TODAY(),2)-5,7)),$D26,0)</f>
        <v>#REF!</v>
      </c>
      <c r="CE76" s="67">
        <f ca="1">IF(AND($D26&lt;&gt;0,_xlfn.XLOOKUP($B26,'PW_CMI GRADE 10'!$B$7:$B$31,'PW_CMI GRADE 10'!AY$7:AY$31,"",0,1)="P",
   _xlfn.XLOOKUP($B26,'PW_CMI GRADE 10'!$B$7:$B$31,'PW_CMI GRADE 10'!$U$7:$U$31,"",0,1)&lt;=TODAY()-MOD(WEEKDAY(TODAY(),2)-5,7)),$D26,0)</f>
        <v>0</v>
      </c>
      <c r="CF76" s="67">
        <f ca="1">IF(AND($D26&lt;&gt;0,_xlfn.XLOOKUP($B26,'PW_CMI GRADE 10'!$B$7:$B$31,'PW_CMI GRADE 10'!AZ$7:AZ$31,"",0,1)="P",
   _xlfn.XLOOKUP($B26,'PW_CMI GRADE 10'!$B$7:$B$31,'PW_CMI GRADE 10'!$V$7:$V$31,"",0,1)&lt;=TODAY()-MOD(WEEKDAY(TODAY(),2)-5,7)),$D26,0)</f>
        <v>0</v>
      </c>
      <c r="CG76" s="67">
        <f ca="1">IF(AND($D26&lt;&gt;0,_xlfn.XLOOKUP($B26,'PW_CMI GRADE 10'!$B$7:$B$31,'PW_CMI GRADE 10'!BA$7:BA$31,"",0,1)="P",
   _xlfn.XLOOKUP($B26,'PW_CMI GRADE 10'!$B$7:$B$31,'PW_CMI GRADE 10'!$W$7:$W$31,"",0,1)&lt;=TODAY()-MOD(WEEKDAY(TODAY(),2)-5,7)),$D26,0)</f>
        <v>0</v>
      </c>
      <c r="CH76" s="67">
        <f ca="1">IF(AND($D26&lt;&gt;0,_xlfn.XLOOKUP($B26,'PW_CMI GRADE 10'!$B$7:$B$31,'PW_CMI GRADE 10'!BB$7:BB$31,"",0,1)="P",
   _xlfn.XLOOKUP($B26,'PW_CMI GRADE 10'!$B$7:$B$31,'PW_CMI GRADE 10'!$U$7:$U$31,"",0,1)&lt;=TODAY()-MOD(WEEKDAY(TODAY(),2)-5,7)),$D26,0)</f>
        <v>0</v>
      </c>
      <c r="CI76" s="67">
        <f ca="1">IF(AND($D26&lt;&gt;0,_xlfn.XLOOKUP($B26,'PW_CMI GRADE 10'!$B$7:$B$31,'PW_CMI GRADE 10'!BC$7:BC$31,"",0,1)="P",
   _xlfn.XLOOKUP($B26,'PW_CMI GRADE 10'!$B$7:$B$31,'PW_CMI GRADE 10'!$V$7:$V$31,"",0,1)&lt;=TODAY()-MOD(WEEKDAY(TODAY(),2)-5,7)),$D26,0)</f>
        <v>0</v>
      </c>
      <c r="CJ76" s="67">
        <f ca="1">IF(AND($D26&lt;&gt;0,_xlfn.XLOOKUP($B26,'PW_CMI GRADE 10'!$B$7:$B$31,'PW_CMI GRADE 10'!BD$7:BD$31,"",0,1)="P",
   _xlfn.XLOOKUP($B26,'PW_CMI GRADE 10'!$B$7:$B$31,'PW_CMI GRADE 10'!$W$7:$W$31,"",0,1)&lt;=TODAY()-MOD(WEEKDAY(TODAY(),2)-5,7)),$D26,0)</f>
        <v>0</v>
      </c>
      <c r="CK76" s="67">
        <f ca="1">IF(AND($D26&lt;&gt;0,_xlfn.XLOOKUP($B26,'PW_CMI GRADE 10'!$B$7:$B$31,'PW_CMI GRADE 10'!BE$7:BE$31,"",0,1)="P",
   _xlfn.XLOOKUP($B26,'PW_CMI GRADE 10'!$B$7:$B$31,'PW_CMI GRADE 10'!$U$7:$U$31,"",0,1)&lt;=TODAY()-MOD(WEEKDAY(TODAY(),2)-5,7)),$D26,0)</f>
        <v>0</v>
      </c>
      <c r="CL76" s="67">
        <f ca="1">IF(AND($D26&lt;&gt;0,_xlfn.XLOOKUP($B26,'PW_CMI GRADE 10'!$B$7:$B$31,'PW_CMI GRADE 10'!BF$7:BF$31,"",0,1)="P",
   _xlfn.XLOOKUP($B26,'PW_CMI GRADE 10'!$B$7:$B$31,'PW_CMI GRADE 10'!$V$7:$V$31,"",0,1)&lt;=TODAY()-MOD(WEEKDAY(TODAY(),2)-5,7)),$D26,0)</f>
        <v>0</v>
      </c>
      <c r="CM76" s="67">
        <f ca="1">IF(AND($D26&lt;&gt;0,_xlfn.XLOOKUP($B26,'PW_CMI GRADE 10'!$B$7:$B$31,'PW_CMI GRADE 10'!BG$7:BG$31,"",0,1)="P",
   _xlfn.XLOOKUP($B26,'PW_CMI GRADE 10'!$B$7:$B$31,'PW_CMI GRADE 10'!$W$7:$W$31,"",0,1)&lt;=TODAY()-MOD(WEEKDAY(TODAY(),2)-5,7)),$D26,0)</f>
        <v>0</v>
      </c>
      <c r="CN76" s="67">
        <f ca="1">IF(AND($D26&lt;&gt;0,_xlfn.XLOOKUP($B26,'PW_CMI GRADE 10'!$B$7:$B$31,'PW_CMI GRADE 10'!BH$7:BH$31,"",0,1)="P",
   _xlfn.XLOOKUP($B26,'PW_CMI GRADE 10'!$B$7:$B$31,'PW_CMI GRADE 10'!$U$7:$U$31,"",0,1)&lt;=TODAY()-MOD(WEEKDAY(TODAY(),2)-5,7)),$D26,0)</f>
        <v>0</v>
      </c>
      <c r="CO76" s="67">
        <f ca="1">IF(AND($D26&lt;&gt;0,_xlfn.XLOOKUP($B26,'PW_CMI GRADE 10'!$B$7:$B$31,'PW_CMI GRADE 10'!BI$7:BI$31,"",0,1)="P",
   _xlfn.XLOOKUP($B26,'PW_CMI GRADE 10'!$B$7:$B$31,'PW_CMI GRADE 10'!$V$7:$V$31,"",0,1)&lt;=TODAY()-MOD(WEEKDAY(TODAY(),2)-5,7)),$D26,0)</f>
        <v>0</v>
      </c>
      <c r="CP76" s="67">
        <f ca="1">IF(AND($D26&lt;&gt;0,_xlfn.XLOOKUP($B26,'PW_CMI GRADE 10'!$B$7:$B$31,'PW_CMI GRADE 10'!BJ$7:BJ$31,"",0,1)="P",
   _xlfn.XLOOKUP($B26,'PW_CMI GRADE 10'!$B$7:$B$31,'PW_CMI GRADE 10'!$W$7:$W$31,"",0,1)&lt;=TODAY()-MOD(WEEKDAY(TODAY(),2)-5,7)),$D26,0)</f>
        <v>0</v>
      </c>
      <c r="CQ76" s="67">
        <f ca="1">IF(AND($D26&lt;&gt;0,_xlfn.XLOOKUP($B26,'PW_CMI GRADE 10'!$B$7:$B$31,'PW_CMI GRADE 10'!BK$7:BK$31,"",0,1)="P",
   _xlfn.XLOOKUP($B26,'PW_CMI GRADE 10'!$B$7:$B$31,'PW_CMI GRADE 10'!$U$7:$U$31,"",0,1)&lt;=TODAY()-MOD(WEEKDAY(TODAY(),2)-5,7)),$D26,0)</f>
        <v>0</v>
      </c>
      <c r="CR76" s="67">
        <f ca="1">IF(AND($D26&lt;&gt;0,_xlfn.XLOOKUP($B26,'PW_CMI GRADE 10'!$B$7:$B$31,'PW_CMI GRADE 10'!BL$7:BL$31,"",0,1)="P",
   _xlfn.XLOOKUP($B26,'PW_CMI GRADE 10'!$B$7:$B$31,'PW_CMI GRADE 10'!$V$7:$V$31,"",0,1)&lt;=TODAY()-MOD(WEEKDAY(TODAY(),2)-5,7)),$D26,0)</f>
        <v>0</v>
      </c>
      <c r="CS76" s="67">
        <f ca="1">IF(AND($D26&lt;&gt;0,_xlfn.XLOOKUP($B26,'PW_CMI GRADE 10'!$B$7:$B$31,'PW_CMI GRADE 10'!BM$7:BM$31,"",0,1)="P",
   _xlfn.XLOOKUP($B26,'PW_CMI GRADE 10'!$B$7:$B$31,'PW_CMI GRADE 10'!$W$7:$W$31,"",0,1)&lt;=TODAY()-MOD(WEEKDAY(TODAY(),2)-5,7)),$D26,0)</f>
        <v>0</v>
      </c>
      <c r="CT76" s="67">
        <f ca="1">IF(AND($D26&lt;&gt;0,_xlfn.XLOOKUP($B26,'PW_CMI GRADE 10'!$B$7:$B$31,'PW_CMI GRADE 10'!BN$7:BN$31,"",0,1)="P",
   _xlfn.XLOOKUP($B26,'PW_CMI GRADE 10'!$B$7:$B$31,'PW_CMI GRADE 10'!$U$7:$U$31,"",0,1)&lt;=TODAY()-MOD(WEEKDAY(TODAY(),2)-5,7)),$D26,0)</f>
        <v>0</v>
      </c>
      <c r="CU76" s="67">
        <f ca="1">IF(AND($D26&lt;&gt;0,_xlfn.XLOOKUP($B26,'PW_CMI GRADE 10'!$B$7:$B$31,'PW_CMI GRADE 10'!BO$7:BO$31,"",0,1)="P",
   _xlfn.XLOOKUP($B26,'PW_CMI GRADE 10'!$B$7:$B$31,'PW_CMI GRADE 10'!$V$7:$V$31,"",0,1)&lt;=TODAY()-MOD(WEEKDAY(TODAY(),2)-5,7)),$D26,0)</f>
        <v>0</v>
      </c>
      <c r="CV76" s="67">
        <f ca="1">IF(AND($D26&lt;&gt;0,_xlfn.XLOOKUP($B26,'PW_CMI GRADE 10'!$B$7:$B$31,'PW_CMI GRADE 10'!BP$7:BP$31,"",0,1)="P",
   _xlfn.XLOOKUP($B26,'PW_CMI GRADE 10'!$B$7:$B$31,'PW_CMI GRADE 10'!$W$7:$W$31,"",0,1)&lt;=TODAY()-MOD(WEEKDAY(TODAY(),2)-5,7)),$D26,0)</f>
        <v>0</v>
      </c>
      <c r="CW76" s="62" t="e">
        <f t="shared" ca="1" si="132"/>
        <v>#REF!</v>
      </c>
      <c r="CX76" s="62" t="e">
        <f t="shared" ca="1" si="69"/>
        <v>#REF!</v>
      </c>
      <c r="CY76" s="62" t="e">
        <f t="shared" ca="1" si="70"/>
        <v>#REF!</v>
      </c>
      <c r="CZ76" s="62" t="e">
        <f t="shared" ca="1" si="71"/>
        <v>#REF!</v>
      </c>
      <c r="DA76" s="62" t="e">
        <f t="shared" ca="1" si="72"/>
        <v>#REF!</v>
      </c>
      <c r="DB76" s="62" t="e">
        <f t="shared" ca="1" si="73"/>
        <v>#REF!</v>
      </c>
      <c r="DC76" s="62" t="e">
        <f t="shared" ca="1" si="74"/>
        <v>#REF!</v>
      </c>
      <c r="DD76" s="62" t="e">
        <f t="shared" ca="1" si="75"/>
        <v>#REF!</v>
      </c>
      <c r="DE76" s="62" t="e">
        <f t="shared" ca="1" si="76"/>
        <v>#REF!</v>
      </c>
      <c r="DF76" s="62" t="e">
        <f t="shared" ca="1" si="77"/>
        <v>#REF!</v>
      </c>
      <c r="DG76" s="62" t="e">
        <f t="shared" ca="1" si="78"/>
        <v>#REF!</v>
      </c>
      <c r="DH76" s="62" t="e">
        <f t="shared" ca="1" si="79"/>
        <v>#REF!</v>
      </c>
      <c r="DI76" s="62" t="e">
        <f t="shared" ca="1" si="80"/>
        <v>#REF!</v>
      </c>
      <c r="DJ76" s="62" t="e">
        <f t="shared" ca="1" si="81"/>
        <v>#REF!</v>
      </c>
      <c r="DK76" s="62" t="e">
        <f t="shared" ca="1" si="82"/>
        <v>#REF!</v>
      </c>
      <c r="DL76" s="62" t="e">
        <f t="shared" ca="1" si="83"/>
        <v>#REF!</v>
      </c>
      <c r="DM76" s="62" t="e">
        <f t="shared" ca="1" si="84"/>
        <v>#REF!</v>
      </c>
      <c r="DN76" s="62" t="e">
        <f t="shared" ca="1" si="85"/>
        <v>#REF!</v>
      </c>
      <c r="DO76" s="62" t="e">
        <f t="shared" ca="1" si="86"/>
        <v>#REF!</v>
      </c>
      <c r="DP76" s="62" t="e">
        <f t="shared" ca="1" si="87"/>
        <v>#REF!</v>
      </c>
      <c r="DQ76" s="62" t="e">
        <f t="shared" ca="1" si="88"/>
        <v>#REF!</v>
      </c>
      <c r="DR76" s="62" t="e">
        <f t="shared" ca="1" si="89"/>
        <v>#REF!</v>
      </c>
      <c r="DS76" s="62" t="e">
        <f t="shared" ca="1" si="90"/>
        <v>#REF!</v>
      </c>
      <c r="DT76" s="62" t="e">
        <f t="shared" ca="1" si="91"/>
        <v>#REF!</v>
      </c>
      <c r="DU76" s="62" t="e">
        <f t="shared" ca="1" si="92"/>
        <v>#REF!</v>
      </c>
      <c r="DV76" s="62" t="e">
        <f t="shared" ca="1" si="93"/>
        <v>#REF!</v>
      </c>
      <c r="DW76" s="62" t="e">
        <f t="shared" ca="1" si="94"/>
        <v>#REF!</v>
      </c>
      <c r="DX76" s="62" t="e">
        <f t="shared" ca="1" si="95"/>
        <v>#REF!</v>
      </c>
      <c r="DY76" s="62" t="e">
        <f t="shared" ca="1" si="96"/>
        <v>#REF!</v>
      </c>
      <c r="DZ76" s="62" t="e">
        <f t="shared" ca="1" si="97"/>
        <v>#REF!</v>
      </c>
      <c r="EA76" s="63" t="e">
        <f t="shared" ca="1" si="98"/>
        <v>#REF!</v>
      </c>
      <c r="EB76" s="63" t="e">
        <f t="shared" ca="1" si="99"/>
        <v>#REF!</v>
      </c>
      <c r="EC76" s="63" t="e">
        <f t="shared" ca="1" si="100"/>
        <v>#REF!</v>
      </c>
      <c r="ED76" s="63" t="e">
        <f t="shared" ca="1" si="101"/>
        <v>#REF!</v>
      </c>
      <c r="EE76" s="63" t="e">
        <f t="shared" ca="1" si="102"/>
        <v>#REF!</v>
      </c>
      <c r="EF76" s="63" t="e">
        <f t="shared" ca="1" si="103"/>
        <v>#REF!</v>
      </c>
      <c r="EG76" s="63" t="e">
        <f t="shared" ca="1" si="104"/>
        <v>#REF!</v>
      </c>
      <c r="EH76" s="63" t="e">
        <f t="shared" ca="1" si="105"/>
        <v>#REF!</v>
      </c>
      <c r="EI76" s="63" t="e">
        <f t="shared" ca="1" si="106"/>
        <v>#REF!</v>
      </c>
      <c r="EJ76" s="63" t="e">
        <f t="shared" ca="1" si="107"/>
        <v>#REF!</v>
      </c>
      <c r="EK76" s="63" t="e">
        <f t="shared" ca="1" si="108"/>
        <v>#REF!</v>
      </c>
      <c r="EL76" s="63" t="e">
        <f t="shared" ca="1" si="109"/>
        <v>#REF!</v>
      </c>
      <c r="EM76" s="63" t="e">
        <f t="shared" ca="1" si="110"/>
        <v>#REF!</v>
      </c>
      <c r="EN76" s="63" t="e">
        <f t="shared" ca="1" si="111"/>
        <v>#REF!</v>
      </c>
      <c r="EO76" s="63" t="e">
        <f t="shared" ca="1" si="112"/>
        <v>#REF!</v>
      </c>
      <c r="EP76" s="63" t="e">
        <f t="shared" ca="1" si="113"/>
        <v>#REF!</v>
      </c>
    </row>
    <row r="77" spans="1:171">
      <c r="A77" s="64" t="str">
        <f t="shared" si="131"/>
        <v>4A.1</v>
      </c>
      <c r="B77" s="64" t="s">
        <v>58</v>
      </c>
      <c r="C77" s="30">
        <v>2</v>
      </c>
      <c r="D77" s="30">
        <v>1</v>
      </c>
      <c r="E77" s="65">
        <f ca="1">IF(AND($D27&lt;&gt;0,_xlfn.XLOOKUP($B27,'TH_MLG GRADE 10'!$B$7:$B$49,'TH_MLG GRADE 10'!C$7:C$49,"",0,1)="P",
   _xlfn.XLOOKUP($B27,'TH_MLG GRADE 10'!$B$7:$B$49,'TH_MLG GRADE 10'!$BK$7:$BK$49,"",0,1)&lt;=TODAY()-MOD(WEEKDAY(TODAY(),2)-5,7)),$D27,0)</f>
        <v>0</v>
      </c>
      <c r="F77" s="65">
        <f ca="1">IF(AND($D27&lt;&gt;0,_xlfn.XLOOKUP($B27,'TH_MLG GRADE 10'!$B$7:$B$49,'TH_MLG GRADE 10'!D$7:D$49,"",0,1)="P",
   _xlfn.XLOOKUP($B27,'TH_MLG GRADE 10'!$B$7:$B$49,'TH_MLG GRADE 10'!$BL$7:$BL$49,"",0,1)&lt;=TODAY()-MOD(WEEKDAY(TODAY(),2)-5,7)),$D27,0)</f>
        <v>0</v>
      </c>
      <c r="G77" s="65">
        <f ca="1">IF(AND($D27&lt;&gt;0,_xlfn.XLOOKUP($B27,'TH_MLG GRADE 10'!$B$7:$B$49,'TH_MLG GRADE 10'!E$7:E$49,"",0,1)="P",
   _xlfn.XLOOKUP($B27,'TH_MLG GRADE 10'!$B$7:$B$49,'TH_MLG GRADE 10'!$BM$7:$BM$49,"",0,1)&lt;=TODAY()-MOD(WEEKDAY(TODAY(),2)-5,7)),$D27,0)</f>
        <v>0</v>
      </c>
      <c r="H77" s="65">
        <f ca="1">IF(AND($D27&lt;&gt;0,_xlfn.XLOOKUP($B27,'TH_MLG GRADE 10'!$B$7:$B$49,'TH_MLG GRADE 10'!I$7:I$49,"",0,1)="P",
   _xlfn.XLOOKUP($B27,'TH_MLG GRADE 10'!$B$7:$B$49,'TH_MLG GRADE 10'!$BK$7:$BK$49,"",0,1)&lt;=TODAY()-MOD(WEEKDAY(TODAY(),2)-5,7)),$D27,0)</f>
        <v>0</v>
      </c>
      <c r="I77" s="65">
        <f ca="1">IF(AND($D27&lt;&gt;0,_xlfn.XLOOKUP($B27,'TH_MLG GRADE 10'!$B$7:$B$49,'TH_MLG GRADE 10'!J$7:J$49,"",0,1)="P",
   _xlfn.XLOOKUP($B27,'TH_MLG GRADE 10'!$B$7:$B$49,'TH_MLG GRADE 10'!$BL$7:$BL$49,"",0,1)&lt;=TODAY()-MOD(WEEKDAY(TODAY(),2)-5,7)),$D27,0)</f>
        <v>0</v>
      </c>
      <c r="J77" s="65">
        <f ca="1">IF(AND($D27&lt;&gt;0,_xlfn.XLOOKUP($B27,'TH_MLG GRADE 10'!$B$7:$B$49,'TH_MLG GRADE 10'!K$7:K$49,"",0,1)="P",
   _xlfn.XLOOKUP($B27,'TH_MLG GRADE 10'!$B$7:$B$49,'TH_MLG GRADE 10'!$BM$7:$BM$49,"",0,1)&lt;=TODAY()-MOD(WEEKDAY(TODAY(),2)-5,7)),$D27,0)</f>
        <v>0</v>
      </c>
      <c r="K77" s="65">
        <f ca="1">IF(AND($D27&lt;&gt;0,_xlfn.XLOOKUP($B27,'TH_MLG GRADE 10'!$B$7:$B$49,'TH_MLG GRADE 10'!O$7:O$49,"",0,1)="P",
   _xlfn.XLOOKUP($B27,'TH_MLG GRADE 10'!$B$7:$B$49,'TH_MLG GRADE 10'!$BK$7:$BK$49,"",0,1)&lt;=TODAY()-MOD(WEEKDAY(TODAY(),2)-5,7)),$D27,0)</f>
        <v>0</v>
      </c>
      <c r="L77" s="65">
        <f ca="1">IF(AND($D27&lt;&gt;0,_xlfn.XLOOKUP($B27,'TH_MLG GRADE 10'!$B$7:$B$49,'TH_MLG GRADE 10'!P$7:P$49,"",0,1)="P",
   _xlfn.XLOOKUP($B27,'TH_MLG GRADE 10'!$B$7:$B$49,'TH_MLG GRADE 10'!$BL$7:$BL$49,"",0,1)&lt;=TODAY()-MOD(WEEKDAY(TODAY(),2)-5,7)),$D27,0)</f>
        <v>0</v>
      </c>
      <c r="M77" s="65">
        <f ca="1">IF(AND($D27&lt;&gt;0,_xlfn.XLOOKUP($B27,'TH_MLG GRADE 10'!$B$7:$B$49,'TH_MLG GRADE 10'!Q$7:Q$49,"",0,1)="P",
   _xlfn.XLOOKUP($B27,'TH_MLG GRADE 10'!$B$7:$B$49,'TH_MLG GRADE 10'!$BM$7:$BM$49,"",0,1)&lt;=TODAY()-MOD(WEEKDAY(TODAY(),2)-5,7)),$D27,0)</f>
        <v>0</v>
      </c>
      <c r="N77" s="65">
        <f ca="1">IF(AND($D27&lt;&gt;0,_xlfn.XLOOKUP($B27,'TH_MLG GRADE 10'!$B$7:$B$49,'TH_MLG GRADE 10'!AA$7:AA$49,"",0,1)="P",
   _xlfn.XLOOKUP($B27,'TH_MLG GRADE 10'!$B$7:$B$49,'TH_MLG GRADE 10'!$BK$7:$BK$49,"",0,1)&lt;=TODAY()-MOD(WEEKDAY(TODAY(),2)-5,7)),$D27,0)</f>
        <v>1</v>
      </c>
      <c r="O77" s="65">
        <f ca="1">IF(AND($D27&lt;&gt;0,_xlfn.XLOOKUP($B27,'TH_MLG GRADE 10'!$B$7:$B$49,'TH_MLG GRADE 10'!AB$7:AB$49,"",0,1)="P",
   _xlfn.XLOOKUP($B27,'TH_MLG GRADE 10'!$B$7:$B$49,'TH_MLG GRADE 10'!$BL$7:$BL$49,"",0,1)&lt;=TODAY()-MOD(WEEKDAY(TODAY(),2)-5,7)),$D27,0)</f>
        <v>0</v>
      </c>
      <c r="P77" s="65">
        <f ca="1">IF(AND($D27&lt;&gt;0,_xlfn.XLOOKUP($B27,'TH_MLG GRADE 10'!$B$7:$B$49,'TH_MLG GRADE 10'!AC$7:AC$49,"",0,1)="P",
   _xlfn.XLOOKUP($B27,'TH_MLG GRADE 10'!$B$7:$B$49,'TH_MLG GRADE 10'!$BM$7:$BM$49,"",0,1)&lt;=TODAY()-MOD(WEEKDAY(TODAY(),2)-5,7)),$D27,0)</f>
        <v>0</v>
      </c>
      <c r="Q77" s="65">
        <f ca="1">IF(AND($D27&lt;&gt;0,_xlfn.XLOOKUP($B27,'TH_MLG GRADE 10'!$B$7:$B$49,'TH_MLG GRADE 10'!AG$7:AG$49,"",0,1)="P",
   _xlfn.XLOOKUP($B27,'TH_MLG GRADE 10'!$B$7:$B$49,'TH_MLG GRADE 10'!$BK$7:$BK$49,"",0,1)&lt;=TODAY()-MOD(WEEKDAY(TODAY(),2)-5,7)),$D27,0)</f>
        <v>1</v>
      </c>
      <c r="R77" s="65">
        <f ca="1">IF(AND($D27&lt;&gt;0,_xlfn.XLOOKUP($B27,'TH_MLG GRADE 10'!$B$7:$B$49,'TH_MLG GRADE 10'!AH$7:AH$49,"",0,1)="P",
   _xlfn.XLOOKUP($B27,'TH_MLG GRADE 10'!$B$7:$B$49,'TH_MLG GRADE 10'!$BL$7:$BL$49,"",0,1)&lt;=TODAY()-MOD(WEEKDAY(TODAY(),2)-5,7)),$D27,0)</f>
        <v>1</v>
      </c>
      <c r="S77" s="65">
        <f ca="1">IF(AND($D27&lt;&gt;0,_xlfn.XLOOKUP($B27,'TH_MLG GRADE 10'!$B$7:$B$49,'TH_MLG GRADE 10'!AI$7:AI$49,"",0,1)="P",
   _xlfn.XLOOKUP($B27,'TH_MLG GRADE 10'!$B$7:$B$49,'TH_MLG GRADE 10'!$BM$7:$BM$49,"",0,1)&lt;=TODAY()-MOD(WEEKDAY(TODAY(),2)-5,7)),$D27,0)</f>
        <v>1</v>
      </c>
      <c r="T77" s="65">
        <f ca="1">IF(AND($D27&lt;&gt;0,_xlfn.XLOOKUP($B27,'TH_MLG GRADE 10'!$B$7:$B$49,'TH_MLG GRADE 10'!AM$7:AM$49,"",0,1)="P",
   _xlfn.XLOOKUP($B27,'TH_MLG GRADE 10'!$B$7:$B$49,'TH_MLG GRADE 10'!$BK$7:$BK$49,"",0,1)&lt;=TODAY()-MOD(WEEKDAY(TODAY(),2)-5,7)),$D27,0)</f>
        <v>0</v>
      </c>
      <c r="U77" s="65">
        <f ca="1">IF(AND($D27&lt;&gt;0,_xlfn.XLOOKUP($B27,'TH_MLG GRADE 10'!$B$7:$B$49,'TH_MLG GRADE 10'!AN$7:AN$49,"",0,1)="P",
   _xlfn.XLOOKUP($B27,'TH_MLG GRADE 10'!$B$7:$B$49,'TH_MLG GRADE 10'!$BL$7:$BL$49,"",0,1)&lt;=TODAY()-MOD(WEEKDAY(TODAY(),2)-5,7)),$D27,0)</f>
        <v>0</v>
      </c>
      <c r="V77" s="65">
        <f ca="1">IF(AND($D27&lt;&gt;0,_xlfn.XLOOKUP($B27,'TH_MLG GRADE 10'!$B$7:$B$49,'TH_MLG GRADE 10'!AO$7:AO$49,"",0,1)="P",
   _xlfn.XLOOKUP($B27,'TH_MLG GRADE 10'!$B$7:$B$49,'TH_MLG GRADE 10'!$BM$7:$BM$49,"",0,1)&lt;=TODAY()-MOD(WEEKDAY(TODAY(),2)-5,7)),$D27,0)</f>
        <v>0</v>
      </c>
      <c r="W77" s="65">
        <f ca="1">IF(AND($D27&lt;&gt;0,_xlfn.XLOOKUP($B27,'TH_MLG GRADE 10'!$B$7:$B$49,'TH_MLG GRADE 10'!AY$7:AY$49,"",0,1)="P",
   _xlfn.XLOOKUP($B27,'TH_MLG GRADE 10'!$B$7:$B$49,'TH_MLG GRADE 10'!$BK$7:$BK$49,"",0,1)&lt;=TODAY()-MOD(WEEKDAY(TODAY(),2)-5,7)),$D27,0)</f>
        <v>0</v>
      </c>
      <c r="X77" s="65">
        <f ca="1">IF(AND($D27&lt;&gt;0,_xlfn.XLOOKUP($B27,'TH_MLG GRADE 10'!$B$7:$B$49,'TH_MLG GRADE 10'!AZ$7:AZ$49,"",0,1)="P",
   _xlfn.XLOOKUP($B27,'TH_MLG GRADE 10'!$B$7:$B$49,'TH_MLG GRADE 10'!$BL$7:$BL$49,"",0,1)&lt;=TODAY()-MOD(WEEKDAY(TODAY(),2)-5,7)),$D27,0)</f>
        <v>0</v>
      </c>
      <c r="Y77" s="65">
        <f ca="1">IF(AND($D27&lt;&gt;0,_xlfn.XLOOKUP($B27,'TH_MLG GRADE 10'!$B$7:$B$49,'TH_MLG GRADE 10'!BA$7:BA$49,"",0,1)="P",
   _xlfn.XLOOKUP($B27,'TH_MLG GRADE 10'!$B$7:$B$49,'TH_MLG GRADE 10'!$BM$7:$BM$49,"",0,1)&lt;=TODAY()-MOD(WEEKDAY(TODAY(),2)-5,7)),$D27,0)</f>
        <v>0</v>
      </c>
      <c r="Z77" s="65">
        <f ca="1">IF(AND($D27&lt;&gt;0,_xlfn.XLOOKUP($B27,'TH_MLG GRADE 10'!$B$7:$B$49,'TH_MLG GRADE 10'!BE$7:BE$49,"",0,1)="P",
   _xlfn.XLOOKUP($B27,'TH_MLG GRADE 10'!$B$7:$B$49,'TH_MLG GRADE 10'!$BK$7:$BK$49,"",0,1)&lt;=TODAY()-MOD(WEEKDAY(TODAY(),2)-5,7)),$D27,0)</f>
        <v>0</v>
      </c>
      <c r="AA77" s="65">
        <f ca="1">IF(AND($D27&lt;&gt;0,_xlfn.XLOOKUP($B27,'TH_MLG GRADE 10'!$B$7:$B$49,'TH_MLG GRADE 10'!BF$7:BF$49,"",0,1)="P",
   _xlfn.XLOOKUP($B27,'TH_MLG GRADE 10'!$B$7:$B$49,'TH_MLG GRADE 10'!$BL$7:$BL$49,"",0,1)&lt;=TODAY()-MOD(WEEKDAY(TODAY(),2)-5,7)),$D27,0)</f>
        <v>0</v>
      </c>
      <c r="AB77" s="65">
        <f ca="1">IF(AND($D27&lt;&gt;0,_xlfn.XLOOKUP($B27,'TH_MLG GRADE 10'!$B$7:$B$49,'TH_MLG GRADE 10'!BG$7:BG$49,"",0,1)="P",
   _xlfn.XLOOKUP($B27,'TH_MLG GRADE 10'!$B$7:$B$49,'TH_MLG GRADE 10'!$BM$7:$BM$49,"",0,1)&lt;=TODAY()-MOD(WEEKDAY(TODAY(),2)-5,7)),$D27,0)</f>
        <v>0</v>
      </c>
      <c r="AC77" s="65" t="e">
        <f ca="1">IF(AND($D27&lt;&gt;0,_xlfn.XLOOKUP($B27,'TH_MLG GRADE 10'!$B$7:$B$49,'TH_MLG GRADE 10'!#REF!,"",0,1)="P",
   _xlfn.XLOOKUP($B27,'TH_MLG GRADE 10'!$B$7:$B$49,'TH_MLG GRADE 10'!$BK$7:$BK$49,"",0,1)&lt;=TODAY()-MOD(WEEKDAY(TODAY(),2)-5,7)),$D27,0)</f>
        <v>#REF!</v>
      </c>
      <c r="AD77" s="65" t="e">
        <f ca="1">IF(AND($D27&lt;&gt;0,_xlfn.XLOOKUP($B27,'TH_MLG GRADE 10'!$B$7:$B$49,'TH_MLG GRADE 10'!#REF!,"",0,1)="P",
   _xlfn.XLOOKUP($B27,'TH_MLG GRADE 10'!$B$7:$B$49,'TH_MLG GRADE 10'!$BL$7:$BL$49,"",0,1)&lt;=TODAY()-MOD(WEEKDAY(TODAY(),2)-5,7)),$D27,0)</f>
        <v>#REF!</v>
      </c>
      <c r="AE77" s="65" t="e">
        <f ca="1">IF(AND($D27&lt;&gt;0,_xlfn.XLOOKUP($B27,'TH_MLG GRADE 10'!$B$7:$B$49,'TH_MLG GRADE 10'!#REF!,"",0,1)="P",
   _xlfn.XLOOKUP($B27,'TH_MLG GRADE 10'!$B$7:$B$49,'TH_MLG GRADE 10'!$BM$7:$BM$49,"",0,1)&lt;=TODAY()-MOD(WEEKDAY(TODAY(),2)-5,7)),$D27,0)</f>
        <v>#REF!</v>
      </c>
      <c r="AF77" s="65" t="e">
        <f ca="1">IF(AND($D27&lt;&gt;0,_xlfn.XLOOKUP($B27,'TH_MLG GRADE 10'!$B$7:$B$49,'TH_MLG GRADE 10'!#REF!,"",0,1)="P",
   _xlfn.XLOOKUP($B27,'TH_MLG GRADE 10'!$B$7:$B$49,'TH_MLG GRADE 10'!$BK$7:$BK$49,"",0,1)&lt;=TODAY()-MOD(WEEKDAY(TODAY(),2)-5,7)),$D27,0)</f>
        <v>#REF!</v>
      </c>
      <c r="AG77" s="65" t="e">
        <f ca="1">IF(AND($D27&lt;&gt;0,_xlfn.XLOOKUP($B27,'TH_MLG GRADE 10'!$B$7:$B$49,'TH_MLG GRADE 10'!#REF!,"",0,1)="P",
   _xlfn.XLOOKUP($B27,'TH_MLG GRADE 10'!$B$7:$B$49,'TH_MLG GRADE 10'!$BL$7:$BL$49,"",0,1)&lt;=TODAY()-MOD(WEEKDAY(TODAY(),2)-5,7)),$D27,0)</f>
        <v>#REF!</v>
      </c>
      <c r="AH77" s="65" t="e">
        <f ca="1">IF(AND($D27&lt;&gt;0,_xlfn.XLOOKUP($B27,'TH_MLG GRADE 10'!$B$7:$B$49,'TH_MLG GRADE 10'!#REF!,"",0,1)="P",
   _xlfn.XLOOKUP($B27,'TH_MLG GRADE 10'!$B$7:$B$49,'TH_MLG GRADE 10'!$BM$7:$BM$49,"",0,1)&lt;=TODAY()-MOD(WEEKDAY(TODAY(),2)-5,7)),$D27,0)</f>
        <v>#REF!</v>
      </c>
      <c r="AI77" s="67">
        <f ca="1">IF(AND($D27&lt;&gt;0,_xlfn.XLOOKUP($B27,'TH_CMI GRADE 10'!$B$7:$B$49,'TH_CMI GRADE 10'!C$7:C$49,"",0,1)="P",
   _xlfn.XLOOKUP($B27,'TH_CMI GRADE 10'!$B$7:$B$49,'TH_CMI GRADE 10'!$AS$7:$AS$49,"",0,1)&lt;=TODAY()-MOD(WEEKDAY(TODAY(),2)-5,7)),$D27,0)</f>
        <v>0</v>
      </c>
      <c r="AJ77" s="67">
        <f ca="1">IF(AND($D27&lt;&gt;0,_xlfn.XLOOKUP($B27,'TH_CMI GRADE 10'!$B$7:$B$49,'TH_CMI GRADE 10'!D$7:D$49,"",0,1)="P",
   _xlfn.XLOOKUP($B27,'TH_CMI GRADE 10'!$B$7:$B$49,'TH_CMI GRADE 10'!$AT$7:$AT$49,"",0,1)&lt;=TODAY()-MOD(WEEKDAY(TODAY(),2)-5,7)),$D27,0)</f>
        <v>0</v>
      </c>
      <c r="AK77" s="67" t="e">
        <f ca="1">IF(AND($D27&lt;&gt;0,_xlfn.XLOOKUP($B27,'TH_CMI GRADE 10'!$B$7:$B$49,'TH_CMI GRADE 10'!H$7:H$49,"",0,1)="P",
   _xlfn.XLOOKUP($B27,'TH_CMI GRADE 10'!$B$7:$B$49,'TH_CMI GRADE 10'!#REF!,"",0,1)&lt;=TODAY()-MOD(WEEKDAY(TODAY(),2)-5,7)),$D27,0)</f>
        <v>#REF!</v>
      </c>
      <c r="AL77" s="67">
        <f ca="1">IF(AND($D27&lt;&gt;0,_xlfn.XLOOKUP($B27,'TH_CMI GRADE 10'!$B$7:$B$49,'TH_CMI GRADE 10'!I$7:I$49,"",0,1)="P",
   _xlfn.XLOOKUP($B27,'TH_CMI GRADE 10'!$B$7:$B$49,'TH_CMI GRADE 10'!$AS$7:$AS$49,"",0,1)&lt;=TODAY()-MOD(WEEKDAY(TODAY(),2)-5,7)),$D27,0)</f>
        <v>0</v>
      </c>
      <c r="AM77" s="67">
        <f ca="1">IF(AND($D27&lt;&gt;0,_xlfn.XLOOKUP($B27,'TH_CMI GRADE 10'!$B$7:$B$49,'TH_CMI GRADE 10'!J$7:J$49,"",0,1)="P",
   _xlfn.XLOOKUP($B27,'TH_CMI GRADE 10'!$B$7:$B$49,'TH_CMI GRADE 10'!$AT$7:$AT$49,"",0,1)&lt;=TODAY()-MOD(WEEKDAY(TODAY(),2)-5,7)),$D27,0)</f>
        <v>0</v>
      </c>
      <c r="AN77" s="67" t="e">
        <f ca="1">IF(AND($D27&lt;&gt;0,_xlfn.XLOOKUP($B27,'TH_CMI GRADE 10'!$B$7:$B$49,'TH_CMI GRADE 10'!K$7:K$49,"",0,1)="P",
   _xlfn.XLOOKUP($B27,'TH_CMI GRADE 10'!$B$7:$B$49,'TH_CMI GRADE 10'!#REF!,"",0,1)&lt;=TODAY()-MOD(WEEKDAY(TODAY(),2)-5,7)),$D27,0)</f>
        <v>#REF!</v>
      </c>
      <c r="AO77" s="67">
        <f ca="1">IF(AND($D27&lt;&gt;0,_xlfn.XLOOKUP($B27,'TH_CMI GRADE 10'!$B$7:$B$49,'TH_CMI GRADE 10'!O$7:O$49,"",0,1)="P",
   _xlfn.XLOOKUP($B27,'TH_CMI GRADE 10'!$B$7:$B$49,'TH_CMI GRADE 10'!$AS$7:$AS$49,"",0,1)&lt;=TODAY()-MOD(WEEKDAY(TODAY(),2)-5,7)),$D27,0)</f>
        <v>0</v>
      </c>
      <c r="AP77" s="67">
        <f ca="1">IF(AND($D27&lt;&gt;0,_xlfn.XLOOKUP($B27,'TH_CMI GRADE 10'!$B$7:$B$49,'TH_CMI GRADE 10'!P$7:P$49,"",0,1)="P",
   _xlfn.XLOOKUP($B27,'TH_CMI GRADE 10'!$B$7:$B$49,'TH_CMI GRADE 10'!$AT$7:$AT$49,"",0,1)&lt;=TODAY()-MOD(WEEKDAY(TODAY(),2)-5,7)),$D27,0)</f>
        <v>0</v>
      </c>
      <c r="AQ77" s="67" t="e">
        <f ca="1">IF(AND($D27&lt;&gt;0,_xlfn.XLOOKUP($B27,'TH_CMI GRADE 10'!$B$7:$B$49,'TH_CMI GRADE 10'!Q$7:Q$49,"",0,1)="P",
   _xlfn.XLOOKUP($B27,'TH_CMI GRADE 10'!$B$7:$B$49,'TH_CMI GRADE 10'!#REF!,"",0,1)&lt;=TODAY()-MOD(WEEKDAY(TODAY(),2)-5,7)),$D27,0)</f>
        <v>#REF!</v>
      </c>
      <c r="AR77" s="67">
        <f ca="1">IF(AND($D27&lt;&gt;0,_xlfn.XLOOKUP($B27,'TH_CMI GRADE 10'!$B$7:$B$49,'TH_CMI GRADE 10'!U$7:U$49,"",0,1)="P",
   _xlfn.XLOOKUP($B27,'TH_CMI GRADE 10'!$B$7:$B$49,'TH_CMI GRADE 10'!$AS$7:$AS$49,"",0,1)&lt;=TODAY()-MOD(WEEKDAY(TODAY(),2)-5,7)),$D27,0)</f>
        <v>0</v>
      </c>
      <c r="AS77" s="67">
        <f ca="1">IF(AND($D27&lt;&gt;0,_xlfn.XLOOKUP($B27,'TH_CMI GRADE 10'!$B$7:$B$49,'TH_CMI GRADE 10'!V$7:V$49,"",0,1)="P",
   _xlfn.XLOOKUP($B27,'TH_CMI GRADE 10'!$B$7:$B$49,'TH_CMI GRADE 10'!$AT$7:$AT$49,"",0,1)&lt;=TODAY()-MOD(WEEKDAY(TODAY(),2)-5,7)),$D27,0)</f>
        <v>0</v>
      </c>
      <c r="AT77" s="67" t="e">
        <f ca="1">IF(AND($D27&lt;&gt;0,_xlfn.XLOOKUP($B27,'TH_CMI GRADE 10'!$B$7:$B$49,'TH_CMI GRADE 10'!W$7:W$49,"",0,1)="P",
   _xlfn.XLOOKUP($B27,'TH_CMI GRADE 10'!$B$7:$B$49,'TH_CMI GRADE 10'!#REF!,"",0,1)&lt;=TODAY()-MOD(WEEKDAY(TODAY(),2)-5,7)),$D27,0)</f>
        <v>#REF!</v>
      </c>
      <c r="AU77" s="67">
        <f ca="1">IF(AND($D27&lt;&gt;0,_xlfn.XLOOKUP($B27,'TH_CMI GRADE 10'!$B$7:$B$49,'TH_CMI GRADE 10'!AA$7:AA$49,"",0,1)="P",
   _xlfn.XLOOKUP($B27,'TH_CMI GRADE 10'!$B$7:$B$49,'TH_CMI GRADE 10'!$AS$7:$AS$49,"",0,1)&lt;=TODAY()-MOD(WEEKDAY(TODAY(),2)-5,7)),$D27,0)</f>
        <v>1</v>
      </c>
      <c r="AV77" s="67">
        <f ca="1">IF(AND($D27&lt;&gt;0,_xlfn.XLOOKUP($B27,'TH_CMI GRADE 10'!$B$7:$B$49,'TH_CMI GRADE 10'!AB$7:AB$49,"",0,1)="P",
   _xlfn.XLOOKUP($B27,'TH_CMI GRADE 10'!$B$7:$B$49,'TH_CMI GRADE 10'!$AT$7:$AT$49,"",0,1)&lt;=TODAY()-MOD(WEEKDAY(TODAY(),2)-5,7)),$D27,0)</f>
        <v>1</v>
      </c>
      <c r="AW77" s="67" t="e">
        <f ca="1">IF(AND($D27&lt;&gt;0,_xlfn.XLOOKUP($B27,'TH_CMI GRADE 10'!$B$7:$B$49,'TH_CMI GRADE 10'!AC$7:AC$49,"",0,1)="P",
   _xlfn.XLOOKUP($B27,'TH_CMI GRADE 10'!$B$7:$B$49,'TH_CMI GRADE 10'!#REF!,"",0,1)&lt;=TODAY()-MOD(WEEKDAY(TODAY(),2)-5,7)),$D27,0)</f>
        <v>#REF!</v>
      </c>
      <c r="AX77" s="67">
        <f ca="1">IF(AND($D27&lt;&gt;0,_xlfn.XLOOKUP($B27,'TH_CMI GRADE 10'!$B$7:$B$49,'TH_CMI GRADE 10'!AG$7:AG$49,"",0,1)="P",
   _xlfn.XLOOKUP($B27,'TH_CMI GRADE 10'!$B$7:$B$49,'TH_CMI GRADE 10'!$AS$7:$AS$49,"",0,1)&lt;=TODAY()-MOD(WEEKDAY(TODAY(),2)-5,7)),$D27,0)</f>
        <v>1</v>
      </c>
      <c r="AY77" s="67">
        <f ca="1">IF(AND($D27&lt;&gt;0,_xlfn.XLOOKUP($B27,'TH_CMI GRADE 10'!$B$7:$B$49,'TH_CMI GRADE 10'!AH$7:AH$49,"",0,1)="P",
   _xlfn.XLOOKUP($B27,'TH_CMI GRADE 10'!$B$7:$B$49,'TH_CMI GRADE 10'!$AT$7:$AT$49,"",0,1)&lt;=TODAY()-MOD(WEEKDAY(TODAY(),2)-5,7)),$D27,0)</f>
        <v>1</v>
      </c>
      <c r="AZ77" s="67" t="e">
        <f ca="1">IF(AND($D27&lt;&gt;0,_xlfn.XLOOKUP($B27,'TH_CMI GRADE 10'!$B$7:$B$49,'TH_CMI GRADE 10'!AI$7:AI$49,"",0,1)="P",
   _xlfn.XLOOKUP($B27,'TH_CMI GRADE 10'!$B$7:$B$49,'TH_CMI GRADE 10'!#REF!,"",0,1)&lt;=TODAY()-MOD(WEEKDAY(TODAY(),2)-5,7)),$D27,0)</f>
        <v>#REF!</v>
      </c>
      <c r="BA77" s="65" t="e">
        <f ca="1">IF(AND($D27&lt;&gt;0,_xlfn.XLOOKUP($B27,'PW_MLG GRADE 10'!$B$7:$B$31,'PW_MLG GRADE 10'!R$7:R$31,"",0,1)="P",
   _xlfn.XLOOKUP($B27,'PW_MLG GRADE 10'!$B$7:$B$31,'PW_MLG GRADE 10'!#REF!,"",0,1)&lt;=TODAY()-MOD(WEEKDAY(TODAY(),2)-5,7)),$D27,0)</f>
        <v>#REF!</v>
      </c>
      <c r="BB77" s="65" t="e">
        <f ca="1">IF(AND($D27&lt;&gt;0,_xlfn.XLOOKUP($B27,'PW_MLG GRADE 10'!$B$7:$B$31,'PW_MLG GRADE 10'!S$7:S$31,"",0,1)="P",
   _xlfn.XLOOKUP($B27,'PW_MLG GRADE 10'!$B$7:$B$31,'PW_MLG GRADE 10'!#REF!,"",0,1)&lt;=TODAY()-MOD(WEEKDAY(TODAY(),2)-5,7)),$D27,0)</f>
        <v>#REF!</v>
      </c>
      <c r="BC77" s="65" t="e">
        <f ca="1">IF(AND($D27&lt;&gt;0,_xlfn.XLOOKUP($B27,'PW_MLG GRADE 10'!$B$7:$B$31,'PW_MLG GRADE 10'!T$7:T$31,"",0,1)="P",
   _xlfn.XLOOKUP($B27,'PW_MLG GRADE 10'!$B$7:$B$31,'PW_MLG GRADE 10'!#REF!,"",0,1)&lt;=TODAY()-MOD(WEEKDAY(TODAY(),2)-5,7)),$D27,0)</f>
        <v>#REF!</v>
      </c>
      <c r="BD77" s="65" t="e">
        <f ca="1">IF(AND($D27&lt;&gt;0,_xlfn.XLOOKUP($B27,'PW_MLG GRADE 10'!$B$7:$B$31,'PW_MLG GRADE 10'!AA$7:AA$31,"",0,1)="P",
   _xlfn.XLOOKUP($B27,'PW_MLG GRADE 10'!$B$7:$B$31,'PW_MLG GRADE 10'!#REF!,"",0,1)&lt;=TODAY()-MOD(WEEKDAY(TODAY(),2)-5,7)),$D27,0)</f>
        <v>#REF!</v>
      </c>
      <c r="BE77" s="65" t="e">
        <f ca="1">IF(AND($D27&lt;&gt;0,_xlfn.XLOOKUP($B27,'PW_MLG GRADE 10'!$B$7:$B$31,'PW_MLG GRADE 10'!AB$7:AB$31,"",0,1)="P",
   _xlfn.XLOOKUP($B27,'PW_MLG GRADE 10'!$B$7:$B$31,'PW_MLG GRADE 10'!#REF!,"",0,1)&lt;=TODAY()-MOD(WEEKDAY(TODAY(),2)-5,7)),$D27,0)</f>
        <v>#REF!</v>
      </c>
      <c r="BF77" s="65" t="e">
        <f ca="1">IF(AND($D27&lt;&gt;0,_xlfn.XLOOKUP($B27,'PW_MLG GRADE 10'!$B$7:$B$31,'PW_MLG GRADE 10'!AC$7:AC$31,"",0,1)="P",
   _xlfn.XLOOKUP($B27,'PW_MLG GRADE 10'!$B$7:$B$31,'PW_MLG GRADE 10'!#REF!,"",0,1)&lt;=TODAY()-MOD(WEEKDAY(TODAY(),2)-5,7)),$D27,0)</f>
        <v>#REF!</v>
      </c>
      <c r="BG77" s="65" t="e">
        <f ca="1">IF(AND($D27&lt;&gt;0,_xlfn.XLOOKUP($B27,'PW_MLG GRADE 10'!$B$7:$B$31,'PW_MLG GRADE 10'!AD$7:AD$31,"",0,1)="P",
   _xlfn.XLOOKUP($B27,'PW_MLG GRADE 10'!$B$7:$B$31,'PW_MLG GRADE 10'!#REF!,"",0,1)&lt;=TODAY()-MOD(WEEKDAY(TODAY(),2)-5,7)),$D27,0)</f>
        <v>#REF!</v>
      </c>
      <c r="BH77" s="65" t="e">
        <f ca="1">IF(AND($D27&lt;&gt;0,_xlfn.XLOOKUP($B27,'PW_MLG GRADE 10'!$B$7:$B$31,'PW_MLG GRADE 10'!AE$7:AE$31,"",0,1)="P",
   _xlfn.XLOOKUP($B27,'PW_MLG GRADE 10'!$B$7:$B$31,'PW_MLG GRADE 10'!#REF!,"",0,1)&lt;=TODAY()-MOD(WEEKDAY(TODAY(),2)-5,7)),$D27,0)</f>
        <v>#REF!</v>
      </c>
      <c r="BI77" s="65" t="e">
        <f ca="1">IF(AND($D27&lt;&gt;0,_xlfn.XLOOKUP($B27,'PW_MLG GRADE 10'!$B$7:$B$31,'PW_MLG GRADE 10'!AF$7:AF$31,"",0,1)="P",
   _xlfn.XLOOKUP($B27,'PW_MLG GRADE 10'!$B$7:$B$31,'PW_MLG GRADE 10'!#REF!,"",0,1)&lt;=TODAY()-MOD(WEEKDAY(TODAY(),2)-5,7)),$D27,0)</f>
        <v>#REF!</v>
      </c>
      <c r="BJ77" s="65" t="e">
        <f ca="1">IF(AND($D27&lt;&gt;0,_xlfn.XLOOKUP($B27,'PW_MLG GRADE 10'!$B$7:$B$31,'PW_MLG GRADE 10'!AG$7:AG$31,"",0,1)="P",
   _xlfn.XLOOKUP($B27,'PW_MLG GRADE 10'!$B$7:$B$31,'PW_MLG GRADE 10'!#REF!,"",0,1)&lt;=TODAY()-MOD(WEEKDAY(TODAY(),2)-5,7)),$D27,0)</f>
        <v>#REF!</v>
      </c>
      <c r="BK77" s="65" t="e">
        <f ca="1">IF(AND($D27&lt;&gt;0,_xlfn.XLOOKUP($B27,'PW_MLG GRADE 10'!$B$7:$B$31,'PW_MLG GRADE 10'!AH$7:AH$31,"",0,1)="P",
   _xlfn.XLOOKUP($B27,'PW_MLG GRADE 10'!$B$7:$B$31,'PW_MLG GRADE 10'!#REF!,"",0,1)&lt;=TODAY()-MOD(WEEKDAY(TODAY(),2)-5,7)),$D27,0)</f>
        <v>#REF!</v>
      </c>
      <c r="BL77" s="65" t="e">
        <f ca="1">IF(AND($D27&lt;&gt;0,_xlfn.XLOOKUP($B27,'PW_MLG GRADE 10'!$B$7:$B$31,'PW_MLG GRADE 10'!AI$7:AI$31,"",0,1)="P",
   _xlfn.XLOOKUP($B27,'PW_MLG GRADE 10'!$B$7:$B$31,'PW_MLG GRADE 10'!#REF!,"",0,1)&lt;=TODAY()-MOD(WEEKDAY(TODAY(),2)-5,7)),$D27,0)</f>
        <v>#REF!</v>
      </c>
      <c r="BM77" s="65" t="e">
        <f ca="1">IF(AND($D27&lt;&gt;0,_xlfn.XLOOKUP($B27,'PW_MLG GRADE 10'!$B$7:$B$31,'PW_MLG GRADE 10'!AJ$7:AJ$31,"",0,1)="P",
   _xlfn.XLOOKUP($B27,'PW_MLG GRADE 10'!$B$7:$B$31,'PW_MLG GRADE 10'!#REF!,"",0,1)&lt;=TODAY()-MOD(WEEKDAY(TODAY(),2)-5,7)),$D27,0)</f>
        <v>#REF!</v>
      </c>
      <c r="BN77" s="65" t="e">
        <f ca="1">IF(AND($D27&lt;&gt;0,_xlfn.XLOOKUP($B27,'PW_MLG GRADE 10'!$B$7:$B$31,'PW_MLG GRADE 10'!AK$7:AK$31,"",0,1)="P",
   _xlfn.XLOOKUP($B27,'PW_MLG GRADE 10'!$B$7:$B$31,'PW_MLG GRADE 10'!#REF!,"",0,1)&lt;=TODAY()-MOD(WEEKDAY(TODAY(),2)-5,7)),$D27,0)</f>
        <v>#REF!</v>
      </c>
      <c r="BO77" s="65" t="e">
        <f ca="1">IF(AND($D27&lt;&gt;0,_xlfn.XLOOKUP($B27,'PW_MLG GRADE 10'!$B$7:$B$31,'PW_MLG GRADE 10'!AL$7:AL$31,"",0,1)="P",
   _xlfn.XLOOKUP($B27,'PW_MLG GRADE 10'!$B$7:$B$31,'PW_MLG GRADE 10'!#REF!,"",0,1)&lt;=TODAY()-MOD(WEEKDAY(TODAY(),2)-5,7)),$D27,0)</f>
        <v>#REF!</v>
      </c>
      <c r="BP77" s="65" t="e">
        <f ca="1">IF(AND($D27&lt;&gt;0,_xlfn.XLOOKUP($B27,'PW_MLG GRADE 10'!$B$7:$B$31,'PW_MLG GRADE 10'!AM$7:AM$31,"",0,1)="P",
   _xlfn.XLOOKUP($B27,'PW_MLG GRADE 10'!$B$7:$B$31,'PW_MLG GRADE 10'!#REF!,"",0,1)&lt;=TODAY()-MOD(WEEKDAY(TODAY(),2)-5,7)),$D27,0)</f>
        <v>#REF!</v>
      </c>
      <c r="BQ77" s="65" t="e">
        <f ca="1">IF(AND($D27&lt;&gt;0,_xlfn.XLOOKUP($B27,'PW_MLG GRADE 10'!$B$7:$B$31,'PW_MLG GRADE 10'!AN$7:AN$31,"",0,1)="P",
   _xlfn.XLOOKUP($B27,'PW_MLG GRADE 10'!$B$7:$B$31,'PW_MLG GRADE 10'!#REF!,"",0,1)&lt;=TODAY()-MOD(WEEKDAY(TODAY(),2)-5,7)),$D27,0)</f>
        <v>#REF!</v>
      </c>
      <c r="BR77" s="65" t="e">
        <f ca="1">IF(AND($D27&lt;&gt;0,_xlfn.XLOOKUP($B27,'PW_MLG GRADE 10'!$B$7:$B$31,'PW_MLG GRADE 10'!AO$7:AO$31,"",0,1)="P",
   _xlfn.XLOOKUP($B27,'PW_MLG GRADE 10'!$B$7:$B$31,'PW_MLG GRADE 10'!#REF!,"",0,1)&lt;=TODAY()-MOD(WEEKDAY(TODAY(),2)-5,7)),$D27,0)</f>
        <v>#REF!</v>
      </c>
      <c r="BS77" s="65" t="e">
        <f ca="1">IF(AND($D27&lt;&gt;0,_xlfn.XLOOKUP($B27,'PW_MLG GRADE 10'!$B$7:$B$31,'PW_MLG GRADE 10'!AP$7:AP$31,"",0,1)="P",
   _xlfn.XLOOKUP($B27,'PW_MLG GRADE 10'!$B$7:$B$31,'PW_MLG GRADE 10'!#REF!,"",0,1)&lt;=TODAY()-MOD(WEEKDAY(TODAY(),2)-5,7)),$D27,0)</f>
        <v>#REF!</v>
      </c>
      <c r="BT77" s="65" t="e">
        <f ca="1">IF(AND($D27&lt;&gt;0,_xlfn.XLOOKUP($B27,'PW_MLG GRADE 10'!$B$7:$B$31,'PW_MLG GRADE 10'!AQ$7:AQ$31,"",0,1)="P",
   _xlfn.XLOOKUP($B27,'PW_MLG GRADE 10'!$B$7:$B$31,'PW_MLG GRADE 10'!#REF!,"",0,1)&lt;=TODAY()-MOD(WEEKDAY(TODAY(),2)-5,7)),$D27,0)</f>
        <v>#REF!</v>
      </c>
      <c r="BU77" s="65" t="e">
        <f ca="1">IF(AND($D27&lt;&gt;0,_xlfn.XLOOKUP($B27,'PW_MLG GRADE 10'!$B$7:$B$31,'PW_MLG GRADE 10'!AR$7:AR$31,"",0,1)="P",
   _xlfn.XLOOKUP($B27,'PW_MLG GRADE 10'!$B$7:$B$31,'PW_MLG GRADE 10'!#REF!,"",0,1)&lt;=TODAY()-MOD(WEEKDAY(TODAY(),2)-5,7)),$D27,0)</f>
        <v>#REF!</v>
      </c>
      <c r="BV77" s="65" t="e">
        <f ca="1">IF(AND($D27&lt;&gt;0,_xlfn.XLOOKUP($B27,'PW_MLG GRADE 10'!$B$7:$B$31,'PW_MLG GRADE 10'!AY$7:AY$31,"",0,1)="P",
   _xlfn.XLOOKUP($B27,'PW_MLG GRADE 10'!$B$7:$B$31,'PW_MLG GRADE 10'!#REF!,"",0,1)&lt;=TODAY()-MOD(WEEKDAY(TODAY(),2)-5,7)),$D27,0)</f>
        <v>#REF!</v>
      </c>
      <c r="BW77" s="65" t="e">
        <f ca="1">IF(AND($D27&lt;&gt;0,_xlfn.XLOOKUP($B27,'PW_MLG GRADE 10'!$B$7:$B$31,'PW_MLG GRADE 10'!AZ$7:AZ$31,"",0,1)="P",
   _xlfn.XLOOKUP($B27,'PW_MLG GRADE 10'!$B$7:$B$31,'PW_MLG GRADE 10'!#REF!,"",0,1)&lt;=TODAY()-MOD(WEEKDAY(TODAY(),2)-5,7)),$D27,0)</f>
        <v>#REF!</v>
      </c>
      <c r="BX77" s="65" t="e">
        <f ca="1">IF(AND($D27&lt;&gt;0,_xlfn.XLOOKUP($B27,'PW_MLG GRADE 10'!$B$7:$B$31,'PW_MLG GRADE 10'!BA$7:BA$31,"",0,1)="P",
   _xlfn.XLOOKUP($B27,'PW_MLG GRADE 10'!$B$7:$B$31,'PW_MLG GRADE 10'!#REF!,"",0,1)&lt;=TODAY()-MOD(WEEKDAY(TODAY(),2)-5,7)),$D27,0)</f>
        <v>#REF!</v>
      </c>
      <c r="BY77" s="65" t="e">
        <f ca="1">IF(AND($D27&lt;&gt;0,_xlfn.XLOOKUP($B27,'PW_MLG GRADE 10'!$B$7:$B$31,'PW_MLG GRADE 10'!BB$7:BB$31,"",0,1)="P",
   _xlfn.XLOOKUP($B27,'PW_MLG GRADE 10'!$B$7:$B$31,'PW_MLG GRADE 10'!#REF!,"",0,1)&lt;=TODAY()-MOD(WEEKDAY(TODAY(),2)-5,7)),$D27,0)</f>
        <v>#REF!</v>
      </c>
      <c r="BZ77" s="65" t="e">
        <f ca="1">IF(AND($D27&lt;&gt;0,_xlfn.XLOOKUP($B27,'PW_MLG GRADE 10'!$B$7:$B$31,'PW_MLG GRADE 10'!BC$7:BC$31,"",0,1)="P",
   _xlfn.XLOOKUP($B27,'PW_MLG GRADE 10'!$B$7:$B$31,'PW_MLG GRADE 10'!#REF!,"",0,1)&lt;=TODAY()-MOD(WEEKDAY(TODAY(),2)-5,7)),$D27,0)</f>
        <v>#REF!</v>
      </c>
      <c r="CA77" s="65" t="e">
        <f ca="1">IF(AND($D27&lt;&gt;0,_xlfn.XLOOKUP($B27,'PW_MLG GRADE 10'!$B$7:$B$31,'PW_MLG GRADE 10'!BD$7:BD$31,"",0,1)="P",
   _xlfn.XLOOKUP($B27,'PW_MLG GRADE 10'!$B$7:$B$31,'PW_MLG GRADE 10'!#REF!,"",0,1)&lt;=TODAY()-MOD(WEEKDAY(TODAY(),2)-5,7)),$D27,0)</f>
        <v>#REF!</v>
      </c>
      <c r="CB77" s="65" t="e">
        <f ca="1">IF(AND($D27&lt;&gt;0,_xlfn.XLOOKUP($B27,'PW_MLG GRADE 10'!$B$7:$B$31,'PW_MLG GRADE 10'!BE$7:BE$31,"",0,1)="P",
   _xlfn.XLOOKUP($B27,'PW_MLG GRADE 10'!$B$7:$B$31,'PW_MLG GRADE 10'!#REF!,"",0,1)&lt;=TODAY()-MOD(WEEKDAY(TODAY(),2)-5,7)),$D27,0)</f>
        <v>#REF!</v>
      </c>
      <c r="CC77" s="65" t="e">
        <f ca="1">IF(AND($D27&lt;&gt;0,_xlfn.XLOOKUP($B27,'PW_MLG GRADE 10'!$B$7:$B$31,'PW_MLG GRADE 10'!BF$7:BF$31,"",0,1)="P",
   _xlfn.XLOOKUP($B27,'PW_MLG GRADE 10'!$B$7:$B$31,'PW_MLG GRADE 10'!#REF!,"",0,1)&lt;=TODAY()-MOD(WEEKDAY(TODAY(),2)-5,7)),$D27,0)</f>
        <v>#REF!</v>
      </c>
      <c r="CD77" s="65" t="e">
        <f ca="1">IF(AND($D27&lt;&gt;0,_xlfn.XLOOKUP($B27,'PW_MLG GRADE 10'!$B$7:$B$31,'PW_MLG GRADE 10'!BG$7:BG$31,"",0,1)="P",
   _xlfn.XLOOKUP($B27,'PW_MLG GRADE 10'!$B$7:$B$31,'PW_MLG GRADE 10'!#REF!,"",0,1)&lt;=TODAY()-MOD(WEEKDAY(TODAY(),2)-5,7)),$D27,0)</f>
        <v>#REF!</v>
      </c>
      <c r="CE77" s="67">
        <f ca="1">IF(AND($D27&lt;&gt;0,_xlfn.XLOOKUP($B27,'PW_CMI GRADE 10'!$B$7:$B$31,'PW_CMI GRADE 10'!AY$7:AY$31,"",0,1)="P",
   _xlfn.XLOOKUP($B27,'PW_CMI GRADE 10'!$B$7:$B$31,'PW_CMI GRADE 10'!$U$7:$U$31,"",0,1)&lt;=TODAY()-MOD(WEEKDAY(TODAY(),2)-5,7)),$D27,0)</f>
        <v>0</v>
      </c>
      <c r="CF77" s="67">
        <f ca="1">IF(AND($D27&lt;&gt;0,_xlfn.XLOOKUP($B27,'PW_CMI GRADE 10'!$B$7:$B$31,'PW_CMI GRADE 10'!AZ$7:AZ$31,"",0,1)="P",
   _xlfn.XLOOKUP($B27,'PW_CMI GRADE 10'!$B$7:$B$31,'PW_CMI GRADE 10'!$V$7:$V$31,"",0,1)&lt;=TODAY()-MOD(WEEKDAY(TODAY(),2)-5,7)),$D27,0)</f>
        <v>0</v>
      </c>
      <c r="CG77" s="67">
        <f ca="1">IF(AND($D27&lt;&gt;0,_xlfn.XLOOKUP($B27,'PW_CMI GRADE 10'!$B$7:$B$31,'PW_CMI GRADE 10'!BA$7:BA$31,"",0,1)="P",
   _xlfn.XLOOKUP($B27,'PW_CMI GRADE 10'!$B$7:$B$31,'PW_CMI GRADE 10'!$W$7:$W$31,"",0,1)&lt;=TODAY()-MOD(WEEKDAY(TODAY(),2)-5,7)),$D27,0)</f>
        <v>0</v>
      </c>
      <c r="CH77" s="67">
        <f ca="1">IF(AND($D27&lt;&gt;0,_xlfn.XLOOKUP($B27,'PW_CMI GRADE 10'!$B$7:$B$31,'PW_CMI GRADE 10'!BB$7:BB$31,"",0,1)="P",
   _xlfn.XLOOKUP($B27,'PW_CMI GRADE 10'!$B$7:$B$31,'PW_CMI GRADE 10'!$U$7:$U$31,"",0,1)&lt;=TODAY()-MOD(WEEKDAY(TODAY(),2)-5,7)),$D27,0)</f>
        <v>0</v>
      </c>
      <c r="CI77" s="67">
        <f ca="1">IF(AND($D27&lt;&gt;0,_xlfn.XLOOKUP($B27,'PW_CMI GRADE 10'!$B$7:$B$31,'PW_CMI GRADE 10'!BC$7:BC$31,"",0,1)="P",
   _xlfn.XLOOKUP($B27,'PW_CMI GRADE 10'!$B$7:$B$31,'PW_CMI GRADE 10'!$V$7:$V$31,"",0,1)&lt;=TODAY()-MOD(WEEKDAY(TODAY(),2)-5,7)),$D27,0)</f>
        <v>0</v>
      </c>
      <c r="CJ77" s="67">
        <f ca="1">IF(AND($D27&lt;&gt;0,_xlfn.XLOOKUP($B27,'PW_CMI GRADE 10'!$B$7:$B$31,'PW_CMI GRADE 10'!BD$7:BD$31,"",0,1)="P",
   _xlfn.XLOOKUP($B27,'PW_CMI GRADE 10'!$B$7:$B$31,'PW_CMI GRADE 10'!$W$7:$W$31,"",0,1)&lt;=TODAY()-MOD(WEEKDAY(TODAY(),2)-5,7)),$D27,0)</f>
        <v>0</v>
      </c>
      <c r="CK77" s="67">
        <f ca="1">IF(AND($D27&lt;&gt;0,_xlfn.XLOOKUP($B27,'PW_CMI GRADE 10'!$B$7:$B$31,'PW_CMI GRADE 10'!BE$7:BE$31,"",0,1)="P",
   _xlfn.XLOOKUP($B27,'PW_CMI GRADE 10'!$B$7:$B$31,'PW_CMI GRADE 10'!$U$7:$U$31,"",0,1)&lt;=TODAY()-MOD(WEEKDAY(TODAY(),2)-5,7)),$D27,0)</f>
        <v>0</v>
      </c>
      <c r="CL77" s="67">
        <f ca="1">IF(AND($D27&lt;&gt;0,_xlfn.XLOOKUP($B27,'PW_CMI GRADE 10'!$B$7:$B$31,'PW_CMI GRADE 10'!BF$7:BF$31,"",0,1)="P",
   _xlfn.XLOOKUP($B27,'PW_CMI GRADE 10'!$B$7:$B$31,'PW_CMI GRADE 10'!$V$7:$V$31,"",0,1)&lt;=TODAY()-MOD(WEEKDAY(TODAY(),2)-5,7)),$D27,0)</f>
        <v>0</v>
      </c>
      <c r="CM77" s="67">
        <f ca="1">IF(AND($D27&lt;&gt;0,_xlfn.XLOOKUP($B27,'PW_CMI GRADE 10'!$B$7:$B$31,'PW_CMI GRADE 10'!BG$7:BG$31,"",0,1)="P",
   _xlfn.XLOOKUP($B27,'PW_CMI GRADE 10'!$B$7:$B$31,'PW_CMI GRADE 10'!$W$7:$W$31,"",0,1)&lt;=TODAY()-MOD(WEEKDAY(TODAY(),2)-5,7)),$D27,0)</f>
        <v>0</v>
      </c>
      <c r="CN77" s="67">
        <f ca="1">IF(AND($D27&lt;&gt;0,_xlfn.XLOOKUP($B27,'PW_CMI GRADE 10'!$B$7:$B$31,'PW_CMI GRADE 10'!BH$7:BH$31,"",0,1)="P",
   _xlfn.XLOOKUP($B27,'PW_CMI GRADE 10'!$B$7:$B$31,'PW_CMI GRADE 10'!$U$7:$U$31,"",0,1)&lt;=TODAY()-MOD(WEEKDAY(TODAY(),2)-5,7)),$D27,0)</f>
        <v>0</v>
      </c>
      <c r="CO77" s="67">
        <f ca="1">IF(AND($D27&lt;&gt;0,_xlfn.XLOOKUP($B27,'PW_CMI GRADE 10'!$B$7:$B$31,'PW_CMI GRADE 10'!BI$7:BI$31,"",0,1)="P",
   _xlfn.XLOOKUP($B27,'PW_CMI GRADE 10'!$B$7:$B$31,'PW_CMI GRADE 10'!$V$7:$V$31,"",0,1)&lt;=TODAY()-MOD(WEEKDAY(TODAY(),2)-5,7)),$D27,0)</f>
        <v>0</v>
      </c>
      <c r="CP77" s="67">
        <f ca="1">IF(AND($D27&lt;&gt;0,_xlfn.XLOOKUP($B27,'PW_CMI GRADE 10'!$B$7:$B$31,'PW_CMI GRADE 10'!BJ$7:BJ$31,"",0,1)="P",
   _xlfn.XLOOKUP($B27,'PW_CMI GRADE 10'!$B$7:$B$31,'PW_CMI GRADE 10'!$W$7:$W$31,"",0,1)&lt;=TODAY()-MOD(WEEKDAY(TODAY(),2)-5,7)),$D27,0)</f>
        <v>0</v>
      </c>
      <c r="CQ77" s="67">
        <f ca="1">IF(AND($D27&lt;&gt;0,_xlfn.XLOOKUP($B27,'PW_CMI GRADE 10'!$B$7:$B$31,'PW_CMI GRADE 10'!BK$7:BK$31,"",0,1)="P",
   _xlfn.XLOOKUP($B27,'PW_CMI GRADE 10'!$B$7:$B$31,'PW_CMI GRADE 10'!$U$7:$U$31,"",0,1)&lt;=TODAY()-MOD(WEEKDAY(TODAY(),2)-5,7)),$D27,0)</f>
        <v>0</v>
      </c>
      <c r="CR77" s="67">
        <f ca="1">IF(AND($D27&lt;&gt;0,_xlfn.XLOOKUP($B27,'PW_CMI GRADE 10'!$B$7:$B$31,'PW_CMI GRADE 10'!BL$7:BL$31,"",0,1)="P",
   _xlfn.XLOOKUP($B27,'PW_CMI GRADE 10'!$B$7:$B$31,'PW_CMI GRADE 10'!$V$7:$V$31,"",0,1)&lt;=TODAY()-MOD(WEEKDAY(TODAY(),2)-5,7)),$D27,0)</f>
        <v>0</v>
      </c>
      <c r="CS77" s="67">
        <f ca="1">IF(AND($D27&lt;&gt;0,_xlfn.XLOOKUP($B27,'PW_CMI GRADE 10'!$B$7:$B$31,'PW_CMI GRADE 10'!BM$7:BM$31,"",0,1)="P",
   _xlfn.XLOOKUP($B27,'PW_CMI GRADE 10'!$B$7:$B$31,'PW_CMI GRADE 10'!$W$7:$W$31,"",0,1)&lt;=TODAY()-MOD(WEEKDAY(TODAY(),2)-5,7)),$D27,0)</f>
        <v>0</v>
      </c>
      <c r="CT77" s="67">
        <f ca="1">IF(AND($D27&lt;&gt;0,_xlfn.XLOOKUP($B27,'PW_CMI GRADE 10'!$B$7:$B$31,'PW_CMI GRADE 10'!BN$7:BN$31,"",0,1)="P",
   _xlfn.XLOOKUP($B27,'PW_CMI GRADE 10'!$B$7:$B$31,'PW_CMI GRADE 10'!$U$7:$U$31,"",0,1)&lt;=TODAY()-MOD(WEEKDAY(TODAY(),2)-5,7)),$D27,0)</f>
        <v>0</v>
      </c>
      <c r="CU77" s="67">
        <f ca="1">IF(AND($D27&lt;&gt;0,_xlfn.XLOOKUP($B27,'PW_CMI GRADE 10'!$B$7:$B$31,'PW_CMI GRADE 10'!BO$7:BO$31,"",0,1)="P",
   _xlfn.XLOOKUP($B27,'PW_CMI GRADE 10'!$B$7:$B$31,'PW_CMI GRADE 10'!$V$7:$V$31,"",0,1)&lt;=TODAY()-MOD(WEEKDAY(TODAY(),2)-5,7)),$D27,0)</f>
        <v>0</v>
      </c>
      <c r="CV77" s="67">
        <f ca="1">IF(AND($D27&lt;&gt;0,_xlfn.XLOOKUP($B27,'PW_CMI GRADE 10'!$B$7:$B$31,'PW_CMI GRADE 10'!BP$7:BP$31,"",0,1)="P",
   _xlfn.XLOOKUP($B27,'PW_CMI GRADE 10'!$B$7:$B$31,'PW_CMI GRADE 10'!$W$7:$W$31,"",0,1)&lt;=TODAY()-MOD(WEEKDAY(TODAY(),2)-5,7)),$D27,0)</f>
        <v>0</v>
      </c>
      <c r="CW77" s="62" t="e">
        <f t="shared" ca="1" si="132"/>
        <v>#REF!</v>
      </c>
      <c r="CX77" s="62" t="e">
        <f t="shared" ca="1" si="69"/>
        <v>#REF!</v>
      </c>
      <c r="CY77" s="62" t="e">
        <f t="shared" ca="1" si="70"/>
        <v>#REF!</v>
      </c>
      <c r="CZ77" s="62" t="e">
        <f t="shared" ca="1" si="71"/>
        <v>#REF!</v>
      </c>
      <c r="DA77" s="62" t="e">
        <f t="shared" ca="1" si="72"/>
        <v>#REF!</v>
      </c>
      <c r="DB77" s="62" t="e">
        <f t="shared" ca="1" si="73"/>
        <v>#REF!</v>
      </c>
      <c r="DC77" s="62" t="e">
        <f t="shared" ca="1" si="74"/>
        <v>#REF!</v>
      </c>
      <c r="DD77" s="62" t="e">
        <f t="shared" ca="1" si="75"/>
        <v>#REF!</v>
      </c>
      <c r="DE77" s="62" t="e">
        <f t="shared" ca="1" si="76"/>
        <v>#REF!</v>
      </c>
      <c r="DF77" s="62" t="e">
        <f t="shared" ca="1" si="77"/>
        <v>#REF!</v>
      </c>
      <c r="DG77" s="62" t="e">
        <f t="shared" ca="1" si="78"/>
        <v>#REF!</v>
      </c>
      <c r="DH77" s="62" t="e">
        <f t="shared" ca="1" si="79"/>
        <v>#REF!</v>
      </c>
      <c r="DI77" s="62" t="e">
        <f t="shared" ca="1" si="80"/>
        <v>#REF!</v>
      </c>
      <c r="DJ77" s="62" t="e">
        <f t="shared" ca="1" si="81"/>
        <v>#REF!</v>
      </c>
      <c r="DK77" s="62" t="e">
        <f t="shared" ca="1" si="82"/>
        <v>#REF!</v>
      </c>
      <c r="DL77" s="62" t="e">
        <f t="shared" ca="1" si="83"/>
        <v>#REF!</v>
      </c>
      <c r="DM77" s="62" t="e">
        <f t="shared" ca="1" si="84"/>
        <v>#REF!</v>
      </c>
      <c r="DN77" s="62" t="e">
        <f t="shared" ca="1" si="85"/>
        <v>#REF!</v>
      </c>
      <c r="DO77" s="62" t="e">
        <f t="shared" ca="1" si="86"/>
        <v>#REF!</v>
      </c>
      <c r="DP77" s="62" t="e">
        <f t="shared" ca="1" si="87"/>
        <v>#REF!</v>
      </c>
      <c r="DQ77" s="62" t="e">
        <f t="shared" ca="1" si="88"/>
        <v>#REF!</v>
      </c>
      <c r="DR77" s="62" t="e">
        <f t="shared" ca="1" si="89"/>
        <v>#REF!</v>
      </c>
      <c r="DS77" s="62" t="e">
        <f t="shared" ca="1" si="90"/>
        <v>#REF!</v>
      </c>
      <c r="DT77" s="62" t="e">
        <f t="shared" ca="1" si="91"/>
        <v>#REF!</v>
      </c>
      <c r="DU77" s="62" t="e">
        <f t="shared" ca="1" si="92"/>
        <v>#REF!</v>
      </c>
      <c r="DV77" s="62" t="e">
        <f t="shared" ca="1" si="93"/>
        <v>#REF!</v>
      </c>
      <c r="DW77" s="62" t="e">
        <f t="shared" ca="1" si="94"/>
        <v>#REF!</v>
      </c>
      <c r="DX77" s="62" t="e">
        <f t="shared" ca="1" si="95"/>
        <v>#REF!</v>
      </c>
      <c r="DY77" s="62" t="e">
        <f t="shared" ca="1" si="96"/>
        <v>#REF!</v>
      </c>
      <c r="DZ77" s="62" t="e">
        <f t="shared" ca="1" si="97"/>
        <v>#REF!</v>
      </c>
      <c r="EA77" s="63" t="e">
        <f t="shared" ca="1" si="98"/>
        <v>#REF!</v>
      </c>
      <c r="EB77" s="63" t="e">
        <f t="shared" ca="1" si="99"/>
        <v>#REF!</v>
      </c>
      <c r="EC77" s="63" t="e">
        <f t="shared" ca="1" si="100"/>
        <v>#REF!</v>
      </c>
      <c r="ED77" s="63" t="e">
        <f t="shared" ca="1" si="101"/>
        <v>#REF!</v>
      </c>
      <c r="EE77" s="63" t="e">
        <f t="shared" ca="1" si="102"/>
        <v>#REF!</v>
      </c>
      <c r="EF77" s="63" t="e">
        <f t="shared" ca="1" si="103"/>
        <v>#REF!</v>
      </c>
      <c r="EG77" s="63" t="e">
        <f t="shared" ca="1" si="104"/>
        <v>#REF!</v>
      </c>
      <c r="EH77" s="63" t="e">
        <f t="shared" ca="1" si="105"/>
        <v>#REF!</v>
      </c>
      <c r="EI77" s="63" t="e">
        <f t="shared" ca="1" si="106"/>
        <v>#REF!</v>
      </c>
      <c r="EJ77" s="63" t="e">
        <f t="shared" ca="1" si="107"/>
        <v>#REF!</v>
      </c>
      <c r="EK77" s="63" t="e">
        <f t="shared" ca="1" si="108"/>
        <v>#REF!</v>
      </c>
      <c r="EL77" s="63" t="e">
        <f t="shared" ca="1" si="109"/>
        <v>#REF!</v>
      </c>
      <c r="EM77" s="63" t="e">
        <f t="shared" ca="1" si="110"/>
        <v>#REF!</v>
      </c>
      <c r="EN77" s="63" t="e">
        <f t="shared" ca="1" si="111"/>
        <v>#REF!</v>
      </c>
      <c r="EO77" s="63" t="e">
        <f t="shared" ca="1" si="112"/>
        <v>#REF!</v>
      </c>
      <c r="EP77" s="63" t="e">
        <f t="shared" ca="1" si="113"/>
        <v>#REF!</v>
      </c>
    </row>
    <row r="78" spans="1:171">
      <c r="A78" s="64" t="str">
        <f t="shared" si="131"/>
        <v>4A.2</v>
      </c>
      <c r="B78" s="64" t="s">
        <v>59</v>
      </c>
      <c r="C78" s="30">
        <v>0</v>
      </c>
      <c r="D78" s="30">
        <v>1</v>
      </c>
      <c r="E78" s="65">
        <f ca="1">IF(AND($D28&lt;&gt;0,_xlfn.XLOOKUP($B28,'TH_MLG GRADE 10'!$B$7:$B$49,'TH_MLG GRADE 10'!C$7:C$49,"",0,1)="P",
   _xlfn.XLOOKUP($B28,'TH_MLG GRADE 10'!$B$7:$B$49,'TH_MLG GRADE 10'!$BK$7:$BK$49,"",0,1)&lt;=TODAY()-MOD(WEEKDAY(TODAY(),2)-5,7)),$D28,0)</f>
        <v>0</v>
      </c>
      <c r="F78" s="65">
        <f ca="1">IF(AND($D28&lt;&gt;0,_xlfn.XLOOKUP($B28,'TH_MLG GRADE 10'!$B$7:$B$49,'TH_MLG GRADE 10'!D$7:D$49,"",0,1)="P",
   _xlfn.XLOOKUP($B28,'TH_MLG GRADE 10'!$B$7:$B$49,'TH_MLG GRADE 10'!$BL$7:$BL$49,"",0,1)&lt;=TODAY()-MOD(WEEKDAY(TODAY(),2)-5,7)),$D28,0)</f>
        <v>0</v>
      </c>
      <c r="G78" s="65">
        <f ca="1">IF(AND($D28&lt;&gt;0,_xlfn.XLOOKUP($B28,'TH_MLG GRADE 10'!$B$7:$B$49,'TH_MLG GRADE 10'!E$7:E$49,"",0,1)="P",
   _xlfn.XLOOKUP($B28,'TH_MLG GRADE 10'!$B$7:$B$49,'TH_MLG GRADE 10'!$BM$7:$BM$49,"",0,1)&lt;=TODAY()-MOD(WEEKDAY(TODAY(),2)-5,7)),$D28,0)</f>
        <v>0</v>
      </c>
      <c r="H78" s="65">
        <f ca="1">IF(AND($D28&lt;&gt;0,_xlfn.XLOOKUP($B28,'TH_MLG GRADE 10'!$B$7:$B$49,'TH_MLG GRADE 10'!I$7:I$49,"",0,1)="P",
   _xlfn.XLOOKUP($B28,'TH_MLG GRADE 10'!$B$7:$B$49,'TH_MLG GRADE 10'!$BK$7:$BK$49,"",0,1)&lt;=TODAY()-MOD(WEEKDAY(TODAY(),2)-5,7)),$D28,0)</f>
        <v>0</v>
      </c>
      <c r="I78" s="65">
        <f ca="1">IF(AND($D28&lt;&gt;0,_xlfn.XLOOKUP($B28,'TH_MLG GRADE 10'!$B$7:$B$49,'TH_MLG GRADE 10'!J$7:J$49,"",0,1)="P",
   _xlfn.XLOOKUP($B28,'TH_MLG GRADE 10'!$B$7:$B$49,'TH_MLG GRADE 10'!$BL$7:$BL$49,"",0,1)&lt;=TODAY()-MOD(WEEKDAY(TODAY(),2)-5,7)),$D28,0)</f>
        <v>0</v>
      </c>
      <c r="J78" s="65">
        <f ca="1">IF(AND($D28&lt;&gt;0,_xlfn.XLOOKUP($B28,'TH_MLG GRADE 10'!$B$7:$B$49,'TH_MLG GRADE 10'!K$7:K$49,"",0,1)="P",
   _xlfn.XLOOKUP($B28,'TH_MLG GRADE 10'!$B$7:$B$49,'TH_MLG GRADE 10'!$BM$7:$BM$49,"",0,1)&lt;=TODAY()-MOD(WEEKDAY(TODAY(),2)-5,7)),$D28,0)</f>
        <v>0</v>
      </c>
      <c r="K78" s="65">
        <f ca="1">IF(AND($D28&lt;&gt;0,_xlfn.XLOOKUP($B28,'TH_MLG GRADE 10'!$B$7:$B$49,'TH_MLG GRADE 10'!O$7:O$49,"",0,1)="P",
   _xlfn.XLOOKUP($B28,'TH_MLG GRADE 10'!$B$7:$B$49,'TH_MLG GRADE 10'!$BK$7:$BK$49,"",0,1)&lt;=TODAY()-MOD(WEEKDAY(TODAY(),2)-5,7)),$D28,0)</f>
        <v>0</v>
      </c>
      <c r="L78" s="65">
        <f ca="1">IF(AND($D28&lt;&gt;0,_xlfn.XLOOKUP($B28,'TH_MLG GRADE 10'!$B$7:$B$49,'TH_MLG GRADE 10'!P$7:P$49,"",0,1)="P",
   _xlfn.XLOOKUP($B28,'TH_MLG GRADE 10'!$B$7:$B$49,'TH_MLG GRADE 10'!$BL$7:$BL$49,"",0,1)&lt;=TODAY()-MOD(WEEKDAY(TODAY(),2)-5,7)),$D28,0)</f>
        <v>0</v>
      </c>
      <c r="M78" s="65">
        <f ca="1">IF(AND($D28&lt;&gt;0,_xlfn.XLOOKUP($B28,'TH_MLG GRADE 10'!$B$7:$B$49,'TH_MLG GRADE 10'!Q$7:Q$49,"",0,1)="P",
   _xlfn.XLOOKUP($B28,'TH_MLG GRADE 10'!$B$7:$B$49,'TH_MLG GRADE 10'!$BM$7:$BM$49,"",0,1)&lt;=TODAY()-MOD(WEEKDAY(TODAY(),2)-5,7)),$D28,0)</f>
        <v>0</v>
      </c>
      <c r="N78" s="65">
        <f ca="1">IF(AND($D28&lt;&gt;0,_xlfn.XLOOKUP($B28,'TH_MLG GRADE 10'!$B$7:$B$49,'TH_MLG GRADE 10'!AA$7:AA$49,"",0,1)="P",
   _xlfn.XLOOKUP($B28,'TH_MLG GRADE 10'!$B$7:$B$49,'TH_MLG GRADE 10'!$BK$7:$BK$49,"",0,1)&lt;=TODAY()-MOD(WEEKDAY(TODAY(),2)-5,7)),$D28,0)</f>
        <v>1</v>
      </c>
      <c r="O78" s="65">
        <f ca="1">IF(AND($D28&lt;&gt;0,_xlfn.XLOOKUP($B28,'TH_MLG GRADE 10'!$B$7:$B$49,'TH_MLG GRADE 10'!AB$7:AB$49,"",0,1)="P",
   _xlfn.XLOOKUP($B28,'TH_MLG GRADE 10'!$B$7:$B$49,'TH_MLG GRADE 10'!$BL$7:$BL$49,"",0,1)&lt;=TODAY()-MOD(WEEKDAY(TODAY(),2)-5,7)),$D28,0)</f>
        <v>0</v>
      </c>
      <c r="P78" s="65">
        <f ca="1">IF(AND($D28&lt;&gt;0,_xlfn.XLOOKUP($B28,'TH_MLG GRADE 10'!$B$7:$B$49,'TH_MLG GRADE 10'!AC$7:AC$49,"",0,1)="P",
   _xlfn.XLOOKUP($B28,'TH_MLG GRADE 10'!$B$7:$B$49,'TH_MLG GRADE 10'!$BM$7:$BM$49,"",0,1)&lt;=TODAY()-MOD(WEEKDAY(TODAY(),2)-5,7)),$D28,0)</f>
        <v>0</v>
      </c>
      <c r="Q78" s="65">
        <f ca="1">IF(AND($D28&lt;&gt;0,_xlfn.XLOOKUP($B28,'TH_MLG GRADE 10'!$B$7:$B$49,'TH_MLG GRADE 10'!AG$7:AG$49,"",0,1)="P",
   _xlfn.XLOOKUP($B28,'TH_MLG GRADE 10'!$B$7:$B$49,'TH_MLG GRADE 10'!$BK$7:$BK$49,"",0,1)&lt;=TODAY()-MOD(WEEKDAY(TODAY(),2)-5,7)),$D28,0)</f>
        <v>1</v>
      </c>
      <c r="R78" s="65">
        <f ca="1">IF(AND($D28&lt;&gt;0,_xlfn.XLOOKUP($B28,'TH_MLG GRADE 10'!$B$7:$B$49,'TH_MLG GRADE 10'!AH$7:AH$49,"",0,1)="P",
   _xlfn.XLOOKUP($B28,'TH_MLG GRADE 10'!$B$7:$B$49,'TH_MLG GRADE 10'!$BL$7:$BL$49,"",0,1)&lt;=TODAY()-MOD(WEEKDAY(TODAY(),2)-5,7)),$D28,0)</f>
        <v>1</v>
      </c>
      <c r="S78" s="65">
        <f ca="1">IF(AND($D28&lt;&gt;0,_xlfn.XLOOKUP($B28,'TH_MLG GRADE 10'!$B$7:$B$49,'TH_MLG GRADE 10'!AI$7:AI$49,"",0,1)="P",
   _xlfn.XLOOKUP($B28,'TH_MLG GRADE 10'!$B$7:$B$49,'TH_MLG GRADE 10'!$BM$7:$BM$49,"",0,1)&lt;=TODAY()-MOD(WEEKDAY(TODAY(),2)-5,7)),$D28,0)</f>
        <v>1</v>
      </c>
      <c r="T78" s="65">
        <f ca="1">IF(AND($D28&lt;&gt;0,_xlfn.XLOOKUP($B28,'TH_MLG GRADE 10'!$B$7:$B$49,'TH_MLG GRADE 10'!AM$7:AM$49,"",0,1)="P",
   _xlfn.XLOOKUP($B28,'TH_MLG GRADE 10'!$B$7:$B$49,'TH_MLG GRADE 10'!$BK$7:$BK$49,"",0,1)&lt;=TODAY()-MOD(WEEKDAY(TODAY(),2)-5,7)),$D28,0)</f>
        <v>0</v>
      </c>
      <c r="U78" s="65">
        <f ca="1">IF(AND($D28&lt;&gt;0,_xlfn.XLOOKUP($B28,'TH_MLG GRADE 10'!$B$7:$B$49,'TH_MLG GRADE 10'!AN$7:AN$49,"",0,1)="P",
   _xlfn.XLOOKUP($B28,'TH_MLG GRADE 10'!$B$7:$B$49,'TH_MLG GRADE 10'!$BL$7:$BL$49,"",0,1)&lt;=TODAY()-MOD(WEEKDAY(TODAY(),2)-5,7)),$D28,0)</f>
        <v>0</v>
      </c>
      <c r="V78" s="65">
        <f ca="1">IF(AND($D28&lt;&gt;0,_xlfn.XLOOKUP($B28,'TH_MLG GRADE 10'!$B$7:$B$49,'TH_MLG GRADE 10'!AO$7:AO$49,"",0,1)="P",
   _xlfn.XLOOKUP($B28,'TH_MLG GRADE 10'!$B$7:$B$49,'TH_MLG GRADE 10'!$BM$7:$BM$49,"",0,1)&lt;=TODAY()-MOD(WEEKDAY(TODAY(),2)-5,7)),$D28,0)</f>
        <v>0</v>
      </c>
      <c r="W78" s="65">
        <f ca="1">IF(AND($D28&lt;&gt;0,_xlfn.XLOOKUP($B28,'TH_MLG GRADE 10'!$B$7:$B$49,'TH_MLG GRADE 10'!AY$7:AY$49,"",0,1)="P",
   _xlfn.XLOOKUP($B28,'TH_MLG GRADE 10'!$B$7:$B$49,'TH_MLG GRADE 10'!$BK$7:$BK$49,"",0,1)&lt;=TODAY()-MOD(WEEKDAY(TODAY(),2)-5,7)),$D28,0)</f>
        <v>0</v>
      </c>
      <c r="X78" s="65">
        <f ca="1">IF(AND($D28&lt;&gt;0,_xlfn.XLOOKUP($B28,'TH_MLG GRADE 10'!$B$7:$B$49,'TH_MLG GRADE 10'!AZ$7:AZ$49,"",0,1)="P",
   _xlfn.XLOOKUP($B28,'TH_MLG GRADE 10'!$B$7:$B$49,'TH_MLG GRADE 10'!$BL$7:$BL$49,"",0,1)&lt;=TODAY()-MOD(WEEKDAY(TODAY(),2)-5,7)),$D28,0)</f>
        <v>0</v>
      </c>
      <c r="Y78" s="65">
        <f ca="1">IF(AND($D28&lt;&gt;0,_xlfn.XLOOKUP($B28,'TH_MLG GRADE 10'!$B$7:$B$49,'TH_MLG GRADE 10'!BA$7:BA$49,"",0,1)="P",
   _xlfn.XLOOKUP($B28,'TH_MLG GRADE 10'!$B$7:$B$49,'TH_MLG GRADE 10'!$BM$7:$BM$49,"",0,1)&lt;=TODAY()-MOD(WEEKDAY(TODAY(),2)-5,7)),$D28,0)</f>
        <v>0</v>
      </c>
      <c r="Z78" s="65">
        <f ca="1">IF(AND($D28&lt;&gt;0,_xlfn.XLOOKUP($B28,'TH_MLG GRADE 10'!$B$7:$B$49,'TH_MLG GRADE 10'!BE$7:BE$49,"",0,1)="P",
   _xlfn.XLOOKUP($B28,'TH_MLG GRADE 10'!$B$7:$B$49,'TH_MLG GRADE 10'!$BK$7:$BK$49,"",0,1)&lt;=TODAY()-MOD(WEEKDAY(TODAY(),2)-5,7)),$D28,0)</f>
        <v>0</v>
      </c>
      <c r="AA78" s="65">
        <f ca="1">IF(AND($D28&lt;&gt;0,_xlfn.XLOOKUP($B28,'TH_MLG GRADE 10'!$B$7:$B$49,'TH_MLG GRADE 10'!BF$7:BF$49,"",0,1)="P",
   _xlfn.XLOOKUP($B28,'TH_MLG GRADE 10'!$B$7:$B$49,'TH_MLG GRADE 10'!$BL$7:$BL$49,"",0,1)&lt;=TODAY()-MOD(WEEKDAY(TODAY(),2)-5,7)),$D28,0)</f>
        <v>0</v>
      </c>
      <c r="AB78" s="65">
        <f ca="1">IF(AND($D28&lt;&gt;0,_xlfn.XLOOKUP($B28,'TH_MLG GRADE 10'!$B$7:$B$49,'TH_MLG GRADE 10'!BG$7:BG$49,"",0,1)="P",
   _xlfn.XLOOKUP($B28,'TH_MLG GRADE 10'!$B$7:$B$49,'TH_MLG GRADE 10'!$BM$7:$BM$49,"",0,1)&lt;=TODAY()-MOD(WEEKDAY(TODAY(),2)-5,7)),$D28,0)</f>
        <v>0</v>
      </c>
      <c r="AC78" s="65" t="e">
        <f ca="1">IF(AND($D28&lt;&gt;0,_xlfn.XLOOKUP($B28,'TH_MLG GRADE 10'!$B$7:$B$49,'TH_MLG GRADE 10'!#REF!,"",0,1)="P",
   _xlfn.XLOOKUP($B28,'TH_MLG GRADE 10'!$B$7:$B$49,'TH_MLG GRADE 10'!$BK$7:$BK$49,"",0,1)&lt;=TODAY()-MOD(WEEKDAY(TODAY(),2)-5,7)),$D28,0)</f>
        <v>#REF!</v>
      </c>
      <c r="AD78" s="65" t="e">
        <f ca="1">IF(AND($D28&lt;&gt;0,_xlfn.XLOOKUP($B28,'TH_MLG GRADE 10'!$B$7:$B$49,'TH_MLG GRADE 10'!#REF!,"",0,1)="P",
   _xlfn.XLOOKUP($B28,'TH_MLG GRADE 10'!$B$7:$B$49,'TH_MLG GRADE 10'!$BL$7:$BL$49,"",0,1)&lt;=TODAY()-MOD(WEEKDAY(TODAY(),2)-5,7)),$D28,0)</f>
        <v>#REF!</v>
      </c>
      <c r="AE78" s="65" t="e">
        <f ca="1">IF(AND($D28&lt;&gt;0,_xlfn.XLOOKUP($B28,'TH_MLG GRADE 10'!$B$7:$B$49,'TH_MLG GRADE 10'!#REF!,"",0,1)="P",
   _xlfn.XLOOKUP($B28,'TH_MLG GRADE 10'!$B$7:$B$49,'TH_MLG GRADE 10'!$BM$7:$BM$49,"",0,1)&lt;=TODAY()-MOD(WEEKDAY(TODAY(),2)-5,7)),$D28,0)</f>
        <v>#REF!</v>
      </c>
      <c r="AF78" s="65" t="e">
        <f ca="1">IF(AND($D28&lt;&gt;0,_xlfn.XLOOKUP($B28,'TH_MLG GRADE 10'!$B$7:$B$49,'TH_MLG GRADE 10'!#REF!,"",0,1)="P",
   _xlfn.XLOOKUP($B28,'TH_MLG GRADE 10'!$B$7:$B$49,'TH_MLG GRADE 10'!$BK$7:$BK$49,"",0,1)&lt;=TODAY()-MOD(WEEKDAY(TODAY(),2)-5,7)),$D28,0)</f>
        <v>#REF!</v>
      </c>
      <c r="AG78" s="65" t="e">
        <f ca="1">IF(AND($D28&lt;&gt;0,_xlfn.XLOOKUP($B28,'TH_MLG GRADE 10'!$B$7:$B$49,'TH_MLG GRADE 10'!#REF!,"",0,1)="P",
   _xlfn.XLOOKUP($B28,'TH_MLG GRADE 10'!$B$7:$B$49,'TH_MLG GRADE 10'!$BL$7:$BL$49,"",0,1)&lt;=TODAY()-MOD(WEEKDAY(TODAY(),2)-5,7)),$D28,0)</f>
        <v>#REF!</v>
      </c>
      <c r="AH78" s="65" t="e">
        <f ca="1">IF(AND($D28&lt;&gt;0,_xlfn.XLOOKUP($B28,'TH_MLG GRADE 10'!$B$7:$B$49,'TH_MLG GRADE 10'!#REF!,"",0,1)="P",
   _xlfn.XLOOKUP($B28,'TH_MLG GRADE 10'!$B$7:$B$49,'TH_MLG GRADE 10'!$BM$7:$BM$49,"",0,1)&lt;=TODAY()-MOD(WEEKDAY(TODAY(),2)-5,7)),$D28,0)</f>
        <v>#REF!</v>
      </c>
      <c r="AI78" s="67">
        <f ca="1">IF(AND($D28&lt;&gt;0,_xlfn.XLOOKUP($B28,'TH_CMI GRADE 10'!$B$7:$B$49,'TH_CMI GRADE 10'!C$7:C$49,"",0,1)="P",
   _xlfn.XLOOKUP($B28,'TH_CMI GRADE 10'!$B$7:$B$49,'TH_CMI GRADE 10'!$AS$7:$AS$49,"",0,1)&lt;=TODAY()-MOD(WEEKDAY(TODAY(),2)-5,7)),$D28,0)</f>
        <v>0</v>
      </c>
      <c r="AJ78" s="67">
        <f ca="1">IF(AND($D28&lt;&gt;0,_xlfn.XLOOKUP($B28,'TH_CMI GRADE 10'!$B$7:$B$49,'TH_CMI GRADE 10'!D$7:D$49,"",0,1)="P",
   _xlfn.XLOOKUP($B28,'TH_CMI GRADE 10'!$B$7:$B$49,'TH_CMI GRADE 10'!$AT$7:$AT$49,"",0,1)&lt;=TODAY()-MOD(WEEKDAY(TODAY(),2)-5,7)),$D28,0)</f>
        <v>0</v>
      </c>
      <c r="AK78" s="67" t="e">
        <f ca="1">IF(AND($D28&lt;&gt;0,_xlfn.XLOOKUP($B28,'TH_CMI GRADE 10'!$B$7:$B$49,'TH_CMI GRADE 10'!H$7:H$49,"",0,1)="P",
   _xlfn.XLOOKUP($B28,'TH_CMI GRADE 10'!$B$7:$B$49,'TH_CMI GRADE 10'!#REF!,"",0,1)&lt;=TODAY()-MOD(WEEKDAY(TODAY(),2)-5,7)),$D28,0)</f>
        <v>#REF!</v>
      </c>
      <c r="AL78" s="67">
        <f ca="1">IF(AND($D28&lt;&gt;0,_xlfn.XLOOKUP($B28,'TH_CMI GRADE 10'!$B$7:$B$49,'TH_CMI GRADE 10'!I$7:I$49,"",0,1)="P",
   _xlfn.XLOOKUP($B28,'TH_CMI GRADE 10'!$B$7:$B$49,'TH_CMI GRADE 10'!$AS$7:$AS$49,"",0,1)&lt;=TODAY()-MOD(WEEKDAY(TODAY(),2)-5,7)),$D28,0)</f>
        <v>0</v>
      </c>
      <c r="AM78" s="67">
        <f ca="1">IF(AND($D28&lt;&gt;0,_xlfn.XLOOKUP($B28,'TH_CMI GRADE 10'!$B$7:$B$49,'TH_CMI GRADE 10'!J$7:J$49,"",0,1)="P",
   _xlfn.XLOOKUP($B28,'TH_CMI GRADE 10'!$B$7:$B$49,'TH_CMI GRADE 10'!$AT$7:$AT$49,"",0,1)&lt;=TODAY()-MOD(WEEKDAY(TODAY(),2)-5,7)),$D28,0)</f>
        <v>0</v>
      </c>
      <c r="AN78" s="67" t="e">
        <f ca="1">IF(AND($D28&lt;&gt;0,_xlfn.XLOOKUP($B28,'TH_CMI GRADE 10'!$B$7:$B$49,'TH_CMI GRADE 10'!K$7:K$49,"",0,1)="P",
   _xlfn.XLOOKUP($B28,'TH_CMI GRADE 10'!$B$7:$B$49,'TH_CMI GRADE 10'!#REF!,"",0,1)&lt;=TODAY()-MOD(WEEKDAY(TODAY(),2)-5,7)),$D28,0)</f>
        <v>#REF!</v>
      </c>
      <c r="AO78" s="67">
        <f ca="1">IF(AND($D28&lt;&gt;0,_xlfn.XLOOKUP($B28,'TH_CMI GRADE 10'!$B$7:$B$49,'TH_CMI GRADE 10'!O$7:O$49,"",0,1)="P",
   _xlfn.XLOOKUP($B28,'TH_CMI GRADE 10'!$B$7:$B$49,'TH_CMI GRADE 10'!$AS$7:$AS$49,"",0,1)&lt;=TODAY()-MOD(WEEKDAY(TODAY(),2)-5,7)),$D28,0)</f>
        <v>0</v>
      </c>
      <c r="AP78" s="67">
        <f ca="1">IF(AND($D28&lt;&gt;0,_xlfn.XLOOKUP($B28,'TH_CMI GRADE 10'!$B$7:$B$49,'TH_CMI GRADE 10'!P$7:P$49,"",0,1)="P",
   _xlfn.XLOOKUP($B28,'TH_CMI GRADE 10'!$B$7:$B$49,'TH_CMI GRADE 10'!$AT$7:$AT$49,"",0,1)&lt;=TODAY()-MOD(WEEKDAY(TODAY(),2)-5,7)),$D28,0)</f>
        <v>0</v>
      </c>
      <c r="AQ78" s="67" t="e">
        <f ca="1">IF(AND($D28&lt;&gt;0,_xlfn.XLOOKUP($B28,'TH_CMI GRADE 10'!$B$7:$B$49,'TH_CMI GRADE 10'!Q$7:Q$49,"",0,1)="P",
   _xlfn.XLOOKUP($B28,'TH_CMI GRADE 10'!$B$7:$B$49,'TH_CMI GRADE 10'!#REF!,"",0,1)&lt;=TODAY()-MOD(WEEKDAY(TODAY(),2)-5,7)),$D28,0)</f>
        <v>#REF!</v>
      </c>
      <c r="AR78" s="67">
        <f ca="1">IF(AND($D28&lt;&gt;0,_xlfn.XLOOKUP($B28,'TH_CMI GRADE 10'!$B$7:$B$49,'TH_CMI GRADE 10'!U$7:U$49,"",0,1)="P",
   _xlfn.XLOOKUP($B28,'TH_CMI GRADE 10'!$B$7:$B$49,'TH_CMI GRADE 10'!$AS$7:$AS$49,"",0,1)&lt;=TODAY()-MOD(WEEKDAY(TODAY(),2)-5,7)),$D28,0)</f>
        <v>0</v>
      </c>
      <c r="AS78" s="67">
        <f ca="1">IF(AND($D28&lt;&gt;0,_xlfn.XLOOKUP($B28,'TH_CMI GRADE 10'!$B$7:$B$49,'TH_CMI GRADE 10'!V$7:V$49,"",0,1)="P",
   _xlfn.XLOOKUP($B28,'TH_CMI GRADE 10'!$B$7:$B$49,'TH_CMI GRADE 10'!$AT$7:$AT$49,"",0,1)&lt;=TODAY()-MOD(WEEKDAY(TODAY(),2)-5,7)),$D28,0)</f>
        <v>0</v>
      </c>
      <c r="AT78" s="67" t="e">
        <f ca="1">IF(AND($D28&lt;&gt;0,_xlfn.XLOOKUP($B28,'TH_CMI GRADE 10'!$B$7:$B$49,'TH_CMI GRADE 10'!W$7:W$49,"",0,1)="P",
   _xlfn.XLOOKUP($B28,'TH_CMI GRADE 10'!$B$7:$B$49,'TH_CMI GRADE 10'!#REF!,"",0,1)&lt;=TODAY()-MOD(WEEKDAY(TODAY(),2)-5,7)),$D28,0)</f>
        <v>#REF!</v>
      </c>
      <c r="AU78" s="67">
        <f ca="1">IF(AND($D28&lt;&gt;0,_xlfn.XLOOKUP($B28,'TH_CMI GRADE 10'!$B$7:$B$49,'TH_CMI GRADE 10'!AA$7:AA$49,"",0,1)="P",
   _xlfn.XLOOKUP($B28,'TH_CMI GRADE 10'!$B$7:$B$49,'TH_CMI GRADE 10'!$AS$7:$AS$49,"",0,1)&lt;=TODAY()-MOD(WEEKDAY(TODAY(),2)-5,7)),$D28,0)</f>
        <v>1</v>
      </c>
      <c r="AV78" s="67">
        <f ca="1">IF(AND($D28&lt;&gt;0,_xlfn.XLOOKUP($B28,'TH_CMI GRADE 10'!$B$7:$B$49,'TH_CMI GRADE 10'!AB$7:AB$49,"",0,1)="P",
   _xlfn.XLOOKUP($B28,'TH_CMI GRADE 10'!$B$7:$B$49,'TH_CMI GRADE 10'!$AT$7:$AT$49,"",0,1)&lt;=TODAY()-MOD(WEEKDAY(TODAY(),2)-5,7)),$D28,0)</f>
        <v>0</v>
      </c>
      <c r="AW78" s="67" t="e">
        <f ca="1">IF(AND($D28&lt;&gt;0,_xlfn.XLOOKUP($B28,'TH_CMI GRADE 10'!$B$7:$B$49,'TH_CMI GRADE 10'!AC$7:AC$49,"",0,1)="P",
   _xlfn.XLOOKUP($B28,'TH_CMI GRADE 10'!$B$7:$B$49,'TH_CMI GRADE 10'!#REF!,"",0,1)&lt;=TODAY()-MOD(WEEKDAY(TODAY(),2)-5,7)),$D28,0)</f>
        <v>#REF!</v>
      </c>
      <c r="AX78" s="67">
        <f ca="1">IF(AND($D28&lt;&gt;0,_xlfn.XLOOKUP($B28,'TH_CMI GRADE 10'!$B$7:$B$49,'TH_CMI GRADE 10'!AG$7:AG$49,"",0,1)="P",
   _xlfn.XLOOKUP($B28,'TH_CMI GRADE 10'!$B$7:$B$49,'TH_CMI GRADE 10'!$AS$7:$AS$49,"",0,1)&lt;=TODAY()-MOD(WEEKDAY(TODAY(),2)-5,7)),$D28,0)</f>
        <v>1</v>
      </c>
      <c r="AY78" s="67">
        <f ca="1">IF(AND($D28&lt;&gt;0,_xlfn.XLOOKUP($B28,'TH_CMI GRADE 10'!$B$7:$B$49,'TH_CMI GRADE 10'!AH$7:AH$49,"",0,1)="P",
   _xlfn.XLOOKUP($B28,'TH_CMI GRADE 10'!$B$7:$B$49,'TH_CMI GRADE 10'!$AT$7:$AT$49,"",0,1)&lt;=TODAY()-MOD(WEEKDAY(TODAY(),2)-5,7)),$D28,0)</f>
        <v>0</v>
      </c>
      <c r="AZ78" s="67" t="e">
        <f ca="1">IF(AND($D28&lt;&gt;0,_xlfn.XLOOKUP($B28,'TH_CMI GRADE 10'!$B$7:$B$49,'TH_CMI GRADE 10'!AI$7:AI$49,"",0,1)="P",
   _xlfn.XLOOKUP($B28,'TH_CMI GRADE 10'!$B$7:$B$49,'TH_CMI GRADE 10'!#REF!,"",0,1)&lt;=TODAY()-MOD(WEEKDAY(TODAY(),2)-5,7)),$D28,0)</f>
        <v>#REF!</v>
      </c>
      <c r="BA78" s="65" t="e">
        <f ca="1">IF(AND($D28&lt;&gt;0,_xlfn.XLOOKUP($B28,'PW_MLG GRADE 10'!$B$7:$B$31,'PW_MLG GRADE 10'!R$7:R$31,"",0,1)="P",
   _xlfn.XLOOKUP($B28,'PW_MLG GRADE 10'!$B$7:$B$31,'PW_MLG GRADE 10'!#REF!,"",0,1)&lt;=TODAY()-MOD(WEEKDAY(TODAY(),2)-5,7)),$D28,0)</f>
        <v>#REF!</v>
      </c>
      <c r="BB78" s="65" t="e">
        <f ca="1">IF(AND($D28&lt;&gt;0,_xlfn.XLOOKUP($B28,'PW_MLG GRADE 10'!$B$7:$B$31,'PW_MLG GRADE 10'!S$7:S$31,"",0,1)="P",
   _xlfn.XLOOKUP($B28,'PW_MLG GRADE 10'!$B$7:$B$31,'PW_MLG GRADE 10'!#REF!,"",0,1)&lt;=TODAY()-MOD(WEEKDAY(TODAY(),2)-5,7)),$D28,0)</f>
        <v>#REF!</v>
      </c>
      <c r="BC78" s="65" t="e">
        <f ca="1">IF(AND($D28&lt;&gt;0,_xlfn.XLOOKUP($B28,'PW_MLG GRADE 10'!$B$7:$B$31,'PW_MLG GRADE 10'!T$7:T$31,"",0,1)="P",
   _xlfn.XLOOKUP($B28,'PW_MLG GRADE 10'!$B$7:$B$31,'PW_MLG GRADE 10'!#REF!,"",0,1)&lt;=TODAY()-MOD(WEEKDAY(TODAY(),2)-5,7)),$D28,0)</f>
        <v>#REF!</v>
      </c>
      <c r="BD78" s="65" t="e">
        <f ca="1">IF(AND($D28&lt;&gt;0,_xlfn.XLOOKUP($B28,'PW_MLG GRADE 10'!$B$7:$B$31,'PW_MLG GRADE 10'!AA$7:AA$31,"",0,1)="P",
   _xlfn.XLOOKUP($B28,'PW_MLG GRADE 10'!$B$7:$B$31,'PW_MLG GRADE 10'!#REF!,"",0,1)&lt;=TODAY()-MOD(WEEKDAY(TODAY(),2)-5,7)),$D28,0)</f>
        <v>#REF!</v>
      </c>
      <c r="BE78" s="65" t="e">
        <f ca="1">IF(AND($D28&lt;&gt;0,_xlfn.XLOOKUP($B28,'PW_MLG GRADE 10'!$B$7:$B$31,'PW_MLG GRADE 10'!AB$7:AB$31,"",0,1)="P",
   _xlfn.XLOOKUP($B28,'PW_MLG GRADE 10'!$B$7:$B$31,'PW_MLG GRADE 10'!#REF!,"",0,1)&lt;=TODAY()-MOD(WEEKDAY(TODAY(),2)-5,7)),$D28,0)</f>
        <v>#REF!</v>
      </c>
      <c r="BF78" s="65" t="e">
        <f ca="1">IF(AND($D28&lt;&gt;0,_xlfn.XLOOKUP($B28,'PW_MLG GRADE 10'!$B$7:$B$31,'PW_MLG GRADE 10'!AC$7:AC$31,"",0,1)="P",
   _xlfn.XLOOKUP($B28,'PW_MLG GRADE 10'!$B$7:$B$31,'PW_MLG GRADE 10'!#REF!,"",0,1)&lt;=TODAY()-MOD(WEEKDAY(TODAY(),2)-5,7)),$D28,0)</f>
        <v>#REF!</v>
      </c>
      <c r="BG78" s="65" t="e">
        <f ca="1">IF(AND($D28&lt;&gt;0,_xlfn.XLOOKUP($B28,'PW_MLG GRADE 10'!$B$7:$B$31,'PW_MLG GRADE 10'!AD$7:AD$31,"",0,1)="P",
   _xlfn.XLOOKUP($B28,'PW_MLG GRADE 10'!$B$7:$B$31,'PW_MLG GRADE 10'!#REF!,"",0,1)&lt;=TODAY()-MOD(WEEKDAY(TODAY(),2)-5,7)),$D28,0)</f>
        <v>#REF!</v>
      </c>
      <c r="BH78" s="65" t="e">
        <f ca="1">IF(AND($D28&lt;&gt;0,_xlfn.XLOOKUP($B28,'PW_MLG GRADE 10'!$B$7:$B$31,'PW_MLG GRADE 10'!AE$7:AE$31,"",0,1)="P",
   _xlfn.XLOOKUP($B28,'PW_MLG GRADE 10'!$B$7:$B$31,'PW_MLG GRADE 10'!#REF!,"",0,1)&lt;=TODAY()-MOD(WEEKDAY(TODAY(),2)-5,7)),$D28,0)</f>
        <v>#REF!</v>
      </c>
      <c r="BI78" s="65" t="e">
        <f ca="1">IF(AND($D28&lt;&gt;0,_xlfn.XLOOKUP($B28,'PW_MLG GRADE 10'!$B$7:$B$31,'PW_MLG GRADE 10'!AF$7:AF$31,"",0,1)="P",
   _xlfn.XLOOKUP($B28,'PW_MLG GRADE 10'!$B$7:$B$31,'PW_MLG GRADE 10'!#REF!,"",0,1)&lt;=TODAY()-MOD(WEEKDAY(TODAY(),2)-5,7)),$D28,0)</f>
        <v>#REF!</v>
      </c>
      <c r="BJ78" s="65" t="e">
        <f ca="1">IF(AND($D28&lt;&gt;0,_xlfn.XLOOKUP($B28,'PW_MLG GRADE 10'!$B$7:$B$31,'PW_MLG GRADE 10'!AG$7:AG$31,"",0,1)="P",
   _xlfn.XLOOKUP($B28,'PW_MLG GRADE 10'!$B$7:$B$31,'PW_MLG GRADE 10'!#REF!,"",0,1)&lt;=TODAY()-MOD(WEEKDAY(TODAY(),2)-5,7)),$D28,0)</f>
        <v>#REF!</v>
      </c>
      <c r="BK78" s="65" t="e">
        <f ca="1">IF(AND($D28&lt;&gt;0,_xlfn.XLOOKUP($B28,'PW_MLG GRADE 10'!$B$7:$B$31,'PW_MLG GRADE 10'!AH$7:AH$31,"",0,1)="P",
   _xlfn.XLOOKUP($B28,'PW_MLG GRADE 10'!$B$7:$B$31,'PW_MLG GRADE 10'!#REF!,"",0,1)&lt;=TODAY()-MOD(WEEKDAY(TODAY(),2)-5,7)),$D28,0)</f>
        <v>#REF!</v>
      </c>
      <c r="BL78" s="65" t="e">
        <f ca="1">IF(AND($D28&lt;&gt;0,_xlfn.XLOOKUP($B28,'PW_MLG GRADE 10'!$B$7:$B$31,'PW_MLG GRADE 10'!AI$7:AI$31,"",0,1)="P",
   _xlfn.XLOOKUP($B28,'PW_MLG GRADE 10'!$B$7:$B$31,'PW_MLG GRADE 10'!#REF!,"",0,1)&lt;=TODAY()-MOD(WEEKDAY(TODAY(),2)-5,7)),$D28,0)</f>
        <v>#REF!</v>
      </c>
      <c r="BM78" s="65" t="e">
        <f ca="1">IF(AND($D28&lt;&gt;0,_xlfn.XLOOKUP($B28,'PW_MLG GRADE 10'!$B$7:$B$31,'PW_MLG GRADE 10'!AJ$7:AJ$31,"",0,1)="P",
   _xlfn.XLOOKUP($B28,'PW_MLG GRADE 10'!$B$7:$B$31,'PW_MLG GRADE 10'!#REF!,"",0,1)&lt;=TODAY()-MOD(WEEKDAY(TODAY(),2)-5,7)),$D28,0)</f>
        <v>#REF!</v>
      </c>
      <c r="BN78" s="65" t="e">
        <f ca="1">IF(AND($D28&lt;&gt;0,_xlfn.XLOOKUP($B28,'PW_MLG GRADE 10'!$B$7:$B$31,'PW_MLG GRADE 10'!AK$7:AK$31,"",0,1)="P",
   _xlfn.XLOOKUP($B28,'PW_MLG GRADE 10'!$B$7:$B$31,'PW_MLG GRADE 10'!#REF!,"",0,1)&lt;=TODAY()-MOD(WEEKDAY(TODAY(),2)-5,7)),$D28,0)</f>
        <v>#REF!</v>
      </c>
      <c r="BO78" s="65" t="e">
        <f ca="1">IF(AND($D28&lt;&gt;0,_xlfn.XLOOKUP($B28,'PW_MLG GRADE 10'!$B$7:$B$31,'PW_MLG GRADE 10'!AL$7:AL$31,"",0,1)="P",
   _xlfn.XLOOKUP($B28,'PW_MLG GRADE 10'!$B$7:$B$31,'PW_MLG GRADE 10'!#REF!,"",0,1)&lt;=TODAY()-MOD(WEEKDAY(TODAY(),2)-5,7)),$D28,0)</f>
        <v>#REF!</v>
      </c>
      <c r="BP78" s="65" t="e">
        <f ca="1">IF(AND($D28&lt;&gt;0,_xlfn.XLOOKUP($B28,'PW_MLG GRADE 10'!$B$7:$B$31,'PW_MLG GRADE 10'!AM$7:AM$31,"",0,1)="P",
   _xlfn.XLOOKUP($B28,'PW_MLG GRADE 10'!$B$7:$B$31,'PW_MLG GRADE 10'!#REF!,"",0,1)&lt;=TODAY()-MOD(WEEKDAY(TODAY(),2)-5,7)),$D28,0)</f>
        <v>#REF!</v>
      </c>
      <c r="BQ78" s="65" t="e">
        <f ca="1">IF(AND($D28&lt;&gt;0,_xlfn.XLOOKUP($B28,'PW_MLG GRADE 10'!$B$7:$B$31,'PW_MLG GRADE 10'!AN$7:AN$31,"",0,1)="P",
   _xlfn.XLOOKUP($B28,'PW_MLG GRADE 10'!$B$7:$B$31,'PW_MLG GRADE 10'!#REF!,"",0,1)&lt;=TODAY()-MOD(WEEKDAY(TODAY(),2)-5,7)),$D28,0)</f>
        <v>#REF!</v>
      </c>
      <c r="BR78" s="65" t="e">
        <f ca="1">IF(AND($D28&lt;&gt;0,_xlfn.XLOOKUP($B28,'PW_MLG GRADE 10'!$B$7:$B$31,'PW_MLG GRADE 10'!AO$7:AO$31,"",0,1)="P",
   _xlfn.XLOOKUP($B28,'PW_MLG GRADE 10'!$B$7:$B$31,'PW_MLG GRADE 10'!#REF!,"",0,1)&lt;=TODAY()-MOD(WEEKDAY(TODAY(),2)-5,7)),$D28,0)</f>
        <v>#REF!</v>
      </c>
      <c r="BS78" s="65" t="e">
        <f ca="1">IF(AND($D28&lt;&gt;0,_xlfn.XLOOKUP($B28,'PW_MLG GRADE 10'!$B$7:$B$31,'PW_MLG GRADE 10'!AP$7:AP$31,"",0,1)="P",
   _xlfn.XLOOKUP($B28,'PW_MLG GRADE 10'!$B$7:$B$31,'PW_MLG GRADE 10'!#REF!,"",0,1)&lt;=TODAY()-MOD(WEEKDAY(TODAY(),2)-5,7)),$D28,0)</f>
        <v>#REF!</v>
      </c>
      <c r="BT78" s="65" t="e">
        <f ca="1">IF(AND($D28&lt;&gt;0,_xlfn.XLOOKUP($B28,'PW_MLG GRADE 10'!$B$7:$B$31,'PW_MLG GRADE 10'!AQ$7:AQ$31,"",0,1)="P",
   _xlfn.XLOOKUP($B28,'PW_MLG GRADE 10'!$B$7:$B$31,'PW_MLG GRADE 10'!#REF!,"",0,1)&lt;=TODAY()-MOD(WEEKDAY(TODAY(),2)-5,7)),$D28,0)</f>
        <v>#REF!</v>
      </c>
      <c r="BU78" s="65" t="e">
        <f ca="1">IF(AND($D28&lt;&gt;0,_xlfn.XLOOKUP($B28,'PW_MLG GRADE 10'!$B$7:$B$31,'PW_MLG GRADE 10'!AR$7:AR$31,"",0,1)="P",
   _xlfn.XLOOKUP($B28,'PW_MLG GRADE 10'!$B$7:$B$31,'PW_MLG GRADE 10'!#REF!,"",0,1)&lt;=TODAY()-MOD(WEEKDAY(TODAY(),2)-5,7)),$D28,0)</f>
        <v>#REF!</v>
      </c>
      <c r="BV78" s="65" t="e">
        <f ca="1">IF(AND($D28&lt;&gt;0,_xlfn.XLOOKUP($B28,'PW_MLG GRADE 10'!$B$7:$B$31,'PW_MLG GRADE 10'!AY$7:AY$31,"",0,1)="P",
   _xlfn.XLOOKUP($B28,'PW_MLG GRADE 10'!$B$7:$B$31,'PW_MLG GRADE 10'!#REF!,"",0,1)&lt;=TODAY()-MOD(WEEKDAY(TODAY(),2)-5,7)),$D28,0)</f>
        <v>#REF!</v>
      </c>
      <c r="BW78" s="65" t="e">
        <f ca="1">IF(AND($D28&lt;&gt;0,_xlfn.XLOOKUP($B28,'PW_MLG GRADE 10'!$B$7:$B$31,'PW_MLG GRADE 10'!AZ$7:AZ$31,"",0,1)="P",
   _xlfn.XLOOKUP($B28,'PW_MLG GRADE 10'!$B$7:$B$31,'PW_MLG GRADE 10'!#REF!,"",0,1)&lt;=TODAY()-MOD(WEEKDAY(TODAY(),2)-5,7)),$D28,0)</f>
        <v>#REF!</v>
      </c>
      <c r="BX78" s="65" t="e">
        <f ca="1">IF(AND($D28&lt;&gt;0,_xlfn.XLOOKUP($B28,'PW_MLG GRADE 10'!$B$7:$B$31,'PW_MLG GRADE 10'!BA$7:BA$31,"",0,1)="P",
   _xlfn.XLOOKUP($B28,'PW_MLG GRADE 10'!$B$7:$B$31,'PW_MLG GRADE 10'!#REF!,"",0,1)&lt;=TODAY()-MOD(WEEKDAY(TODAY(),2)-5,7)),$D28,0)</f>
        <v>#REF!</v>
      </c>
      <c r="BY78" s="65" t="e">
        <f ca="1">IF(AND($D28&lt;&gt;0,_xlfn.XLOOKUP($B28,'PW_MLG GRADE 10'!$B$7:$B$31,'PW_MLG GRADE 10'!BB$7:BB$31,"",0,1)="P",
   _xlfn.XLOOKUP($B28,'PW_MLG GRADE 10'!$B$7:$B$31,'PW_MLG GRADE 10'!#REF!,"",0,1)&lt;=TODAY()-MOD(WEEKDAY(TODAY(),2)-5,7)),$D28,0)</f>
        <v>#REF!</v>
      </c>
      <c r="BZ78" s="65" t="e">
        <f ca="1">IF(AND($D28&lt;&gt;0,_xlfn.XLOOKUP($B28,'PW_MLG GRADE 10'!$B$7:$B$31,'PW_MLG GRADE 10'!BC$7:BC$31,"",0,1)="P",
   _xlfn.XLOOKUP($B28,'PW_MLG GRADE 10'!$B$7:$B$31,'PW_MLG GRADE 10'!#REF!,"",0,1)&lt;=TODAY()-MOD(WEEKDAY(TODAY(),2)-5,7)),$D28,0)</f>
        <v>#REF!</v>
      </c>
      <c r="CA78" s="65" t="e">
        <f ca="1">IF(AND($D28&lt;&gt;0,_xlfn.XLOOKUP($B28,'PW_MLG GRADE 10'!$B$7:$B$31,'PW_MLG GRADE 10'!BD$7:BD$31,"",0,1)="P",
   _xlfn.XLOOKUP($B28,'PW_MLG GRADE 10'!$B$7:$B$31,'PW_MLG GRADE 10'!#REF!,"",0,1)&lt;=TODAY()-MOD(WEEKDAY(TODAY(),2)-5,7)),$D28,0)</f>
        <v>#REF!</v>
      </c>
      <c r="CB78" s="65" t="e">
        <f ca="1">IF(AND($D28&lt;&gt;0,_xlfn.XLOOKUP($B28,'PW_MLG GRADE 10'!$B$7:$B$31,'PW_MLG GRADE 10'!BE$7:BE$31,"",0,1)="P",
   _xlfn.XLOOKUP($B28,'PW_MLG GRADE 10'!$B$7:$B$31,'PW_MLG GRADE 10'!#REF!,"",0,1)&lt;=TODAY()-MOD(WEEKDAY(TODAY(),2)-5,7)),$D28,0)</f>
        <v>#REF!</v>
      </c>
      <c r="CC78" s="65" t="e">
        <f ca="1">IF(AND($D28&lt;&gt;0,_xlfn.XLOOKUP($B28,'PW_MLG GRADE 10'!$B$7:$B$31,'PW_MLG GRADE 10'!BF$7:BF$31,"",0,1)="P",
   _xlfn.XLOOKUP($B28,'PW_MLG GRADE 10'!$B$7:$B$31,'PW_MLG GRADE 10'!#REF!,"",0,1)&lt;=TODAY()-MOD(WEEKDAY(TODAY(),2)-5,7)),$D28,0)</f>
        <v>#REF!</v>
      </c>
      <c r="CD78" s="65" t="e">
        <f ca="1">IF(AND($D28&lt;&gt;0,_xlfn.XLOOKUP($B28,'PW_MLG GRADE 10'!$B$7:$B$31,'PW_MLG GRADE 10'!BG$7:BG$31,"",0,1)="P",
   _xlfn.XLOOKUP($B28,'PW_MLG GRADE 10'!$B$7:$B$31,'PW_MLG GRADE 10'!#REF!,"",0,1)&lt;=TODAY()-MOD(WEEKDAY(TODAY(),2)-5,7)),$D28,0)</f>
        <v>#REF!</v>
      </c>
      <c r="CE78" s="67">
        <f ca="1">IF(AND($D28&lt;&gt;0,_xlfn.XLOOKUP($B28,'PW_CMI GRADE 10'!$B$7:$B$31,'PW_CMI GRADE 10'!AY$7:AY$31,"",0,1)="P",
   _xlfn.XLOOKUP($B28,'PW_CMI GRADE 10'!$B$7:$B$31,'PW_CMI GRADE 10'!$U$7:$U$31,"",0,1)&lt;=TODAY()-MOD(WEEKDAY(TODAY(),2)-5,7)),$D28,0)</f>
        <v>0</v>
      </c>
      <c r="CF78" s="67">
        <f ca="1">IF(AND($D28&lt;&gt;0,_xlfn.XLOOKUP($B28,'PW_CMI GRADE 10'!$B$7:$B$31,'PW_CMI GRADE 10'!AZ$7:AZ$31,"",0,1)="P",
   _xlfn.XLOOKUP($B28,'PW_CMI GRADE 10'!$B$7:$B$31,'PW_CMI GRADE 10'!$V$7:$V$31,"",0,1)&lt;=TODAY()-MOD(WEEKDAY(TODAY(),2)-5,7)),$D28,0)</f>
        <v>0</v>
      </c>
      <c r="CG78" s="67">
        <f ca="1">IF(AND($D28&lt;&gt;0,_xlfn.XLOOKUP($B28,'PW_CMI GRADE 10'!$B$7:$B$31,'PW_CMI GRADE 10'!BA$7:BA$31,"",0,1)="P",
   _xlfn.XLOOKUP($B28,'PW_CMI GRADE 10'!$B$7:$B$31,'PW_CMI GRADE 10'!$W$7:$W$31,"",0,1)&lt;=TODAY()-MOD(WEEKDAY(TODAY(),2)-5,7)),$D28,0)</f>
        <v>0</v>
      </c>
      <c r="CH78" s="67">
        <f ca="1">IF(AND($D28&lt;&gt;0,_xlfn.XLOOKUP($B28,'PW_CMI GRADE 10'!$B$7:$B$31,'PW_CMI GRADE 10'!BB$7:BB$31,"",0,1)="P",
   _xlfn.XLOOKUP($B28,'PW_CMI GRADE 10'!$B$7:$B$31,'PW_CMI GRADE 10'!$U$7:$U$31,"",0,1)&lt;=TODAY()-MOD(WEEKDAY(TODAY(),2)-5,7)),$D28,0)</f>
        <v>0</v>
      </c>
      <c r="CI78" s="67">
        <f ca="1">IF(AND($D28&lt;&gt;0,_xlfn.XLOOKUP($B28,'PW_CMI GRADE 10'!$B$7:$B$31,'PW_CMI GRADE 10'!BC$7:BC$31,"",0,1)="P",
   _xlfn.XLOOKUP($B28,'PW_CMI GRADE 10'!$B$7:$B$31,'PW_CMI GRADE 10'!$V$7:$V$31,"",0,1)&lt;=TODAY()-MOD(WEEKDAY(TODAY(),2)-5,7)),$D28,0)</f>
        <v>0</v>
      </c>
      <c r="CJ78" s="67">
        <f ca="1">IF(AND($D28&lt;&gt;0,_xlfn.XLOOKUP($B28,'PW_CMI GRADE 10'!$B$7:$B$31,'PW_CMI GRADE 10'!BD$7:BD$31,"",0,1)="P",
   _xlfn.XLOOKUP($B28,'PW_CMI GRADE 10'!$B$7:$B$31,'PW_CMI GRADE 10'!$W$7:$W$31,"",0,1)&lt;=TODAY()-MOD(WEEKDAY(TODAY(),2)-5,7)),$D28,0)</f>
        <v>0</v>
      </c>
      <c r="CK78" s="67">
        <f ca="1">IF(AND($D28&lt;&gt;0,_xlfn.XLOOKUP($B28,'PW_CMI GRADE 10'!$B$7:$B$31,'PW_CMI GRADE 10'!BE$7:BE$31,"",0,1)="P",
   _xlfn.XLOOKUP($B28,'PW_CMI GRADE 10'!$B$7:$B$31,'PW_CMI GRADE 10'!$U$7:$U$31,"",0,1)&lt;=TODAY()-MOD(WEEKDAY(TODAY(),2)-5,7)),$D28,0)</f>
        <v>0</v>
      </c>
      <c r="CL78" s="67">
        <f ca="1">IF(AND($D28&lt;&gt;0,_xlfn.XLOOKUP($B28,'PW_CMI GRADE 10'!$B$7:$B$31,'PW_CMI GRADE 10'!BF$7:BF$31,"",0,1)="P",
   _xlfn.XLOOKUP($B28,'PW_CMI GRADE 10'!$B$7:$B$31,'PW_CMI GRADE 10'!$V$7:$V$31,"",0,1)&lt;=TODAY()-MOD(WEEKDAY(TODAY(),2)-5,7)),$D28,0)</f>
        <v>0</v>
      </c>
      <c r="CM78" s="67">
        <f ca="1">IF(AND($D28&lt;&gt;0,_xlfn.XLOOKUP($B28,'PW_CMI GRADE 10'!$B$7:$B$31,'PW_CMI GRADE 10'!BG$7:BG$31,"",0,1)="P",
   _xlfn.XLOOKUP($B28,'PW_CMI GRADE 10'!$B$7:$B$31,'PW_CMI GRADE 10'!$W$7:$W$31,"",0,1)&lt;=TODAY()-MOD(WEEKDAY(TODAY(),2)-5,7)),$D28,0)</f>
        <v>0</v>
      </c>
      <c r="CN78" s="67">
        <f ca="1">IF(AND($D28&lt;&gt;0,_xlfn.XLOOKUP($B28,'PW_CMI GRADE 10'!$B$7:$B$31,'PW_CMI GRADE 10'!BH$7:BH$31,"",0,1)="P",
   _xlfn.XLOOKUP($B28,'PW_CMI GRADE 10'!$B$7:$B$31,'PW_CMI GRADE 10'!$U$7:$U$31,"",0,1)&lt;=TODAY()-MOD(WEEKDAY(TODAY(),2)-5,7)),$D28,0)</f>
        <v>0</v>
      </c>
      <c r="CO78" s="67">
        <f ca="1">IF(AND($D28&lt;&gt;0,_xlfn.XLOOKUP($B28,'PW_CMI GRADE 10'!$B$7:$B$31,'PW_CMI GRADE 10'!BI$7:BI$31,"",0,1)="P",
   _xlfn.XLOOKUP($B28,'PW_CMI GRADE 10'!$B$7:$B$31,'PW_CMI GRADE 10'!$V$7:$V$31,"",0,1)&lt;=TODAY()-MOD(WEEKDAY(TODAY(),2)-5,7)),$D28,0)</f>
        <v>0</v>
      </c>
      <c r="CP78" s="67">
        <f ca="1">IF(AND($D28&lt;&gt;0,_xlfn.XLOOKUP($B28,'PW_CMI GRADE 10'!$B$7:$B$31,'PW_CMI GRADE 10'!BJ$7:BJ$31,"",0,1)="P",
   _xlfn.XLOOKUP($B28,'PW_CMI GRADE 10'!$B$7:$B$31,'PW_CMI GRADE 10'!$W$7:$W$31,"",0,1)&lt;=TODAY()-MOD(WEEKDAY(TODAY(),2)-5,7)),$D28,0)</f>
        <v>0</v>
      </c>
      <c r="CQ78" s="67">
        <f ca="1">IF(AND($D28&lt;&gt;0,_xlfn.XLOOKUP($B28,'PW_CMI GRADE 10'!$B$7:$B$31,'PW_CMI GRADE 10'!BK$7:BK$31,"",0,1)="P",
   _xlfn.XLOOKUP($B28,'PW_CMI GRADE 10'!$B$7:$B$31,'PW_CMI GRADE 10'!$U$7:$U$31,"",0,1)&lt;=TODAY()-MOD(WEEKDAY(TODAY(),2)-5,7)),$D28,0)</f>
        <v>0</v>
      </c>
      <c r="CR78" s="67">
        <f ca="1">IF(AND($D28&lt;&gt;0,_xlfn.XLOOKUP($B28,'PW_CMI GRADE 10'!$B$7:$B$31,'PW_CMI GRADE 10'!BL$7:BL$31,"",0,1)="P",
   _xlfn.XLOOKUP($B28,'PW_CMI GRADE 10'!$B$7:$B$31,'PW_CMI GRADE 10'!$V$7:$V$31,"",0,1)&lt;=TODAY()-MOD(WEEKDAY(TODAY(),2)-5,7)),$D28,0)</f>
        <v>0</v>
      </c>
      <c r="CS78" s="67">
        <f ca="1">IF(AND($D28&lt;&gt;0,_xlfn.XLOOKUP($B28,'PW_CMI GRADE 10'!$B$7:$B$31,'PW_CMI GRADE 10'!BM$7:BM$31,"",0,1)="P",
   _xlfn.XLOOKUP($B28,'PW_CMI GRADE 10'!$B$7:$B$31,'PW_CMI GRADE 10'!$W$7:$W$31,"",0,1)&lt;=TODAY()-MOD(WEEKDAY(TODAY(),2)-5,7)),$D28,0)</f>
        <v>0</v>
      </c>
      <c r="CT78" s="67">
        <f ca="1">IF(AND($D28&lt;&gt;0,_xlfn.XLOOKUP($B28,'PW_CMI GRADE 10'!$B$7:$B$31,'PW_CMI GRADE 10'!BN$7:BN$31,"",0,1)="P",
   _xlfn.XLOOKUP($B28,'PW_CMI GRADE 10'!$B$7:$B$31,'PW_CMI GRADE 10'!$U$7:$U$31,"",0,1)&lt;=TODAY()-MOD(WEEKDAY(TODAY(),2)-5,7)),$D28,0)</f>
        <v>0</v>
      </c>
      <c r="CU78" s="67">
        <f ca="1">IF(AND($D28&lt;&gt;0,_xlfn.XLOOKUP($B28,'PW_CMI GRADE 10'!$B$7:$B$31,'PW_CMI GRADE 10'!BO$7:BO$31,"",0,1)="P",
   _xlfn.XLOOKUP($B28,'PW_CMI GRADE 10'!$B$7:$B$31,'PW_CMI GRADE 10'!$V$7:$V$31,"",0,1)&lt;=TODAY()-MOD(WEEKDAY(TODAY(),2)-5,7)),$D28,0)</f>
        <v>0</v>
      </c>
      <c r="CV78" s="67">
        <f ca="1">IF(AND($D28&lt;&gt;0,_xlfn.XLOOKUP($B28,'PW_CMI GRADE 10'!$B$7:$B$31,'PW_CMI GRADE 10'!BP$7:BP$31,"",0,1)="P",
   _xlfn.XLOOKUP($B28,'PW_CMI GRADE 10'!$B$7:$B$31,'PW_CMI GRADE 10'!$W$7:$W$31,"",0,1)&lt;=TODAY()-MOD(WEEKDAY(TODAY(),2)-5,7)),$D28,0)</f>
        <v>0</v>
      </c>
      <c r="CW78" s="62" t="e">
        <f t="shared" ca="1" si="132"/>
        <v>#REF!</v>
      </c>
      <c r="CX78" s="62" t="e">
        <f t="shared" ca="1" si="69"/>
        <v>#REF!</v>
      </c>
      <c r="CY78" s="62" t="e">
        <f t="shared" ca="1" si="70"/>
        <v>#REF!</v>
      </c>
      <c r="CZ78" s="62" t="e">
        <f t="shared" ca="1" si="71"/>
        <v>#REF!</v>
      </c>
      <c r="DA78" s="62" t="e">
        <f t="shared" ca="1" si="72"/>
        <v>#REF!</v>
      </c>
      <c r="DB78" s="62" t="e">
        <f t="shared" ca="1" si="73"/>
        <v>#REF!</v>
      </c>
      <c r="DC78" s="62" t="e">
        <f t="shared" ca="1" si="74"/>
        <v>#REF!</v>
      </c>
      <c r="DD78" s="62" t="e">
        <f t="shared" ca="1" si="75"/>
        <v>#REF!</v>
      </c>
      <c r="DE78" s="62" t="e">
        <f t="shared" ca="1" si="76"/>
        <v>#REF!</v>
      </c>
      <c r="DF78" s="62" t="e">
        <f t="shared" ca="1" si="77"/>
        <v>#REF!</v>
      </c>
      <c r="DG78" s="62" t="e">
        <f t="shared" ca="1" si="78"/>
        <v>#REF!</v>
      </c>
      <c r="DH78" s="62" t="e">
        <f t="shared" ca="1" si="79"/>
        <v>#REF!</v>
      </c>
      <c r="DI78" s="62" t="e">
        <f t="shared" ca="1" si="80"/>
        <v>#REF!</v>
      </c>
      <c r="DJ78" s="62" t="e">
        <f t="shared" ca="1" si="81"/>
        <v>#REF!</v>
      </c>
      <c r="DK78" s="62" t="e">
        <f t="shared" ca="1" si="82"/>
        <v>#REF!</v>
      </c>
      <c r="DL78" s="62" t="e">
        <f t="shared" ca="1" si="83"/>
        <v>#REF!</v>
      </c>
      <c r="DM78" s="62" t="e">
        <f t="shared" ca="1" si="84"/>
        <v>#REF!</v>
      </c>
      <c r="DN78" s="62" t="e">
        <f t="shared" ca="1" si="85"/>
        <v>#REF!</v>
      </c>
      <c r="DO78" s="62" t="e">
        <f t="shared" ca="1" si="86"/>
        <v>#REF!</v>
      </c>
      <c r="DP78" s="62" t="e">
        <f t="shared" ca="1" si="87"/>
        <v>#REF!</v>
      </c>
      <c r="DQ78" s="62" t="e">
        <f t="shared" ca="1" si="88"/>
        <v>#REF!</v>
      </c>
      <c r="DR78" s="62" t="e">
        <f t="shared" ca="1" si="89"/>
        <v>#REF!</v>
      </c>
      <c r="DS78" s="62" t="e">
        <f t="shared" ca="1" si="90"/>
        <v>#REF!</v>
      </c>
      <c r="DT78" s="62" t="e">
        <f t="shared" ca="1" si="91"/>
        <v>#REF!</v>
      </c>
      <c r="DU78" s="62" t="e">
        <f t="shared" ca="1" si="92"/>
        <v>#REF!</v>
      </c>
      <c r="DV78" s="62" t="e">
        <f t="shared" ca="1" si="93"/>
        <v>#REF!</v>
      </c>
      <c r="DW78" s="62" t="e">
        <f t="shared" ca="1" si="94"/>
        <v>#REF!</v>
      </c>
      <c r="DX78" s="62" t="e">
        <f t="shared" ca="1" si="95"/>
        <v>#REF!</v>
      </c>
      <c r="DY78" s="62" t="e">
        <f t="shared" ca="1" si="96"/>
        <v>#REF!</v>
      </c>
      <c r="DZ78" s="62" t="e">
        <f t="shared" ca="1" si="97"/>
        <v>#REF!</v>
      </c>
      <c r="EA78" s="63" t="e">
        <f t="shared" ca="1" si="98"/>
        <v>#REF!</v>
      </c>
      <c r="EB78" s="63" t="e">
        <f t="shared" ca="1" si="99"/>
        <v>#REF!</v>
      </c>
      <c r="EC78" s="63" t="e">
        <f t="shared" ca="1" si="100"/>
        <v>#REF!</v>
      </c>
      <c r="ED78" s="63" t="e">
        <f t="shared" ca="1" si="101"/>
        <v>#REF!</v>
      </c>
      <c r="EE78" s="63" t="e">
        <f t="shared" ca="1" si="102"/>
        <v>#REF!</v>
      </c>
      <c r="EF78" s="63" t="e">
        <f t="shared" ca="1" si="103"/>
        <v>#REF!</v>
      </c>
      <c r="EG78" s="63" t="e">
        <f t="shared" ca="1" si="104"/>
        <v>#REF!</v>
      </c>
      <c r="EH78" s="63" t="e">
        <f t="shared" ca="1" si="105"/>
        <v>#REF!</v>
      </c>
      <c r="EI78" s="63" t="e">
        <f t="shared" ca="1" si="106"/>
        <v>#REF!</v>
      </c>
      <c r="EJ78" s="63" t="e">
        <f t="shared" ca="1" si="107"/>
        <v>#REF!</v>
      </c>
      <c r="EK78" s="63" t="e">
        <f t="shared" ca="1" si="108"/>
        <v>#REF!</v>
      </c>
      <c r="EL78" s="63" t="e">
        <f t="shared" ca="1" si="109"/>
        <v>#REF!</v>
      </c>
      <c r="EM78" s="63" t="e">
        <f t="shared" ca="1" si="110"/>
        <v>#REF!</v>
      </c>
      <c r="EN78" s="63" t="e">
        <f t="shared" ca="1" si="111"/>
        <v>#REF!</v>
      </c>
      <c r="EO78" s="63" t="e">
        <f t="shared" ca="1" si="112"/>
        <v>#REF!</v>
      </c>
      <c r="EP78" s="63" t="e">
        <f t="shared" ca="1" si="113"/>
        <v>#REF!</v>
      </c>
    </row>
    <row r="79" spans="1:171">
      <c r="A79" s="64" t="str">
        <f t="shared" si="131"/>
        <v>4A.2</v>
      </c>
      <c r="B79" s="64" t="s">
        <v>60</v>
      </c>
      <c r="C79" s="30">
        <v>2</v>
      </c>
      <c r="D79" s="30">
        <v>1</v>
      </c>
      <c r="E79" s="65">
        <f ca="1">IF(AND($D29&lt;&gt;0,_xlfn.XLOOKUP($B29,'TH_MLG GRADE 10'!$B$7:$B$49,'TH_MLG GRADE 10'!C$7:C$49,"",0,1)="P",
   _xlfn.XLOOKUP($B29,'TH_MLG GRADE 10'!$B$7:$B$49,'TH_MLG GRADE 10'!$BK$7:$BK$49,"",0,1)&lt;=TODAY()-MOD(WEEKDAY(TODAY(),2)-5,7)),$D29,0)</f>
        <v>0</v>
      </c>
      <c r="F79" s="65">
        <f ca="1">IF(AND($D29&lt;&gt;0,_xlfn.XLOOKUP($B29,'TH_MLG GRADE 10'!$B$7:$B$49,'TH_MLG GRADE 10'!D$7:D$49,"",0,1)="P",
   _xlfn.XLOOKUP($B29,'TH_MLG GRADE 10'!$B$7:$B$49,'TH_MLG GRADE 10'!$BL$7:$BL$49,"",0,1)&lt;=TODAY()-MOD(WEEKDAY(TODAY(),2)-5,7)),$D29,0)</f>
        <v>0</v>
      </c>
      <c r="G79" s="65">
        <f ca="1">IF(AND($D29&lt;&gt;0,_xlfn.XLOOKUP($B29,'TH_MLG GRADE 10'!$B$7:$B$49,'TH_MLG GRADE 10'!E$7:E$49,"",0,1)="P",
   _xlfn.XLOOKUP($B29,'TH_MLG GRADE 10'!$B$7:$B$49,'TH_MLG GRADE 10'!$BM$7:$BM$49,"",0,1)&lt;=TODAY()-MOD(WEEKDAY(TODAY(),2)-5,7)),$D29,0)</f>
        <v>0</v>
      </c>
      <c r="H79" s="65">
        <f ca="1">IF(AND($D29&lt;&gt;0,_xlfn.XLOOKUP($B29,'TH_MLG GRADE 10'!$B$7:$B$49,'TH_MLG GRADE 10'!I$7:I$49,"",0,1)="P",
   _xlfn.XLOOKUP($B29,'TH_MLG GRADE 10'!$B$7:$B$49,'TH_MLG GRADE 10'!$BK$7:$BK$49,"",0,1)&lt;=TODAY()-MOD(WEEKDAY(TODAY(),2)-5,7)),$D29,0)</f>
        <v>0</v>
      </c>
      <c r="I79" s="65">
        <f ca="1">IF(AND($D29&lt;&gt;0,_xlfn.XLOOKUP($B29,'TH_MLG GRADE 10'!$B$7:$B$49,'TH_MLG GRADE 10'!J$7:J$49,"",0,1)="P",
   _xlfn.XLOOKUP($B29,'TH_MLG GRADE 10'!$B$7:$B$49,'TH_MLG GRADE 10'!$BL$7:$BL$49,"",0,1)&lt;=TODAY()-MOD(WEEKDAY(TODAY(),2)-5,7)),$D29,0)</f>
        <v>0</v>
      </c>
      <c r="J79" s="65">
        <f ca="1">IF(AND($D29&lt;&gt;0,_xlfn.XLOOKUP($B29,'TH_MLG GRADE 10'!$B$7:$B$49,'TH_MLG GRADE 10'!K$7:K$49,"",0,1)="P",
   _xlfn.XLOOKUP($B29,'TH_MLG GRADE 10'!$B$7:$B$49,'TH_MLG GRADE 10'!$BM$7:$BM$49,"",0,1)&lt;=TODAY()-MOD(WEEKDAY(TODAY(),2)-5,7)),$D29,0)</f>
        <v>0</v>
      </c>
      <c r="K79" s="65">
        <f ca="1">IF(AND($D29&lt;&gt;0,_xlfn.XLOOKUP($B29,'TH_MLG GRADE 10'!$B$7:$B$49,'TH_MLG GRADE 10'!O$7:O$49,"",0,1)="P",
   _xlfn.XLOOKUP($B29,'TH_MLG GRADE 10'!$B$7:$B$49,'TH_MLG GRADE 10'!$BK$7:$BK$49,"",0,1)&lt;=TODAY()-MOD(WEEKDAY(TODAY(),2)-5,7)),$D29,0)</f>
        <v>0</v>
      </c>
      <c r="L79" s="65">
        <f ca="1">IF(AND($D29&lt;&gt;0,_xlfn.XLOOKUP($B29,'TH_MLG GRADE 10'!$B$7:$B$49,'TH_MLG GRADE 10'!P$7:P$49,"",0,1)="P",
   _xlfn.XLOOKUP($B29,'TH_MLG GRADE 10'!$B$7:$B$49,'TH_MLG GRADE 10'!$BL$7:$BL$49,"",0,1)&lt;=TODAY()-MOD(WEEKDAY(TODAY(),2)-5,7)),$D29,0)</f>
        <v>0</v>
      </c>
      <c r="M79" s="65">
        <f ca="1">IF(AND($D29&lt;&gt;0,_xlfn.XLOOKUP($B29,'TH_MLG GRADE 10'!$B$7:$B$49,'TH_MLG GRADE 10'!Q$7:Q$49,"",0,1)="P",
   _xlfn.XLOOKUP($B29,'TH_MLG GRADE 10'!$B$7:$B$49,'TH_MLG GRADE 10'!$BM$7:$BM$49,"",0,1)&lt;=TODAY()-MOD(WEEKDAY(TODAY(),2)-5,7)),$D29,0)</f>
        <v>0</v>
      </c>
      <c r="N79" s="65">
        <f ca="1">IF(AND($D29&lt;&gt;0,_xlfn.XLOOKUP($B29,'TH_MLG GRADE 10'!$B$7:$B$49,'TH_MLG GRADE 10'!AA$7:AA$49,"",0,1)="P",
   _xlfn.XLOOKUP($B29,'TH_MLG GRADE 10'!$B$7:$B$49,'TH_MLG GRADE 10'!$BK$7:$BK$49,"",0,1)&lt;=TODAY()-MOD(WEEKDAY(TODAY(),2)-5,7)),$D29,0)</f>
        <v>1</v>
      </c>
      <c r="O79" s="65">
        <f ca="1">IF(AND($D29&lt;&gt;0,_xlfn.XLOOKUP($B29,'TH_MLG GRADE 10'!$B$7:$B$49,'TH_MLG GRADE 10'!AB$7:AB$49,"",0,1)="P",
   _xlfn.XLOOKUP($B29,'TH_MLG GRADE 10'!$B$7:$B$49,'TH_MLG GRADE 10'!$BL$7:$BL$49,"",0,1)&lt;=TODAY()-MOD(WEEKDAY(TODAY(),2)-5,7)),$D29,0)</f>
        <v>0</v>
      </c>
      <c r="P79" s="65">
        <f ca="1">IF(AND($D29&lt;&gt;0,_xlfn.XLOOKUP($B29,'TH_MLG GRADE 10'!$B$7:$B$49,'TH_MLG GRADE 10'!AC$7:AC$49,"",0,1)="P",
   _xlfn.XLOOKUP($B29,'TH_MLG GRADE 10'!$B$7:$B$49,'TH_MLG GRADE 10'!$BM$7:$BM$49,"",0,1)&lt;=TODAY()-MOD(WEEKDAY(TODAY(),2)-5,7)),$D29,0)</f>
        <v>1</v>
      </c>
      <c r="Q79" s="65">
        <f ca="1">IF(AND($D29&lt;&gt;0,_xlfn.XLOOKUP($B29,'TH_MLG GRADE 10'!$B$7:$B$49,'TH_MLG GRADE 10'!AG$7:AG$49,"",0,1)="P",
   _xlfn.XLOOKUP($B29,'TH_MLG GRADE 10'!$B$7:$B$49,'TH_MLG GRADE 10'!$BK$7:$BK$49,"",0,1)&lt;=TODAY()-MOD(WEEKDAY(TODAY(),2)-5,7)),$D29,0)</f>
        <v>1</v>
      </c>
      <c r="R79" s="65">
        <f ca="1">IF(AND($D29&lt;&gt;0,_xlfn.XLOOKUP($B29,'TH_MLG GRADE 10'!$B$7:$B$49,'TH_MLG GRADE 10'!AH$7:AH$49,"",0,1)="P",
   _xlfn.XLOOKUP($B29,'TH_MLG GRADE 10'!$B$7:$B$49,'TH_MLG GRADE 10'!$BL$7:$BL$49,"",0,1)&lt;=TODAY()-MOD(WEEKDAY(TODAY(),2)-5,7)),$D29,0)</f>
        <v>1</v>
      </c>
      <c r="S79" s="65">
        <f ca="1">IF(AND($D29&lt;&gt;0,_xlfn.XLOOKUP($B29,'TH_MLG GRADE 10'!$B$7:$B$49,'TH_MLG GRADE 10'!AI$7:AI$49,"",0,1)="P",
   _xlfn.XLOOKUP($B29,'TH_MLG GRADE 10'!$B$7:$B$49,'TH_MLG GRADE 10'!$BM$7:$BM$49,"",0,1)&lt;=TODAY()-MOD(WEEKDAY(TODAY(),2)-5,7)),$D29,0)</f>
        <v>1</v>
      </c>
      <c r="T79" s="65">
        <f ca="1">IF(AND($D29&lt;&gt;0,_xlfn.XLOOKUP($B29,'TH_MLG GRADE 10'!$B$7:$B$49,'TH_MLG GRADE 10'!AM$7:AM$49,"",0,1)="P",
   _xlfn.XLOOKUP($B29,'TH_MLG GRADE 10'!$B$7:$B$49,'TH_MLG GRADE 10'!$BK$7:$BK$49,"",0,1)&lt;=TODAY()-MOD(WEEKDAY(TODAY(),2)-5,7)),$D29,0)</f>
        <v>0</v>
      </c>
      <c r="U79" s="65">
        <f ca="1">IF(AND($D29&lt;&gt;0,_xlfn.XLOOKUP($B29,'TH_MLG GRADE 10'!$B$7:$B$49,'TH_MLG GRADE 10'!AN$7:AN$49,"",0,1)="P",
   _xlfn.XLOOKUP($B29,'TH_MLG GRADE 10'!$B$7:$B$49,'TH_MLG GRADE 10'!$BL$7:$BL$49,"",0,1)&lt;=TODAY()-MOD(WEEKDAY(TODAY(),2)-5,7)),$D29,0)</f>
        <v>0</v>
      </c>
      <c r="V79" s="65">
        <f ca="1">IF(AND($D29&lt;&gt;0,_xlfn.XLOOKUP($B29,'TH_MLG GRADE 10'!$B$7:$B$49,'TH_MLG GRADE 10'!AO$7:AO$49,"",0,1)="P",
   _xlfn.XLOOKUP($B29,'TH_MLG GRADE 10'!$B$7:$B$49,'TH_MLG GRADE 10'!$BM$7:$BM$49,"",0,1)&lt;=TODAY()-MOD(WEEKDAY(TODAY(),2)-5,7)),$D29,0)</f>
        <v>0</v>
      </c>
      <c r="W79" s="65">
        <f ca="1">IF(AND($D29&lt;&gt;0,_xlfn.XLOOKUP($B29,'TH_MLG GRADE 10'!$B$7:$B$49,'TH_MLG GRADE 10'!AY$7:AY$49,"",0,1)="P",
   _xlfn.XLOOKUP($B29,'TH_MLG GRADE 10'!$B$7:$B$49,'TH_MLG GRADE 10'!$BK$7:$BK$49,"",0,1)&lt;=TODAY()-MOD(WEEKDAY(TODAY(),2)-5,7)),$D29,0)</f>
        <v>0</v>
      </c>
      <c r="X79" s="65">
        <f ca="1">IF(AND($D29&lt;&gt;0,_xlfn.XLOOKUP($B29,'TH_MLG GRADE 10'!$B$7:$B$49,'TH_MLG GRADE 10'!AZ$7:AZ$49,"",0,1)="P",
   _xlfn.XLOOKUP($B29,'TH_MLG GRADE 10'!$B$7:$B$49,'TH_MLG GRADE 10'!$BL$7:$BL$49,"",0,1)&lt;=TODAY()-MOD(WEEKDAY(TODAY(),2)-5,7)),$D29,0)</f>
        <v>0</v>
      </c>
      <c r="Y79" s="65">
        <f ca="1">IF(AND($D29&lt;&gt;0,_xlfn.XLOOKUP($B29,'TH_MLG GRADE 10'!$B$7:$B$49,'TH_MLG GRADE 10'!BA$7:BA$49,"",0,1)="P",
   _xlfn.XLOOKUP($B29,'TH_MLG GRADE 10'!$B$7:$B$49,'TH_MLG GRADE 10'!$BM$7:$BM$49,"",0,1)&lt;=TODAY()-MOD(WEEKDAY(TODAY(),2)-5,7)),$D29,0)</f>
        <v>0</v>
      </c>
      <c r="Z79" s="65">
        <f ca="1">IF(AND($D29&lt;&gt;0,_xlfn.XLOOKUP($B29,'TH_MLG GRADE 10'!$B$7:$B$49,'TH_MLG GRADE 10'!BE$7:BE$49,"",0,1)="P",
   _xlfn.XLOOKUP($B29,'TH_MLG GRADE 10'!$B$7:$B$49,'TH_MLG GRADE 10'!$BK$7:$BK$49,"",0,1)&lt;=TODAY()-MOD(WEEKDAY(TODAY(),2)-5,7)),$D29,0)</f>
        <v>0</v>
      </c>
      <c r="AA79" s="65">
        <f ca="1">IF(AND($D29&lt;&gt;0,_xlfn.XLOOKUP($B29,'TH_MLG GRADE 10'!$B$7:$B$49,'TH_MLG GRADE 10'!BF$7:BF$49,"",0,1)="P",
   _xlfn.XLOOKUP($B29,'TH_MLG GRADE 10'!$B$7:$B$49,'TH_MLG GRADE 10'!$BL$7:$BL$49,"",0,1)&lt;=TODAY()-MOD(WEEKDAY(TODAY(),2)-5,7)),$D29,0)</f>
        <v>0</v>
      </c>
      <c r="AB79" s="65">
        <f ca="1">IF(AND($D29&lt;&gt;0,_xlfn.XLOOKUP($B29,'TH_MLG GRADE 10'!$B$7:$B$49,'TH_MLG GRADE 10'!BG$7:BG$49,"",0,1)="P",
   _xlfn.XLOOKUP($B29,'TH_MLG GRADE 10'!$B$7:$B$49,'TH_MLG GRADE 10'!$BM$7:$BM$49,"",0,1)&lt;=TODAY()-MOD(WEEKDAY(TODAY(),2)-5,7)),$D29,0)</f>
        <v>0</v>
      </c>
      <c r="AC79" s="65" t="e">
        <f ca="1">IF(AND($D29&lt;&gt;0,_xlfn.XLOOKUP($B29,'TH_MLG GRADE 10'!$B$7:$B$49,'TH_MLG GRADE 10'!#REF!,"",0,1)="P",
   _xlfn.XLOOKUP($B29,'TH_MLG GRADE 10'!$B$7:$B$49,'TH_MLG GRADE 10'!$BK$7:$BK$49,"",0,1)&lt;=TODAY()-MOD(WEEKDAY(TODAY(),2)-5,7)),$D29,0)</f>
        <v>#REF!</v>
      </c>
      <c r="AD79" s="65" t="e">
        <f ca="1">IF(AND($D29&lt;&gt;0,_xlfn.XLOOKUP($B29,'TH_MLG GRADE 10'!$B$7:$B$49,'TH_MLG GRADE 10'!#REF!,"",0,1)="P",
   _xlfn.XLOOKUP($B29,'TH_MLG GRADE 10'!$B$7:$B$49,'TH_MLG GRADE 10'!$BL$7:$BL$49,"",0,1)&lt;=TODAY()-MOD(WEEKDAY(TODAY(),2)-5,7)),$D29,0)</f>
        <v>#REF!</v>
      </c>
      <c r="AE79" s="65" t="e">
        <f ca="1">IF(AND($D29&lt;&gt;0,_xlfn.XLOOKUP($B29,'TH_MLG GRADE 10'!$B$7:$B$49,'TH_MLG GRADE 10'!#REF!,"",0,1)="P",
   _xlfn.XLOOKUP($B29,'TH_MLG GRADE 10'!$B$7:$B$49,'TH_MLG GRADE 10'!$BM$7:$BM$49,"",0,1)&lt;=TODAY()-MOD(WEEKDAY(TODAY(),2)-5,7)),$D29,0)</f>
        <v>#REF!</v>
      </c>
      <c r="AF79" s="65" t="e">
        <f ca="1">IF(AND($D29&lt;&gt;0,_xlfn.XLOOKUP($B29,'TH_MLG GRADE 10'!$B$7:$B$49,'TH_MLG GRADE 10'!#REF!,"",0,1)="P",
   _xlfn.XLOOKUP($B29,'TH_MLG GRADE 10'!$B$7:$B$49,'TH_MLG GRADE 10'!$BK$7:$BK$49,"",0,1)&lt;=TODAY()-MOD(WEEKDAY(TODAY(),2)-5,7)),$D29,0)</f>
        <v>#REF!</v>
      </c>
      <c r="AG79" s="65" t="e">
        <f ca="1">IF(AND($D29&lt;&gt;0,_xlfn.XLOOKUP($B29,'TH_MLG GRADE 10'!$B$7:$B$49,'TH_MLG GRADE 10'!#REF!,"",0,1)="P",
   _xlfn.XLOOKUP($B29,'TH_MLG GRADE 10'!$B$7:$B$49,'TH_MLG GRADE 10'!$BL$7:$BL$49,"",0,1)&lt;=TODAY()-MOD(WEEKDAY(TODAY(),2)-5,7)),$D29,0)</f>
        <v>#REF!</v>
      </c>
      <c r="AH79" s="65" t="e">
        <f ca="1">IF(AND($D29&lt;&gt;0,_xlfn.XLOOKUP($B29,'TH_MLG GRADE 10'!$B$7:$B$49,'TH_MLG GRADE 10'!#REF!,"",0,1)="P",
   _xlfn.XLOOKUP($B29,'TH_MLG GRADE 10'!$B$7:$B$49,'TH_MLG GRADE 10'!$BM$7:$BM$49,"",0,1)&lt;=TODAY()-MOD(WEEKDAY(TODAY(),2)-5,7)),$D29,0)</f>
        <v>#REF!</v>
      </c>
      <c r="AI79" s="67">
        <f ca="1">IF(AND($D29&lt;&gt;0,_xlfn.XLOOKUP($B29,'TH_CMI GRADE 10'!$B$7:$B$49,'TH_CMI GRADE 10'!C$7:C$49,"",0,1)="P",
   _xlfn.XLOOKUP($B29,'TH_CMI GRADE 10'!$B$7:$B$49,'TH_CMI GRADE 10'!$AS$7:$AS$49,"",0,1)&lt;=TODAY()-MOD(WEEKDAY(TODAY(),2)-5,7)),$D29,0)</f>
        <v>0</v>
      </c>
      <c r="AJ79" s="67">
        <f ca="1">IF(AND($D29&lt;&gt;0,_xlfn.XLOOKUP($B29,'TH_CMI GRADE 10'!$B$7:$B$49,'TH_CMI GRADE 10'!D$7:D$49,"",0,1)="P",
   _xlfn.XLOOKUP($B29,'TH_CMI GRADE 10'!$B$7:$B$49,'TH_CMI GRADE 10'!$AT$7:$AT$49,"",0,1)&lt;=TODAY()-MOD(WEEKDAY(TODAY(),2)-5,7)),$D29,0)</f>
        <v>0</v>
      </c>
      <c r="AK79" s="67" t="e">
        <f ca="1">IF(AND($D29&lt;&gt;0,_xlfn.XLOOKUP($B29,'TH_CMI GRADE 10'!$B$7:$B$49,'TH_CMI GRADE 10'!H$7:H$49,"",0,1)="P",
   _xlfn.XLOOKUP($B29,'TH_CMI GRADE 10'!$B$7:$B$49,'TH_CMI GRADE 10'!#REF!,"",0,1)&lt;=TODAY()-MOD(WEEKDAY(TODAY(),2)-5,7)),$D29,0)</f>
        <v>#REF!</v>
      </c>
      <c r="AL79" s="67">
        <f ca="1">IF(AND($D29&lt;&gt;0,_xlfn.XLOOKUP($B29,'TH_CMI GRADE 10'!$B$7:$B$49,'TH_CMI GRADE 10'!I$7:I$49,"",0,1)="P",
   _xlfn.XLOOKUP($B29,'TH_CMI GRADE 10'!$B$7:$B$49,'TH_CMI GRADE 10'!$AS$7:$AS$49,"",0,1)&lt;=TODAY()-MOD(WEEKDAY(TODAY(),2)-5,7)),$D29,0)</f>
        <v>0</v>
      </c>
      <c r="AM79" s="67">
        <f ca="1">IF(AND($D29&lt;&gt;0,_xlfn.XLOOKUP($B29,'TH_CMI GRADE 10'!$B$7:$B$49,'TH_CMI GRADE 10'!J$7:J$49,"",0,1)="P",
   _xlfn.XLOOKUP($B29,'TH_CMI GRADE 10'!$B$7:$B$49,'TH_CMI GRADE 10'!$AT$7:$AT$49,"",0,1)&lt;=TODAY()-MOD(WEEKDAY(TODAY(),2)-5,7)),$D29,0)</f>
        <v>0</v>
      </c>
      <c r="AN79" s="67" t="e">
        <f ca="1">IF(AND($D29&lt;&gt;0,_xlfn.XLOOKUP($B29,'TH_CMI GRADE 10'!$B$7:$B$49,'TH_CMI GRADE 10'!K$7:K$49,"",0,1)="P",
   _xlfn.XLOOKUP($B29,'TH_CMI GRADE 10'!$B$7:$B$49,'TH_CMI GRADE 10'!#REF!,"",0,1)&lt;=TODAY()-MOD(WEEKDAY(TODAY(),2)-5,7)),$D29,0)</f>
        <v>#REF!</v>
      </c>
      <c r="AO79" s="67">
        <f ca="1">IF(AND($D29&lt;&gt;0,_xlfn.XLOOKUP($B29,'TH_CMI GRADE 10'!$B$7:$B$49,'TH_CMI GRADE 10'!O$7:O$49,"",0,1)="P",
   _xlfn.XLOOKUP($B29,'TH_CMI GRADE 10'!$B$7:$B$49,'TH_CMI GRADE 10'!$AS$7:$AS$49,"",0,1)&lt;=TODAY()-MOD(WEEKDAY(TODAY(),2)-5,7)),$D29,0)</f>
        <v>0</v>
      </c>
      <c r="AP79" s="67">
        <f ca="1">IF(AND($D29&lt;&gt;0,_xlfn.XLOOKUP($B29,'TH_CMI GRADE 10'!$B$7:$B$49,'TH_CMI GRADE 10'!P$7:P$49,"",0,1)="P",
   _xlfn.XLOOKUP($B29,'TH_CMI GRADE 10'!$B$7:$B$49,'TH_CMI GRADE 10'!$AT$7:$AT$49,"",0,1)&lt;=TODAY()-MOD(WEEKDAY(TODAY(),2)-5,7)),$D29,0)</f>
        <v>0</v>
      </c>
      <c r="AQ79" s="67" t="e">
        <f ca="1">IF(AND($D29&lt;&gt;0,_xlfn.XLOOKUP($B29,'TH_CMI GRADE 10'!$B$7:$B$49,'TH_CMI GRADE 10'!Q$7:Q$49,"",0,1)="P",
   _xlfn.XLOOKUP($B29,'TH_CMI GRADE 10'!$B$7:$B$49,'TH_CMI GRADE 10'!#REF!,"",0,1)&lt;=TODAY()-MOD(WEEKDAY(TODAY(),2)-5,7)),$D29,0)</f>
        <v>#REF!</v>
      </c>
      <c r="AR79" s="67">
        <f ca="1">IF(AND($D29&lt;&gt;0,_xlfn.XLOOKUP($B29,'TH_CMI GRADE 10'!$B$7:$B$49,'TH_CMI GRADE 10'!U$7:U$49,"",0,1)="P",
   _xlfn.XLOOKUP($B29,'TH_CMI GRADE 10'!$B$7:$B$49,'TH_CMI GRADE 10'!$AS$7:$AS$49,"",0,1)&lt;=TODAY()-MOD(WEEKDAY(TODAY(),2)-5,7)),$D29,0)</f>
        <v>0</v>
      </c>
      <c r="AS79" s="67">
        <f ca="1">IF(AND($D29&lt;&gt;0,_xlfn.XLOOKUP($B29,'TH_CMI GRADE 10'!$B$7:$B$49,'TH_CMI GRADE 10'!V$7:V$49,"",0,1)="P",
   _xlfn.XLOOKUP($B29,'TH_CMI GRADE 10'!$B$7:$B$49,'TH_CMI GRADE 10'!$AT$7:$AT$49,"",0,1)&lt;=TODAY()-MOD(WEEKDAY(TODAY(),2)-5,7)),$D29,0)</f>
        <v>0</v>
      </c>
      <c r="AT79" s="67" t="e">
        <f ca="1">IF(AND($D29&lt;&gt;0,_xlfn.XLOOKUP($B29,'TH_CMI GRADE 10'!$B$7:$B$49,'TH_CMI GRADE 10'!W$7:W$49,"",0,1)="P",
   _xlfn.XLOOKUP($B29,'TH_CMI GRADE 10'!$B$7:$B$49,'TH_CMI GRADE 10'!#REF!,"",0,1)&lt;=TODAY()-MOD(WEEKDAY(TODAY(),2)-5,7)),$D29,0)</f>
        <v>#REF!</v>
      </c>
      <c r="AU79" s="67">
        <f ca="1">IF(AND($D29&lt;&gt;0,_xlfn.XLOOKUP($B29,'TH_CMI GRADE 10'!$B$7:$B$49,'TH_CMI GRADE 10'!AA$7:AA$49,"",0,1)="P",
   _xlfn.XLOOKUP($B29,'TH_CMI GRADE 10'!$B$7:$B$49,'TH_CMI GRADE 10'!$AS$7:$AS$49,"",0,1)&lt;=TODAY()-MOD(WEEKDAY(TODAY(),2)-5,7)),$D29,0)</f>
        <v>1</v>
      </c>
      <c r="AV79" s="67">
        <f ca="1">IF(AND($D29&lt;&gt;0,_xlfn.XLOOKUP($B29,'TH_CMI GRADE 10'!$B$7:$B$49,'TH_CMI GRADE 10'!AB$7:AB$49,"",0,1)="P",
   _xlfn.XLOOKUP($B29,'TH_CMI GRADE 10'!$B$7:$B$49,'TH_CMI GRADE 10'!$AT$7:$AT$49,"",0,1)&lt;=TODAY()-MOD(WEEKDAY(TODAY(),2)-5,7)),$D29,0)</f>
        <v>1</v>
      </c>
      <c r="AW79" s="67" t="e">
        <f ca="1">IF(AND($D29&lt;&gt;0,_xlfn.XLOOKUP($B29,'TH_CMI GRADE 10'!$B$7:$B$49,'TH_CMI GRADE 10'!AC$7:AC$49,"",0,1)="P",
   _xlfn.XLOOKUP($B29,'TH_CMI GRADE 10'!$B$7:$B$49,'TH_CMI GRADE 10'!#REF!,"",0,1)&lt;=TODAY()-MOD(WEEKDAY(TODAY(),2)-5,7)),$D29,0)</f>
        <v>#REF!</v>
      </c>
      <c r="AX79" s="67">
        <f ca="1">IF(AND($D29&lt;&gt;0,_xlfn.XLOOKUP($B29,'TH_CMI GRADE 10'!$B$7:$B$49,'TH_CMI GRADE 10'!AG$7:AG$49,"",0,1)="P",
   _xlfn.XLOOKUP($B29,'TH_CMI GRADE 10'!$B$7:$B$49,'TH_CMI GRADE 10'!$AS$7:$AS$49,"",0,1)&lt;=TODAY()-MOD(WEEKDAY(TODAY(),2)-5,7)),$D29,0)</f>
        <v>1</v>
      </c>
      <c r="AY79" s="67">
        <f ca="1">IF(AND($D29&lt;&gt;0,_xlfn.XLOOKUP($B29,'TH_CMI GRADE 10'!$B$7:$B$49,'TH_CMI GRADE 10'!AH$7:AH$49,"",0,1)="P",
   _xlfn.XLOOKUP($B29,'TH_CMI GRADE 10'!$B$7:$B$49,'TH_CMI GRADE 10'!$AT$7:$AT$49,"",0,1)&lt;=TODAY()-MOD(WEEKDAY(TODAY(),2)-5,7)),$D29,0)</f>
        <v>1</v>
      </c>
      <c r="AZ79" s="67" t="e">
        <f ca="1">IF(AND($D29&lt;&gt;0,_xlfn.XLOOKUP($B29,'TH_CMI GRADE 10'!$B$7:$B$49,'TH_CMI GRADE 10'!AI$7:AI$49,"",0,1)="P",
   _xlfn.XLOOKUP($B29,'TH_CMI GRADE 10'!$B$7:$B$49,'TH_CMI GRADE 10'!#REF!,"",0,1)&lt;=TODAY()-MOD(WEEKDAY(TODAY(),2)-5,7)),$D29,0)</f>
        <v>#REF!</v>
      </c>
      <c r="BA79" s="65" t="e">
        <f ca="1">IF(AND($D29&lt;&gt;0,_xlfn.XLOOKUP($B29,'PW_MLG GRADE 10'!$B$7:$B$31,'PW_MLG GRADE 10'!R$7:R$31,"",0,1)="P",
   _xlfn.XLOOKUP($B29,'PW_MLG GRADE 10'!$B$7:$B$31,'PW_MLG GRADE 10'!#REF!,"",0,1)&lt;=TODAY()-MOD(WEEKDAY(TODAY(),2)-5,7)),$D29,0)</f>
        <v>#REF!</v>
      </c>
      <c r="BB79" s="65" t="e">
        <f ca="1">IF(AND($D29&lt;&gt;0,_xlfn.XLOOKUP($B29,'PW_MLG GRADE 10'!$B$7:$B$31,'PW_MLG GRADE 10'!S$7:S$31,"",0,1)="P",
   _xlfn.XLOOKUP($B29,'PW_MLG GRADE 10'!$B$7:$B$31,'PW_MLG GRADE 10'!#REF!,"",0,1)&lt;=TODAY()-MOD(WEEKDAY(TODAY(),2)-5,7)),$D29,0)</f>
        <v>#REF!</v>
      </c>
      <c r="BC79" s="65" t="e">
        <f ca="1">IF(AND($D29&lt;&gt;0,_xlfn.XLOOKUP($B29,'PW_MLG GRADE 10'!$B$7:$B$31,'PW_MLG GRADE 10'!T$7:T$31,"",0,1)="P",
   _xlfn.XLOOKUP($B29,'PW_MLG GRADE 10'!$B$7:$B$31,'PW_MLG GRADE 10'!#REF!,"",0,1)&lt;=TODAY()-MOD(WEEKDAY(TODAY(),2)-5,7)),$D29,0)</f>
        <v>#REF!</v>
      </c>
      <c r="BD79" s="65" t="e">
        <f ca="1">IF(AND($D29&lt;&gt;0,_xlfn.XLOOKUP($B29,'PW_MLG GRADE 10'!$B$7:$B$31,'PW_MLG GRADE 10'!AA$7:AA$31,"",0,1)="P",
   _xlfn.XLOOKUP($B29,'PW_MLG GRADE 10'!$B$7:$B$31,'PW_MLG GRADE 10'!#REF!,"",0,1)&lt;=TODAY()-MOD(WEEKDAY(TODAY(),2)-5,7)),$D29,0)</f>
        <v>#REF!</v>
      </c>
      <c r="BE79" s="65" t="e">
        <f ca="1">IF(AND($D29&lt;&gt;0,_xlfn.XLOOKUP($B29,'PW_MLG GRADE 10'!$B$7:$B$31,'PW_MLG GRADE 10'!AB$7:AB$31,"",0,1)="P",
   _xlfn.XLOOKUP($B29,'PW_MLG GRADE 10'!$B$7:$B$31,'PW_MLG GRADE 10'!#REF!,"",0,1)&lt;=TODAY()-MOD(WEEKDAY(TODAY(),2)-5,7)),$D29,0)</f>
        <v>#REF!</v>
      </c>
      <c r="BF79" s="65" t="e">
        <f ca="1">IF(AND($D29&lt;&gt;0,_xlfn.XLOOKUP($B29,'PW_MLG GRADE 10'!$B$7:$B$31,'PW_MLG GRADE 10'!AC$7:AC$31,"",0,1)="P",
   _xlfn.XLOOKUP($B29,'PW_MLG GRADE 10'!$B$7:$B$31,'PW_MLG GRADE 10'!#REF!,"",0,1)&lt;=TODAY()-MOD(WEEKDAY(TODAY(),2)-5,7)),$D29,0)</f>
        <v>#REF!</v>
      </c>
      <c r="BG79" s="65" t="e">
        <f ca="1">IF(AND($D29&lt;&gt;0,_xlfn.XLOOKUP($B29,'PW_MLG GRADE 10'!$B$7:$B$31,'PW_MLG GRADE 10'!AD$7:AD$31,"",0,1)="P",
   _xlfn.XLOOKUP($B29,'PW_MLG GRADE 10'!$B$7:$B$31,'PW_MLG GRADE 10'!#REF!,"",0,1)&lt;=TODAY()-MOD(WEEKDAY(TODAY(),2)-5,7)),$D29,0)</f>
        <v>#REF!</v>
      </c>
      <c r="BH79" s="65" t="e">
        <f ca="1">IF(AND($D29&lt;&gt;0,_xlfn.XLOOKUP($B29,'PW_MLG GRADE 10'!$B$7:$B$31,'PW_MLG GRADE 10'!AE$7:AE$31,"",0,1)="P",
   _xlfn.XLOOKUP($B29,'PW_MLG GRADE 10'!$B$7:$B$31,'PW_MLG GRADE 10'!#REF!,"",0,1)&lt;=TODAY()-MOD(WEEKDAY(TODAY(),2)-5,7)),$D29,0)</f>
        <v>#REF!</v>
      </c>
      <c r="BI79" s="65" t="e">
        <f ca="1">IF(AND($D29&lt;&gt;0,_xlfn.XLOOKUP($B29,'PW_MLG GRADE 10'!$B$7:$B$31,'PW_MLG GRADE 10'!AF$7:AF$31,"",0,1)="P",
   _xlfn.XLOOKUP($B29,'PW_MLG GRADE 10'!$B$7:$B$31,'PW_MLG GRADE 10'!#REF!,"",0,1)&lt;=TODAY()-MOD(WEEKDAY(TODAY(),2)-5,7)),$D29,0)</f>
        <v>#REF!</v>
      </c>
      <c r="BJ79" s="65" t="e">
        <f ca="1">IF(AND($D29&lt;&gt;0,_xlfn.XLOOKUP($B29,'PW_MLG GRADE 10'!$B$7:$B$31,'PW_MLG GRADE 10'!AG$7:AG$31,"",0,1)="P",
   _xlfn.XLOOKUP($B29,'PW_MLG GRADE 10'!$B$7:$B$31,'PW_MLG GRADE 10'!#REF!,"",0,1)&lt;=TODAY()-MOD(WEEKDAY(TODAY(),2)-5,7)),$D29,0)</f>
        <v>#REF!</v>
      </c>
      <c r="BK79" s="65" t="e">
        <f ca="1">IF(AND($D29&lt;&gt;0,_xlfn.XLOOKUP($B29,'PW_MLG GRADE 10'!$B$7:$B$31,'PW_MLG GRADE 10'!AH$7:AH$31,"",0,1)="P",
   _xlfn.XLOOKUP($B29,'PW_MLG GRADE 10'!$B$7:$B$31,'PW_MLG GRADE 10'!#REF!,"",0,1)&lt;=TODAY()-MOD(WEEKDAY(TODAY(),2)-5,7)),$D29,0)</f>
        <v>#REF!</v>
      </c>
      <c r="BL79" s="65" t="e">
        <f ca="1">IF(AND($D29&lt;&gt;0,_xlfn.XLOOKUP($B29,'PW_MLG GRADE 10'!$B$7:$B$31,'PW_MLG GRADE 10'!AI$7:AI$31,"",0,1)="P",
   _xlfn.XLOOKUP($B29,'PW_MLG GRADE 10'!$B$7:$B$31,'PW_MLG GRADE 10'!#REF!,"",0,1)&lt;=TODAY()-MOD(WEEKDAY(TODAY(),2)-5,7)),$D29,0)</f>
        <v>#REF!</v>
      </c>
      <c r="BM79" s="65" t="e">
        <f ca="1">IF(AND($D29&lt;&gt;0,_xlfn.XLOOKUP($B29,'PW_MLG GRADE 10'!$B$7:$B$31,'PW_MLG GRADE 10'!AJ$7:AJ$31,"",0,1)="P",
   _xlfn.XLOOKUP($B29,'PW_MLG GRADE 10'!$B$7:$B$31,'PW_MLG GRADE 10'!#REF!,"",0,1)&lt;=TODAY()-MOD(WEEKDAY(TODAY(),2)-5,7)),$D29,0)</f>
        <v>#REF!</v>
      </c>
      <c r="BN79" s="65" t="e">
        <f ca="1">IF(AND($D29&lt;&gt;0,_xlfn.XLOOKUP($B29,'PW_MLG GRADE 10'!$B$7:$B$31,'PW_MLG GRADE 10'!AK$7:AK$31,"",0,1)="P",
   _xlfn.XLOOKUP($B29,'PW_MLG GRADE 10'!$B$7:$B$31,'PW_MLG GRADE 10'!#REF!,"",0,1)&lt;=TODAY()-MOD(WEEKDAY(TODAY(),2)-5,7)),$D29,0)</f>
        <v>#REF!</v>
      </c>
      <c r="BO79" s="65" t="e">
        <f ca="1">IF(AND($D29&lt;&gt;0,_xlfn.XLOOKUP($B29,'PW_MLG GRADE 10'!$B$7:$B$31,'PW_MLG GRADE 10'!AL$7:AL$31,"",0,1)="P",
   _xlfn.XLOOKUP($B29,'PW_MLG GRADE 10'!$B$7:$B$31,'PW_MLG GRADE 10'!#REF!,"",0,1)&lt;=TODAY()-MOD(WEEKDAY(TODAY(),2)-5,7)),$D29,0)</f>
        <v>#REF!</v>
      </c>
      <c r="BP79" s="65" t="e">
        <f ca="1">IF(AND($D29&lt;&gt;0,_xlfn.XLOOKUP($B29,'PW_MLG GRADE 10'!$B$7:$B$31,'PW_MLG GRADE 10'!AM$7:AM$31,"",0,1)="P",
   _xlfn.XLOOKUP($B29,'PW_MLG GRADE 10'!$B$7:$B$31,'PW_MLG GRADE 10'!#REF!,"",0,1)&lt;=TODAY()-MOD(WEEKDAY(TODAY(),2)-5,7)),$D29,0)</f>
        <v>#REF!</v>
      </c>
      <c r="BQ79" s="65" t="e">
        <f ca="1">IF(AND($D29&lt;&gt;0,_xlfn.XLOOKUP($B29,'PW_MLG GRADE 10'!$B$7:$B$31,'PW_MLG GRADE 10'!AN$7:AN$31,"",0,1)="P",
   _xlfn.XLOOKUP($B29,'PW_MLG GRADE 10'!$B$7:$B$31,'PW_MLG GRADE 10'!#REF!,"",0,1)&lt;=TODAY()-MOD(WEEKDAY(TODAY(),2)-5,7)),$D29,0)</f>
        <v>#REF!</v>
      </c>
      <c r="BR79" s="65" t="e">
        <f ca="1">IF(AND($D29&lt;&gt;0,_xlfn.XLOOKUP($B29,'PW_MLG GRADE 10'!$B$7:$B$31,'PW_MLG GRADE 10'!AO$7:AO$31,"",0,1)="P",
   _xlfn.XLOOKUP($B29,'PW_MLG GRADE 10'!$B$7:$B$31,'PW_MLG GRADE 10'!#REF!,"",0,1)&lt;=TODAY()-MOD(WEEKDAY(TODAY(),2)-5,7)),$D29,0)</f>
        <v>#REF!</v>
      </c>
      <c r="BS79" s="65" t="e">
        <f ca="1">IF(AND($D29&lt;&gt;0,_xlfn.XLOOKUP($B29,'PW_MLG GRADE 10'!$B$7:$B$31,'PW_MLG GRADE 10'!AP$7:AP$31,"",0,1)="P",
   _xlfn.XLOOKUP($B29,'PW_MLG GRADE 10'!$B$7:$B$31,'PW_MLG GRADE 10'!#REF!,"",0,1)&lt;=TODAY()-MOD(WEEKDAY(TODAY(),2)-5,7)),$D29,0)</f>
        <v>#REF!</v>
      </c>
      <c r="BT79" s="65" t="e">
        <f ca="1">IF(AND($D29&lt;&gt;0,_xlfn.XLOOKUP($B29,'PW_MLG GRADE 10'!$B$7:$B$31,'PW_MLG GRADE 10'!AQ$7:AQ$31,"",0,1)="P",
   _xlfn.XLOOKUP($B29,'PW_MLG GRADE 10'!$B$7:$B$31,'PW_MLG GRADE 10'!#REF!,"",0,1)&lt;=TODAY()-MOD(WEEKDAY(TODAY(),2)-5,7)),$D29,0)</f>
        <v>#REF!</v>
      </c>
      <c r="BU79" s="65" t="e">
        <f ca="1">IF(AND($D29&lt;&gt;0,_xlfn.XLOOKUP($B29,'PW_MLG GRADE 10'!$B$7:$B$31,'PW_MLG GRADE 10'!AR$7:AR$31,"",0,1)="P",
   _xlfn.XLOOKUP($B29,'PW_MLG GRADE 10'!$B$7:$B$31,'PW_MLG GRADE 10'!#REF!,"",0,1)&lt;=TODAY()-MOD(WEEKDAY(TODAY(),2)-5,7)),$D29,0)</f>
        <v>#REF!</v>
      </c>
      <c r="BV79" s="65" t="e">
        <f ca="1">IF(AND($D29&lt;&gt;0,_xlfn.XLOOKUP($B29,'PW_MLG GRADE 10'!$B$7:$B$31,'PW_MLG GRADE 10'!AY$7:AY$31,"",0,1)="P",
   _xlfn.XLOOKUP($B29,'PW_MLG GRADE 10'!$B$7:$B$31,'PW_MLG GRADE 10'!#REF!,"",0,1)&lt;=TODAY()-MOD(WEEKDAY(TODAY(),2)-5,7)),$D29,0)</f>
        <v>#REF!</v>
      </c>
      <c r="BW79" s="65" t="e">
        <f ca="1">IF(AND($D29&lt;&gt;0,_xlfn.XLOOKUP($B29,'PW_MLG GRADE 10'!$B$7:$B$31,'PW_MLG GRADE 10'!AZ$7:AZ$31,"",0,1)="P",
   _xlfn.XLOOKUP($B29,'PW_MLG GRADE 10'!$B$7:$B$31,'PW_MLG GRADE 10'!#REF!,"",0,1)&lt;=TODAY()-MOD(WEEKDAY(TODAY(),2)-5,7)),$D29,0)</f>
        <v>#REF!</v>
      </c>
      <c r="BX79" s="65" t="e">
        <f ca="1">IF(AND($D29&lt;&gt;0,_xlfn.XLOOKUP($B29,'PW_MLG GRADE 10'!$B$7:$B$31,'PW_MLG GRADE 10'!BA$7:BA$31,"",0,1)="P",
   _xlfn.XLOOKUP($B29,'PW_MLG GRADE 10'!$B$7:$B$31,'PW_MLG GRADE 10'!#REF!,"",0,1)&lt;=TODAY()-MOD(WEEKDAY(TODAY(),2)-5,7)),$D29,0)</f>
        <v>#REF!</v>
      </c>
      <c r="BY79" s="65" t="e">
        <f ca="1">IF(AND($D29&lt;&gt;0,_xlfn.XLOOKUP($B29,'PW_MLG GRADE 10'!$B$7:$B$31,'PW_MLG GRADE 10'!BB$7:BB$31,"",0,1)="P",
   _xlfn.XLOOKUP($B29,'PW_MLG GRADE 10'!$B$7:$B$31,'PW_MLG GRADE 10'!#REF!,"",0,1)&lt;=TODAY()-MOD(WEEKDAY(TODAY(),2)-5,7)),$D29,0)</f>
        <v>#REF!</v>
      </c>
      <c r="BZ79" s="65" t="e">
        <f ca="1">IF(AND($D29&lt;&gt;0,_xlfn.XLOOKUP($B29,'PW_MLG GRADE 10'!$B$7:$B$31,'PW_MLG GRADE 10'!BC$7:BC$31,"",0,1)="P",
   _xlfn.XLOOKUP($B29,'PW_MLG GRADE 10'!$B$7:$B$31,'PW_MLG GRADE 10'!#REF!,"",0,1)&lt;=TODAY()-MOD(WEEKDAY(TODAY(),2)-5,7)),$D29,0)</f>
        <v>#REF!</v>
      </c>
      <c r="CA79" s="65" t="e">
        <f ca="1">IF(AND($D29&lt;&gt;0,_xlfn.XLOOKUP($B29,'PW_MLG GRADE 10'!$B$7:$B$31,'PW_MLG GRADE 10'!BD$7:BD$31,"",0,1)="P",
   _xlfn.XLOOKUP($B29,'PW_MLG GRADE 10'!$B$7:$B$31,'PW_MLG GRADE 10'!#REF!,"",0,1)&lt;=TODAY()-MOD(WEEKDAY(TODAY(),2)-5,7)),$D29,0)</f>
        <v>#REF!</v>
      </c>
      <c r="CB79" s="65" t="e">
        <f ca="1">IF(AND($D29&lt;&gt;0,_xlfn.XLOOKUP($B29,'PW_MLG GRADE 10'!$B$7:$B$31,'PW_MLG GRADE 10'!BE$7:BE$31,"",0,1)="P",
   _xlfn.XLOOKUP($B29,'PW_MLG GRADE 10'!$B$7:$B$31,'PW_MLG GRADE 10'!#REF!,"",0,1)&lt;=TODAY()-MOD(WEEKDAY(TODAY(),2)-5,7)),$D29,0)</f>
        <v>#REF!</v>
      </c>
      <c r="CC79" s="65" t="e">
        <f ca="1">IF(AND($D29&lt;&gt;0,_xlfn.XLOOKUP($B29,'PW_MLG GRADE 10'!$B$7:$B$31,'PW_MLG GRADE 10'!BF$7:BF$31,"",0,1)="P",
   _xlfn.XLOOKUP($B29,'PW_MLG GRADE 10'!$B$7:$B$31,'PW_MLG GRADE 10'!#REF!,"",0,1)&lt;=TODAY()-MOD(WEEKDAY(TODAY(),2)-5,7)),$D29,0)</f>
        <v>#REF!</v>
      </c>
      <c r="CD79" s="65" t="e">
        <f ca="1">IF(AND($D29&lt;&gt;0,_xlfn.XLOOKUP($B29,'PW_MLG GRADE 10'!$B$7:$B$31,'PW_MLG GRADE 10'!BG$7:BG$31,"",0,1)="P",
   _xlfn.XLOOKUP($B29,'PW_MLG GRADE 10'!$B$7:$B$31,'PW_MLG GRADE 10'!#REF!,"",0,1)&lt;=TODAY()-MOD(WEEKDAY(TODAY(),2)-5,7)),$D29,0)</f>
        <v>#REF!</v>
      </c>
      <c r="CE79" s="67">
        <f ca="1">IF(AND($D29&lt;&gt;0,_xlfn.XLOOKUP($B29,'PW_CMI GRADE 10'!$B$7:$B$31,'PW_CMI GRADE 10'!AY$7:AY$31,"",0,1)="P",
   _xlfn.XLOOKUP($B29,'PW_CMI GRADE 10'!$B$7:$B$31,'PW_CMI GRADE 10'!$U$7:$U$31,"",0,1)&lt;=TODAY()-MOD(WEEKDAY(TODAY(),2)-5,7)),$D29,0)</f>
        <v>0</v>
      </c>
      <c r="CF79" s="67">
        <f ca="1">IF(AND($D29&lt;&gt;0,_xlfn.XLOOKUP($B29,'PW_CMI GRADE 10'!$B$7:$B$31,'PW_CMI GRADE 10'!AZ$7:AZ$31,"",0,1)="P",
   _xlfn.XLOOKUP($B29,'PW_CMI GRADE 10'!$B$7:$B$31,'PW_CMI GRADE 10'!$V$7:$V$31,"",0,1)&lt;=TODAY()-MOD(WEEKDAY(TODAY(),2)-5,7)),$D29,0)</f>
        <v>0</v>
      </c>
      <c r="CG79" s="67">
        <f ca="1">IF(AND($D29&lt;&gt;0,_xlfn.XLOOKUP($B29,'PW_CMI GRADE 10'!$B$7:$B$31,'PW_CMI GRADE 10'!BA$7:BA$31,"",0,1)="P",
   _xlfn.XLOOKUP($B29,'PW_CMI GRADE 10'!$B$7:$B$31,'PW_CMI GRADE 10'!$W$7:$W$31,"",0,1)&lt;=TODAY()-MOD(WEEKDAY(TODAY(),2)-5,7)),$D29,0)</f>
        <v>0</v>
      </c>
      <c r="CH79" s="67">
        <f ca="1">IF(AND($D29&lt;&gt;0,_xlfn.XLOOKUP($B29,'PW_CMI GRADE 10'!$B$7:$B$31,'PW_CMI GRADE 10'!BB$7:BB$31,"",0,1)="P",
   _xlfn.XLOOKUP($B29,'PW_CMI GRADE 10'!$B$7:$B$31,'PW_CMI GRADE 10'!$U$7:$U$31,"",0,1)&lt;=TODAY()-MOD(WEEKDAY(TODAY(),2)-5,7)),$D29,0)</f>
        <v>0</v>
      </c>
      <c r="CI79" s="67">
        <f ca="1">IF(AND($D29&lt;&gt;0,_xlfn.XLOOKUP($B29,'PW_CMI GRADE 10'!$B$7:$B$31,'PW_CMI GRADE 10'!BC$7:BC$31,"",0,1)="P",
   _xlfn.XLOOKUP($B29,'PW_CMI GRADE 10'!$B$7:$B$31,'PW_CMI GRADE 10'!$V$7:$V$31,"",0,1)&lt;=TODAY()-MOD(WEEKDAY(TODAY(),2)-5,7)),$D29,0)</f>
        <v>0</v>
      </c>
      <c r="CJ79" s="67">
        <f ca="1">IF(AND($D29&lt;&gt;0,_xlfn.XLOOKUP($B29,'PW_CMI GRADE 10'!$B$7:$B$31,'PW_CMI GRADE 10'!BD$7:BD$31,"",0,1)="P",
   _xlfn.XLOOKUP($B29,'PW_CMI GRADE 10'!$B$7:$B$31,'PW_CMI GRADE 10'!$W$7:$W$31,"",0,1)&lt;=TODAY()-MOD(WEEKDAY(TODAY(),2)-5,7)),$D29,0)</f>
        <v>0</v>
      </c>
      <c r="CK79" s="67">
        <f ca="1">IF(AND($D29&lt;&gt;0,_xlfn.XLOOKUP($B29,'PW_CMI GRADE 10'!$B$7:$B$31,'PW_CMI GRADE 10'!BE$7:BE$31,"",0,1)="P",
   _xlfn.XLOOKUP($B29,'PW_CMI GRADE 10'!$B$7:$B$31,'PW_CMI GRADE 10'!$U$7:$U$31,"",0,1)&lt;=TODAY()-MOD(WEEKDAY(TODAY(),2)-5,7)),$D29,0)</f>
        <v>0</v>
      </c>
      <c r="CL79" s="67">
        <f ca="1">IF(AND($D29&lt;&gt;0,_xlfn.XLOOKUP($B29,'PW_CMI GRADE 10'!$B$7:$B$31,'PW_CMI GRADE 10'!BF$7:BF$31,"",0,1)="P",
   _xlfn.XLOOKUP($B29,'PW_CMI GRADE 10'!$B$7:$B$31,'PW_CMI GRADE 10'!$V$7:$V$31,"",0,1)&lt;=TODAY()-MOD(WEEKDAY(TODAY(),2)-5,7)),$D29,0)</f>
        <v>0</v>
      </c>
      <c r="CM79" s="67">
        <f ca="1">IF(AND($D29&lt;&gt;0,_xlfn.XLOOKUP($B29,'PW_CMI GRADE 10'!$B$7:$B$31,'PW_CMI GRADE 10'!BG$7:BG$31,"",0,1)="P",
   _xlfn.XLOOKUP($B29,'PW_CMI GRADE 10'!$B$7:$B$31,'PW_CMI GRADE 10'!$W$7:$W$31,"",0,1)&lt;=TODAY()-MOD(WEEKDAY(TODAY(),2)-5,7)),$D29,0)</f>
        <v>0</v>
      </c>
      <c r="CN79" s="67">
        <f ca="1">IF(AND($D29&lt;&gt;0,_xlfn.XLOOKUP($B29,'PW_CMI GRADE 10'!$B$7:$B$31,'PW_CMI GRADE 10'!BH$7:BH$31,"",0,1)="P",
   _xlfn.XLOOKUP($B29,'PW_CMI GRADE 10'!$B$7:$B$31,'PW_CMI GRADE 10'!$U$7:$U$31,"",0,1)&lt;=TODAY()-MOD(WEEKDAY(TODAY(),2)-5,7)),$D29,0)</f>
        <v>0</v>
      </c>
      <c r="CO79" s="67">
        <f ca="1">IF(AND($D29&lt;&gt;0,_xlfn.XLOOKUP($B29,'PW_CMI GRADE 10'!$B$7:$B$31,'PW_CMI GRADE 10'!BI$7:BI$31,"",0,1)="P",
   _xlfn.XLOOKUP($B29,'PW_CMI GRADE 10'!$B$7:$B$31,'PW_CMI GRADE 10'!$V$7:$V$31,"",0,1)&lt;=TODAY()-MOD(WEEKDAY(TODAY(),2)-5,7)),$D29,0)</f>
        <v>0</v>
      </c>
      <c r="CP79" s="67">
        <f ca="1">IF(AND($D29&lt;&gt;0,_xlfn.XLOOKUP($B29,'PW_CMI GRADE 10'!$B$7:$B$31,'PW_CMI GRADE 10'!BJ$7:BJ$31,"",0,1)="P",
   _xlfn.XLOOKUP($B29,'PW_CMI GRADE 10'!$B$7:$B$31,'PW_CMI GRADE 10'!$W$7:$W$31,"",0,1)&lt;=TODAY()-MOD(WEEKDAY(TODAY(),2)-5,7)),$D29,0)</f>
        <v>0</v>
      </c>
      <c r="CQ79" s="67">
        <f ca="1">IF(AND($D29&lt;&gt;0,_xlfn.XLOOKUP($B29,'PW_CMI GRADE 10'!$B$7:$B$31,'PW_CMI GRADE 10'!BK$7:BK$31,"",0,1)="P",
   _xlfn.XLOOKUP($B29,'PW_CMI GRADE 10'!$B$7:$B$31,'PW_CMI GRADE 10'!$U$7:$U$31,"",0,1)&lt;=TODAY()-MOD(WEEKDAY(TODAY(),2)-5,7)),$D29,0)</f>
        <v>0</v>
      </c>
      <c r="CR79" s="67">
        <f ca="1">IF(AND($D29&lt;&gt;0,_xlfn.XLOOKUP($B29,'PW_CMI GRADE 10'!$B$7:$B$31,'PW_CMI GRADE 10'!BL$7:BL$31,"",0,1)="P",
   _xlfn.XLOOKUP($B29,'PW_CMI GRADE 10'!$B$7:$B$31,'PW_CMI GRADE 10'!$V$7:$V$31,"",0,1)&lt;=TODAY()-MOD(WEEKDAY(TODAY(),2)-5,7)),$D29,0)</f>
        <v>0</v>
      </c>
      <c r="CS79" s="67">
        <f ca="1">IF(AND($D29&lt;&gt;0,_xlfn.XLOOKUP($B29,'PW_CMI GRADE 10'!$B$7:$B$31,'PW_CMI GRADE 10'!BM$7:BM$31,"",0,1)="P",
   _xlfn.XLOOKUP($B29,'PW_CMI GRADE 10'!$B$7:$B$31,'PW_CMI GRADE 10'!$W$7:$W$31,"",0,1)&lt;=TODAY()-MOD(WEEKDAY(TODAY(),2)-5,7)),$D29,0)</f>
        <v>0</v>
      </c>
      <c r="CT79" s="67">
        <f ca="1">IF(AND($D29&lt;&gt;0,_xlfn.XLOOKUP($B29,'PW_CMI GRADE 10'!$B$7:$B$31,'PW_CMI GRADE 10'!BN$7:BN$31,"",0,1)="P",
   _xlfn.XLOOKUP($B29,'PW_CMI GRADE 10'!$B$7:$B$31,'PW_CMI GRADE 10'!$U$7:$U$31,"",0,1)&lt;=TODAY()-MOD(WEEKDAY(TODAY(),2)-5,7)),$D29,0)</f>
        <v>0</v>
      </c>
      <c r="CU79" s="67">
        <f ca="1">IF(AND($D29&lt;&gt;0,_xlfn.XLOOKUP($B29,'PW_CMI GRADE 10'!$B$7:$B$31,'PW_CMI GRADE 10'!BO$7:BO$31,"",0,1)="P",
   _xlfn.XLOOKUP($B29,'PW_CMI GRADE 10'!$B$7:$B$31,'PW_CMI GRADE 10'!$V$7:$V$31,"",0,1)&lt;=TODAY()-MOD(WEEKDAY(TODAY(),2)-5,7)),$D29,0)</f>
        <v>0</v>
      </c>
      <c r="CV79" s="67">
        <f ca="1">IF(AND($D29&lt;&gt;0,_xlfn.XLOOKUP($B29,'PW_CMI GRADE 10'!$B$7:$B$31,'PW_CMI GRADE 10'!BP$7:BP$31,"",0,1)="P",
   _xlfn.XLOOKUP($B29,'PW_CMI GRADE 10'!$B$7:$B$31,'PW_CMI GRADE 10'!$W$7:$W$31,"",0,1)&lt;=TODAY()-MOD(WEEKDAY(TODAY(),2)-5,7)),$D29,0)</f>
        <v>0</v>
      </c>
      <c r="CW79" s="62" t="e">
        <f t="shared" ca="1" si="132"/>
        <v>#REF!</v>
      </c>
      <c r="CX79" s="62" t="e">
        <f t="shared" ca="1" si="69"/>
        <v>#REF!</v>
      </c>
      <c r="CY79" s="62" t="e">
        <f t="shared" ca="1" si="70"/>
        <v>#REF!</v>
      </c>
      <c r="CZ79" s="62" t="e">
        <f t="shared" ca="1" si="71"/>
        <v>#REF!</v>
      </c>
      <c r="DA79" s="62" t="e">
        <f t="shared" ca="1" si="72"/>
        <v>#REF!</v>
      </c>
      <c r="DB79" s="62" t="e">
        <f t="shared" ca="1" si="73"/>
        <v>#REF!</v>
      </c>
      <c r="DC79" s="62" t="e">
        <f t="shared" ca="1" si="74"/>
        <v>#REF!</v>
      </c>
      <c r="DD79" s="62" t="e">
        <f t="shared" ca="1" si="75"/>
        <v>#REF!</v>
      </c>
      <c r="DE79" s="62" t="e">
        <f t="shared" ca="1" si="76"/>
        <v>#REF!</v>
      </c>
      <c r="DF79" s="62" t="e">
        <f t="shared" ca="1" si="77"/>
        <v>#REF!</v>
      </c>
      <c r="DG79" s="62" t="e">
        <f t="shared" ca="1" si="78"/>
        <v>#REF!</v>
      </c>
      <c r="DH79" s="62" t="e">
        <f t="shared" ca="1" si="79"/>
        <v>#REF!</v>
      </c>
      <c r="DI79" s="62" t="e">
        <f t="shared" ca="1" si="80"/>
        <v>#REF!</v>
      </c>
      <c r="DJ79" s="62" t="e">
        <f t="shared" ca="1" si="81"/>
        <v>#REF!</v>
      </c>
      <c r="DK79" s="62" t="e">
        <f t="shared" ca="1" si="82"/>
        <v>#REF!</v>
      </c>
      <c r="DL79" s="62" t="e">
        <f t="shared" ca="1" si="83"/>
        <v>#REF!</v>
      </c>
      <c r="DM79" s="62" t="e">
        <f t="shared" ca="1" si="84"/>
        <v>#REF!</v>
      </c>
      <c r="DN79" s="62" t="e">
        <f t="shared" ca="1" si="85"/>
        <v>#REF!</v>
      </c>
      <c r="DO79" s="62" t="e">
        <f t="shared" ca="1" si="86"/>
        <v>#REF!</v>
      </c>
      <c r="DP79" s="62" t="e">
        <f t="shared" ca="1" si="87"/>
        <v>#REF!</v>
      </c>
      <c r="DQ79" s="62" t="e">
        <f t="shared" ca="1" si="88"/>
        <v>#REF!</v>
      </c>
      <c r="DR79" s="62" t="e">
        <f t="shared" ca="1" si="89"/>
        <v>#REF!</v>
      </c>
      <c r="DS79" s="62" t="e">
        <f t="shared" ca="1" si="90"/>
        <v>#REF!</v>
      </c>
      <c r="DT79" s="62" t="e">
        <f t="shared" ca="1" si="91"/>
        <v>#REF!</v>
      </c>
      <c r="DU79" s="62" t="e">
        <f t="shared" ca="1" si="92"/>
        <v>#REF!</v>
      </c>
      <c r="DV79" s="62" t="e">
        <f t="shared" ca="1" si="93"/>
        <v>#REF!</v>
      </c>
      <c r="DW79" s="62" t="e">
        <f t="shared" ca="1" si="94"/>
        <v>#REF!</v>
      </c>
      <c r="DX79" s="62" t="e">
        <f t="shared" ca="1" si="95"/>
        <v>#REF!</v>
      </c>
      <c r="DY79" s="62" t="e">
        <f t="shared" ca="1" si="96"/>
        <v>#REF!</v>
      </c>
      <c r="DZ79" s="62" t="e">
        <f t="shared" ca="1" si="97"/>
        <v>#REF!</v>
      </c>
      <c r="EA79" s="63" t="e">
        <f t="shared" ca="1" si="98"/>
        <v>#REF!</v>
      </c>
      <c r="EB79" s="63" t="e">
        <f t="shared" ca="1" si="99"/>
        <v>#REF!</v>
      </c>
      <c r="EC79" s="63" t="e">
        <f t="shared" ca="1" si="100"/>
        <v>#REF!</v>
      </c>
      <c r="ED79" s="63" t="e">
        <f t="shared" ca="1" si="101"/>
        <v>#REF!</v>
      </c>
      <c r="EE79" s="63" t="e">
        <f t="shared" ca="1" si="102"/>
        <v>#REF!</v>
      </c>
      <c r="EF79" s="63" t="e">
        <f t="shared" ca="1" si="103"/>
        <v>#REF!</v>
      </c>
      <c r="EG79" s="63" t="e">
        <f t="shared" ca="1" si="104"/>
        <v>#REF!</v>
      </c>
      <c r="EH79" s="63" t="e">
        <f t="shared" ca="1" si="105"/>
        <v>#REF!</v>
      </c>
      <c r="EI79" s="63" t="e">
        <f t="shared" ca="1" si="106"/>
        <v>#REF!</v>
      </c>
      <c r="EJ79" s="63" t="e">
        <f t="shared" ca="1" si="107"/>
        <v>#REF!</v>
      </c>
      <c r="EK79" s="63" t="e">
        <f t="shared" ca="1" si="108"/>
        <v>#REF!</v>
      </c>
      <c r="EL79" s="63" t="e">
        <f t="shared" ca="1" si="109"/>
        <v>#REF!</v>
      </c>
      <c r="EM79" s="63" t="e">
        <f t="shared" ca="1" si="110"/>
        <v>#REF!</v>
      </c>
      <c r="EN79" s="63" t="e">
        <f t="shared" ca="1" si="111"/>
        <v>#REF!</v>
      </c>
      <c r="EO79" s="63" t="e">
        <f t="shared" ca="1" si="112"/>
        <v>#REF!</v>
      </c>
      <c r="EP79" s="63" t="e">
        <f t="shared" ca="1" si="113"/>
        <v>#REF!</v>
      </c>
    </row>
    <row r="80" spans="1:171">
      <c r="A80" s="64" t="str">
        <f t="shared" si="131"/>
        <v>4A.2</v>
      </c>
      <c r="B80" s="64" t="s">
        <v>61</v>
      </c>
      <c r="C80" s="30">
        <v>2</v>
      </c>
      <c r="D80" s="30">
        <v>1</v>
      </c>
      <c r="E80" s="65">
        <f ca="1">IF(AND($D30&lt;&gt;0,_xlfn.XLOOKUP($B30,'TH_MLG GRADE 10'!$B$7:$B$49,'TH_MLG GRADE 10'!C$7:C$49,"",0,1)="P",
   _xlfn.XLOOKUP($B30,'TH_MLG GRADE 10'!$B$7:$B$49,'TH_MLG GRADE 10'!$BK$7:$BK$49,"",0,1)&lt;=TODAY()-MOD(WEEKDAY(TODAY(),2)-5,7)),$D30,0)</f>
        <v>0</v>
      </c>
      <c r="F80" s="65">
        <f ca="1">IF(AND($D30&lt;&gt;0,_xlfn.XLOOKUP($B30,'TH_MLG GRADE 10'!$B$7:$B$49,'TH_MLG GRADE 10'!D$7:D$49,"",0,1)="P",
   _xlfn.XLOOKUP($B30,'TH_MLG GRADE 10'!$B$7:$B$49,'TH_MLG GRADE 10'!$BL$7:$BL$49,"",0,1)&lt;=TODAY()-MOD(WEEKDAY(TODAY(),2)-5,7)),$D30,0)</f>
        <v>0</v>
      </c>
      <c r="G80" s="65">
        <f ca="1">IF(AND($D30&lt;&gt;0,_xlfn.XLOOKUP($B30,'TH_MLG GRADE 10'!$B$7:$B$49,'TH_MLG GRADE 10'!E$7:E$49,"",0,1)="P",
   _xlfn.XLOOKUP($B30,'TH_MLG GRADE 10'!$B$7:$B$49,'TH_MLG GRADE 10'!$BM$7:$BM$49,"",0,1)&lt;=TODAY()-MOD(WEEKDAY(TODAY(),2)-5,7)),$D30,0)</f>
        <v>0</v>
      </c>
      <c r="H80" s="65">
        <f ca="1">IF(AND($D30&lt;&gt;0,_xlfn.XLOOKUP($B30,'TH_MLG GRADE 10'!$B$7:$B$49,'TH_MLG GRADE 10'!I$7:I$49,"",0,1)="P",
   _xlfn.XLOOKUP($B30,'TH_MLG GRADE 10'!$B$7:$B$49,'TH_MLG GRADE 10'!$BK$7:$BK$49,"",0,1)&lt;=TODAY()-MOD(WEEKDAY(TODAY(),2)-5,7)),$D30,0)</f>
        <v>0</v>
      </c>
      <c r="I80" s="65">
        <f ca="1">IF(AND($D30&lt;&gt;0,_xlfn.XLOOKUP($B30,'TH_MLG GRADE 10'!$B$7:$B$49,'TH_MLG GRADE 10'!J$7:J$49,"",0,1)="P",
   _xlfn.XLOOKUP($B30,'TH_MLG GRADE 10'!$B$7:$B$49,'TH_MLG GRADE 10'!$BL$7:$BL$49,"",0,1)&lt;=TODAY()-MOD(WEEKDAY(TODAY(),2)-5,7)),$D30,0)</f>
        <v>0</v>
      </c>
      <c r="J80" s="65">
        <f ca="1">IF(AND($D30&lt;&gt;0,_xlfn.XLOOKUP($B30,'TH_MLG GRADE 10'!$B$7:$B$49,'TH_MLG GRADE 10'!K$7:K$49,"",0,1)="P",
   _xlfn.XLOOKUP($B30,'TH_MLG GRADE 10'!$B$7:$B$49,'TH_MLG GRADE 10'!$BM$7:$BM$49,"",0,1)&lt;=TODAY()-MOD(WEEKDAY(TODAY(),2)-5,7)),$D30,0)</f>
        <v>0</v>
      </c>
      <c r="K80" s="65">
        <f ca="1">IF(AND($D30&lt;&gt;0,_xlfn.XLOOKUP($B30,'TH_MLG GRADE 10'!$B$7:$B$49,'TH_MLG GRADE 10'!O$7:O$49,"",0,1)="P",
   _xlfn.XLOOKUP($B30,'TH_MLG GRADE 10'!$B$7:$B$49,'TH_MLG GRADE 10'!$BK$7:$BK$49,"",0,1)&lt;=TODAY()-MOD(WEEKDAY(TODAY(),2)-5,7)),$D30,0)</f>
        <v>0</v>
      </c>
      <c r="L80" s="65">
        <f ca="1">IF(AND($D30&lt;&gt;0,_xlfn.XLOOKUP($B30,'TH_MLG GRADE 10'!$B$7:$B$49,'TH_MLG GRADE 10'!P$7:P$49,"",0,1)="P",
   _xlfn.XLOOKUP($B30,'TH_MLG GRADE 10'!$B$7:$B$49,'TH_MLG GRADE 10'!$BL$7:$BL$49,"",0,1)&lt;=TODAY()-MOD(WEEKDAY(TODAY(),2)-5,7)),$D30,0)</f>
        <v>0</v>
      </c>
      <c r="M80" s="65">
        <f ca="1">IF(AND($D30&lt;&gt;0,_xlfn.XLOOKUP($B30,'TH_MLG GRADE 10'!$B$7:$B$49,'TH_MLG GRADE 10'!Q$7:Q$49,"",0,1)="P",
   _xlfn.XLOOKUP($B30,'TH_MLG GRADE 10'!$B$7:$B$49,'TH_MLG GRADE 10'!$BM$7:$BM$49,"",0,1)&lt;=TODAY()-MOD(WEEKDAY(TODAY(),2)-5,7)),$D30,0)</f>
        <v>0</v>
      </c>
      <c r="N80" s="65">
        <f ca="1">IF(AND($D30&lt;&gt;0,_xlfn.XLOOKUP($B30,'TH_MLG GRADE 10'!$B$7:$B$49,'TH_MLG GRADE 10'!AA$7:AA$49,"",0,1)="P",
   _xlfn.XLOOKUP($B30,'TH_MLG GRADE 10'!$B$7:$B$49,'TH_MLG GRADE 10'!$BK$7:$BK$49,"",0,1)&lt;=TODAY()-MOD(WEEKDAY(TODAY(),2)-5,7)),$D30,0)</f>
        <v>1</v>
      </c>
      <c r="O80" s="65">
        <f ca="1">IF(AND($D30&lt;&gt;0,_xlfn.XLOOKUP($B30,'TH_MLG GRADE 10'!$B$7:$B$49,'TH_MLG GRADE 10'!AB$7:AB$49,"",0,1)="P",
   _xlfn.XLOOKUP($B30,'TH_MLG GRADE 10'!$B$7:$B$49,'TH_MLG GRADE 10'!$BL$7:$BL$49,"",0,1)&lt;=TODAY()-MOD(WEEKDAY(TODAY(),2)-5,7)),$D30,0)</f>
        <v>0</v>
      </c>
      <c r="P80" s="65">
        <f ca="1">IF(AND($D30&lt;&gt;0,_xlfn.XLOOKUP($B30,'TH_MLG GRADE 10'!$B$7:$B$49,'TH_MLG GRADE 10'!AC$7:AC$49,"",0,1)="P",
   _xlfn.XLOOKUP($B30,'TH_MLG GRADE 10'!$B$7:$B$49,'TH_MLG GRADE 10'!$BM$7:$BM$49,"",0,1)&lt;=TODAY()-MOD(WEEKDAY(TODAY(),2)-5,7)),$D30,0)</f>
        <v>0</v>
      </c>
      <c r="Q80" s="65">
        <f ca="1">IF(AND($D30&lt;&gt;0,_xlfn.XLOOKUP($B30,'TH_MLG GRADE 10'!$B$7:$B$49,'TH_MLG GRADE 10'!AG$7:AG$49,"",0,1)="P",
   _xlfn.XLOOKUP($B30,'TH_MLG GRADE 10'!$B$7:$B$49,'TH_MLG GRADE 10'!$BK$7:$BK$49,"",0,1)&lt;=TODAY()-MOD(WEEKDAY(TODAY(),2)-5,7)),$D30,0)</f>
        <v>1</v>
      </c>
      <c r="R80" s="65">
        <f ca="1">IF(AND($D30&lt;&gt;0,_xlfn.XLOOKUP($B30,'TH_MLG GRADE 10'!$B$7:$B$49,'TH_MLG GRADE 10'!AH$7:AH$49,"",0,1)="P",
   _xlfn.XLOOKUP($B30,'TH_MLG GRADE 10'!$B$7:$B$49,'TH_MLG GRADE 10'!$BL$7:$BL$49,"",0,1)&lt;=TODAY()-MOD(WEEKDAY(TODAY(),2)-5,7)),$D30,0)</f>
        <v>1</v>
      </c>
      <c r="S80" s="65">
        <f ca="1">IF(AND($D30&lt;&gt;0,_xlfn.XLOOKUP($B30,'TH_MLG GRADE 10'!$B$7:$B$49,'TH_MLG GRADE 10'!AI$7:AI$49,"",0,1)="P",
   _xlfn.XLOOKUP($B30,'TH_MLG GRADE 10'!$B$7:$B$49,'TH_MLG GRADE 10'!$BM$7:$BM$49,"",0,1)&lt;=TODAY()-MOD(WEEKDAY(TODAY(),2)-5,7)),$D30,0)</f>
        <v>1</v>
      </c>
      <c r="T80" s="65">
        <f ca="1">IF(AND($D30&lt;&gt;0,_xlfn.XLOOKUP($B30,'TH_MLG GRADE 10'!$B$7:$B$49,'TH_MLG GRADE 10'!AM$7:AM$49,"",0,1)="P",
   _xlfn.XLOOKUP($B30,'TH_MLG GRADE 10'!$B$7:$B$49,'TH_MLG GRADE 10'!$BK$7:$BK$49,"",0,1)&lt;=TODAY()-MOD(WEEKDAY(TODAY(),2)-5,7)),$D30,0)</f>
        <v>0</v>
      </c>
      <c r="U80" s="65">
        <f ca="1">IF(AND($D30&lt;&gt;0,_xlfn.XLOOKUP($B30,'TH_MLG GRADE 10'!$B$7:$B$49,'TH_MLG GRADE 10'!AN$7:AN$49,"",0,1)="P",
   _xlfn.XLOOKUP($B30,'TH_MLG GRADE 10'!$B$7:$B$49,'TH_MLG GRADE 10'!$BL$7:$BL$49,"",0,1)&lt;=TODAY()-MOD(WEEKDAY(TODAY(),2)-5,7)),$D30,0)</f>
        <v>0</v>
      </c>
      <c r="V80" s="65">
        <f ca="1">IF(AND($D30&lt;&gt;0,_xlfn.XLOOKUP($B30,'TH_MLG GRADE 10'!$B$7:$B$49,'TH_MLG GRADE 10'!AO$7:AO$49,"",0,1)="P",
   _xlfn.XLOOKUP($B30,'TH_MLG GRADE 10'!$B$7:$B$49,'TH_MLG GRADE 10'!$BM$7:$BM$49,"",0,1)&lt;=TODAY()-MOD(WEEKDAY(TODAY(),2)-5,7)),$D30,0)</f>
        <v>0</v>
      </c>
      <c r="W80" s="65">
        <f ca="1">IF(AND($D30&lt;&gt;0,_xlfn.XLOOKUP($B30,'TH_MLG GRADE 10'!$B$7:$B$49,'TH_MLG GRADE 10'!AY$7:AY$49,"",0,1)="P",
   _xlfn.XLOOKUP($B30,'TH_MLG GRADE 10'!$B$7:$B$49,'TH_MLG GRADE 10'!$BK$7:$BK$49,"",0,1)&lt;=TODAY()-MOD(WEEKDAY(TODAY(),2)-5,7)),$D30,0)</f>
        <v>0</v>
      </c>
      <c r="X80" s="65">
        <f ca="1">IF(AND($D30&lt;&gt;0,_xlfn.XLOOKUP($B30,'TH_MLG GRADE 10'!$B$7:$B$49,'TH_MLG GRADE 10'!AZ$7:AZ$49,"",0,1)="P",
   _xlfn.XLOOKUP($B30,'TH_MLG GRADE 10'!$B$7:$B$49,'TH_MLG GRADE 10'!$BL$7:$BL$49,"",0,1)&lt;=TODAY()-MOD(WEEKDAY(TODAY(),2)-5,7)),$D30,0)</f>
        <v>0</v>
      </c>
      <c r="Y80" s="65">
        <f ca="1">IF(AND($D30&lt;&gt;0,_xlfn.XLOOKUP($B30,'TH_MLG GRADE 10'!$B$7:$B$49,'TH_MLG GRADE 10'!BA$7:BA$49,"",0,1)="P",
   _xlfn.XLOOKUP($B30,'TH_MLG GRADE 10'!$B$7:$B$49,'TH_MLG GRADE 10'!$BM$7:$BM$49,"",0,1)&lt;=TODAY()-MOD(WEEKDAY(TODAY(),2)-5,7)),$D30,0)</f>
        <v>0</v>
      </c>
      <c r="Z80" s="65">
        <f ca="1">IF(AND($D30&lt;&gt;0,_xlfn.XLOOKUP($B30,'TH_MLG GRADE 10'!$B$7:$B$49,'TH_MLG GRADE 10'!BE$7:BE$49,"",0,1)="P",
   _xlfn.XLOOKUP($B30,'TH_MLG GRADE 10'!$B$7:$B$49,'TH_MLG GRADE 10'!$BK$7:$BK$49,"",0,1)&lt;=TODAY()-MOD(WEEKDAY(TODAY(),2)-5,7)),$D30,0)</f>
        <v>0</v>
      </c>
      <c r="AA80" s="65">
        <f ca="1">IF(AND($D30&lt;&gt;0,_xlfn.XLOOKUP($B30,'TH_MLG GRADE 10'!$B$7:$B$49,'TH_MLG GRADE 10'!BF$7:BF$49,"",0,1)="P",
   _xlfn.XLOOKUP($B30,'TH_MLG GRADE 10'!$B$7:$B$49,'TH_MLG GRADE 10'!$BL$7:$BL$49,"",0,1)&lt;=TODAY()-MOD(WEEKDAY(TODAY(),2)-5,7)),$D30,0)</f>
        <v>0</v>
      </c>
      <c r="AB80" s="65">
        <f ca="1">IF(AND($D30&lt;&gt;0,_xlfn.XLOOKUP($B30,'TH_MLG GRADE 10'!$B$7:$B$49,'TH_MLG GRADE 10'!BG$7:BG$49,"",0,1)="P",
   _xlfn.XLOOKUP($B30,'TH_MLG GRADE 10'!$B$7:$B$49,'TH_MLG GRADE 10'!$BM$7:$BM$49,"",0,1)&lt;=TODAY()-MOD(WEEKDAY(TODAY(),2)-5,7)),$D30,0)</f>
        <v>0</v>
      </c>
      <c r="AC80" s="65" t="e">
        <f ca="1">IF(AND($D30&lt;&gt;0,_xlfn.XLOOKUP($B30,'TH_MLG GRADE 10'!$B$7:$B$49,'TH_MLG GRADE 10'!#REF!,"",0,1)="P",
   _xlfn.XLOOKUP($B30,'TH_MLG GRADE 10'!$B$7:$B$49,'TH_MLG GRADE 10'!$BK$7:$BK$49,"",0,1)&lt;=TODAY()-MOD(WEEKDAY(TODAY(),2)-5,7)),$D30,0)</f>
        <v>#REF!</v>
      </c>
      <c r="AD80" s="65" t="e">
        <f ca="1">IF(AND($D30&lt;&gt;0,_xlfn.XLOOKUP($B30,'TH_MLG GRADE 10'!$B$7:$B$49,'TH_MLG GRADE 10'!#REF!,"",0,1)="P",
   _xlfn.XLOOKUP($B30,'TH_MLG GRADE 10'!$B$7:$B$49,'TH_MLG GRADE 10'!$BL$7:$BL$49,"",0,1)&lt;=TODAY()-MOD(WEEKDAY(TODAY(),2)-5,7)),$D30,0)</f>
        <v>#REF!</v>
      </c>
      <c r="AE80" s="65" t="e">
        <f ca="1">IF(AND($D30&lt;&gt;0,_xlfn.XLOOKUP($B30,'TH_MLG GRADE 10'!$B$7:$B$49,'TH_MLG GRADE 10'!#REF!,"",0,1)="P",
   _xlfn.XLOOKUP($B30,'TH_MLG GRADE 10'!$B$7:$B$49,'TH_MLG GRADE 10'!$BM$7:$BM$49,"",0,1)&lt;=TODAY()-MOD(WEEKDAY(TODAY(),2)-5,7)),$D30,0)</f>
        <v>#REF!</v>
      </c>
      <c r="AF80" s="65" t="e">
        <f ca="1">IF(AND($D30&lt;&gt;0,_xlfn.XLOOKUP($B30,'TH_MLG GRADE 10'!$B$7:$B$49,'TH_MLG GRADE 10'!#REF!,"",0,1)="P",
   _xlfn.XLOOKUP($B30,'TH_MLG GRADE 10'!$B$7:$B$49,'TH_MLG GRADE 10'!$BK$7:$BK$49,"",0,1)&lt;=TODAY()-MOD(WEEKDAY(TODAY(),2)-5,7)),$D30,0)</f>
        <v>#REF!</v>
      </c>
      <c r="AG80" s="65" t="e">
        <f ca="1">IF(AND($D30&lt;&gt;0,_xlfn.XLOOKUP($B30,'TH_MLG GRADE 10'!$B$7:$B$49,'TH_MLG GRADE 10'!#REF!,"",0,1)="P",
   _xlfn.XLOOKUP($B30,'TH_MLG GRADE 10'!$B$7:$B$49,'TH_MLG GRADE 10'!$BL$7:$BL$49,"",0,1)&lt;=TODAY()-MOD(WEEKDAY(TODAY(),2)-5,7)),$D30,0)</f>
        <v>#REF!</v>
      </c>
      <c r="AH80" s="65" t="e">
        <f ca="1">IF(AND($D30&lt;&gt;0,_xlfn.XLOOKUP($B30,'TH_MLG GRADE 10'!$B$7:$B$49,'TH_MLG GRADE 10'!#REF!,"",0,1)="P",
   _xlfn.XLOOKUP($B30,'TH_MLG GRADE 10'!$B$7:$B$49,'TH_MLG GRADE 10'!$BM$7:$BM$49,"",0,1)&lt;=TODAY()-MOD(WEEKDAY(TODAY(),2)-5,7)),$D30,0)</f>
        <v>#REF!</v>
      </c>
      <c r="AI80" s="67">
        <f ca="1">IF(AND($D30&lt;&gt;0,_xlfn.XLOOKUP($B30,'TH_CMI GRADE 10'!$B$7:$B$49,'TH_CMI GRADE 10'!C$7:C$49,"",0,1)="P",
   _xlfn.XLOOKUP($B30,'TH_CMI GRADE 10'!$B$7:$B$49,'TH_CMI GRADE 10'!$AS$7:$AS$49,"",0,1)&lt;=TODAY()-MOD(WEEKDAY(TODAY(),2)-5,7)),$D30,0)</f>
        <v>0</v>
      </c>
      <c r="AJ80" s="67">
        <f ca="1">IF(AND($D30&lt;&gt;0,_xlfn.XLOOKUP($B30,'TH_CMI GRADE 10'!$B$7:$B$49,'TH_CMI GRADE 10'!D$7:D$49,"",0,1)="P",
   _xlfn.XLOOKUP($B30,'TH_CMI GRADE 10'!$B$7:$B$49,'TH_CMI GRADE 10'!$AT$7:$AT$49,"",0,1)&lt;=TODAY()-MOD(WEEKDAY(TODAY(),2)-5,7)),$D30,0)</f>
        <v>0</v>
      </c>
      <c r="AK80" s="67" t="e">
        <f ca="1">IF(AND($D30&lt;&gt;0,_xlfn.XLOOKUP($B30,'TH_CMI GRADE 10'!$B$7:$B$49,'TH_CMI GRADE 10'!H$7:H$49,"",0,1)="P",
   _xlfn.XLOOKUP($B30,'TH_CMI GRADE 10'!$B$7:$B$49,'TH_CMI GRADE 10'!#REF!,"",0,1)&lt;=TODAY()-MOD(WEEKDAY(TODAY(),2)-5,7)),$D30,0)</f>
        <v>#REF!</v>
      </c>
      <c r="AL80" s="67">
        <f ca="1">IF(AND($D30&lt;&gt;0,_xlfn.XLOOKUP($B30,'TH_CMI GRADE 10'!$B$7:$B$49,'TH_CMI GRADE 10'!I$7:I$49,"",0,1)="P",
   _xlfn.XLOOKUP($B30,'TH_CMI GRADE 10'!$B$7:$B$49,'TH_CMI GRADE 10'!$AS$7:$AS$49,"",0,1)&lt;=TODAY()-MOD(WEEKDAY(TODAY(),2)-5,7)),$D30,0)</f>
        <v>0</v>
      </c>
      <c r="AM80" s="67">
        <f ca="1">IF(AND($D30&lt;&gt;0,_xlfn.XLOOKUP($B30,'TH_CMI GRADE 10'!$B$7:$B$49,'TH_CMI GRADE 10'!J$7:J$49,"",0,1)="P",
   _xlfn.XLOOKUP($B30,'TH_CMI GRADE 10'!$B$7:$B$49,'TH_CMI GRADE 10'!$AT$7:$AT$49,"",0,1)&lt;=TODAY()-MOD(WEEKDAY(TODAY(),2)-5,7)),$D30,0)</f>
        <v>0</v>
      </c>
      <c r="AN80" s="67" t="e">
        <f ca="1">IF(AND($D30&lt;&gt;0,_xlfn.XLOOKUP($B30,'TH_CMI GRADE 10'!$B$7:$B$49,'TH_CMI GRADE 10'!K$7:K$49,"",0,1)="P",
   _xlfn.XLOOKUP($B30,'TH_CMI GRADE 10'!$B$7:$B$49,'TH_CMI GRADE 10'!#REF!,"",0,1)&lt;=TODAY()-MOD(WEEKDAY(TODAY(),2)-5,7)),$D30,0)</f>
        <v>#REF!</v>
      </c>
      <c r="AO80" s="67">
        <f ca="1">IF(AND($D30&lt;&gt;0,_xlfn.XLOOKUP($B30,'TH_CMI GRADE 10'!$B$7:$B$49,'TH_CMI GRADE 10'!O$7:O$49,"",0,1)="P",
   _xlfn.XLOOKUP($B30,'TH_CMI GRADE 10'!$B$7:$B$49,'TH_CMI GRADE 10'!$AS$7:$AS$49,"",0,1)&lt;=TODAY()-MOD(WEEKDAY(TODAY(),2)-5,7)),$D30,0)</f>
        <v>0</v>
      </c>
      <c r="AP80" s="67">
        <f ca="1">IF(AND($D30&lt;&gt;0,_xlfn.XLOOKUP($B30,'TH_CMI GRADE 10'!$B$7:$B$49,'TH_CMI GRADE 10'!P$7:P$49,"",0,1)="P",
   _xlfn.XLOOKUP($B30,'TH_CMI GRADE 10'!$B$7:$B$49,'TH_CMI GRADE 10'!$AT$7:$AT$49,"",0,1)&lt;=TODAY()-MOD(WEEKDAY(TODAY(),2)-5,7)),$D30,0)</f>
        <v>0</v>
      </c>
      <c r="AQ80" s="67" t="e">
        <f ca="1">IF(AND($D30&lt;&gt;0,_xlfn.XLOOKUP($B30,'TH_CMI GRADE 10'!$B$7:$B$49,'TH_CMI GRADE 10'!Q$7:Q$49,"",0,1)="P",
   _xlfn.XLOOKUP($B30,'TH_CMI GRADE 10'!$B$7:$B$49,'TH_CMI GRADE 10'!#REF!,"",0,1)&lt;=TODAY()-MOD(WEEKDAY(TODAY(),2)-5,7)),$D30,0)</f>
        <v>#REF!</v>
      </c>
      <c r="AR80" s="67">
        <f ca="1">IF(AND($D30&lt;&gt;0,_xlfn.XLOOKUP($B30,'TH_CMI GRADE 10'!$B$7:$B$49,'TH_CMI GRADE 10'!U$7:U$49,"",0,1)="P",
   _xlfn.XLOOKUP($B30,'TH_CMI GRADE 10'!$B$7:$B$49,'TH_CMI GRADE 10'!$AS$7:$AS$49,"",0,1)&lt;=TODAY()-MOD(WEEKDAY(TODAY(),2)-5,7)),$D30,0)</f>
        <v>0</v>
      </c>
      <c r="AS80" s="67">
        <f ca="1">IF(AND($D30&lt;&gt;0,_xlfn.XLOOKUP($B30,'TH_CMI GRADE 10'!$B$7:$B$49,'TH_CMI GRADE 10'!V$7:V$49,"",0,1)="P",
   _xlfn.XLOOKUP($B30,'TH_CMI GRADE 10'!$B$7:$B$49,'TH_CMI GRADE 10'!$AT$7:$AT$49,"",0,1)&lt;=TODAY()-MOD(WEEKDAY(TODAY(),2)-5,7)),$D30,0)</f>
        <v>0</v>
      </c>
      <c r="AT80" s="67" t="e">
        <f ca="1">IF(AND($D30&lt;&gt;0,_xlfn.XLOOKUP($B30,'TH_CMI GRADE 10'!$B$7:$B$49,'TH_CMI GRADE 10'!W$7:W$49,"",0,1)="P",
   _xlfn.XLOOKUP($B30,'TH_CMI GRADE 10'!$B$7:$B$49,'TH_CMI GRADE 10'!#REF!,"",0,1)&lt;=TODAY()-MOD(WEEKDAY(TODAY(),2)-5,7)),$D30,0)</f>
        <v>#REF!</v>
      </c>
      <c r="AU80" s="67">
        <f ca="1">IF(AND($D30&lt;&gt;0,_xlfn.XLOOKUP($B30,'TH_CMI GRADE 10'!$B$7:$B$49,'TH_CMI GRADE 10'!AA$7:AA$49,"",0,1)="P",
   _xlfn.XLOOKUP($B30,'TH_CMI GRADE 10'!$B$7:$B$49,'TH_CMI GRADE 10'!$AS$7:$AS$49,"",0,1)&lt;=TODAY()-MOD(WEEKDAY(TODAY(),2)-5,7)),$D30,0)</f>
        <v>1</v>
      </c>
      <c r="AV80" s="67">
        <f ca="1">IF(AND($D30&lt;&gt;0,_xlfn.XLOOKUP($B30,'TH_CMI GRADE 10'!$B$7:$B$49,'TH_CMI GRADE 10'!AB$7:AB$49,"",0,1)="P",
   _xlfn.XLOOKUP($B30,'TH_CMI GRADE 10'!$B$7:$B$49,'TH_CMI GRADE 10'!$AT$7:$AT$49,"",0,1)&lt;=TODAY()-MOD(WEEKDAY(TODAY(),2)-5,7)),$D30,0)</f>
        <v>1</v>
      </c>
      <c r="AW80" s="67" t="e">
        <f ca="1">IF(AND($D30&lt;&gt;0,_xlfn.XLOOKUP($B30,'TH_CMI GRADE 10'!$B$7:$B$49,'TH_CMI GRADE 10'!AC$7:AC$49,"",0,1)="P",
   _xlfn.XLOOKUP($B30,'TH_CMI GRADE 10'!$B$7:$B$49,'TH_CMI GRADE 10'!#REF!,"",0,1)&lt;=TODAY()-MOD(WEEKDAY(TODAY(),2)-5,7)),$D30,0)</f>
        <v>#REF!</v>
      </c>
      <c r="AX80" s="67">
        <f ca="1">IF(AND($D30&lt;&gt;0,_xlfn.XLOOKUP($B30,'TH_CMI GRADE 10'!$B$7:$B$49,'TH_CMI GRADE 10'!AG$7:AG$49,"",0,1)="P",
   _xlfn.XLOOKUP($B30,'TH_CMI GRADE 10'!$B$7:$B$49,'TH_CMI GRADE 10'!$AS$7:$AS$49,"",0,1)&lt;=TODAY()-MOD(WEEKDAY(TODAY(),2)-5,7)),$D30,0)</f>
        <v>1</v>
      </c>
      <c r="AY80" s="67">
        <f ca="1">IF(AND($D30&lt;&gt;0,_xlfn.XLOOKUP($B30,'TH_CMI GRADE 10'!$B$7:$B$49,'TH_CMI GRADE 10'!AH$7:AH$49,"",0,1)="P",
   _xlfn.XLOOKUP($B30,'TH_CMI GRADE 10'!$B$7:$B$49,'TH_CMI GRADE 10'!$AT$7:$AT$49,"",0,1)&lt;=TODAY()-MOD(WEEKDAY(TODAY(),2)-5,7)),$D30,0)</f>
        <v>1</v>
      </c>
      <c r="AZ80" s="67" t="e">
        <f ca="1">IF(AND($D30&lt;&gt;0,_xlfn.XLOOKUP($B30,'TH_CMI GRADE 10'!$B$7:$B$49,'TH_CMI GRADE 10'!AI$7:AI$49,"",0,1)="P",
   _xlfn.XLOOKUP($B30,'TH_CMI GRADE 10'!$B$7:$B$49,'TH_CMI GRADE 10'!#REF!,"",0,1)&lt;=TODAY()-MOD(WEEKDAY(TODAY(),2)-5,7)),$D30,0)</f>
        <v>#REF!</v>
      </c>
      <c r="BA80" s="65" t="e">
        <f ca="1">IF(AND($D30&lt;&gt;0,_xlfn.XLOOKUP($B30,'PW_MLG GRADE 10'!$B$7:$B$31,'PW_MLG GRADE 10'!R$7:R$31,"",0,1)="P",
   _xlfn.XLOOKUP($B30,'PW_MLG GRADE 10'!$B$7:$B$31,'PW_MLG GRADE 10'!#REF!,"",0,1)&lt;=TODAY()-MOD(WEEKDAY(TODAY(),2)-5,7)),$D30,0)</f>
        <v>#REF!</v>
      </c>
      <c r="BB80" s="65" t="e">
        <f ca="1">IF(AND($D30&lt;&gt;0,_xlfn.XLOOKUP($B30,'PW_MLG GRADE 10'!$B$7:$B$31,'PW_MLG GRADE 10'!S$7:S$31,"",0,1)="P",
   _xlfn.XLOOKUP($B30,'PW_MLG GRADE 10'!$B$7:$B$31,'PW_MLG GRADE 10'!#REF!,"",0,1)&lt;=TODAY()-MOD(WEEKDAY(TODAY(),2)-5,7)),$D30,0)</f>
        <v>#REF!</v>
      </c>
      <c r="BC80" s="65" t="e">
        <f ca="1">IF(AND($D30&lt;&gt;0,_xlfn.XLOOKUP($B30,'PW_MLG GRADE 10'!$B$7:$B$31,'PW_MLG GRADE 10'!T$7:T$31,"",0,1)="P",
   _xlfn.XLOOKUP($B30,'PW_MLG GRADE 10'!$B$7:$B$31,'PW_MLG GRADE 10'!#REF!,"",0,1)&lt;=TODAY()-MOD(WEEKDAY(TODAY(),2)-5,7)),$D30,0)</f>
        <v>#REF!</v>
      </c>
      <c r="BD80" s="65" t="e">
        <f ca="1">IF(AND($D30&lt;&gt;0,_xlfn.XLOOKUP($B30,'PW_MLG GRADE 10'!$B$7:$B$31,'PW_MLG GRADE 10'!AA$7:AA$31,"",0,1)="P",
   _xlfn.XLOOKUP($B30,'PW_MLG GRADE 10'!$B$7:$B$31,'PW_MLG GRADE 10'!#REF!,"",0,1)&lt;=TODAY()-MOD(WEEKDAY(TODAY(),2)-5,7)),$D30,0)</f>
        <v>#REF!</v>
      </c>
      <c r="BE80" s="65" t="e">
        <f ca="1">IF(AND($D30&lt;&gt;0,_xlfn.XLOOKUP($B30,'PW_MLG GRADE 10'!$B$7:$B$31,'PW_MLG GRADE 10'!AB$7:AB$31,"",0,1)="P",
   _xlfn.XLOOKUP($B30,'PW_MLG GRADE 10'!$B$7:$B$31,'PW_MLG GRADE 10'!#REF!,"",0,1)&lt;=TODAY()-MOD(WEEKDAY(TODAY(),2)-5,7)),$D30,0)</f>
        <v>#REF!</v>
      </c>
      <c r="BF80" s="65" t="e">
        <f ca="1">IF(AND($D30&lt;&gt;0,_xlfn.XLOOKUP($B30,'PW_MLG GRADE 10'!$B$7:$B$31,'PW_MLG GRADE 10'!AC$7:AC$31,"",0,1)="P",
   _xlfn.XLOOKUP($B30,'PW_MLG GRADE 10'!$B$7:$B$31,'PW_MLG GRADE 10'!#REF!,"",0,1)&lt;=TODAY()-MOD(WEEKDAY(TODAY(),2)-5,7)),$D30,0)</f>
        <v>#REF!</v>
      </c>
      <c r="BG80" s="65" t="e">
        <f ca="1">IF(AND($D30&lt;&gt;0,_xlfn.XLOOKUP($B30,'PW_MLG GRADE 10'!$B$7:$B$31,'PW_MLG GRADE 10'!AD$7:AD$31,"",0,1)="P",
   _xlfn.XLOOKUP($B30,'PW_MLG GRADE 10'!$B$7:$B$31,'PW_MLG GRADE 10'!#REF!,"",0,1)&lt;=TODAY()-MOD(WEEKDAY(TODAY(),2)-5,7)),$D30,0)</f>
        <v>#REF!</v>
      </c>
      <c r="BH80" s="65" t="e">
        <f ca="1">IF(AND($D30&lt;&gt;0,_xlfn.XLOOKUP($B30,'PW_MLG GRADE 10'!$B$7:$B$31,'PW_MLG GRADE 10'!AE$7:AE$31,"",0,1)="P",
   _xlfn.XLOOKUP($B30,'PW_MLG GRADE 10'!$B$7:$B$31,'PW_MLG GRADE 10'!#REF!,"",0,1)&lt;=TODAY()-MOD(WEEKDAY(TODAY(),2)-5,7)),$D30,0)</f>
        <v>#REF!</v>
      </c>
      <c r="BI80" s="65" t="e">
        <f ca="1">IF(AND($D30&lt;&gt;0,_xlfn.XLOOKUP($B30,'PW_MLG GRADE 10'!$B$7:$B$31,'PW_MLG GRADE 10'!AF$7:AF$31,"",0,1)="P",
   _xlfn.XLOOKUP($B30,'PW_MLG GRADE 10'!$B$7:$B$31,'PW_MLG GRADE 10'!#REF!,"",0,1)&lt;=TODAY()-MOD(WEEKDAY(TODAY(),2)-5,7)),$D30,0)</f>
        <v>#REF!</v>
      </c>
      <c r="BJ80" s="65" t="e">
        <f ca="1">IF(AND($D30&lt;&gt;0,_xlfn.XLOOKUP($B30,'PW_MLG GRADE 10'!$B$7:$B$31,'PW_MLG GRADE 10'!AG$7:AG$31,"",0,1)="P",
   _xlfn.XLOOKUP($B30,'PW_MLG GRADE 10'!$B$7:$B$31,'PW_MLG GRADE 10'!#REF!,"",0,1)&lt;=TODAY()-MOD(WEEKDAY(TODAY(),2)-5,7)),$D30,0)</f>
        <v>#REF!</v>
      </c>
      <c r="BK80" s="65" t="e">
        <f ca="1">IF(AND($D30&lt;&gt;0,_xlfn.XLOOKUP($B30,'PW_MLG GRADE 10'!$B$7:$B$31,'PW_MLG GRADE 10'!AH$7:AH$31,"",0,1)="P",
   _xlfn.XLOOKUP($B30,'PW_MLG GRADE 10'!$B$7:$B$31,'PW_MLG GRADE 10'!#REF!,"",0,1)&lt;=TODAY()-MOD(WEEKDAY(TODAY(),2)-5,7)),$D30,0)</f>
        <v>#REF!</v>
      </c>
      <c r="BL80" s="65" t="e">
        <f ca="1">IF(AND($D30&lt;&gt;0,_xlfn.XLOOKUP($B30,'PW_MLG GRADE 10'!$B$7:$B$31,'PW_MLG GRADE 10'!AI$7:AI$31,"",0,1)="P",
   _xlfn.XLOOKUP($B30,'PW_MLG GRADE 10'!$B$7:$B$31,'PW_MLG GRADE 10'!#REF!,"",0,1)&lt;=TODAY()-MOD(WEEKDAY(TODAY(),2)-5,7)),$D30,0)</f>
        <v>#REF!</v>
      </c>
      <c r="BM80" s="65" t="e">
        <f ca="1">IF(AND($D30&lt;&gt;0,_xlfn.XLOOKUP($B30,'PW_MLG GRADE 10'!$B$7:$B$31,'PW_MLG GRADE 10'!AJ$7:AJ$31,"",0,1)="P",
   _xlfn.XLOOKUP($B30,'PW_MLG GRADE 10'!$B$7:$B$31,'PW_MLG GRADE 10'!#REF!,"",0,1)&lt;=TODAY()-MOD(WEEKDAY(TODAY(),2)-5,7)),$D30,0)</f>
        <v>#REF!</v>
      </c>
      <c r="BN80" s="65" t="e">
        <f ca="1">IF(AND($D30&lt;&gt;0,_xlfn.XLOOKUP($B30,'PW_MLG GRADE 10'!$B$7:$B$31,'PW_MLG GRADE 10'!AK$7:AK$31,"",0,1)="P",
   _xlfn.XLOOKUP($B30,'PW_MLG GRADE 10'!$B$7:$B$31,'PW_MLG GRADE 10'!#REF!,"",0,1)&lt;=TODAY()-MOD(WEEKDAY(TODAY(),2)-5,7)),$D30,0)</f>
        <v>#REF!</v>
      </c>
      <c r="BO80" s="65" t="e">
        <f ca="1">IF(AND($D30&lt;&gt;0,_xlfn.XLOOKUP($B30,'PW_MLG GRADE 10'!$B$7:$B$31,'PW_MLG GRADE 10'!AL$7:AL$31,"",0,1)="P",
   _xlfn.XLOOKUP($B30,'PW_MLG GRADE 10'!$B$7:$B$31,'PW_MLG GRADE 10'!#REF!,"",0,1)&lt;=TODAY()-MOD(WEEKDAY(TODAY(),2)-5,7)),$D30,0)</f>
        <v>#REF!</v>
      </c>
      <c r="BP80" s="65" t="e">
        <f ca="1">IF(AND($D30&lt;&gt;0,_xlfn.XLOOKUP($B30,'PW_MLG GRADE 10'!$B$7:$B$31,'PW_MLG GRADE 10'!AM$7:AM$31,"",0,1)="P",
   _xlfn.XLOOKUP($B30,'PW_MLG GRADE 10'!$B$7:$B$31,'PW_MLG GRADE 10'!#REF!,"",0,1)&lt;=TODAY()-MOD(WEEKDAY(TODAY(),2)-5,7)),$D30,0)</f>
        <v>#REF!</v>
      </c>
      <c r="BQ80" s="65" t="e">
        <f ca="1">IF(AND($D30&lt;&gt;0,_xlfn.XLOOKUP($B30,'PW_MLG GRADE 10'!$B$7:$B$31,'PW_MLG GRADE 10'!AN$7:AN$31,"",0,1)="P",
   _xlfn.XLOOKUP($B30,'PW_MLG GRADE 10'!$B$7:$B$31,'PW_MLG GRADE 10'!#REF!,"",0,1)&lt;=TODAY()-MOD(WEEKDAY(TODAY(),2)-5,7)),$D30,0)</f>
        <v>#REF!</v>
      </c>
      <c r="BR80" s="65" t="e">
        <f ca="1">IF(AND($D30&lt;&gt;0,_xlfn.XLOOKUP($B30,'PW_MLG GRADE 10'!$B$7:$B$31,'PW_MLG GRADE 10'!AO$7:AO$31,"",0,1)="P",
   _xlfn.XLOOKUP($B30,'PW_MLG GRADE 10'!$B$7:$B$31,'PW_MLG GRADE 10'!#REF!,"",0,1)&lt;=TODAY()-MOD(WEEKDAY(TODAY(),2)-5,7)),$D30,0)</f>
        <v>#REF!</v>
      </c>
      <c r="BS80" s="65" t="e">
        <f ca="1">IF(AND($D30&lt;&gt;0,_xlfn.XLOOKUP($B30,'PW_MLG GRADE 10'!$B$7:$B$31,'PW_MLG GRADE 10'!AP$7:AP$31,"",0,1)="P",
   _xlfn.XLOOKUP($B30,'PW_MLG GRADE 10'!$B$7:$B$31,'PW_MLG GRADE 10'!#REF!,"",0,1)&lt;=TODAY()-MOD(WEEKDAY(TODAY(),2)-5,7)),$D30,0)</f>
        <v>#REF!</v>
      </c>
      <c r="BT80" s="65" t="e">
        <f ca="1">IF(AND($D30&lt;&gt;0,_xlfn.XLOOKUP($B30,'PW_MLG GRADE 10'!$B$7:$B$31,'PW_MLG GRADE 10'!AQ$7:AQ$31,"",0,1)="P",
   _xlfn.XLOOKUP($B30,'PW_MLG GRADE 10'!$B$7:$B$31,'PW_MLG GRADE 10'!#REF!,"",0,1)&lt;=TODAY()-MOD(WEEKDAY(TODAY(),2)-5,7)),$D30,0)</f>
        <v>#REF!</v>
      </c>
      <c r="BU80" s="65" t="e">
        <f ca="1">IF(AND($D30&lt;&gt;0,_xlfn.XLOOKUP($B30,'PW_MLG GRADE 10'!$B$7:$B$31,'PW_MLG GRADE 10'!AR$7:AR$31,"",0,1)="P",
   _xlfn.XLOOKUP($B30,'PW_MLG GRADE 10'!$B$7:$B$31,'PW_MLG GRADE 10'!#REF!,"",0,1)&lt;=TODAY()-MOD(WEEKDAY(TODAY(),2)-5,7)),$D30,0)</f>
        <v>#REF!</v>
      </c>
      <c r="BV80" s="65" t="e">
        <f ca="1">IF(AND($D30&lt;&gt;0,_xlfn.XLOOKUP($B30,'PW_MLG GRADE 10'!$B$7:$B$31,'PW_MLG GRADE 10'!AY$7:AY$31,"",0,1)="P",
   _xlfn.XLOOKUP($B30,'PW_MLG GRADE 10'!$B$7:$B$31,'PW_MLG GRADE 10'!#REF!,"",0,1)&lt;=TODAY()-MOD(WEEKDAY(TODAY(),2)-5,7)),$D30,0)</f>
        <v>#REF!</v>
      </c>
      <c r="BW80" s="65" t="e">
        <f ca="1">IF(AND($D30&lt;&gt;0,_xlfn.XLOOKUP($B30,'PW_MLG GRADE 10'!$B$7:$B$31,'PW_MLG GRADE 10'!AZ$7:AZ$31,"",0,1)="P",
   _xlfn.XLOOKUP($B30,'PW_MLG GRADE 10'!$B$7:$B$31,'PW_MLG GRADE 10'!#REF!,"",0,1)&lt;=TODAY()-MOD(WEEKDAY(TODAY(),2)-5,7)),$D30,0)</f>
        <v>#REF!</v>
      </c>
      <c r="BX80" s="65" t="e">
        <f ca="1">IF(AND($D30&lt;&gt;0,_xlfn.XLOOKUP($B30,'PW_MLG GRADE 10'!$B$7:$B$31,'PW_MLG GRADE 10'!BA$7:BA$31,"",0,1)="P",
   _xlfn.XLOOKUP($B30,'PW_MLG GRADE 10'!$B$7:$B$31,'PW_MLG GRADE 10'!#REF!,"",0,1)&lt;=TODAY()-MOD(WEEKDAY(TODAY(),2)-5,7)),$D30,0)</f>
        <v>#REF!</v>
      </c>
      <c r="BY80" s="65" t="e">
        <f ca="1">IF(AND($D30&lt;&gt;0,_xlfn.XLOOKUP($B30,'PW_MLG GRADE 10'!$B$7:$B$31,'PW_MLG GRADE 10'!BB$7:BB$31,"",0,1)="P",
   _xlfn.XLOOKUP($B30,'PW_MLG GRADE 10'!$B$7:$B$31,'PW_MLG GRADE 10'!#REF!,"",0,1)&lt;=TODAY()-MOD(WEEKDAY(TODAY(),2)-5,7)),$D30,0)</f>
        <v>#REF!</v>
      </c>
      <c r="BZ80" s="65" t="e">
        <f ca="1">IF(AND($D30&lt;&gt;0,_xlfn.XLOOKUP($B30,'PW_MLG GRADE 10'!$B$7:$B$31,'PW_MLG GRADE 10'!BC$7:BC$31,"",0,1)="P",
   _xlfn.XLOOKUP($B30,'PW_MLG GRADE 10'!$B$7:$B$31,'PW_MLG GRADE 10'!#REF!,"",0,1)&lt;=TODAY()-MOD(WEEKDAY(TODAY(),2)-5,7)),$D30,0)</f>
        <v>#REF!</v>
      </c>
      <c r="CA80" s="65" t="e">
        <f ca="1">IF(AND($D30&lt;&gt;0,_xlfn.XLOOKUP($B30,'PW_MLG GRADE 10'!$B$7:$B$31,'PW_MLG GRADE 10'!BD$7:BD$31,"",0,1)="P",
   _xlfn.XLOOKUP($B30,'PW_MLG GRADE 10'!$B$7:$B$31,'PW_MLG GRADE 10'!#REF!,"",0,1)&lt;=TODAY()-MOD(WEEKDAY(TODAY(),2)-5,7)),$D30,0)</f>
        <v>#REF!</v>
      </c>
      <c r="CB80" s="65" t="e">
        <f ca="1">IF(AND($D30&lt;&gt;0,_xlfn.XLOOKUP($B30,'PW_MLG GRADE 10'!$B$7:$B$31,'PW_MLG GRADE 10'!BE$7:BE$31,"",0,1)="P",
   _xlfn.XLOOKUP($B30,'PW_MLG GRADE 10'!$B$7:$B$31,'PW_MLG GRADE 10'!#REF!,"",0,1)&lt;=TODAY()-MOD(WEEKDAY(TODAY(),2)-5,7)),$D30,0)</f>
        <v>#REF!</v>
      </c>
      <c r="CC80" s="65" t="e">
        <f ca="1">IF(AND($D30&lt;&gt;0,_xlfn.XLOOKUP($B30,'PW_MLG GRADE 10'!$B$7:$B$31,'PW_MLG GRADE 10'!BF$7:BF$31,"",0,1)="P",
   _xlfn.XLOOKUP($B30,'PW_MLG GRADE 10'!$B$7:$B$31,'PW_MLG GRADE 10'!#REF!,"",0,1)&lt;=TODAY()-MOD(WEEKDAY(TODAY(),2)-5,7)),$D30,0)</f>
        <v>#REF!</v>
      </c>
      <c r="CD80" s="65" t="e">
        <f ca="1">IF(AND($D30&lt;&gt;0,_xlfn.XLOOKUP($B30,'PW_MLG GRADE 10'!$B$7:$B$31,'PW_MLG GRADE 10'!BG$7:BG$31,"",0,1)="P",
   _xlfn.XLOOKUP($B30,'PW_MLG GRADE 10'!$B$7:$B$31,'PW_MLG GRADE 10'!#REF!,"",0,1)&lt;=TODAY()-MOD(WEEKDAY(TODAY(),2)-5,7)),$D30,0)</f>
        <v>#REF!</v>
      </c>
      <c r="CE80" s="67">
        <f ca="1">IF(AND($D30&lt;&gt;0,_xlfn.XLOOKUP($B30,'PW_CMI GRADE 10'!$B$7:$B$31,'PW_CMI GRADE 10'!AY$7:AY$31,"",0,1)="P",
   _xlfn.XLOOKUP($B30,'PW_CMI GRADE 10'!$B$7:$B$31,'PW_CMI GRADE 10'!$U$7:$U$31,"",0,1)&lt;=TODAY()-MOD(WEEKDAY(TODAY(),2)-5,7)),$D30,0)</f>
        <v>0</v>
      </c>
      <c r="CF80" s="67">
        <f ca="1">IF(AND($D30&lt;&gt;0,_xlfn.XLOOKUP($B30,'PW_CMI GRADE 10'!$B$7:$B$31,'PW_CMI GRADE 10'!AZ$7:AZ$31,"",0,1)="P",
   _xlfn.XLOOKUP($B30,'PW_CMI GRADE 10'!$B$7:$B$31,'PW_CMI GRADE 10'!$V$7:$V$31,"",0,1)&lt;=TODAY()-MOD(WEEKDAY(TODAY(),2)-5,7)),$D30,0)</f>
        <v>0</v>
      </c>
      <c r="CG80" s="67">
        <f ca="1">IF(AND($D30&lt;&gt;0,_xlfn.XLOOKUP($B30,'PW_CMI GRADE 10'!$B$7:$B$31,'PW_CMI GRADE 10'!BA$7:BA$31,"",0,1)="P",
   _xlfn.XLOOKUP($B30,'PW_CMI GRADE 10'!$B$7:$B$31,'PW_CMI GRADE 10'!$W$7:$W$31,"",0,1)&lt;=TODAY()-MOD(WEEKDAY(TODAY(),2)-5,7)),$D30,0)</f>
        <v>0</v>
      </c>
      <c r="CH80" s="67">
        <f ca="1">IF(AND($D30&lt;&gt;0,_xlfn.XLOOKUP($B30,'PW_CMI GRADE 10'!$B$7:$B$31,'PW_CMI GRADE 10'!BB$7:BB$31,"",0,1)="P",
   _xlfn.XLOOKUP($B30,'PW_CMI GRADE 10'!$B$7:$B$31,'PW_CMI GRADE 10'!$U$7:$U$31,"",0,1)&lt;=TODAY()-MOD(WEEKDAY(TODAY(),2)-5,7)),$D30,0)</f>
        <v>0</v>
      </c>
      <c r="CI80" s="67">
        <f ca="1">IF(AND($D30&lt;&gt;0,_xlfn.XLOOKUP($B30,'PW_CMI GRADE 10'!$B$7:$B$31,'PW_CMI GRADE 10'!BC$7:BC$31,"",0,1)="P",
   _xlfn.XLOOKUP($B30,'PW_CMI GRADE 10'!$B$7:$B$31,'PW_CMI GRADE 10'!$V$7:$V$31,"",0,1)&lt;=TODAY()-MOD(WEEKDAY(TODAY(),2)-5,7)),$D30,0)</f>
        <v>0</v>
      </c>
      <c r="CJ80" s="67">
        <f ca="1">IF(AND($D30&lt;&gt;0,_xlfn.XLOOKUP($B30,'PW_CMI GRADE 10'!$B$7:$B$31,'PW_CMI GRADE 10'!BD$7:BD$31,"",0,1)="P",
   _xlfn.XLOOKUP($B30,'PW_CMI GRADE 10'!$B$7:$B$31,'PW_CMI GRADE 10'!$W$7:$W$31,"",0,1)&lt;=TODAY()-MOD(WEEKDAY(TODAY(),2)-5,7)),$D30,0)</f>
        <v>0</v>
      </c>
      <c r="CK80" s="67">
        <f ca="1">IF(AND($D30&lt;&gt;0,_xlfn.XLOOKUP($B30,'PW_CMI GRADE 10'!$B$7:$B$31,'PW_CMI GRADE 10'!BE$7:BE$31,"",0,1)="P",
   _xlfn.XLOOKUP($B30,'PW_CMI GRADE 10'!$B$7:$B$31,'PW_CMI GRADE 10'!$U$7:$U$31,"",0,1)&lt;=TODAY()-MOD(WEEKDAY(TODAY(),2)-5,7)),$D30,0)</f>
        <v>0</v>
      </c>
      <c r="CL80" s="67">
        <f ca="1">IF(AND($D30&lt;&gt;0,_xlfn.XLOOKUP($B30,'PW_CMI GRADE 10'!$B$7:$B$31,'PW_CMI GRADE 10'!BF$7:BF$31,"",0,1)="P",
   _xlfn.XLOOKUP($B30,'PW_CMI GRADE 10'!$B$7:$B$31,'PW_CMI GRADE 10'!$V$7:$V$31,"",0,1)&lt;=TODAY()-MOD(WEEKDAY(TODAY(),2)-5,7)),$D30,0)</f>
        <v>0</v>
      </c>
      <c r="CM80" s="67">
        <f ca="1">IF(AND($D30&lt;&gt;0,_xlfn.XLOOKUP($B30,'PW_CMI GRADE 10'!$B$7:$B$31,'PW_CMI GRADE 10'!BG$7:BG$31,"",0,1)="P",
   _xlfn.XLOOKUP($B30,'PW_CMI GRADE 10'!$B$7:$B$31,'PW_CMI GRADE 10'!$W$7:$W$31,"",0,1)&lt;=TODAY()-MOD(WEEKDAY(TODAY(),2)-5,7)),$D30,0)</f>
        <v>0</v>
      </c>
      <c r="CN80" s="67">
        <f ca="1">IF(AND($D30&lt;&gt;0,_xlfn.XLOOKUP($B30,'PW_CMI GRADE 10'!$B$7:$B$31,'PW_CMI GRADE 10'!BH$7:BH$31,"",0,1)="P",
   _xlfn.XLOOKUP($B30,'PW_CMI GRADE 10'!$B$7:$B$31,'PW_CMI GRADE 10'!$U$7:$U$31,"",0,1)&lt;=TODAY()-MOD(WEEKDAY(TODAY(),2)-5,7)),$D30,0)</f>
        <v>0</v>
      </c>
      <c r="CO80" s="67">
        <f ca="1">IF(AND($D30&lt;&gt;0,_xlfn.XLOOKUP($B30,'PW_CMI GRADE 10'!$B$7:$B$31,'PW_CMI GRADE 10'!BI$7:BI$31,"",0,1)="P",
   _xlfn.XLOOKUP($B30,'PW_CMI GRADE 10'!$B$7:$B$31,'PW_CMI GRADE 10'!$V$7:$V$31,"",0,1)&lt;=TODAY()-MOD(WEEKDAY(TODAY(),2)-5,7)),$D30,0)</f>
        <v>0</v>
      </c>
      <c r="CP80" s="67">
        <f ca="1">IF(AND($D30&lt;&gt;0,_xlfn.XLOOKUP($B30,'PW_CMI GRADE 10'!$B$7:$B$31,'PW_CMI GRADE 10'!BJ$7:BJ$31,"",0,1)="P",
   _xlfn.XLOOKUP($B30,'PW_CMI GRADE 10'!$B$7:$B$31,'PW_CMI GRADE 10'!$W$7:$W$31,"",0,1)&lt;=TODAY()-MOD(WEEKDAY(TODAY(),2)-5,7)),$D30,0)</f>
        <v>0</v>
      </c>
      <c r="CQ80" s="67">
        <f ca="1">IF(AND($D30&lt;&gt;0,_xlfn.XLOOKUP($B30,'PW_CMI GRADE 10'!$B$7:$B$31,'PW_CMI GRADE 10'!BK$7:BK$31,"",0,1)="P",
   _xlfn.XLOOKUP($B30,'PW_CMI GRADE 10'!$B$7:$B$31,'PW_CMI GRADE 10'!$U$7:$U$31,"",0,1)&lt;=TODAY()-MOD(WEEKDAY(TODAY(),2)-5,7)),$D30,0)</f>
        <v>0</v>
      </c>
      <c r="CR80" s="67">
        <f ca="1">IF(AND($D30&lt;&gt;0,_xlfn.XLOOKUP($B30,'PW_CMI GRADE 10'!$B$7:$B$31,'PW_CMI GRADE 10'!BL$7:BL$31,"",0,1)="P",
   _xlfn.XLOOKUP($B30,'PW_CMI GRADE 10'!$B$7:$B$31,'PW_CMI GRADE 10'!$V$7:$V$31,"",0,1)&lt;=TODAY()-MOD(WEEKDAY(TODAY(),2)-5,7)),$D30,0)</f>
        <v>0</v>
      </c>
      <c r="CS80" s="67">
        <f ca="1">IF(AND($D30&lt;&gt;0,_xlfn.XLOOKUP($B30,'PW_CMI GRADE 10'!$B$7:$B$31,'PW_CMI GRADE 10'!BM$7:BM$31,"",0,1)="P",
   _xlfn.XLOOKUP($B30,'PW_CMI GRADE 10'!$B$7:$B$31,'PW_CMI GRADE 10'!$W$7:$W$31,"",0,1)&lt;=TODAY()-MOD(WEEKDAY(TODAY(),2)-5,7)),$D30,0)</f>
        <v>0</v>
      </c>
      <c r="CT80" s="67">
        <f ca="1">IF(AND($D30&lt;&gt;0,_xlfn.XLOOKUP($B30,'PW_CMI GRADE 10'!$B$7:$B$31,'PW_CMI GRADE 10'!BN$7:BN$31,"",0,1)="P",
   _xlfn.XLOOKUP($B30,'PW_CMI GRADE 10'!$B$7:$B$31,'PW_CMI GRADE 10'!$U$7:$U$31,"",0,1)&lt;=TODAY()-MOD(WEEKDAY(TODAY(),2)-5,7)),$D30,0)</f>
        <v>0</v>
      </c>
      <c r="CU80" s="67">
        <f ca="1">IF(AND($D30&lt;&gt;0,_xlfn.XLOOKUP($B30,'PW_CMI GRADE 10'!$B$7:$B$31,'PW_CMI GRADE 10'!BO$7:BO$31,"",0,1)="P",
   _xlfn.XLOOKUP($B30,'PW_CMI GRADE 10'!$B$7:$B$31,'PW_CMI GRADE 10'!$V$7:$V$31,"",0,1)&lt;=TODAY()-MOD(WEEKDAY(TODAY(),2)-5,7)),$D30,0)</f>
        <v>0</v>
      </c>
      <c r="CV80" s="67">
        <f ca="1">IF(AND($D30&lt;&gt;0,_xlfn.XLOOKUP($B30,'PW_CMI GRADE 10'!$B$7:$B$31,'PW_CMI GRADE 10'!BP$7:BP$31,"",0,1)="P",
   _xlfn.XLOOKUP($B30,'PW_CMI GRADE 10'!$B$7:$B$31,'PW_CMI GRADE 10'!$W$7:$W$31,"",0,1)&lt;=TODAY()-MOD(WEEKDAY(TODAY(),2)-5,7)),$D30,0)</f>
        <v>0</v>
      </c>
      <c r="CW80" s="62" t="e">
        <f t="shared" ca="1" si="132"/>
        <v>#REF!</v>
      </c>
      <c r="CX80" s="62" t="e">
        <f t="shared" ca="1" si="69"/>
        <v>#REF!</v>
      </c>
      <c r="CY80" s="62" t="e">
        <f t="shared" ca="1" si="70"/>
        <v>#REF!</v>
      </c>
      <c r="CZ80" s="62" t="e">
        <f t="shared" ca="1" si="71"/>
        <v>#REF!</v>
      </c>
      <c r="DA80" s="62" t="e">
        <f t="shared" ca="1" si="72"/>
        <v>#REF!</v>
      </c>
      <c r="DB80" s="62" t="e">
        <f t="shared" ca="1" si="73"/>
        <v>#REF!</v>
      </c>
      <c r="DC80" s="62" t="e">
        <f t="shared" ca="1" si="74"/>
        <v>#REF!</v>
      </c>
      <c r="DD80" s="62" t="e">
        <f t="shared" ca="1" si="75"/>
        <v>#REF!</v>
      </c>
      <c r="DE80" s="62" t="e">
        <f t="shared" ca="1" si="76"/>
        <v>#REF!</v>
      </c>
      <c r="DF80" s="62" t="e">
        <f t="shared" ca="1" si="77"/>
        <v>#REF!</v>
      </c>
      <c r="DG80" s="62" t="e">
        <f t="shared" ca="1" si="78"/>
        <v>#REF!</v>
      </c>
      <c r="DH80" s="62" t="e">
        <f t="shared" ca="1" si="79"/>
        <v>#REF!</v>
      </c>
      <c r="DI80" s="62" t="e">
        <f t="shared" ca="1" si="80"/>
        <v>#REF!</v>
      </c>
      <c r="DJ80" s="62" t="e">
        <f t="shared" ca="1" si="81"/>
        <v>#REF!</v>
      </c>
      <c r="DK80" s="62" t="e">
        <f t="shared" ca="1" si="82"/>
        <v>#REF!</v>
      </c>
      <c r="DL80" s="62" t="e">
        <f t="shared" ca="1" si="83"/>
        <v>#REF!</v>
      </c>
      <c r="DM80" s="62" t="e">
        <f t="shared" ca="1" si="84"/>
        <v>#REF!</v>
      </c>
      <c r="DN80" s="62" t="e">
        <f t="shared" ca="1" si="85"/>
        <v>#REF!</v>
      </c>
      <c r="DO80" s="62" t="e">
        <f t="shared" ca="1" si="86"/>
        <v>#REF!</v>
      </c>
      <c r="DP80" s="62" t="e">
        <f t="shared" ca="1" si="87"/>
        <v>#REF!</v>
      </c>
      <c r="DQ80" s="62" t="e">
        <f t="shared" ca="1" si="88"/>
        <v>#REF!</v>
      </c>
      <c r="DR80" s="62" t="e">
        <f t="shared" ca="1" si="89"/>
        <v>#REF!</v>
      </c>
      <c r="DS80" s="62" t="e">
        <f t="shared" ca="1" si="90"/>
        <v>#REF!</v>
      </c>
      <c r="DT80" s="62" t="e">
        <f t="shared" ca="1" si="91"/>
        <v>#REF!</v>
      </c>
      <c r="DU80" s="62" t="e">
        <f t="shared" ca="1" si="92"/>
        <v>#REF!</v>
      </c>
      <c r="DV80" s="62" t="e">
        <f t="shared" ca="1" si="93"/>
        <v>#REF!</v>
      </c>
      <c r="DW80" s="62" t="e">
        <f t="shared" ca="1" si="94"/>
        <v>#REF!</v>
      </c>
      <c r="DX80" s="62" t="e">
        <f t="shared" ca="1" si="95"/>
        <v>#REF!</v>
      </c>
      <c r="DY80" s="62" t="e">
        <f t="shared" ca="1" si="96"/>
        <v>#REF!</v>
      </c>
      <c r="DZ80" s="62" t="e">
        <f t="shared" ca="1" si="97"/>
        <v>#REF!</v>
      </c>
      <c r="EA80" s="63" t="e">
        <f t="shared" ca="1" si="98"/>
        <v>#REF!</v>
      </c>
      <c r="EB80" s="63" t="e">
        <f t="shared" ca="1" si="99"/>
        <v>#REF!</v>
      </c>
      <c r="EC80" s="63" t="e">
        <f t="shared" ca="1" si="100"/>
        <v>#REF!</v>
      </c>
      <c r="ED80" s="63" t="e">
        <f t="shared" ca="1" si="101"/>
        <v>#REF!</v>
      </c>
      <c r="EE80" s="63" t="e">
        <f t="shared" ca="1" si="102"/>
        <v>#REF!</v>
      </c>
      <c r="EF80" s="63" t="e">
        <f t="shared" ca="1" si="103"/>
        <v>#REF!</v>
      </c>
      <c r="EG80" s="63" t="e">
        <f t="shared" ca="1" si="104"/>
        <v>#REF!</v>
      </c>
      <c r="EH80" s="63" t="e">
        <f t="shared" ca="1" si="105"/>
        <v>#REF!</v>
      </c>
      <c r="EI80" s="63" t="e">
        <f t="shared" ca="1" si="106"/>
        <v>#REF!</v>
      </c>
      <c r="EJ80" s="63" t="e">
        <f t="shared" ca="1" si="107"/>
        <v>#REF!</v>
      </c>
      <c r="EK80" s="63" t="e">
        <f t="shared" ca="1" si="108"/>
        <v>#REF!</v>
      </c>
      <c r="EL80" s="63" t="e">
        <f t="shared" ca="1" si="109"/>
        <v>#REF!</v>
      </c>
      <c r="EM80" s="63" t="e">
        <f t="shared" ca="1" si="110"/>
        <v>#REF!</v>
      </c>
      <c r="EN80" s="63" t="e">
        <f t="shared" ca="1" si="111"/>
        <v>#REF!</v>
      </c>
      <c r="EO80" s="63" t="e">
        <f t="shared" ca="1" si="112"/>
        <v>#REF!</v>
      </c>
      <c r="EP80" s="63" t="e">
        <f t="shared" ca="1" si="113"/>
        <v>#REF!</v>
      </c>
    </row>
    <row r="81" spans="1:146">
      <c r="A81" s="64" t="str">
        <f t="shared" si="131"/>
        <v>4A.3</v>
      </c>
      <c r="B81" s="64" t="s">
        <v>62</v>
      </c>
      <c r="C81" s="30">
        <v>2</v>
      </c>
      <c r="D81" s="30">
        <v>1</v>
      </c>
      <c r="E81" s="65">
        <f ca="1">IF(AND($D31&lt;&gt;0,_xlfn.XLOOKUP($B31,'TH_MLG GRADE 10'!$B$7:$B$49,'TH_MLG GRADE 10'!C$7:C$49,"",0,1)="P",
   _xlfn.XLOOKUP($B31,'TH_MLG GRADE 10'!$B$7:$B$49,'TH_MLG GRADE 10'!$BK$7:$BK$49,"",0,1)&lt;=TODAY()-MOD(WEEKDAY(TODAY(),2)-5,7)),$D31,0)</f>
        <v>0</v>
      </c>
      <c r="F81" s="65">
        <f ca="1">IF(AND($D31&lt;&gt;0,_xlfn.XLOOKUP($B31,'TH_MLG GRADE 10'!$B$7:$B$49,'TH_MLG GRADE 10'!D$7:D$49,"",0,1)="P",
   _xlfn.XLOOKUP($B31,'TH_MLG GRADE 10'!$B$7:$B$49,'TH_MLG GRADE 10'!$BL$7:$BL$49,"",0,1)&lt;=TODAY()-MOD(WEEKDAY(TODAY(),2)-5,7)),$D31,0)</f>
        <v>0</v>
      </c>
      <c r="G81" s="65">
        <f ca="1">IF(AND($D31&lt;&gt;0,_xlfn.XLOOKUP($B31,'TH_MLG GRADE 10'!$B$7:$B$49,'TH_MLG GRADE 10'!E$7:E$49,"",0,1)="P",
   _xlfn.XLOOKUP($B31,'TH_MLG GRADE 10'!$B$7:$B$49,'TH_MLG GRADE 10'!$BM$7:$BM$49,"",0,1)&lt;=TODAY()-MOD(WEEKDAY(TODAY(),2)-5,7)),$D31,0)</f>
        <v>0</v>
      </c>
      <c r="H81" s="65">
        <f ca="1">IF(AND($D31&lt;&gt;0,_xlfn.XLOOKUP($B31,'TH_MLG GRADE 10'!$B$7:$B$49,'TH_MLG GRADE 10'!I$7:I$49,"",0,1)="P",
   _xlfn.XLOOKUP($B31,'TH_MLG GRADE 10'!$B$7:$B$49,'TH_MLG GRADE 10'!$BK$7:$BK$49,"",0,1)&lt;=TODAY()-MOD(WEEKDAY(TODAY(),2)-5,7)),$D31,0)</f>
        <v>0</v>
      </c>
      <c r="I81" s="65">
        <f ca="1">IF(AND($D31&lt;&gt;0,_xlfn.XLOOKUP($B31,'TH_MLG GRADE 10'!$B$7:$B$49,'TH_MLG GRADE 10'!J$7:J$49,"",0,1)="P",
   _xlfn.XLOOKUP($B31,'TH_MLG GRADE 10'!$B$7:$B$49,'TH_MLG GRADE 10'!$BL$7:$BL$49,"",0,1)&lt;=TODAY()-MOD(WEEKDAY(TODAY(),2)-5,7)),$D31,0)</f>
        <v>0</v>
      </c>
      <c r="J81" s="65">
        <f ca="1">IF(AND($D31&lt;&gt;0,_xlfn.XLOOKUP($B31,'TH_MLG GRADE 10'!$B$7:$B$49,'TH_MLG GRADE 10'!K$7:K$49,"",0,1)="P",
   _xlfn.XLOOKUP($B31,'TH_MLG GRADE 10'!$B$7:$B$49,'TH_MLG GRADE 10'!$BM$7:$BM$49,"",0,1)&lt;=TODAY()-MOD(WEEKDAY(TODAY(),2)-5,7)),$D31,0)</f>
        <v>0</v>
      </c>
      <c r="K81" s="65">
        <f ca="1">IF(AND($D31&lt;&gt;0,_xlfn.XLOOKUP($B31,'TH_MLG GRADE 10'!$B$7:$B$49,'TH_MLG GRADE 10'!O$7:O$49,"",0,1)="P",
   _xlfn.XLOOKUP($B31,'TH_MLG GRADE 10'!$B$7:$B$49,'TH_MLG GRADE 10'!$BK$7:$BK$49,"",0,1)&lt;=TODAY()-MOD(WEEKDAY(TODAY(),2)-5,7)),$D31,0)</f>
        <v>0</v>
      </c>
      <c r="L81" s="65">
        <f ca="1">IF(AND($D31&lt;&gt;0,_xlfn.XLOOKUP($B31,'TH_MLG GRADE 10'!$B$7:$B$49,'TH_MLG GRADE 10'!P$7:P$49,"",0,1)="P",
   _xlfn.XLOOKUP($B31,'TH_MLG GRADE 10'!$B$7:$B$49,'TH_MLG GRADE 10'!$BL$7:$BL$49,"",0,1)&lt;=TODAY()-MOD(WEEKDAY(TODAY(),2)-5,7)),$D31,0)</f>
        <v>0</v>
      </c>
      <c r="M81" s="65">
        <f ca="1">IF(AND($D31&lt;&gt;0,_xlfn.XLOOKUP($B31,'TH_MLG GRADE 10'!$B$7:$B$49,'TH_MLG GRADE 10'!Q$7:Q$49,"",0,1)="P",
   _xlfn.XLOOKUP($B31,'TH_MLG GRADE 10'!$B$7:$B$49,'TH_MLG GRADE 10'!$BM$7:$BM$49,"",0,1)&lt;=TODAY()-MOD(WEEKDAY(TODAY(),2)-5,7)),$D31,0)</f>
        <v>0</v>
      </c>
      <c r="N81" s="65">
        <f ca="1">IF(AND($D31&lt;&gt;0,_xlfn.XLOOKUP($B31,'TH_MLG GRADE 10'!$B$7:$B$49,'TH_MLG GRADE 10'!AA$7:AA$49,"",0,1)="P",
   _xlfn.XLOOKUP($B31,'TH_MLG GRADE 10'!$B$7:$B$49,'TH_MLG GRADE 10'!$BK$7:$BK$49,"",0,1)&lt;=TODAY()-MOD(WEEKDAY(TODAY(),2)-5,7)),$D31,0)</f>
        <v>0</v>
      </c>
      <c r="O81" s="65">
        <f ca="1">IF(AND($D31&lt;&gt;0,_xlfn.XLOOKUP($B31,'TH_MLG GRADE 10'!$B$7:$B$49,'TH_MLG GRADE 10'!AB$7:AB$49,"",0,1)="P",
   _xlfn.XLOOKUP($B31,'TH_MLG GRADE 10'!$B$7:$B$49,'TH_MLG GRADE 10'!$BL$7:$BL$49,"",0,1)&lt;=TODAY()-MOD(WEEKDAY(TODAY(),2)-5,7)),$D31,0)</f>
        <v>0</v>
      </c>
      <c r="P81" s="65">
        <f ca="1">IF(AND($D31&lt;&gt;0,_xlfn.XLOOKUP($B31,'TH_MLG GRADE 10'!$B$7:$B$49,'TH_MLG GRADE 10'!AC$7:AC$49,"",0,1)="P",
   _xlfn.XLOOKUP($B31,'TH_MLG GRADE 10'!$B$7:$B$49,'TH_MLG GRADE 10'!$BM$7:$BM$49,"",0,1)&lt;=TODAY()-MOD(WEEKDAY(TODAY(),2)-5,7)),$D31,0)</f>
        <v>0</v>
      </c>
      <c r="Q81" s="65">
        <f ca="1">IF(AND($D31&lt;&gt;0,_xlfn.XLOOKUP($B31,'TH_MLG GRADE 10'!$B$7:$B$49,'TH_MLG GRADE 10'!AG$7:AG$49,"",0,1)="P",
   _xlfn.XLOOKUP($B31,'TH_MLG GRADE 10'!$B$7:$B$49,'TH_MLG GRADE 10'!$BK$7:$BK$49,"",0,1)&lt;=TODAY()-MOD(WEEKDAY(TODAY(),2)-5,7)),$D31,0)</f>
        <v>1</v>
      </c>
      <c r="R81" s="65">
        <f ca="1">IF(AND($D31&lt;&gt;0,_xlfn.XLOOKUP($B31,'TH_MLG GRADE 10'!$B$7:$B$49,'TH_MLG GRADE 10'!AH$7:AH$49,"",0,1)="P",
   _xlfn.XLOOKUP($B31,'TH_MLG GRADE 10'!$B$7:$B$49,'TH_MLG GRADE 10'!$BL$7:$BL$49,"",0,1)&lt;=TODAY()-MOD(WEEKDAY(TODAY(),2)-5,7)),$D31,0)</f>
        <v>1</v>
      </c>
      <c r="S81" s="65">
        <f ca="1">IF(AND($D31&lt;&gt;0,_xlfn.XLOOKUP($B31,'TH_MLG GRADE 10'!$B$7:$B$49,'TH_MLG GRADE 10'!AI$7:AI$49,"",0,1)="P",
   _xlfn.XLOOKUP($B31,'TH_MLG GRADE 10'!$B$7:$B$49,'TH_MLG GRADE 10'!$BM$7:$BM$49,"",0,1)&lt;=TODAY()-MOD(WEEKDAY(TODAY(),2)-5,7)),$D31,0)</f>
        <v>1</v>
      </c>
      <c r="T81" s="65">
        <f ca="1">IF(AND($D31&lt;&gt;0,_xlfn.XLOOKUP($B31,'TH_MLG GRADE 10'!$B$7:$B$49,'TH_MLG GRADE 10'!AM$7:AM$49,"",0,1)="P",
   _xlfn.XLOOKUP($B31,'TH_MLG GRADE 10'!$B$7:$B$49,'TH_MLG GRADE 10'!$BK$7:$BK$49,"",0,1)&lt;=TODAY()-MOD(WEEKDAY(TODAY(),2)-5,7)),$D31,0)</f>
        <v>0</v>
      </c>
      <c r="U81" s="65">
        <f ca="1">IF(AND($D31&lt;&gt;0,_xlfn.XLOOKUP($B31,'TH_MLG GRADE 10'!$B$7:$B$49,'TH_MLG GRADE 10'!AN$7:AN$49,"",0,1)="P",
   _xlfn.XLOOKUP($B31,'TH_MLG GRADE 10'!$B$7:$B$49,'TH_MLG GRADE 10'!$BL$7:$BL$49,"",0,1)&lt;=TODAY()-MOD(WEEKDAY(TODAY(),2)-5,7)),$D31,0)</f>
        <v>0</v>
      </c>
      <c r="V81" s="65">
        <f ca="1">IF(AND($D31&lt;&gt;0,_xlfn.XLOOKUP($B31,'TH_MLG GRADE 10'!$B$7:$B$49,'TH_MLG GRADE 10'!AO$7:AO$49,"",0,1)="P",
   _xlfn.XLOOKUP($B31,'TH_MLG GRADE 10'!$B$7:$B$49,'TH_MLG GRADE 10'!$BM$7:$BM$49,"",0,1)&lt;=TODAY()-MOD(WEEKDAY(TODAY(),2)-5,7)),$D31,0)</f>
        <v>0</v>
      </c>
      <c r="W81" s="65">
        <f ca="1">IF(AND($D31&lt;&gt;0,_xlfn.XLOOKUP($B31,'TH_MLG GRADE 10'!$B$7:$B$49,'TH_MLG GRADE 10'!AY$7:AY$49,"",0,1)="P",
   _xlfn.XLOOKUP($B31,'TH_MLG GRADE 10'!$B$7:$B$49,'TH_MLG GRADE 10'!$BK$7:$BK$49,"",0,1)&lt;=TODAY()-MOD(WEEKDAY(TODAY(),2)-5,7)),$D31,0)</f>
        <v>0</v>
      </c>
      <c r="X81" s="65">
        <f ca="1">IF(AND($D31&lt;&gt;0,_xlfn.XLOOKUP($B31,'TH_MLG GRADE 10'!$B$7:$B$49,'TH_MLG GRADE 10'!AZ$7:AZ$49,"",0,1)="P",
   _xlfn.XLOOKUP($B31,'TH_MLG GRADE 10'!$B$7:$B$49,'TH_MLG GRADE 10'!$BL$7:$BL$49,"",0,1)&lt;=TODAY()-MOD(WEEKDAY(TODAY(),2)-5,7)),$D31,0)</f>
        <v>0</v>
      </c>
      <c r="Y81" s="65">
        <f ca="1">IF(AND($D31&lt;&gt;0,_xlfn.XLOOKUP($B31,'TH_MLG GRADE 10'!$B$7:$B$49,'TH_MLG GRADE 10'!BA$7:BA$49,"",0,1)="P",
   _xlfn.XLOOKUP($B31,'TH_MLG GRADE 10'!$B$7:$B$49,'TH_MLG GRADE 10'!$BM$7:$BM$49,"",0,1)&lt;=TODAY()-MOD(WEEKDAY(TODAY(),2)-5,7)),$D31,0)</f>
        <v>0</v>
      </c>
      <c r="Z81" s="65">
        <f ca="1">IF(AND($D31&lt;&gt;0,_xlfn.XLOOKUP($B31,'TH_MLG GRADE 10'!$B$7:$B$49,'TH_MLG GRADE 10'!BE$7:BE$49,"",0,1)="P",
   _xlfn.XLOOKUP($B31,'TH_MLG GRADE 10'!$B$7:$B$49,'TH_MLG GRADE 10'!$BK$7:$BK$49,"",0,1)&lt;=TODAY()-MOD(WEEKDAY(TODAY(),2)-5,7)),$D31,0)</f>
        <v>0</v>
      </c>
      <c r="AA81" s="65">
        <f ca="1">IF(AND($D31&lt;&gt;0,_xlfn.XLOOKUP($B31,'TH_MLG GRADE 10'!$B$7:$B$49,'TH_MLG GRADE 10'!BF$7:BF$49,"",0,1)="P",
   _xlfn.XLOOKUP($B31,'TH_MLG GRADE 10'!$B$7:$B$49,'TH_MLG GRADE 10'!$BL$7:$BL$49,"",0,1)&lt;=TODAY()-MOD(WEEKDAY(TODAY(),2)-5,7)),$D31,0)</f>
        <v>0</v>
      </c>
      <c r="AB81" s="65">
        <f ca="1">IF(AND($D31&lt;&gt;0,_xlfn.XLOOKUP($B31,'TH_MLG GRADE 10'!$B$7:$B$49,'TH_MLG GRADE 10'!BG$7:BG$49,"",0,1)="P",
   _xlfn.XLOOKUP($B31,'TH_MLG GRADE 10'!$B$7:$B$49,'TH_MLG GRADE 10'!$BM$7:$BM$49,"",0,1)&lt;=TODAY()-MOD(WEEKDAY(TODAY(),2)-5,7)),$D31,0)</f>
        <v>0</v>
      </c>
      <c r="AC81" s="65" t="e">
        <f ca="1">IF(AND($D31&lt;&gt;0,_xlfn.XLOOKUP($B31,'TH_MLG GRADE 10'!$B$7:$B$49,'TH_MLG GRADE 10'!#REF!,"",0,1)="P",
   _xlfn.XLOOKUP($B31,'TH_MLG GRADE 10'!$B$7:$B$49,'TH_MLG GRADE 10'!$BK$7:$BK$49,"",0,1)&lt;=TODAY()-MOD(WEEKDAY(TODAY(),2)-5,7)),$D31,0)</f>
        <v>#REF!</v>
      </c>
      <c r="AD81" s="65" t="e">
        <f ca="1">IF(AND($D31&lt;&gt;0,_xlfn.XLOOKUP($B31,'TH_MLG GRADE 10'!$B$7:$B$49,'TH_MLG GRADE 10'!#REF!,"",0,1)="P",
   _xlfn.XLOOKUP($B31,'TH_MLG GRADE 10'!$B$7:$B$49,'TH_MLG GRADE 10'!$BL$7:$BL$49,"",0,1)&lt;=TODAY()-MOD(WEEKDAY(TODAY(),2)-5,7)),$D31,0)</f>
        <v>#REF!</v>
      </c>
      <c r="AE81" s="65" t="e">
        <f ca="1">IF(AND($D31&lt;&gt;0,_xlfn.XLOOKUP($B31,'TH_MLG GRADE 10'!$B$7:$B$49,'TH_MLG GRADE 10'!#REF!,"",0,1)="P",
   _xlfn.XLOOKUP($B31,'TH_MLG GRADE 10'!$B$7:$B$49,'TH_MLG GRADE 10'!$BM$7:$BM$49,"",0,1)&lt;=TODAY()-MOD(WEEKDAY(TODAY(),2)-5,7)),$D31,0)</f>
        <v>#REF!</v>
      </c>
      <c r="AF81" s="65" t="e">
        <f ca="1">IF(AND($D31&lt;&gt;0,_xlfn.XLOOKUP($B31,'TH_MLG GRADE 10'!$B$7:$B$49,'TH_MLG GRADE 10'!#REF!,"",0,1)="P",
   _xlfn.XLOOKUP($B31,'TH_MLG GRADE 10'!$B$7:$B$49,'TH_MLG GRADE 10'!$BK$7:$BK$49,"",0,1)&lt;=TODAY()-MOD(WEEKDAY(TODAY(),2)-5,7)),$D31,0)</f>
        <v>#REF!</v>
      </c>
      <c r="AG81" s="65" t="e">
        <f ca="1">IF(AND($D31&lt;&gt;0,_xlfn.XLOOKUP($B31,'TH_MLG GRADE 10'!$B$7:$B$49,'TH_MLG GRADE 10'!#REF!,"",0,1)="P",
   _xlfn.XLOOKUP($B31,'TH_MLG GRADE 10'!$B$7:$B$49,'TH_MLG GRADE 10'!$BL$7:$BL$49,"",0,1)&lt;=TODAY()-MOD(WEEKDAY(TODAY(),2)-5,7)),$D31,0)</f>
        <v>#REF!</v>
      </c>
      <c r="AH81" s="65" t="e">
        <f ca="1">IF(AND($D31&lt;&gt;0,_xlfn.XLOOKUP($B31,'TH_MLG GRADE 10'!$B$7:$B$49,'TH_MLG GRADE 10'!#REF!,"",0,1)="P",
   _xlfn.XLOOKUP($B31,'TH_MLG GRADE 10'!$B$7:$B$49,'TH_MLG GRADE 10'!$BM$7:$BM$49,"",0,1)&lt;=TODAY()-MOD(WEEKDAY(TODAY(),2)-5,7)),$D31,0)</f>
        <v>#REF!</v>
      </c>
      <c r="AI81" s="67">
        <f ca="1">IF(AND($D31&lt;&gt;0,_xlfn.XLOOKUP($B31,'TH_CMI GRADE 10'!$B$7:$B$49,'TH_CMI GRADE 10'!C$7:C$49,"",0,1)="P",
   _xlfn.XLOOKUP($B31,'TH_CMI GRADE 10'!$B$7:$B$49,'TH_CMI GRADE 10'!$AS$7:$AS$49,"",0,1)&lt;=TODAY()-MOD(WEEKDAY(TODAY(),2)-5,7)),$D31,0)</f>
        <v>0</v>
      </c>
      <c r="AJ81" s="67">
        <f ca="1">IF(AND($D31&lt;&gt;0,_xlfn.XLOOKUP($B31,'TH_CMI GRADE 10'!$B$7:$B$49,'TH_CMI GRADE 10'!D$7:D$49,"",0,1)="P",
   _xlfn.XLOOKUP($B31,'TH_CMI GRADE 10'!$B$7:$B$49,'TH_CMI GRADE 10'!$AT$7:$AT$49,"",0,1)&lt;=TODAY()-MOD(WEEKDAY(TODAY(),2)-5,7)),$D31,0)</f>
        <v>0</v>
      </c>
      <c r="AK81" s="67" t="e">
        <f ca="1">IF(AND($D31&lt;&gt;0,_xlfn.XLOOKUP($B31,'TH_CMI GRADE 10'!$B$7:$B$49,'TH_CMI GRADE 10'!H$7:H$49,"",0,1)="P",
   _xlfn.XLOOKUP($B31,'TH_CMI GRADE 10'!$B$7:$B$49,'TH_CMI GRADE 10'!#REF!,"",0,1)&lt;=TODAY()-MOD(WEEKDAY(TODAY(),2)-5,7)),$D31,0)</f>
        <v>#REF!</v>
      </c>
      <c r="AL81" s="67">
        <f ca="1">IF(AND($D31&lt;&gt;0,_xlfn.XLOOKUP($B31,'TH_CMI GRADE 10'!$B$7:$B$49,'TH_CMI GRADE 10'!I$7:I$49,"",0,1)="P",
   _xlfn.XLOOKUP($B31,'TH_CMI GRADE 10'!$B$7:$B$49,'TH_CMI GRADE 10'!$AS$7:$AS$49,"",0,1)&lt;=TODAY()-MOD(WEEKDAY(TODAY(),2)-5,7)),$D31,0)</f>
        <v>0</v>
      </c>
      <c r="AM81" s="67">
        <f ca="1">IF(AND($D31&lt;&gt;0,_xlfn.XLOOKUP($B31,'TH_CMI GRADE 10'!$B$7:$B$49,'TH_CMI GRADE 10'!J$7:J$49,"",0,1)="P",
   _xlfn.XLOOKUP($B31,'TH_CMI GRADE 10'!$B$7:$B$49,'TH_CMI GRADE 10'!$AT$7:$AT$49,"",0,1)&lt;=TODAY()-MOD(WEEKDAY(TODAY(),2)-5,7)),$D31,0)</f>
        <v>0</v>
      </c>
      <c r="AN81" s="67" t="e">
        <f ca="1">IF(AND($D31&lt;&gt;0,_xlfn.XLOOKUP($B31,'TH_CMI GRADE 10'!$B$7:$B$49,'TH_CMI GRADE 10'!K$7:K$49,"",0,1)="P",
   _xlfn.XLOOKUP($B31,'TH_CMI GRADE 10'!$B$7:$B$49,'TH_CMI GRADE 10'!#REF!,"",0,1)&lt;=TODAY()-MOD(WEEKDAY(TODAY(),2)-5,7)),$D31,0)</f>
        <v>#REF!</v>
      </c>
      <c r="AO81" s="67">
        <f ca="1">IF(AND($D31&lt;&gt;0,_xlfn.XLOOKUP($B31,'TH_CMI GRADE 10'!$B$7:$B$49,'TH_CMI GRADE 10'!O$7:O$49,"",0,1)="P",
   _xlfn.XLOOKUP($B31,'TH_CMI GRADE 10'!$B$7:$B$49,'TH_CMI GRADE 10'!$AS$7:$AS$49,"",0,1)&lt;=TODAY()-MOD(WEEKDAY(TODAY(),2)-5,7)),$D31,0)</f>
        <v>0</v>
      </c>
      <c r="AP81" s="67">
        <f ca="1">IF(AND($D31&lt;&gt;0,_xlfn.XLOOKUP($B31,'TH_CMI GRADE 10'!$B$7:$B$49,'TH_CMI GRADE 10'!P$7:P$49,"",0,1)="P",
   _xlfn.XLOOKUP($B31,'TH_CMI GRADE 10'!$B$7:$B$49,'TH_CMI GRADE 10'!$AT$7:$AT$49,"",0,1)&lt;=TODAY()-MOD(WEEKDAY(TODAY(),2)-5,7)),$D31,0)</f>
        <v>0</v>
      </c>
      <c r="AQ81" s="67" t="e">
        <f ca="1">IF(AND($D31&lt;&gt;0,_xlfn.XLOOKUP($B31,'TH_CMI GRADE 10'!$B$7:$B$49,'TH_CMI GRADE 10'!Q$7:Q$49,"",0,1)="P",
   _xlfn.XLOOKUP($B31,'TH_CMI GRADE 10'!$B$7:$B$49,'TH_CMI GRADE 10'!#REF!,"",0,1)&lt;=TODAY()-MOD(WEEKDAY(TODAY(),2)-5,7)),$D31,0)</f>
        <v>#REF!</v>
      </c>
      <c r="AR81" s="67">
        <f ca="1">IF(AND($D31&lt;&gt;0,_xlfn.XLOOKUP($B31,'TH_CMI GRADE 10'!$B$7:$B$49,'TH_CMI GRADE 10'!U$7:U$49,"",0,1)="P",
   _xlfn.XLOOKUP($B31,'TH_CMI GRADE 10'!$B$7:$B$49,'TH_CMI GRADE 10'!$AS$7:$AS$49,"",0,1)&lt;=TODAY()-MOD(WEEKDAY(TODAY(),2)-5,7)),$D31,0)</f>
        <v>0</v>
      </c>
      <c r="AS81" s="67">
        <f ca="1">IF(AND($D31&lt;&gt;0,_xlfn.XLOOKUP($B31,'TH_CMI GRADE 10'!$B$7:$B$49,'TH_CMI GRADE 10'!V$7:V$49,"",0,1)="P",
   _xlfn.XLOOKUP($B31,'TH_CMI GRADE 10'!$B$7:$B$49,'TH_CMI GRADE 10'!$AT$7:$AT$49,"",0,1)&lt;=TODAY()-MOD(WEEKDAY(TODAY(),2)-5,7)),$D31,0)</f>
        <v>0</v>
      </c>
      <c r="AT81" s="67" t="e">
        <f ca="1">IF(AND($D31&lt;&gt;0,_xlfn.XLOOKUP($B31,'TH_CMI GRADE 10'!$B$7:$B$49,'TH_CMI GRADE 10'!W$7:W$49,"",0,1)="P",
   _xlfn.XLOOKUP($B31,'TH_CMI GRADE 10'!$B$7:$B$49,'TH_CMI GRADE 10'!#REF!,"",0,1)&lt;=TODAY()-MOD(WEEKDAY(TODAY(),2)-5,7)),$D31,0)</f>
        <v>#REF!</v>
      </c>
      <c r="AU81" s="67">
        <f ca="1">IF(AND($D31&lt;&gt;0,_xlfn.XLOOKUP($B31,'TH_CMI GRADE 10'!$B$7:$B$49,'TH_CMI GRADE 10'!AA$7:AA$49,"",0,1)="P",
   _xlfn.XLOOKUP($B31,'TH_CMI GRADE 10'!$B$7:$B$49,'TH_CMI GRADE 10'!$AS$7:$AS$49,"",0,1)&lt;=TODAY()-MOD(WEEKDAY(TODAY(),2)-5,7)),$D31,0)</f>
        <v>1</v>
      </c>
      <c r="AV81" s="67">
        <f ca="1">IF(AND($D31&lt;&gt;0,_xlfn.XLOOKUP($B31,'TH_CMI GRADE 10'!$B$7:$B$49,'TH_CMI GRADE 10'!AB$7:AB$49,"",0,1)="P",
   _xlfn.XLOOKUP($B31,'TH_CMI GRADE 10'!$B$7:$B$49,'TH_CMI GRADE 10'!$AT$7:$AT$49,"",0,1)&lt;=TODAY()-MOD(WEEKDAY(TODAY(),2)-5,7)),$D31,0)</f>
        <v>1</v>
      </c>
      <c r="AW81" s="67" t="e">
        <f ca="1">IF(AND($D31&lt;&gt;0,_xlfn.XLOOKUP($B31,'TH_CMI GRADE 10'!$B$7:$B$49,'TH_CMI GRADE 10'!AC$7:AC$49,"",0,1)="P",
   _xlfn.XLOOKUP($B31,'TH_CMI GRADE 10'!$B$7:$B$49,'TH_CMI GRADE 10'!#REF!,"",0,1)&lt;=TODAY()-MOD(WEEKDAY(TODAY(),2)-5,7)),$D31,0)</f>
        <v>#REF!</v>
      </c>
      <c r="AX81" s="67">
        <f ca="1">IF(AND($D31&lt;&gt;0,_xlfn.XLOOKUP($B31,'TH_CMI GRADE 10'!$B$7:$B$49,'TH_CMI GRADE 10'!AG$7:AG$49,"",0,1)="P",
   _xlfn.XLOOKUP($B31,'TH_CMI GRADE 10'!$B$7:$B$49,'TH_CMI GRADE 10'!$AS$7:$AS$49,"",0,1)&lt;=TODAY()-MOD(WEEKDAY(TODAY(),2)-5,7)),$D31,0)</f>
        <v>1</v>
      </c>
      <c r="AY81" s="67">
        <f ca="1">IF(AND($D31&lt;&gt;0,_xlfn.XLOOKUP($B31,'TH_CMI GRADE 10'!$B$7:$B$49,'TH_CMI GRADE 10'!AH$7:AH$49,"",0,1)="P",
   _xlfn.XLOOKUP($B31,'TH_CMI GRADE 10'!$B$7:$B$49,'TH_CMI GRADE 10'!$AT$7:$AT$49,"",0,1)&lt;=TODAY()-MOD(WEEKDAY(TODAY(),2)-5,7)),$D31,0)</f>
        <v>1</v>
      </c>
      <c r="AZ81" s="67" t="e">
        <f ca="1">IF(AND($D31&lt;&gt;0,_xlfn.XLOOKUP($B31,'TH_CMI GRADE 10'!$B$7:$B$49,'TH_CMI GRADE 10'!AI$7:AI$49,"",0,1)="P",
   _xlfn.XLOOKUP($B31,'TH_CMI GRADE 10'!$B$7:$B$49,'TH_CMI GRADE 10'!#REF!,"",0,1)&lt;=TODAY()-MOD(WEEKDAY(TODAY(),2)-5,7)),$D31,0)</f>
        <v>#REF!</v>
      </c>
      <c r="BA81" s="65" t="e">
        <f ca="1">IF(AND($D31&lt;&gt;0,_xlfn.XLOOKUP($B31,'PW_MLG GRADE 10'!$B$7:$B$31,'PW_MLG GRADE 10'!R$7:R$31,"",0,1)="P",
   _xlfn.XLOOKUP($B31,'PW_MLG GRADE 10'!$B$7:$B$31,'PW_MLG GRADE 10'!#REF!,"",0,1)&lt;=TODAY()-MOD(WEEKDAY(TODAY(),2)-5,7)),$D31,0)</f>
        <v>#REF!</v>
      </c>
      <c r="BB81" s="65" t="e">
        <f ca="1">IF(AND($D31&lt;&gt;0,_xlfn.XLOOKUP($B31,'PW_MLG GRADE 10'!$B$7:$B$31,'PW_MLG GRADE 10'!S$7:S$31,"",0,1)="P",
   _xlfn.XLOOKUP($B31,'PW_MLG GRADE 10'!$B$7:$B$31,'PW_MLG GRADE 10'!#REF!,"",0,1)&lt;=TODAY()-MOD(WEEKDAY(TODAY(),2)-5,7)),$D31,0)</f>
        <v>#REF!</v>
      </c>
      <c r="BC81" s="65" t="e">
        <f ca="1">IF(AND($D31&lt;&gt;0,_xlfn.XLOOKUP($B31,'PW_MLG GRADE 10'!$B$7:$B$31,'PW_MLG GRADE 10'!T$7:T$31,"",0,1)="P",
   _xlfn.XLOOKUP($B31,'PW_MLG GRADE 10'!$B$7:$B$31,'PW_MLG GRADE 10'!#REF!,"",0,1)&lt;=TODAY()-MOD(WEEKDAY(TODAY(),2)-5,7)),$D31,0)</f>
        <v>#REF!</v>
      </c>
      <c r="BD81" s="65" t="e">
        <f ca="1">IF(AND($D31&lt;&gt;0,_xlfn.XLOOKUP($B31,'PW_MLG GRADE 10'!$B$7:$B$31,'PW_MLG GRADE 10'!AA$7:AA$31,"",0,1)="P",
   _xlfn.XLOOKUP($B31,'PW_MLG GRADE 10'!$B$7:$B$31,'PW_MLG GRADE 10'!#REF!,"",0,1)&lt;=TODAY()-MOD(WEEKDAY(TODAY(),2)-5,7)),$D31,0)</f>
        <v>#REF!</v>
      </c>
      <c r="BE81" s="65" t="e">
        <f ca="1">IF(AND($D31&lt;&gt;0,_xlfn.XLOOKUP($B31,'PW_MLG GRADE 10'!$B$7:$B$31,'PW_MLG GRADE 10'!AB$7:AB$31,"",0,1)="P",
   _xlfn.XLOOKUP($B31,'PW_MLG GRADE 10'!$B$7:$B$31,'PW_MLG GRADE 10'!#REF!,"",0,1)&lt;=TODAY()-MOD(WEEKDAY(TODAY(),2)-5,7)),$D31,0)</f>
        <v>#REF!</v>
      </c>
      <c r="BF81" s="65" t="e">
        <f ca="1">IF(AND($D31&lt;&gt;0,_xlfn.XLOOKUP($B31,'PW_MLG GRADE 10'!$B$7:$B$31,'PW_MLG GRADE 10'!AC$7:AC$31,"",0,1)="P",
   _xlfn.XLOOKUP($B31,'PW_MLG GRADE 10'!$B$7:$B$31,'PW_MLG GRADE 10'!#REF!,"",0,1)&lt;=TODAY()-MOD(WEEKDAY(TODAY(),2)-5,7)),$D31,0)</f>
        <v>#REF!</v>
      </c>
      <c r="BG81" s="65" t="e">
        <f ca="1">IF(AND($D31&lt;&gt;0,_xlfn.XLOOKUP($B31,'PW_MLG GRADE 10'!$B$7:$B$31,'PW_MLG GRADE 10'!AD$7:AD$31,"",0,1)="P",
   _xlfn.XLOOKUP($B31,'PW_MLG GRADE 10'!$B$7:$B$31,'PW_MLG GRADE 10'!#REF!,"",0,1)&lt;=TODAY()-MOD(WEEKDAY(TODAY(),2)-5,7)),$D31,0)</f>
        <v>#REF!</v>
      </c>
      <c r="BH81" s="65" t="e">
        <f ca="1">IF(AND($D31&lt;&gt;0,_xlfn.XLOOKUP($B31,'PW_MLG GRADE 10'!$B$7:$B$31,'PW_MLG GRADE 10'!AE$7:AE$31,"",0,1)="P",
   _xlfn.XLOOKUP($B31,'PW_MLG GRADE 10'!$B$7:$B$31,'PW_MLG GRADE 10'!#REF!,"",0,1)&lt;=TODAY()-MOD(WEEKDAY(TODAY(),2)-5,7)),$D31,0)</f>
        <v>#REF!</v>
      </c>
      <c r="BI81" s="65" t="e">
        <f ca="1">IF(AND($D31&lt;&gt;0,_xlfn.XLOOKUP($B31,'PW_MLG GRADE 10'!$B$7:$B$31,'PW_MLG GRADE 10'!AF$7:AF$31,"",0,1)="P",
   _xlfn.XLOOKUP($B31,'PW_MLG GRADE 10'!$B$7:$B$31,'PW_MLG GRADE 10'!#REF!,"",0,1)&lt;=TODAY()-MOD(WEEKDAY(TODAY(),2)-5,7)),$D31,0)</f>
        <v>#REF!</v>
      </c>
      <c r="BJ81" s="65" t="e">
        <f ca="1">IF(AND($D31&lt;&gt;0,_xlfn.XLOOKUP($B31,'PW_MLG GRADE 10'!$B$7:$B$31,'PW_MLG GRADE 10'!AG$7:AG$31,"",0,1)="P",
   _xlfn.XLOOKUP($B31,'PW_MLG GRADE 10'!$B$7:$B$31,'PW_MLG GRADE 10'!#REF!,"",0,1)&lt;=TODAY()-MOD(WEEKDAY(TODAY(),2)-5,7)),$D31,0)</f>
        <v>#REF!</v>
      </c>
      <c r="BK81" s="65" t="e">
        <f ca="1">IF(AND($D31&lt;&gt;0,_xlfn.XLOOKUP($B31,'PW_MLG GRADE 10'!$B$7:$B$31,'PW_MLG GRADE 10'!AH$7:AH$31,"",0,1)="P",
   _xlfn.XLOOKUP($B31,'PW_MLG GRADE 10'!$B$7:$B$31,'PW_MLG GRADE 10'!#REF!,"",0,1)&lt;=TODAY()-MOD(WEEKDAY(TODAY(),2)-5,7)),$D31,0)</f>
        <v>#REF!</v>
      </c>
      <c r="BL81" s="65" t="e">
        <f ca="1">IF(AND($D31&lt;&gt;0,_xlfn.XLOOKUP($B31,'PW_MLG GRADE 10'!$B$7:$B$31,'PW_MLG GRADE 10'!AI$7:AI$31,"",0,1)="P",
   _xlfn.XLOOKUP($B31,'PW_MLG GRADE 10'!$B$7:$B$31,'PW_MLG GRADE 10'!#REF!,"",0,1)&lt;=TODAY()-MOD(WEEKDAY(TODAY(),2)-5,7)),$D31,0)</f>
        <v>#REF!</v>
      </c>
      <c r="BM81" s="65" t="e">
        <f ca="1">IF(AND($D31&lt;&gt;0,_xlfn.XLOOKUP($B31,'PW_MLG GRADE 10'!$B$7:$B$31,'PW_MLG GRADE 10'!AJ$7:AJ$31,"",0,1)="P",
   _xlfn.XLOOKUP($B31,'PW_MLG GRADE 10'!$B$7:$B$31,'PW_MLG GRADE 10'!#REF!,"",0,1)&lt;=TODAY()-MOD(WEEKDAY(TODAY(),2)-5,7)),$D31,0)</f>
        <v>#REF!</v>
      </c>
      <c r="BN81" s="65" t="e">
        <f ca="1">IF(AND($D31&lt;&gt;0,_xlfn.XLOOKUP($B31,'PW_MLG GRADE 10'!$B$7:$B$31,'PW_MLG GRADE 10'!AK$7:AK$31,"",0,1)="P",
   _xlfn.XLOOKUP($B31,'PW_MLG GRADE 10'!$B$7:$B$31,'PW_MLG GRADE 10'!#REF!,"",0,1)&lt;=TODAY()-MOD(WEEKDAY(TODAY(),2)-5,7)),$D31,0)</f>
        <v>#REF!</v>
      </c>
      <c r="BO81" s="65" t="e">
        <f ca="1">IF(AND($D31&lt;&gt;0,_xlfn.XLOOKUP($B31,'PW_MLG GRADE 10'!$B$7:$B$31,'PW_MLG GRADE 10'!AL$7:AL$31,"",0,1)="P",
   _xlfn.XLOOKUP($B31,'PW_MLG GRADE 10'!$B$7:$B$31,'PW_MLG GRADE 10'!#REF!,"",0,1)&lt;=TODAY()-MOD(WEEKDAY(TODAY(),2)-5,7)),$D31,0)</f>
        <v>#REF!</v>
      </c>
      <c r="BP81" s="65" t="e">
        <f ca="1">IF(AND($D31&lt;&gt;0,_xlfn.XLOOKUP($B31,'PW_MLG GRADE 10'!$B$7:$B$31,'PW_MLG GRADE 10'!AM$7:AM$31,"",0,1)="P",
   _xlfn.XLOOKUP($B31,'PW_MLG GRADE 10'!$B$7:$B$31,'PW_MLG GRADE 10'!#REF!,"",0,1)&lt;=TODAY()-MOD(WEEKDAY(TODAY(),2)-5,7)),$D31,0)</f>
        <v>#REF!</v>
      </c>
      <c r="BQ81" s="65" t="e">
        <f ca="1">IF(AND($D31&lt;&gt;0,_xlfn.XLOOKUP($B31,'PW_MLG GRADE 10'!$B$7:$B$31,'PW_MLG GRADE 10'!AN$7:AN$31,"",0,1)="P",
   _xlfn.XLOOKUP($B31,'PW_MLG GRADE 10'!$B$7:$B$31,'PW_MLG GRADE 10'!#REF!,"",0,1)&lt;=TODAY()-MOD(WEEKDAY(TODAY(),2)-5,7)),$D31,0)</f>
        <v>#REF!</v>
      </c>
      <c r="BR81" s="65" t="e">
        <f ca="1">IF(AND($D31&lt;&gt;0,_xlfn.XLOOKUP($B31,'PW_MLG GRADE 10'!$B$7:$B$31,'PW_MLG GRADE 10'!AO$7:AO$31,"",0,1)="P",
   _xlfn.XLOOKUP($B31,'PW_MLG GRADE 10'!$B$7:$B$31,'PW_MLG GRADE 10'!#REF!,"",0,1)&lt;=TODAY()-MOD(WEEKDAY(TODAY(),2)-5,7)),$D31,0)</f>
        <v>#REF!</v>
      </c>
      <c r="BS81" s="65" t="e">
        <f ca="1">IF(AND($D31&lt;&gt;0,_xlfn.XLOOKUP($B31,'PW_MLG GRADE 10'!$B$7:$B$31,'PW_MLG GRADE 10'!AP$7:AP$31,"",0,1)="P",
   _xlfn.XLOOKUP($B31,'PW_MLG GRADE 10'!$B$7:$B$31,'PW_MLG GRADE 10'!#REF!,"",0,1)&lt;=TODAY()-MOD(WEEKDAY(TODAY(),2)-5,7)),$D31,0)</f>
        <v>#REF!</v>
      </c>
      <c r="BT81" s="65" t="e">
        <f ca="1">IF(AND($D31&lt;&gt;0,_xlfn.XLOOKUP($B31,'PW_MLG GRADE 10'!$B$7:$B$31,'PW_MLG GRADE 10'!AQ$7:AQ$31,"",0,1)="P",
   _xlfn.XLOOKUP($B31,'PW_MLG GRADE 10'!$B$7:$B$31,'PW_MLG GRADE 10'!#REF!,"",0,1)&lt;=TODAY()-MOD(WEEKDAY(TODAY(),2)-5,7)),$D31,0)</f>
        <v>#REF!</v>
      </c>
      <c r="BU81" s="65" t="e">
        <f ca="1">IF(AND($D31&lt;&gt;0,_xlfn.XLOOKUP($B31,'PW_MLG GRADE 10'!$B$7:$B$31,'PW_MLG GRADE 10'!AR$7:AR$31,"",0,1)="P",
   _xlfn.XLOOKUP($B31,'PW_MLG GRADE 10'!$B$7:$B$31,'PW_MLG GRADE 10'!#REF!,"",0,1)&lt;=TODAY()-MOD(WEEKDAY(TODAY(),2)-5,7)),$D31,0)</f>
        <v>#REF!</v>
      </c>
      <c r="BV81" s="65" t="e">
        <f ca="1">IF(AND($D31&lt;&gt;0,_xlfn.XLOOKUP($B31,'PW_MLG GRADE 10'!$B$7:$B$31,'PW_MLG GRADE 10'!AY$7:AY$31,"",0,1)="P",
   _xlfn.XLOOKUP($B31,'PW_MLG GRADE 10'!$B$7:$B$31,'PW_MLG GRADE 10'!#REF!,"",0,1)&lt;=TODAY()-MOD(WEEKDAY(TODAY(),2)-5,7)),$D31,0)</f>
        <v>#REF!</v>
      </c>
      <c r="BW81" s="65" t="e">
        <f ca="1">IF(AND($D31&lt;&gt;0,_xlfn.XLOOKUP($B31,'PW_MLG GRADE 10'!$B$7:$B$31,'PW_MLG GRADE 10'!AZ$7:AZ$31,"",0,1)="P",
   _xlfn.XLOOKUP($B31,'PW_MLG GRADE 10'!$B$7:$B$31,'PW_MLG GRADE 10'!#REF!,"",0,1)&lt;=TODAY()-MOD(WEEKDAY(TODAY(),2)-5,7)),$D31,0)</f>
        <v>#REF!</v>
      </c>
      <c r="BX81" s="65" t="e">
        <f ca="1">IF(AND($D31&lt;&gt;0,_xlfn.XLOOKUP($B31,'PW_MLG GRADE 10'!$B$7:$B$31,'PW_MLG GRADE 10'!BA$7:BA$31,"",0,1)="P",
   _xlfn.XLOOKUP($B31,'PW_MLG GRADE 10'!$B$7:$B$31,'PW_MLG GRADE 10'!#REF!,"",0,1)&lt;=TODAY()-MOD(WEEKDAY(TODAY(),2)-5,7)),$D31,0)</f>
        <v>#REF!</v>
      </c>
      <c r="BY81" s="65" t="e">
        <f ca="1">IF(AND($D31&lt;&gt;0,_xlfn.XLOOKUP($B31,'PW_MLG GRADE 10'!$B$7:$B$31,'PW_MLG GRADE 10'!BB$7:BB$31,"",0,1)="P",
   _xlfn.XLOOKUP($B31,'PW_MLG GRADE 10'!$B$7:$B$31,'PW_MLG GRADE 10'!#REF!,"",0,1)&lt;=TODAY()-MOD(WEEKDAY(TODAY(),2)-5,7)),$D31,0)</f>
        <v>#REF!</v>
      </c>
      <c r="BZ81" s="65" t="e">
        <f ca="1">IF(AND($D31&lt;&gt;0,_xlfn.XLOOKUP($B31,'PW_MLG GRADE 10'!$B$7:$B$31,'PW_MLG GRADE 10'!BC$7:BC$31,"",0,1)="P",
   _xlfn.XLOOKUP($B31,'PW_MLG GRADE 10'!$B$7:$B$31,'PW_MLG GRADE 10'!#REF!,"",0,1)&lt;=TODAY()-MOD(WEEKDAY(TODAY(),2)-5,7)),$D31,0)</f>
        <v>#REF!</v>
      </c>
      <c r="CA81" s="65" t="e">
        <f ca="1">IF(AND($D31&lt;&gt;0,_xlfn.XLOOKUP($B31,'PW_MLG GRADE 10'!$B$7:$B$31,'PW_MLG GRADE 10'!BD$7:BD$31,"",0,1)="P",
   _xlfn.XLOOKUP($B31,'PW_MLG GRADE 10'!$B$7:$B$31,'PW_MLG GRADE 10'!#REF!,"",0,1)&lt;=TODAY()-MOD(WEEKDAY(TODAY(),2)-5,7)),$D31,0)</f>
        <v>#REF!</v>
      </c>
      <c r="CB81" s="65" t="e">
        <f ca="1">IF(AND($D31&lt;&gt;0,_xlfn.XLOOKUP($B31,'PW_MLG GRADE 10'!$B$7:$B$31,'PW_MLG GRADE 10'!BE$7:BE$31,"",0,1)="P",
   _xlfn.XLOOKUP($B31,'PW_MLG GRADE 10'!$B$7:$B$31,'PW_MLG GRADE 10'!#REF!,"",0,1)&lt;=TODAY()-MOD(WEEKDAY(TODAY(),2)-5,7)),$D31,0)</f>
        <v>#REF!</v>
      </c>
      <c r="CC81" s="65" t="e">
        <f ca="1">IF(AND($D31&lt;&gt;0,_xlfn.XLOOKUP($B31,'PW_MLG GRADE 10'!$B$7:$B$31,'PW_MLG GRADE 10'!BF$7:BF$31,"",0,1)="P",
   _xlfn.XLOOKUP($B31,'PW_MLG GRADE 10'!$B$7:$B$31,'PW_MLG GRADE 10'!#REF!,"",0,1)&lt;=TODAY()-MOD(WEEKDAY(TODAY(),2)-5,7)),$D31,0)</f>
        <v>#REF!</v>
      </c>
      <c r="CD81" s="65" t="e">
        <f ca="1">IF(AND($D31&lt;&gt;0,_xlfn.XLOOKUP($B31,'PW_MLG GRADE 10'!$B$7:$B$31,'PW_MLG GRADE 10'!BG$7:BG$31,"",0,1)="P",
   _xlfn.XLOOKUP($B31,'PW_MLG GRADE 10'!$B$7:$B$31,'PW_MLG GRADE 10'!#REF!,"",0,1)&lt;=TODAY()-MOD(WEEKDAY(TODAY(),2)-5,7)),$D31,0)</f>
        <v>#REF!</v>
      </c>
      <c r="CE81" s="67">
        <f ca="1">IF(AND($D31&lt;&gt;0,_xlfn.XLOOKUP($B31,'PW_CMI GRADE 10'!$B$7:$B$31,'PW_CMI GRADE 10'!AY$7:AY$31,"",0,1)="P",
   _xlfn.XLOOKUP($B31,'PW_CMI GRADE 10'!$B$7:$B$31,'PW_CMI GRADE 10'!$U$7:$U$31,"",0,1)&lt;=TODAY()-MOD(WEEKDAY(TODAY(),2)-5,7)),$D31,0)</f>
        <v>0</v>
      </c>
      <c r="CF81" s="67">
        <f ca="1">IF(AND($D31&lt;&gt;0,_xlfn.XLOOKUP($B31,'PW_CMI GRADE 10'!$B$7:$B$31,'PW_CMI GRADE 10'!AZ$7:AZ$31,"",0,1)="P",
   _xlfn.XLOOKUP($B31,'PW_CMI GRADE 10'!$B$7:$B$31,'PW_CMI GRADE 10'!$V$7:$V$31,"",0,1)&lt;=TODAY()-MOD(WEEKDAY(TODAY(),2)-5,7)),$D31,0)</f>
        <v>0</v>
      </c>
      <c r="CG81" s="67">
        <f ca="1">IF(AND($D31&lt;&gt;0,_xlfn.XLOOKUP($B31,'PW_CMI GRADE 10'!$B$7:$B$31,'PW_CMI GRADE 10'!BA$7:BA$31,"",0,1)="P",
   _xlfn.XLOOKUP($B31,'PW_CMI GRADE 10'!$B$7:$B$31,'PW_CMI GRADE 10'!$W$7:$W$31,"",0,1)&lt;=TODAY()-MOD(WEEKDAY(TODAY(),2)-5,7)),$D31,0)</f>
        <v>0</v>
      </c>
      <c r="CH81" s="67">
        <f ca="1">IF(AND($D31&lt;&gt;0,_xlfn.XLOOKUP($B31,'PW_CMI GRADE 10'!$B$7:$B$31,'PW_CMI GRADE 10'!BB$7:BB$31,"",0,1)="P",
   _xlfn.XLOOKUP($B31,'PW_CMI GRADE 10'!$B$7:$B$31,'PW_CMI GRADE 10'!$U$7:$U$31,"",0,1)&lt;=TODAY()-MOD(WEEKDAY(TODAY(),2)-5,7)),$D31,0)</f>
        <v>0</v>
      </c>
      <c r="CI81" s="67">
        <f ca="1">IF(AND($D31&lt;&gt;0,_xlfn.XLOOKUP($B31,'PW_CMI GRADE 10'!$B$7:$B$31,'PW_CMI GRADE 10'!BC$7:BC$31,"",0,1)="P",
   _xlfn.XLOOKUP($B31,'PW_CMI GRADE 10'!$B$7:$B$31,'PW_CMI GRADE 10'!$V$7:$V$31,"",0,1)&lt;=TODAY()-MOD(WEEKDAY(TODAY(),2)-5,7)),$D31,0)</f>
        <v>0</v>
      </c>
      <c r="CJ81" s="67">
        <f ca="1">IF(AND($D31&lt;&gt;0,_xlfn.XLOOKUP($B31,'PW_CMI GRADE 10'!$B$7:$B$31,'PW_CMI GRADE 10'!BD$7:BD$31,"",0,1)="P",
   _xlfn.XLOOKUP($B31,'PW_CMI GRADE 10'!$B$7:$B$31,'PW_CMI GRADE 10'!$W$7:$W$31,"",0,1)&lt;=TODAY()-MOD(WEEKDAY(TODAY(),2)-5,7)),$D31,0)</f>
        <v>0</v>
      </c>
      <c r="CK81" s="67">
        <f ca="1">IF(AND($D31&lt;&gt;0,_xlfn.XLOOKUP($B31,'PW_CMI GRADE 10'!$B$7:$B$31,'PW_CMI GRADE 10'!BE$7:BE$31,"",0,1)="P",
   _xlfn.XLOOKUP($B31,'PW_CMI GRADE 10'!$B$7:$B$31,'PW_CMI GRADE 10'!$U$7:$U$31,"",0,1)&lt;=TODAY()-MOD(WEEKDAY(TODAY(),2)-5,7)),$D31,0)</f>
        <v>0</v>
      </c>
      <c r="CL81" s="67">
        <f ca="1">IF(AND($D31&lt;&gt;0,_xlfn.XLOOKUP($B31,'PW_CMI GRADE 10'!$B$7:$B$31,'PW_CMI GRADE 10'!BF$7:BF$31,"",0,1)="P",
   _xlfn.XLOOKUP($B31,'PW_CMI GRADE 10'!$B$7:$B$31,'PW_CMI GRADE 10'!$V$7:$V$31,"",0,1)&lt;=TODAY()-MOD(WEEKDAY(TODAY(),2)-5,7)),$D31,0)</f>
        <v>0</v>
      </c>
      <c r="CM81" s="67">
        <f ca="1">IF(AND($D31&lt;&gt;0,_xlfn.XLOOKUP($B31,'PW_CMI GRADE 10'!$B$7:$B$31,'PW_CMI GRADE 10'!BG$7:BG$31,"",0,1)="P",
   _xlfn.XLOOKUP($B31,'PW_CMI GRADE 10'!$B$7:$B$31,'PW_CMI GRADE 10'!$W$7:$W$31,"",0,1)&lt;=TODAY()-MOD(WEEKDAY(TODAY(),2)-5,7)),$D31,0)</f>
        <v>0</v>
      </c>
      <c r="CN81" s="67">
        <f ca="1">IF(AND($D31&lt;&gt;0,_xlfn.XLOOKUP($B31,'PW_CMI GRADE 10'!$B$7:$B$31,'PW_CMI GRADE 10'!BH$7:BH$31,"",0,1)="P",
   _xlfn.XLOOKUP($B31,'PW_CMI GRADE 10'!$B$7:$B$31,'PW_CMI GRADE 10'!$U$7:$U$31,"",0,1)&lt;=TODAY()-MOD(WEEKDAY(TODAY(),2)-5,7)),$D31,0)</f>
        <v>0</v>
      </c>
      <c r="CO81" s="67">
        <f ca="1">IF(AND($D31&lt;&gt;0,_xlfn.XLOOKUP($B31,'PW_CMI GRADE 10'!$B$7:$B$31,'PW_CMI GRADE 10'!BI$7:BI$31,"",0,1)="P",
   _xlfn.XLOOKUP($B31,'PW_CMI GRADE 10'!$B$7:$B$31,'PW_CMI GRADE 10'!$V$7:$V$31,"",0,1)&lt;=TODAY()-MOD(WEEKDAY(TODAY(),2)-5,7)),$D31,0)</f>
        <v>0</v>
      </c>
      <c r="CP81" s="67">
        <f ca="1">IF(AND($D31&lt;&gt;0,_xlfn.XLOOKUP($B31,'PW_CMI GRADE 10'!$B$7:$B$31,'PW_CMI GRADE 10'!BJ$7:BJ$31,"",0,1)="P",
   _xlfn.XLOOKUP($B31,'PW_CMI GRADE 10'!$B$7:$B$31,'PW_CMI GRADE 10'!$W$7:$W$31,"",0,1)&lt;=TODAY()-MOD(WEEKDAY(TODAY(),2)-5,7)),$D31,0)</f>
        <v>0</v>
      </c>
      <c r="CQ81" s="67">
        <f ca="1">IF(AND($D31&lt;&gt;0,_xlfn.XLOOKUP($B31,'PW_CMI GRADE 10'!$B$7:$B$31,'PW_CMI GRADE 10'!BK$7:BK$31,"",0,1)="P",
   _xlfn.XLOOKUP($B31,'PW_CMI GRADE 10'!$B$7:$B$31,'PW_CMI GRADE 10'!$U$7:$U$31,"",0,1)&lt;=TODAY()-MOD(WEEKDAY(TODAY(),2)-5,7)),$D31,0)</f>
        <v>0</v>
      </c>
      <c r="CR81" s="67">
        <f ca="1">IF(AND($D31&lt;&gt;0,_xlfn.XLOOKUP($B31,'PW_CMI GRADE 10'!$B$7:$B$31,'PW_CMI GRADE 10'!BL$7:BL$31,"",0,1)="P",
   _xlfn.XLOOKUP($B31,'PW_CMI GRADE 10'!$B$7:$B$31,'PW_CMI GRADE 10'!$V$7:$V$31,"",0,1)&lt;=TODAY()-MOD(WEEKDAY(TODAY(),2)-5,7)),$D31,0)</f>
        <v>0</v>
      </c>
      <c r="CS81" s="67">
        <f ca="1">IF(AND($D31&lt;&gt;0,_xlfn.XLOOKUP($B31,'PW_CMI GRADE 10'!$B$7:$B$31,'PW_CMI GRADE 10'!BM$7:BM$31,"",0,1)="P",
   _xlfn.XLOOKUP($B31,'PW_CMI GRADE 10'!$B$7:$B$31,'PW_CMI GRADE 10'!$W$7:$W$31,"",0,1)&lt;=TODAY()-MOD(WEEKDAY(TODAY(),2)-5,7)),$D31,0)</f>
        <v>0</v>
      </c>
      <c r="CT81" s="67">
        <f ca="1">IF(AND($D31&lt;&gt;0,_xlfn.XLOOKUP($B31,'PW_CMI GRADE 10'!$B$7:$B$31,'PW_CMI GRADE 10'!BN$7:BN$31,"",0,1)="P",
   _xlfn.XLOOKUP($B31,'PW_CMI GRADE 10'!$B$7:$B$31,'PW_CMI GRADE 10'!$U$7:$U$31,"",0,1)&lt;=TODAY()-MOD(WEEKDAY(TODAY(),2)-5,7)),$D31,0)</f>
        <v>0</v>
      </c>
      <c r="CU81" s="67">
        <f ca="1">IF(AND($D31&lt;&gt;0,_xlfn.XLOOKUP($B31,'PW_CMI GRADE 10'!$B$7:$B$31,'PW_CMI GRADE 10'!BO$7:BO$31,"",0,1)="P",
   _xlfn.XLOOKUP($B31,'PW_CMI GRADE 10'!$B$7:$B$31,'PW_CMI GRADE 10'!$V$7:$V$31,"",0,1)&lt;=TODAY()-MOD(WEEKDAY(TODAY(),2)-5,7)),$D31,0)</f>
        <v>0</v>
      </c>
      <c r="CV81" s="67">
        <f ca="1">IF(AND($D31&lt;&gt;0,_xlfn.XLOOKUP($B31,'PW_CMI GRADE 10'!$B$7:$B$31,'PW_CMI GRADE 10'!BP$7:BP$31,"",0,1)="P",
   _xlfn.XLOOKUP($B31,'PW_CMI GRADE 10'!$B$7:$B$31,'PW_CMI GRADE 10'!$W$7:$W$31,"",0,1)&lt;=TODAY()-MOD(WEEKDAY(TODAY(),2)-5,7)),$D31,0)</f>
        <v>0</v>
      </c>
      <c r="CW81" s="62" t="e">
        <f t="shared" ca="1" si="132"/>
        <v>#REF!</v>
      </c>
      <c r="CX81" s="62" t="e">
        <f t="shared" ca="1" si="69"/>
        <v>#REF!</v>
      </c>
      <c r="CY81" s="62" t="e">
        <f t="shared" ca="1" si="70"/>
        <v>#REF!</v>
      </c>
      <c r="CZ81" s="62" t="e">
        <f t="shared" ca="1" si="71"/>
        <v>#REF!</v>
      </c>
      <c r="DA81" s="62" t="e">
        <f t="shared" ca="1" si="72"/>
        <v>#REF!</v>
      </c>
      <c r="DB81" s="62" t="e">
        <f t="shared" ca="1" si="73"/>
        <v>#REF!</v>
      </c>
      <c r="DC81" s="62" t="e">
        <f t="shared" ca="1" si="74"/>
        <v>#REF!</v>
      </c>
      <c r="DD81" s="62" t="e">
        <f t="shared" ca="1" si="75"/>
        <v>#REF!</v>
      </c>
      <c r="DE81" s="62" t="e">
        <f t="shared" ca="1" si="76"/>
        <v>#REF!</v>
      </c>
      <c r="DF81" s="62" t="e">
        <f t="shared" ca="1" si="77"/>
        <v>#REF!</v>
      </c>
      <c r="DG81" s="62" t="e">
        <f t="shared" ca="1" si="78"/>
        <v>#REF!</v>
      </c>
      <c r="DH81" s="62" t="e">
        <f t="shared" ca="1" si="79"/>
        <v>#REF!</v>
      </c>
      <c r="DI81" s="62" t="e">
        <f t="shared" ca="1" si="80"/>
        <v>#REF!</v>
      </c>
      <c r="DJ81" s="62" t="e">
        <f t="shared" ca="1" si="81"/>
        <v>#REF!</v>
      </c>
      <c r="DK81" s="62" t="e">
        <f t="shared" ca="1" si="82"/>
        <v>#REF!</v>
      </c>
      <c r="DL81" s="62" t="e">
        <f t="shared" ca="1" si="83"/>
        <v>#REF!</v>
      </c>
      <c r="DM81" s="62" t="e">
        <f t="shared" ca="1" si="84"/>
        <v>#REF!</v>
      </c>
      <c r="DN81" s="62" t="e">
        <f t="shared" ca="1" si="85"/>
        <v>#REF!</v>
      </c>
      <c r="DO81" s="62" t="e">
        <f t="shared" ca="1" si="86"/>
        <v>#REF!</v>
      </c>
      <c r="DP81" s="62" t="e">
        <f t="shared" ca="1" si="87"/>
        <v>#REF!</v>
      </c>
      <c r="DQ81" s="62" t="e">
        <f t="shared" ca="1" si="88"/>
        <v>#REF!</v>
      </c>
      <c r="DR81" s="62" t="e">
        <f t="shared" ca="1" si="89"/>
        <v>#REF!</v>
      </c>
      <c r="DS81" s="62" t="e">
        <f t="shared" ca="1" si="90"/>
        <v>#REF!</v>
      </c>
      <c r="DT81" s="62" t="e">
        <f t="shared" ca="1" si="91"/>
        <v>#REF!</v>
      </c>
      <c r="DU81" s="62" t="e">
        <f t="shared" ca="1" si="92"/>
        <v>#REF!</v>
      </c>
      <c r="DV81" s="62" t="e">
        <f t="shared" ca="1" si="93"/>
        <v>#REF!</v>
      </c>
      <c r="DW81" s="62" t="e">
        <f t="shared" ca="1" si="94"/>
        <v>#REF!</v>
      </c>
      <c r="DX81" s="62" t="e">
        <f t="shared" ca="1" si="95"/>
        <v>#REF!</v>
      </c>
      <c r="DY81" s="62" t="e">
        <f t="shared" ca="1" si="96"/>
        <v>#REF!</v>
      </c>
      <c r="DZ81" s="62" t="e">
        <f t="shared" ca="1" si="97"/>
        <v>#REF!</v>
      </c>
      <c r="EA81" s="63" t="e">
        <f t="shared" ca="1" si="98"/>
        <v>#REF!</v>
      </c>
      <c r="EB81" s="63" t="e">
        <f t="shared" ca="1" si="99"/>
        <v>#REF!</v>
      </c>
      <c r="EC81" s="63" t="e">
        <f t="shared" ca="1" si="100"/>
        <v>#REF!</v>
      </c>
      <c r="ED81" s="63" t="e">
        <f t="shared" ca="1" si="101"/>
        <v>#REF!</v>
      </c>
      <c r="EE81" s="63" t="e">
        <f t="shared" ca="1" si="102"/>
        <v>#REF!</v>
      </c>
      <c r="EF81" s="63" t="e">
        <f t="shared" ca="1" si="103"/>
        <v>#REF!</v>
      </c>
      <c r="EG81" s="63" t="e">
        <f t="shared" ca="1" si="104"/>
        <v>#REF!</v>
      </c>
      <c r="EH81" s="63" t="e">
        <f t="shared" ca="1" si="105"/>
        <v>#REF!</v>
      </c>
      <c r="EI81" s="63" t="e">
        <f t="shared" ca="1" si="106"/>
        <v>#REF!</v>
      </c>
      <c r="EJ81" s="63" t="e">
        <f t="shared" ca="1" si="107"/>
        <v>#REF!</v>
      </c>
      <c r="EK81" s="63" t="e">
        <f t="shared" ca="1" si="108"/>
        <v>#REF!</v>
      </c>
      <c r="EL81" s="63" t="e">
        <f t="shared" ca="1" si="109"/>
        <v>#REF!</v>
      </c>
      <c r="EM81" s="63" t="e">
        <f t="shared" ca="1" si="110"/>
        <v>#REF!</v>
      </c>
      <c r="EN81" s="63" t="e">
        <f t="shared" ca="1" si="111"/>
        <v>#REF!</v>
      </c>
      <c r="EO81" s="63" t="e">
        <f t="shared" ca="1" si="112"/>
        <v>#REF!</v>
      </c>
      <c r="EP81" s="63" t="e">
        <f t="shared" ca="1" si="113"/>
        <v>#REF!</v>
      </c>
    </row>
    <row r="82" spans="1:146">
      <c r="A82" s="64" t="str">
        <f t="shared" si="131"/>
        <v>4A.3</v>
      </c>
      <c r="B82" s="64" t="s">
        <v>63</v>
      </c>
      <c r="C82" s="29">
        <v>0</v>
      </c>
      <c r="D82" s="29">
        <v>1</v>
      </c>
      <c r="E82" s="65">
        <f ca="1">IF(AND($D32&lt;&gt;0,_xlfn.XLOOKUP($B32,'TH_MLG GRADE 10'!$B$7:$B$49,'TH_MLG GRADE 10'!C$7:C$49,"",0,1)="P",
   _xlfn.XLOOKUP($B32,'TH_MLG GRADE 10'!$B$7:$B$49,'TH_MLG GRADE 10'!$BK$7:$BK$49,"",0,1)&lt;=TODAY()-MOD(WEEKDAY(TODAY(),2)-5,7)),$D32,0)</f>
        <v>0</v>
      </c>
      <c r="F82" s="65">
        <f ca="1">IF(AND($D32&lt;&gt;0,_xlfn.XLOOKUP($B32,'TH_MLG GRADE 10'!$B$7:$B$49,'TH_MLG GRADE 10'!D$7:D$49,"",0,1)="P",
   _xlfn.XLOOKUP($B32,'TH_MLG GRADE 10'!$B$7:$B$49,'TH_MLG GRADE 10'!$BL$7:$BL$49,"",0,1)&lt;=TODAY()-MOD(WEEKDAY(TODAY(),2)-5,7)),$D32,0)</f>
        <v>0</v>
      </c>
      <c r="G82" s="65">
        <f ca="1">IF(AND($D32&lt;&gt;0,_xlfn.XLOOKUP($B32,'TH_MLG GRADE 10'!$B$7:$B$49,'TH_MLG GRADE 10'!E$7:E$49,"",0,1)="P",
   _xlfn.XLOOKUP($B32,'TH_MLG GRADE 10'!$B$7:$B$49,'TH_MLG GRADE 10'!$BM$7:$BM$49,"",0,1)&lt;=TODAY()-MOD(WEEKDAY(TODAY(),2)-5,7)),$D32,0)</f>
        <v>0</v>
      </c>
      <c r="H82" s="65">
        <f ca="1">IF(AND($D32&lt;&gt;0,_xlfn.XLOOKUP($B32,'TH_MLG GRADE 10'!$B$7:$B$49,'TH_MLG GRADE 10'!I$7:I$49,"",0,1)="P",
   _xlfn.XLOOKUP($B32,'TH_MLG GRADE 10'!$B$7:$B$49,'TH_MLG GRADE 10'!$BK$7:$BK$49,"",0,1)&lt;=TODAY()-MOD(WEEKDAY(TODAY(),2)-5,7)),$D32,0)</f>
        <v>0</v>
      </c>
      <c r="I82" s="65">
        <f ca="1">IF(AND($D32&lt;&gt;0,_xlfn.XLOOKUP($B32,'TH_MLG GRADE 10'!$B$7:$B$49,'TH_MLG GRADE 10'!J$7:J$49,"",0,1)="P",
   _xlfn.XLOOKUP($B32,'TH_MLG GRADE 10'!$B$7:$B$49,'TH_MLG GRADE 10'!$BL$7:$BL$49,"",0,1)&lt;=TODAY()-MOD(WEEKDAY(TODAY(),2)-5,7)),$D32,0)</f>
        <v>0</v>
      </c>
      <c r="J82" s="65">
        <f ca="1">IF(AND($D32&lt;&gt;0,_xlfn.XLOOKUP($B32,'TH_MLG GRADE 10'!$B$7:$B$49,'TH_MLG GRADE 10'!K$7:K$49,"",0,1)="P",
   _xlfn.XLOOKUP($B32,'TH_MLG GRADE 10'!$B$7:$B$49,'TH_MLG GRADE 10'!$BM$7:$BM$49,"",0,1)&lt;=TODAY()-MOD(WEEKDAY(TODAY(),2)-5,7)),$D32,0)</f>
        <v>0</v>
      </c>
      <c r="K82" s="65">
        <f ca="1">IF(AND($D32&lt;&gt;0,_xlfn.XLOOKUP($B32,'TH_MLG GRADE 10'!$B$7:$B$49,'TH_MLG GRADE 10'!O$7:O$49,"",0,1)="P",
   _xlfn.XLOOKUP($B32,'TH_MLG GRADE 10'!$B$7:$B$49,'TH_MLG GRADE 10'!$BK$7:$BK$49,"",0,1)&lt;=TODAY()-MOD(WEEKDAY(TODAY(),2)-5,7)),$D32,0)</f>
        <v>0</v>
      </c>
      <c r="L82" s="65">
        <f ca="1">IF(AND($D32&lt;&gt;0,_xlfn.XLOOKUP($B32,'TH_MLG GRADE 10'!$B$7:$B$49,'TH_MLG GRADE 10'!P$7:P$49,"",0,1)="P",
   _xlfn.XLOOKUP($B32,'TH_MLG GRADE 10'!$B$7:$B$49,'TH_MLG GRADE 10'!$BL$7:$BL$49,"",0,1)&lt;=TODAY()-MOD(WEEKDAY(TODAY(),2)-5,7)),$D32,0)</f>
        <v>0</v>
      </c>
      <c r="M82" s="65">
        <f ca="1">IF(AND($D32&lt;&gt;0,_xlfn.XLOOKUP($B32,'TH_MLG GRADE 10'!$B$7:$B$49,'TH_MLG GRADE 10'!Q$7:Q$49,"",0,1)="P",
   _xlfn.XLOOKUP($B32,'TH_MLG GRADE 10'!$B$7:$B$49,'TH_MLG GRADE 10'!$BM$7:$BM$49,"",0,1)&lt;=TODAY()-MOD(WEEKDAY(TODAY(),2)-5,7)),$D32,0)</f>
        <v>0</v>
      </c>
      <c r="N82" s="65">
        <f ca="1">IF(AND($D32&lt;&gt;0,_xlfn.XLOOKUP($B32,'TH_MLG GRADE 10'!$B$7:$B$49,'TH_MLG GRADE 10'!AA$7:AA$49,"",0,1)="P",
   _xlfn.XLOOKUP($B32,'TH_MLG GRADE 10'!$B$7:$B$49,'TH_MLG GRADE 10'!$BK$7:$BK$49,"",0,1)&lt;=TODAY()-MOD(WEEKDAY(TODAY(),2)-5,7)),$D32,0)</f>
        <v>0</v>
      </c>
      <c r="O82" s="65">
        <f ca="1">IF(AND($D32&lt;&gt;0,_xlfn.XLOOKUP($B32,'TH_MLG GRADE 10'!$B$7:$B$49,'TH_MLG GRADE 10'!AB$7:AB$49,"",0,1)="P",
   _xlfn.XLOOKUP($B32,'TH_MLG GRADE 10'!$B$7:$B$49,'TH_MLG GRADE 10'!$BL$7:$BL$49,"",0,1)&lt;=TODAY()-MOD(WEEKDAY(TODAY(),2)-5,7)),$D32,0)</f>
        <v>0</v>
      </c>
      <c r="P82" s="65">
        <f ca="1">IF(AND($D32&lt;&gt;0,_xlfn.XLOOKUP($B32,'TH_MLG GRADE 10'!$B$7:$B$49,'TH_MLG GRADE 10'!AC$7:AC$49,"",0,1)="P",
   _xlfn.XLOOKUP($B32,'TH_MLG GRADE 10'!$B$7:$B$49,'TH_MLG GRADE 10'!$BM$7:$BM$49,"",0,1)&lt;=TODAY()-MOD(WEEKDAY(TODAY(),2)-5,7)),$D32,0)</f>
        <v>0</v>
      </c>
      <c r="Q82" s="65">
        <f ca="1">IF(AND($D32&lt;&gt;0,_xlfn.XLOOKUP($B32,'TH_MLG GRADE 10'!$B$7:$B$49,'TH_MLG GRADE 10'!AG$7:AG$49,"",0,1)="P",
   _xlfn.XLOOKUP($B32,'TH_MLG GRADE 10'!$B$7:$B$49,'TH_MLG GRADE 10'!$BK$7:$BK$49,"",0,1)&lt;=TODAY()-MOD(WEEKDAY(TODAY(),2)-5,7)),$D32,0)</f>
        <v>1</v>
      </c>
      <c r="R82" s="65">
        <f ca="1">IF(AND($D32&lt;&gt;0,_xlfn.XLOOKUP($B32,'TH_MLG GRADE 10'!$B$7:$B$49,'TH_MLG GRADE 10'!AH$7:AH$49,"",0,1)="P",
   _xlfn.XLOOKUP($B32,'TH_MLG GRADE 10'!$B$7:$B$49,'TH_MLG GRADE 10'!$BL$7:$BL$49,"",0,1)&lt;=TODAY()-MOD(WEEKDAY(TODAY(),2)-5,7)),$D32,0)</f>
        <v>1</v>
      </c>
      <c r="S82" s="65">
        <f ca="1">IF(AND($D32&lt;&gt;0,_xlfn.XLOOKUP($B32,'TH_MLG GRADE 10'!$B$7:$B$49,'TH_MLG GRADE 10'!AI$7:AI$49,"",0,1)="P",
   _xlfn.XLOOKUP($B32,'TH_MLG GRADE 10'!$B$7:$B$49,'TH_MLG GRADE 10'!$BM$7:$BM$49,"",0,1)&lt;=TODAY()-MOD(WEEKDAY(TODAY(),2)-5,7)),$D32,0)</f>
        <v>1</v>
      </c>
      <c r="T82" s="65">
        <f ca="1">IF(AND($D32&lt;&gt;0,_xlfn.XLOOKUP($B32,'TH_MLG GRADE 10'!$B$7:$B$49,'TH_MLG GRADE 10'!AM$7:AM$49,"",0,1)="P",
   _xlfn.XLOOKUP($B32,'TH_MLG GRADE 10'!$B$7:$B$49,'TH_MLG GRADE 10'!$BK$7:$BK$49,"",0,1)&lt;=TODAY()-MOD(WEEKDAY(TODAY(),2)-5,7)),$D32,0)</f>
        <v>0</v>
      </c>
      <c r="U82" s="65">
        <f ca="1">IF(AND($D32&lt;&gt;0,_xlfn.XLOOKUP($B32,'TH_MLG GRADE 10'!$B$7:$B$49,'TH_MLG GRADE 10'!AN$7:AN$49,"",0,1)="P",
   _xlfn.XLOOKUP($B32,'TH_MLG GRADE 10'!$B$7:$B$49,'TH_MLG GRADE 10'!$BL$7:$BL$49,"",0,1)&lt;=TODAY()-MOD(WEEKDAY(TODAY(),2)-5,7)),$D32,0)</f>
        <v>0</v>
      </c>
      <c r="V82" s="65">
        <f ca="1">IF(AND($D32&lt;&gt;0,_xlfn.XLOOKUP($B32,'TH_MLG GRADE 10'!$B$7:$B$49,'TH_MLG GRADE 10'!AO$7:AO$49,"",0,1)="P",
   _xlfn.XLOOKUP($B32,'TH_MLG GRADE 10'!$B$7:$B$49,'TH_MLG GRADE 10'!$BM$7:$BM$49,"",0,1)&lt;=TODAY()-MOD(WEEKDAY(TODAY(),2)-5,7)),$D32,0)</f>
        <v>0</v>
      </c>
      <c r="W82" s="65">
        <f ca="1">IF(AND($D32&lt;&gt;0,_xlfn.XLOOKUP($B32,'TH_MLG GRADE 10'!$B$7:$B$49,'TH_MLG GRADE 10'!AY$7:AY$49,"",0,1)="P",
   _xlfn.XLOOKUP($B32,'TH_MLG GRADE 10'!$B$7:$B$49,'TH_MLG GRADE 10'!$BK$7:$BK$49,"",0,1)&lt;=TODAY()-MOD(WEEKDAY(TODAY(),2)-5,7)),$D32,0)</f>
        <v>0</v>
      </c>
      <c r="X82" s="65">
        <f ca="1">IF(AND($D32&lt;&gt;0,_xlfn.XLOOKUP($B32,'TH_MLG GRADE 10'!$B$7:$B$49,'TH_MLG GRADE 10'!AZ$7:AZ$49,"",0,1)="P",
   _xlfn.XLOOKUP($B32,'TH_MLG GRADE 10'!$B$7:$B$49,'TH_MLG GRADE 10'!$BL$7:$BL$49,"",0,1)&lt;=TODAY()-MOD(WEEKDAY(TODAY(),2)-5,7)),$D32,0)</f>
        <v>0</v>
      </c>
      <c r="Y82" s="65">
        <f ca="1">IF(AND($D32&lt;&gt;0,_xlfn.XLOOKUP($B32,'TH_MLG GRADE 10'!$B$7:$B$49,'TH_MLG GRADE 10'!BA$7:BA$49,"",0,1)="P",
   _xlfn.XLOOKUP($B32,'TH_MLG GRADE 10'!$B$7:$B$49,'TH_MLG GRADE 10'!$BM$7:$BM$49,"",0,1)&lt;=TODAY()-MOD(WEEKDAY(TODAY(),2)-5,7)),$D32,0)</f>
        <v>0</v>
      </c>
      <c r="Z82" s="65">
        <f ca="1">IF(AND($D32&lt;&gt;0,_xlfn.XLOOKUP($B32,'TH_MLG GRADE 10'!$B$7:$B$49,'TH_MLG GRADE 10'!BE$7:BE$49,"",0,1)="P",
   _xlfn.XLOOKUP($B32,'TH_MLG GRADE 10'!$B$7:$B$49,'TH_MLG GRADE 10'!$BK$7:$BK$49,"",0,1)&lt;=TODAY()-MOD(WEEKDAY(TODAY(),2)-5,7)),$D32,0)</f>
        <v>0</v>
      </c>
      <c r="AA82" s="65">
        <f ca="1">IF(AND($D32&lt;&gt;0,_xlfn.XLOOKUP($B32,'TH_MLG GRADE 10'!$B$7:$B$49,'TH_MLG GRADE 10'!BF$7:BF$49,"",0,1)="P",
   _xlfn.XLOOKUP($B32,'TH_MLG GRADE 10'!$B$7:$B$49,'TH_MLG GRADE 10'!$BL$7:$BL$49,"",0,1)&lt;=TODAY()-MOD(WEEKDAY(TODAY(),2)-5,7)),$D32,0)</f>
        <v>0</v>
      </c>
      <c r="AB82" s="65">
        <f ca="1">IF(AND($D32&lt;&gt;0,_xlfn.XLOOKUP($B32,'TH_MLG GRADE 10'!$B$7:$B$49,'TH_MLG GRADE 10'!BG$7:BG$49,"",0,1)="P",
   _xlfn.XLOOKUP($B32,'TH_MLG GRADE 10'!$B$7:$B$49,'TH_MLG GRADE 10'!$BM$7:$BM$49,"",0,1)&lt;=TODAY()-MOD(WEEKDAY(TODAY(),2)-5,7)),$D32,0)</f>
        <v>0</v>
      </c>
      <c r="AC82" s="65" t="e">
        <f ca="1">IF(AND($D32&lt;&gt;0,_xlfn.XLOOKUP($B32,'TH_MLG GRADE 10'!$B$7:$B$49,'TH_MLG GRADE 10'!#REF!,"",0,1)="P",
   _xlfn.XLOOKUP($B32,'TH_MLG GRADE 10'!$B$7:$B$49,'TH_MLG GRADE 10'!$BK$7:$BK$49,"",0,1)&lt;=TODAY()-MOD(WEEKDAY(TODAY(),2)-5,7)),$D32,0)</f>
        <v>#REF!</v>
      </c>
      <c r="AD82" s="65" t="e">
        <f ca="1">IF(AND($D32&lt;&gt;0,_xlfn.XLOOKUP($B32,'TH_MLG GRADE 10'!$B$7:$B$49,'TH_MLG GRADE 10'!#REF!,"",0,1)="P",
   _xlfn.XLOOKUP($B32,'TH_MLG GRADE 10'!$B$7:$B$49,'TH_MLG GRADE 10'!$BL$7:$BL$49,"",0,1)&lt;=TODAY()-MOD(WEEKDAY(TODAY(),2)-5,7)),$D32,0)</f>
        <v>#REF!</v>
      </c>
      <c r="AE82" s="65" t="e">
        <f ca="1">IF(AND($D32&lt;&gt;0,_xlfn.XLOOKUP($B32,'TH_MLG GRADE 10'!$B$7:$B$49,'TH_MLG GRADE 10'!#REF!,"",0,1)="P",
   _xlfn.XLOOKUP($B32,'TH_MLG GRADE 10'!$B$7:$B$49,'TH_MLG GRADE 10'!$BM$7:$BM$49,"",0,1)&lt;=TODAY()-MOD(WEEKDAY(TODAY(),2)-5,7)),$D32,0)</f>
        <v>#REF!</v>
      </c>
      <c r="AF82" s="65" t="e">
        <f ca="1">IF(AND($D32&lt;&gt;0,_xlfn.XLOOKUP($B32,'TH_MLG GRADE 10'!$B$7:$B$49,'TH_MLG GRADE 10'!#REF!,"",0,1)="P",
   _xlfn.XLOOKUP($B32,'TH_MLG GRADE 10'!$B$7:$B$49,'TH_MLG GRADE 10'!$BK$7:$BK$49,"",0,1)&lt;=TODAY()-MOD(WEEKDAY(TODAY(),2)-5,7)),$D32,0)</f>
        <v>#REF!</v>
      </c>
      <c r="AG82" s="65" t="e">
        <f ca="1">IF(AND($D32&lt;&gt;0,_xlfn.XLOOKUP($B32,'TH_MLG GRADE 10'!$B$7:$B$49,'TH_MLG GRADE 10'!#REF!,"",0,1)="P",
   _xlfn.XLOOKUP($B32,'TH_MLG GRADE 10'!$B$7:$B$49,'TH_MLG GRADE 10'!$BL$7:$BL$49,"",0,1)&lt;=TODAY()-MOD(WEEKDAY(TODAY(),2)-5,7)),$D32,0)</f>
        <v>#REF!</v>
      </c>
      <c r="AH82" s="65" t="e">
        <f ca="1">IF(AND($D32&lt;&gt;0,_xlfn.XLOOKUP($B32,'TH_MLG GRADE 10'!$B$7:$B$49,'TH_MLG GRADE 10'!#REF!,"",0,1)="P",
   _xlfn.XLOOKUP($B32,'TH_MLG GRADE 10'!$B$7:$B$49,'TH_MLG GRADE 10'!$BM$7:$BM$49,"",0,1)&lt;=TODAY()-MOD(WEEKDAY(TODAY(),2)-5,7)),$D32,0)</f>
        <v>#REF!</v>
      </c>
      <c r="AI82" s="67">
        <f ca="1">IF(AND($D32&lt;&gt;0,_xlfn.XLOOKUP($B32,'TH_CMI GRADE 10'!$B$7:$B$49,'TH_CMI GRADE 10'!C$7:C$49,"",0,1)="P",
   _xlfn.XLOOKUP($B32,'TH_CMI GRADE 10'!$B$7:$B$49,'TH_CMI GRADE 10'!$AS$7:$AS$49,"",0,1)&lt;=TODAY()-MOD(WEEKDAY(TODAY(),2)-5,7)),$D32,0)</f>
        <v>0</v>
      </c>
      <c r="AJ82" s="67">
        <f ca="1">IF(AND($D32&lt;&gt;0,_xlfn.XLOOKUP($B32,'TH_CMI GRADE 10'!$B$7:$B$49,'TH_CMI GRADE 10'!D$7:D$49,"",0,1)="P",
   _xlfn.XLOOKUP($B32,'TH_CMI GRADE 10'!$B$7:$B$49,'TH_CMI GRADE 10'!$AT$7:$AT$49,"",0,1)&lt;=TODAY()-MOD(WEEKDAY(TODAY(),2)-5,7)),$D32,0)</f>
        <v>0</v>
      </c>
      <c r="AK82" s="67" t="e">
        <f ca="1">IF(AND($D32&lt;&gt;0,_xlfn.XLOOKUP($B32,'TH_CMI GRADE 10'!$B$7:$B$49,'TH_CMI GRADE 10'!H$7:H$49,"",0,1)="P",
   _xlfn.XLOOKUP($B32,'TH_CMI GRADE 10'!$B$7:$B$49,'TH_CMI GRADE 10'!#REF!,"",0,1)&lt;=TODAY()-MOD(WEEKDAY(TODAY(),2)-5,7)),$D32,0)</f>
        <v>#REF!</v>
      </c>
      <c r="AL82" s="67">
        <f ca="1">IF(AND($D32&lt;&gt;0,_xlfn.XLOOKUP($B32,'TH_CMI GRADE 10'!$B$7:$B$49,'TH_CMI GRADE 10'!I$7:I$49,"",0,1)="P",
   _xlfn.XLOOKUP($B32,'TH_CMI GRADE 10'!$B$7:$B$49,'TH_CMI GRADE 10'!$AS$7:$AS$49,"",0,1)&lt;=TODAY()-MOD(WEEKDAY(TODAY(),2)-5,7)),$D32,0)</f>
        <v>0</v>
      </c>
      <c r="AM82" s="67">
        <f ca="1">IF(AND($D32&lt;&gt;0,_xlfn.XLOOKUP($B32,'TH_CMI GRADE 10'!$B$7:$B$49,'TH_CMI GRADE 10'!J$7:J$49,"",0,1)="P",
   _xlfn.XLOOKUP($B32,'TH_CMI GRADE 10'!$B$7:$B$49,'TH_CMI GRADE 10'!$AT$7:$AT$49,"",0,1)&lt;=TODAY()-MOD(WEEKDAY(TODAY(),2)-5,7)),$D32,0)</f>
        <v>0</v>
      </c>
      <c r="AN82" s="67" t="e">
        <f ca="1">IF(AND($D32&lt;&gt;0,_xlfn.XLOOKUP($B32,'TH_CMI GRADE 10'!$B$7:$B$49,'TH_CMI GRADE 10'!K$7:K$49,"",0,1)="P",
   _xlfn.XLOOKUP($B32,'TH_CMI GRADE 10'!$B$7:$B$49,'TH_CMI GRADE 10'!#REF!,"",0,1)&lt;=TODAY()-MOD(WEEKDAY(TODAY(),2)-5,7)),$D32,0)</f>
        <v>#REF!</v>
      </c>
      <c r="AO82" s="67">
        <f ca="1">IF(AND($D32&lt;&gt;0,_xlfn.XLOOKUP($B32,'TH_CMI GRADE 10'!$B$7:$B$49,'TH_CMI GRADE 10'!O$7:O$49,"",0,1)="P",
   _xlfn.XLOOKUP($B32,'TH_CMI GRADE 10'!$B$7:$B$49,'TH_CMI GRADE 10'!$AS$7:$AS$49,"",0,1)&lt;=TODAY()-MOD(WEEKDAY(TODAY(),2)-5,7)),$D32,0)</f>
        <v>0</v>
      </c>
      <c r="AP82" s="67">
        <f ca="1">IF(AND($D32&lt;&gt;0,_xlfn.XLOOKUP($B32,'TH_CMI GRADE 10'!$B$7:$B$49,'TH_CMI GRADE 10'!P$7:P$49,"",0,1)="P",
   _xlfn.XLOOKUP($B32,'TH_CMI GRADE 10'!$B$7:$B$49,'TH_CMI GRADE 10'!$AT$7:$AT$49,"",0,1)&lt;=TODAY()-MOD(WEEKDAY(TODAY(),2)-5,7)),$D32,0)</f>
        <v>0</v>
      </c>
      <c r="AQ82" s="67" t="e">
        <f ca="1">IF(AND($D32&lt;&gt;0,_xlfn.XLOOKUP($B32,'TH_CMI GRADE 10'!$B$7:$B$49,'TH_CMI GRADE 10'!Q$7:Q$49,"",0,1)="P",
   _xlfn.XLOOKUP($B32,'TH_CMI GRADE 10'!$B$7:$B$49,'TH_CMI GRADE 10'!#REF!,"",0,1)&lt;=TODAY()-MOD(WEEKDAY(TODAY(),2)-5,7)),$D32,0)</f>
        <v>#REF!</v>
      </c>
      <c r="AR82" s="67">
        <f ca="1">IF(AND($D32&lt;&gt;0,_xlfn.XLOOKUP($B32,'TH_CMI GRADE 10'!$B$7:$B$49,'TH_CMI GRADE 10'!U$7:U$49,"",0,1)="P",
   _xlfn.XLOOKUP($B32,'TH_CMI GRADE 10'!$B$7:$B$49,'TH_CMI GRADE 10'!$AS$7:$AS$49,"",0,1)&lt;=TODAY()-MOD(WEEKDAY(TODAY(),2)-5,7)),$D32,0)</f>
        <v>0</v>
      </c>
      <c r="AS82" s="67">
        <f ca="1">IF(AND($D32&lt;&gt;0,_xlfn.XLOOKUP($B32,'TH_CMI GRADE 10'!$B$7:$B$49,'TH_CMI GRADE 10'!V$7:V$49,"",0,1)="P",
   _xlfn.XLOOKUP($B32,'TH_CMI GRADE 10'!$B$7:$B$49,'TH_CMI GRADE 10'!$AT$7:$AT$49,"",0,1)&lt;=TODAY()-MOD(WEEKDAY(TODAY(),2)-5,7)),$D32,0)</f>
        <v>0</v>
      </c>
      <c r="AT82" s="67" t="e">
        <f ca="1">IF(AND($D32&lt;&gt;0,_xlfn.XLOOKUP($B32,'TH_CMI GRADE 10'!$B$7:$B$49,'TH_CMI GRADE 10'!W$7:W$49,"",0,1)="P",
   _xlfn.XLOOKUP($B32,'TH_CMI GRADE 10'!$B$7:$B$49,'TH_CMI GRADE 10'!#REF!,"",0,1)&lt;=TODAY()-MOD(WEEKDAY(TODAY(),2)-5,7)),$D32,0)</f>
        <v>#REF!</v>
      </c>
      <c r="AU82" s="67">
        <f ca="1">IF(AND($D32&lt;&gt;0,_xlfn.XLOOKUP($B32,'TH_CMI GRADE 10'!$B$7:$B$49,'TH_CMI GRADE 10'!AA$7:AA$49,"",0,1)="P",
   _xlfn.XLOOKUP($B32,'TH_CMI GRADE 10'!$B$7:$B$49,'TH_CMI GRADE 10'!$AS$7:$AS$49,"",0,1)&lt;=TODAY()-MOD(WEEKDAY(TODAY(),2)-5,7)),$D32,0)</f>
        <v>1</v>
      </c>
      <c r="AV82" s="67">
        <f ca="1">IF(AND($D32&lt;&gt;0,_xlfn.XLOOKUP($B32,'TH_CMI GRADE 10'!$B$7:$B$49,'TH_CMI GRADE 10'!AB$7:AB$49,"",0,1)="P",
   _xlfn.XLOOKUP($B32,'TH_CMI GRADE 10'!$B$7:$B$49,'TH_CMI GRADE 10'!$AT$7:$AT$49,"",0,1)&lt;=TODAY()-MOD(WEEKDAY(TODAY(),2)-5,7)),$D32,0)</f>
        <v>1</v>
      </c>
      <c r="AW82" s="67" t="e">
        <f ca="1">IF(AND($D32&lt;&gt;0,_xlfn.XLOOKUP($B32,'TH_CMI GRADE 10'!$B$7:$B$49,'TH_CMI GRADE 10'!AC$7:AC$49,"",0,1)="P",
   _xlfn.XLOOKUP($B32,'TH_CMI GRADE 10'!$B$7:$B$49,'TH_CMI GRADE 10'!#REF!,"",0,1)&lt;=TODAY()-MOD(WEEKDAY(TODAY(),2)-5,7)),$D32,0)</f>
        <v>#REF!</v>
      </c>
      <c r="AX82" s="67">
        <f ca="1">IF(AND($D32&lt;&gt;0,_xlfn.XLOOKUP($B32,'TH_CMI GRADE 10'!$B$7:$B$49,'TH_CMI GRADE 10'!AG$7:AG$49,"",0,1)="P",
   _xlfn.XLOOKUP($B32,'TH_CMI GRADE 10'!$B$7:$B$49,'TH_CMI GRADE 10'!$AS$7:$AS$49,"",0,1)&lt;=TODAY()-MOD(WEEKDAY(TODAY(),2)-5,7)),$D32,0)</f>
        <v>1</v>
      </c>
      <c r="AY82" s="67">
        <f ca="1">IF(AND($D32&lt;&gt;0,_xlfn.XLOOKUP($B32,'TH_CMI GRADE 10'!$B$7:$B$49,'TH_CMI GRADE 10'!AH$7:AH$49,"",0,1)="P",
   _xlfn.XLOOKUP($B32,'TH_CMI GRADE 10'!$B$7:$B$49,'TH_CMI GRADE 10'!$AT$7:$AT$49,"",0,1)&lt;=TODAY()-MOD(WEEKDAY(TODAY(),2)-5,7)),$D32,0)</f>
        <v>1</v>
      </c>
      <c r="AZ82" s="67" t="e">
        <f ca="1">IF(AND($D32&lt;&gt;0,_xlfn.XLOOKUP($B32,'TH_CMI GRADE 10'!$B$7:$B$49,'TH_CMI GRADE 10'!AI$7:AI$49,"",0,1)="P",
   _xlfn.XLOOKUP($B32,'TH_CMI GRADE 10'!$B$7:$B$49,'TH_CMI GRADE 10'!#REF!,"",0,1)&lt;=TODAY()-MOD(WEEKDAY(TODAY(),2)-5,7)),$D32,0)</f>
        <v>#REF!</v>
      </c>
      <c r="BA82" s="65" t="e">
        <f ca="1">IF(AND($D32&lt;&gt;0,_xlfn.XLOOKUP($B32,'PW_MLG GRADE 10'!$B$7:$B$31,'PW_MLG GRADE 10'!R$7:R$31,"",0,1)="P",
   _xlfn.XLOOKUP($B32,'PW_MLG GRADE 10'!$B$7:$B$31,'PW_MLG GRADE 10'!#REF!,"",0,1)&lt;=TODAY()-MOD(WEEKDAY(TODAY(),2)-5,7)),$D32,0)</f>
        <v>#REF!</v>
      </c>
      <c r="BB82" s="65" t="e">
        <f ca="1">IF(AND($D32&lt;&gt;0,_xlfn.XLOOKUP($B32,'PW_MLG GRADE 10'!$B$7:$B$31,'PW_MLG GRADE 10'!S$7:S$31,"",0,1)="P",
   _xlfn.XLOOKUP($B32,'PW_MLG GRADE 10'!$B$7:$B$31,'PW_MLG GRADE 10'!#REF!,"",0,1)&lt;=TODAY()-MOD(WEEKDAY(TODAY(),2)-5,7)),$D32,0)</f>
        <v>#REF!</v>
      </c>
      <c r="BC82" s="65" t="e">
        <f ca="1">IF(AND($D32&lt;&gt;0,_xlfn.XLOOKUP($B32,'PW_MLG GRADE 10'!$B$7:$B$31,'PW_MLG GRADE 10'!T$7:T$31,"",0,1)="P",
   _xlfn.XLOOKUP($B32,'PW_MLG GRADE 10'!$B$7:$B$31,'PW_MLG GRADE 10'!#REF!,"",0,1)&lt;=TODAY()-MOD(WEEKDAY(TODAY(),2)-5,7)),$D32,0)</f>
        <v>#REF!</v>
      </c>
      <c r="BD82" s="65" t="e">
        <f ca="1">IF(AND($D32&lt;&gt;0,_xlfn.XLOOKUP($B32,'PW_MLG GRADE 10'!$B$7:$B$31,'PW_MLG GRADE 10'!AA$7:AA$31,"",0,1)="P",
   _xlfn.XLOOKUP($B32,'PW_MLG GRADE 10'!$B$7:$B$31,'PW_MLG GRADE 10'!#REF!,"",0,1)&lt;=TODAY()-MOD(WEEKDAY(TODAY(),2)-5,7)),$D32,0)</f>
        <v>#REF!</v>
      </c>
      <c r="BE82" s="65" t="e">
        <f ca="1">IF(AND($D32&lt;&gt;0,_xlfn.XLOOKUP($B32,'PW_MLG GRADE 10'!$B$7:$B$31,'PW_MLG GRADE 10'!AB$7:AB$31,"",0,1)="P",
   _xlfn.XLOOKUP($B32,'PW_MLG GRADE 10'!$B$7:$B$31,'PW_MLG GRADE 10'!#REF!,"",0,1)&lt;=TODAY()-MOD(WEEKDAY(TODAY(),2)-5,7)),$D32,0)</f>
        <v>#REF!</v>
      </c>
      <c r="BF82" s="65" t="e">
        <f ca="1">IF(AND($D32&lt;&gt;0,_xlfn.XLOOKUP($B32,'PW_MLG GRADE 10'!$B$7:$B$31,'PW_MLG GRADE 10'!AC$7:AC$31,"",0,1)="P",
   _xlfn.XLOOKUP($B32,'PW_MLG GRADE 10'!$B$7:$B$31,'PW_MLG GRADE 10'!#REF!,"",0,1)&lt;=TODAY()-MOD(WEEKDAY(TODAY(),2)-5,7)),$D32,0)</f>
        <v>#REF!</v>
      </c>
      <c r="BG82" s="65" t="e">
        <f ca="1">IF(AND($D32&lt;&gt;0,_xlfn.XLOOKUP($B32,'PW_MLG GRADE 10'!$B$7:$B$31,'PW_MLG GRADE 10'!AD$7:AD$31,"",0,1)="P",
   _xlfn.XLOOKUP($B32,'PW_MLG GRADE 10'!$B$7:$B$31,'PW_MLG GRADE 10'!#REF!,"",0,1)&lt;=TODAY()-MOD(WEEKDAY(TODAY(),2)-5,7)),$D32,0)</f>
        <v>#REF!</v>
      </c>
      <c r="BH82" s="65" t="e">
        <f ca="1">IF(AND($D32&lt;&gt;0,_xlfn.XLOOKUP($B32,'PW_MLG GRADE 10'!$B$7:$B$31,'PW_MLG GRADE 10'!AE$7:AE$31,"",0,1)="P",
   _xlfn.XLOOKUP($B32,'PW_MLG GRADE 10'!$B$7:$B$31,'PW_MLG GRADE 10'!#REF!,"",0,1)&lt;=TODAY()-MOD(WEEKDAY(TODAY(),2)-5,7)),$D32,0)</f>
        <v>#REF!</v>
      </c>
      <c r="BI82" s="65" t="e">
        <f ca="1">IF(AND($D32&lt;&gt;0,_xlfn.XLOOKUP($B32,'PW_MLG GRADE 10'!$B$7:$B$31,'PW_MLG GRADE 10'!AF$7:AF$31,"",0,1)="P",
   _xlfn.XLOOKUP($B32,'PW_MLG GRADE 10'!$B$7:$B$31,'PW_MLG GRADE 10'!#REF!,"",0,1)&lt;=TODAY()-MOD(WEEKDAY(TODAY(),2)-5,7)),$D32,0)</f>
        <v>#REF!</v>
      </c>
      <c r="BJ82" s="65" t="e">
        <f ca="1">IF(AND($D32&lt;&gt;0,_xlfn.XLOOKUP($B32,'PW_MLG GRADE 10'!$B$7:$B$31,'PW_MLG GRADE 10'!AG$7:AG$31,"",0,1)="P",
   _xlfn.XLOOKUP($B32,'PW_MLG GRADE 10'!$B$7:$B$31,'PW_MLG GRADE 10'!#REF!,"",0,1)&lt;=TODAY()-MOD(WEEKDAY(TODAY(),2)-5,7)),$D32,0)</f>
        <v>#REF!</v>
      </c>
      <c r="BK82" s="65" t="e">
        <f ca="1">IF(AND($D32&lt;&gt;0,_xlfn.XLOOKUP($B32,'PW_MLG GRADE 10'!$B$7:$B$31,'PW_MLG GRADE 10'!AH$7:AH$31,"",0,1)="P",
   _xlfn.XLOOKUP($B32,'PW_MLG GRADE 10'!$B$7:$B$31,'PW_MLG GRADE 10'!#REF!,"",0,1)&lt;=TODAY()-MOD(WEEKDAY(TODAY(),2)-5,7)),$D32,0)</f>
        <v>#REF!</v>
      </c>
      <c r="BL82" s="65" t="e">
        <f ca="1">IF(AND($D32&lt;&gt;0,_xlfn.XLOOKUP($B32,'PW_MLG GRADE 10'!$B$7:$B$31,'PW_MLG GRADE 10'!AI$7:AI$31,"",0,1)="P",
   _xlfn.XLOOKUP($B32,'PW_MLG GRADE 10'!$B$7:$B$31,'PW_MLG GRADE 10'!#REF!,"",0,1)&lt;=TODAY()-MOD(WEEKDAY(TODAY(),2)-5,7)),$D32,0)</f>
        <v>#REF!</v>
      </c>
      <c r="BM82" s="65" t="e">
        <f ca="1">IF(AND($D32&lt;&gt;0,_xlfn.XLOOKUP($B32,'PW_MLG GRADE 10'!$B$7:$B$31,'PW_MLG GRADE 10'!AJ$7:AJ$31,"",0,1)="P",
   _xlfn.XLOOKUP($B32,'PW_MLG GRADE 10'!$B$7:$B$31,'PW_MLG GRADE 10'!#REF!,"",0,1)&lt;=TODAY()-MOD(WEEKDAY(TODAY(),2)-5,7)),$D32,0)</f>
        <v>#REF!</v>
      </c>
      <c r="BN82" s="65" t="e">
        <f ca="1">IF(AND($D32&lt;&gt;0,_xlfn.XLOOKUP($B32,'PW_MLG GRADE 10'!$B$7:$B$31,'PW_MLG GRADE 10'!AK$7:AK$31,"",0,1)="P",
   _xlfn.XLOOKUP($B32,'PW_MLG GRADE 10'!$B$7:$B$31,'PW_MLG GRADE 10'!#REF!,"",0,1)&lt;=TODAY()-MOD(WEEKDAY(TODAY(),2)-5,7)),$D32,0)</f>
        <v>#REF!</v>
      </c>
      <c r="BO82" s="65" t="e">
        <f ca="1">IF(AND($D32&lt;&gt;0,_xlfn.XLOOKUP($B32,'PW_MLG GRADE 10'!$B$7:$B$31,'PW_MLG GRADE 10'!AL$7:AL$31,"",0,1)="P",
   _xlfn.XLOOKUP($B32,'PW_MLG GRADE 10'!$B$7:$B$31,'PW_MLG GRADE 10'!#REF!,"",0,1)&lt;=TODAY()-MOD(WEEKDAY(TODAY(),2)-5,7)),$D32,0)</f>
        <v>#REF!</v>
      </c>
      <c r="BP82" s="65" t="e">
        <f ca="1">IF(AND($D32&lt;&gt;0,_xlfn.XLOOKUP($B32,'PW_MLG GRADE 10'!$B$7:$B$31,'PW_MLG GRADE 10'!AM$7:AM$31,"",0,1)="P",
   _xlfn.XLOOKUP($B32,'PW_MLG GRADE 10'!$B$7:$B$31,'PW_MLG GRADE 10'!#REF!,"",0,1)&lt;=TODAY()-MOD(WEEKDAY(TODAY(),2)-5,7)),$D32,0)</f>
        <v>#REF!</v>
      </c>
      <c r="BQ82" s="65" t="e">
        <f ca="1">IF(AND($D32&lt;&gt;0,_xlfn.XLOOKUP($B32,'PW_MLG GRADE 10'!$B$7:$B$31,'PW_MLG GRADE 10'!AN$7:AN$31,"",0,1)="P",
   _xlfn.XLOOKUP($B32,'PW_MLG GRADE 10'!$B$7:$B$31,'PW_MLG GRADE 10'!#REF!,"",0,1)&lt;=TODAY()-MOD(WEEKDAY(TODAY(),2)-5,7)),$D32,0)</f>
        <v>#REF!</v>
      </c>
      <c r="BR82" s="65" t="e">
        <f ca="1">IF(AND($D32&lt;&gt;0,_xlfn.XLOOKUP($B32,'PW_MLG GRADE 10'!$B$7:$B$31,'PW_MLG GRADE 10'!AO$7:AO$31,"",0,1)="P",
   _xlfn.XLOOKUP($B32,'PW_MLG GRADE 10'!$B$7:$B$31,'PW_MLG GRADE 10'!#REF!,"",0,1)&lt;=TODAY()-MOD(WEEKDAY(TODAY(),2)-5,7)),$D32,0)</f>
        <v>#REF!</v>
      </c>
      <c r="BS82" s="65" t="e">
        <f ca="1">IF(AND($D32&lt;&gt;0,_xlfn.XLOOKUP($B32,'PW_MLG GRADE 10'!$B$7:$B$31,'PW_MLG GRADE 10'!AP$7:AP$31,"",0,1)="P",
   _xlfn.XLOOKUP($B32,'PW_MLG GRADE 10'!$B$7:$B$31,'PW_MLG GRADE 10'!#REF!,"",0,1)&lt;=TODAY()-MOD(WEEKDAY(TODAY(),2)-5,7)),$D32,0)</f>
        <v>#REF!</v>
      </c>
      <c r="BT82" s="65" t="e">
        <f ca="1">IF(AND($D32&lt;&gt;0,_xlfn.XLOOKUP($B32,'PW_MLG GRADE 10'!$B$7:$B$31,'PW_MLG GRADE 10'!AQ$7:AQ$31,"",0,1)="P",
   _xlfn.XLOOKUP($B32,'PW_MLG GRADE 10'!$B$7:$B$31,'PW_MLG GRADE 10'!#REF!,"",0,1)&lt;=TODAY()-MOD(WEEKDAY(TODAY(),2)-5,7)),$D32,0)</f>
        <v>#REF!</v>
      </c>
      <c r="BU82" s="65" t="e">
        <f ca="1">IF(AND($D32&lt;&gt;0,_xlfn.XLOOKUP($B32,'PW_MLG GRADE 10'!$B$7:$B$31,'PW_MLG GRADE 10'!AR$7:AR$31,"",0,1)="P",
   _xlfn.XLOOKUP($B32,'PW_MLG GRADE 10'!$B$7:$B$31,'PW_MLG GRADE 10'!#REF!,"",0,1)&lt;=TODAY()-MOD(WEEKDAY(TODAY(),2)-5,7)),$D32,0)</f>
        <v>#REF!</v>
      </c>
      <c r="BV82" s="65" t="e">
        <f ca="1">IF(AND($D32&lt;&gt;0,_xlfn.XLOOKUP($B32,'PW_MLG GRADE 10'!$B$7:$B$31,'PW_MLG GRADE 10'!AY$7:AY$31,"",0,1)="P",
   _xlfn.XLOOKUP($B32,'PW_MLG GRADE 10'!$B$7:$B$31,'PW_MLG GRADE 10'!#REF!,"",0,1)&lt;=TODAY()-MOD(WEEKDAY(TODAY(),2)-5,7)),$D32,0)</f>
        <v>#REF!</v>
      </c>
      <c r="BW82" s="65" t="e">
        <f ca="1">IF(AND($D32&lt;&gt;0,_xlfn.XLOOKUP($B32,'PW_MLG GRADE 10'!$B$7:$B$31,'PW_MLG GRADE 10'!AZ$7:AZ$31,"",0,1)="P",
   _xlfn.XLOOKUP($B32,'PW_MLG GRADE 10'!$B$7:$B$31,'PW_MLG GRADE 10'!#REF!,"",0,1)&lt;=TODAY()-MOD(WEEKDAY(TODAY(),2)-5,7)),$D32,0)</f>
        <v>#REF!</v>
      </c>
      <c r="BX82" s="65" t="e">
        <f ca="1">IF(AND($D32&lt;&gt;0,_xlfn.XLOOKUP($B32,'PW_MLG GRADE 10'!$B$7:$B$31,'PW_MLG GRADE 10'!BA$7:BA$31,"",0,1)="P",
   _xlfn.XLOOKUP($B32,'PW_MLG GRADE 10'!$B$7:$B$31,'PW_MLG GRADE 10'!#REF!,"",0,1)&lt;=TODAY()-MOD(WEEKDAY(TODAY(),2)-5,7)),$D32,0)</f>
        <v>#REF!</v>
      </c>
      <c r="BY82" s="65" t="e">
        <f ca="1">IF(AND($D32&lt;&gt;0,_xlfn.XLOOKUP($B32,'PW_MLG GRADE 10'!$B$7:$B$31,'PW_MLG GRADE 10'!BB$7:BB$31,"",0,1)="P",
   _xlfn.XLOOKUP($B32,'PW_MLG GRADE 10'!$B$7:$B$31,'PW_MLG GRADE 10'!#REF!,"",0,1)&lt;=TODAY()-MOD(WEEKDAY(TODAY(),2)-5,7)),$D32,0)</f>
        <v>#REF!</v>
      </c>
      <c r="BZ82" s="65" t="e">
        <f ca="1">IF(AND($D32&lt;&gt;0,_xlfn.XLOOKUP($B32,'PW_MLG GRADE 10'!$B$7:$B$31,'PW_MLG GRADE 10'!BC$7:BC$31,"",0,1)="P",
   _xlfn.XLOOKUP($B32,'PW_MLG GRADE 10'!$B$7:$B$31,'PW_MLG GRADE 10'!#REF!,"",0,1)&lt;=TODAY()-MOD(WEEKDAY(TODAY(),2)-5,7)),$D32,0)</f>
        <v>#REF!</v>
      </c>
      <c r="CA82" s="65" t="e">
        <f ca="1">IF(AND($D32&lt;&gt;0,_xlfn.XLOOKUP($B32,'PW_MLG GRADE 10'!$B$7:$B$31,'PW_MLG GRADE 10'!BD$7:BD$31,"",0,1)="P",
   _xlfn.XLOOKUP($B32,'PW_MLG GRADE 10'!$B$7:$B$31,'PW_MLG GRADE 10'!#REF!,"",0,1)&lt;=TODAY()-MOD(WEEKDAY(TODAY(),2)-5,7)),$D32,0)</f>
        <v>#REF!</v>
      </c>
      <c r="CB82" s="65" t="e">
        <f ca="1">IF(AND($D32&lt;&gt;0,_xlfn.XLOOKUP($B32,'PW_MLG GRADE 10'!$B$7:$B$31,'PW_MLG GRADE 10'!BE$7:BE$31,"",0,1)="P",
   _xlfn.XLOOKUP($B32,'PW_MLG GRADE 10'!$B$7:$B$31,'PW_MLG GRADE 10'!#REF!,"",0,1)&lt;=TODAY()-MOD(WEEKDAY(TODAY(),2)-5,7)),$D32,0)</f>
        <v>#REF!</v>
      </c>
      <c r="CC82" s="65" t="e">
        <f ca="1">IF(AND($D32&lt;&gt;0,_xlfn.XLOOKUP($B32,'PW_MLG GRADE 10'!$B$7:$B$31,'PW_MLG GRADE 10'!BF$7:BF$31,"",0,1)="P",
   _xlfn.XLOOKUP($B32,'PW_MLG GRADE 10'!$B$7:$B$31,'PW_MLG GRADE 10'!#REF!,"",0,1)&lt;=TODAY()-MOD(WEEKDAY(TODAY(),2)-5,7)),$D32,0)</f>
        <v>#REF!</v>
      </c>
      <c r="CD82" s="65" t="e">
        <f ca="1">IF(AND($D32&lt;&gt;0,_xlfn.XLOOKUP($B32,'PW_MLG GRADE 10'!$B$7:$B$31,'PW_MLG GRADE 10'!BG$7:BG$31,"",0,1)="P",
   _xlfn.XLOOKUP($B32,'PW_MLG GRADE 10'!$B$7:$B$31,'PW_MLG GRADE 10'!#REF!,"",0,1)&lt;=TODAY()-MOD(WEEKDAY(TODAY(),2)-5,7)),$D32,0)</f>
        <v>#REF!</v>
      </c>
      <c r="CE82" s="67">
        <f ca="1">IF(AND($D32&lt;&gt;0,_xlfn.XLOOKUP($B32,'PW_CMI GRADE 10'!$B$7:$B$31,'PW_CMI GRADE 10'!AY$7:AY$31,"",0,1)="P",
   _xlfn.XLOOKUP($B32,'PW_CMI GRADE 10'!$B$7:$B$31,'PW_CMI GRADE 10'!$U$7:$U$31,"",0,1)&lt;=TODAY()-MOD(WEEKDAY(TODAY(),2)-5,7)),$D32,0)</f>
        <v>0</v>
      </c>
      <c r="CF82" s="67">
        <f ca="1">IF(AND($D32&lt;&gt;0,_xlfn.XLOOKUP($B32,'PW_CMI GRADE 10'!$B$7:$B$31,'PW_CMI GRADE 10'!AZ$7:AZ$31,"",0,1)="P",
   _xlfn.XLOOKUP($B32,'PW_CMI GRADE 10'!$B$7:$B$31,'PW_CMI GRADE 10'!$V$7:$V$31,"",0,1)&lt;=TODAY()-MOD(WEEKDAY(TODAY(),2)-5,7)),$D32,0)</f>
        <v>0</v>
      </c>
      <c r="CG82" s="67">
        <f ca="1">IF(AND($D32&lt;&gt;0,_xlfn.XLOOKUP($B32,'PW_CMI GRADE 10'!$B$7:$B$31,'PW_CMI GRADE 10'!BA$7:BA$31,"",0,1)="P",
   _xlfn.XLOOKUP($B32,'PW_CMI GRADE 10'!$B$7:$B$31,'PW_CMI GRADE 10'!$W$7:$W$31,"",0,1)&lt;=TODAY()-MOD(WEEKDAY(TODAY(),2)-5,7)),$D32,0)</f>
        <v>0</v>
      </c>
      <c r="CH82" s="67">
        <f ca="1">IF(AND($D32&lt;&gt;0,_xlfn.XLOOKUP($B32,'PW_CMI GRADE 10'!$B$7:$B$31,'PW_CMI GRADE 10'!BB$7:BB$31,"",0,1)="P",
   _xlfn.XLOOKUP($B32,'PW_CMI GRADE 10'!$B$7:$B$31,'PW_CMI GRADE 10'!$U$7:$U$31,"",0,1)&lt;=TODAY()-MOD(WEEKDAY(TODAY(),2)-5,7)),$D32,0)</f>
        <v>0</v>
      </c>
      <c r="CI82" s="67">
        <f ca="1">IF(AND($D32&lt;&gt;0,_xlfn.XLOOKUP($B32,'PW_CMI GRADE 10'!$B$7:$B$31,'PW_CMI GRADE 10'!BC$7:BC$31,"",0,1)="P",
   _xlfn.XLOOKUP($B32,'PW_CMI GRADE 10'!$B$7:$B$31,'PW_CMI GRADE 10'!$V$7:$V$31,"",0,1)&lt;=TODAY()-MOD(WEEKDAY(TODAY(),2)-5,7)),$D32,0)</f>
        <v>0</v>
      </c>
      <c r="CJ82" s="67">
        <f ca="1">IF(AND($D32&lt;&gt;0,_xlfn.XLOOKUP($B32,'PW_CMI GRADE 10'!$B$7:$B$31,'PW_CMI GRADE 10'!BD$7:BD$31,"",0,1)="P",
   _xlfn.XLOOKUP($B32,'PW_CMI GRADE 10'!$B$7:$B$31,'PW_CMI GRADE 10'!$W$7:$W$31,"",0,1)&lt;=TODAY()-MOD(WEEKDAY(TODAY(),2)-5,7)),$D32,0)</f>
        <v>0</v>
      </c>
      <c r="CK82" s="67">
        <f ca="1">IF(AND($D32&lt;&gt;0,_xlfn.XLOOKUP($B32,'PW_CMI GRADE 10'!$B$7:$B$31,'PW_CMI GRADE 10'!BE$7:BE$31,"",0,1)="P",
   _xlfn.XLOOKUP($B32,'PW_CMI GRADE 10'!$B$7:$B$31,'PW_CMI GRADE 10'!$U$7:$U$31,"",0,1)&lt;=TODAY()-MOD(WEEKDAY(TODAY(),2)-5,7)),$D32,0)</f>
        <v>0</v>
      </c>
      <c r="CL82" s="67">
        <f ca="1">IF(AND($D32&lt;&gt;0,_xlfn.XLOOKUP($B32,'PW_CMI GRADE 10'!$B$7:$B$31,'PW_CMI GRADE 10'!BF$7:BF$31,"",0,1)="P",
   _xlfn.XLOOKUP($B32,'PW_CMI GRADE 10'!$B$7:$B$31,'PW_CMI GRADE 10'!$V$7:$V$31,"",0,1)&lt;=TODAY()-MOD(WEEKDAY(TODAY(),2)-5,7)),$D32,0)</f>
        <v>0</v>
      </c>
      <c r="CM82" s="67">
        <f ca="1">IF(AND($D32&lt;&gt;0,_xlfn.XLOOKUP($B32,'PW_CMI GRADE 10'!$B$7:$B$31,'PW_CMI GRADE 10'!BG$7:BG$31,"",0,1)="P",
   _xlfn.XLOOKUP($B32,'PW_CMI GRADE 10'!$B$7:$B$31,'PW_CMI GRADE 10'!$W$7:$W$31,"",0,1)&lt;=TODAY()-MOD(WEEKDAY(TODAY(),2)-5,7)),$D32,0)</f>
        <v>0</v>
      </c>
      <c r="CN82" s="67">
        <f ca="1">IF(AND($D32&lt;&gt;0,_xlfn.XLOOKUP($B32,'PW_CMI GRADE 10'!$B$7:$B$31,'PW_CMI GRADE 10'!BH$7:BH$31,"",0,1)="P",
   _xlfn.XLOOKUP($B32,'PW_CMI GRADE 10'!$B$7:$B$31,'PW_CMI GRADE 10'!$U$7:$U$31,"",0,1)&lt;=TODAY()-MOD(WEEKDAY(TODAY(),2)-5,7)),$D32,0)</f>
        <v>0</v>
      </c>
      <c r="CO82" s="67">
        <f ca="1">IF(AND($D32&lt;&gt;0,_xlfn.XLOOKUP($B32,'PW_CMI GRADE 10'!$B$7:$B$31,'PW_CMI GRADE 10'!BI$7:BI$31,"",0,1)="P",
   _xlfn.XLOOKUP($B32,'PW_CMI GRADE 10'!$B$7:$B$31,'PW_CMI GRADE 10'!$V$7:$V$31,"",0,1)&lt;=TODAY()-MOD(WEEKDAY(TODAY(),2)-5,7)),$D32,0)</f>
        <v>0</v>
      </c>
      <c r="CP82" s="67">
        <f ca="1">IF(AND($D32&lt;&gt;0,_xlfn.XLOOKUP($B32,'PW_CMI GRADE 10'!$B$7:$B$31,'PW_CMI GRADE 10'!BJ$7:BJ$31,"",0,1)="P",
   _xlfn.XLOOKUP($B32,'PW_CMI GRADE 10'!$B$7:$B$31,'PW_CMI GRADE 10'!$W$7:$W$31,"",0,1)&lt;=TODAY()-MOD(WEEKDAY(TODAY(),2)-5,7)),$D32,0)</f>
        <v>0</v>
      </c>
      <c r="CQ82" s="67">
        <f ca="1">IF(AND($D32&lt;&gt;0,_xlfn.XLOOKUP($B32,'PW_CMI GRADE 10'!$B$7:$B$31,'PW_CMI GRADE 10'!BK$7:BK$31,"",0,1)="P",
   _xlfn.XLOOKUP($B32,'PW_CMI GRADE 10'!$B$7:$B$31,'PW_CMI GRADE 10'!$U$7:$U$31,"",0,1)&lt;=TODAY()-MOD(WEEKDAY(TODAY(),2)-5,7)),$D32,0)</f>
        <v>0</v>
      </c>
      <c r="CR82" s="67">
        <f ca="1">IF(AND($D32&lt;&gt;0,_xlfn.XLOOKUP($B32,'PW_CMI GRADE 10'!$B$7:$B$31,'PW_CMI GRADE 10'!BL$7:BL$31,"",0,1)="P",
   _xlfn.XLOOKUP($B32,'PW_CMI GRADE 10'!$B$7:$B$31,'PW_CMI GRADE 10'!$V$7:$V$31,"",0,1)&lt;=TODAY()-MOD(WEEKDAY(TODAY(),2)-5,7)),$D32,0)</f>
        <v>0</v>
      </c>
      <c r="CS82" s="67">
        <f ca="1">IF(AND($D32&lt;&gt;0,_xlfn.XLOOKUP($B32,'PW_CMI GRADE 10'!$B$7:$B$31,'PW_CMI GRADE 10'!BM$7:BM$31,"",0,1)="P",
   _xlfn.XLOOKUP($B32,'PW_CMI GRADE 10'!$B$7:$B$31,'PW_CMI GRADE 10'!$W$7:$W$31,"",0,1)&lt;=TODAY()-MOD(WEEKDAY(TODAY(),2)-5,7)),$D32,0)</f>
        <v>0</v>
      </c>
      <c r="CT82" s="67">
        <f ca="1">IF(AND($D32&lt;&gt;0,_xlfn.XLOOKUP($B32,'PW_CMI GRADE 10'!$B$7:$B$31,'PW_CMI GRADE 10'!BN$7:BN$31,"",0,1)="P",
   _xlfn.XLOOKUP($B32,'PW_CMI GRADE 10'!$B$7:$B$31,'PW_CMI GRADE 10'!$U$7:$U$31,"",0,1)&lt;=TODAY()-MOD(WEEKDAY(TODAY(),2)-5,7)),$D32,0)</f>
        <v>0</v>
      </c>
      <c r="CU82" s="67">
        <f ca="1">IF(AND($D32&lt;&gt;0,_xlfn.XLOOKUP($B32,'PW_CMI GRADE 10'!$B$7:$B$31,'PW_CMI GRADE 10'!BO$7:BO$31,"",0,1)="P",
   _xlfn.XLOOKUP($B32,'PW_CMI GRADE 10'!$B$7:$B$31,'PW_CMI GRADE 10'!$V$7:$V$31,"",0,1)&lt;=TODAY()-MOD(WEEKDAY(TODAY(),2)-5,7)),$D32,0)</f>
        <v>0</v>
      </c>
      <c r="CV82" s="67">
        <f ca="1">IF(AND($D32&lt;&gt;0,_xlfn.XLOOKUP($B32,'PW_CMI GRADE 10'!$B$7:$B$31,'PW_CMI GRADE 10'!BP$7:BP$31,"",0,1)="P",
   _xlfn.XLOOKUP($B32,'PW_CMI GRADE 10'!$B$7:$B$31,'PW_CMI GRADE 10'!$W$7:$W$31,"",0,1)&lt;=TODAY()-MOD(WEEKDAY(TODAY(),2)-5,7)),$D32,0)</f>
        <v>0</v>
      </c>
      <c r="CW82" s="62" t="e">
        <f t="shared" ca="1" si="132"/>
        <v>#REF!</v>
      </c>
      <c r="CX82" s="62" t="e">
        <f t="shared" ca="1" si="69"/>
        <v>#REF!</v>
      </c>
      <c r="CY82" s="62" t="e">
        <f t="shared" ca="1" si="70"/>
        <v>#REF!</v>
      </c>
      <c r="CZ82" s="62" t="e">
        <f t="shared" ca="1" si="71"/>
        <v>#REF!</v>
      </c>
      <c r="DA82" s="62" t="e">
        <f t="shared" ca="1" si="72"/>
        <v>#REF!</v>
      </c>
      <c r="DB82" s="62" t="e">
        <f t="shared" ca="1" si="73"/>
        <v>#REF!</v>
      </c>
      <c r="DC82" s="62" t="e">
        <f t="shared" ca="1" si="74"/>
        <v>#REF!</v>
      </c>
      <c r="DD82" s="62" t="e">
        <f t="shared" ca="1" si="75"/>
        <v>#REF!</v>
      </c>
      <c r="DE82" s="62" t="e">
        <f t="shared" ca="1" si="76"/>
        <v>#REF!</v>
      </c>
      <c r="DF82" s="62" t="e">
        <f t="shared" ca="1" si="77"/>
        <v>#REF!</v>
      </c>
      <c r="DG82" s="62" t="e">
        <f t="shared" ca="1" si="78"/>
        <v>#REF!</v>
      </c>
      <c r="DH82" s="62" t="e">
        <f t="shared" ca="1" si="79"/>
        <v>#REF!</v>
      </c>
      <c r="DI82" s="62" t="e">
        <f t="shared" ca="1" si="80"/>
        <v>#REF!</v>
      </c>
      <c r="DJ82" s="62" t="e">
        <f t="shared" ca="1" si="81"/>
        <v>#REF!</v>
      </c>
      <c r="DK82" s="62" t="e">
        <f t="shared" ca="1" si="82"/>
        <v>#REF!</v>
      </c>
      <c r="DL82" s="62" t="e">
        <f t="shared" ca="1" si="83"/>
        <v>#REF!</v>
      </c>
      <c r="DM82" s="62" t="e">
        <f t="shared" ca="1" si="84"/>
        <v>#REF!</v>
      </c>
      <c r="DN82" s="62" t="e">
        <f t="shared" ca="1" si="85"/>
        <v>#REF!</v>
      </c>
      <c r="DO82" s="62" t="e">
        <f t="shared" ca="1" si="86"/>
        <v>#REF!</v>
      </c>
      <c r="DP82" s="62" t="e">
        <f t="shared" ca="1" si="87"/>
        <v>#REF!</v>
      </c>
      <c r="DQ82" s="62" t="e">
        <f t="shared" ca="1" si="88"/>
        <v>#REF!</v>
      </c>
      <c r="DR82" s="62" t="e">
        <f t="shared" ca="1" si="89"/>
        <v>#REF!</v>
      </c>
      <c r="DS82" s="62" t="e">
        <f t="shared" ca="1" si="90"/>
        <v>#REF!</v>
      </c>
      <c r="DT82" s="62" t="e">
        <f t="shared" ca="1" si="91"/>
        <v>#REF!</v>
      </c>
      <c r="DU82" s="62" t="e">
        <f t="shared" ca="1" si="92"/>
        <v>#REF!</v>
      </c>
      <c r="DV82" s="62" t="e">
        <f t="shared" ca="1" si="93"/>
        <v>#REF!</v>
      </c>
      <c r="DW82" s="62" t="e">
        <f t="shared" ca="1" si="94"/>
        <v>#REF!</v>
      </c>
      <c r="DX82" s="62" t="e">
        <f t="shared" ca="1" si="95"/>
        <v>#REF!</v>
      </c>
      <c r="DY82" s="62" t="e">
        <f t="shared" ca="1" si="96"/>
        <v>#REF!</v>
      </c>
      <c r="DZ82" s="62" t="e">
        <f t="shared" ca="1" si="97"/>
        <v>#REF!</v>
      </c>
      <c r="EA82" s="63" t="e">
        <f t="shared" ca="1" si="98"/>
        <v>#REF!</v>
      </c>
      <c r="EB82" s="63" t="e">
        <f t="shared" ca="1" si="99"/>
        <v>#REF!</v>
      </c>
      <c r="EC82" s="63" t="e">
        <f t="shared" ca="1" si="100"/>
        <v>#REF!</v>
      </c>
      <c r="ED82" s="63" t="e">
        <f t="shared" ca="1" si="101"/>
        <v>#REF!</v>
      </c>
      <c r="EE82" s="63" t="e">
        <f t="shared" ca="1" si="102"/>
        <v>#REF!</v>
      </c>
      <c r="EF82" s="63" t="e">
        <f t="shared" ca="1" si="103"/>
        <v>#REF!</v>
      </c>
      <c r="EG82" s="63" t="e">
        <f t="shared" ca="1" si="104"/>
        <v>#REF!</v>
      </c>
      <c r="EH82" s="63" t="e">
        <f t="shared" ca="1" si="105"/>
        <v>#REF!</v>
      </c>
      <c r="EI82" s="63" t="e">
        <f t="shared" ca="1" si="106"/>
        <v>#REF!</v>
      </c>
      <c r="EJ82" s="63" t="e">
        <f t="shared" ca="1" si="107"/>
        <v>#REF!</v>
      </c>
      <c r="EK82" s="63" t="e">
        <f t="shared" ca="1" si="108"/>
        <v>#REF!</v>
      </c>
      <c r="EL82" s="63" t="e">
        <f t="shared" ca="1" si="109"/>
        <v>#REF!</v>
      </c>
      <c r="EM82" s="63" t="e">
        <f t="shared" ca="1" si="110"/>
        <v>#REF!</v>
      </c>
      <c r="EN82" s="63" t="e">
        <f t="shared" ca="1" si="111"/>
        <v>#REF!</v>
      </c>
      <c r="EO82" s="63" t="e">
        <f t="shared" ca="1" si="112"/>
        <v>#REF!</v>
      </c>
      <c r="EP82" s="63" t="e">
        <f t="shared" ca="1" si="113"/>
        <v>#REF!</v>
      </c>
    </row>
    <row r="83" spans="1:146">
      <c r="A83" s="64" t="str">
        <f t="shared" si="131"/>
        <v>4A.3</v>
      </c>
      <c r="B83" s="64" t="s">
        <v>64</v>
      </c>
      <c r="C83" s="30">
        <v>3</v>
      </c>
      <c r="D83" s="30">
        <v>1</v>
      </c>
      <c r="E83" s="65">
        <f ca="1">IF(AND($D33&lt;&gt;0,_xlfn.XLOOKUP($B33,'TH_MLG GRADE 10'!$B$7:$B$49,'TH_MLG GRADE 10'!C$7:C$49,"",0,1)="P",
   _xlfn.XLOOKUP($B33,'TH_MLG GRADE 10'!$B$7:$B$49,'TH_MLG GRADE 10'!$BK$7:$BK$49,"",0,1)&lt;=TODAY()-MOD(WEEKDAY(TODAY(),2)-5,7)),$D33,0)</f>
        <v>0</v>
      </c>
      <c r="F83" s="65">
        <f ca="1">IF(AND($D33&lt;&gt;0,_xlfn.XLOOKUP($B33,'TH_MLG GRADE 10'!$B$7:$B$49,'TH_MLG GRADE 10'!D$7:D$49,"",0,1)="P",
   _xlfn.XLOOKUP($B33,'TH_MLG GRADE 10'!$B$7:$B$49,'TH_MLG GRADE 10'!$BL$7:$BL$49,"",0,1)&lt;=TODAY()-MOD(WEEKDAY(TODAY(),2)-5,7)),$D33,0)</f>
        <v>0</v>
      </c>
      <c r="G83" s="65">
        <f ca="1">IF(AND($D33&lt;&gt;0,_xlfn.XLOOKUP($B33,'TH_MLG GRADE 10'!$B$7:$B$49,'TH_MLG GRADE 10'!E$7:E$49,"",0,1)="P",
   _xlfn.XLOOKUP($B33,'TH_MLG GRADE 10'!$B$7:$B$49,'TH_MLG GRADE 10'!$BM$7:$BM$49,"",0,1)&lt;=TODAY()-MOD(WEEKDAY(TODAY(),2)-5,7)),$D33,0)</f>
        <v>0</v>
      </c>
      <c r="H83" s="65">
        <f ca="1">IF(AND($D33&lt;&gt;0,_xlfn.XLOOKUP($B33,'TH_MLG GRADE 10'!$B$7:$B$49,'TH_MLG GRADE 10'!I$7:I$49,"",0,1)="P",
   _xlfn.XLOOKUP($B33,'TH_MLG GRADE 10'!$B$7:$B$49,'TH_MLG GRADE 10'!$BK$7:$BK$49,"",0,1)&lt;=TODAY()-MOD(WEEKDAY(TODAY(),2)-5,7)),$D33,0)</f>
        <v>0</v>
      </c>
      <c r="I83" s="65">
        <f ca="1">IF(AND($D33&lt;&gt;0,_xlfn.XLOOKUP($B33,'TH_MLG GRADE 10'!$B$7:$B$49,'TH_MLG GRADE 10'!J$7:J$49,"",0,1)="P",
   _xlfn.XLOOKUP($B33,'TH_MLG GRADE 10'!$B$7:$B$49,'TH_MLG GRADE 10'!$BL$7:$BL$49,"",0,1)&lt;=TODAY()-MOD(WEEKDAY(TODAY(),2)-5,7)),$D33,0)</f>
        <v>0</v>
      </c>
      <c r="J83" s="65">
        <f ca="1">IF(AND($D33&lt;&gt;0,_xlfn.XLOOKUP($B33,'TH_MLG GRADE 10'!$B$7:$B$49,'TH_MLG GRADE 10'!K$7:K$49,"",0,1)="P",
   _xlfn.XLOOKUP($B33,'TH_MLG GRADE 10'!$B$7:$B$49,'TH_MLG GRADE 10'!$BM$7:$BM$49,"",0,1)&lt;=TODAY()-MOD(WEEKDAY(TODAY(),2)-5,7)),$D33,0)</f>
        <v>0</v>
      </c>
      <c r="K83" s="65">
        <f ca="1">IF(AND($D33&lt;&gt;0,_xlfn.XLOOKUP($B33,'TH_MLG GRADE 10'!$B$7:$B$49,'TH_MLG GRADE 10'!O$7:O$49,"",0,1)="P",
   _xlfn.XLOOKUP($B33,'TH_MLG GRADE 10'!$B$7:$B$49,'TH_MLG GRADE 10'!$BK$7:$BK$49,"",0,1)&lt;=TODAY()-MOD(WEEKDAY(TODAY(),2)-5,7)),$D33,0)</f>
        <v>0</v>
      </c>
      <c r="L83" s="65">
        <f ca="1">IF(AND($D33&lt;&gt;0,_xlfn.XLOOKUP($B33,'TH_MLG GRADE 10'!$B$7:$B$49,'TH_MLG GRADE 10'!P$7:P$49,"",0,1)="P",
   _xlfn.XLOOKUP($B33,'TH_MLG GRADE 10'!$B$7:$B$49,'TH_MLG GRADE 10'!$BL$7:$BL$49,"",0,1)&lt;=TODAY()-MOD(WEEKDAY(TODAY(),2)-5,7)),$D33,0)</f>
        <v>0</v>
      </c>
      <c r="M83" s="65">
        <f ca="1">IF(AND($D33&lt;&gt;0,_xlfn.XLOOKUP($B33,'TH_MLG GRADE 10'!$B$7:$B$49,'TH_MLG GRADE 10'!Q$7:Q$49,"",0,1)="P",
   _xlfn.XLOOKUP($B33,'TH_MLG GRADE 10'!$B$7:$B$49,'TH_MLG GRADE 10'!$BM$7:$BM$49,"",0,1)&lt;=TODAY()-MOD(WEEKDAY(TODAY(),2)-5,7)),$D33,0)</f>
        <v>0</v>
      </c>
      <c r="N83" s="65">
        <f ca="1">IF(AND($D33&lt;&gt;0,_xlfn.XLOOKUP($B33,'TH_MLG GRADE 10'!$B$7:$B$49,'TH_MLG GRADE 10'!AA$7:AA$49,"",0,1)="P",
   _xlfn.XLOOKUP($B33,'TH_MLG GRADE 10'!$B$7:$B$49,'TH_MLG GRADE 10'!$BK$7:$BK$49,"",0,1)&lt;=TODAY()-MOD(WEEKDAY(TODAY(),2)-5,7)),$D33,0)</f>
        <v>0</v>
      </c>
      <c r="O83" s="65">
        <f ca="1">IF(AND($D33&lt;&gt;0,_xlfn.XLOOKUP($B33,'TH_MLG GRADE 10'!$B$7:$B$49,'TH_MLG GRADE 10'!AB$7:AB$49,"",0,1)="P",
   _xlfn.XLOOKUP($B33,'TH_MLG GRADE 10'!$B$7:$B$49,'TH_MLG GRADE 10'!$BL$7:$BL$49,"",0,1)&lt;=TODAY()-MOD(WEEKDAY(TODAY(),2)-5,7)),$D33,0)</f>
        <v>0</v>
      </c>
      <c r="P83" s="65">
        <f ca="1">IF(AND($D33&lt;&gt;0,_xlfn.XLOOKUP($B33,'TH_MLG GRADE 10'!$B$7:$B$49,'TH_MLG GRADE 10'!AC$7:AC$49,"",0,1)="P",
   _xlfn.XLOOKUP($B33,'TH_MLG GRADE 10'!$B$7:$B$49,'TH_MLG GRADE 10'!$BM$7:$BM$49,"",0,1)&lt;=TODAY()-MOD(WEEKDAY(TODAY(),2)-5,7)),$D33,0)</f>
        <v>0</v>
      </c>
      <c r="Q83" s="65">
        <f ca="1">IF(AND($D33&lt;&gt;0,_xlfn.XLOOKUP($B33,'TH_MLG GRADE 10'!$B$7:$B$49,'TH_MLG GRADE 10'!AG$7:AG$49,"",0,1)="P",
   _xlfn.XLOOKUP($B33,'TH_MLG GRADE 10'!$B$7:$B$49,'TH_MLG GRADE 10'!$BK$7:$BK$49,"",0,1)&lt;=TODAY()-MOD(WEEKDAY(TODAY(),2)-5,7)),$D33,0)</f>
        <v>1</v>
      </c>
      <c r="R83" s="65">
        <f ca="1">IF(AND($D33&lt;&gt;0,_xlfn.XLOOKUP($B33,'TH_MLG GRADE 10'!$B$7:$B$49,'TH_MLG GRADE 10'!AH$7:AH$49,"",0,1)="P",
   _xlfn.XLOOKUP($B33,'TH_MLG GRADE 10'!$B$7:$B$49,'TH_MLG GRADE 10'!$BL$7:$BL$49,"",0,1)&lt;=TODAY()-MOD(WEEKDAY(TODAY(),2)-5,7)),$D33,0)</f>
        <v>1</v>
      </c>
      <c r="S83" s="65">
        <f ca="1">IF(AND($D33&lt;&gt;0,_xlfn.XLOOKUP($B33,'TH_MLG GRADE 10'!$B$7:$B$49,'TH_MLG GRADE 10'!AI$7:AI$49,"",0,1)="P",
   _xlfn.XLOOKUP($B33,'TH_MLG GRADE 10'!$B$7:$B$49,'TH_MLG GRADE 10'!$BM$7:$BM$49,"",0,1)&lt;=TODAY()-MOD(WEEKDAY(TODAY(),2)-5,7)),$D33,0)</f>
        <v>1</v>
      </c>
      <c r="T83" s="65">
        <f ca="1">IF(AND($D33&lt;&gt;0,_xlfn.XLOOKUP($B33,'TH_MLG GRADE 10'!$B$7:$B$49,'TH_MLG GRADE 10'!AM$7:AM$49,"",0,1)="P",
   _xlfn.XLOOKUP($B33,'TH_MLG GRADE 10'!$B$7:$B$49,'TH_MLG GRADE 10'!$BK$7:$BK$49,"",0,1)&lt;=TODAY()-MOD(WEEKDAY(TODAY(),2)-5,7)),$D33,0)</f>
        <v>0</v>
      </c>
      <c r="U83" s="65">
        <f ca="1">IF(AND($D33&lt;&gt;0,_xlfn.XLOOKUP($B33,'TH_MLG GRADE 10'!$B$7:$B$49,'TH_MLG GRADE 10'!AN$7:AN$49,"",0,1)="P",
   _xlfn.XLOOKUP($B33,'TH_MLG GRADE 10'!$B$7:$B$49,'TH_MLG GRADE 10'!$BL$7:$BL$49,"",0,1)&lt;=TODAY()-MOD(WEEKDAY(TODAY(),2)-5,7)),$D33,0)</f>
        <v>0</v>
      </c>
      <c r="V83" s="65">
        <f ca="1">IF(AND($D33&lt;&gt;0,_xlfn.XLOOKUP($B33,'TH_MLG GRADE 10'!$B$7:$B$49,'TH_MLG GRADE 10'!AO$7:AO$49,"",0,1)="P",
   _xlfn.XLOOKUP($B33,'TH_MLG GRADE 10'!$B$7:$B$49,'TH_MLG GRADE 10'!$BM$7:$BM$49,"",0,1)&lt;=TODAY()-MOD(WEEKDAY(TODAY(),2)-5,7)),$D33,0)</f>
        <v>0</v>
      </c>
      <c r="W83" s="65">
        <f ca="1">IF(AND($D33&lt;&gt;0,_xlfn.XLOOKUP($B33,'TH_MLG GRADE 10'!$B$7:$B$49,'TH_MLG GRADE 10'!AY$7:AY$49,"",0,1)="P",
   _xlfn.XLOOKUP($B33,'TH_MLG GRADE 10'!$B$7:$B$49,'TH_MLG GRADE 10'!$BK$7:$BK$49,"",0,1)&lt;=TODAY()-MOD(WEEKDAY(TODAY(),2)-5,7)),$D33,0)</f>
        <v>0</v>
      </c>
      <c r="X83" s="65">
        <f ca="1">IF(AND($D33&lt;&gt;0,_xlfn.XLOOKUP($B33,'TH_MLG GRADE 10'!$B$7:$B$49,'TH_MLG GRADE 10'!AZ$7:AZ$49,"",0,1)="P",
   _xlfn.XLOOKUP($B33,'TH_MLG GRADE 10'!$B$7:$B$49,'TH_MLG GRADE 10'!$BL$7:$BL$49,"",0,1)&lt;=TODAY()-MOD(WEEKDAY(TODAY(),2)-5,7)),$D33,0)</f>
        <v>0</v>
      </c>
      <c r="Y83" s="65">
        <f ca="1">IF(AND($D33&lt;&gt;0,_xlfn.XLOOKUP($B33,'TH_MLG GRADE 10'!$B$7:$B$49,'TH_MLG GRADE 10'!BA$7:BA$49,"",0,1)="P",
   _xlfn.XLOOKUP($B33,'TH_MLG GRADE 10'!$B$7:$B$49,'TH_MLG GRADE 10'!$BM$7:$BM$49,"",0,1)&lt;=TODAY()-MOD(WEEKDAY(TODAY(),2)-5,7)),$D33,0)</f>
        <v>0</v>
      </c>
      <c r="Z83" s="65">
        <f ca="1">IF(AND($D33&lt;&gt;0,_xlfn.XLOOKUP($B33,'TH_MLG GRADE 10'!$B$7:$B$49,'TH_MLG GRADE 10'!BE$7:BE$49,"",0,1)="P",
   _xlfn.XLOOKUP($B33,'TH_MLG GRADE 10'!$B$7:$B$49,'TH_MLG GRADE 10'!$BK$7:$BK$49,"",0,1)&lt;=TODAY()-MOD(WEEKDAY(TODAY(),2)-5,7)),$D33,0)</f>
        <v>0</v>
      </c>
      <c r="AA83" s="65">
        <f ca="1">IF(AND($D33&lt;&gt;0,_xlfn.XLOOKUP($B33,'TH_MLG GRADE 10'!$B$7:$B$49,'TH_MLG GRADE 10'!BF$7:BF$49,"",0,1)="P",
   _xlfn.XLOOKUP($B33,'TH_MLG GRADE 10'!$B$7:$B$49,'TH_MLG GRADE 10'!$BL$7:$BL$49,"",0,1)&lt;=TODAY()-MOD(WEEKDAY(TODAY(),2)-5,7)),$D33,0)</f>
        <v>0</v>
      </c>
      <c r="AB83" s="65">
        <f ca="1">IF(AND($D33&lt;&gt;0,_xlfn.XLOOKUP($B33,'TH_MLG GRADE 10'!$B$7:$B$49,'TH_MLG GRADE 10'!BG$7:BG$49,"",0,1)="P",
   _xlfn.XLOOKUP($B33,'TH_MLG GRADE 10'!$B$7:$B$49,'TH_MLG GRADE 10'!$BM$7:$BM$49,"",0,1)&lt;=TODAY()-MOD(WEEKDAY(TODAY(),2)-5,7)),$D33,0)</f>
        <v>0</v>
      </c>
      <c r="AC83" s="65" t="e">
        <f ca="1">IF(AND($D33&lt;&gt;0,_xlfn.XLOOKUP($B33,'TH_MLG GRADE 10'!$B$7:$B$49,'TH_MLG GRADE 10'!#REF!,"",0,1)="P",
   _xlfn.XLOOKUP($B33,'TH_MLG GRADE 10'!$B$7:$B$49,'TH_MLG GRADE 10'!$BK$7:$BK$49,"",0,1)&lt;=TODAY()-MOD(WEEKDAY(TODAY(),2)-5,7)),$D33,0)</f>
        <v>#REF!</v>
      </c>
      <c r="AD83" s="65" t="e">
        <f ca="1">IF(AND($D33&lt;&gt;0,_xlfn.XLOOKUP($B33,'TH_MLG GRADE 10'!$B$7:$B$49,'TH_MLG GRADE 10'!#REF!,"",0,1)="P",
   _xlfn.XLOOKUP($B33,'TH_MLG GRADE 10'!$B$7:$B$49,'TH_MLG GRADE 10'!$BL$7:$BL$49,"",0,1)&lt;=TODAY()-MOD(WEEKDAY(TODAY(),2)-5,7)),$D33,0)</f>
        <v>#REF!</v>
      </c>
      <c r="AE83" s="65" t="e">
        <f ca="1">IF(AND($D33&lt;&gt;0,_xlfn.XLOOKUP($B33,'TH_MLG GRADE 10'!$B$7:$B$49,'TH_MLG GRADE 10'!#REF!,"",0,1)="P",
   _xlfn.XLOOKUP($B33,'TH_MLG GRADE 10'!$B$7:$B$49,'TH_MLG GRADE 10'!$BM$7:$BM$49,"",0,1)&lt;=TODAY()-MOD(WEEKDAY(TODAY(),2)-5,7)),$D33,0)</f>
        <v>#REF!</v>
      </c>
      <c r="AF83" s="65" t="e">
        <f ca="1">IF(AND($D33&lt;&gt;0,_xlfn.XLOOKUP($B33,'TH_MLG GRADE 10'!$B$7:$B$49,'TH_MLG GRADE 10'!#REF!,"",0,1)="P",
   _xlfn.XLOOKUP($B33,'TH_MLG GRADE 10'!$B$7:$B$49,'TH_MLG GRADE 10'!$BK$7:$BK$49,"",0,1)&lt;=TODAY()-MOD(WEEKDAY(TODAY(),2)-5,7)),$D33,0)</f>
        <v>#REF!</v>
      </c>
      <c r="AG83" s="65" t="e">
        <f ca="1">IF(AND($D33&lt;&gt;0,_xlfn.XLOOKUP($B33,'TH_MLG GRADE 10'!$B$7:$B$49,'TH_MLG GRADE 10'!#REF!,"",0,1)="P",
   _xlfn.XLOOKUP($B33,'TH_MLG GRADE 10'!$B$7:$B$49,'TH_MLG GRADE 10'!$BL$7:$BL$49,"",0,1)&lt;=TODAY()-MOD(WEEKDAY(TODAY(),2)-5,7)),$D33,0)</f>
        <v>#REF!</v>
      </c>
      <c r="AH83" s="65" t="e">
        <f ca="1">IF(AND($D33&lt;&gt;0,_xlfn.XLOOKUP($B33,'TH_MLG GRADE 10'!$B$7:$B$49,'TH_MLG GRADE 10'!#REF!,"",0,1)="P",
   _xlfn.XLOOKUP($B33,'TH_MLG GRADE 10'!$B$7:$B$49,'TH_MLG GRADE 10'!$BM$7:$BM$49,"",0,1)&lt;=TODAY()-MOD(WEEKDAY(TODAY(),2)-5,7)),$D33,0)</f>
        <v>#REF!</v>
      </c>
      <c r="AI83" s="67">
        <f ca="1">IF(AND($D33&lt;&gt;0,_xlfn.XLOOKUP($B33,'TH_CMI GRADE 10'!$B$7:$B$49,'TH_CMI GRADE 10'!C$7:C$49,"",0,1)="P",
   _xlfn.XLOOKUP($B33,'TH_CMI GRADE 10'!$B$7:$B$49,'TH_CMI GRADE 10'!$AS$7:$AS$49,"",0,1)&lt;=TODAY()-MOD(WEEKDAY(TODAY(),2)-5,7)),$D33,0)</f>
        <v>0</v>
      </c>
      <c r="AJ83" s="67">
        <f ca="1">IF(AND($D33&lt;&gt;0,_xlfn.XLOOKUP($B33,'TH_CMI GRADE 10'!$B$7:$B$49,'TH_CMI GRADE 10'!D$7:D$49,"",0,1)="P",
   _xlfn.XLOOKUP($B33,'TH_CMI GRADE 10'!$B$7:$B$49,'TH_CMI GRADE 10'!$AT$7:$AT$49,"",0,1)&lt;=TODAY()-MOD(WEEKDAY(TODAY(),2)-5,7)),$D33,0)</f>
        <v>0</v>
      </c>
      <c r="AK83" s="67" t="e">
        <f ca="1">IF(AND($D33&lt;&gt;0,_xlfn.XLOOKUP($B33,'TH_CMI GRADE 10'!$B$7:$B$49,'TH_CMI GRADE 10'!H$7:H$49,"",0,1)="P",
   _xlfn.XLOOKUP($B33,'TH_CMI GRADE 10'!$B$7:$B$49,'TH_CMI GRADE 10'!#REF!,"",0,1)&lt;=TODAY()-MOD(WEEKDAY(TODAY(),2)-5,7)),$D33,0)</f>
        <v>#REF!</v>
      </c>
      <c r="AL83" s="67">
        <f ca="1">IF(AND($D33&lt;&gt;0,_xlfn.XLOOKUP($B33,'TH_CMI GRADE 10'!$B$7:$B$49,'TH_CMI GRADE 10'!I$7:I$49,"",0,1)="P",
   _xlfn.XLOOKUP($B33,'TH_CMI GRADE 10'!$B$7:$B$49,'TH_CMI GRADE 10'!$AS$7:$AS$49,"",0,1)&lt;=TODAY()-MOD(WEEKDAY(TODAY(),2)-5,7)),$D33,0)</f>
        <v>0</v>
      </c>
      <c r="AM83" s="67">
        <f ca="1">IF(AND($D33&lt;&gt;0,_xlfn.XLOOKUP($B33,'TH_CMI GRADE 10'!$B$7:$B$49,'TH_CMI GRADE 10'!J$7:J$49,"",0,1)="P",
   _xlfn.XLOOKUP($B33,'TH_CMI GRADE 10'!$B$7:$B$49,'TH_CMI GRADE 10'!$AT$7:$AT$49,"",0,1)&lt;=TODAY()-MOD(WEEKDAY(TODAY(),2)-5,7)),$D33,0)</f>
        <v>0</v>
      </c>
      <c r="AN83" s="67" t="e">
        <f ca="1">IF(AND($D33&lt;&gt;0,_xlfn.XLOOKUP($B33,'TH_CMI GRADE 10'!$B$7:$B$49,'TH_CMI GRADE 10'!K$7:K$49,"",0,1)="P",
   _xlfn.XLOOKUP($B33,'TH_CMI GRADE 10'!$B$7:$B$49,'TH_CMI GRADE 10'!#REF!,"",0,1)&lt;=TODAY()-MOD(WEEKDAY(TODAY(),2)-5,7)),$D33,0)</f>
        <v>#REF!</v>
      </c>
      <c r="AO83" s="67">
        <f ca="1">IF(AND($D33&lt;&gt;0,_xlfn.XLOOKUP($B33,'TH_CMI GRADE 10'!$B$7:$B$49,'TH_CMI GRADE 10'!O$7:O$49,"",0,1)="P",
   _xlfn.XLOOKUP($B33,'TH_CMI GRADE 10'!$B$7:$B$49,'TH_CMI GRADE 10'!$AS$7:$AS$49,"",0,1)&lt;=TODAY()-MOD(WEEKDAY(TODAY(),2)-5,7)),$D33,0)</f>
        <v>0</v>
      </c>
      <c r="AP83" s="67">
        <f ca="1">IF(AND($D33&lt;&gt;0,_xlfn.XLOOKUP($B33,'TH_CMI GRADE 10'!$B$7:$B$49,'TH_CMI GRADE 10'!P$7:P$49,"",0,1)="P",
   _xlfn.XLOOKUP($B33,'TH_CMI GRADE 10'!$B$7:$B$49,'TH_CMI GRADE 10'!$AT$7:$AT$49,"",0,1)&lt;=TODAY()-MOD(WEEKDAY(TODAY(),2)-5,7)),$D33,0)</f>
        <v>0</v>
      </c>
      <c r="AQ83" s="67" t="e">
        <f ca="1">IF(AND($D33&lt;&gt;0,_xlfn.XLOOKUP($B33,'TH_CMI GRADE 10'!$B$7:$B$49,'TH_CMI GRADE 10'!Q$7:Q$49,"",0,1)="P",
   _xlfn.XLOOKUP($B33,'TH_CMI GRADE 10'!$B$7:$B$49,'TH_CMI GRADE 10'!#REF!,"",0,1)&lt;=TODAY()-MOD(WEEKDAY(TODAY(),2)-5,7)),$D33,0)</f>
        <v>#REF!</v>
      </c>
      <c r="AR83" s="67">
        <f ca="1">IF(AND($D33&lt;&gt;0,_xlfn.XLOOKUP($B33,'TH_CMI GRADE 10'!$B$7:$B$49,'TH_CMI GRADE 10'!U$7:U$49,"",0,1)="P",
   _xlfn.XLOOKUP($B33,'TH_CMI GRADE 10'!$B$7:$B$49,'TH_CMI GRADE 10'!$AS$7:$AS$49,"",0,1)&lt;=TODAY()-MOD(WEEKDAY(TODAY(),2)-5,7)),$D33,0)</f>
        <v>0</v>
      </c>
      <c r="AS83" s="67">
        <f ca="1">IF(AND($D33&lt;&gt;0,_xlfn.XLOOKUP($B33,'TH_CMI GRADE 10'!$B$7:$B$49,'TH_CMI GRADE 10'!V$7:V$49,"",0,1)="P",
   _xlfn.XLOOKUP($B33,'TH_CMI GRADE 10'!$B$7:$B$49,'TH_CMI GRADE 10'!$AT$7:$AT$49,"",0,1)&lt;=TODAY()-MOD(WEEKDAY(TODAY(),2)-5,7)),$D33,0)</f>
        <v>0</v>
      </c>
      <c r="AT83" s="67" t="e">
        <f ca="1">IF(AND($D33&lt;&gt;0,_xlfn.XLOOKUP($B33,'TH_CMI GRADE 10'!$B$7:$B$49,'TH_CMI GRADE 10'!W$7:W$49,"",0,1)="P",
   _xlfn.XLOOKUP($B33,'TH_CMI GRADE 10'!$B$7:$B$49,'TH_CMI GRADE 10'!#REF!,"",0,1)&lt;=TODAY()-MOD(WEEKDAY(TODAY(),2)-5,7)),$D33,0)</f>
        <v>#REF!</v>
      </c>
      <c r="AU83" s="67">
        <f ca="1">IF(AND($D33&lt;&gt;0,_xlfn.XLOOKUP($B33,'TH_CMI GRADE 10'!$B$7:$B$49,'TH_CMI GRADE 10'!AA$7:AA$49,"",0,1)="P",
   _xlfn.XLOOKUP($B33,'TH_CMI GRADE 10'!$B$7:$B$49,'TH_CMI GRADE 10'!$AS$7:$AS$49,"",0,1)&lt;=TODAY()-MOD(WEEKDAY(TODAY(),2)-5,7)),$D33,0)</f>
        <v>1</v>
      </c>
      <c r="AV83" s="67">
        <f ca="1">IF(AND($D33&lt;&gt;0,_xlfn.XLOOKUP($B33,'TH_CMI GRADE 10'!$B$7:$B$49,'TH_CMI GRADE 10'!AB$7:AB$49,"",0,1)="P",
   _xlfn.XLOOKUP($B33,'TH_CMI GRADE 10'!$B$7:$B$49,'TH_CMI GRADE 10'!$AT$7:$AT$49,"",0,1)&lt;=TODAY()-MOD(WEEKDAY(TODAY(),2)-5,7)),$D33,0)</f>
        <v>1</v>
      </c>
      <c r="AW83" s="67" t="e">
        <f ca="1">IF(AND($D33&lt;&gt;0,_xlfn.XLOOKUP($B33,'TH_CMI GRADE 10'!$B$7:$B$49,'TH_CMI GRADE 10'!AC$7:AC$49,"",0,1)="P",
   _xlfn.XLOOKUP($B33,'TH_CMI GRADE 10'!$B$7:$B$49,'TH_CMI GRADE 10'!#REF!,"",0,1)&lt;=TODAY()-MOD(WEEKDAY(TODAY(),2)-5,7)),$D33,0)</f>
        <v>#REF!</v>
      </c>
      <c r="AX83" s="67">
        <f ca="1">IF(AND($D33&lt;&gt;0,_xlfn.XLOOKUP($B33,'TH_CMI GRADE 10'!$B$7:$B$49,'TH_CMI GRADE 10'!AG$7:AG$49,"",0,1)="P",
   _xlfn.XLOOKUP($B33,'TH_CMI GRADE 10'!$B$7:$B$49,'TH_CMI GRADE 10'!$AS$7:$AS$49,"",0,1)&lt;=TODAY()-MOD(WEEKDAY(TODAY(),2)-5,7)),$D33,0)</f>
        <v>1</v>
      </c>
      <c r="AY83" s="67">
        <f ca="1">IF(AND($D33&lt;&gt;0,_xlfn.XLOOKUP($B33,'TH_CMI GRADE 10'!$B$7:$B$49,'TH_CMI GRADE 10'!AH$7:AH$49,"",0,1)="P",
   _xlfn.XLOOKUP($B33,'TH_CMI GRADE 10'!$B$7:$B$49,'TH_CMI GRADE 10'!$AT$7:$AT$49,"",0,1)&lt;=TODAY()-MOD(WEEKDAY(TODAY(),2)-5,7)),$D33,0)</f>
        <v>1</v>
      </c>
      <c r="AZ83" s="67" t="e">
        <f ca="1">IF(AND($D33&lt;&gt;0,_xlfn.XLOOKUP($B33,'TH_CMI GRADE 10'!$B$7:$B$49,'TH_CMI GRADE 10'!AI$7:AI$49,"",0,1)="P",
   _xlfn.XLOOKUP($B33,'TH_CMI GRADE 10'!$B$7:$B$49,'TH_CMI GRADE 10'!#REF!,"",0,1)&lt;=TODAY()-MOD(WEEKDAY(TODAY(),2)-5,7)),$D33,0)</f>
        <v>#REF!</v>
      </c>
      <c r="BA83" s="65" t="e">
        <f ca="1">IF(AND($D33&lt;&gt;0,_xlfn.XLOOKUP($B33,'PW_MLG GRADE 10'!$B$7:$B$31,'PW_MLG GRADE 10'!R$7:R$31,"",0,1)="P",
   _xlfn.XLOOKUP($B33,'PW_MLG GRADE 10'!$B$7:$B$31,'PW_MLG GRADE 10'!#REF!,"",0,1)&lt;=TODAY()-MOD(WEEKDAY(TODAY(),2)-5,7)),$D33,0)</f>
        <v>#REF!</v>
      </c>
      <c r="BB83" s="65" t="e">
        <f ca="1">IF(AND($D33&lt;&gt;0,_xlfn.XLOOKUP($B33,'PW_MLG GRADE 10'!$B$7:$B$31,'PW_MLG GRADE 10'!S$7:S$31,"",0,1)="P",
   _xlfn.XLOOKUP($B33,'PW_MLG GRADE 10'!$B$7:$B$31,'PW_MLG GRADE 10'!#REF!,"",0,1)&lt;=TODAY()-MOD(WEEKDAY(TODAY(),2)-5,7)),$D33,0)</f>
        <v>#REF!</v>
      </c>
      <c r="BC83" s="65" t="e">
        <f ca="1">IF(AND($D33&lt;&gt;0,_xlfn.XLOOKUP($B33,'PW_MLG GRADE 10'!$B$7:$B$31,'PW_MLG GRADE 10'!T$7:T$31,"",0,1)="P",
   _xlfn.XLOOKUP($B33,'PW_MLG GRADE 10'!$B$7:$B$31,'PW_MLG GRADE 10'!#REF!,"",0,1)&lt;=TODAY()-MOD(WEEKDAY(TODAY(),2)-5,7)),$D33,0)</f>
        <v>#REF!</v>
      </c>
      <c r="BD83" s="65" t="e">
        <f ca="1">IF(AND($D33&lt;&gt;0,_xlfn.XLOOKUP($B33,'PW_MLG GRADE 10'!$B$7:$B$31,'PW_MLG GRADE 10'!AA$7:AA$31,"",0,1)="P",
   _xlfn.XLOOKUP($B33,'PW_MLG GRADE 10'!$B$7:$B$31,'PW_MLG GRADE 10'!#REF!,"",0,1)&lt;=TODAY()-MOD(WEEKDAY(TODAY(),2)-5,7)),$D33,0)</f>
        <v>#REF!</v>
      </c>
      <c r="BE83" s="65" t="e">
        <f ca="1">IF(AND($D33&lt;&gt;0,_xlfn.XLOOKUP($B33,'PW_MLG GRADE 10'!$B$7:$B$31,'PW_MLG GRADE 10'!AB$7:AB$31,"",0,1)="P",
   _xlfn.XLOOKUP($B33,'PW_MLG GRADE 10'!$B$7:$B$31,'PW_MLG GRADE 10'!#REF!,"",0,1)&lt;=TODAY()-MOD(WEEKDAY(TODAY(),2)-5,7)),$D33,0)</f>
        <v>#REF!</v>
      </c>
      <c r="BF83" s="65" t="e">
        <f ca="1">IF(AND($D33&lt;&gt;0,_xlfn.XLOOKUP($B33,'PW_MLG GRADE 10'!$B$7:$B$31,'PW_MLG GRADE 10'!AC$7:AC$31,"",0,1)="P",
   _xlfn.XLOOKUP($B33,'PW_MLG GRADE 10'!$B$7:$B$31,'PW_MLG GRADE 10'!#REF!,"",0,1)&lt;=TODAY()-MOD(WEEKDAY(TODAY(),2)-5,7)),$D33,0)</f>
        <v>#REF!</v>
      </c>
      <c r="BG83" s="65" t="e">
        <f ca="1">IF(AND($D33&lt;&gt;0,_xlfn.XLOOKUP($B33,'PW_MLG GRADE 10'!$B$7:$B$31,'PW_MLG GRADE 10'!AD$7:AD$31,"",0,1)="P",
   _xlfn.XLOOKUP($B33,'PW_MLG GRADE 10'!$B$7:$B$31,'PW_MLG GRADE 10'!#REF!,"",0,1)&lt;=TODAY()-MOD(WEEKDAY(TODAY(),2)-5,7)),$D33,0)</f>
        <v>#REF!</v>
      </c>
      <c r="BH83" s="65" t="e">
        <f ca="1">IF(AND($D33&lt;&gt;0,_xlfn.XLOOKUP($B33,'PW_MLG GRADE 10'!$B$7:$B$31,'PW_MLG GRADE 10'!AE$7:AE$31,"",0,1)="P",
   _xlfn.XLOOKUP($B33,'PW_MLG GRADE 10'!$B$7:$B$31,'PW_MLG GRADE 10'!#REF!,"",0,1)&lt;=TODAY()-MOD(WEEKDAY(TODAY(),2)-5,7)),$D33,0)</f>
        <v>#REF!</v>
      </c>
      <c r="BI83" s="65" t="e">
        <f ca="1">IF(AND($D33&lt;&gt;0,_xlfn.XLOOKUP($B33,'PW_MLG GRADE 10'!$B$7:$B$31,'PW_MLG GRADE 10'!AF$7:AF$31,"",0,1)="P",
   _xlfn.XLOOKUP($B33,'PW_MLG GRADE 10'!$B$7:$B$31,'PW_MLG GRADE 10'!#REF!,"",0,1)&lt;=TODAY()-MOD(WEEKDAY(TODAY(),2)-5,7)),$D33,0)</f>
        <v>#REF!</v>
      </c>
      <c r="BJ83" s="65" t="e">
        <f ca="1">IF(AND($D33&lt;&gt;0,_xlfn.XLOOKUP($B33,'PW_MLG GRADE 10'!$B$7:$B$31,'PW_MLG GRADE 10'!AG$7:AG$31,"",0,1)="P",
   _xlfn.XLOOKUP($B33,'PW_MLG GRADE 10'!$B$7:$B$31,'PW_MLG GRADE 10'!#REF!,"",0,1)&lt;=TODAY()-MOD(WEEKDAY(TODAY(),2)-5,7)),$D33,0)</f>
        <v>#REF!</v>
      </c>
      <c r="BK83" s="65" t="e">
        <f ca="1">IF(AND($D33&lt;&gt;0,_xlfn.XLOOKUP($B33,'PW_MLG GRADE 10'!$B$7:$B$31,'PW_MLG GRADE 10'!AH$7:AH$31,"",0,1)="P",
   _xlfn.XLOOKUP($B33,'PW_MLG GRADE 10'!$B$7:$B$31,'PW_MLG GRADE 10'!#REF!,"",0,1)&lt;=TODAY()-MOD(WEEKDAY(TODAY(),2)-5,7)),$D33,0)</f>
        <v>#REF!</v>
      </c>
      <c r="BL83" s="65" t="e">
        <f ca="1">IF(AND($D33&lt;&gt;0,_xlfn.XLOOKUP($B33,'PW_MLG GRADE 10'!$B$7:$B$31,'PW_MLG GRADE 10'!AI$7:AI$31,"",0,1)="P",
   _xlfn.XLOOKUP($B33,'PW_MLG GRADE 10'!$B$7:$B$31,'PW_MLG GRADE 10'!#REF!,"",0,1)&lt;=TODAY()-MOD(WEEKDAY(TODAY(),2)-5,7)),$D33,0)</f>
        <v>#REF!</v>
      </c>
      <c r="BM83" s="65" t="e">
        <f ca="1">IF(AND($D33&lt;&gt;0,_xlfn.XLOOKUP($B33,'PW_MLG GRADE 10'!$B$7:$B$31,'PW_MLG GRADE 10'!AJ$7:AJ$31,"",0,1)="P",
   _xlfn.XLOOKUP($B33,'PW_MLG GRADE 10'!$B$7:$B$31,'PW_MLG GRADE 10'!#REF!,"",0,1)&lt;=TODAY()-MOD(WEEKDAY(TODAY(),2)-5,7)),$D33,0)</f>
        <v>#REF!</v>
      </c>
      <c r="BN83" s="65" t="e">
        <f ca="1">IF(AND($D33&lt;&gt;0,_xlfn.XLOOKUP($B33,'PW_MLG GRADE 10'!$B$7:$B$31,'PW_MLG GRADE 10'!AK$7:AK$31,"",0,1)="P",
   _xlfn.XLOOKUP($B33,'PW_MLG GRADE 10'!$B$7:$B$31,'PW_MLG GRADE 10'!#REF!,"",0,1)&lt;=TODAY()-MOD(WEEKDAY(TODAY(),2)-5,7)),$D33,0)</f>
        <v>#REF!</v>
      </c>
      <c r="BO83" s="65" t="e">
        <f ca="1">IF(AND($D33&lt;&gt;0,_xlfn.XLOOKUP($B33,'PW_MLG GRADE 10'!$B$7:$B$31,'PW_MLG GRADE 10'!AL$7:AL$31,"",0,1)="P",
   _xlfn.XLOOKUP($B33,'PW_MLG GRADE 10'!$B$7:$B$31,'PW_MLG GRADE 10'!#REF!,"",0,1)&lt;=TODAY()-MOD(WEEKDAY(TODAY(),2)-5,7)),$D33,0)</f>
        <v>#REF!</v>
      </c>
      <c r="BP83" s="65" t="e">
        <f ca="1">IF(AND($D33&lt;&gt;0,_xlfn.XLOOKUP($B33,'PW_MLG GRADE 10'!$B$7:$B$31,'PW_MLG GRADE 10'!AM$7:AM$31,"",0,1)="P",
   _xlfn.XLOOKUP($B33,'PW_MLG GRADE 10'!$B$7:$B$31,'PW_MLG GRADE 10'!#REF!,"",0,1)&lt;=TODAY()-MOD(WEEKDAY(TODAY(),2)-5,7)),$D33,0)</f>
        <v>#REF!</v>
      </c>
      <c r="BQ83" s="65" t="e">
        <f ca="1">IF(AND($D33&lt;&gt;0,_xlfn.XLOOKUP($B33,'PW_MLG GRADE 10'!$B$7:$B$31,'PW_MLG GRADE 10'!AN$7:AN$31,"",0,1)="P",
   _xlfn.XLOOKUP($B33,'PW_MLG GRADE 10'!$B$7:$B$31,'PW_MLG GRADE 10'!#REF!,"",0,1)&lt;=TODAY()-MOD(WEEKDAY(TODAY(),2)-5,7)),$D33,0)</f>
        <v>#REF!</v>
      </c>
      <c r="BR83" s="65" t="e">
        <f ca="1">IF(AND($D33&lt;&gt;0,_xlfn.XLOOKUP($B33,'PW_MLG GRADE 10'!$B$7:$B$31,'PW_MLG GRADE 10'!AO$7:AO$31,"",0,1)="P",
   _xlfn.XLOOKUP($B33,'PW_MLG GRADE 10'!$B$7:$B$31,'PW_MLG GRADE 10'!#REF!,"",0,1)&lt;=TODAY()-MOD(WEEKDAY(TODAY(),2)-5,7)),$D33,0)</f>
        <v>#REF!</v>
      </c>
      <c r="BS83" s="65" t="e">
        <f ca="1">IF(AND($D33&lt;&gt;0,_xlfn.XLOOKUP($B33,'PW_MLG GRADE 10'!$B$7:$B$31,'PW_MLG GRADE 10'!AP$7:AP$31,"",0,1)="P",
   _xlfn.XLOOKUP($B33,'PW_MLG GRADE 10'!$B$7:$B$31,'PW_MLG GRADE 10'!#REF!,"",0,1)&lt;=TODAY()-MOD(WEEKDAY(TODAY(),2)-5,7)),$D33,0)</f>
        <v>#REF!</v>
      </c>
      <c r="BT83" s="65" t="e">
        <f ca="1">IF(AND($D33&lt;&gt;0,_xlfn.XLOOKUP($B33,'PW_MLG GRADE 10'!$B$7:$B$31,'PW_MLG GRADE 10'!AQ$7:AQ$31,"",0,1)="P",
   _xlfn.XLOOKUP($B33,'PW_MLG GRADE 10'!$B$7:$B$31,'PW_MLG GRADE 10'!#REF!,"",0,1)&lt;=TODAY()-MOD(WEEKDAY(TODAY(),2)-5,7)),$D33,0)</f>
        <v>#REF!</v>
      </c>
      <c r="BU83" s="65" t="e">
        <f ca="1">IF(AND($D33&lt;&gt;0,_xlfn.XLOOKUP($B33,'PW_MLG GRADE 10'!$B$7:$B$31,'PW_MLG GRADE 10'!AR$7:AR$31,"",0,1)="P",
   _xlfn.XLOOKUP($B33,'PW_MLG GRADE 10'!$B$7:$B$31,'PW_MLG GRADE 10'!#REF!,"",0,1)&lt;=TODAY()-MOD(WEEKDAY(TODAY(),2)-5,7)),$D33,0)</f>
        <v>#REF!</v>
      </c>
      <c r="BV83" s="65" t="e">
        <f ca="1">IF(AND($D33&lt;&gt;0,_xlfn.XLOOKUP($B33,'PW_MLG GRADE 10'!$B$7:$B$31,'PW_MLG GRADE 10'!AY$7:AY$31,"",0,1)="P",
   _xlfn.XLOOKUP($B33,'PW_MLG GRADE 10'!$B$7:$B$31,'PW_MLG GRADE 10'!#REF!,"",0,1)&lt;=TODAY()-MOD(WEEKDAY(TODAY(),2)-5,7)),$D33,0)</f>
        <v>#REF!</v>
      </c>
      <c r="BW83" s="65" t="e">
        <f ca="1">IF(AND($D33&lt;&gt;0,_xlfn.XLOOKUP($B33,'PW_MLG GRADE 10'!$B$7:$B$31,'PW_MLG GRADE 10'!AZ$7:AZ$31,"",0,1)="P",
   _xlfn.XLOOKUP($B33,'PW_MLG GRADE 10'!$B$7:$B$31,'PW_MLG GRADE 10'!#REF!,"",0,1)&lt;=TODAY()-MOD(WEEKDAY(TODAY(),2)-5,7)),$D33,0)</f>
        <v>#REF!</v>
      </c>
      <c r="BX83" s="65" t="e">
        <f ca="1">IF(AND($D33&lt;&gt;0,_xlfn.XLOOKUP($B33,'PW_MLG GRADE 10'!$B$7:$B$31,'PW_MLG GRADE 10'!BA$7:BA$31,"",0,1)="P",
   _xlfn.XLOOKUP($B33,'PW_MLG GRADE 10'!$B$7:$B$31,'PW_MLG GRADE 10'!#REF!,"",0,1)&lt;=TODAY()-MOD(WEEKDAY(TODAY(),2)-5,7)),$D33,0)</f>
        <v>#REF!</v>
      </c>
      <c r="BY83" s="65" t="e">
        <f ca="1">IF(AND($D33&lt;&gt;0,_xlfn.XLOOKUP($B33,'PW_MLG GRADE 10'!$B$7:$B$31,'PW_MLG GRADE 10'!BB$7:BB$31,"",0,1)="P",
   _xlfn.XLOOKUP($B33,'PW_MLG GRADE 10'!$B$7:$B$31,'PW_MLG GRADE 10'!#REF!,"",0,1)&lt;=TODAY()-MOD(WEEKDAY(TODAY(),2)-5,7)),$D33,0)</f>
        <v>#REF!</v>
      </c>
      <c r="BZ83" s="65" t="e">
        <f ca="1">IF(AND($D33&lt;&gt;0,_xlfn.XLOOKUP($B33,'PW_MLG GRADE 10'!$B$7:$B$31,'PW_MLG GRADE 10'!BC$7:BC$31,"",0,1)="P",
   _xlfn.XLOOKUP($B33,'PW_MLG GRADE 10'!$B$7:$B$31,'PW_MLG GRADE 10'!#REF!,"",0,1)&lt;=TODAY()-MOD(WEEKDAY(TODAY(),2)-5,7)),$D33,0)</f>
        <v>#REF!</v>
      </c>
      <c r="CA83" s="65" t="e">
        <f ca="1">IF(AND($D33&lt;&gt;0,_xlfn.XLOOKUP($B33,'PW_MLG GRADE 10'!$B$7:$B$31,'PW_MLG GRADE 10'!BD$7:BD$31,"",0,1)="P",
   _xlfn.XLOOKUP($B33,'PW_MLG GRADE 10'!$B$7:$B$31,'PW_MLG GRADE 10'!#REF!,"",0,1)&lt;=TODAY()-MOD(WEEKDAY(TODAY(),2)-5,7)),$D33,0)</f>
        <v>#REF!</v>
      </c>
      <c r="CB83" s="65" t="e">
        <f ca="1">IF(AND($D33&lt;&gt;0,_xlfn.XLOOKUP($B33,'PW_MLG GRADE 10'!$B$7:$B$31,'PW_MLG GRADE 10'!BE$7:BE$31,"",0,1)="P",
   _xlfn.XLOOKUP($B33,'PW_MLG GRADE 10'!$B$7:$B$31,'PW_MLG GRADE 10'!#REF!,"",0,1)&lt;=TODAY()-MOD(WEEKDAY(TODAY(),2)-5,7)),$D33,0)</f>
        <v>#REF!</v>
      </c>
      <c r="CC83" s="65" t="e">
        <f ca="1">IF(AND($D33&lt;&gt;0,_xlfn.XLOOKUP($B33,'PW_MLG GRADE 10'!$B$7:$B$31,'PW_MLG GRADE 10'!BF$7:BF$31,"",0,1)="P",
   _xlfn.XLOOKUP($B33,'PW_MLG GRADE 10'!$B$7:$B$31,'PW_MLG GRADE 10'!#REF!,"",0,1)&lt;=TODAY()-MOD(WEEKDAY(TODAY(),2)-5,7)),$D33,0)</f>
        <v>#REF!</v>
      </c>
      <c r="CD83" s="65" t="e">
        <f ca="1">IF(AND($D33&lt;&gt;0,_xlfn.XLOOKUP($B33,'PW_MLG GRADE 10'!$B$7:$B$31,'PW_MLG GRADE 10'!BG$7:BG$31,"",0,1)="P",
   _xlfn.XLOOKUP($B33,'PW_MLG GRADE 10'!$B$7:$B$31,'PW_MLG GRADE 10'!#REF!,"",0,1)&lt;=TODAY()-MOD(WEEKDAY(TODAY(),2)-5,7)),$D33,0)</f>
        <v>#REF!</v>
      </c>
      <c r="CE83" s="67">
        <f ca="1">IF(AND($D33&lt;&gt;0,_xlfn.XLOOKUP($B33,'PW_CMI GRADE 10'!$B$7:$B$31,'PW_CMI GRADE 10'!AY$7:AY$31,"",0,1)="P",
   _xlfn.XLOOKUP($B33,'PW_CMI GRADE 10'!$B$7:$B$31,'PW_CMI GRADE 10'!$U$7:$U$31,"",0,1)&lt;=TODAY()-MOD(WEEKDAY(TODAY(),2)-5,7)),$D33,0)</f>
        <v>0</v>
      </c>
      <c r="CF83" s="67">
        <f ca="1">IF(AND($D33&lt;&gt;0,_xlfn.XLOOKUP($B33,'PW_CMI GRADE 10'!$B$7:$B$31,'PW_CMI GRADE 10'!AZ$7:AZ$31,"",0,1)="P",
   _xlfn.XLOOKUP($B33,'PW_CMI GRADE 10'!$B$7:$B$31,'PW_CMI GRADE 10'!$V$7:$V$31,"",0,1)&lt;=TODAY()-MOD(WEEKDAY(TODAY(),2)-5,7)),$D33,0)</f>
        <v>0</v>
      </c>
      <c r="CG83" s="67">
        <f ca="1">IF(AND($D33&lt;&gt;0,_xlfn.XLOOKUP($B33,'PW_CMI GRADE 10'!$B$7:$B$31,'PW_CMI GRADE 10'!BA$7:BA$31,"",0,1)="P",
   _xlfn.XLOOKUP($B33,'PW_CMI GRADE 10'!$B$7:$B$31,'PW_CMI GRADE 10'!$W$7:$W$31,"",0,1)&lt;=TODAY()-MOD(WEEKDAY(TODAY(),2)-5,7)),$D33,0)</f>
        <v>0</v>
      </c>
      <c r="CH83" s="67">
        <f ca="1">IF(AND($D33&lt;&gt;0,_xlfn.XLOOKUP($B33,'PW_CMI GRADE 10'!$B$7:$B$31,'PW_CMI GRADE 10'!BB$7:BB$31,"",0,1)="P",
   _xlfn.XLOOKUP($B33,'PW_CMI GRADE 10'!$B$7:$B$31,'PW_CMI GRADE 10'!$U$7:$U$31,"",0,1)&lt;=TODAY()-MOD(WEEKDAY(TODAY(),2)-5,7)),$D33,0)</f>
        <v>0</v>
      </c>
      <c r="CI83" s="67">
        <f ca="1">IF(AND($D33&lt;&gt;0,_xlfn.XLOOKUP($B33,'PW_CMI GRADE 10'!$B$7:$B$31,'PW_CMI GRADE 10'!BC$7:BC$31,"",0,1)="P",
   _xlfn.XLOOKUP($B33,'PW_CMI GRADE 10'!$B$7:$B$31,'PW_CMI GRADE 10'!$V$7:$V$31,"",0,1)&lt;=TODAY()-MOD(WEEKDAY(TODAY(),2)-5,7)),$D33,0)</f>
        <v>0</v>
      </c>
      <c r="CJ83" s="67">
        <f ca="1">IF(AND($D33&lt;&gt;0,_xlfn.XLOOKUP($B33,'PW_CMI GRADE 10'!$B$7:$B$31,'PW_CMI GRADE 10'!BD$7:BD$31,"",0,1)="P",
   _xlfn.XLOOKUP($B33,'PW_CMI GRADE 10'!$B$7:$B$31,'PW_CMI GRADE 10'!$W$7:$W$31,"",0,1)&lt;=TODAY()-MOD(WEEKDAY(TODAY(),2)-5,7)),$D33,0)</f>
        <v>0</v>
      </c>
      <c r="CK83" s="67">
        <f ca="1">IF(AND($D33&lt;&gt;0,_xlfn.XLOOKUP($B33,'PW_CMI GRADE 10'!$B$7:$B$31,'PW_CMI GRADE 10'!BE$7:BE$31,"",0,1)="P",
   _xlfn.XLOOKUP($B33,'PW_CMI GRADE 10'!$B$7:$B$31,'PW_CMI GRADE 10'!$U$7:$U$31,"",0,1)&lt;=TODAY()-MOD(WEEKDAY(TODAY(),2)-5,7)),$D33,0)</f>
        <v>0</v>
      </c>
      <c r="CL83" s="67">
        <f ca="1">IF(AND($D33&lt;&gt;0,_xlfn.XLOOKUP($B33,'PW_CMI GRADE 10'!$B$7:$B$31,'PW_CMI GRADE 10'!BF$7:BF$31,"",0,1)="P",
   _xlfn.XLOOKUP($B33,'PW_CMI GRADE 10'!$B$7:$B$31,'PW_CMI GRADE 10'!$V$7:$V$31,"",0,1)&lt;=TODAY()-MOD(WEEKDAY(TODAY(),2)-5,7)),$D33,0)</f>
        <v>0</v>
      </c>
      <c r="CM83" s="67">
        <f ca="1">IF(AND($D33&lt;&gt;0,_xlfn.XLOOKUP($B33,'PW_CMI GRADE 10'!$B$7:$B$31,'PW_CMI GRADE 10'!BG$7:BG$31,"",0,1)="P",
   _xlfn.XLOOKUP($B33,'PW_CMI GRADE 10'!$B$7:$B$31,'PW_CMI GRADE 10'!$W$7:$W$31,"",0,1)&lt;=TODAY()-MOD(WEEKDAY(TODAY(),2)-5,7)),$D33,0)</f>
        <v>0</v>
      </c>
      <c r="CN83" s="67">
        <f ca="1">IF(AND($D33&lt;&gt;0,_xlfn.XLOOKUP($B33,'PW_CMI GRADE 10'!$B$7:$B$31,'PW_CMI GRADE 10'!BH$7:BH$31,"",0,1)="P",
   _xlfn.XLOOKUP($B33,'PW_CMI GRADE 10'!$B$7:$B$31,'PW_CMI GRADE 10'!$U$7:$U$31,"",0,1)&lt;=TODAY()-MOD(WEEKDAY(TODAY(),2)-5,7)),$D33,0)</f>
        <v>0</v>
      </c>
      <c r="CO83" s="67">
        <f ca="1">IF(AND($D33&lt;&gt;0,_xlfn.XLOOKUP($B33,'PW_CMI GRADE 10'!$B$7:$B$31,'PW_CMI GRADE 10'!BI$7:BI$31,"",0,1)="P",
   _xlfn.XLOOKUP($B33,'PW_CMI GRADE 10'!$B$7:$B$31,'PW_CMI GRADE 10'!$V$7:$V$31,"",0,1)&lt;=TODAY()-MOD(WEEKDAY(TODAY(),2)-5,7)),$D33,0)</f>
        <v>0</v>
      </c>
      <c r="CP83" s="67">
        <f ca="1">IF(AND($D33&lt;&gt;0,_xlfn.XLOOKUP($B33,'PW_CMI GRADE 10'!$B$7:$B$31,'PW_CMI GRADE 10'!BJ$7:BJ$31,"",0,1)="P",
   _xlfn.XLOOKUP($B33,'PW_CMI GRADE 10'!$B$7:$B$31,'PW_CMI GRADE 10'!$W$7:$W$31,"",0,1)&lt;=TODAY()-MOD(WEEKDAY(TODAY(),2)-5,7)),$D33,0)</f>
        <v>0</v>
      </c>
      <c r="CQ83" s="67">
        <f ca="1">IF(AND($D33&lt;&gt;0,_xlfn.XLOOKUP($B33,'PW_CMI GRADE 10'!$B$7:$B$31,'PW_CMI GRADE 10'!BK$7:BK$31,"",0,1)="P",
   _xlfn.XLOOKUP($B33,'PW_CMI GRADE 10'!$B$7:$B$31,'PW_CMI GRADE 10'!$U$7:$U$31,"",0,1)&lt;=TODAY()-MOD(WEEKDAY(TODAY(),2)-5,7)),$D33,0)</f>
        <v>0</v>
      </c>
      <c r="CR83" s="67">
        <f ca="1">IF(AND($D33&lt;&gt;0,_xlfn.XLOOKUP($B33,'PW_CMI GRADE 10'!$B$7:$B$31,'PW_CMI GRADE 10'!BL$7:BL$31,"",0,1)="P",
   _xlfn.XLOOKUP($B33,'PW_CMI GRADE 10'!$B$7:$B$31,'PW_CMI GRADE 10'!$V$7:$V$31,"",0,1)&lt;=TODAY()-MOD(WEEKDAY(TODAY(),2)-5,7)),$D33,0)</f>
        <v>0</v>
      </c>
      <c r="CS83" s="67">
        <f ca="1">IF(AND($D33&lt;&gt;0,_xlfn.XLOOKUP($B33,'PW_CMI GRADE 10'!$B$7:$B$31,'PW_CMI GRADE 10'!BM$7:BM$31,"",0,1)="P",
   _xlfn.XLOOKUP($B33,'PW_CMI GRADE 10'!$B$7:$B$31,'PW_CMI GRADE 10'!$W$7:$W$31,"",0,1)&lt;=TODAY()-MOD(WEEKDAY(TODAY(),2)-5,7)),$D33,0)</f>
        <v>0</v>
      </c>
      <c r="CT83" s="67">
        <f ca="1">IF(AND($D33&lt;&gt;0,_xlfn.XLOOKUP($B33,'PW_CMI GRADE 10'!$B$7:$B$31,'PW_CMI GRADE 10'!BN$7:BN$31,"",0,1)="P",
   _xlfn.XLOOKUP($B33,'PW_CMI GRADE 10'!$B$7:$B$31,'PW_CMI GRADE 10'!$U$7:$U$31,"",0,1)&lt;=TODAY()-MOD(WEEKDAY(TODAY(),2)-5,7)),$D33,0)</f>
        <v>0</v>
      </c>
      <c r="CU83" s="67">
        <f ca="1">IF(AND($D33&lt;&gt;0,_xlfn.XLOOKUP($B33,'PW_CMI GRADE 10'!$B$7:$B$31,'PW_CMI GRADE 10'!BO$7:BO$31,"",0,1)="P",
   _xlfn.XLOOKUP($B33,'PW_CMI GRADE 10'!$B$7:$B$31,'PW_CMI GRADE 10'!$V$7:$V$31,"",0,1)&lt;=TODAY()-MOD(WEEKDAY(TODAY(),2)-5,7)),$D33,0)</f>
        <v>0</v>
      </c>
      <c r="CV83" s="67">
        <f ca="1">IF(AND($D33&lt;&gt;0,_xlfn.XLOOKUP($B33,'PW_CMI GRADE 10'!$B$7:$B$31,'PW_CMI GRADE 10'!BP$7:BP$31,"",0,1)="P",
   _xlfn.XLOOKUP($B33,'PW_CMI GRADE 10'!$B$7:$B$31,'PW_CMI GRADE 10'!$W$7:$W$31,"",0,1)&lt;=TODAY()-MOD(WEEKDAY(TODAY(),2)-5,7)),$D33,0)</f>
        <v>0</v>
      </c>
      <c r="CW83" s="62" t="e">
        <f t="shared" ca="1" si="132"/>
        <v>#REF!</v>
      </c>
      <c r="CX83" s="62" t="e">
        <f t="shared" ca="1" si="69"/>
        <v>#REF!</v>
      </c>
      <c r="CY83" s="62" t="e">
        <f t="shared" ca="1" si="70"/>
        <v>#REF!</v>
      </c>
      <c r="CZ83" s="62" t="e">
        <f t="shared" ca="1" si="71"/>
        <v>#REF!</v>
      </c>
      <c r="DA83" s="62" t="e">
        <f t="shared" ca="1" si="72"/>
        <v>#REF!</v>
      </c>
      <c r="DB83" s="62" t="e">
        <f t="shared" ca="1" si="73"/>
        <v>#REF!</v>
      </c>
      <c r="DC83" s="62" t="e">
        <f t="shared" ca="1" si="74"/>
        <v>#REF!</v>
      </c>
      <c r="DD83" s="62" t="e">
        <f t="shared" ca="1" si="75"/>
        <v>#REF!</v>
      </c>
      <c r="DE83" s="62" t="e">
        <f t="shared" ca="1" si="76"/>
        <v>#REF!</v>
      </c>
      <c r="DF83" s="62" t="e">
        <f t="shared" ca="1" si="77"/>
        <v>#REF!</v>
      </c>
      <c r="DG83" s="62" t="e">
        <f t="shared" ca="1" si="78"/>
        <v>#REF!</v>
      </c>
      <c r="DH83" s="62" t="e">
        <f t="shared" ca="1" si="79"/>
        <v>#REF!</v>
      </c>
      <c r="DI83" s="62" t="e">
        <f t="shared" ca="1" si="80"/>
        <v>#REF!</v>
      </c>
      <c r="DJ83" s="62" t="e">
        <f t="shared" ca="1" si="81"/>
        <v>#REF!</v>
      </c>
      <c r="DK83" s="62" t="e">
        <f t="shared" ca="1" si="82"/>
        <v>#REF!</v>
      </c>
      <c r="DL83" s="62" t="e">
        <f t="shared" ca="1" si="83"/>
        <v>#REF!</v>
      </c>
      <c r="DM83" s="62" t="e">
        <f t="shared" ca="1" si="84"/>
        <v>#REF!</v>
      </c>
      <c r="DN83" s="62" t="e">
        <f t="shared" ca="1" si="85"/>
        <v>#REF!</v>
      </c>
      <c r="DO83" s="62" t="e">
        <f t="shared" ca="1" si="86"/>
        <v>#REF!</v>
      </c>
      <c r="DP83" s="62" t="e">
        <f t="shared" ca="1" si="87"/>
        <v>#REF!</v>
      </c>
      <c r="DQ83" s="62" t="e">
        <f t="shared" ca="1" si="88"/>
        <v>#REF!</v>
      </c>
      <c r="DR83" s="62" t="e">
        <f t="shared" ca="1" si="89"/>
        <v>#REF!</v>
      </c>
      <c r="DS83" s="62" t="e">
        <f t="shared" ca="1" si="90"/>
        <v>#REF!</v>
      </c>
      <c r="DT83" s="62" t="e">
        <f t="shared" ca="1" si="91"/>
        <v>#REF!</v>
      </c>
      <c r="DU83" s="62" t="e">
        <f t="shared" ca="1" si="92"/>
        <v>#REF!</v>
      </c>
      <c r="DV83" s="62" t="e">
        <f t="shared" ca="1" si="93"/>
        <v>#REF!</v>
      </c>
      <c r="DW83" s="62" t="e">
        <f t="shared" ca="1" si="94"/>
        <v>#REF!</v>
      </c>
      <c r="DX83" s="62" t="e">
        <f t="shared" ca="1" si="95"/>
        <v>#REF!</v>
      </c>
      <c r="DY83" s="62" t="e">
        <f t="shared" ca="1" si="96"/>
        <v>#REF!</v>
      </c>
      <c r="DZ83" s="62" t="e">
        <f t="shared" ca="1" si="97"/>
        <v>#REF!</v>
      </c>
      <c r="EA83" s="63" t="e">
        <f t="shared" ca="1" si="98"/>
        <v>#REF!</v>
      </c>
      <c r="EB83" s="63" t="e">
        <f t="shared" ca="1" si="99"/>
        <v>#REF!</v>
      </c>
      <c r="EC83" s="63" t="e">
        <f t="shared" ca="1" si="100"/>
        <v>#REF!</v>
      </c>
      <c r="ED83" s="63" t="e">
        <f t="shared" ca="1" si="101"/>
        <v>#REF!</v>
      </c>
      <c r="EE83" s="63" t="e">
        <f t="shared" ca="1" si="102"/>
        <v>#REF!</v>
      </c>
      <c r="EF83" s="63" t="e">
        <f t="shared" ca="1" si="103"/>
        <v>#REF!</v>
      </c>
      <c r="EG83" s="63" t="e">
        <f t="shared" ca="1" si="104"/>
        <v>#REF!</v>
      </c>
      <c r="EH83" s="63" t="e">
        <f t="shared" ca="1" si="105"/>
        <v>#REF!</v>
      </c>
      <c r="EI83" s="63" t="e">
        <f t="shared" ca="1" si="106"/>
        <v>#REF!</v>
      </c>
      <c r="EJ83" s="63" t="e">
        <f t="shared" ca="1" si="107"/>
        <v>#REF!</v>
      </c>
      <c r="EK83" s="63" t="e">
        <f t="shared" ca="1" si="108"/>
        <v>#REF!</v>
      </c>
      <c r="EL83" s="63" t="e">
        <f t="shared" ca="1" si="109"/>
        <v>#REF!</v>
      </c>
      <c r="EM83" s="63" t="e">
        <f t="shared" ca="1" si="110"/>
        <v>#REF!</v>
      </c>
      <c r="EN83" s="63" t="e">
        <f t="shared" ca="1" si="111"/>
        <v>#REF!</v>
      </c>
      <c r="EO83" s="63" t="e">
        <f t="shared" ca="1" si="112"/>
        <v>#REF!</v>
      </c>
      <c r="EP83" s="63" t="e">
        <f t="shared" ca="1" si="113"/>
        <v>#REF!</v>
      </c>
    </row>
    <row r="84" spans="1:146">
      <c r="A84" s="64" t="str">
        <f t="shared" si="131"/>
        <v>5A.1</v>
      </c>
      <c r="B84" s="64" t="s">
        <v>65</v>
      </c>
      <c r="C84" s="30">
        <v>4</v>
      </c>
      <c r="D84" s="30">
        <v>4</v>
      </c>
      <c r="E84" s="65">
        <f ca="1">IF(AND($D34&lt;&gt;0,_xlfn.XLOOKUP($B34,'TH_MLG GRADE 10'!$B$7:$B$49,'TH_MLG GRADE 10'!C$7:C$49,"",0,1)="P",
   _xlfn.XLOOKUP($B34,'TH_MLG GRADE 10'!$B$7:$B$49,'TH_MLG GRADE 10'!$BK$7:$BK$49,"",0,1)&lt;=TODAY()-MOD(WEEKDAY(TODAY(),2)-5,7)),$D34,0)</f>
        <v>4</v>
      </c>
      <c r="F84" s="65">
        <f ca="1">IF(AND($D34&lt;&gt;0,_xlfn.XLOOKUP($B34,'TH_MLG GRADE 10'!$B$7:$B$49,'TH_MLG GRADE 10'!D$7:D$49,"",0,1)="P",
   _xlfn.XLOOKUP($B34,'TH_MLG GRADE 10'!$B$7:$B$49,'TH_MLG GRADE 10'!$BL$7:$BL$49,"",0,1)&lt;=TODAY()-MOD(WEEKDAY(TODAY(),2)-5,7)),$D34,0)</f>
        <v>4</v>
      </c>
      <c r="G84" s="65">
        <f ca="1">IF(AND($D34&lt;&gt;0,_xlfn.XLOOKUP($B34,'TH_MLG GRADE 10'!$B$7:$B$49,'TH_MLG GRADE 10'!E$7:E$49,"",0,1)="P",
   _xlfn.XLOOKUP($B34,'TH_MLG GRADE 10'!$B$7:$B$49,'TH_MLG GRADE 10'!$BM$7:$BM$49,"",0,1)&lt;=TODAY()-MOD(WEEKDAY(TODAY(),2)-5,7)),$D34,0)</f>
        <v>0</v>
      </c>
      <c r="H84" s="65">
        <f ca="1">IF(AND($D34&lt;&gt;0,_xlfn.XLOOKUP($B34,'TH_MLG GRADE 10'!$B$7:$B$49,'TH_MLG GRADE 10'!I$7:I$49,"",0,1)="P",
   _xlfn.XLOOKUP($B34,'TH_MLG GRADE 10'!$B$7:$B$49,'TH_MLG GRADE 10'!$BK$7:$BK$49,"",0,1)&lt;=TODAY()-MOD(WEEKDAY(TODAY(),2)-5,7)),$D34,0)</f>
        <v>4</v>
      </c>
      <c r="I84" s="65">
        <f ca="1">IF(AND($D34&lt;&gt;0,_xlfn.XLOOKUP($B34,'TH_MLG GRADE 10'!$B$7:$B$49,'TH_MLG GRADE 10'!J$7:J$49,"",0,1)="P",
   _xlfn.XLOOKUP($B34,'TH_MLG GRADE 10'!$B$7:$B$49,'TH_MLG GRADE 10'!$BL$7:$BL$49,"",0,1)&lt;=TODAY()-MOD(WEEKDAY(TODAY(),2)-5,7)),$D34,0)</f>
        <v>4</v>
      </c>
      <c r="J84" s="65">
        <f ca="1">IF(AND($D34&lt;&gt;0,_xlfn.XLOOKUP($B34,'TH_MLG GRADE 10'!$B$7:$B$49,'TH_MLG GRADE 10'!K$7:K$49,"",0,1)="P",
   _xlfn.XLOOKUP($B34,'TH_MLG GRADE 10'!$B$7:$B$49,'TH_MLG GRADE 10'!$BM$7:$BM$49,"",0,1)&lt;=TODAY()-MOD(WEEKDAY(TODAY(),2)-5,7)),$D34,0)</f>
        <v>4</v>
      </c>
      <c r="K84" s="65">
        <f ca="1">IF(AND($D34&lt;&gt;0,_xlfn.XLOOKUP($B34,'TH_MLG GRADE 10'!$B$7:$B$49,'TH_MLG GRADE 10'!O$7:O$49,"",0,1)="P",
   _xlfn.XLOOKUP($B34,'TH_MLG GRADE 10'!$B$7:$B$49,'TH_MLG GRADE 10'!$BK$7:$BK$49,"",0,1)&lt;=TODAY()-MOD(WEEKDAY(TODAY(),2)-5,7)),$D34,0)</f>
        <v>4</v>
      </c>
      <c r="L84" s="65">
        <f ca="1">IF(AND($D34&lt;&gt;0,_xlfn.XLOOKUP($B34,'TH_MLG GRADE 10'!$B$7:$B$49,'TH_MLG GRADE 10'!P$7:P$49,"",0,1)="P",
   _xlfn.XLOOKUP($B34,'TH_MLG GRADE 10'!$B$7:$B$49,'TH_MLG GRADE 10'!$BL$7:$BL$49,"",0,1)&lt;=TODAY()-MOD(WEEKDAY(TODAY(),2)-5,7)),$D34,0)</f>
        <v>0</v>
      </c>
      <c r="M84" s="65">
        <f ca="1">IF(AND($D34&lt;&gt;0,_xlfn.XLOOKUP($B34,'TH_MLG GRADE 10'!$B$7:$B$49,'TH_MLG GRADE 10'!Q$7:Q$49,"",0,1)="P",
   _xlfn.XLOOKUP($B34,'TH_MLG GRADE 10'!$B$7:$B$49,'TH_MLG GRADE 10'!$BM$7:$BM$49,"",0,1)&lt;=TODAY()-MOD(WEEKDAY(TODAY(),2)-5,7)),$D34,0)</f>
        <v>0</v>
      </c>
      <c r="N84" s="65">
        <f ca="1">IF(AND($D34&lt;&gt;0,_xlfn.XLOOKUP($B34,'TH_MLG GRADE 10'!$B$7:$B$49,'TH_MLG GRADE 10'!AA$7:AA$49,"",0,1)="P",
   _xlfn.XLOOKUP($B34,'TH_MLG GRADE 10'!$B$7:$B$49,'TH_MLG GRADE 10'!$BK$7:$BK$49,"",0,1)&lt;=TODAY()-MOD(WEEKDAY(TODAY(),2)-5,7)),$D34,0)</f>
        <v>4</v>
      </c>
      <c r="O84" s="65">
        <f ca="1">IF(AND($D34&lt;&gt;0,_xlfn.XLOOKUP($B34,'TH_MLG GRADE 10'!$B$7:$B$49,'TH_MLG GRADE 10'!AB$7:AB$49,"",0,1)="P",
   _xlfn.XLOOKUP($B34,'TH_MLG GRADE 10'!$B$7:$B$49,'TH_MLG GRADE 10'!$BL$7:$BL$49,"",0,1)&lt;=TODAY()-MOD(WEEKDAY(TODAY(),2)-5,7)),$D34,0)</f>
        <v>0</v>
      </c>
      <c r="P84" s="65">
        <f ca="1">IF(AND($D34&lt;&gt;0,_xlfn.XLOOKUP($B34,'TH_MLG GRADE 10'!$B$7:$B$49,'TH_MLG GRADE 10'!AC$7:AC$49,"",0,1)="P",
   _xlfn.XLOOKUP($B34,'TH_MLG GRADE 10'!$B$7:$B$49,'TH_MLG GRADE 10'!$BM$7:$BM$49,"",0,1)&lt;=TODAY()-MOD(WEEKDAY(TODAY(),2)-5,7)),$D34,0)</f>
        <v>0</v>
      </c>
      <c r="Q84" s="65">
        <f ca="1">IF(AND($D34&lt;&gt;0,_xlfn.XLOOKUP($B34,'TH_MLG GRADE 10'!$B$7:$B$49,'TH_MLG GRADE 10'!AG$7:AG$49,"",0,1)="P",
   _xlfn.XLOOKUP($B34,'TH_MLG GRADE 10'!$B$7:$B$49,'TH_MLG GRADE 10'!$BK$7:$BK$49,"",0,1)&lt;=TODAY()-MOD(WEEKDAY(TODAY(),2)-5,7)),$D34,0)</f>
        <v>0</v>
      </c>
      <c r="R84" s="65">
        <f ca="1">IF(AND($D34&lt;&gt;0,_xlfn.XLOOKUP($B34,'TH_MLG GRADE 10'!$B$7:$B$49,'TH_MLG GRADE 10'!AH$7:AH$49,"",0,1)="P",
   _xlfn.XLOOKUP($B34,'TH_MLG GRADE 10'!$B$7:$B$49,'TH_MLG GRADE 10'!$BL$7:$BL$49,"",0,1)&lt;=TODAY()-MOD(WEEKDAY(TODAY(),2)-5,7)),$D34,0)</f>
        <v>0</v>
      </c>
      <c r="S84" s="65">
        <f ca="1">IF(AND($D34&lt;&gt;0,_xlfn.XLOOKUP($B34,'TH_MLG GRADE 10'!$B$7:$B$49,'TH_MLG GRADE 10'!AI$7:AI$49,"",0,1)="P",
   _xlfn.XLOOKUP($B34,'TH_MLG GRADE 10'!$B$7:$B$49,'TH_MLG GRADE 10'!$BM$7:$BM$49,"",0,1)&lt;=TODAY()-MOD(WEEKDAY(TODAY(),2)-5,7)),$D34,0)</f>
        <v>0</v>
      </c>
      <c r="T84" s="65">
        <f ca="1">IF(AND($D34&lt;&gt;0,_xlfn.XLOOKUP($B34,'TH_MLG GRADE 10'!$B$7:$B$49,'TH_MLG GRADE 10'!AM$7:AM$49,"",0,1)="P",
   _xlfn.XLOOKUP($B34,'TH_MLG GRADE 10'!$B$7:$B$49,'TH_MLG GRADE 10'!$BK$7:$BK$49,"",0,1)&lt;=TODAY()-MOD(WEEKDAY(TODAY(),2)-5,7)),$D34,0)</f>
        <v>0</v>
      </c>
      <c r="U84" s="65">
        <f ca="1">IF(AND($D34&lt;&gt;0,_xlfn.XLOOKUP($B34,'TH_MLG GRADE 10'!$B$7:$B$49,'TH_MLG GRADE 10'!AN$7:AN$49,"",0,1)="P",
   _xlfn.XLOOKUP($B34,'TH_MLG GRADE 10'!$B$7:$B$49,'TH_MLG GRADE 10'!$BL$7:$BL$49,"",0,1)&lt;=TODAY()-MOD(WEEKDAY(TODAY(),2)-5,7)),$D34,0)</f>
        <v>0</v>
      </c>
      <c r="V84" s="65">
        <f ca="1">IF(AND($D34&lt;&gt;0,_xlfn.XLOOKUP($B34,'TH_MLG GRADE 10'!$B$7:$B$49,'TH_MLG GRADE 10'!AO$7:AO$49,"",0,1)="P",
   _xlfn.XLOOKUP($B34,'TH_MLG GRADE 10'!$B$7:$B$49,'TH_MLG GRADE 10'!$BM$7:$BM$49,"",0,1)&lt;=TODAY()-MOD(WEEKDAY(TODAY(),2)-5,7)),$D34,0)</f>
        <v>0</v>
      </c>
      <c r="W84" s="65">
        <f ca="1">IF(AND($D34&lt;&gt;0,_xlfn.XLOOKUP($B34,'TH_MLG GRADE 10'!$B$7:$B$49,'TH_MLG GRADE 10'!AY$7:AY$49,"",0,1)="P",
   _xlfn.XLOOKUP($B34,'TH_MLG GRADE 10'!$B$7:$B$49,'TH_MLG GRADE 10'!$BK$7:$BK$49,"",0,1)&lt;=TODAY()-MOD(WEEKDAY(TODAY(),2)-5,7)),$D34,0)</f>
        <v>0</v>
      </c>
      <c r="X84" s="65">
        <f ca="1">IF(AND($D34&lt;&gt;0,_xlfn.XLOOKUP($B34,'TH_MLG GRADE 10'!$B$7:$B$49,'TH_MLG GRADE 10'!AZ$7:AZ$49,"",0,1)="P",
   _xlfn.XLOOKUP($B34,'TH_MLG GRADE 10'!$B$7:$B$49,'TH_MLG GRADE 10'!$BL$7:$BL$49,"",0,1)&lt;=TODAY()-MOD(WEEKDAY(TODAY(),2)-5,7)),$D34,0)</f>
        <v>0</v>
      </c>
      <c r="Y84" s="65">
        <f ca="1">IF(AND($D34&lt;&gt;0,_xlfn.XLOOKUP($B34,'TH_MLG GRADE 10'!$B$7:$B$49,'TH_MLG GRADE 10'!BA$7:BA$49,"",0,1)="P",
   _xlfn.XLOOKUP($B34,'TH_MLG GRADE 10'!$B$7:$B$49,'TH_MLG GRADE 10'!$BM$7:$BM$49,"",0,1)&lt;=TODAY()-MOD(WEEKDAY(TODAY(),2)-5,7)),$D34,0)</f>
        <v>0</v>
      </c>
      <c r="Z84" s="65">
        <f ca="1">IF(AND($D34&lt;&gt;0,_xlfn.XLOOKUP($B34,'TH_MLG GRADE 10'!$B$7:$B$49,'TH_MLG GRADE 10'!BE$7:BE$49,"",0,1)="P",
   _xlfn.XLOOKUP($B34,'TH_MLG GRADE 10'!$B$7:$B$49,'TH_MLG GRADE 10'!$BK$7:$BK$49,"",0,1)&lt;=TODAY()-MOD(WEEKDAY(TODAY(),2)-5,7)),$D34,0)</f>
        <v>0</v>
      </c>
      <c r="AA84" s="65">
        <f ca="1">IF(AND($D34&lt;&gt;0,_xlfn.XLOOKUP($B34,'TH_MLG GRADE 10'!$B$7:$B$49,'TH_MLG GRADE 10'!BF$7:BF$49,"",0,1)="P",
   _xlfn.XLOOKUP($B34,'TH_MLG GRADE 10'!$B$7:$B$49,'TH_MLG GRADE 10'!$BL$7:$BL$49,"",0,1)&lt;=TODAY()-MOD(WEEKDAY(TODAY(),2)-5,7)),$D34,0)</f>
        <v>0</v>
      </c>
      <c r="AB84" s="65">
        <f ca="1">IF(AND($D34&lt;&gt;0,_xlfn.XLOOKUP($B34,'TH_MLG GRADE 10'!$B$7:$B$49,'TH_MLG GRADE 10'!BG$7:BG$49,"",0,1)="P",
   _xlfn.XLOOKUP($B34,'TH_MLG GRADE 10'!$B$7:$B$49,'TH_MLG GRADE 10'!$BM$7:$BM$49,"",0,1)&lt;=TODAY()-MOD(WEEKDAY(TODAY(),2)-5,7)),$D34,0)</f>
        <v>0</v>
      </c>
      <c r="AC84" s="65" t="e">
        <f ca="1">IF(AND($D34&lt;&gt;0,_xlfn.XLOOKUP($B34,'TH_MLG GRADE 10'!$B$7:$B$49,'TH_MLG GRADE 10'!#REF!,"",0,1)="P",
   _xlfn.XLOOKUP($B34,'TH_MLG GRADE 10'!$B$7:$B$49,'TH_MLG GRADE 10'!$BK$7:$BK$49,"",0,1)&lt;=TODAY()-MOD(WEEKDAY(TODAY(),2)-5,7)),$D34,0)</f>
        <v>#REF!</v>
      </c>
      <c r="AD84" s="65" t="e">
        <f ca="1">IF(AND($D34&lt;&gt;0,_xlfn.XLOOKUP($B34,'TH_MLG GRADE 10'!$B$7:$B$49,'TH_MLG GRADE 10'!#REF!,"",0,1)="P",
   _xlfn.XLOOKUP($B34,'TH_MLG GRADE 10'!$B$7:$B$49,'TH_MLG GRADE 10'!$BL$7:$BL$49,"",0,1)&lt;=TODAY()-MOD(WEEKDAY(TODAY(),2)-5,7)),$D34,0)</f>
        <v>#REF!</v>
      </c>
      <c r="AE84" s="65" t="e">
        <f ca="1">IF(AND($D34&lt;&gt;0,_xlfn.XLOOKUP($B34,'TH_MLG GRADE 10'!$B$7:$B$49,'TH_MLG GRADE 10'!#REF!,"",0,1)="P",
   _xlfn.XLOOKUP($B34,'TH_MLG GRADE 10'!$B$7:$B$49,'TH_MLG GRADE 10'!$BM$7:$BM$49,"",0,1)&lt;=TODAY()-MOD(WEEKDAY(TODAY(),2)-5,7)),$D34,0)</f>
        <v>#REF!</v>
      </c>
      <c r="AF84" s="65" t="e">
        <f ca="1">IF(AND($D34&lt;&gt;0,_xlfn.XLOOKUP($B34,'TH_MLG GRADE 10'!$B$7:$B$49,'TH_MLG GRADE 10'!#REF!,"",0,1)="P",
   _xlfn.XLOOKUP($B34,'TH_MLG GRADE 10'!$B$7:$B$49,'TH_MLG GRADE 10'!$BK$7:$BK$49,"",0,1)&lt;=TODAY()-MOD(WEEKDAY(TODAY(),2)-5,7)),$D34,0)</f>
        <v>#REF!</v>
      </c>
      <c r="AG84" s="65" t="e">
        <f ca="1">IF(AND($D34&lt;&gt;0,_xlfn.XLOOKUP($B34,'TH_MLG GRADE 10'!$B$7:$B$49,'TH_MLG GRADE 10'!#REF!,"",0,1)="P",
   _xlfn.XLOOKUP($B34,'TH_MLG GRADE 10'!$B$7:$B$49,'TH_MLG GRADE 10'!$BL$7:$BL$49,"",0,1)&lt;=TODAY()-MOD(WEEKDAY(TODAY(),2)-5,7)),$D34,0)</f>
        <v>#REF!</v>
      </c>
      <c r="AH84" s="65" t="e">
        <f ca="1">IF(AND($D34&lt;&gt;0,_xlfn.XLOOKUP($B34,'TH_MLG GRADE 10'!$B$7:$B$49,'TH_MLG GRADE 10'!#REF!,"",0,1)="P",
   _xlfn.XLOOKUP($B34,'TH_MLG GRADE 10'!$B$7:$B$49,'TH_MLG GRADE 10'!$BM$7:$BM$49,"",0,1)&lt;=TODAY()-MOD(WEEKDAY(TODAY(),2)-5,7)),$D34,0)</f>
        <v>#REF!</v>
      </c>
      <c r="AI84" s="67">
        <f ca="1">IF(AND($D34&lt;&gt;0,_xlfn.XLOOKUP($B34,'TH_CMI GRADE 10'!$B$7:$B$49,'TH_CMI GRADE 10'!C$7:C$49,"",0,1)="P",
   _xlfn.XLOOKUP($B34,'TH_CMI GRADE 10'!$B$7:$B$49,'TH_CMI GRADE 10'!$AS$7:$AS$49,"",0,1)&lt;=TODAY()-MOD(WEEKDAY(TODAY(),2)-5,7)),$D34,0)</f>
        <v>0</v>
      </c>
      <c r="AJ84" s="67">
        <f ca="1">IF(AND($D34&lt;&gt;0,_xlfn.XLOOKUP($B34,'TH_CMI GRADE 10'!$B$7:$B$49,'TH_CMI GRADE 10'!D$7:D$49,"",0,1)="P",
   _xlfn.XLOOKUP($B34,'TH_CMI GRADE 10'!$B$7:$B$49,'TH_CMI GRADE 10'!$AT$7:$AT$49,"",0,1)&lt;=TODAY()-MOD(WEEKDAY(TODAY(),2)-5,7)),$D34,0)</f>
        <v>0</v>
      </c>
      <c r="AK84" s="67" t="e">
        <f ca="1">IF(AND($D34&lt;&gt;0,_xlfn.XLOOKUP($B34,'TH_CMI GRADE 10'!$B$7:$B$49,'TH_CMI GRADE 10'!H$7:H$49,"",0,1)="P",
   _xlfn.XLOOKUP($B34,'TH_CMI GRADE 10'!$B$7:$B$49,'TH_CMI GRADE 10'!#REF!,"",0,1)&lt;=TODAY()-MOD(WEEKDAY(TODAY(),2)-5,7)),$D34,0)</f>
        <v>#REF!</v>
      </c>
      <c r="AL84" s="67">
        <f ca="1">IF(AND($D34&lt;&gt;0,_xlfn.XLOOKUP($B34,'TH_CMI GRADE 10'!$B$7:$B$49,'TH_CMI GRADE 10'!I$7:I$49,"",0,1)="P",
   _xlfn.XLOOKUP($B34,'TH_CMI GRADE 10'!$B$7:$B$49,'TH_CMI GRADE 10'!$AS$7:$AS$49,"",0,1)&lt;=TODAY()-MOD(WEEKDAY(TODAY(),2)-5,7)),$D34,0)</f>
        <v>4</v>
      </c>
      <c r="AM84" s="67">
        <f ca="1">IF(AND($D34&lt;&gt;0,_xlfn.XLOOKUP($B34,'TH_CMI GRADE 10'!$B$7:$B$49,'TH_CMI GRADE 10'!J$7:J$49,"",0,1)="P",
   _xlfn.XLOOKUP($B34,'TH_CMI GRADE 10'!$B$7:$B$49,'TH_CMI GRADE 10'!$AT$7:$AT$49,"",0,1)&lt;=TODAY()-MOD(WEEKDAY(TODAY(),2)-5,7)),$D34,0)</f>
        <v>4</v>
      </c>
      <c r="AN84" s="67" t="e">
        <f ca="1">IF(AND($D34&lt;&gt;0,_xlfn.XLOOKUP($B34,'TH_CMI GRADE 10'!$B$7:$B$49,'TH_CMI GRADE 10'!K$7:K$49,"",0,1)="P",
   _xlfn.XLOOKUP($B34,'TH_CMI GRADE 10'!$B$7:$B$49,'TH_CMI GRADE 10'!#REF!,"",0,1)&lt;=TODAY()-MOD(WEEKDAY(TODAY(),2)-5,7)),$D34,0)</f>
        <v>#REF!</v>
      </c>
      <c r="AO84" s="67">
        <f ca="1">IF(AND($D34&lt;&gt;0,_xlfn.XLOOKUP($B34,'TH_CMI GRADE 10'!$B$7:$B$49,'TH_CMI GRADE 10'!O$7:O$49,"",0,1)="P",
   _xlfn.XLOOKUP($B34,'TH_CMI GRADE 10'!$B$7:$B$49,'TH_CMI GRADE 10'!$AS$7:$AS$49,"",0,1)&lt;=TODAY()-MOD(WEEKDAY(TODAY(),2)-5,7)),$D34,0)</f>
        <v>0</v>
      </c>
      <c r="AP84" s="67">
        <f ca="1">IF(AND($D34&lt;&gt;0,_xlfn.XLOOKUP($B34,'TH_CMI GRADE 10'!$B$7:$B$49,'TH_CMI GRADE 10'!P$7:P$49,"",0,1)="P",
   _xlfn.XLOOKUP($B34,'TH_CMI GRADE 10'!$B$7:$B$49,'TH_CMI GRADE 10'!$AT$7:$AT$49,"",0,1)&lt;=TODAY()-MOD(WEEKDAY(TODAY(),2)-5,7)),$D34,0)</f>
        <v>0</v>
      </c>
      <c r="AQ84" s="67" t="e">
        <f ca="1">IF(AND($D34&lt;&gt;0,_xlfn.XLOOKUP($B34,'TH_CMI GRADE 10'!$B$7:$B$49,'TH_CMI GRADE 10'!Q$7:Q$49,"",0,1)="P",
   _xlfn.XLOOKUP($B34,'TH_CMI GRADE 10'!$B$7:$B$49,'TH_CMI GRADE 10'!#REF!,"",0,1)&lt;=TODAY()-MOD(WEEKDAY(TODAY(),2)-5,7)),$D34,0)</f>
        <v>#REF!</v>
      </c>
      <c r="AR84" s="67">
        <f ca="1">IF(AND($D34&lt;&gt;0,_xlfn.XLOOKUP($B34,'TH_CMI GRADE 10'!$B$7:$B$49,'TH_CMI GRADE 10'!U$7:U$49,"",0,1)="P",
   _xlfn.XLOOKUP($B34,'TH_CMI GRADE 10'!$B$7:$B$49,'TH_CMI GRADE 10'!$AS$7:$AS$49,"",0,1)&lt;=TODAY()-MOD(WEEKDAY(TODAY(),2)-5,7)),$D34,0)</f>
        <v>4</v>
      </c>
      <c r="AS84" s="67">
        <f ca="1">IF(AND($D34&lt;&gt;0,_xlfn.XLOOKUP($B34,'TH_CMI GRADE 10'!$B$7:$B$49,'TH_CMI GRADE 10'!V$7:V$49,"",0,1)="P",
   _xlfn.XLOOKUP($B34,'TH_CMI GRADE 10'!$B$7:$B$49,'TH_CMI GRADE 10'!$AT$7:$AT$49,"",0,1)&lt;=TODAY()-MOD(WEEKDAY(TODAY(),2)-5,7)),$D34,0)</f>
        <v>4</v>
      </c>
      <c r="AT84" s="67" t="e">
        <f ca="1">IF(AND($D34&lt;&gt;0,_xlfn.XLOOKUP($B34,'TH_CMI GRADE 10'!$B$7:$B$49,'TH_CMI GRADE 10'!W$7:W$49,"",0,1)="P",
   _xlfn.XLOOKUP($B34,'TH_CMI GRADE 10'!$B$7:$B$49,'TH_CMI GRADE 10'!#REF!,"",0,1)&lt;=TODAY()-MOD(WEEKDAY(TODAY(),2)-5,7)),$D34,0)</f>
        <v>#REF!</v>
      </c>
      <c r="AU84" s="67">
        <f ca="1">IF(AND($D34&lt;&gt;0,_xlfn.XLOOKUP($B34,'TH_CMI GRADE 10'!$B$7:$B$49,'TH_CMI GRADE 10'!AA$7:AA$49,"",0,1)="P",
   _xlfn.XLOOKUP($B34,'TH_CMI GRADE 10'!$B$7:$B$49,'TH_CMI GRADE 10'!$AS$7:$AS$49,"",0,1)&lt;=TODAY()-MOD(WEEKDAY(TODAY(),2)-5,7)),$D34,0)</f>
        <v>0</v>
      </c>
      <c r="AV84" s="67">
        <f ca="1">IF(AND($D34&lt;&gt;0,_xlfn.XLOOKUP($B34,'TH_CMI GRADE 10'!$B$7:$B$49,'TH_CMI GRADE 10'!AB$7:AB$49,"",0,1)="P",
   _xlfn.XLOOKUP($B34,'TH_CMI GRADE 10'!$B$7:$B$49,'TH_CMI GRADE 10'!$AT$7:$AT$49,"",0,1)&lt;=TODAY()-MOD(WEEKDAY(TODAY(),2)-5,7)),$D34,0)</f>
        <v>0</v>
      </c>
      <c r="AW84" s="67" t="e">
        <f ca="1">IF(AND($D34&lt;&gt;0,_xlfn.XLOOKUP($B34,'TH_CMI GRADE 10'!$B$7:$B$49,'TH_CMI GRADE 10'!AC$7:AC$49,"",0,1)="P",
   _xlfn.XLOOKUP($B34,'TH_CMI GRADE 10'!$B$7:$B$49,'TH_CMI GRADE 10'!#REF!,"",0,1)&lt;=TODAY()-MOD(WEEKDAY(TODAY(),2)-5,7)),$D34,0)</f>
        <v>#REF!</v>
      </c>
      <c r="AX84" s="67">
        <f ca="1">IF(AND($D34&lt;&gt;0,_xlfn.XLOOKUP($B34,'TH_CMI GRADE 10'!$B$7:$B$49,'TH_CMI GRADE 10'!AG$7:AG$49,"",0,1)="P",
   _xlfn.XLOOKUP($B34,'TH_CMI GRADE 10'!$B$7:$B$49,'TH_CMI GRADE 10'!$AS$7:$AS$49,"",0,1)&lt;=TODAY()-MOD(WEEKDAY(TODAY(),2)-5,7)),$D34,0)</f>
        <v>0</v>
      </c>
      <c r="AY84" s="67">
        <f ca="1">IF(AND($D34&lt;&gt;0,_xlfn.XLOOKUP($B34,'TH_CMI GRADE 10'!$B$7:$B$49,'TH_CMI GRADE 10'!AH$7:AH$49,"",0,1)="P",
   _xlfn.XLOOKUP($B34,'TH_CMI GRADE 10'!$B$7:$B$49,'TH_CMI GRADE 10'!$AT$7:$AT$49,"",0,1)&lt;=TODAY()-MOD(WEEKDAY(TODAY(),2)-5,7)),$D34,0)</f>
        <v>0</v>
      </c>
      <c r="AZ84" s="67" t="e">
        <f ca="1">IF(AND($D34&lt;&gt;0,_xlfn.XLOOKUP($B34,'TH_CMI GRADE 10'!$B$7:$B$49,'TH_CMI GRADE 10'!AI$7:AI$49,"",0,1)="P",
   _xlfn.XLOOKUP($B34,'TH_CMI GRADE 10'!$B$7:$B$49,'TH_CMI GRADE 10'!#REF!,"",0,1)&lt;=TODAY()-MOD(WEEKDAY(TODAY(),2)-5,7)),$D34,0)</f>
        <v>#REF!</v>
      </c>
      <c r="BA84" s="65" t="e">
        <f ca="1">IF(AND($D34&lt;&gt;0,_xlfn.XLOOKUP($B34,'PW_MLG GRADE 10'!$B$7:$B$31,'PW_MLG GRADE 10'!R$7:R$31,"",0,1)="P",
   _xlfn.XLOOKUP($B34,'PW_MLG GRADE 10'!$B$7:$B$31,'PW_MLG GRADE 10'!#REF!,"",0,1)&lt;=TODAY()-MOD(WEEKDAY(TODAY(),2)-5,7)),$D34,0)</f>
        <v>#REF!</v>
      </c>
      <c r="BB84" s="65" t="e">
        <f ca="1">IF(AND($D34&lt;&gt;0,_xlfn.XLOOKUP($B34,'PW_MLG GRADE 10'!$B$7:$B$31,'PW_MLG GRADE 10'!S$7:S$31,"",0,1)="P",
   _xlfn.XLOOKUP($B34,'PW_MLG GRADE 10'!$B$7:$B$31,'PW_MLG GRADE 10'!#REF!,"",0,1)&lt;=TODAY()-MOD(WEEKDAY(TODAY(),2)-5,7)),$D34,0)</f>
        <v>#REF!</v>
      </c>
      <c r="BC84" s="65" t="e">
        <f ca="1">IF(AND($D34&lt;&gt;0,_xlfn.XLOOKUP($B34,'PW_MLG GRADE 10'!$B$7:$B$31,'PW_MLG GRADE 10'!T$7:T$31,"",0,1)="P",
   _xlfn.XLOOKUP($B34,'PW_MLG GRADE 10'!$B$7:$B$31,'PW_MLG GRADE 10'!#REF!,"",0,1)&lt;=TODAY()-MOD(WEEKDAY(TODAY(),2)-5,7)),$D34,0)</f>
        <v>#REF!</v>
      </c>
      <c r="BD84" s="65" t="e">
        <f ca="1">IF(AND($D34&lt;&gt;0,_xlfn.XLOOKUP($B34,'PW_MLG GRADE 10'!$B$7:$B$31,'PW_MLG GRADE 10'!AA$7:AA$31,"",0,1)="P",
   _xlfn.XLOOKUP($B34,'PW_MLG GRADE 10'!$B$7:$B$31,'PW_MLG GRADE 10'!#REF!,"",0,1)&lt;=TODAY()-MOD(WEEKDAY(TODAY(),2)-5,7)),$D34,0)</f>
        <v>#REF!</v>
      </c>
      <c r="BE84" s="65" t="e">
        <f ca="1">IF(AND($D34&lt;&gt;0,_xlfn.XLOOKUP($B34,'PW_MLG GRADE 10'!$B$7:$B$31,'PW_MLG GRADE 10'!AB$7:AB$31,"",0,1)="P",
   _xlfn.XLOOKUP($B34,'PW_MLG GRADE 10'!$B$7:$B$31,'PW_MLG GRADE 10'!#REF!,"",0,1)&lt;=TODAY()-MOD(WEEKDAY(TODAY(),2)-5,7)),$D34,0)</f>
        <v>#REF!</v>
      </c>
      <c r="BF84" s="65" t="e">
        <f ca="1">IF(AND($D34&lt;&gt;0,_xlfn.XLOOKUP($B34,'PW_MLG GRADE 10'!$B$7:$B$31,'PW_MLG GRADE 10'!AC$7:AC$31,"",0,1)="P",
   _xlfn.XLOOKUP($B34,'PW_MLG GRADE 10'!$B$7:$B$31,'PW_MLG GRADE 10'!#REF!,"",0,1)&lt;=TODAY()-MOD(WEEKDAY(TODAY(),2)-5,7)),$D34,0)</f>
        <v>#REF!</v>
      </c>
      <c r="BG84" s="65" t="e">
        <f ca="1">IF(AND($D34&lt;&gt;0,_xlfn.XLOOKUP($B34,'PW_MLG GRADE 10'!$B$7:$B$31,'PW_MLG GRADE 10'!AD$7:AD$31,"",0,1)="P",
   _xlfn.XLOOKUP($B34,'PW_MLG GRADE 10'!$B$7:$B$31,'PW_MLG GRADE 10'!#REF!,"",0,1)&lt;=TODAY()-MOD(WEEKDAY(TODAY(),2)-5,7)),$D34,0)</f>
        <v>#REF!</v>
      </c>
      <c r="BH84" s="65" t="e">
        <f ca="1">IF(AND($D34&lt;&gt;0,_xlfn.XLOOKUP($B34,'PW_MLG GRADE 10'!$B$7:$B$31,'PW_MLG GRADE 10'!AE$7:AE$31,"",0,1)="P",
   _xlfn.XLOOKUP($B34,'PW_MLG GRADE 10'!$B$7:$B$31,'PW_MLG GRADE 10'!#REF!,"",0,1)&lt;=TODAY()-MOD(WEEKDAY(TODAY(),2)-5,7)),$D34,0)</f>
        <v>#REF!</v>
      </c>
      <c r="BI84" s="65" t="e">
        <f ca="1">IF(AND($D34&lt;&gt;0,_xlfn.XLOOKUP($B34,'PW_MLG GRADE 10'!$B$7:$B$31,'PW_MLG GRADE 10'!AF$7:AF$31,"",0,1)="P",
   _xlfn.XLOOKUP($B34,'PW_MLG GRADE 10'!$B$7:$B$31,'PW_MLG GRADE 10'!#REF!,"",0,1)&lt;=TODAY()-MOD(WEEKDAY(TODAY(),2)-5,7)),$D34,0)</f>
        <v>#REF!</v>
      </c>
      <c r="BJ84" s="65" t="e">
        <f ca="1">IF(AND($D34&lt;&gt;0,_xlfn.XLOOKUP($B34,'PW_MLG GRADE 10'!$B$7:$B$31,'PW_MLG GRADE 10'!AG$7:AG$31,"",0,1)="P",
   _xlfn.XLOOKUP($B34,'PW_MLG GRADE 10'!$B$7:$B$31,'PW_MLG GRADE 10'!#REF!,"",0,1)&lt;=TODAY()-MOD(WEEKDAY(TODAY(),2)-5,7)),$D34,0)</f>
        <v>#REF!</v>
      </c>
      <c r="BK84" s="65" t="e">
        <f ca="1">IF(AND($D34&lt;&gt;0,_xlfn.XLOOKUP($B34,'PW_MLG GRADE 10'!$B$7:$B$31,'PW_MLG GRADE 10'!AH$7:AH$31,"",0,1)="P",
   _xlfn.XLOOKUP($B34,'PW_MLG GRADE 10'!$B$7:$B$31,'PW_MLG GRADE 10'!#REF!,"",0,1)&lt;=TODAY()-MOD(WEEKDAY(TODAY(),2)-5,7)),$D34,0)</f>
        <v>#REF!</v>
      </c>
      <c r="BL84" s="65" t="e">
        <f ca="1">IF(AND($D34&lt;&gt;0,_xlfn.XLOOKUP($B34,'PW_MLG GRADE 10'!$B$7:$B$31,'PW_MLG GRADE 10'!AI$7:AI$31,"",0,1)="P",
   _xlfn.XLOOKUP($B34,'PW_MLG GRADE 10'!$B$7:$B$31,'PW_MLG GRADE 10'!#REF!,"",0,1)&lt;=TODAY()-MOD(WEEKDAY(TODAY(),2)-5,7)),$D34,0)</f>
        <v>#REF!</v>
      </c>
      <c r="BM84" s="65" t="e">
        <f ca="1">IF(AND($D34&lt;&gt;0,_xlfn.XLOOKUP($B34,'PW_MLG GRADE 10'!$B$7:$B$31,'PW_MLG GRADE 10'!AJ$7:AJ$31,"",0,1)="P",
   _xlfn.XLOOKUP($B34,'PW_MLG GRADE 10'!$B$7:$B$31,'PW_MLG GRADE 10'!#REF!,"",0,1)&lt;=TODAY()-MOD(WEEKDAY(TODAY(),2)-5,7)),$D34,0)</f>
        <v>#REF!</v>
      </c>
      <c r="BN84" s="65" t="e">
        <f ca="1">IF(AND($D34&lt;&gt;0,_xlfn.XLOOKUP($B34,'PW_MLG GRADE 10'!$B$7:$B$31,'PW_MLG GRADE 10'!AK$7:AK$31,"",0,1)="P",
   _xlfn.XLOOKUP($B34,'PW_MLG GRADE 10'!$B$7:$B$31,'PW_MLG GRADE 10'!#REF!,"",0,1)&lt;=TODAY()-MOD(WEEKDAY(TODAY(),2)-5,7)),$D34,0)</f>
        <v>#REF!</v>
      </c>
      <c r="BO84" s="65" t="e">
        <f ca="1">IF(AND($D34&lt;&gt;0,_xlfn.XLOOKUP($B34,'PW_MLG GRADE 10'!$B$7:$B$31,'PW_MLG GRADE 10'!AL$7:AL$31,"",0,1)="P",
   _xlfn.XLOOKUP($B34,'PW_MLG GRADE 10'!$B$7:$B$31,'PW_MLG GRADE 10'!#REF!,"",0,1)&lt;=TODAY()-MOD(WEEKDAY(TODAY(),2)-5,7)),$D34,0)</f>
        <v>#REF!</v>
      </c>
      <c r="BP84" s="65" t="e">
        <f ca="1">IF(AND($D34&lt;&gt;0,_xlfn.XLOOKUP($B34,'PW_MLG GRADE 10'!$B$7:$B$31,'PW_MLG GRADE 10'!AM$7:AM$31,"",0,1)="P",
   _xlfn.XLOOKUP($B34,'PW_MLG GRADE 10'!$B$7:$B$31,'PW_MLG GRADE 10'!#REF!,"",0,1)&lt;=TODAY()-MOD(WEEKDAY(TODAY(),2)-5,7)),$D34,0)</f>
        <v>#REF!</v>
      </c>
      <c r="BQ84" s="65" t="e">
        <f ca="1">IF(AND($D34&lt;&gt;0,_xlfn.XLOOKUP($B34,'PW_MLG GRADE 10'!$B$7:$B$31,'PW_MLG GRADE 10'!AN$7:AN$31,"",0,1)="P",
   _xlfn.XLOOKUP($B34,'PW_MLG GRADE 10'!$B$7:$B$31,'PW_MLG GRADE 10'!#REF!,"",0,1)&lt;=TODAY()-MOD(WEEKDAY(TODAY(),2)-5,7)),$D34,0)</f>
        <v>#REF!</v>
      </c>
      <c r="BR84" s="65" t="e">
        <f ca="1">IF(AND($D34&lt;&gt;0,_xlfn.XLOOKUP($B34,'PW_MLG GRADE 10'!$B$7:$B$31,'PW_MLG GRADE 10'!AO$7:AO$31,"",0,1)="P",
   _xlfn.XLOOKUP($B34,'PW_MLG GRADE 10'!$B$7:$B$31,'PW_MLG GRADE 10'!#REF!,"",0,1)&lt;=TODAY()-MOD(WEEKDAY(TODAY(),2)-5,7)),$D34,0)</f>
        <v>#REF!</v>
      </c>
      <c r="BS84" s="65" t="e">
        <f ca="1">IF(AND($D34&lt;&gt;0,_xlfn.XLOOKUP($B34,'PW_MLG GRADE 10'!$B$7:$B$31,'PW_MLG GRADE 10'!AP$7:AP$31,"",0,1)="P",
   _xlfn.XLOOKUP($B34,'PW_MLG GRADE 10'!$B$7:$B$31,'PW_MLG GRADE 10'!#REF!,"",0,1)&lt;=TODAY()-MOD(WEEKDAY(TODAY(),2)-5,7)),$D34,0)</f>
        <v>#REF!</v>
      </c>
      <c r="BT84" s="65" t="e">
        <f ca="1">IF(AND($D34&lt;&gt;0,_xlfn.XLOOKUP($B34,'PW_MLG GRADE 10'!$B$7:$B$31,'PW_MLG GRADE 10'!AQ$7:AQ$31,"",0,1)="P",
   _xlfn.XLOOKUP($B34,'PW_MLG GRADE 10'!$B$7:$B$31,'PW_MLG GRADE 10'!#REF!,"",0,1)&lt;=TODAY()-MOD(WEEKDAY(TODAY(),2)-5,7)),$D34,0)</f>
        <v>#REF!</v>
      </c>
      <c r="BU84" s="65" t="e">
        <f ca="1">IF(AND($D34&lt;&gt;0,_xlfn.XLOOKUP($B34,'PW_MLG GRADE 10'!$B$7:$B$31,'PW_MLG GRADE 10'!AR$7:AR$31,"",0,1)="P",
   _xlfn.XLOOKUP($B34,'PW_MLG GRADE 10'!$B$7:$B$31,'PW_MLG GRADE 10'!#REF!,"",0,1)&lt;=TODAY()-MOD(WEEKDAY(TODAY(),2)-5,7)),$D34,0)</f>
        <v>#REF!</v>
      </c>
      <c r="BV84" s="65" t="e">
        <f ca="1">IF(AND($D34&lt;&gt;0,_xlfn.XLOOKUP($B34,'PW_MLG GRADE 10'!$B$7:$B$31,'PW_MLG GRADE 10'!AY$7:AY$31,"",0,1)="P",
   _xlfn.XLOOKUP($B34,'PW_MLG GRADE 10'!$B$7:$B$31,'PW_MLG GRADE 10'!#REF!,"",0,1)&lt;=TODAY()-MOD(WEEKDAY(TODAY(),2)-5,7)),$D34,0)</f>
        <v>#REF!</v>
      </c>
      <c r="BW84" s="65" t="e">
        <f ca="1">IF(AND($D34&lt;&gt;0,_xlfn.XLOOKUP($B34,'PW_MLG GRADE 10'!$B$7:$B$31,'PW_MLG GRADE 10'!AZ$7:AZ$31,"",0,1)="P",
   _xlfn.XLOOKUP($B34,'PW_MLG GRADE 10'!$B$7:$B$31,'PW_MLG GRADE 10'!#REF!,"",0,1)&lt;=TODAY()-MOD(WEEKDAY(TODAY(),2)-5,7)),$D34,0)</f>
        <v>#REF!</v>
      </c>
      <c r="BX84" s="65" t="e">
        <f ca="1">IF(AND($D34&lt;&gt;0,_xlfn.XLOOKUP($B34,'PW_MLG GRADE 10'!$B$7:$B$31,'PW_MLG GRADE 10'!BA$7:BA$31,"",0,1)="P",
   _xlfn.XLOOKUP($B34,'PW_MLG GRADE 10'!$B$7:$B$31,'PW_MLG GRADE 10'!#REF!,"",0,1)&lt;=TODAY()-MOD(WEEKDAY(TODAY(),2)-5,7)),$D34,0)</f>
        <v>#REF!</v>
      </c>
      <c r="BY84" s="65" t="e">
        <f ca="1">IF(AND($D34&lt;&gt;0,_xlfn.XLOOKUP($B34,'PW_MLG GRADE 10'!$B$7:$B$31,'PW_MLG GRADE 10'!BB$7:BB$31,"",0,1)="P",
   _xlfn.XLOOKUP($B34,'PW_MLG GRADE 10'!$B$7:$B$31,'PW_MLG GRADE 10'!#REF!,"",0,1)&lt;=TODAY()-MOD(WEEKDAY(TODAY(),2)-5,7)),$D34,0)</f>
        <v>#REF!</v>
      </c>
      <c r="BZ84" s="65" t="e">
        <f ca="1">IF(AND($D34&lt;&gt;0,_xlfn.XLOOKUP($B34,'PW_MLG GRADE 10'!$B$7:$B$31,'PW_MLG GRADE 10'!BC$7:BC$31,"",0,1)="P",
   _xlfn.XLOOKUP($B34,'PW_MLG GRADE 10'!$B$7:$B$31,'PW_MLG GRADE 10'!#REF!,"",0,1)&lt;=TODAY()-MOD(WEEKDAY(TODAY(),2)-5,7)),$D34,0)</f>
        <v>#REF!</v>
      </c>
      <c r="CA84" s="65" t="e">
        <f ca="1">IF(AND($D34&lt;&gt;0,_xlfn.XLOOKUP($B34,'PW_MLG GRADE 10'!$B$7:$B$31,'PW_MLG GRADE 10'!BD$7:BD$31,"",0,1)="P",
   _xlfn.XLOOKUP($B34,'PW_MLG GRADE 10'!$B$7:$B$31,'PW_MLG GRADE 10'!#REF!,"",0,1)&lt;=TODAY()-MOD(WEEKDAY(TODAY(),2)-5,7)),$D34,0)</f>
        <v>#REF!</v>
      </c>
      <c r="CB84" s="65" t="e">
        <f ca="1">IF(AND($D34&lt;&gt;0,_xlfn.XLOOKUP($B34,'PW_MLG GRADE 10'!$B$7:$B$31,'PW_MLG GRADE 10'!BE$7:BE$31,"",0,1)="P",
   _xlfn.XLOOKUP($B34,'PW_MLG GRADE 10'!$B$7:$B$31,'PW_MLG GRADE 10'!#REF!,"",0,1)&lt;=TODAY()-MOD(WEEKDAY(TODAY(),2)-5,7)),$D34,0)</f>
        <v>#REF!</v>
      </c>
      <c r="CC84" s="65" t="e">
        <f ca="1">IF(AND($D34&lt;&gt;0,_xlfn.XLOOKUP($B34,'PW_MLG GRADE 10'!$B$7:$B$31,'PW_MLG GRADE 10'!BF$7:BF$31,"",0,1)="P",
   _xlfn.XLOOKUP($B34,'PW_MLG GRADE 10'!$B$7:$B$31,'PW_MLG GRADE 10'!#REF!,"",0,1)&lt;=TODAY()-MOD(WEEKDAY(TODAY(),2)-5,7)),$D34,0)</f>
        <v>#REF!</v>
      </c>
      <c r="CD84" s="65" t="e">
        <f ca="1">IF(AND($D34&lt;&gt;0,_xlfn.XLOOKUP($B34,'PW_MLG GRADE 10'!$B$7:$B$31,'PW_MLG GRADE 10'!BG$7:BG$31,"",0,1)="P",
   _xlfn.XLOOKUP($B34,'PW_MLG GRADE 10'!$B$7:$B$31,'PW_MLG GRADE 10'!#REF!,"",0,1)&lt;=TODAY()-MOD(WEEKDAY(TODAY(),2)-5,7)),$D34,0)</f>
        <v>#REF!</v>
      </c>
      <c r="CE84" s="67">
        <f ca="1">IF(AND($D34&lt;&gt;0,_xlfn.XLOOKUP($B34,'PW_CMI GRADE 10'!$B$7:$B$31,'PW_CMI GRADE 10'!AY$7:AY$31,"",0,1)="P",
   _xlfn.XLOOKUP($B34,'PW_CMI GRADE 10'!$B$7:$B$31,'PW_CMI GRADE 10'!$U$7:$U$31,"",0,1)&lt;=TODAY()-MOD(WEEKDAY(TODAY(),2)-5,7)),$D34,0)</f>
        <v>0</v>
      </c>
      <c r="CF84" s="67">
        <f ca="1">IF(AND($D34&lt;&gt;0,_xlfn.XLOOKUP($B34,'PW_CMI GRADE 10'!$B$7:$B$31,'PW_CMI GRADE 10'!AZ$7:AZ$31,"",0,1)="P",
   _xlfn.XLOOKUP($B34,'PW_CMI GRADE 10'!$B$7:$B$31,'PW_CMI GRADE 10'!$V$7:$V$31,"",0,1)&lt;=TODAY()-MOD(WEEKDAY(TODAY(),2)-5,7)),$D34,0)</f>
        <v>0</v>
      </c>
      <c r="CG84" s="67">
        <f ca="1">IF(AND($D34&lt;&gt;0,_xlfn.XLOOKUP($B34,'PW_CMI GRADE 10'!$B$7:$B$31,'PW_CMI GRADE 10'!BA$7:BA$31,"",0,1)="P",
   _xlfn.XLOOKUP($B34,'PW_CMI GRADE 10'!$B$7:$B$31,'PW_CMI GRADE 10'!$W$7:$W$31,"",0,1)&lt;=TODAY()-MOD(WEEKDAY(TODAY(),2)-5,7)),$D34,0)</f>
        <v>0</v>
      </c>
      <c r="CH84" s="67">
        <f ca="1">IF(AND($D34&lt;&gt;0,_xlfn.XLOOKUP($B34,'PW_CMI GRADE 10'!$B$7:$B$31,'PW_CMI GRADE 10'!BB$7:BB$31,"",0,1)="P",
   _xlfn.XLOOKUP($B34,'PW_CMI GRADE 10'!$B$7:$B$31,'PW_CMI GRADE 10'!$U$7:$U$31,"",0,1)&lt;=TODAY()-MOD(WEEKDAY(TODAY(),2)-5,7)),$D34,0)</f>
        <v>0</v>
      </c>
      <c r="CI84" s="67">
        <f ca="1">IF(AND($D34&lt;&gt;0,_xlfn.XLOOKUP($B34,'PW_CMI GRADE 10'!$B$7:$B$31,'PW_CMI GRADE 10'!BC$7:BC$31,"",0,1)="P",
   _xlfn.XLOOKUP($B34,'PW_CMI GRADE 10'!$B$7:$B$31,'PW_CMI GRADE 10'!$V$7:$V$31,"",0,1)&lt;=TODAY()-MOD(WEEKDAY(TODAY(),2)-5,7)),$D34,0)</f>
        <v>0</v>
      </c>
      <c r="CJ84" s="67">
        <f ca="1">IF(AND($D34&lt;&gt;0,_xlfn.XLOOKUP($B34,'PW_CMI GRADE 10'!$B$7:$B$31,'PW_CMI GRADE 10'!BD$7:BD$31,"",0,1)="P",
   _xlfn.XLOOKUP($B34,'PW_CMI GRADE 10'!$B$7:$B$31,'PW_CMI GRADE 10'!$W$7:$W$31,"",0,1)&lt;=TODAY()-MOD(WEEKDAY(TODAY(),2)-5,7)),$D34,0)</f>
        <v>0</v>
      </c>
      <c r="CK84" s="67">
        <f ca="1">IF(AND($D34&lt;&gt;0,_xlfn.XLOOKUP($B34,'PW_CMI GRADE 10'!$B$7:$B$31,'PW_CMI GRADE 10'!BE$7:BE$31,"",0,1)="P",
   _xlfn.XLOOKUP($B34,'PW_CMI GRADE 10'!$B$7:$B$31,'PW_CMI GRADE 10'!$U$7:$U$31,"",0,1)&lt;=TODAY()-MOD(WEEKDAY(TODAY(),2)-5,7)),$D34,0)</f>
        <v>0</v>
      </c>
      <c r="CL84" s="67">
        <f ca="1">IF(AND($D34&lt;&gt;0,_xlfn.XLOOKUP($B34,'PW_CMI GRADE 10'!$B$7:$B$31,'PW_CMI GRADE 10'!BF$7:BF$31,"",0,1)="P",
   _xlfn.XLOOKUP($B34,'PW_CMI GRADE 10'!$B$7:$B$31,'PW_CMI GRADE 10'!$V$7:$V$31,"",0,1)&lt;=TODAY()-MOD(WEEKDAY(TODAY(),2)-5,7)),$D34,0)</f>
        <v>0</v>
      </c>
      <c r="CM84" s="67">
        <f ca="1">IF(AND($D34&lt;&gt;0,_xlfn.XLOOKUP($B34,'PW_CMI GRADE 10'!$B$7:$B$31,'PW_CMI GRADE 10'!BG$7:BG$31,"",0,1)="P",
   _xlfn.XLOOKUP($B34,'PW_CMI GRADE 10'!$B$7:$B$31,'PW_CMI GRADE 10'!$W$7:$W$31,"",0,1)&lt;=TODAY()-MOD(WEEKDAY(TODAY(),2)-5,7)),$D34,0)</f>
        <v>0</v>
      </c>
      <c r="CN84" s="67">
        <f ca="1">IF(AND($D34&lt;&gt;0,_xlfn.XLOOKUP($B34,'PW_CMI GRADE 10'!$B$7:$B$31,'PW_CMI GRADE 10'!BH$7:BH$31,"",0,1)="P",
   _xlfn.XLOOKUP($B34,'PW_CMI GRADE 10'!$B$7:$B$31,'PW_CMI GRADE 10'!$U$7:$U$31,"",0,1)&lt;=TODAY()-MOD(WEEKDAY(TODAY(),2)-5,7)),$D34,0)</f>
        <v>0</v>
      </c>
      <c r="CO84" s="67">
        <f ca="1">IF(AND($D34&lt;&gt;0,_xlfn.XLOOKUP($B34,'PW_CMI GRADE 10'!$B$7:$B$31,'PW_CMI GRADE 10'!BI$7:BI$31,"",0,1)="P",
   _xlfn.XLOOKUP($B34,'PW_CMI GRADE 10'!$B$7:$B$31,'PW_CMI GRADE 10'!$V$7:$V$31,"",0,1)&lt;=TODAY()-MOD(WEEKDAY(TODAY(),2)-5,7)),$D34,0)</f>
        <v>0</v>
      </c>
      <c r="CP84" s="67">
        <f ca="1">IF(AND($D34&lt;&gt;0,_xlfn.XLOOKUP($B34,'PW_CMI GRADE 10'!$B$7:$B$31,'PW_CMI GRADE 10'!BJ$7:BJ$31,"",0,1)="P",
   _xlfn.XLOOKUP($B34,'PW_CMI GRADE 10'!$B$7:$B$31,'PW_CMI GRADE 10'!$W$7:$W$31,"",0,1)&lt;=TODAY()-MOD(WEEKDAY(TODAY(),2)-5,7)),$D34,0)</f>
        <v>0</v>
      </c>
      <c r="CQ84" s="67">
        <f ca="1">IF(AND($D34&lt;&gt;0,_xlfn.XLOOKUP($B34,'PW_CMI GRADE 10'!$B$7:$B$31,'PW_CMI GRADE 10'!BK$7:BK$31,"",0,1)="P",
   _xlfn.XLOOKUP($B34,'PW_CMI GRADE 10'!$B$7:$B$31,'PW_CMI GRADE 10'!$U$7:$U$31,"",0,1)&lt;=TODAY()-MOD(WEEKDAY(TODAY(),2)-5,7)),$D34,0)</f>
        <v>0</v>
      </c>
      <c r="CR84" s="67">
        <f ca="1">IF(AND($D34&lt;&gt;0,_xlfn.XLOOKUP($B34,'PW_CMI GRADE 10'!$B$7:$B$31,'PW_CMI GRADE 10'!BL$7:BL$31,"",0,1)="P",
   _xlfn.XLOOKUP($B34,'PW_CMI GRADE 10'!$B$7:$B$31,'PW_CMI GRADE 10'!$V$7:$V$31,"",0,1)&lt;=TODAY()-MOD(WEEKDAY(TODAY(),2)-5,7)),$D34,0)</f>
        <v>0</v>
      </c>
      <c r="CS84" s="67">
        <f ca="1">IF(AND($D34&lt;&gt;0,_xlfn.XLOOKUP($B34,'PW_CMI GRADE 10'!$B$7:$B$31,'PW_CMI GRADE 10'!BM$7:BM$31,"",0,1)="P",
   _xlfn.XLOOKUP($B34,'PW_CMI GRADE 10'!$B$7:$B$31,'PW_CMI GRADE 10'!$W$7:$W$31,"",0,1)&lt;=TODAY()-MOD(WEEKDAY(TODAY(),2)-5,7)),$D34,0)</f>
        <v>0</v>
      </c>
      <c r="CT84" s="67">
        <f ca="1">IF(AND($D34&lt;&gt;0,_xlfn.XLOOKUP($B34,'PW_CMI GRADE 10'!$B$7:$B$31,'PW_CMI GRADE 10'!BN$7:BN$31,"",0,1)="P",
   _xlfn.XLOOKUP($B34,'PW_CMI GRADE 10'!$B$7:$B$31,'PW_CMI GRADE 10'!$U$7:$U$31,"",0,1)&lt;=TODAY()-MOD(WEEKDAY(TODAY(),2)-5,7)),$D34,0)</f>
        <v>0</v>
      </c>
      <c r="CU84" s="67">
        <f ca="1">IF(AND($D34&lt;&gt;0,_xlfn.XLOOKUP($B34,'PW_CMI GRADE 10'!$B$7:$B$31,'PW_CMI GRADE 10'!BO$7:BO$31,"",0,1)="P",
   _xlfn.XLOOKUP($B34,'PW_CMI GRADE 10'!$B$7:$B$31,'PW_CMI GRADE 10'!$V$7:$V$31,"",0,1)&lt;=TODAY()-MOD(WEEKDAY(TODAY(),2)-5,7)),$D34,0)</f>
        <v>0</v>
      </c>
      <c r="CV84" s="67">
        <f ca="1">IF(AND($D34&lt;&gt;0,_xlfn.XLOOKUP($B34,'PW_CMI GRADE 10'!$B$7:$B$31,'PW_CMI GRADE 10'!BP$7:BP$31,"",0,1)="P",
   _xlfn.XLOOKUP($B34,'PW_CMI GRADE 10'!$B$7:$B$31,'PW_CMI GRADE 10'!$W$7:$W$31,"",0,1)&lt;=TODAY()-MOD(WEEKDAY(TODAY(),2)-5,7)),$D34,0)</f>
        <v>0</v>
      </c>
      <c r="CW84" s="62" t="e">
        <f t="shared" ca="1" si="132"/>
        <v>#REF!</v>
      </c>
      <c r="CX84" s="62" t="e">
        <f t="shared" ca="1" si="69"/>
        <v>#REF!</v>
      </c>
      <c r="CY84" s="62" t="e">
        <f t="shared" ca="1" si="70"/>
        <v>#REF!</v>
      </c>
      <c r="CZ84" s="62" t="e">
        <f t="shared" ca="1" si="71"/>
        <v>#REF!</v>
      </c>
      <c r="DA84" s="62" t="e">
        <f t="shared" ca="1" si="72"/>
        <v>#REF!</v>
      </c>
      <c r="DB84" s="62" t="e">
        <f t="shared" ca="1" si="73"/>
        <v>#REF!</v>
      </c>
      <c r="DC84" s="62" t="e">
        <f t="shared" ca="1" si="74"/>
        <v>#REF!</v>
      </c>
      <c r="DD84" s="62" t="e">
        <f t="shared" ca="1" si="75"/>
        <v>#REF!</v>
      </c>
      <c r="DE84" s="62" t="e">
        <f t="shared" ca="1" si="76"/>
        <v>#REF!</v>
      </c>
      <c r="DF84" s="62" t="e">
        <f t="shared" ca="1" si="77"/>
        <v>#REF!</v>
      </c>
      <c r="DG84" s="62" t="e">
        <f t="shared" ca="1" si="78"/>
        <v>#REF!</v>
      </c>
      <c r="DH84" s="62" t="e">
        <f t="shared" ca="1" si="79"/>
        <v>#REF!</v>
      </c>
      <c r="DI84" s="62" t="e">
        <f t="shared" ca="1" si="80"/>
        <v>#REF!</v>
      </c>
      <c r="DJ84" s="62" t="e">
        <f t="shared" ca="1" si="81"/>
        <v>#REF!</v>
      </c>
      <c r="DK84" s="62" t="e">
        <f t="shared" ca="1" si="82"/>
        <v>#REF!</v>
      </c>
      <c r="DL84" s="62" t="e">
        <f t="shared" ca="1" si="83"/>
        <v>#REF!</v>
      </c>
      <c r="DM84" s="62" t="e">
        <f t="shared" ca="1" si="84"/>
        <v>#REF!</v>
      </c>
      <c r="DN84" s="62" t="e">
        <f t="shared" ca="1" si="85"/>
        <v>#REF!</v>
      </c>
      <c r="DO84" s="62" t="e">
        <f t="shared" ca="1" si="86"/>
        <v>#REF!</v>
      </c>
      <c r="DP84" s="62" t="e">
        <f t="shared" ca="1" si="87"/>
        <v>#REF!</v>
      </c>
      <c r="DQ84" s="62" t="e">
        <f t="shared" ca="1" si="88"/>
        <v>#REF!</v>
      </c>
      <c r="DR84" s="62" t="e">
        <f t="shared" ca="1" si="89"/>
        <v>#REF!</v>
      </c>
      <c r="DS84" s="62" t="e">
        <f t="shared" ca="1" si="90"/>
        <v>#REF!</v>
      </c>
      <c r="DT84" s="62" t="e">
        <f t="shared" ca="1" si="91"/>
        <v>#REF!</v>
      </c>
      <c r="DU84" s="62" t="e">
        <f t="shared" ca="1" si="92"/>
        <v>#REF!</v>
      </c>
      <c r="DV84" s="62" t="e">
        <f t="shared" ca="1" si="93"/>
        <v>#REF!</v>
      </c>
      <c r="DW84" s="62" t="e">
        <f t="shared" ca="1" si="94"/>
        <v>#REF!</v>
      </c>
      <c r="DX84" s="62" t="e">
        <f t="shared" ca="1" si="95"/>
        <v>#REF!</v>
      </c>
      <c r="DY84" s="62" t="e">
        <f t="shared" ca="1" si="96"/>
        <v>#REF!</v>
      </c>
      <c r="DZ84" s="62" t="e">
        <f t="shared" ca="1" si="97"/>
        <v>#REF!</v>
      </c>
      <c r="EA84" s="63" t="e">
        <f t="shared" ca="1" si="98"/>
        <v>#REF!</v>
      </c>
      <c r="EB84" s="63" t="e">
        <f t="shared" ca="1" si="99"/>
        <v>#REF!</v>
      </c>
      <c r="EC84" s="63" t="e">
        <f t="shared" ca="1" si="100"/>
        <v>#REF!</v>
      </c>
      <c r="ED84" s="63" t="e">
        <f t="shared" ca="1" si="101"/>
        <v>#REF!</v>
      </c>
      <c r="EE84" s="63" t="e">
        <f t="shared" ca="1" si="102"/>
        <v>#REF!</v>
      </c>
      <c r="EF84" s="63" t="e">
        <f t="shared" ca="1" si="103"/>
        <v>#REF!</v>
      </c>
      <c r="EG84" s="63" t="e">
        <f t="shared" ca="1" si="104"/>
        <v>#REF!</v>
      </c>
      <c r="EH84" s="63" t="e">
        <f t="shared" ca="1" si="105"/>
        <v>#REF!</v>
      </c>
      <c r="EI84" s="63" t="e">
        <f t="shared" ca="1" si="106"/>
        <v>#REF!</v>
      </c>
      <c r="EJ84" s="63" t="e">
        <f t="shared" ca="1" si="107"/>
        <v>#REF!</v>
      </c>
      <c r="EK84" s="63" t="e">
        <f t="shared" ca="1" si="108"/>
        <v>#REF!</v>
      </c>
      <c r="EL84" s="63" t="e">
        <f t="shared" ca="1" si="109"/>
        <v>#REF!</v>
      </c>
      <c r="EM84" s="63" t="e">
        <f t="shared" ca="1" si="110"/>
        <v>#REF!</v>
      </c>
      <c r="EN84" s="63" t="e">
        <f t="shared" ca="1" si="111"/>
        <v>#REF!</v>
      </c>
      <c r="EO84" s="63" t="e">
        <f t="shared" ca="1" si="112"/>
        <v>#REF!</v>
      </c>
      <c r="EP84" s="63" t="e">
        <f t="shared" ca="1" si="113"/>
        <v>#REF!</v>
      </c>
    </row>
    <row r="85" spans="1:146">
      <c r="A85" s="64" t="str">
        <f t="shared" si="131"/>
        <v>5A.1</v>
      </c>
      <c r="B85" s="64" t="s">
        <v>66</v>
      </c>
      <c r="C85" s="30">
        <v>0</v>
      </c>
      <c r="D85" s="30">
        <v>3</v>
      </c>
      <c r="E85" s="65">
        <f ca="1">IF(AND($D35&lt;&gt;0,_xlfn.XLOOKUP($B35,'TH_MLG GRADE 10'!$B$7:$B$49,'TH_MLG GRADE 10'!C$7:C$49,"",0,1)="P",
   _xlfn.XLOOKUP($B35,'TH_MLG GRADE 10'!$B$7:$B$49,'TH_MLG GRADE 10'!$BK$7:$BK$49,"",0,1)&lt;=TODAY()-MOD(WEEKDAY(TODAY(),2)-5,7)),$D35,0)</f>
        <v>3</v>
      </c>
      <c r="F85" s="65">
        <f ca="1">IF(AND($D35&lt;&gt;0,_xlfn.XLOOKUP($B35,'TH_MLG GRADE 10'!$B$7:$B$49,'TH_MLG GRADE 10'!D$7:D$49,"",0,1)="P",
   _xlfn.XLOOKUP($B35,'TH_MLG GRADE 10'!$B$7:$B$49,'TH_MLG GRADE 10'!$BL$7:$BL$49,"",0,1)&lt;=TODAY()-MOD(WEEKDAY(TODAY(),2)-5,7)),$D35,0)</f>
        <v>3</v>
      </c>
      <c r="G85" s="65">
        <f ca="1">IF(AND($D35&lt;&gt;0,_xlfn.XLOOKUP($B35,'TH_MLG GRADE 10'!$B$7:$B$49,'TH_MLG GRADE 10'!E$7:E$49,"",0,1)="P",
   _xlfn.XLOOKUP($B35,'TH_MLG GRADE 10'!$B$7:$B$49,'TH_MLG GRADE 10'!$BM$7:$BM$49,"",0,1)&lt;=TODAY()-MOD(WEEKDAY(TODAY(),2)-5,7)),$D35,0)</f>
        <v>0</v>
      </c>
      <c r="H85" s="65">
        <f ca="1">IF(AND($D35&lt;&gt;0,_xlfn.XLOOKUP($B35,'TH_MLG GRADE 10'!$B$7:$B$49,'TH_MLG GRADE 10'!I$7:I$49,"",0,1)="P",
   _xlfn.XLOOKUP($B35,'TH_MLG GRADE 10'!$B$7:$B$49,'TH_MLG GRADE 10'!$BK$7:$BK$49,"",0,1)&lt;=TODAY()-MOD(WEEKDAY(TODAY(),2)-5,7)),$D35,0)</f>
        <v>3</v>
      </c>
      <c r="I85" s="65">
        <f ca="1">IF(AND($D35&lt;&gt;0,_xlfn.XLOOKUP($B35,'TH_MLG GRADE 10'!$B$7:$B$49,'TH_MLG GRADE 10'!J$7:J$49,"",0,1)="P",
   _xlfn.XLOOKUP($B35,'TH_MLG GRADE 10'!$B$7:$B$49,'TH_MLG GRADE 10'!$BL$7:$BL$49,"",0,1)&lt;=TODAY()-MOD(WEEKDAY(TODAY(),2)-5,7)),$D35,0)</f>
        <v>3</v>
      </c>
      <c r="J85" s="65">
        <f ca="1">IF(AND($D35&lt;&gt;0,_xlfn.XLOOKUP($B35,'TH_MLG GRADE 10'!$B$7:$B$49,'TH_MLG GRADE 10'!K$7:K$49,"",0,1)="P",
   _xlfn.XLOOKUP($B35,'TH_MLG GRADE 10'!$B$7:$B$49,'TH_MLG GRADE 10'!$BM$7:$BM$49,"",0,1)&lt;=TODAY()-MOD(WEEKDAY(TODAY(),2)-5,7)),$D35,0)</f>
        <v>3</v>
      </c>
      <c r="K85" s="65">
        <f ca="1">IF(AND($D35&lt;&gt;0,_xlfn.XLOOKUP($B35,'TH_MLG GRADE 10'!$B$7:$B$49,'TH_MLG GRADE 10'!O$7:O$49,"",0,1)="P",
   _xlfn.XLOOKUP($B35,'TH_MLG GRADE 10'!$B$7:$B$49,'TH_MLG GRADE 10'!$BK$7:$BK$49,"",0,1)&lt;=TODAY()-MOD(WEEKDAY(TODAY(),2)-5,7)),$D35,0)</f>
        <v>0</v>
      </c>
      <c r="L85" s="65">
        <f ca="1">IF(AND($D35&lt;&gt;0,_xlfn.XLOOKUP($B35,'TH_MLG GRADE 10'!$B$7:$B$49,'TH_MLG GRADE 10'!P$7:P$49,"",0,1)="P",
   _xlfn.XLOOKUP($B35,'TH_MLG GRADE 10'!$B$7:$B$49,'TH_MLG GRADE 10'!$BL$7:$BL$49,"",0,1)&lt;=TODAY()-MOD(WEEKDAY(TODAY(),2)-5,7)),$D35,0)</f>
        <v>0</v>
      </c>
      <c r="M85" s="65">
        <f ca="1">IF(AND($D35&lt;&gt;0,_xlfn.XLOOKUP($B35,'TH_MLG GRADE 10'!$B$7:$B$49,'TH_MLG GRADE 10'!Q$7:Q$49,"",0,1)="P",
   _xlfn.XLOOKUP($B35,'TH_MLG GRADE 10'!$B$7:$B$49,'TH_MLG GRADE 10'!$BM$7:$BM$49,"",0,1)&lt;=TODAY()-MOD(WEEKDAY(TODAY(),2)-5,7)),$D35,0)</f>
        <v>0</v>
      </c>
      <c r="N85" s="65">
        <f ca="1">IF(AND($D35&lt;&gt;0,_xlfn.XLOOKUP($B35,'TH_MLG GRADE 10'!$B$7:$B$49,'TH_MLG GRADE 10'!AA$7:AA$49,"",0,1)="P",
   _xlfn.XLOOKUP($B35,'TH_MLG GRADE 10'!$B$7:$B$49,'TH_MLG GRADE 10'!$BK$7:$BK$49,"",0,1)&lt;=TODAY()-MOD(WEEKDAY(TODAY(),2)-5,7)),$D35,0)</f>
        <v>0</v>
      </c>
      <c r="O85" s="65">
        <f ca="1">IF(AND($D35&lt;&gt;0,_xlfn.XLOOKUP($B35,'TH_MLG GRADE 10'!$B$7:$B$49,'TH_MLG GRADE 10'!AB$7:AB$49,"",0,1)="P",
   _xlfn.XLOOKUP($B35,'TH_MLG GRADE 10'!$B$7:$B$49,'TH_MLG GRADE 10'!$BL$7:$BL$49,"",0,1)&lt;=TODAY()-MOD(WEEKDAY(TODAY(),2)-5,7)),$D35,0)</f>
        <v>0</v>
      </c>
      <c r="P85" s="65">
        <f ca="1">IF(AND($D35&lt;&gt;0,_xlfn.XLOOKUP($B35,'TH_MLG GRADE 10'!$B$7:$B$49,'TH_MLG GRADE 10'!AC$7:AC$49,"",0,1)="P",
   _xlfn.XLOOKUP($B35,'TH_MLG GRADE 10'!$B$7:$B$49,'TH_MLG GRADE 10'!$BM$7:$BM$49,"",0,1)&lt;=TODAY()-MOD(WEEKDAY(TODAY(),2)-5,7)),$D35,0)</f>
        <v>0</v>
      </c>
      <c r="Q85" s="65">
        <f ca="1">IF(AND($D35&lt;&gt;0,_xlfn.XLOOKUP($B35,'TH_MLG GRADE 10'!$B$7:$B$49,'TH_MLG GRADE 10'!AG$7:AG$49,"",0,1)="P",
   _xlfn.XLOOKUP($B35,'TH_MLG GRADE 10'!$B$7:$B$49,'TH_MLG GRADE 10'!$BK$7:$BK$49,"",0,1)&lt;=TODAY()-MOD(WEEKDAY(TODAY(),2)-5,7)),$D35,0)</f>
        <v>0</v>
      </c>
      <c r="R85" s="65">
        <f ca="1">IF(AND($D35&lt;&gt;0,_xlfn.XLOOKUP($B35,'TH_MLG GRADE 10'!$B$7:$B$49,'TH_MLG GRADE 10'!AH$7:AH$49,"",0,1)="P",
   _xlfn.XLOOKUP($B35,'TH_MLG GRADE 10'!$B$7:$B$49,'TH_MLG GRADE 10'!$BL$7:$BL$49,"",0,1)&lt;=TODAY()-MOD(WEEKDAY(TODAY(),2)-5,7)),$D35,0)</f>
        <v>0</v>
      </c>
      <c r="S85" s="65">
        <f ca="1">IF(AND($D35&lt;&gt;0,_xlfn.XLOOKUP($B35,'TH_MLG GRADE 10'!$B$7:$B$49,'TH_MLG GRADE 10'!AI$7:AI$49,"",0,1)="P",
   _xlfn.XLOOKUP($B35,'TH_MLG GRADE 10'!$B$7:$B$49,'TH_MLG GRADE 10'!$BM$7:$BM$49,"",0,1)&lt;=TODAY()-MOD(WEEKDAY(TODAY(),2)-5,7)),$D35,0)</f>
        <v>0</v>
      </c>
      <c r="T85" s="65">
        <f ca="1">IF(AND($D35&lt;&gt;0,_xlfn.XLOOKUP($B35,'TH_MLG GRADE 10'!$B$7:$B$49,'TH_MLG GRADE 10'!AM$7:AM$49,"",0,1)="P",
   _xlfn.XLOOKUP($B35,'TH_MLG GRADE 10'!$B$7:$B$49,'TH_MLG GRADE 10'!$BK$7:$BK$49,"",0,1)&lt;=TODAY()-MOD(WEEKDAY(TODAY(),2)-5,7)),$D35,0)</f>
        <v>0</v>
      </c>
      <c r="U85" s="65">
        <f ca="1">IF(AND($D35&lt;&gt;0,_xlfn.XLOOKUP($B35,'TH_MLG GRADE 10'!$B$7:$B$49,'TH_MLG GRADE 10'!AN$7:AN$49,"",0,1)="P",
   _xlfn.XLOOKUP($B35,'TH_MLG GRADE 10'!$B$7:$B$49,'TH_MLG GRADE 10'!$BL$7:$BL$49,"",0,1)&lt;=TODAY()-MOD(WEEKDAY(TODAY(),2)-5,7)),$D35,0)</f>
        <v>0</v>
      </c>
      <c r="V85" s="65">
        <f ca="1">IF(AND($D35&lt;&gt;0,_xlfn.XLOOKUP($B35,'TH_MLG GRADE 10'!$B$7:$B$49,'TH_MLG GRADE 10'!AO$7:AO$49,"",0,1)="P",
   _xlfn.XLOOKUP($B35,'TH_MLG GRADE 10'!$B$7:$B$49,'TH_MLG GRADE 10'!$BM$7:$BM$49,"",0,1)&lt;=TODAY()-MOD(WEEKDAY(TODAY(),2)-5,7)),$D35,0)</f>
        <v>0</v>
      </c>
      <c r="W85" s="65">
        <f ca="1">IF(AND($D35&lt;&gt;0,_xlfn.XLOOKUP($B35,'TH_MLG GRADE 10'!$B$7:$B$49,'TH_MLG GRADE 10'!AY$7:AY$49,"",0,1)="P",
   _xlfn.XLOOKUP($B35,'TH_MLG GRADE 10'!$B$7:$B$49,'TH_MLG GRADE 10'!$BK$7:$BK$49,"",0,1)&lt;=TODAY()-MOD(WEEKDAY(TODAY(),2)-5,7)),$D35,0)</f>
        <v>0</v>
      </c>
      <c r="X85" s="65">
        <f ca="1">IF(AND($D35&lt;&gt;0,_xlfn.XLOOKUP($B35,'TH_MLG GRADE 10'!$B$7:$B$49,'TH_MLG GRADE 10'!AZ$7:AZ$49,"",0,1)="P",
   _xlfn.XLOOKUP($B35,'TH_MLG GRADE 10'!$B$7:$B$49,'TH_MLG GRADE 10'!$BL$7:$BL$49,"",0,1)&lt;=TODAY()-MOD(WEEKDAY(TODAY(),2)-5,7)),$D35,0)</f>
        <v>0</v>
      </c>
      <c r="Y85" s="65">
        <f ca="1">IF(AND($D35&lt;&gt;0,_xlfn.XLOOKUP($B35,'TH_MLG GRADE 10'!$B$7:$B$49,'TH_MLG GRADE 10'!BA$7:BA$49,"",0,1)="P",
   _xlfn.XLOOKUP($B35,'TH_MLG GRADE 10'!$B$7:$B$49,'TH_MLG GRADE 10'!$BM$7:$BM$49,"",0,1)&lt;=TODAY()-MOD(WEEKDAY(TODAY(),2)-5,7)),$D35,0)</f>
        <v>0</v>
      </c>
      <c r="Z85" s="65">
        <f ca="1">IF(AND($D35&lt;&gt;0,_xlfn.XLOOKUP($B35,'TH_MLG GRADE 10'!$B$7:$B$49,'TH_MLG GRADE 10'!BE$7:BE$49,"",0,1)="P",
   _xlfn.XLOOKUP($B35,'TH_MLG GRADE 10'!$B$7:$B$49,'TH_MLG GRADE 10'!$BK$7:$BK$49,"",0,1)&lt;=TODAY()-MOD(WEEKDAY(TODAY(),2)-5,7)),$D35,0)</f>
        <v>0</v>
      </c>
      <c r="AA85" s="65">
        <f ca="1">IF(AND($D35&lt;&gt;0,_xlfn.XLOOKUP($B35,'TH_MLG GRADE 10'!$B$7:$B$49,'TH_MLG GRADE 10'!BF$7:BF$49,"",0,1)="P",
   _xlfn.XLOOKUP($B35,'TH_MLG GRADE 10'!$B$7:$B$49,'TH_MLG GRADE 10'!$BL$7:$BL$49,"",0,1)&lt;=TODAY()-MOD(WEEKDAY(TODAY(),2)-5,7)),$D35,0)</f>
        <v>0</v>
      </c>
      <c r="AB85" s="65">
        <f ca="1">IF(AND($D35&lt;&gt;0,_xlfn.XLOOKUP($B35,'TH_MLG GRADE 10'!$B$7:$B$49,'TH_MLG GRADE 10'!BG$7:BG$49,"",0,1)="P",
   _xlfn.XLOOKUP($B35,'TH_MLG GRADE 10'!$B$7:$B$49,'TH_MLG GRADE 10'!$BM$7:$BM$49,"",0,1)&lt;=TODAY()-MOD(WEEKDAY(TODAY(),2)-5,7)),$D35,0)</f>
        <v>0</v>
      </c>
      <c r="AC85" s="65" t="e">
        <f ca="1">IF(AND($D35&lt;&gt;0,_xlfn.XLOOKUP($B35,'TH_MLG GRADE 10'!$B$7:$B$49,'TH_MLG GRADE 10'!#REF!,"",0,1)="P",
   _xlfn.XLOOKUP($B35,'TH_MLG GRADE 10'!$B$7:$B$49,'TH_MLG GRADE 10'!$BK$7:$BK$49,"",0,1)&lt;=TODAY()-MOD(WEEKDAY(TODAY(),2)-5,7)),$D35,0)</f>
        <v>#REF!</v>
      </c>
      <c r="AD85" s="65" t="e">
        <f ca="1">IF(AND($D35&lt;&gt;0,_xlfn.XLOOKUP($B35,'TH_MLG GRADE 10'!$B$7:$B$49,'TH_MLG GRADE 10'!#REF!,"",0,1)="P",
   _xlfn.XLOOKUP($B35,'TH_MLG GRADE 10'!$B$7:$B$49,'TH_MLG GRADE 10'!$BL$7:$BL$49,"",0,1)&lt;=TODAY()-MOD(WEEKDAY(TODAY(),2)-5,7)),$D35,0)</f>
        <v>#REF!</v>
      </c>
      <c r="AE85" s="65" t="e">
        <f ca="1">IF(AND($D35&lt;&gt;0,_xlfn.XLOOKUP($B35,'TH_MLG GRADE 10'!$B$7:$B$49,'TH_MLG GRADE 10'!#REF!,"",0,1)="P",
   _xlfn.XLOOKUP($B35,'TH_MLG GRADE 10'!$B$7:$B$49,'TH_MLG GRADE 10'!$BM$7:$BM$49,"",0,1)&lt;=TODAY()-MOD(WEEKDAY(TODAY(),2)-5,7)),$D35,0)</f>
        <v>#REF!</v>
      </c>
      <c r="AF85" s="65" t="e">
        <f ca="1">IF(AND($D35&lt;&gt;0,_xlfn.XLOOKUP($B35,'TH_MLG GRADE 10'!$B$7:$B$49,'TH_MLG GRADE 10'!#REF!,"",0,1)="P",
   _xlfn.XLOOKUP($B35,'TH_MLG GRADE 10'!$B$7:$B$49,'TH_MLG GRADE 10'!$BK$7:$BK$49,"",0,1)&lt;=TODAY()-MOD(WEEKDAY(TODAY(),2)-5,7)),$D35,0)</f>
        <v>#REF!</v>
      </c>
      <c r="AG85" s="65" t="e">
        <f ca="1">IF(AND($D35&lt;&gt;0,_xlfn.XLOOKUP($B35,'TH_MLG GRADE 10'!$B$7:$B$49,'TH_MLG GRADE 10'!#REF!,"",0,1)="P",
   _xlfn.XLOOKUP($B35,'TH_MLG GRADE 10'!$B$7:$B$49,'TH_MLG GRADE 10'!$BL$7:$BL$49,"",0,1)&lt;=TODAY()-MOD(WEEKDAY(TODAY(),2)-5,7)),$D35,0)</f>
        <v>#REF!</v>
      </c>
      <c r="AH85" s="65" t="e">
        <f ca="1">IF(AND($D35&lt;&gt;0,_xlfn.XLOOKUP($B35,'TH_MLG GRADE 10'!$B$7:$B$49,'TH_MLG GRADE 10'!#REF!,"",0,1)="P",
   _xlfn.XLOOKUP($B35,'TH_MLG GRADE 10'!$B$7:$B$49,'TH_MLG GRADE 10'!$BM$7:$BM$49,"",0,1)&lt;=TODAY()-MOD(WEEKDAY(TODAY(),2)-5,7)),$D35,0)</f>
        <v>#REF!</v>
      </c>
      <c r="AI85" s="67">
        <f ca="1">IF(AND($D35&lt;&gt;0,_xlfn.XLOOKUP($B35,'TH_CMI GRADE 10'!$B$7:$B$49,'TH_CMI GRADE 10'!C$7:C$49,"",0,1)="P",
   _xlfn.XLOOKUP($B35,'TH_CMI GRADE 10'!$B$7:$B$49,'TH_CMI GRADE 10'!$AS$7:$AS$49,"",0,1)&lt;=TODAY()-MOD(WEEKDAY(TODAY(),2)-5,7)),$D35,0)</f>
        <v>0</v>
      </c>
      <c r="AJ85" s="67">
        <f ca="1">IF(AND($D35&lt;&gt;0,_xlfn.XLOOKUP($B35,'TH_CMI GRADE 10'!$B$7:$B$49,'TH_CMI GRADE 10'!D$7:D$49,"",0,1)="P",
   _xlfn.XLOOKUP($B35,'TH_CMI GRADE 10'!$B$7:$B$49,'TH_CMI GRADE 10'!$AT$7:$AT$49,"",0,1)&lt;=TODAY()-MOD(WEEKDAY(TODAY(),2)-5,7)),$D35,0)</f>
        <v>0</v>
      </c>
      <c r="AK85" s="67" t="e">
        <f ca="1">IF(AND($D35&lt;&gt;0,_xlfn.XLOOKUP($B35,'TH_CMI GRADE 10'!$B$7:$B$49,'TH_CMI GRADE 10'!H$7:H$49,"",0,1)="P",
   _xlfn.XLOOKUP($B35,'TH_CMI GRADE 10'!$B$7:$B$49,'TH_CMI GRADE 10'!#REF!,"",0,1)&lt;=TODAY()-MOD(WEEKDAY(TODAY(),2)-5,7)),$D35,0)</f>
        <v>#REF!</v>
      </c>
      <c r="AL85" s="67">
        <f ca="1">IF(AND($D35&lt;&gt;0,_xlfn.XLOOKUP($B35,'TH_CMI GRADE 10'!$B$7:$B$49,'TH_CMI GRADE 10'!I$7:I$49,"",0,1)="P",
   _xlfn.XLOOKUP($B35,'TH_CMI GRADE 10'!$B$7:$B$49,'TH_CMI GRADE 10'!$AS$7:$AS$49,"",0,1)&lt;=TODAY()-MOD(WEEKDAY(TODAY(),2)-5,7)),$D35,0)</f>
        <v>3</v>
      </c>
      <c r="AM85" s="67">
        <f ca="1">IF(AND($D35&lt;&gt;0,_xlfn.XLOOKUP($B35,'TH_CMI GRADE 10'!$B$7:$B$49,'TH_CMI GRADE 10'!J$7:J$49,"",0,1)="P",
   _xlfn.XLOOKUP($B35,'TH_CMI GRADE 10'!$B$7:$B$49,'TH_CMI GRADE 10'!$AT$7:$AT$49,"",0,1)&lt;=TODAY()-MOD(WEEKDAY(TODAY(),2)-5,7)),$D35,0)</f>
        <v>3</v>
      </c>
      <c r="AN85" s="67" t="e">
        <f ca="1">IF(AND($D35&lt;&gt;0,_xlfn.XLOOKUP($B35,'TH_CMI GRADE 10'!$B$7:$B$49,'TH_CMI GRADE 10'!K$7:K$49,"",0,1)="P",
   _xlfn.XLOOKUP($B35,'TH_CMI GRADE 10'!$B$7:$B$49,'TH_CMI GRADE 10'!#REF!,"",0,1)&lt;=TODAY()-MOD(WEEKDAY(TODAY(),2)-5,7)),$D35,0)</f>
        <v>#REF!</v>
      </c>
      <c r="AO85" s="67">
        <f ca="1">IF(AND($D35&lt;&gt;0,_xlfn.XLOOKUP($B35,'TH_CMI GRADE 10'!$B$7:$B$49,'TH_CMI GRADE 10'!O$7:O$49,"",0,1)="P",
   _xlfn.XLOOKUP($B35,'TH_CMI GRADE 10'!$B$7:$B$49,'TH_CMI GRADE 10'!$AS$7:$AS$49,"",0,1)&lt;=TODAY()-MOD(WEEKDAY(TODAY(),2)-5,7)),$D35,0)</f>
        <v>0</v>
      </c>
      <c r="AP85" s="67">
        <f ca="1">IF(AND($D35&lt;&gt;0,_xlfn.XLOOKUP($B35,'TH_CMI GRADE 10'!$B$7:$B$49,'TH_CMI GRADE 10'!P$7:P$49,"",0,1)="P",
   _xlfn.XLOOKUP($B35,'TH_CMI GRADE 10'!$B$7:$B$49,'TH_CMI GRADE 10'!$AT$7:$AT$49,"",0,1)&lt;=TODAY()-MOD(WEEKDAY(TODAY(),2)-5,7)),$D35,0)</f>
        <v>0</v>
      </c>
      <c r="AQ85" s="67" t="e">
        <f ca="1">IF(AND($D35&lt;&gt;0,_xlfn.XLOOKUP($B35,'TH_CMI GRADE 10'!$B$7:$B$49,'TH_CMI GRADE 10'!Q$7:Q$49,"",0,1)="P",
   _xlfn.XLOOKUP($B35,'TH_CMI GRADE 10'!$B$7:$B$49,'TH_CMI GRADE 10'!#REF!,"",0,1)&lt;=TODAY()-MOD(WEEKDAY(TODAY(),2)-5,7)),$D35,0)</f>
        <v>#REF!</v>
      </c>
      <c r="AR85" s="67">
        <f ca="1">IF(AND($D35&lt;&gt;0,_xlfn.XLOOKUP($B35,'TH_CMI GRADE 10'!$B$7:$B$49,'TH_CMI GRADE 10'!U$7:U$49,"",0,1)="P",
   _xlfn.XLOOKUP($B35,'TH_CMI GRADE 10'!$B$7:$B$49,'TH_CMI GRADE 10'!$AS$7:$AS$49,"",0,1)&lt;=TODAY()-MOD(WEEKDAY(TODAY(),2)-5,7)),$D35,0)</f>
        <v>3</v>
      </c>
      <c r="AS85" s="67">
        <f ca="1">IF(AND($D35&lt;&gt;0,_xlfn.XLOOKUP($B35,'TH_CMI GRADE 10'!$B$7:$B$49,'TH_CMI GRADE 10'!V$7:V$49,"",0,1)="P",
   _xlfn.XLOOKUP($B35,'TH_CMI GRADE 10'!$B$7:$B$49,'TH_CMI GRADE 10'!$AT$7:$AT$49,"",0,1)&lt;=TODAY()-MOD(WEEKDAY(TODAY(),2)-5,7)),$D35,0)</f>
        <v>3</v>
      </c>
      <c r="AT85" s="67" t="e">
        <f ca="1">IF(AND($D35&lt;&gt;0,_xlfn.XLOOKUP($B35,'TH_CMI GRADE 10'!$B$7:$B$49,'TH_CMI GRADE 10'!W$7:W$49,"",0,1)="P",
   _xlfn.XLOOKUP($B35,'TH_CMI GRADE 10'!$B$7:$B$49,'TH_CMI GRADE 10'!#REF!,"",0,1)&lt;=TODAY()-MOD(WEEKDAY(TODAY(),2)-5,7)),$D35,0)</f>
        <v>#REF!</v>
      </c>
      <c r="AU85" s="67">
        <f ca="1">IF(AND($D35&lt;&gt;0,_xlfn.XLOOKUP($B35,'TH_CMI GRADE 10'!$B$7:$B$49,'TH_CMI GRADE 10'!AA$7:AA$49,"",0,1)="P",
   _xlfn.XLOOKUP($B35,'TH_CMI GRADE 10'!$B$7:$B$49,'TH_CMI GRADE 10'!$AS$7:$AS$49,"",0,1)&lt;=TODAY()-MOD(WEEKDAY(TODAY(),2)-5,7)),$D35,0)</f>
        <v>0</v>
      </c>
      <c r="AV85" s="67">
        <f ca="1">IF(AND($D35&lt;&gt;0,_xlfn.XLOOKUP($B35,'TH_CMI GRADE 10'!$B$7:$B$49,'TH_CMI GRADE 10'!AB$7:AB$49,"",0,1)="P",
   _xlfn.XLOOKUP($B35,'TH_CMI GRADE 10'!$B$7:$B$49,'TH_CMI GRADE 10'!$AT$7:$AT$49,"",0,1)&lt;=TODAY()-MOD(WEEKDAY(TODAY(),2)-5,7)),$D35,0)</f>
        <v>0</v>
      </c>
      <c r="AW85" s="67" t="e">
        <f ca="1">IF(AND($D35&lt;&gt;0,_xlfn.XLOOKUP($B35,'TH_CMI GRADE 10'!$B$7:$B$49,'TH_CMI GRADE 10'!AC$7:AC$49,"",0,1)="P",
   _xlfn.XLOOKUP($B35,'TH_CMI GRADE 10'!$B$7:$B$49,'TH_CMI GRADE 10'!#REF!,"",0,1)&lt;=TODAY()-MOD(WEEKDAY(TODAY(),2)-5,7)),$D35,0)</f>
        <v>#REF!</v>
      </c>
      <c r="AX85" s="67">
        <f ca="1">IF(AND($D35&lt;&gt;0,_xlfn.XLOOKUP($B35,'TH_CMI GRADE 10'!$B$7:$B$49,'TH_CMI GRADE 10'!AG$7:AG$49,"",0,1)="P",
   _xlfn.XLOOKUP($B35,'TH_CMI GRADE 10'!$B$7:$B$49,'TH_CMI GRADE 10'!$AS$7:$AS$49,"",0,1)&lt;=TODAY()-MOD(WEEKDAY(TODAY(),2)-5,7)),$D35,0)</f>
        <v>0</v>
      </c>
      <c r="AY85" s="67">
        <f ca="1">IF(AND($D35&lt;&gt;0,_xlfn.XLOOKUP($B35,'TH_CMI GRADE 10'!$B$7:$B$49,'TH_CMI GRADE 10'!AH$7:AH$49,"",0,1)="P",
   _xlfn.XLOOKUP($B35,'TH_CMI GRADE 10'!$B$7:$B$49,'TH_CMI GRADE 10'!$AT$7:$AT$49,"",0,1)&lt;=TODAY()-MOD(WEEKDAY(TODAY(),2)-5,7)),$D35,0)</f>
        <v>0</v>
      </c>
      <c r="AZ85" s="67" t="e">
        <f ca="1">IF(AND($D35&lt;&gt;0,_xlfn.XLOOKUP($B35,'TH_CMI GRADE 10'!$B$7:$B$49,'TH_CMI GRADE 10'!AI$7:AI$49,"",0,1)="P",
   _xlfn.XLOOKUP($B35,'TH_CMI GRADE 10'!$B$7:$B$49,'TH_CMI GRADE 10'!#REF!,"",0,1)&lt;=TODAY()-MOD(WEEKDAY(TODAY(),2)-5,7)),$D35,0)</f>
        <v>#REF!</v>
      </c>
      <c r="BA85" s="65" t="e">
        <f ca="1">IF(AND($D35&lt;&gt;0,_xlfn.XLOOKUP($B35,'PW_MLG GRADE 10'!$B$7:$B$31,'PW_MLG GRADE 10'!R$7:R$31,"",0,1)="P",
   _xlfn.XLOOKUP($B35,'PW_MLG GRADE 10'!$B$7:$B$31,'PW_MLG GRADE 10'!#REF!,"",0,1)&lt;=TODAY()-MOD(WEEKDAY(TODAY(),2)-5,7)),$D35,0)</f>
        <v>#REF!</v>
      </c>
      <c r="BB85" s="65" t="e">
        <f ca="1">IF(AND($D35&lt;&gt;0,_xlfn.XLOOKUP($B35,'PW_MLG GRADE 10'!$B$7:$B$31,'PW_MLG GRADE 10'!S$7:S$31,"",0,1)="P",
   _xlfn.XLOOKUP($B35,'PW_MLG GRADE 10'!$B$7:$B$31,'PW_MLG GRADE 10'!#REF!,"",0,1)&lt;=TODAY()-MOD(WEEKDAY(TODAY(),2)-5,7)),$D35,0)</f>
        <v>#REF!</v>
      </c>
      <c r="BC85" s="65" t="e">
        <f ca="1">IF(AND($D35&lt;&gt;0,_xlfn.XLOOKUP($B35,'PW_MLG GRADE 10'!$B$7:$B$31,'PW_MLG GRADE 10'!T$7:T$31,"",0,1)="P",
   _xlfn.XLOOKUP($B35,'PW_MLG GRADE 10'!$B$7:$B$31,'PW_MLG GRADE 10'!#REF!,"",0,1)&lt;=TODAY()-MOD(WEEKDAY(TODAY(),2)-5,7)),$D35,0)</f>
        <v>#REF!</v>
      </c>
      <c r="BD85" s="65" t="e">
        <f ca="1">IF(AND($D35&lt;&gt;0,_xlfn.XLOOKUP($B35,'PW_MLG GRADE 10'!$B$7:$B$31,'PW_MLG GRADE 10'!AA$7:AA$31,"",0,1)="P",
   _xlfn.XLOOKUP($B35,'PW_MLG GRADE 10'!$B$7:$B$31,'PW_MLG GRADE 10'!#REF!,"",0,1)&lt;=TODAY()-MOD(WEEKDAY(TODAY(),2)-5,7)),$D35,0)</f>
        <v>#REF!</v>
      </c>
      <c r="BE85" s="65" t="e">
        <f ca="1">IF(AND($D35&lt;&gt;0,_xlfn.XLOOKUP($B35,'PW_MLG GRADE 10'!$B$7:$B$31,'PW_MLG GRADE 10'!AB$7:AB$31,"",0,1)="P",
   _xlfn.XLOOKUP($B35,'PW_MLG GRADE 10'!$B$7:$B$31,'PW_MLG GRADE 10'!#REF!,"",0,1)&lt;=TODAY()-MOD(WEEKDAY(TODAY(),2)-5,7)),$D35,0)</f>
        <v>#REF!</v>
      </c>
      <c r="BF85" s="65" t="e">
        <f ca="1">IF(AND($D35&lt;&gt;0,_xlfn.XLOOKUP($B35,'PW_MLG GRADE 10'!$B$7:$B$31,'PW_MLG GRADE 10'!AC$7:AC$31,"",0,1)="P",
   _xlfn.XLOOKUP($B35,'PW_MLG GRADE 10'!$B$7:$B$31,'PW_MLG GRADE 10'!#REF!,"",0,1)&lt;=TODAY()-MOD(WEEKDAY(TODAY(),2)-5,7)),$D35,0)</f>
        <v>#REF!</v>
      </c>
      <c r="BG85" s="65" t="e">
        <f ca="1">IF(AND($D35&lt;&gt;0,_xlfn.XLOOKUP($B35,'PW_MLG GRADE 10'!$B$7:$B$31,'PW_MLG GRADE 10'!AD$7:AD$31,"",0,1)="P",
   _xlfn.XLOOKUP($B35,'PW_MLG GRADE 10'!$B$7:$B$31,'PW_MLG GRADE 10'!#REF!,"",0,1)&lt;=TODAY()-MOD(WEEKDAY(TODAY(),2)-5,7)),$D35,0)</f>
        <v>#REF!</v>
      </c>
      <c r="BH85" s="65" t="e">
        <f ca="1">IF(AND($D35&lt;&gt;0,_xlfn.XLOOKUP($B35,'PW_MLG GRADE 10'!$B$7:$B$31,'PW_MLG GRADE 10'!AE$7:AE$31,"",0,1)="P",
   _xlfn.XLOOKUP($B35,'PW_MLG GRADE 10'!$B$7:$B$31,'PW_MLG GRADE 10'!#REF!,"",0,1)&lt;=TODAY()-MOD(WEEKDAY(TODAY(),2)-5,7)),$D35,0)</f>
        <v>#REF!</v>
      </c>
      <c r="BI85" s="65" t="e">
        <f ca="1">IF(AND($D35&lt;&gt;0,_xlfn.XLOOKUP($B35,'PW_MLG GRADE 10'!$B$7:$B$31,'PW_MLG GRADE 10'!AF$7:AF$31,"",0,1)="P",
   _xlfn.XLOOKUP($B35,'PW_MLG GRADE 10'!$B$7:$B$31,'PW_MLG GRADE 10'!#REF!,"",0,1)&lt;=TODAY()-MOD(WEEKDAY(TODAY(),2)-5,7)),$D35,0)</f>
        <v>#REF!</v>
      </c>
      <c r="BJ85" s="65" t="e">
        <f ca="1">IF(AND($D35&lt;&gt;0,_xlfn.XLOOKUP($B35,'PW_MLG GRADE 10'!$B$7:$B$31,'PW_MLG GRADE 10'!AG$7:AG$31,"",0,1)="P",
   _xlfn.XLOOKUP($B35,'PW_MLG GRADE 10'!$B$7:$B$31,'PW_MLG GRADE 10'!#REF!,"",0,1)&lt;=TODAY()-MOD(WEEKDAY(TODAY(),2)-5,7)),$D35,0)</f>
        <v>#REF!</v>
      </c>
      <c r="BK85" s="65" t="e">
        <f ca="1">IF(AND($D35&lt;&gt;0,_xlfn.XLOOKUP($B35,'PW_MLG GRADE 10'!$B$7:$B$31,'PW_MLG GRADE 10'!AH$7:AH$31,"",0,1)="P",
   _xlfn.XLOOKUP($B35,'PW_MLG GRADE 10'!$B$7:$B$31,'PW_MLG GRADE 10'!#REF!,"",0,1)&lt;=TODAY()-MOD(WEEKDAY(TODAY(),2)-5,7)),$D35,0)</f>
        <v>#REF!</v>
      </c>
      <c r="BL85" s="65" t="e">
        <f ca="1">IF(AND($D35&lt;&gt;0,_xlfn.XLOOKUP($B35,'PW_MLG GRADE 10'!$B$7:$B$31,'PW_MLG GRADE 10'!AI$7:AI$31,"",0,1)="P",
   _xlfn.XLOOKUP($B35,'PW_MLG GRADE 10'!$B$7:$B$31,'PW_MLG GRADE 10'!#REF!,"",0,1)&lt;=TODAY()-MOD(WEEKDAY(TODAY(),2)-5,7)),$D35,0)</f>
        <v>#REF!</v>
      </c>
      <c r="BM85" s="65" t="e">
        <f ca="1">IF(AND($D35&lt;&gt;0,_xlfn.XLOOKUP($B35,'PW_MLG GRADE 10'!$B$7:$B$31,'PW_MLG GRADE 10'!AJ$7:AJ$31,"",0,1)="P",
   _xlfn.XLOOKUP($B35,'PW_MLG GRADE 10'!$B$7:$B$31,'PW_MLG GRADE 10'!#REF!,"",0,1)&lt;=TODAY()-MOD(WEEKDAY(TODAY(),2)-5,7)),$D35,0)</f>
        <v>#REF!</v>
      </c>
      <c r="BN85" s="65" t="e">
        <f ca="1">IF(AND($D35&lt;&gt;0,_xlfn.XLOOKUP($B35,'PW_MLG GRADE 10'!$B$7:$B$31,'PW_MLG GRADE 10'!AK$7:AK$31,"",0,1)="P",
   _xlfn.XLOOKUP($B35,'PW_MLG GRADE 10'!$B$7:$B$31,'PW_MLG GRADE 10'!#REF!,"",0,1)&lt;=TODAY()-MOD(WEEKDAY(TODAY(),2)-5,7)),$D35,0)</f>
        <v>#REF!</v>
      </c>
      <c r="BO85" s="65" t="e">
        <f ca="1">IF(AND($D35&lt;&gt;0,_xlfn.XLOOKUP($B35,'PW_MLG GRADE 10'!$B$7:$B$31,'PW_MLG GRADE 10'!AL$7:AL$31,"",0,1)="P",
   _xlfn.XLOOKUP($B35,'PW_MLG GRADE 10'!$B$7:$B$31,'PW_MLG GRADE 10'!#REF!,"",0,1)&lt;=TODAY()-MOD(WEEKDAY(TODAY(),2)-5,7)),$D35,0)</f>
        <v>#REF!</v>
      </c>
      <c r="BP85" s="65" t="e">
        <f ca="1">IF(AND($D35&lt;&gt;0,_xlfn.XLOOKUP($B35,'PW_MLG GRADE 10'!$B$7:$B$31,'PW_MLG GRADE 10'!AM$7:AM$31,"",0,1)="P",
   _xlfn.XLOOKUP($B35,'PW_MLG GRADE 10'!$B$7:$B$31,'PW_MLG GRADE 10'!#REF!,"",0,1)&lt;=TODAY()-MOD(WEEKDAY(TODAY(),2)-5,7)),$D35,0)</f>
        <v>#REF!</v>
      </c>
      <c r="BQ85" s="65" t="e">
        <f ca="1">IF(AND($D35&lt;&gt;0,_xlfn.XLOOKUP($B35,'PW_MLG GRADE 10'!$B$7:$B$31,'PW_MLG GRADE 10'!AN$7:AN$31,"",0,1)="P",
   _xlfn.XLOOKUP($B35,'PW_MLG GRADE 10'!$B$7:$B$31,'PW_MLG GRADE 10'!#REF!,"",0,1)&lt;=TODAY()-MOD(WEEKDAY(TODAY(),2)-5,7)),$D35,0)</f>
        <v>#REF!</v>
      </c>
      <c r="BR85" s="65" t="e">
        <f ca="1">IF(AND($D35&lt;&gt;0,_xlfn.XLOOKUP($B35,'PW_MLG GRADE 10'!$B$7:$B$31,'PW_MLG GRADE 10'!AO$7:AO$31,"",0,1)="P",
   _xlfn.XLOOKUP($B35,'PW_MLG GRADE 10'!$B$7:$B$31,'PW_MLG GRADE 10'!#REF!,"",0,1)&lt;=TODAY()-MOD(WEEKDAY(TODAY(),2)-5,7)),$D35,0)</f>
        <v>#REF!</v>
      </c>
      <c r="BS85" s="65" t="e">
        <f ca="1">IF(AND($D35&lt;&gt;0,_xlfn.XLOOKUP($B35,'PW_MLG GRADE 10'!$B$7:$B$31,'PW_MLG GRADE 10'!AP$7:AP$31,"",0,1)="P",
   _xlfn.XLOOKUP($B35,'PW_MLG GRADE 10'!$B$7:$B$31,'PW_MLG GRADE 10'!#REF!,"",0,1)&lt;=TODAY()-MOD(WEEKDAY(TODAY(),2)-5,7)),$D35,0)</f>
        <v>#REF!</v>
      </c>
      <c r="BT85" s="65" t="e">
        <f ca="1">IF(AND($D35&lt;&gt;0,_xlfn.XLOOKUP($B35,'PW_MLG GRADE 10'!$B$7:$B$31,'PW_MLG GRADE 10'!AQ$7:AQ$31,"",0,1)="P",
   _xlfn.XLOOKUP($B35,'PW_MLG GRADE 10'!$B$7:$B$31,'PW_MLG GRADE 10'!#REF!,"",0,1)&lt;=TODAY()-MOD(WEEKDAY(TODAY(),2)-5,7)),$D35,0)</f>
        <v>#REF!</v>
      </c>
      <c r="BU85" s="65" t="e">
        <f ca="1">IF(AND($D35&lt;&gt;0,_xlfn.XLOOKUP($B35,'PW_MLG GRADE 10'!$B$7:$B$31,'PW_MLG GRADE 10'!AR$7:AR$31,"",0,1)="P",
   _xlfn.XLOOKUP($B35,'PW_MLG GRADE 10'!$B$7:$B$31,'PW_MLG GRADE 10'!#REF!,"",0,1)&lt;=TODAY()-MOD(WEEKDAY(TODAY(),2)-5,7)),$D35,0)</f>
        <v>#REF!</v>
      </c>
      <c r="BV85" s="65" t="e">
        <f ca="1">IF(AND($D35&lt;&gt;0,_xlfn.XLOOKUP($B35,'PW_MLG GRADE 10'!$B$7:$B$31,'PW_MLG GRADE 10'!AY$7:AY$31,"",0,1)="P",
   _xlfn.XLOOKUP($B35,'PW_MLG GRADE 10'!$B$7:$B$31,'PW_MLG GRADE 10'!#REF!,"",0,1)&lt;=TODAY()-MOD(WEEKDAY(TODAY(),2)-5,7)),$D35,0)</f>
        <v>#REF!</v>
      </c>
      <c r="BW85" s="65" t="e">
        <f ca="1">IF(AND($D35&lt;&gt;0,_xlfn.XLOOKUP($B35,'PW_MLG GRADE 10'!$B$7:$B$31,'PW_MLG GRADE 10'!AZ$7:AZ$31,"",0,1)="P",
   _xlfn.XLOOKUP($B35,'PW_MLG GRADE 10'!$B$7:$B$31,'PW_MLG GRADE 10'!#REF!,"",0,1)&lt;=TODAY()-MOD(WEEKDAY(TODAY(),2)-5,7)),$D35,0)</f>
        <v>#REF!</v>
      </c>
      <c r="BX85" s="65" t="e">
        <f ca="1">IF(AND($D35&lt;&gt;0,_xlfn.XLOOKUP($B35,'PW_MLG GRADE 10'!$B$7:$B$31,'PW_MLG GRADE 10'!BA$7:BA$31,"",0,1)="P",
   _xlfn.XLOOKUP($B35,'PW_MLG GRADE 10'!$B$7:$B$31,'PW_MLG GRADE 10'!#REF!,"",0,1)&lt;=TODAY()-MOD(WEEKDAY(TODAY(),2)-5,7)),$D35,0)</f>
        <v>#REF!</v>
      </c>
      <c r="BY85" s="65" t="e">
        <f ca="1">IF(AND($D35&lt;&gt;0,_xlfn.XLOOKUP($B35,'PW_MLG GRADE 10'!$B$7:$B$31,'PW_MLG GRADE 10'!BB$7:BB$31,"",0,1)="P",
   _xlfn.XLOOKUP($B35,'PW_MLG GRADE 10'!$B$7:$B$31,'PW_MLG GRADE 10'!#REF!,"",0,1)&lt;=TODAY()-MOD(WEEKDAY(TODAY(),2)-5,7)),$D35,0)</f>
        <v>#REF!</v>
      </c>
      <c r="BZ85" s="65" t="e">
        <f ca="1">IF(AND($D35&lt;&gt;0,_xlfn.XLOOKUP($B35,'PW_MLG GRADE 10'!$B$7:$B$31,'PW_MLG GRADE 10'!BC$7:BC$31,"",0,1)="P",
   _xlfn.XLOOKUP($B35,'PW_MLG GRADE 10'!$B$7:$B$31,'PW_MLG GRADE 10'!#REF!,"",0,1)&lt;=TODAY()-MOD(WEEKDAY(TODAY(),2)-5,7)),$D35,0)</f>
        <v>#REF!</v>
      </c>
      <c r="CA85" s="65" t="e">
        <f ca="1">IF(AND($D35&lt;&gt;0,_xlfn.XLOOKUP($B35,'PW_MLG GRADE 10'!$B$7:$B$31,'PW_MLG GRADE 10'!BD$7:BD$31,"",0,1)="P",
   _xlfn.XLOOKUP($B35,'PW_MLG GRADE 10'!$B$7:$B$31,'PW_MLG GRADE 10'!#REF!,"",0,1)&lt;=TODAY()-MOD(WEEKDAY(TODAY(),2)-5,7)),$D35,0)</f>
        <v>#REF!</v>
      </c>
      <c r="CB85" s="65" t="e">
        <f ca="1">IF(AND($D35&lt;&gt;0,_xlfn.XLOOKUP($B35,'PW_MLG GRADE 10'!$B$7:$B$31,'PW_MLG GRADE 10'!BE$7:BE$31,"",0,1)="P",
   _xlfn.XLOOKUP($B35,'PW_MLG GRADE 10'!$B$7:$B$31,'PW_MLG GRADE 10'!#REF!,"",0,1)&lt;=TODAY()-MOD(WEEKDAY(TODAY(),2)-5,7)),$D35,0)</f>
        <v>#REF!</v>
      </c>
      <c r="CC85" s="65" t="e">
        <f ca="1">IF(AND($D35&lt;&gt;0,_xlfn.XLOOKUP($B35,'PW_MLG GRADE 10'!$B$7:$B$31,'PW_MLG GRADE 10'!BF$7:BF$31,"",0,1)="P",
   _xlfn.XLOOKUP($B35,'PW_MLG GRADE 10'!$B$7:$B$31,'PW_MLG GRADE 10'!#REF!,"",0,1)&lt;=TODAY()-MOD(WEEKDAY(TODAY(),2)-5,7)),$D35,0)</f>
        <v>#REF!</v>
      </c>
      <c r="CD85" s="65" t="e">
        <f ca="1">IF(AND($D35&lt;&gt;0,_xlfn.XLOOKUP($B35,'PW_MLG GRADE 10'!$B$7:$B$31,'PW_MLG GRADE 10'!BG$7:BG$31,"",0,1)="P",
   _xlfn.XLOOKUP($B35,'PW_MLG GRADE 10'!$B$7:$B$31,'PW_MLG GRADE 10'!#REF!,"",0,1)&lt;=TODAY()-MOD(WEEKDAY(TODAY(),2)-5,7)),$D35,0)</f>
        <v>#REF!</v>
      </c>
      <c r="CE85" s="67">
        <f ca="1">IF(AND($D35&lt;&gt;0,_xlfn.XLOOKUP($B35,'PW_CMI GRADE 10'!$B$7:$B$31,'PW_CMI GRADE 10'!AY$7:AY$31,"",0,1)="P",
   _xlfn.XLOOKUP($B35,'PW_CMI GRADE 10'!$B$7:$B$31,'PW_CMI GRADE 10'!$U$7:$U$31,"",0,1)&lt;=TODAY()-MOD(WEEKDAY(TODAY(),2)-5,7)),$D35,0)</f>
        <v>0</v>
      </c>
      <c r="CF85" s="67">
        <f ca="1">IF(AND($D35&lt;&gt;0,_xlfn.XLOOKUP($B35,'PW_CMI GRADE 10'!$B$7:$B$31,'PW_CMI GRADE 10'!AZ$7:AZ$31,"",0,1)="P",
   _xlfn.XLOOKUP($B35,'PW_CMI GRADE 10'!$B$7:$B$31,'PW_CMI GRADE 10'!$V$7:$V$31,"",0,1)&lt;=TODAY()-MOD(WEEKDAY(TODAY(),2)-5,7)),$D35,0)</f>
        <v>0</v>
      </c>
      <c r="CG85" s="67">
        <f ca="1">IF(AND($D35&lt;&gt;0,_xlfn.XLOOKUP($B35,'PW_CMI GRADE 10'!$B$7:$B$31,'PW_CMI GRADE 10'!BA$7:BA$31,"",0,1)="P",
   _xlfn.XLOOKUP($B35,'PW_CMI GRADE 10'!$B$7:$B$31,'PW_CMI GRADE 10'!$W$7:$W$31,"",0,1)&lt;=TODAY()-MOD(WEEKDAY(TODAY(),2)-5,7)),$D35,0)</f>
        <v>0</v>
      </c>
      <c r="CH85" s="67">
        <f ca="1">IF(AND($D35&lt;&gt;0,_xlfn.XLOOKUP($B35,'PW_CMI GRADE 10'!$B$7:$B$31,'PW_CMI GRADE 10'!BB$7:BB$31,"",0,1)="P",
   _xlfn.XLOOKUP($B35,'PW_CMI GRADE 10'!$B$7:$B$31,'PW_CMI GRADE 10'!$U$7:$U$31,"",0,1)&lt;=TODAY()-MOD(WEEKDAY(TODAY(),2)-5,7)),$D35,0)</f>
        <v>0</v>
      </c>
      <c r="CI85" s="67">
        <f ca="1">IF(AND($D35&lt;&gt;0,_xlfn.XLOOKUP($B35,'PW_CMI GRADE 10'!$B$7:$B$31,'PW_CMI GRADE 10'!BC$7:BC$31,"",0,1)="P",
   _xlfn.XLOOKUP($B35,'PW_CMI GRADE 10'!$B$7:$B$31,'PW_CMI GRADE 10'!$V$7:$V$31,"",0,1)&lt;=TODAY()-MOD(WEEKDAY(TODAY(),2)-5,7)),$D35,0)</f>
        <v>0</v>
      </c>
      <c r="CJ85" s="67">
        <f ca="1">IF(AND($D35&lt;&gt;0,_xlfn.XLOOKUP($B35,'PW_CMI GRADE 10'!$B$7:$B$31,'PW_CMI GRADE 10'!BD$7:BD$31,"",0,1)="P",
   _xlfn.XLOOKUP($B35,'PW_CMI GRADE 10'!$B$7:$B$31,'PW_CMI GRADE 10'!$W$7:$W$31,"",0,1)&lt;=TODAY()-MOD(WEEKDAY(TODAY(),2)-5,7)),$D35,0)</f>
        <v>0</v>
      </c>
      <c r="CK85" s="67">
        <f ca="1">IF(AND($D35&lt;&gt;0,_xlfn.XLOOKUP($B35,'PW_CMI GRADE 10'!$B$7:$B$31,'PW_CMI GRADE 10'!BE$7:BE$31,"",0,1)="P",
   _xlfn.XLOOKUP($B35,'PW_CMI GRADE 10'!$B$7:$B$31,'PW_CMI GRADE 10'!$U$7:$U$31,"",0,1)&lt;=TODAY()-MOD(WEEKDAY(TODAY(),2)-5,7)),$D35,0)</f>
        <v>0</v>
      </c>
      <c r="CL85" s="67">
        <f ca="1">IF(AND($D35&lt;&gt;0,_xlfn.XLOOKUP($B35,'PW_CMI GRADE 10'!$B$7:$B$31,'PW_CMI GRADE 10'!BF$7:BF$31,"",0,1)="P",
   _xlfn.XLOOKUP($B35,'PW_CMI GRADE 10'!$B$7:$B$31,'PW_CMI GRADE 10'!$V$7:$V$31,"",0,1)&lt;=TODAY()-MOD(WEEKDAY(TODAY(),2)-5,7)),$D35,0)</f>
        <v>0</v>
      </c>
      <c r="CM85" s="67">
        <f ca="1">IF(AND($D35&lt;&gt;0,_xlfn.XLOOKUP($B35,'PW_CMI GRADE 10'!$B$7:$B$31,'PW_CMI GRADE 10'!BG$7:BG$31,"",0,1)="P",
   _xlfn.XLOOKUP($B35,'PW_CMI GRADE 10'!$B$7:$B$31,'PW_CMI GRADE 10'!$W$7:$W$31,"",0,1)&lt;=TODAY()-MOD(WEEKDAY(TODAY(),2)-5,7)),$D35,0)</f>
        <v>0</v>
      </c>
      <c r="CN85" s="67">
        <f ca="1">IF(AND($D35&lt;&gt;0,_xlfn.XLOOKUP($B35,'PW_CMI GRADE 10'!$B$7:$B$31,'PW_CMI GRADE 10'!BH$7:BH$31,"",0,1)="P",
   _xlfn.XLOOKUP($B35,'PW_CMI GRADE 10'!$B$7:$B$31,'PW_CMI GRADE 10'!$U$7:$U$31,"",0,1)&lt;=TODAY()-MOD(WEEKDAY(TODAY(),2)-5,7)),$D35,0)</f>
        <v>0</v>
      </c>
      <c r="CO85" s="67">
        <f ca="1">IF(AND($D35&lt;&gt;0,_xlfn.XLOOKUP($B35,'PW_CMI GRADE 10'!$B$7:$B$31,'PW_CMI GRADE 10'!BI$7:BI$31,"",0,1)="P",
   _xlfn.XLOOKUP($B35,'PW_CMI GRADE 10'!$B$7:$B$31,'PW_CMI GRADE 10'!$V$7:$V$31,"",0,1)&lt;=TODAY()-MOD(WEEKDAY(TODAY(),2)-5,7)),$D35,0)</f>
        <v>0</v>
      </c>
      <c r="CP85" s="67">
        <f ca="1">IF(AND($D35&lt;&gt;0,_xlfn.XLOOKUP($B35,'PW_CMI GRADE 10'!$B$7:$B$31,'PW_CMI GRADE 10'!BJ$7:BJ$31,"",0,1)="P",
   _xlfn.XLOOKUP($B35,'PW_CMI GRADE 10'!$B$7:$B$31,'PW_CMI GRADE 10'!$W$7:$W$31,"",0,1)&lt;=TODAY()-MOD(WEEKDAY(TODAY(),2)-5,7)),$D35,0)</f>
        <v>0</v>
      </c>
      <c r="CQ85" s="67">
        <f ca="1">IF(AND($D35&lt;&gt;0,_xlfn.XLOOKUP($B35,'PW_CMI GRADE 10'!$B$7:$B$31,'PW_CMI GRADE 10'!BK$7:BK$31,"",0,1)="P",
   _xlfn.XLOOKUP($B35,'PW_CMI GRADE 10'!$B$7:$B$31,'PW_CMI GRADE 10'!$U$7:$U$31,"",0,1)&lt;=TODAY()-MOD(WEEKDAY(TODAY(),2)-5,7)),$D35,0)</f>
        <v>0</v>
      </c>
      <c r="CR85" s="67">
        <f ca="1">IF(AND($D35&lt;&gt;0,_xlfn.XLOOKUP($B35,'PW_CMI GRADE 10'!$B$7:$B$31,'PW_CMI GRADE 10'!BL$7:BL$31,"",0,1)="P",
   _xlfn.XLOOKUP($B35,'PW_CMI GRADE 10'!$B$7:$B$31,'PW_CMI GRADE 10'!$V$7:$V$31,"",0,1)&lt;=TODAY()-MOD(WEEKDAY(TODAY(),2)-5,7)),$D35,0)</f>
        <v>0</v>
      </c>
      <c r="CS85" s="67">
        <f ca="1">IF(AND($D35&lt;&gt;0,_xlfn.XLOOKUP($B35,'PW_CMI GRADE 10'!$B$7:$B$31,'PW_CMI GRADE 10'!BM$7:BM$31,"",0,1)="P",
   _xlfn.XLOOKUP($B35,'PW_CMI GRADE 10'!$B$7:$B$31,'PW_CMI GRADE 10'!$W$7:$W$31,"",0,1)&lt;=TODAY()-MOD(WEEKDAY(TODAY(),2)-5,7)),$D35,0)</f>
        <v>0</v>
      </c>
      <c r="CT85" s="67">
        <f ca="1">IF(AND($D35&lt;&gt;0,_xlfn.XLOOKUP($B35,'PW_CMI GRADE 10'!$B$7:$B$31,'PW_CMI GRADE 10'!BN$7:BN$31,"",0,1)="P",
   _xlfn.XLOOKUP($B35,'PW_CMI GRADE 10'!$B$7:$B$31,'PW_CMI GRADE 10'!$U$7:$U$31,"",0,1)&lt;=TODAY()-MOD(WEEKDAY(TODAY(),2)-5,7)),$D35,0)</f>
        <v>0</v>
      </c>
      <c r="CU85" s="67">
        <f ca="1">IF(AND($D35&lt;&gt;0,_xlfn.XLOOKUP($B35,'PW_CMI GRADE 10'!$B$7:$B$31,'PW_CMI GRADE 10'!BO$7:BO$31,"",0,1)="P",
   _xlfn.XLOOKUP($B35,'PW_CMI GRADE 10'!$B$7:$B$31,'PW_CMI GRADE 10'!$V$7:$V$31,"",0,1)&lt;=TODAY()-MOD(WEEKDAY(TODAY(),2)-5,7)),$D35,0)</f>
        <v>0</v>
      </c>
      <c r="CV85" s="67">
        <f ca="1">IF(AND($D35&lt;&gt;0,_xlfn.XLOOKUP($B35,'PW_CMI GRADE 10'!$B$7:$B$31,'PW_CMI GRADE 10'!BP$7:BP$31,"",0,1)="P",
   _xlfn.XLOOKUP($B35,'PW_CMI GRADE 10'!$B$7:$B$31,'PW_CMI GRADE 10'!$W$7:$W$31,"",0,1)&lt;=TODAY()-MOD(WEEKDAY(TODAY(),2)-5,7)),$D35,0)</f>
        <v>0</v>
      </c>
      <c r="CW85" s="62" t="e">
        <f t="shared" ca="1" si="132"/>
        <v>#REF!</v>
      </c>
      <c r="CX85" s="62" t="e">
        <f t="shared" ca="1" si="69"/>
        <v>#REF!</v>
      </c>
      <c r="CY85" s="62" t="e">
        <f t="shared" ca="1" si="70"/>
        <v>#REF!</v>
      </c>
      <c r="CZ85" s="62" t="e">
        <f t="shared" ca="1" si="71"/>
        <v>#REF!</v>
      </c>
      <c r="DA85" s="62" t="e">
        <f t="shared" ca="1" si="72"/>
        <v>#REF!</v>
      </c>
      <c r="DB85" s="62" t="e">
        <f t="shared" ca="1" si="73"/>
        <v>#REF!</v>
      </c>
      <c r="DC85" s="62" t="e">
        <f t="shared" ca="1" si="74"/>
        <v>#REF!</v>
      </c>
      <c r="DD85" s="62" t="e">
        <f t="shared" ca="1" si="75"/>
        <v>#REF!</v>
      </c>
      <c r="DE85" s="62" t="e">
        <f t="shared" ca="1" si="76"/>
        <v>#REF!</v>
      </c>
      <c r="DF85" s="62" t="e">
        <f t="shared" ca="1" si="77"/>
        <v>#REF!</v>
      </c>
      <c r="DG85" s="62" t="e">
        <f t="shared" ca="1" si="78"/>
        <v>#REF!</v>
      </c>
      <c r="DH85" s="62" t="e">
        <f t="shared" ca="1" si="79"/>
        <v>#REF!</v>
      </c>
      <c r="DI85" s="62" t="e">
        <f t="shared" ca="1" si="80"/>
        <v>#REF!</v>
      </c>
      <c r="DJ85" s="62" t="e">
        <f t="shared" ca="1" si="81"/>
        <v>#REF!</v>
      </c>
      <c r="DK85" s="62" t="e">
        <f t="shared" ca="1" si="82"/>
        <v>#REF!</v>
      </c>
      <c r="DL85" s="62" t="e">
        <f t="shared" ca="1" si="83"/>
        <v>#REF!</v>
      </c>
      <c r="DM85" s="62" t="e">
        <f t="shared" ca="1" si="84"/>
        <v>#REF!</v>
      </c>
      <c r="DN85" s="62" t="e">
        <f t="shared" ca="1" si="85"/>
        <v>#REF!</v>
      </c>
      <c r="DO85" s="62" t="e">
        <f t="shared" ca="1" si="86"/>
        <v>#REF!</v>
      </c>
      <c r="DP85" s="62" t="e">
        <f t="shared" ca="1" si="87"/>
        <v>#REF!</v>
      </c>
      <c r="DQ85" s="62" t="e">
        <f t="shared" ca="1" si="88"/>
        <v>#REF!</v>
      </c>
      <c r="DR85" s="62" t="e">
        <f t="shared" ca="1" si="89"/>
        <v>#REF!</v>
      </c>
      <c r="DS85" s="62" t="e">
        <f t="shared" ca="1" si="90"/>
        <v>#REF!</v>
      </c>
      <c r="DT85" s="62" t="e">
        <f t="shared" ca="1" si="91"/>
        <v>#REF!</v>
      </c>
      <c r="DU85" s="62" t="e">
        <f t="shared" ca="1" si="92"/>
        <v>#REF!</v>
      </c>
      <c r="DV85" s="62" t="e">
        <f t="shared" ca="1" si="93"/>
        <v>#REF!</v>
      </c>
      <c r="DW85" s="62" t="e">
        <f t="shared" ca="1" si="94"/>
        <v>#REF!</v>
      </c>
      <c r="DX85" s="62" t="e">
        <f t="shared" ca="1" si="95"/>
        <v>#REF!</v>
      </c>
      <c r="DY85" s="62" t="e">
        <f t="shared" ca="1" si="96"/>
        <v>#REF!</v>
      </c>
      <c r="DZ85" s="62" t="e">
        <f t="shared" ca="1" si="97"/>
        <v>#REF!</v>
      </c>
      <c r="EA85" s="63" t="e">
        <f t="shared" ca="1" si="98"/>
        <v>#REF!</v>
      </c>
      <c r="EB85" s="63" t="e">
        <f t="shared" ca="1" si="99"/>
        <v>#REF!</v>
      </c>
      <c r="EC85" s="63" t="e">
        <f t="shared" ca="1" si="100"/>
        <v>#REF!</v>
      </c>
      <c r="ED85" s="63" t="e">
        <f t="shared" ca="1" si="101"/>
        <v>#REF!</v>
      </c>
      <c r="EE85" s="63" t="e">
        <f t="shared" ca="1" si="102"/>
        <v>#REF!</v>
      </c>
      <c r="EF85" s="63" t="e">
        <f t="shared" ca="1" si="103"/>
        <v>#REF!</v>
      </c>
      <c r="EG85" s="63" t="e">
        <f t="shared" ca="1" si="104"/>
        <v>#REF!</v>
      </c>
      <c r="EH85" s="63" t="e">
        <f t="shared" ca="1" si="105"/>
        <v>#REF!</v>
      </c>
      <c r="EI85" s="63" t="e">
        <f t="shared" ca="1" si="106"/>
        <v>#REF!</v>
      </c>
      <c r="EJ85" s="63" t="e">
        <f t="shared" ca="1" si="107"/>
        <v>#REF!</v>
      </c>
      <c r="EK85" s="63" t="e">
        <f t="shared" ca="1" si="108"/>
        <v>#REF!</v>
      </c>
      <c r="EL85" s="63" t="e">
        <f t="shared" ca="1" si="109"/>
        <v>#REF!</v>
      </c>
      <c r="EM85" s="63" t="e">
        <f t="shared" ca="1" si="110"/>
        <v>#REF!</v>
      </c>
      <c r="EN85" s="63" t="e">
        <f t="shared" ca="1" si="111"/>
        <v>#REF!</v>
      </c>
      <c r="EO85" s="63" t="e">
        <f t="shared" ca="1" si="112"/>
        <v>#REF!</v>
      </c>
      <c r="EP85" s="63" t="e">
        <f t="shared" ca="1" si="113"/>
        <v>#REF!</v>
      </c>
    </row>
    <row r="86" spans="1:146">
      <c r="A86" s="64" t="str">
        <f t="shared" si="131"/>
        <v>5A.2</v>
      </c>
      <c r="B86" s="64" t="s">
        <v>67</v>
      </c>
      <c r="C86" s="30">
        <v>4</v>
      </c>
      <c r="D86" s="30">
        <v>2</v>
      </c>
      <c r="E86" s="65">
        <f ca="1">IF(AND($D36&lt;&gt;0,_xlfn.XLOOKUP($B36,'TH_MLG GRADE 10'!$B$7:$B$49,'TH_MLG GRADE 10'!C$7:C$49,"",0,1)="P",
   _xlfn.XLOOKUP($B36,'TH_MLG GRADE 10'!$B$7:$B$49,'TH_MLG GRADE 10'!$BK$7:$BK$49,"",0,1)&lt;=TODAY()-MOD(WEEKDAY(TODAY(),2)-5,7)),$D36,0)</f>
        <v>2</v>
      </c>
      <c r="F86" s="65">
        <f ca="1">IF(AND($D36&lt;&gt;0,_xlfn.XLOOKUP($B36,'TH_MLG GRADE 10'!$B$7:$B$49,'TH_MLG GRADE 10'!D$7:D$49,"",0,1)="P",
   _xlfn.XLOOKUP($B36,'TH_MLG GRADE 10'!$B$7:$B$49,'TH_MLG GRADE 10'!$BL$7:$BL$49,"",0,1)&lt;=TODAY()-MOD(WEEKDAY(TODAY(),2)-5,7)),$D36,0)</f>
        <v>2</v>
      </c>
      <c r="G86" s="65">
        <f ca="1">IF(AND($D36&lt;&gt;0,_xlfn.XLOOKUP($B36,'TH_MLG GRADE 10'!$B$7:$B$49,'TH_MLG GRADE 10'!E$7:E$49,"",0,1)="P",
   _xlfn.XLOOKUP($B36,'TH_MLG GRADE 10'!$B$7:$B$49,'TH_MLG GRADE 10'!$BM$7:$BM$49,"",0,1)&lt;=TODAY()-MOD(WEEKDAY(TODAY(),2)-5,7)),$D36,0)</f>
        <v>0</v>
      </c>
      <c r="H86" s="65">
        <f ca="1">IF(AND($D36&lt;&gt;0,_xlfn.XLOOKUP($B36,'TH_MLG GRADE 10'!$B$7:$B$49,'TH_MLG GRADE 10'!I$7:I$49,"",0,1)="P",
   _xlfn.XLOOKUP($B36,'TH_MLG GRADE 10'!$B$7:$B$49,'TH_MLG GRADE 10'!$BK$7:$BK$49,"",0,1)&lt;=TODAY()-MOD(WEEKDAY(TODAY(),2)-5,7)),$D36,0)</f>
        <v>2</v>
      </c>
      <c r="I86" s="65">
        <f ca="1">IF(AND($D36&lt;&gt;0,_xlfn.XLOOKUP($B36,'TH_MLG GRADE 10'!$B$7:$B$49,'TH_MLG GRADE 10'!J$7:J$49,"",0,1)="P",
   _xlfn.XLOOKUP($B36,'TH_MLG GRADE 10'!$B$7:$B$49,'TH_MLG GRADE 10'!$BL$7:$BL$49,"",0,1)&lt;=TODAY()-MOD(WEEKDAY(TODAY(),2)-5,7)),$D36,0)</f>
        <v>2</v>
      </c>
      <c r="J86" s="65">
        <f ca="1">IF(AND($D36&lt;&gt;0,_xlfn.XLOOKUP($B36,'TH_MLG GRADE 10'!$B$7:$B$49,'TH_MLG GRADE 10'!K$7:K$49,"",0,1)="P",
   _xlfn.XLOOKUP($B36,'TH_MLG GRADE 10'!$B$7:$B$49,'TH_MLG GRADE 10'!$BM$7:$BM$49,"",0,1)&lt;=TODAY()-MOD(WEEKDAY(TODAY(),2)-5,7)),$D36,0)</f>
        <v>2</v>
      </c>
      <c r="K86" s="65">
        <f ca="1">IF(AND($D36&lt;&gt;0,_xlfn.XLOOKUP($B36,'TH_MLG GRADE 10'!$B$7:$B$49,'TH_MLG GRADE 10'!O$7:O$49,"",0,1)="P",
   _xlfn.XLOOKUP($B36,'TH_MLG GRADE 10'!$B$7:$B$49,'TH_MLG GRADE 10'!$BK$7:$BK$49,"",0,1)&lt;=TODAY()-MOD(WEEKDAY(TODAY(),2)-5,7)),$D36,0)</f>
        <v>2</v>
      </c>
      <c r="L86" s="65">
        <f ca="1">IF(AND($D36&lt;&gt;0,_xlfn.XLOOKUP($B36,'TH_MLG GRADE 10'!$B$7:$B$49,'TH_MLG GRADE 10'!P$7:P$49,"",0,1)="P",
   _xlfn.XLOOKUP($B36,'TH_MLG GRADE 10'!$B$7:$B$49,'TH_MLG GRADE 10'!$BL$7:$BL$49,"",0,1)&lt;=TODAY()-MOD(WEEKDAY(TODAY(),2)-5,7)),$D36,0)</f>
        <v>0</v>
      </c>
      <c r="M86" s="65">
        <f ca="1">IF(AND($D36&lt;&gt;0,_xlfn.XLOOKUP($B36,'TH_MLG GRADE 10'!$B$7:$B$49,'TH_MLG GRADE 10'!Q$7:Q$49,"",0,1)="P",
   _xlfn.XLOOKUP($B36,'TH_MLG GRADE 10'!$B$7:$B$49,'TH_MLG GRADE 10'!$BM$7:$BM$49,"",0,1)&lt;=TODAY()-MOD(WEEKDAY(TODAY(),2)-5,7)),$D36,0)</f>
        <v>0</v>
      </c>
      <c r="N86" s="65">
        <f ca="1">IF(AND($D36&lt;&gt;0,_xlfn.XLOOKUP($B36,'TH_MLG GRADE 10'!$B$7:$B$49,'TH_MLG GRADE 10'!AA$7:AA$49,"",0,1)="P",
   _xlfn.XLOOKUP($B36,'TH_MLG GRADE 10'!$B$7:$B$49,'TH_MLG GRADE 10'!$BK$7:$BK$49,"",0,1)&lt;=TODAY()-MOD(WEEKDAY(TODAY(),2)-5,7)),$D36,0)</f>
        <v>0</v>
      </c>
      <c r="O86" s="65">
        <f ca="1">IF(AND($D36&lt;&gt;0,_xlfn.XLOOKUP($B36,'TH_MLG GRADE 10'!$B$7:$B$49,'TH_MLG GRADE 10'!AB$7:AB$49,"",0,1)="P",
   _xlfn.XLOOKUP($B36,'TH_MLG GRADE 10'!$B$7:$B$49,'TH_MLG GRADE 10'!$BL$7:$BL$49,"",0,1)&lt;=TODAY()-MOD(WEEKDAY(TODAY(),2)-5,7)),$D36,0)</f>
        <v>0</v>
      </c>
      <c r="P86" s="65">
        <f ca="1">IF(AND($D36&lt;&gt;0,_xlfn.XLOOKUP($B36,'TH_MLG GRADE 10'!$B$7:$B$49,'TH_MLG GRADE 10'!AC$7:AC$49,"",0,1)="P",
   _xlfn.XLOOKUP($B36,'TH_MLG GRADE 10'!$B$7:$B$49,'TH_MLG GRADE 10'!$BM$7:$BM$49,"",0,1)&lt;=TODAY()-MOD(WEEKDAY(TODAY(),2)-5,7)),$D36,0)</f>
        <v>0</v>
      </c>
      <c r="Q86" s="65">
        <f ca="1">IF(AND($D36&lt;&gt;0,_xlfn.XLOOKUP($B36,'TH_MLG GRADE 10'!$B$7:$B$49,'TH_MLG GRADE 10'!AG$7:AG$49,"",0,1)="P",
   _xlfn.XLOOKUP($B36,'TH_MLG GRADE 10'!$B$7:$B$49,'TH_MLG GRADE 10'!$BK$7:$BK$49,"",0,1)&lt;=TODAY()-MOD(WEEKDAY(TODAY(),2)-5,7)),$D36,0)</f>
        <v>0</v>
      </c>
      <c r="R86" s="65">
        <f ca="1">IF(AND($D36&lt;&gt;0,_xlfn.XLOOKUP($B36,'TH_MLG GRADE 10'!$B$7:$B$49,'TH_MLG GRADE 10'!AH$7:AH$49,"",0,1)="P",
   _xlfn.XLOOKUP($B36,'TH_MLG GRADE 10'!$B$7:$B$49,'TH_MLG GRADE 10'!$BL$7:$BL$49,"",0,1)&lt;=TODAY()-MOD(WEEKDAY(TODAY(),2)-5,7)),$D36,0)</f>
        <v>0</v>
      </c>
      <c r="S86" s="65">
        <f ca="1">IF(AND($D36&lt;&gt;0,_xlfn.XLOOKUP($B36,'TH_MLG GRADE 10'!$B$7:$B$49,'TH_MLG GRADE 10'!AI$7:AI$49,"",0,1)="P",
   _xlfn.XLOOKUP($B36,'TH_MLG GRADE 10'!$B$7:$B$49,'TH_MLG GRADE 10'!$BM$7:$BM$49,"",0,1)&lt;=TODAY()-MOD(WEEKDAY(TODAY(),2)-5,7)),$D36,0)</f>
        <v>0</v>
      </c>
      <c r="T86" s="65">
        <f ca="1">IF(AND($D36&lt;&gt;0,_xlfn.XLOOKUP($B36,'TH_MLG GRADE 10'!$B$7:$B$49,'TH_MLG GRADE 10'!AM$7:AM$49,"",0,1)="P",
   _xlfn.XLOOKUP($B36,'TH_MLG GRADE 10'!$B$7:$B$49,'TH_MLG GRADE 10'!$BK$7:$BK$49,"",0,1)&lt;=TODAY()-MOD(WEEKDAY(TODAY(),2)-5,7)),$D36,0)</f>
        <v>0</v>
      </c>
      <c r="U86" s="65">
        <f ca="1">IF(AND($D36&lt;&gt;0,_xlfn.XLOOKUP($B36,'TH_MLG GRADE 10'!$B$7:$B$49,'TH_MLG GRADE 10'!AN$7:AN$49,"",0,1)="P",
   _xlfn.XLOOKUP($B36,'TH_MLG GRADE 10'!$B$7:$B$49,'TH_MLG GRADE 10'!$BL$7:$BL$49,"",0,1)&lt;=TODAY()-MOD(WEEKDAY(TODAY(),2)-5,7)),$D36,0)</f>
        <v>0</v>
      </c>
      <c r="V86" s="65">
        <f ca="1">IF(AND($D36&lt;&gt;0,_xlfn.XLOOKUP($B36,'TH_MLG GRADE 10'!$B$7:$B$49,'TH_MLG GRADE 10'!AO$7:AO$49,"",0,1)="P",
   _xlfn.XLOOKUP($B36,'TH_MLG GRADE 10'!$B$7:$B$49,'TH_MLG GRADE 10'!$BM$7:$BM$49,"",0,1)&lt;=TODAY()-MOD(WEEKDAY(TODAY(),2)-5,7)),$D36,0)</f>
        <v>0</v>
      </c>
      <c r="W86" s="65">
        <f ca="1">IF(AND($D36&lt;&gt;0,_xlfn.XLOOKUP($B36,'TH_MLG GRADE 10'!$B$7:$B$49,'TH_MLG GRADE 10'!AY$7:AY$49,"",0,1)="P",
   _xlfn.XLOOKUP($B36,'TH_MLG GRADE 10'!$B$7:$B$49,'TH_MLG GRADE 10'!$BK$7:$BK$49,"",0,1)&lt;=TODAY()-MOD(WEEKDAY(TODAY(),2)-5,7)),$D36,0)</f>
        <v>0</v>
      </c>
      <c r="X86" s="65">
        <f ca="1">IF(AND($D36&lt;&gt;0,_xlfn.XLOOKUP($B36,'TH_MLG GRADE 10'!$B$7:$B$49,'TH_MLG GRADE 10'!AZ$7:AZ$49,"",0,1)="P",
   _xlfn.XLOOKUP($B36,'TH_MLG GRADE 10'!$B$7:$B$49,'TH_MLG GRADE 10'!$BL$7:$BL$49,"",0,1)&lt;=TODAY()-MOD(WEEKDAY(TODAY(),2)-5,7)),$D36,0)</f>
        <v>0</v>
      </c>
      <c r="Y86" s="65">
        <f ca="1">IF(AND($D36&lt;&gt;0,_xlfn.XLOOKUP($B36,'TH_MLG GRADE 10'!$B$7:$B$49,'TH_MLG GRADE 10'!BA$7:BA$49,"",0,1)="P",
   _xlfn.XLOOKUP($B36,'TH_MLG GRADE 10'!$B$7:$B$49,'TH_MLG GRADE 10'!$BM$7:$BM$49,"",0,1)&lt;=TODAY()-MOD(WEEKDAY(TODAY(),2)-5,7)),$D36,0)</f>
        <v>0</v>
      </c>
      <c r="Z86" s="65">
        <f ca="1">IF(AND($D36&lt;&gt;0,_xlfn.XLOOKUP($B36,'TH_MLG GRADE 10'!$B$7:$B$49,'TH_MLG GRADE 10'!BE$7:BE$49,"",0,1)="P",
   _xlfn.XLOOKUP($B36,'TH_MLG GRADE 10'!$B$7:$B$49,'TH_MLG GRADE 10'!$BK$7:$BK$49,"",0,1)&lt;=TODAY()-MOD(WEEKDAY(TODAY(),2)-5,7)),$D36,0)</f>
        <v>0</v>
      </c>
      <c r="AA86" s="65">
        <f ca="1">IF(AND($D36&lt;&gt;0,_xlfn.XLOOKUP($B36,'TH_MLG GRADE 10'!$B$7:$B$49,'TH_MLG GRADE 10'!BF$7:BF$49,"",0,1)="P",
   _xlfn.XLOOKUP($B36,'TH_MLG GRADE 10'!$B$7:$B$49,'TH_MLG GRADE 10'!$BL$7:$BL$49,"",0,1)&lt;=TODAY()-MOD(WEEKDAY(TODAY(),2)-5,7)),$D36,0)</f>
        <v>0</v>
      </c>
      <c r="AB86" s="65">
        <f ca="1">IF(AND($D36&lt;&gt;0,_xlfn.XLOOKUP($B36,'TH_MLG GRADE 10'!$B$7:$B$49,'TH_MLG GRADE 10'!BG$7:BG$49,"",0,1)="P",
   _xlfn.XLOOKUP($B36,'TH_MLG GRADE 10'!$B$7:$B$49,'TH_MLG GRADE 10'!$BM$7:$BM$49,"",0,1)&lt;=TODAY()-MOD(WEEKDAY(TODAY(),2)-5,7)),$D36,0)</f>
        <v>0</v>
      </c>
      <c r="AC86" s="65" t="e">
        <f ca="1">IF(AND($D36&lt;&gt;0,_xlfn.XLOOKUP($B36,'TH_MLG GRADE 10'!$B$7:$B$49,'TH_MLG GRADE 10'!#REF!,"",0,1)="P",
   _xlfn.XLOOKUP($B36,'TH_MLG GRADE 10'!$B$7:$B$49,'TH_MLG GRADE 10'!$BK$7:$BK$49,"",0,1)&lt;=TODAY()-MOD(WEEKDAY(TODAY(),2)-5,7)),$D36,0)</f>
        <v>#REF!</v>
      </c>
      <c r="AD86" s="65" t="e">
        <f ca="1">IF(AND($D36&lt;&gt;0,_xlfn.XLOOKUP($B36,'TH_MLG GRADE 10'!$B$7:$B$49,'TH_MLG GRADE 10'!#REF!,"",0,1)="P",
   _xlfn.XLOOKUP($B36,'TH_MLG GRADE 10'!$B$7:$B$49,'TH_MLG GRADE 10'!$BL$7:$BL$49,"",0,1)&lt;=TODAY()-MOD(WEEKDAY(TODAY(),2)-5,7)),$D36,0)</f>
        <v>#REF!</v>
      </c>
      <c r="AE86" s="65" t="e">
        <f ca="1">IF(AND($D36&lt;&gt;0,_xlfn.XLOOKUP($B36,'TH_MLG GRADE 10'!$B$7:$B$49,'TH_MLG GRADE 10'!#REF!,"",0,1)="P",
   _xlfn.XLOOKUP($B36,'TH_MLG GRADE 10'!$B$7:$B$49,'TH_MLG GRADE 10'!$BM$7:$BM$49,"",0,1)&lt;=TODAY()-MOD(WEEKDAY(TODAY(),2)-5,7)),$D36,0)</f>
        <v>#REF!</v>
      </c>
      <c r="AF86" s="65" t="e">
        <f ca="1">IF(AND($D36&lt;&gt;0,_xlfn.XLOOKUP($B36,'TH_MLG GRADE 10'!$B$7:$B$49,'TH_MLG GRADE 10'!#REF!,"",0,1)="P",
   _xlfn.XLOOKUP($B36,'TH_MLG GRADE 10'!$B$7:$B$49,'TH_MLG GRADE 10'!$BK$7:$BK$49,"",0,1)&lt;=TODAY()-MOD(WEEKDAY(TODAY(),2)-5,7)),$D36,0)</f>
        <v>#REF!</v>
      </c>
      <c r="AG86" s="65" t="e">
        <f ca="1">IF(AND($D36&lt;&gt;0,_xlfn.XLOOKUP($B36,'TH_MLG GRADE 10'!$B$7:$B$49,'TH_MLG GRADE 10'!#REF!,"",0,1)="P",
   _xlfn.XLOOKUP($B36,'TH_MLG GRADE 10'!$B$7:$B$49,'TH_MLG GRADE 10'!$BL$7:$BL$49,"",0,1)&lt;=TODAY()-MOD(WEEKDAY(TODAY(),2)-5,7)),$D36,0)</f>
        <v>#REF!</v>
      </c>
      <c r="AH86" s="65" t="e">
        <f ca="1">IF(AND($D36&lt;&gt;0,_xlfn.XLOOKUP($B36,'TH_MLG GRADE 10'!$B$7:$B$49,'TH_MLG GRADE 10'!#REF!,"",0,1)="P",
   _xlfn.XLOOKUP($B36,'TH_MLG GRADE 10'!$B$7:$B$49,'TH_MLG GRADE 10'!$BM$7:$BM$49,"",0,1)&lt;=TODAY()-MOD(WEEKDAY(TODAY(),2)-5,7)),$D36,0)</f>
        <v>#REF!</v>
      </c>
      <c r="AI86" s="67">
        <f ca="1">IF(AND($D36&lt;&gt;0,_xlfn.XLOOKUP($B36,'TH_CMI GRADE 10'!$B$7:$B$49,'TH_CMI GRADE 10'!C$7:C$49,"",0,1)="P",
   _xlfn.XLOOKUP($B36,'TH_CMI GRADE 10'!$B$7:$B$49,'TH_CMI GRADE 10'!$AS$7:$AS$49,"",0,1)&lt;=TODAY()-MOD(WEEKDAY(TODAY(),2)-5,7)),$D36,0)</f>
        <v>0</v>
      </c>
      <c r="AJ86" s="67">
        <f ca="1">IF(AND($D36&lt;&gt;0,_xlfn.XLOOKUP($B36,'TH_CMI GRADE 10'!$B$7:$B$49,'TH_CMI GRADE 10'!D$7:D$49,"",0,1)="P",
   _xlfn.XLOOKUP($B36,'TH_CMI GRADE 10'!$B$7:$B$49,'TH_CMI GRADE 10'!$AT$7:$AT$49,"",0,1)&lt;=TODAY()-MOD(WEEKDAY(TODAY(),2)-5,7)),$D36,0)</f>
        <v>0</v>
      </c>
      <c r="AK86" s="67" t="e">
        <f ca="1">IF(AND($D36&lt;&gt;0,_xlfn.XLOOKUP($B36,'TH_CMI GRADE 10'!$B$7:$B$49,'TH_CMI GRADE 10'!H$7:H$49,"",0,1)="P",
   _xlfn.XLOOKUP($B36,'TH_CMI GRADE 10'!$B$7:$B$49,'TH_CMI GRADE 10'!#REF!,"",0,1)&lt;=TODAY()-MOD(WEEKDAY(TODAY(),2)-5,7)),$D36,0)</f>
        <v>#REF!</v>
      </c>
      <c r="AL86" s="67">
        <f ca="1">IF(AND($D36&lt;&gt;0,_xlfn.XLOOKUP($B36,'TH_CMI GRADE 10'!$B$7:$B$49,'TH_CMI GRADE 10'!I$7:I$49,"",0,1)="P",
   _xlfn.XLOOKUP($B36,'TH_CMI GRADE 10'!$B$7:$B$49,'TH_CMI GRADE 10'!$AS$7:$AS$49,"",0,1)&lt;=TODAY()-MOD(WEEKDAY(TODAY(),2)-5,7)),$D36,0)</f>
        <v>2</v>
      </c>
      <c r="AM86" s="67">
        <f ca="1">IF(AND($D36&lt;&gt;0,_xlfn.XLOOKUP($B36,'TH_CMI GRADE 10'!$B$7:$B$49,'TH_CMI GRADE 10'!J$7:J$49,"",0,1)="P",
   _xlfn.XLOOKUP($B36,'TH_CMI GRADE 10'!$B$7:$B$49,'TH_CMI GRADE 10'!$AT$7:$AT$49,"",0,1)&lt;=TODAY()-MOD(WEEKDAY(TODAY(),2)-5,7)),$D36,0)</f>
        <v>2</v>
      </c>
      <c r="AN86" s="67" t="e">
        <f ca="1">IF(AND($D36&lt;&gt;0,_xlfn.XLOOKUP($B36,'TH_CMI GRADE 10'!$B$7:$B$49,'TH_CMI GRADE 10'!K$7:K$49,"",0,1)="P",
   _xlfn.XLOOKUP($B36,'TH_CMI GRADE 10'!$B$7:$B$49,'TH_CMI GRADE 10'!#REF!,"",0,1)&lt;=TODAY()-MOD(WEEKDAY(TODAY(),2)-5,7)),$D36,0)</f>
        <v>#REF!</v>
      </c>
      <c r="AO86" s="67">
        <f ca="1">IF(AND($D36&lt;&gt;0,_xlfn.XLOOKUP($B36,'TH_CMI GRADE 10'!$B$7:$B$49,'TH_CMI GRADE 10'!O$7:O$49,"",0,1)="P",
   _xlfn.XLOOKUP($B36,'TH_CMI GRADE 10'!$B$7:$B$49,'TH_CMI GRADE 10'!$AS$7:$AS$49,"",0,1)&lt;=TODAY()-MOD(WEEKDAY(TODAY(),2)-5,7)),$D36,0)</f>
        <v>0</v>
      </c>
      <c r="AP86" s="67">
        <f ca="1">IF(AND($D36&lt;&gt;0,_xlfn.XLOOKUP($B36,'TH_CMI GRADE 10'!$B$7:$B$49,'TH_CMI GRADE 10'!P$7:P$49,"",0,1)="P",
   _xlfn.XLOOKUP($B36,'TH_CMI GRADE 10'!$B$7:$B$49,'TH_CMI GRADE 10'!$AT$7:$AT$49,"",0,1)&lt;=TODAY()-MOD(WEEKDAY(TODAY(),2)-5,7)),$D36,0)</f>
        <v>0</v>
      </c>
      <c r="AQ86" s="67" t="e">
        <f ca="1">IF(AND($D36&lt;&gt;0,_xlfn.XLOOKUP($B36,'TH_CMI GRADE 10'!$B$7:$B$49,'TH_CMI GRADE 10'!Q$7:Q$49,"",0,1)="P",
   _xlfn.XLOOKUP($B36,'TH_CMI GRADE 10'!$B$7:$B$49,'TH_CMI GRADE 10'!#REF!,"",0,1)&lt;=TODAY()-MOD(WEEKDAY(TODAY(),2)-5,7)),$D36,0)</f>
        <v>#REF!</v>
      </c>
      <c r="AR86" s="67">
        <f ca="1">IF(AND($D36&lt;&gt;0,_xlfn.XLOOKUP($B36,'TH_CMI GRADE 10'!$B$7:$B$49,'TH_CMI GRADE 10'!U$7:U$49,"",0,1)="P",
   _xlfn.XLOOKUP($B36,'TH_CMI GRADE 10'!$B$7:$B$49,'TH_CMI GRADE 10'!$AS$7:$AS$49,"",0,1)&lt;=TODAY()-MOD(WEEKDAY(TODAY(),2)-5,7)),$D36,0)</f>
        <v>2</v>
      </c>
      <c r="AS86" s="67">
        <f ca="1">IF(AND($D36&lt;&gt;0,_xlfn.XLOOKUP($B36,'TH_CMI GRADE 10'!$B$7:$B$49,'TH_CMI GRADE 10'!V$7:V$49,"",0,1)="P",
   _xlfn.XLOOKUP($B36,'TH_CMI GRADE 10'!$B$7:$B$49,'TH_CMI GRADE 10'!$AT$7:$AT$49,"",0,1)&lt;=TODAY()-MOD(WEEKDAY(TODAY(),2)-5,7)),$D36,0)</f>
        <v>2</v>
      </c>
      <c r="AT86" s="67" t="e">
        <f ca="1">IF(AND($D36&lt;&gt;0,_xlfn.XLOOKUP($B36,'TH_CMI GRADE 10'!$B$7:$B$49,'TH_CMI GRADE 10'!W$7:W$49,"",0,1)="P",
   _xlfn.XLOOKUP($B36,'TH_CMI GRADE 10'!$B$7:$B$49,'TH_CMI GRADE 10'!#REF!,"",0,1)&lt;=TODAY()-MOD(WEEKDAY(TODAY(),2)-5,7)),$D36,0)</f>
        <v>#REF!</v>
      </c>
      <c r="AU86" s="67">
        <f ca="1">IF(AND($D36&lt;&gt;0,_xlfn.XLOOKUP($B36,'TH_CMI GRADE 10'!$B$7:$B$49,'TH_CMI GRADE 10'!AA$7:AA$49,"",0,1)="P",
   _xlfn.XLOOKUP($B36,'TH_CMI GRADE 10'!$B$7:$B$49,'TH_CMI GRADE 10'!$AS$7:$AS$49,"",0,1)&lt;=TODAY()-MOD(WEEKDAY(TODAY(),2)-5,7)),$D36,0)</f>
        <v>0</v>
      </c>
      <c r="AV86" s="67">
        <f ca="1">IF(AND($D36&lt;&gt;0,_xlfn.XLOOKUP($B36,'TH_CMI GRADE 10'!$B$7:$B$49,'TH_CMI GRADE 10'!AB$7:AB$49,"",0,1)="P",
   _xlfn.XLOOKUP($B36,'TH_CMI GRADE 10'!$B$7:$B$49,'TH_CMI GRADE 10'!$AT$7:$AT$49,"",0,1)&lt;=TODAY()-MOD(WEEKDAY(TODAY(),2)-5,7)),$D36,0)</f>
        <v>0</v>
      </c>
      <c r="AW86" s="67" t="e">
        <f ca="1">IF(AND($D36&lt;&gt;0,_xlfn.XLOOKUP($B36,'TH_CMI GRADE 10'!$B$7:$B$49,'TH_CMI GRADE 10'!AC$7:AC$49,"",0,1)="P",
   _xlfn.XLOOKUP($B36,'TH_CMI GRADE 10'!$B$7:$B$49,'TH_CMI GRADE 10'!#REF!,"",0,1)&lt;=TODAY()-MOD(WEEKDAY(TODAY(),2)-5,7)),$D36,0)</f>
        <v>#REF!</v>
      </c>
      <c r="AX86" s="67">
        <f ca="1">IF(AND($D36&lt;&gt;0,_xlfn.XLOOKUP($B36,'TH_CMI GRADE 10'!$B$7:$B$49,'TH_CMI GRADE 10'!AG$7:AG$49,"",0,1)="P",
   _xlfn.XLOOKUP($B36,'TH_CMI GRADE 10'!$B$7:$B$49,'TH_CMI GRADE 10'!$AS$7:$AS$49,"",0,1)&lt;=TODAY()-MOD(WEEKDAY(TODAY(),2)-5,7)),$D36,0)</f>
        <v>0</v>
      </c>
      <c r="AY86" s="67">
        <f ca="1">IF(AND($D36&lt;&gt;0,_xlfn.XLOOKUP($B36,'TH_CMI GRADE 10'!$B$7:$B$49,'TH_CMI GRADE 10'!AH$7:AH$49,"",0,1)="P",
   _xlfn.XLOOKUP($B36,'TH_CMI GRADE 10'!$B$7:$B$49,'TH_CMI GRADE 10'!$AT$7:$AT$49,"",0,1)&lt;=TODAY()-MOD(WEEKDAY(TODAY(),2)-5,7)),$D36,0)</f>
        <v>0</v>
      </c>
      <c r="AZ86" s="67" t="e">
        <f ca="1">IF(AND($D36&lt;&gt;0,_xlfn.XLOOKUP($B36,'TH_CMI GRADE 10'!$B$7:$B$49,'TH_CMI GRADE 10'!AI$7:AI$49,"",0,1)="P",
   _xlfn.XLOOKUP($B36,'TH_CMI GRADE 10'!$B$7:$B$49,'TH_CMI GRADE 10'!#REF!,"",0,1)&lt;=TODAY()-MOD(WEEKDAY(TODAY(),2)-5,7)),$D36,0)</f>
        <v>#REF!</v>
      </c>
      <c r="BA86" s="65" t="e">
        <f ca="1">IF(AND($D36&lt;&gt;0,_xlfn.XLOOKUP($B36,'PW_MLG GRADE 10'!$B$7:$B$31,'PW_MLG GRADE 10'!R$7:R$31,"",0,1)="P",
   _xlfn.XLOOKUP($B36,'PW_MLG GRADE 10'!$B$7:$B$31,'PW_MLG GRADE 10'!#REF!,"",0,1)&lt;=TODAY()-MOD(WEEKDAY(TODAY(),2)-5,7)),$D36,0)</f>
        <v>#REF!</v>
      </c>
      <c r="BB86" s="65" t="e">
        <f ca="1">IF(AND($D36&lt;&gt;0,_xlfn.XLOOKUP($B36,'PW_MLG GRADE 10'!$B$7:$B$31,'PW_MLG GRADE 10'!S$7:S$31,"",0,1)="P",
   _xlfn.XLOOKUP($B36,'PW_MLG GRADE 10'!$B$7:$B$31,'PW_MLG GRADE 10'!#REF!,"",0,1)&lt;=TODAY()-MOD(WEEKDAY(TODAY(),2)-5,7)),$D36,0)</f>
        <v>#REF!</v>
      </c>
      <c r="BC86" s="65" t="e">
        <f ca="1">IF(AND($D36&lt;&gt;0,_xlfn.XLOOKUP($B36,'PW_MLG GRADE 10'!$B$7:$B$31,'PW_MLG GRADE 10'!T$7:T$31,"",0,1)="P",
   _xlfn.XLOOKUP($B36,'PW_MLG GRADE 10'!$B$7:$B$31,'PW_MLG GRADE 10'!#REF!,"",0,1)&lt;=TODAY()-MOD(WEEKDAY(TODAY(),2)-5,7)),$D36,0)</f>
        <v>#REF!</v>
      </c>
      <c r="BD86" s="65" t="e">
        <f ca="1">IF(AND($D36&lt;&gt;0,_xlfn.XLOOKUP($B36,'PW_MLG GRADE 10'!$B$7:$B$31,'PW_MLG GRADE 10'!AA$7:AA$31,"",0,1)="P",
   _xlfn.XLOOKUP($B36,'PW_MLG GRADE 10'!$B$7:$B$31,'PW_MLG GRADE 10'!#REF!,"",0,1)&lt;=TODAY()-MOD(WEEKDAY(TODAY(),2)-5,7)),$D36,0)</f>
        <v>#REF!</v>
      </c>
      <c r="BE86" s="65" t="e">
        <f ca="1">IF(AND($D36&lt;&gt;0,_xlfn.XLOOKUP($B36,'PW_MLG GRADE 10'!$B$7:$B$31,'PW_MLG GRADE 10'!AB$7:AB$31,"",0,1)="P",
   _xlfn.XLOOKUP($B36,'PW_MLG GRADE 10'!$B$7:$B$31,'PW_MLG GRADE 10'!#REF!,"",0,1)&lt;=TODAY()-MOD(WEEKDAY(TODAY(),2)-5,7)),$D36,0)</f>
        <v>#REF!</v>
      </c>
      <c r="BF86" s="65" t="e">
        <f ca="1">IF(AND($D36&lt;&gt;0,_xlfn.XLOOKUP($B36,'PW_MLG GRADE 10'!$B$7:$B$31,'PW_MLG GRADE 10'!AC$7:AC$31,"",0,1)="P",
   _xlfn.XLOOKUP($B36,'PW_MLG GRADE 10'!$B$7:$B$31,'PW_MLG GRADE 10'!#REF!,"",0,1)&lt;=TODAY()-MOD(WEEKDAY(TODAY(),2)-5,7)),$D36,0)</f>
        <v>#REF!</v>
      </c>
      <c r="BG86" s="65" t="e">
        <f ca="1">IF(AND($D36&lt;&gt;0,_xlfn.XLOOKUP($B36,'PW_MLG GRADE 10'!$B$7:$B$31,'PW_MLG GRADE 10'!AD$7:AD$31,"",0,1)="P",
   _xlfn.XLOOKUP($B36,'PW_MLG GRADE 10'!$B$7:$B$31,'PW_MLG GRADE 10'!#REF!,"",0,1)&lt;=TODAY()-MOD(WEEKDAY(TODAY(),2)-5,7)),$D36,0)</f>
        <v>#REF!</v>
      </c>
      <c r="BH86" s="65" t="e">
        <f ca="1">IF(AND($D36&lt;&gt;0,_xlfn.XLOOKUP($B36,'PW_MLG GRADE 10'!$B$7:$B$31,'PW_MLG GRADE 10'!AE$7:AE$31,"",0,1)="P",
   _xlfn.XLOOKUP($B36,'PW_MLG GRADE 10'!$B$7:$B$31,'PW_MLG GRADE 10'!#REF!,"",0,1)&lt;=TODAY()-MOD(WEEKDAY(TODAY(),2)-5,7)),$D36,0)</f>
        <v>#REF!</v>
      </c>
      <c r="BI86" s="65" t="e">
        <f ca="1">IF(AND($D36&lt;&gt;0,_xlfn.XLOOKUP($B36,'PW_MLG GRADE 10'!$B$7:$B$31,'PW_MLG GRADE 10'!AF$7:AF$31,"",0,1)="P",
   _xlfn.XLOOKUP($B36,'PW_MLG GRADE 10'!$B$7:$B$31,'PW_MLG GRADE 10'!#REF!,"",0,1)&lt;=TODAY()-MOD(WEEKDAY(TODAY(),2)-5,7)),$D36,0)</f>
        <v>#REF!</v>
      </c>
      <c r="BJ86" s="65" t="e">
        <f ca="1">IF(AND($D36&lt;&gt;0,_xlfn.XLOOKUP($B36,'PW_MLG GRADE 10'!$B$7:$B$31,'PW_MLG GRADE 10'!AG$7:AG$31,"",0,1)="P",
   _xlfn.XLOOKUP($B36,'PW_MLG GRADE 10'!$B$7:$B$31,'PW_MLG GRADE 10'!#REF!,"",0,1)&lt;=TODAY()-MOD(WEEKDAY(TODAY(),2)-5,7)),$D36,0)</f>
        <v>#REF!</v>
      </c>
      <c r="BK86" s="65" t="e">
        <f ca="1">IF(AND($D36&lt;&gt;0,_xlfn.XLOOKUP($B36,'PW_MLG GRADE 10'!$B$7:$B$31,'PW_MLG GRADE 10'!AH$7:AH$31,"",0,1)="P",
   _xlfn.XLOOKUP($B36,'PW_MLG GRADE 10'!$B$7:$B$31,'PW_MLG GRADE 10'!#REF!,"",0,1)&lt;=TODAY()-MOD(WEEKDAY(TODAY(),2)-5,7)),$D36,0)</f>
        <v>#REF!</v>
      </c>
      <c r="BL86" s="65" t="e">
        <f ca="1">IF(AND($D36&lt;&gt;0,_xlfn.XLOOKUP($B36,'PW_MLG GRADE 10'!$B$7:$B$31,'PW_MLG GRADE 10'!AI$7:AI$31,"",0,1)="P",
   _xlfn.XLOOKUP($B36,'PW_MLG GRADE 10'!$B$7:$B$31,'PW_MLG GRADE 10'!#REF!,"",0,1)&lt;=TODAY()-MOD(WEEKDAY(TODAY(),2)-5,7)),$D36,0)</f>
        <v>#REF!</v>
      </c>
      <c r="BM86" s="65" t="e">
        <f ca="1">IF(AND($D36&lt;&gt;0,_xlfn.XLOOKUP($B36,'PW_MLG GRADE 10'!$B$7:$B$31,'PW_MLG GRADE 10'!AJ$7:AJ$31,"",0,1)="P",
   _xlfn.XLOOKUP($B36,'PW_MLG GRADE 10'!$B$7:$B$31,'PW_MLG GRADE 10'!#REF!,"",0,1)&lt;=TODAY()-MOD(WEEKDAY(TODAY(),2)-5,7)),$D36,0)</f>
        <v>#REF!</v>
      </c>
      <c r="BN86" s="65" t="e">
        <f ca="1">IF(AND($D36&lt;&gt;0,_xlfn.XLOOKUP($B36,'PW_MLG GRADE 10'!$B$7:$B$31,'PW_MLG GRADE 10'!AK$7:AK$31,"",0,1)="P",
   _xlfn.XLOOKUP($B36,'PW_MLG GRADE 10'!$B$7:$B$31,'PW_MLG GRADE 10'!#REF!,"",0,1)&lt;=TODAY()-MOD(WEEKDAY(TODAY(),2)-5,7)),$D36,0)</f>
        <v>#REF!</v>
      </c>
      <c r="BO86" s="65" t="e">
        <f ca="1">IF(AND($D36&lt;&gt;0,_xlfn.XLOOKUP($B36,'PW_MLG GRADE 10'!$B$7:$B$31,'PW_MLG GRADE 10'!AL$7:AL$31,"",0,1)="P",
   _xlfn.XLOOKUP($B36,'PW_MLG GRADE 10'!$B$7:$B$31,'PW_MLG GRADE 10'!#REF!,"",0,1)&lt;=TODAY()-MOD(WEEKDAY(TODAY(),2)-5,7)),$D36,0)</f>
        <v>#REF!</v>
      </c>
      <c r="BP86" s="65" t="e">
        <f ca="1">IF(AND($D36&lt;&gt;0,_xlfn.XLOOKUP($B36,'PW_MLG GRADE 10'!$B$7:$B$31,'PW_MLG GRADE 10'!AM$7:AM$31,"",0,1)="P",
   _xlfn.XLOOKUP($B36,'PW_MLG GRADE 10'!$B$7:$B$31,'PW_MLG GRADE 10'!#REF!,"",0,1)&lt;=TODAY()-MOD(WEEKDAY(TODAY(),2)-5,7)),$D36,0)</f>
        <v>#REF!</v>
      </c>
      <c r="BQ86" s="65" t="e">
        <f ca="1">IF(AND($D36&lt;&gt;0,_xlfn.XLOOKUP($B36,'PW_MLG GRADE 10'!$B$7:$B$31,'PW_MLG GRADE 10'!AN$7:AN$31,"",0,1)="P",
   _xlfn.XLOOKUP($B36,'PW_MLG GRADE 10'!$B$7:$B$31,'PW_MLG GRADE 10'!#REF!,"",0,1)&lt;=TODAY()-MOD(WEEKDAY(TODAY(),2)-5,7)),$D36,0)</f>
        <v>#REF!</v>
      </c>
      <c r="BR86" s="65" t="e">
        <f ca="1">IF(AND($D36&lt;&gt;0,_xlfn.XLOOKUP($B36,'PW_MLG GRADE 10'!$B$7:$B$31,'PW_MLG GRADE 10'!AO$7:AO$31,"",0,1)="P",
   _xlfn.XLOOKUP($B36,'PW_MLG GRADE 10'!$B$7:$B$31,'PW_MLG GRADE 10'!#REF!,"",0,1)&lt;=TODAY()-MOD(WEEKDAY(TODAY(),2)-5,7)),$D36,0)</f>
        <v>#REF!</v>
      </c>
      <c r="BS86" s="65" t="e">
        <f ca="1">IF(AND($D36&lt;&gt;0,_xlfn.XLOOKUP($B36,'PW_MLG GRADE 10'!$B$7:$B$31,'PW_MLG GRADE 10'!AP$7:AP$31,"",0,1)="P",
   _xlfn.XLOOKUP($B36,'PW_MLG GRADE 10'!$B$7:$B$31,'PW_MLG GRADE 10'!#REF!,"",0,1)&lt;=TODAY()-MOD(WEEKDAY(TODAY(),2)-5,7)),$D36,0)</f>
        <v>#REF!</v>
      </c>
      <c r="BT86" s="65" t="e">
        <f ca="1">IF(AND($D36&lt;&gt;0,_xlfn.XLOOKUP($B36,'PW_MLG GRADE 10'!$B$7:$B$31,'PW_MLG GRADE 10'!AQ$7:AQ$31,"",0,1)="P",
   _xlfn.XLOOKUP($B36,'PW_MLG GRADE 10'!$B$7:$B$31,'PW_MLG GRADE 10'!#REF!,"",0,1)&lt;=TODAY()-MOD(WEEKDAY(TODAY(),2)-5,7)),$D36,0)</f>
        <v>#REF!</v>
      </c>
      <c r="BU86" s="65" t="e">
        <f ca="1">IF(AND($D36&lt;&gt;0,_xlfn.XLOOKUP($B36,'PW_MLG GRADE 10'!$B$7:$B$31,'PW_MLG GRADE 10'!AR$7:AR$31,"",0,1)="P",
   _xlfn.XLOOKUP($B36,'PW_MLG GRADE 10'!$B$7:$B$31,'PW_MLG GRADE 10'!#REF!,"",0,1)&lt;=TODAY()-MOD(WEEKDAY(TODAY(),2)-5,7)),$D36,0)</f>
        <v>#REF!</v>
      </c>
      <c r="BV86" s="65" t="e">
        <f ca="1">IF(AND($D36&lt;&gt;0,_xlfn.XLOOKUP($B36,'PW_MLG GRADE 10'!$B$7:$B$31,'PW_MLG GRADE 10'!AY$7:AY$31,"",0,1)="P",
   _xlfn.XLOOKUP($B36,'PW_MLG GRADE 10'!$B$7:$B$31,'PW_MLG GRADE 10'!#REF!,"",0,1)&lt;=TODAY()-MOD(WEEKDAY(TODAY(),2)-5,7)),$D36,0)</f>
        <v>#REF!</v>
      </c>
      <c r="BW86" s="65" t="e">
        <f ca="1">IF(AND($D36&lt;&gt;0,_xlfn.XLOOKUP($B36,'PW_MLG GRADE 10'!$B$7:$B$31,'PW_MLG GRADE 10'!AZ$7:AZ$31,"",0,1)="P",
   _xlfn.XLOOKUP($B36,'PW_MLG GRADE 10'!$B$7:$B$31,'PW_MLG GRADE 10'!#REF!,"",0,1)&lt;=TODAY()-MOD(WEEKDAY(TODAY(),2)-5,7)),$D36,0)</f>
        <v>#REF!</v>
      </c>
      <c r="BX86" s="65" t="e">
        <f ca="1">IF(AND($D36&lt;&gt;0,_xlfn.XLOOKUP($B36,'PW_MLG GRADE 10'!$B$7:$B$31,'PW_MLG GRADE 10'!BA$7:BA$31,"",0,1)="P",
   _xlfn.XLOOKUP($B36,'PW_MLG GRADE 10'!$B$7:$B$31,'PW_MLG GRADE 10'!#REF!,"",0,1)&lt;=TODAY()-MOD(WEEKDAY(TODAY(),2)-5,7)),$D36,0)</f>
        <v>#REF!</v>
      </c>
      <c r="BY86" s="65" t="e">
        <f ca="1">IF(AND($D36&lt;&gt;0,_xlfn.XLOOKUP($B36,'PW_MLG GRADE 10'!$B$7:$B$31,'PW_MLG GRADE 10'!BB$7:BB$31,"",0,1)="P",
   _xlfn.XLOOKUP($B36,'PW_MLG GRADE 10'!$B$7:$B$31,'PW_MLG GRADE 10'!#REF!,"",0,1)&lt;=TODAY()-MOD(WEEKDAY(TODAY(),2)-5,7)),$D36,0)</f>
        <v>#REF!</v>
      </c>
      <c r="BZ86" s="65" t="e">
        <f ca="1">IF(AND($D36&lt;&gt;0,_xlfn.XLOOKUP($B36,'PW_MLG GRADE 10'!$B$7:$B$31,'PW_MLG GRADE 10'!BC$7:BC$31,"",0,1)="P",
   _xlfn.XLOOKUP($B36,'PW_MLG GRADE 10'!$B$7:$B$31,'PW_MLG GRADE 10'!#REF!,"",0,1)&lt;=TODAY()-MOD(WEEKDAY(TODAY(),2)-5,7)),$D36,0)</f>
        <v>#REF!</v>
      </c>
      <c r="CA86" s="65" t="e">
        <f ca="1">IF(AND($D36&lt;&gt;0,_xlfn.XLOOKUP($B36,'PW_MLG GRADE 10'!$B$7:$B$31,'PW_MLG GRADE 10'!BD$7:BD$31,"",0,1)="P",
   _xlfn.XLOOKUP($B36,'PW_MLG GRADE 10'!$B$7:$B$31,'PW_MLG GRADE 10'!#REF!,"",0,1)&lt;=TODAY()-MOD(WEEKDAY(TODAY(),2)-5,7)),$D36,0)</f>
        <v>#REF!</v>
      </c>
      <c r="CB86" s="65" t="e">
        <f ca="1">IF(AND($D36&lt;&gt;0,_xlfn.XLOOKUP($B36,'PW_MLG GRADE 10'!$B$7:$B$31,'PW_MLG GRADE 10'!BE$7:BE$31,"",0,1)="P",
   _xlfn.XLOOKUP($B36,'PW_MLG GRADE 10'!$B$7:$B$31,'PW_MLG GRADE 10'!#REF!,"",0,1)&lt;=TODAY()-MOD(WEEKDAY(TODAY(),2)-5,7)),$D36,0)</f>
        <v>#REF!</v>
      </c>
      <c r="CC86" s="65" t="e">
        <f ca="1">IF(AND($D36&lt;&gt;0,_xlfn.XLOOKUP($B36,'PW_MLG GRADE 10'!$B$7:$B$31,'PW_MLG GRADE 10'!BF$7:BF$31,"",0,1)="P",
   _xlfn.XLOOKUP($B36,'PW_MLG GRADE 10'!$B$7:$B$31,'PW_MLG GRADE 10'!#REF!,"",0,1)&lt;=TODAY()-MOD(WEEKDAY(TODAY(),2)-5,7)),$D36,0)</f>
        <v>#REF!</v>
      </c>
      <c r="CD86" s="65" t="e">
        <f ca="1">IF(AND($D36&lt;&gt;0,_xlfn.XLOOKUP($B36,'PW_MLG GRADE 10'!$B$7:$B$31,'PW_MLG GRADE 10'!BG$7:BG$31,"",0,1)="P",
   _xlfn.XLOOKUP($B36,'PW_MLG GRADE 10'!$B$7:$B$31,'PW_MLG GRADE 10'!#REF!,"",0,1)&lt;=TODAY()-MOD(WEEKDAY(TODAY(),2)-5,7)),$D36,0)</f>
        <v>#REF!</v>
      </c>
      <c r="CE86" s="67">
        <f ca="1">IF(AND($D36&lt;&gt;0,_xlfn.XLOOKUP($B36,'PW_CMI GRADE 10'!$B$7:$B$31,'PW_CMI GRADE 10'!AY$7:AY$31,"",0,1)="P",
   _xlfn.XLOOKUP($B36,'PW_CMI GRADE 10'!$B$7:$B$31,'PW_CMI GRADE 10'!$U$7:$U$31,"",0,1)&lt;=TODAY()-MOD(WEEKDAY(TODAY(),2)-5,7)),$D36,0)</f>
        <v>0</v>
      </c>
      <c r="CF86" s="67">
        <f ca="1">IF(AND($D36&lt;&gt;0,_xlfn.XLOOKUP($B36,'PW_CMI GRADE 10'!$B$7:$B$31,'PW_CMI GRADE 10'!AZ$7:AZ$31,"",0,1)="P",
   _xlfn.XLOOKUP($B36,'PW_CMI GRADE 10'!$B$7:$B$31,'PW_CMI GRADE 10'!$V$7:$V$31,"",0,1)&lt;=TODAY()-MOD(WEEKDAY(TODAY(),2)-5,7)),$D36,0)</f>
        <v>0</v>
      </c>
      <c r="CG86" s="67">
        <f ca="1">IF(AND($D36&lt;&gt;0,_xlfn.XLOOKUP($B36,'PW_CMI GRADE 10'!$B$7:$B$31,'PW_CMI GRADE 10'!BA$7:BA$31,"",0,1)="P",
   _xlfn.XLOOKUP($B36,'PW_CMI GRADE 10'!$B$7:$B$31,'PW_CMI GRADE 10'!$W$7:$W$31,"",0,1)&lt;=TODAY()-MOD(WEEKDAY(TODAY(),2)-5,7)),$D36,0)</f>
        <v>0</v>
      </c>
      <c r="CH86" s="67">
        <f ca="1">IF(AND($D36&lt;&gt;0,_xlfn.XLOOKUP($B36,'PW_CMI GRADE 10'!$B$7:$B$31,'PW_CMI GRADE 10'!BB$7:BB$31,"",0,1)="P",
   _xlfn.XLOOKUP($B36,'PW_CMI GRADE 10'!$B$7:$B$31,'PW_CMI GRADE 10'!$U$7:$U$31,"",0,1)&lt;=TODAY()-MOD(WEEKDAY(TODAY(),2)-5,7)),$D36,0)</f>
        <v>0</v>
      </c>
      <c r="CI86" s="67">
        <f ca="1">IF(AND($D36&lt;&gt;0,_xlfn.XLOOKUP($B36,'PW_CMI GRADE 10'!$B$7:$B$31,'PW_CMI GRADE 10'!BC$7:BC$31,"",0,1)="P",
   _xlfn.XLOOKUP($B36,'PW_CMI GRADE 10'!$B$7:$B$31,'PW_CMI GRADE 10'!$V$7:$V$31,"",0,1)&lt;=TODAY()-MOD(WEEKDAY(TODAY(),2)-5,7)),$D36,0)</f>
        <v>0</v>
      </c>
      <c r="CJ86" s="67">
        <f ca="1">IF(AND($D36&lt;&gt;0,_xlfn.XLOOKUP($B36,'PW_CMI GRADE 10'!$B$7:$B$31,'PW_CMI GRADE 10'!BD$7:BD$31,"",0,1)="P",
   _xlfn.XLOOKUP($B36,'PW_CMI GRADE 10'!$B$7:$B$31,'PW_CMI GRADE 10'!$W$7:$W$31,"",0,1)&lt;=TODAY()-MOD(WEEKDAY(TODAY(),2)-5,7)),$D36,0)</f>
        <v>0</v>
      </c>
      <c r="CK86" s="67">
        <f ca="1">IF(AND($D36&lt;&gt;0,_xlfn.XLOOKUP($B36,'PW_CMI GRADE 10'!$B$7:$B$31,'PW_CMI GRADE 10'!BE$7:BE$31,"",0,1)="P",
   _xlfn.XLOOKUP($B36,'PW_CMI GRADE 10'!$B$7:$B$31,'PW_CMI GRADE 10'!$U$7:$U$31,"",0,1)&lt;=TODAY()-MOD(WEEKDAY(TODAY(),2)-5,7)),$D36,0)</f>
        <v>0</v>
      </c>
      <c r="CL86" s="67">
        <f ca="1">IF(AND($D36&lt;&gt;0,_xlfn.XLOOKUP($B36,'PW_CMI GRADE 10'!$B$7:$B$31,'PW_CMI GRADE 10'!BF$7:BF$31,"",0,1)="P",
   _xlfn.XLOOKUP($B36,'PW_CMI GRADE 10'!$B$7:$B$31,'PW_CMI GRADE 10'!$V$7:$V$31,"",0,1)&lt;=TODAY()-MOD(WEEKDAY(TODAY(),2)-5,7)),$D36,0)</f>
        <v>0</v>
      </c>
      <c r="CM86" s="67">
        <f ca="1">IF(AND($D36&lt;&gt;0,_xlfn.XLOOKUP($B36,'PW_CMI GRADE 10'!$B$7:$B$31,'PW_CMI GRADE 10'!BG$7:BG$31,"",0,1)="P",
   _xlfn.XLOOKUP($B36,'PW_CMI GRADE 10'!$B$7:$B$31,'PW_CMI GRADE 10'!$W$7:$W$31,"",0,1)&lt;=TODAY()-MOD(WEEKDAY(TODAY(),2)-5,7)),$D36,0)</f>
        <v>0</v>
      </c>
      <c r="CN86" s="67">
        <f ca="1">IF(AND($D36&lt;&gt;0,_xlfn.XLOOKUP($B36,'PW_CMI GRADE 10'!$B$7:$B$31,'PW_CMI GRADE 10'!BH$7:BH$31,"",0,1)="P",
   _xlfn.XLOOKUP($B36,'PW_CMI GRADE 10'!$B$7:$B$31,'PW_CMI GRADE 10'!$U$7:$U$31,"",0,1)&lt;=TODAY()-MOD(WEEKDAY(TODAY(),2)-5,7)),$D36,0)</f>
        <v>0</v>
      </c>
      <c r="CO86" s="67">
        <f ca="1">IF(AND($D36&lt;&gt;0,_xlfn.XLOOKUP($B36,'PW_CMI GRADE 10'!$B$7:$B$31,'PW_CMI GRADE 10'!BI$7:BI$31,"",0,1)="P",
   _xlfn.XLOOKUP($B36,'PW_CMI GRADE 10'!$B$7:$B$31,'PW_CMI GRADE 10'!$V$7:$V$31,"",0,1)&lt;=TODAY()-MOD(WEEKDAY(TODAY(),2)-5,7)),$D36,0)</f>
        <v>0</v>
      </c>
      <c r="CP86" s="67">
        <f ca="1">IF(AND($D36&lt;&gt;0,_xlfn.XLOOKUP($B36,'PW_CMI GRADE 10'!$B$7:$B$31,'PW_CMI GRADE 10'!BJ$7:BJ$31,"",0,1)="P",
   _xlfn.XLOOKUP($B36,'PW_CMI GRADE 10'!$B$7:$B$31,'PW_CMI GRADE 10'!$W$7:$W$31,"",0,1)&lt;=TODAY()-MOD(WEEKDAY(TODAY(),2)-5,7)),$D36,0)</f>
        <v>0</v>
      </c>
      <c r="CQ86" s="67">
        <f ca="1">IF(AND($D36&lt;&gt;0,_xlfn.XLOOKUP($B36,'PW_CMI GRADE 10'!$B$7:$B$31,'PW_CMI GRADE 10'!BK$7:BK$31,"",0,1)="P",
   _xlfn.XLOOKUP($B36,'PW_CMI GRADE 10'!$B$7:$B$31,'PW_CMI GRADE 10'!$U$7:$U$31,"",0,1)&lt;=TODAY()-MOD(WEEKDAY(TODAY(),2)-5,7)),$D36,0)</f>
        <v>0</v>
      </c>
      <c r="CR86" s="67">
        <f ca="1">IF(AND($D36&lt;&gt;0,_xlfn.XLOOKUP($B36,'PW_CMI GRADE 10'!$B$7:$B$31,'PW_CMI GRADE 10'!BL$7:BL$31,"",0,1)="P",
   _xlfn.XLOOKUP($B36,'PW_CMI GRADE 10'!$B$7:$B$31,'PW_CMI GRADE 10'!$V$7:$V$31,"",0,1)&lt;=TODAY()-MOD(WEEKDAY(TODAY(),2)-5,7)),$D36,0)</f>
        <v>0</v>
      </c>
      <c r="CS86" s="67">
        <f ca="1">IF(AND($D36&lt;&gt;0,_xlfn.XLOOKUP($B36,'PW_CMI GRADE 10'!$B$7:$B$31,'PW_CMI GRADE 10'!BM$7:BM$31,"",0,1)="P",
   _xlfn.XLOOKUP($B36,'PW_CMI GRADE 10'!$B$7:$B$31,'PW_CMI GRADE 10'!$W$7:$W$31,"",0,1)&lt;=TODAY()-MOD(WEEKDAY(TODAY(),2)-5,7)),$D36,0)</f>
        <v>0</v>
      </c>
      <c r="CT86" s="67">
        <f ca="1">IF(AND($D36&lt;&gt;0,_xlfn.XLOOKUP($B36,'PW_CMI GRADE 10'!$B$7:$B$31,'PW_CMI GRADE 10'!BN$7:BN$31,"",0,1)="P",
   _xlfn.XLOOKUP($B36,'PW_CMI GRADE 10'!$B$7:$B$31,'PW_CMI GRADE 10'!$U$7:$U$31,"",0,1)&lt;=TODAY()-MOD(WEEKDAY(TODAY(),2)-5,7)),$D36,0)</f>
        <v>0</v>
      </c>
      <c r="CU86" s="67">
        <f ca="1">IF(AND($D36&lt;&gt;0,_xlfn.XLOOKUP($B36,'PW_CMI GRADE 10'!$B$7:$B$31,'PW_CMI GRADE 10'!BO$7:BO$31,"",0,1)="P",
   _xlfn.XLOOKUP($B36,'PW_CMI GRADE 10'!$B$7:$B$31,'PW_CMI GRADE 10'!$V$7:$V$31,"",0,1)&lt;=TODAY()-MOD(WEEKDAY(TODAY(),2)-5,7)),$D36,0)</f>
        <v>0</v>
      </c>
      <c r="CV86" s="67">
        <f ca="1">IF(AND($D36&lt;&gt;0,_xlfn.XLOOKUP($B36,'PW_CMI GRADE 10'!$B$7:$B$31,'PW_CMI GRADE 10'!BP$7:BP$31,"",0,1)="P",
   _xlfn.XLOOKUP($B36,'PW_CMI GRADE 10'!$B$7:$B$31,'PW_CMI GRADE 10'!$W$7:$W$31,"",0,1)&lt;=TODAY()-MOD(WEEKDAY(TODAY(),2)-5,7)),$D36,0)</f>
        <v>0</v>
      </c>
      <c r="CW86" s="62" t="e">
        <f t="shared" ca="1" si="132"/>
        <v>#REF!</v>
      </c>
      <c r="CX86" s="62" t="e">
        <f t="shared" ca="1" si="69"/>
        <v>#REF!</v>
      </c>
      <c r="CY86" s="62" t="e">
        <f t="shared" ca="1" si="70"/>
        <v>#REF!</v>
      </c>
      <c r="CZ86" s="62" t="e">
        <f t="shared" ca="1" si="71"/>
        <v>#REF!</v>
      </c>
      <c r="DA86" s="62" t="e">
        <f t="shared" ca="1" si="72"/>
        <v>#REF!</v>
      </c>
      <c r="DB86" s="62" t="e">
        <f t="shared" ca="1" si="73"/>
        <v>#REF!</v>
      </c>
      <c r="DC86" s="62" t="e">
        <f t="shared" ca="1" si="74"/>
        <v>#REF!</v>
      </c>
      <c r="DD86" s="62" t="e">
        <f t="shared" ca="1" si="75"/>
        <v>#REF!</v>
      </c>
      <c r="DE86" s="62" t="e">
        <f t="shared" ca="1" si="76"/>
        <v>#REF!</v>
      </c>
      <c r="DF86" s="62" t="e">
        <f t="shared" ca="1" si="77"/>
        <v>#REF!</v>
      </c>
      <c r="DG86" s="62" t="e">
        <f t="shared" ca="1" si="78"/>
        <v>#REF!</v>
      </c>
      <c r="DH86" s="62" t="e">
        <f t="shared" ca="1" si="79"/>
        <v>#REF!</v>
      </c>
      <c r="DI86" s="62" t="e">
        <f t="shared" ca="1" si="80"/>
        <v>#REF!</v>
      </c>
      <c r="DJ86" s="62" t="e">
        <f t="shared" ca="1" si="81"/>
        <v>#REF!</v>
      </c>
      <c r="DK86" s="62" t="e">
        <f t="shared" ca="1" si="82"/>
        <v>#REF!</v>
      </c>
      <c r="DL86" s="62" t="e">
        <f t="shared" ca="1" si="83"/>
        <v>#REF!</v>
      </c>
      <c r="DM86" s="62" t="e">
        <f t="shared" ca="1" si="84"/>
        <v>#REF!</v>
      </c>
      <c r="DN86" s="62" t="e">
        <f t="shared" ca="1" si="85"/>
        <v>#REF!</v>
      </c>
      <c r="DO86" s="62" t="e">
        <f t="shared" ca="1" si="86"/>
        <v>#REF!</v>
      </c>
      <c r="DP86" s="62" t="e">
        <f t="shared" ca="1" si="87"/>
        <v>#REF!</v>
      </c>
      <c r="DQ86" s="62" t="e">
        <f t="shared" ca="1" si="88"/>
        <v>#REF!</v>
      </c>
      <c r="DR86" s="62" t="e">
        <f t="shared" ca="1" si="89"/>
        <v>#REF!</v>
      </c>
      <c r="DS86" s="62" t="e">
        <f t="shared" ca="1" si="90"/>
        <v>#REF!</v>
      </c>
      <c r="DT86" s="62" t="e">
        <f t="shared" ca="1" si="91"/>
        <v>#REF!</v>
      </c>
      <c r="DU86" s="62" t="e">
        <f t="shared" ca="1" si="92"/>
        <v>#REF!</v>
      </c>
      <c r="DV86" s="62" t="e">
        <f t="shared" ca="1" si="93"/>
        <v>#REF!</v>
      </c>
      <c r="DW86" s="62" t="e">
        <f t="shared" ca="1" si="94"/>
        <v>#REF!</v>
      </c>
      <c r="DX86" s="62" t="e">
        <f t="shared" ca="1" si="95"/>
        <v>#REF!</v>
      </c>
      <c r="DY86" s="62" t="e">
        <f t="shared" ca="1" si="96"/>
        <v>#REF!</v>
      </c>
      <c r="DZ86" s="62" t="e">
        <f t="shared" ca="1" si="97"/>
        <v>#REF!</v>
      </c>
      <c r="EA86" s="63" t="e">
        <f t="shared" ca="1" si="98"/>
        <v>#REF!</v>
      </c>
      <c r="EB86" s="63" t="e">
        <f t="shared" ca="1" si="99"/>
        <v>#REF!</v>
      </c>
      <c r="EC86" s="63" t="e">
        <f t="shared" ca="1" si="100"/>
        <v>#REF!</v>
      </c>
      <c r="ED86" s="63" t="e">
        <f t="shared" ca="1" si="101"/>
        <v>#REF!</v>
      </c>
      <c r="EE86" s="63" t="e">
        <f t="shared" ca="1" si="102"/>
        <v>#REF!</v>
      </c>
      <c r="EF86" s="63" t="e">
        <f t="shared" ca="1" si="103"/>
        <v>#REF!</v>
      </c>
      <c r="EG86" s="63" t="e">
        <f t="shared" ca="1" si="104"/>
        <v>#REF!</v>
      </c>
      <c r="EH86" s="63" t="e">
        <f t="shared" ca="1" si="105"/>
        <v>#REF!</v>
      </c>
      <c r="EI86" s="63" t="e">
        <f t="shared" ca="1" si="106"/>
        <v>#REF!</v>
      </c>
      <c r="EJ86" s="63" t="e">
        <f t="shared" ca="1" si="107"/>
        <v>#REF!</v>
      </c>
      <c r="EK86" s="63" t="e">
        <f t="shared" ca="1" si="108"/>
        <v>#REF!</v>
      </c>
      <c r="EL86" s="63" t="e">
        <f t="shared" ca="1" si="109"/>
        <v>#REF!</v>
      </c>
      <c r="EM86" s="63" t="e">
        <f t="shared" ca="1" si="110"/>
        <v>#REF!</v>
      </c>
      <c r="EN86" s="63" t="e">
        <f t="shared" ca="1" si="111"/>
        <v>#REF!</v>
      </c>
      <c r="EO86" s="63" t="e">
        <f t="shared" ca="1" si="112"/>
        <v>#REF!</v>
      </c>
      <c r="EP86" s="63" t="e">
        <f t="shared" ca="1" si="113"/>
        <v>#REF!</v>
      </c>
    </row>
    <row r="87" spans="1:146">
      <c r="A87" s="64" t="str">
        <f t="shared" si="131"/>
        <v>5A.2</v>
      </c>
      <c r="B87" s="64" t="s">
        <v>68</v>
      </c>
      <c r="C87" s="30">
        <v>4</v>
      </c>
      <c r="D87" s="30">
        <v>4</v>
      </c>
      <c r="E87" s="65">
        <f ca="1">IF(AND($D37&lt;&gt;0,_xlfn.XLOOKUP($B37,'TH_MLG GRADE 10'!$B$7:$B$49,'TH_MLG GRADE 10'!C$7:C$49,"",0,1)="P",
   _xlfn.XLOOKUP($B37,'TH_MLG GRADE 10'!$B$7:$B$49,'TH_MLG GRADE 10'!$BK$7:$BK$49,"",0,1)&lt;=TODAY()-MOD(WEEKDAY(TODAY(),2)-5,7)),$D37,0)</f>
        <v>4</v>
      </c>
      <c r="F87" s="65">
        <f ca="1">IF(AND($D37&lt;&gt;0,_xlfn.XLOOKUP($B37,'TH_MLG GRADE 10'!$B$7:$B$49,'TH_MLG GRADE 10'!D$7:D$49,"",0,1)="P",
   _xlfn.XLOOKUP($B37,'TH_MLG GRADE 10'!$B$7:$B$49,'TH_MLG GRADE 10'!$BL$7:$BL$49,"",0,1)&lt;=TODAY()-MOD(WEEKDAY(TODAY(),2)-5,7)),$D37,0)</f>
        <v>4</v>
      </c>
      <c r="G87" s="65">
        <f ca="1">IF(AND($D37&lt;&gt;0,_xlfn.XLOOKUP($B37,'TH_MLG GRADE 10'!$B$7:$B$49,'TH_MLG GRADE 10'!E$7:E$49,"",0,1)="P",
   _xlfn.XLOOKUP($B37,'TH_MLG GRADE 10'!$B$7:$B$49,'TH_MLG GRADE 10'!$BM$7:$BM$49,"",0,1)&lt;=TODAY()-MOD(WEEKDAY(TODAY(),2)-5,7)),$D37,0)</f>
        <v>0</v>
      </c>
      <c r="H87" s="65">
        <f ca="1">IF(AND($D37&lt;&gt;0,_xlfn.XLOOKUP($B37,'TH_MLG GRADE 10'!$B$7:$B$49,'TH_MLG GRADE 10'!I$7:I$49,"",0,1)="P",
   _xlfn.XLOOKUP($B37,'TH_MLG GRADE 10'!$B$7:$B$49,'TH_MLG GRADE 10'!$BK$7:$BK$49,"",0,1)&lt;=TODAY()-MOD(WEEKDAY(TODAY(),2)-5,7)),$D37,0)</f>
        <v>4</v>
      </c>
      <c r="I87" s="65">
        <f ca="1">IF(AND($D37&lt;&gt;0,_xlfn.XLOOKUP($B37,'TH_MLG GRADE 10'!$B$7:$B$49,'TH_MLG GRADE 10'!J$7:J$49,"",0,1)="P",
   _xlfn.XLOOKUP($B37,'TH_MLG GRADE 10'!$B$7:$B$49,'TH_MLG GRADE 10'!$BL$7:$BL$49,"",0,1)&lt;=TODAY()-MOD(WEEKDAY(TODAY(),2)-5,7)),$D37,0)</f>
        <v>4</v>
      </c>
      <c r="J87" s="65">
        <f ca="1">IF(AND($D37&lt;&gt;0,_xlfn.XLOOKUP($B37,'TH_MLG GRADE 10'!$B$7:$B$49,'TH_MLG GRADE 10'!K$7:K$49,"",0,1)="P",
   _xlfn.XLOOKUP($B37,'TH_MLG GRADE 10'!$B$7:$B$49,'TH_MLG GRADE 10'!$BM$7:$BM$49,"",0,1)&lt;=TODAY()-MOD(WEEKDAY(TODAY(),2)-5,7)),$D37,0)</f>
        <v>4</v>
      </c>
      <c r="K87" s="65">
        <f ca="1">IF(AND($D37&lt;&gt;0,_xlfn.XLOOKUP($B37,'TH_MLG GRADE 10'!$B$7:$B$49,'TH_MLG GRADE 10'!O$7:O$49,"",0,1)="P",
   _xlfn.XLOOKUP($B37,'TH_MLG GRADE 10'!$B$7:$B$49,'TH_MLG GRADE 10'!$BK$7:$BK$49,"",0,1)&lt;=TODAY()-MOD(WEEKDAY(TODAY(),2)-5,7)),$D37,0)</f>
        <v>0</v>
      </c>
      <c r="L87" s="65">
        <f ca="1">IF(AND($D37&lt;&gt;0,_xlfn.XLOOKUP($B37,'TH_MLG GRADE 10'!$B$7:$B$49,'TH_MLG GRADE 10'!P$7:P$49,"",0,1)="P",
   _xlfn.XLOOKUP($B37,'TH_MLG GRADE 10'!$B$7:$B$49,'TH_MLG GRADE 10'!$BL$7:$BL$49,"",0,1)&lt;=TODAY()-MOD(WEEKDAY(TODAY(),2)-5,7)),$D37,0)</f>
        <v>0</v>
      </c>
      <c r="M87" s="65">
        <f ca="1">IF(AND($D37&lt;&gt;0,_xlfn.XLOOKUP($B37,'TH_MLG GRADE 10'!$B$7:$B$49,'TH_MLG GRADE 10'!Q$7:Q$49,"",0,1)="P",
   _xlfn.XLOOKUP($B37,'TH_MLG GRADE 10'!$B$7:$B$49,'TH_MLG GRADE 10'!$BM$7:$BM$49,"",0,1)&lt;=TODAY()-MOD(WEEKDAY(TODAY(),2)-5,7)),$D37,0)</f>
        <v>0</v>
      </c>
      <c r="N87" s="65">
        <f ca="1">IF(AND($D37&lt;&gt;0,_xlfn.XLOOKUP($B37,'TH_MLG GRADE 10'!$B$7:$B$49,'TH_MLG GRADE 10'!AA$7:AA$49,"",0,1)="P",
   _xlfn.XLOOKUP($B37,'TH_MLG GRADE 10'!$B$7:$B$49,'TH_MLG GRADE 10'!$BK$7:$BK$49,"",0,1)&lt;=TODAY()-MOD(WEEKDAY(TODAY(),2)-5,7)),$D37,0)</f>
        <v>0</v>
      </c>
      <c r="O87" s="65">
        <f ca="1">IF(AND($D37&lt;&gt;0,_xlfn.XLOOKUP($B37,'TH_MLG GRADE 10'!$B$7:$B$49,'TH_MLG GRADE 10'!AB$7:AB$49,"",0,1)="P",
   _xlfn.XLOOKUP($B37,'TH_MLG GRADE 10'!$B$7:$B$49,'TH_MLG GRADE 10'!$BL$7:$BL$49,"",0,1)&lt;=TODAY()-MOD(WEEKDAY(TODAY(),2)-5,7)),$D37,0)</f>
        <v>0</v>
      </c>
      <c r="P87" s="65">
        <f ca="1">IF(AND($D37&lt;&gt;0,_xlfn.XLOOKUP($B37,'TH_MLG GRADE 10'!$B$7:$B$49,'TH_MLG GRADE 10'!AC$7:AC$49,"",0,1)="P",
   _xlfn.XLOOKUP($B37,'TH_MLG GRADE 10'!$B$7:$B$49,'TH_MLG GRADE 10'!$BM$7:$BM$49,"",0,1)&lt;=TODAY()-MOD(WEEKDAY(TODAY(),2)-5,7)),$D37,0)</f>
        <v>0</v>
      </c>
      <c r="Q87" s="65">
        <f ca="1">IF(AND($D37&lt;&gt;0,_xlfn.XLOOKUP($B37,'TH_MLG GRADE 10'!$B$7:$B$49,'TH_MLG GRADE 10'!AG$7:AG$49,"",0,1)="P",
   _xlfn.XLOOKUP($B37,'TH_MLG GRADE 10'!$B$7:$B$49,'TH_MLG GRADE 10'!$BK$7:$BK$49,"",0,1)&lt;=TODAY()-MOD(WEEKDAY(TODAY(),2)-5,7)),$D37,0)</f>
        <v>0</v>
      </c>
      <c r="R87" s="65">
        <f ca="1">IF(AND($D37&lt;&gt;0,_xlfn.XLOOKUP($B37,'TH_MLG GRADE 10'!$B$7:$B$49,'TH_MLG GRADE 10'!AH$7:AH$49,"",0,1)="P",
   _xlfn.XLOOKUP($B37,'TH_MLG GRADE 10'!$B$7:$B$49,'TH_MLG GRADE 10'!$BL$7:$BL$49,"",0,1)&lt;=TODAY()-MOD(WEEKDAY(TODAY(),2)-5,7)),$D37,0)</f>
        <v>0</v>
      </c>
      <c r="S87" s="65">
        <f ca="1">IF(AND($D37&lt;&gt;0,_xlfn.XLOOKUP($B37,'TH_MLG GRADE 10'!$B$7:$B$49,'TH_MLG GRADE 10'!AI$7:AI$49,"",0,1)="P",
   _xlfn.XLOOKUP($B37,'TH_MLG GRADE 10'!$B$7:$B$49,'TH_MLG GRADE 10'!$BM$7:$BM$49,"",0,1)&lt;=TODAY()-MOD(WEEKDAY(TODAY(),2)-5,7)),$D37,0)</f>
        <v>0</v>
      </c>
      <c r="T87" s="65">
        <f ca="1">IF(AND($D37&lt;&gt;0,_xlfn.XLOOKUP($B37,'TH_MLG GRADE 10'!$B$7:$B$49,'TH_MLG GRADE 10'!AM$7:AM$49,"",0,1)="P",
   _xlfn.XLOOKUP($B37,'TH_MLG GRADE 10'!$B$7:$B$49,'TH_MLG GRADE 10'!$BK$7:$BK$49,"",0,1)&lt;=TODAY()-MOD(WEEKDAY(TODAY(),2)-5,7)),$D37,0)</f>
        <v>0</v>
      </c>
      <c r="U87" s="65">
        <f ca="1">IF(AND($D37&lt;&gt;0,_xlfn.XLOOKUP($B37,'TH_MLG GRADE 10'!$B$7:$B$49,'TH_MLG GRADE 10'!AN$7:AN$49,"",0,1)="P",
   _xlfn.XLOOKUP($B37,'TH_MLG GRADE 10'!$B$7:$B$49,'TH_MLG GRADE 10'!$BL$7:$BL$49,"",0,1)&lt;=TODAY()-MOD(WEEKDAY(TODAY(),2)-5,7)),$D37,0)</f>
        <v>0</v>
      </c>
      <c r="V87" s="65">
        <f ca="1">IF(AND($D37&lt;&gt;0,_xlfn.XLOOKUP($B37,'TH_MLG GRADE 10'!$B$7:$B$49,'TH_MLG GRADE 10'!AO$7:AO$49,"",0,1)="P",
   _xlfn.XLOOKUP($B37,'TH_MLG GRADE 10'!$B$7:$B$49,'TH_MLG GRADE 10'!$BM$7:$BM$49,"",0,1)&lt;=TODAY()-MOD(WEEKDAY(TODAY(),2)-5,7)),$D37,0)</f>
        <v>0</v>
      </c>
      <c r="W87" s="65">
        <f ca="1">IF(AND($D37&lt;&gt;0,_xlfn.XLOOKUP($B37,'TH_MLG GRADE 10'!$B$7:$B$49,'TH_MLG GRADE 10'!AY$7:AY$49,"",0,1)="P",
   _xlfn.XLOOKUP($B37,'TH_MLG GRADE 10'!$B$7:$B$49,'TH_MLG GRADE 10'!$BK$7:$BK$49,"",0,1)&lt;=TODAY()-MOD(WEEKDAY(TODAY(),2)-5,7)),$D37,0)</f>
        <v>0</v>
      </c>
      <c r="X87" s="65">
        <f ca="1">IF(AND($D37&lt;&gt;0,_xlfn.XLOOKUP($B37,'TH_MLG GRADE 10'!$B$7:$B$49,'TH_MLG GRADE 10'!AZ$7:AZ$49,"",0,1)="P",
   _xlfn.XLOOKUP($B37,'TH_MLG GRADE 10'!$B$7:$B$49,'TH_MLG GRADE 10'!$BL$7:$BL$49,"",0,1)&lt;=TODAY()-MOD(WEEKDAY(TODAY(),2)-5,7)),$D37,0)</f>
        <v>0</v>
      </c>
      <c r="Y87" s="65">
        <f ca="1">IF(AND($D37&lt;&gt;0,_xlfn.XLOOKUP($B37,'TH_MLG GRADE 10'!$B$7:$B$49,'TH_MLG GRADE 10'!BA$7:BA$49,"",0,1)="P",
   _xlfn.XLOOKUP($B37,'TH_MLG GRADE 10'!$B$7:$B$49,'TH_MLG GRADE 10'!$BM$7:$BM$49,"",0,1)&lt;=TODAY()-MOD(WEEKDAY(TODAY(),2)-5,7)),$D37,0)</f>
        <v>0</v>
      </c>
      <c r="Z87" s="65">
        <f ca="1">IF(AND($D37&lt;&gt;0,_xlfn.XLOOKUP($B37,'TH_MLG GRADE 10'!$B$7:$B$49,'TH_MLG GRADE 10'!BE$7:BE$49,"",0,1)="P",
   _xlfn.XLOOKUP($B37,'TH_MLG GRADE 10'!$B$7:$B$49,'TH_MLG GRADE 10'!$BK$7:$BK$49,"",0,1)&lt;=TODAY()-MOD(WEEKDAY(TODAY(),2)-5,7)),$D37,0)</f>
        <v>0</v>
      </c>
      <c r="AA87" s="65">
        <f ca="1">IF(AND($D37&lt;&gt;0,_xlfn.XLOOKUP($B37,'TH_MLG GRADE 10'!$B$7:$B$49,'TH_MLG GRADE 10'!BF$7:BF$49,"",0,1)="P",
   _xlfn.XLOOKUP($B37,'TH_MLG GRADE 10'!$B$7:$B$49,'TH_MLG GRADE 10'!$BL$7:$BL$49,"",0,1)&lt;=TODAY()-MOD(WEEKDAY(TODAY(),2)-5,7)),$D37,0)</f>
        <v>0</v>
      </c>
      <c r="AB87" s="65">
        <f ca="1">IF(AND($D37&lt;&gt;0,_xlfn.XLOOKUP($B37,'TH_MLG GRADE 10'!$B$7:$B$49,'TH_MLG GRADE 10'!BG$7:BG$49,"",0,1)="P",
   _xlfn.XLOOKUP($B37,'TH_MLG GRADE 10'!$B$7:$B$49,'TH_MLG GRADE 10'!$BM$7:$BM$49,"",0,1)&lt;=TODAY()-MOD(WEEKDAY(TODAY(),2)-5,7)),$D37,0)</f>
        <v>0</v>
      </c>
      <c r="AC87" s="65" t="e">
        <f ca="1">IF(AND($D37&lt;&gt;0,_xlfn.XLOOKUP($B37,'TH_MLG GRADE 10'!$B$7:$B$49,'TH_MLG GRADE 10'!#REF!,"",0,1)="P",
   _xlfn.XLOOKUP($B37,'TH_MLG GRADE 10'!$B$7:$B$49,'TH_MLG GRADE 10'!$BK$7:$BK$49,"",0,1)&lt;=TODAY()-MOD(WEEKDAY(TODAY(),2)-5,7)),$D37,0)</f>
        <v>#REF!</v>
      </c>
      <c r="AD87" s="65" t="e">
        <f ca="1">IF(AND($D37&lt;&gt;0,_xlfn.XLOOKUP($B37,'TH_MLG GRADE 10'!$B$7:$B$49,'TH_MLG GRADE 10'!#REF!,"",0,1)="P",
   _xlfn.XLOOKUP($B37,'TH_MLG GRADE 10'!$B$7:$B$49,'TH_MLG GRADE 10'!$BL$7:$BL$49,"",0,1)&lt;=TODAY()-MOD(WEEKDAY(TODAY(),2)-5,7)),$D37,0)</f>
        <v>#REF!</v>
      </c>
      <c r="AE87" s="65" t="e">
        <f ca="1">IF(AND($D37&lt;&gt;0,_xlfn.XLOOKUP($B37,'TH_MLG GRADE 10'!$B$7:$B$49,'TH_MLG GRADE 10'!#REF!,"",0,1)="P",
   _xlfn.XLOOKUP($B37,'TH_MLG GRADE 10'!$B$7:$B$49,'TH_MLG GRADE 10'!$BM$7:$BM$49,"",0,1)&lt;=TODAY()-MOD(WEEKDAY(TODAY(),2)-5,7)),$D37,0)</f>
        <v>#REF!</v>
      </c>
      <c r="AF87" s="65" t="e">
        <f ca="1">IF(AND($D37&lt;&gt;0,_xlfn.XLOOKUP($B37,'TH_MLG GRADE 10'!$B$7:$B$49,'TH_MLG GRADE 10'!#REF!,"",0,1)="P",
   _xlfn.XLOOKUP($B37,'TH_MLG GRADE 10'!$B$7:$B$49,'TH_MLG GRADE 10'!$BK$7:$BK$49,"",0,1)&lt;=TODAY()-MOD(WEEKDAY(TODAY(),2)-5,7)),$D37,0)</f>
        <v>#REF!</v>
      </c>
      <c r="AG87" s="65" t="e">
        <f ca="1">IF(AND($D37&lt;&gt;0,_xlfn.XLOOKUP($B37,'TH_MLG GRADE 10'!$B$7:$B$49,'TH_MLG GRADE 10'!#REF!,"",0,1)="P",
   _xlfn.XLOOKUP($B37,'TH_MLG GRADE 10'!$B$7:$B$49,'TH_MLG GRADE 10'!$BL$7:$BL$49,"",0,1)&lt;=TODAY()-MOD(WEEKDAY(TODAY(),2)-5,7)),$D37,0)</f>
        <v>#REF!</v>
      </c>
      <c r="AH87" s="65" t="e">
        <f ca="1">IF(AND($D37&lt;&gt;0,_xlfn.XLOOKUP($B37,'TH_MLG GRADE 10'!$B$7:$B$49,'TH_MLG GRADE 10'!#REF!,"",0,1)="P",
   _xlfn.XLOOKUP($B37,'TH_MLG GRADE 10'!$B$7:$B$49,'TH_MLG GRADE 10'!$BM$7:$BM$49,"",0,1)&lt;=TODAY()-MOD(WEEKDAY(TODAY(),2)-5,7)),$D37,0)</f>
        <v>#REF!</v>
      </c>
      <c r="AI87" s="67">
        <f ca="1">IF(AND($D37&lt;&gt;0,_xlfn.XLOOKUP($B37,'TH_CMI GRADE 10'!$B$7:$B$49,'TH_CMI GRADE 10'!C$7:C$49,"",0,1)="P",
   _xlfn.XLOOKUP($B37,'TH_CMI GRADE 10'!$B$7:$B$49,'TH_CMI GRADE 10'!$AS$7:$AS$49,"",0,1)&lt;=TODAY()-MOD(WEEKDAY(TODAY(),2)-5,7)),$D37,0)</f>
        <v>0</v>
      </c>
      <c r="AJ87" s="67">
        <f ca="1">IF(AND($D37&lt;&gt;0,_xlfn.XLOOKUP($B37,'TH_CMI GRADE 10'!$B$7:$B$49,'TH_CMI GRADE 10'!D$7:D$49,"",0,1)="P",
   _xlfn.XLOOKUP($B37,'TH_CMI GRADE 10'!$B$7:$B$49,'TH_CMI GRADE 10'!$AT$7:$AT$49,"",0,1)&lt;=TODAY()-MOD(WEEKDAY(TODAY(),2)-5,7)),$D37,0)</f>
        <v>0</v>
      </c>
      <c r="AK87" s="67" t="e">
        <f ca="1">IF(AND($D37&lt;&gt;0,_xlfn.XLOOKUP($B37,'TH_CMI GRADE 10'!$B$7:$B$49,'TH_CMI GRADE 10'!H$7:H$49,"",0,1)="P",
   _xlfn.XLOOKUP($B37,'TH_CMI GRADE 10'!$B$7:$B$49,'TH_CMI GRADE 10'!#REF!,"",0,1)&lt;=TODAY()-MOD(WEEKDAY(TODAY(),2)-5,7)),$D37,0)</f>
        <v>#REF!</v>
      </c>
      <c r="AL87" s="67">
        <f ca="1">IF(AND($D37&lt;&gt;0,_xlfn.XLOOKUP($B37,'TH_CMI GRADE 10'!$B$7:$B$49,'TH_CMI GRADE 10'!I$7:I$49,"",0,1)="P",
   _xlfn.XLOOKUP($B37,'TH_CMI GRADE 10'!$B$7:$B$49,'TH_CMI GRADE 10'!$AS$7:$AS$49,"",0,1)&lt;=TODAY()-MOD(WEEKDAY(TODAY(),2)-5,7)),$D37,0)</f>
        <v>4</v>
      </c>
      <c r="AM87" s="67">
        <f ca="1">IF(AND($D37&lt;&gt;0,_xlfn.XLOOKUP($B37,'TH_CMI GRADE 10'!$B$7:$B$49,'TH_CMI GRADE 10'!J$7:J$49,"",0,1)="P",
   _xlfn.XLOOKUP($B37,'TH_CMI GRADE 10'!$B$7:$B$49,'TH_CMI GRADE 10'!$AT$7:$AT$49,"",0,1)&lt;=TODAY()-MOD(WEEKDAY(TODAY(),2)-5,7)),$D37,0)</f>
        <v>4</v>
      </c>
      <c r="AN87" s="67" t="e">
        <f ca="1">IF(AND($D37&lt;&gt;0,_xlfn.XLOOKUP($B37,'TH_CMI GRADE 10'!$B$7:$B$49,'TH_CMI GRADE 10'!K$7:K$49,"",0,1)="P",
   _xlfn.XLOOKUP($B37,'TH_CMI GRADE 10'!$B$7:$B$49,'TH_CMI GRADE 10'!#REF!,"",0,1)&lt;=TODAY()-MOD(WEEKDAY(TODAY(),2)-5,7)),$D37,0)</f>
        <v>#REF!</v>
      </c>
      <c r="AO87" s="67">
        <f ca="1">IF(AND($D37&lt;&gt;0,_xlfn.XLOOKUP($B37,'TH_CMI GRADE 10'!$B$7:$B$49,'TH_CMI GRADE 10'!O$7:O$49,"",0,1)="P",
   _xlfn.XLOOKUP($B37,'TH_CMI GRADE 10'!$B$7:$B$49,'TH_CMI GRADE 10'!$AS$7:$AS$49,"",0,1)&lt;=TODAY()-MOD(WEEKDAY(TODAY(),2)-5,7)),$D37,0)</f>
        <v>0</v>
      </c>
      <c r="AP87" s="67">
        <f ca="1">IF(AND($D37&lt;&gt;0,_xlfn.XLOOKUP($B37,'TH_CMI GRADE 10'!$B$7:$B$49,'TH_CMI GRADE 10'!P$7:P$49,"",0,1)="P",
   _xlfn.XLOOKUP($B37,'TH_CMI GRADE 10'!$B$7:$B$49,'TH_CMI GRADE 10'!$AT$7:$AT$49,"",0,1)&lt;=TODAY()-MOD(WEEKDAY(TODAY(),2)-5,7)),$D37,0)</f>
        <v>0</v>
      </c>
      <c r="AQ87" s="67" t="e">
        <f ca="1">IF(AND($D37&lt;&gt;0,_xlfn.XLOOKUP($B37,'TH_CMI GRADE 10'!$B$7:$B$49,'TH_CMI GRADE 10'!Q$7:Q$49,"",0,1)="P",
   _xlfn.XLOOKUP($B37,'TH_CMI GRADE 10'!$B$7:$B$49,'TH_CMI GRADE 10'!#REF!,"",0,1)&lt;=TODAY()-MOD(WEEKDAY(TODAY(),2)-5,7)),$D37,0)</f>
        <v>#REF!</v>
      </c>
      <c r="AR87" s="67">
        <f ca="1">IF(AND($D37&lt;&gt;0,_xlfn.XLOOKUP($B37,'TH_CMI GRADE 10'!$B$7:$B$49,'TH_CMI GRADE 10'!U$7:U$49,"",0,1)="P",
   _xlfn.XLOOKUP($B37,'TH_CMI GRADE 10'!$B$7:$B$49,'TH_CMI GRADE 10'!$AS$7:$AS$49,"",0,1)&lt;=TODAY()-MOD(WEEKDAY(TODAY(),2)-5,7)),$D37,0)</f>
        <v>4</v>
      </c>
      <c r="AS87" s="67">
        <f ca="1">IF(AND($D37&lt;&gt;0,_xlfn.XLOOKUP($B37,'TH_CMI GRADE 10'!$B$7:$B$49,'TH_CMI GRADE 10'!V$7:V$49,"",0,1)="P",
   _xlfn.XLOOKUP($B37,'TH_CMI GRADE 10'!$B$7:$B$49,'TH_CMI GRADE 10'!$AT$7:$AT$49,"",0,1)&lt;=TODAY()-MOD(WEEKDAY(TODAY(),2)-5,7)),$D37,0)</f>
        <v>4</v>
      </c>
      <c r="AT87" s="67" t="e">
        <f ca="1">IF(AND($D37&lt;&gt;0,_xlfn.XLOOKUP($B37,'TH_CMI GRADE 10'!$B$7:$B$49,'TH_CMI GRADE 10'!W$7:W$49,"",0,1)="P",
   _xlfn.XLOOKUP($B37,'TH_CMI GRADE 10'!$B$7:$B$49,'TH_CMI GRADE 10'!#REF!,"",0,1)&lt;=TODAY()-MOD(WEEKDAY(TODAY(),2)-5,7)),$D37,0)</f>
        <v>#REF!</v>
      </c>
      <c r="AU87" s="67">
        <f ca="1">IF(AND($D37&lt;&gt;0,_xlfn.XLOOKUP($B37,'TH_CMI GRADE 10'!$B$7:$B$49,'TH_CMI GRADE 10'!AA$7:AA$49,"",0,1)="P",
   _xlfn.XLOOKUP($B37,'TH_CMI GRADE 10'!$B$7:$B$49,'TH_CMI GRADE 10'!$AS$7:$AS$49,"",0,1)&lt;=TODAY()-MOD(WEEKDAY(TODAY(),2)-5,7)),$D37,0)</f>
        <v>0</v>
      </c>
      <c r="AV87" s="67">
        <f ca="1">IF(AND($D37&lt;&gt;0,_xlfn.XLOOKUP($B37,'TH_CMI GRADE 10'!$B$7:$B$49,'TH_CMI GRADE 10'!AB$7:AB$49,"",0,1)="P",
   _xlfn.XLOOKUP($B37,'TH_CMI GRADE 10'!$B$7:$B$49,'TH_CMI GRADE 10'!$AT$7:$AT$49,"",0,1)&lt;=TODAY()-MOD(WEEKDAY(TODAY(),2)-5,7)),$D37,0)</f>
        <v>0</v>
      </c>
      <c r="AW87" s="67" t="e">
        <f ca="1">IF(AND($D37&lt;&gt;0,_xlfn.XLOOKUP($B37,'TH_CMI GRADE 10'!$B$7:$B$49,'TH_CMI GRADE 10'!AC$7:AC$49,"",0,1)="P",
   _xlfn.XLOOKUP($B37,'TH_CMI GRADE 10'!$B$7:$B$49,'TH_CMI GRADE 10'!#REF!,"",0,1)&lt;=TODAY()-MOD(WEEKDAY(TODAY(),2)-5,7)),$D37,0)</f>
        <v>#REF!</v>
      </c>
      <c r="AX87" s="67">
        <f ca="1">IF(AND($D37&lt;&gt;0,_xlfn.XLOOKUP($B37,'TH_CMI GRADE 10'!$B$7:$B$49,'TH_CMI GRADE 10'!AG$7:AG$49,"",0,1)="P",
   _xlfn.XLOOKUP($B37,'TH_CMI GRADE 10'!$B$7:$B$49,'TH_CMI GRADE 10'!$AS$7:$AS$49,"",0,1)&lt;=TODAY()-MOD(WEEKDAY(TODAY(),2)-5,7)),$D37,0)</f>
        <v>0</v>
      </c>
      <c r="AY87" s="67">
        <f ca="1">IF(AND($D37&lt;&gt;0,_xlfn.XLOOKUP($B37,'TH_CMI GRADE 10'!$B$7:$B$49,'TH_CMI GRADE 10'!AH$7:AH$49,"",0,1)="P",
   _xlfn.XLOOKUP($B37,'TH_CMI GRADE 10'!$B$7:$B$49,'TH_CMI GRADE 10'!$AT$7:$AT$49,"",0,1)&lt;=TODAY()-MOD(WEEKDAY(TODAY(),2)-5,7)),$D37,0)</f>
        <v>0</v>
      </c>
      <c r="AZ87" s="67" t="e">
        <f ca="1">IF(AND($D37&lt;&gt;0,_xlfn.XLOOKUP($B37,'TH_CMI GRADE 10'!$B$7:$B$49,'TH_CMI GRADE 10'!AI$7:AI$49,"",0,1)="P",
   _xlfn.XLOOKUP($B37,'TH_CMI GRADE 10'!$B$7:$B$49,'TH_CMI GRADE 10'!#REF!,"",0,1)&lt;=TODAY()-MOD(WEEKDAY(TODAY(),2)-5,7)),$D37,0)</f>
        <v>#REF!</v>
      </c>
      <c r="BA87" s="65" t="e">
        <f ca="1">IF(AND($D37&lt;&gt;0,_xlfn.XLOOKUP($B37,'PW_MLG GRADE 10'!$B$7:$B$31,'PW_MLG GRADE 10'!R$7:R$31,"",0,1)="P",
   _xlfn.XLOOKUP($B37,'PW_MLG GRADE 10'!$B$7:$B$31,'PW_MLG GRADE 10'!#REF!,"",0,1)&lt;=TODAY()-MOD(WEEKDAY(TODAY(),2)-5,7)),$D37,0)</f>
        <v>#REF!</v>
      </c>
      <c r="BB87" s="65" t="e">
        <f ca="1">IF(AND($D37&lt;&gt;0,_xlfn.XLOOKUP($B37,'PW_MLG GRADE 10'!$B$7:$B$31,'PW_MLG GRADE 10'!S$7:S$31,"",0,1)="P",
   _xlfn.XLOOKUP($B37,'PW_MLG GRADE 10'!$B$7:$B$31,'PW_MLG GRADE 10'!#REF!,"",0,1)&lt;=TODAY()-MOD(WEEKDAY(TODAY(),2)-5,7)),$D37,0)</f>
        <v>#REF!</v>
      </c>
      <c r="BC87" s="65" t="e">
        <f ca="1">IF(AND($D37&lt;&gt;0,_xlfn.XLOOKUP($B37,'PW_MLG GRADE 10'!$B$7:$B$31,'PW_MLG GRADE 10'!T$7:T$31,"",0,1)="P",
   _xlfn.XLOOKUP($B37,'PW_MLG GRADE 10'!$B$7:$B$31,'PW_MLG GRADE 10'!#REF!,"",0,1)&lt;=TODAY()-MOD(WEEKDAY(TODAY(),2)-5,7)),$D37,0)</f>
        <v>#REF!</v>
      </c>
      <c r="BD87" s="65" t="e">
        <f ca="1">IF(AND($D37&lt;&gt;0,_xlfn.XLOOKUP($B37,'PW_MLG GRADE 10'!$B$7:$B$31,'PW_MLG GRADE 10'!AA$7:AA$31,"",0,1)="P",
   _xlfn.XLOOKUP($B37,'PW_MLG GRADE 10'!$B$7:$B$31,'PW_MLG GRADE 10'!#REF!,"",0,1)&lt;=TODAY()-MOD(WEEKDAY(TODAY(),2)-5,7)),$D37,0)</f>
        <v>#REF!</v>
      </c>
      <c r="BE87" s="65" t="e">
        <f ca="1">IF(AND($D37&lt;&gt;0,_xlfn.XLOOKUP($B37,'PW_MLG GRADE 10'!$B$7:$B$31,'PW_MLG GRADE 10'!AB$7:AB$31,"",0,1)="P",
   _xlfn.XLOOKUP($B37,'PW_MLG GRADE 10'!$B$7:$B$31,'PW_MLG GRADE 10'!#REF!,"",0,1)&lt;=TODAY()-MOD(WEEKDAY(TODAY(),2)-5,7)),$D37,0)</f>
        <v>#REF!</v>
      </c>
      <c r="BF87" s="65" t="e">
        <f ca="1">IF(AND($D37&lt;&gt;0,_xlfn.XLOOKUP($B37,'PW_MLG GRADE 10'!$B$7:$B$31,'PW_MLG GRADE 10'!AC$7:AC$31,"",0,1)="P",
   _xlfn.XLOOKUP($B37,'PW_MLG GRADE 10'!$B$7:$B$31,'PW_MLG GRADE 10'!#REF!,"",0,1)&lt;=TODAY()-MOD(WEEKDAY(TODAY(),2)-5,7)),$D37,0)</f>
        <v>#REF!</v>
      </c>
      <c r="BG87" s="65" t="e">
        <f ca="1">IF(AND($D37&lt;&gt;0,_xlfn.XLOOKUP($B37,'PW_MLG GRADE 10'!$B$7:$B$31,'PW_MLG GRADE 10'!AD$7:AD$31,"",0,1)="P",
   _xlfn.XLOOKUP($B37,'PW_MLG GRADE 10'!$B$7:$B$31,'PW_MLG GRADE 10'!#REF!,"",0,1)&lt;=TODAY()-MOD(WEEKDAY(TODAY(),2)-5,7)),$D37,0)</f>
        <v>#REF!</v>
      </c>
      <c r="BH87" s="65" t="e">
        <f ca="1">IF(AND($D37&lt;&gt;0,_xlfn.XLOOKUP($B37,'PW_MLG GRADE 10'!$B$7:$B$31,'PW_MLG GRADE 10'!AE$7:AE$31,"",0,1)="P",
   _xlfn.XLOOKUP($B37,'PW_MLG GRADE 10'!$B$7:$B$31,'PW_MLG GRADE 10'!#REF!,"",0,1)&lt;=TODAY()-MOD(WEEKDAY(TODAY(),2)-5,7)),$D37,0)</f>
        <v>#REF!</v>
      </c>
      <c r="BI87" s="65" t="e">
        <f ca="1">IF(AND($D37&lt;&gt;0,_xlfn.XLOOKUP($B37,'PW_MLG GRADE 10'!$B$7:$B$31,'PW_MLG GRADE 10'!AF$7:AF$31,"",0,1)="P",
   _xlfn.XLOOKUP($B37,'PW_MLG GRADE 10'!$B$7:$B$31,'PW_MLG GRADE 10'!#REF!,"",0,1)&lt;=TODAY()-MOD(WEEKDAY(TODAY(),2)-5,7)),$D37,0)</f>
        <v>#REF!</v>
      </c>
      <c r="BJ87" s="65" t="e">
        <f ca="1">IF(AND($D37&lt;&gt;0,_xlfn.XLOOKUP($B37,'PW_MLG GRADE 10'!$B$7:$B$31,'PW_MLG GRADE 10'!AG$7:AG$31,"",0,1)="P",
   _xlfn.XLOOKUP($B37,'PW_MLG GRADE 10'!$B$7:$B$31,'PW_MLG GRADE 10'!#REF!,"",0,1)&lt;=TODAY()-MOD(WEEKDAY(TODAY(),2)-5,7)),$D37,0)</f>
        <v>#REF!</v>
      </c>
      <c r="BK87" s="65" t="e">
        <f ca="1">IF(AND($D37&lt;&gt;0,_xlfn.XLOOKUP($B37,'PW_MLG GRADE 10'!$B$7:$B$31,'PW_MLG GRADE 10'!AH$7:AH$31,"",0,1)="P",
   _xlfn.XLOOKUP($B37,'PW_MLG GRADE 10'!$B$7:$B$31,'PW_MLG GRADE 10'!#REF!,"",0,1)&lt;=TODAY()-MOD(WEEKDAY(TODAY(),2)-5,7)),$D37,0)</f>
        <v>#REF!</v>
      </c>
      <c r="BL87" s="65" t="e">
        <f ca="1">IF(AND($D37&lt;&gt;0,_xlfn.XLOOKUP($B37,'PW_MLG GRADE 10'!$B$7:$B$31,'PW_MLG GRADE 10'!AI$7:AI$31,"",0,1)="P",
   _xlfn.XLOOKUP($B37,'PW_MLG GRADE 10'!$B$7:$B$31,'PW_MLG GRADE 10'!#REF!,"",0,1)&lt;=TODAY()-MOD(WEEKDAY(TODAY(),2)-5,7)),$D37,0)</f>
        <v>#REF!</v>
      </c>
      <c r="BM87" s="65" t="e">
        <f ca="1">IF(AND($D37&lt;&gt;0,_xlfn.XLOOKUP($B37,'PW_MLG GRADE 10'!$B$7:$B$31,'PW_MLG GRADE 10'!AJ$7:AJ$31,"",0,1)="P",
   _xlfn.XLOOKUP($B37,'PW_MLG GRADE 10'!$B$7:$B$31,'PW_MLG GRADE 10'!#REF!,"",0,1)&lt;=TODAY()-MOD(WEEKDAY(TODAY(),2)-5,7)),$D37,0)</f>
        <v>#REF!</v>
      </c>
      <c r="BN87" s="65" t="e">
        <f ca="1">IF(AND($D37&lt;&gt;0,_xlfn.XLOOKUP($B37,'PW_MLG GRADE 10'!$B$7:$B$31,'PW_MLG GRADE 10'!AK$7:AK$31,"",0,1)="P",
   _xlfn.XLOOKUP($B37,'PW_MLG GRADE 10'!$B$7:$B$31,'PW_MLG GRADE 10'!#REF!,"",0,1)&lt;=TODAY()-MOD(WEEKDAY(TODAY(),2)-5,7)),$D37,0)</f>
        <v>#REF!</v>
      </c>
      <c r="BO87" s="65" t="e">
        <f ca="1">IF(AND($D37&lt;&gt;0,_xlfn.XLOOKUP($B37,'PW_MLG GRADE 10'!$B$7:$B$31,'PW_MLG GRADE 10'!AL$7:AL$31,"",0,1)="P",
   _xlfn.XLOOKUP($B37,'PW_MLG GRADE 10'!$B$7:$B$31,'PW_MLG GRADE 10'!#REF!,"",0,1)&lt;=TODAY()-MOD(WEEKDAY(TODAY(),2)-5,7)),$D37,0)</f>
        <v>#REF!</v>
      </c>
      <c r="BP87" s="65" t="e">
        <f ca="1">IF(AND($D37&lt;&gt;0,_xlfn.XLOOKUP($B37,'PW_MLG GRADE 10'!$B$7:$B$31,'PW_MLG GRADE 10'!AM$7:AM$31,"",0,1)="P",
   _xlfn.XLOOKUP($B37,'PW_MLG GRADE 10'!$B$7:$B$31,'PW_MLG GRADE 10'!#REF!,"",0,1)&lt;=TODAY()-MOD(WEEKDAY(TODAY(),2)-5,7)),$D37,0)</f>
        <v>#REF!</v>
      </c>
      <c r="BQ87" s="65" t="e">
        <f ca="1">IF(AND($D37&lt;&gt;0,_xlfn.XLOOKUP($B37,'PW_MLG GRADE 10'!$B$7:$B$31,'PW_MLG GRADE 10'!AN$7:AN$31,"",0,1)="P",
   _xlfn.XLOOKUP($B37,'PW_MLG GRADE 10'!$B$7:$B$31,'PW_MLG GRADE 10'!#REF!,"",0,1)&lt;=TODAY()-MOD(WEEKDAY(TODAY(),2)-5,7)),$D37,0)</f>
        <v>#REF!</v>
      </c>
      <c r="BR87" s="65" t="e">
        <f ca="1">IF(AND($D37&lt;&gt;0,_xlfn.XLOOKUP($B37,'PW_MLG GRADE 10'!$B$7:$B$31,'PW_MLG GRADE 10'!AO$7:AO$31,"",0,1)="P",
   _xlfn.XLOOKUP($B37,'PW_MLG GRADE 10'!$B$7:$B$31,'PW_MLG GRADE 10'!#REF!,"",0,1)&lt;=TODAY()-MOD(WEEKDAY(TODAY(),2)-5,7)),$D37,0)</f>
        <v>#REF!</v>
      </c>
      <c r="BS87" s="65" t="e">
        <f ca="1">IF(AND($D37&lt;&gt;0,_xlfn.XLOOKUP($B37,'PW_MLG GRADE 10'!$B$7:$B$31,'PW_MLG GRADE 10'!AP$7:AP$31,"",0,1)="P",
   _xlfn.XLOOKUP($B37,'PW_MLG GRADE 10'!$B$7:$B$31,'PW_MLG GRADE 10'!#REF!,"",0,1)&lt;=TODAY()-MOD(WEEKDAY(TODAY(),2)-5,7)),$D37,0)</f>
        <v>#REF!</v>
      </c>
      <c r="BT87" s="65" t="e">
        <f ca="1">IF(AND($D37&lt;&gt;0,_xlfn.XLOOKUP($B37,'PW_MLG GRADE 10'!$B$7:$B$31,'PW_MLG GRADE 10'!AQ$7:AQ$31,"",0,1)="P",
   _xlfn.XLOOKUP($B37,'PW_MLG GRADE 10'!$B$7:$B$31,'PW_MLG GRADE 10'!#REF!,"",0,1)&lt;=TODAY()-MOD(WEEKDAY(TODAY(),2)-5,7)),$D37,0)</f>
        <v>#REF!</v>
      </c>
      <c r="BU87" s="65" t="e">
        <f ca="1">IF(AND($D37&lt;&gt;0,_xlfn.XLOOKUP($B37,'PW_MLG GRADE 10'!$B$7:$B$31,'PW_MLG GRADE 10'!AR$7:AR$31,"",0,1)="P",
   _xlfn.XLOOKUP($B37,'PW_MLG GRADE 10'!$B$7:$B$31,'PW_MLG GRADE 10'!#REF!,"",0,1)&lt;=TODAY()-MOD(WEEKDAY(TODAY(),2)-5,7)),$D37,0)</f>
        <v>#REF!</v>
      </c>
      <c r="BV87" s="65" t="e">
        <f ca="1">IF(AND($D37&lt;&gt;0,_xlfn.XLOOKUP($B37,'PW_MLG GRADE 10'!$B$7:$B$31,'PW_MLG GRADE 10'!AY$7:AY$31,"",0,1)="P",
   _xlfn.XLOOKUP($B37,'PW_MLG GRADE 10'!$B$7:$B$31,'PW_MLG GRADE 10'!#REF!,"",0,1)&lt;=TODAY()-MOD(WEEKDAY(TODAY(),2)-5,7)),$D37,0)</f>
        <v>#REF!</v>
      </c>
      <c r="BW87" s="65" t="e">
        <f ca="1">IF(AND($D37&lt;&gt;0,_xlfn.XLOOKUP($B37,'PW_MLG GRADE 10'!$B$7:$B$31,'PW_MLG GRADE 10'!AZ$7:AZ$31,"",0,1)="P",
   _xlfn.XLOOKUP($B37,'PW_MLG GRADE 10'!$B$7:$B$31,'PW_MLG GRADE 10'!#REF!,"",0,1)&lt;=TODAY()-MOD(WEEKDAY(TODAY(),2)-5,7)),$D37,0)</f>
        <v>#REF!</v>
      </c>
      <c r="BX87" s="65" t="e">
        <f ca="1">IF(AND($D37&lt;&gt;0,_xlfn.XLOOKUP($B37,'PW_MLG GRADE 10'!$B$7:$B$31,'PW_MLG GRADE 10'!BA$7:BA$31,"",0,1)="P",
   _xlfn.XLOOKUP($B37,'PW_MLG GRADE 10'!$B$7:$B$31,'PW_MLG GRADE 10'!#REF!,"",0,1)&lt;=TODAY()-MOD(WEEKDAY(TODAY(),2)-5,7)),$D37,0)</f>
        <v>#REF!</v>
      </c>
      <c r="BY87" s="65" t="e">
        <f ca="1">IF(AND($D37&lt;&gt;0,_xlfn.XLOOKUP($B37,'PW_MLG GRADE 10'!$B$7:$B$31,'PW_MLG GRADE 10'!BB$7:BB$31,"",0,1)="P",
   _xlfn.XLOOKUP($B37,'PW_MLG GRADE 10'!$B$7:$B$31,'PW_MLG GRADE 10'!#REF!,"",0,1)&lt;=TODAY()-MOD(WEEKDAY(TODAY(),2)-5,7)),$D37,0)</f>
        <v>#REF!</v>
      </c>
      <c r="BZ87" s="65" t="e">
        <f ca="1">IF(AND($D37&lt;&gt;0,_xlfn.XLOOKUP($B37,'PW_MLG GRADE 10'!$B$7:$B$31,'PW_MLG GRADE 10'!BC$7:BC$31,"",0,1)="P",
   _xlfn.XLOOKUP($B37,'PW_MLG GRADE 10'!$B$7:$B$31,'PW_MLG GRADE 10'!#REF!,"",0,1)&lt;=TODAY()-MOD(WEEKDAY(TODAY(),2)-5,7)),$D37,0)</f>
        <v>#REF!</v>
      </c>
      <c r="CA87" s="65" t="e">
        <f ca="1">IF(AND($D37&lt;&gt;0,_xlfn.XLOOKUP($B37,'PW_MLG GRADE 10'!$B$7:$B$31,'PW_MLG GRADE 10'!BD$7:BD$31,"",0,1)="P",
   _xlfn.XLOOKUP($B37,'PW_MLG GRADE 10'!$B$7:$B$31,'PW_MLG GRADE 10'!#REF!,"",0,1)&lt;=TODAY()-MOD(WEEKDAY(TODAY(),2)-5,7)),$D37,0)</f>
        <v>#REF!</v>
      </c>
      <c r="CB87" s="65" t="e">
        <f ca="1">IF(AND($D37&lt;&gt;0,_xlfn.XLOOKUP($B37,'PW_MLG GRADE 10'!$B$7:$B$31,'PW_MLG GRADE 10'!BE$7:BE$31,"",0,1)="P",
   _xlfn.XLOOKUP($B37,'PW_MLG GRADE 10'!$B$7:$B$31,'PW_MLG GRADE 10'!#REF!,"",0,1)&lt;=TODAY()-MOD(WEEKDAY(TODAY(),2)-5,7)),$D37,0)</f>
        <v>#REF!</v>
      </c>
      <c r="CC87" s="65" t="e">
        <f ca="1">IF(AND($D37&lt;&gt;0,_xlfn.XLOOKUP($B37,'PW_MLG GRADE 10'!$B$7:$B$31,'PW_MLG GRADE 10'!BF$7:BF$31,"",0,1)="P",
   _xlfn.XLOOKUP($B37,'PW_MLG GRADE 10'!$B$7:$B$31,'PW_MLG GRADE 10'!#REF!,"",0,1)&lt;=TODAY()-MOD(WEEKDAY(TODAY(),2)-5,7)),$D37,0)</f>
        <v>#REF!</v>
      </c>
      <c r="CD87" s="65" t="e">
        <f ca="1">IF(AND($D37&lt;&gt;0,_xlfn.XLOOKUP($B37,'PW_MLG GRADE 10'!$B$7:$B$31,'PW_MLG GRADE 10'!BG$7:BG$31,"",0,1)="P",
   _xlfn.XLOOKUP($B37,'PW_MLG GRADE 10'!$B$7:$B$31,'PW_MLG GRADE 10'!#REF!,"",0,1)&lt;=TODAY()-MOD(WEEKDAY(TODAY(),2)-5,7)),$D37,0)</f>
        <v>#REF!</v>
      </c>
      <c r="CE87" s="67">
        <f ca="1">IF(AND($D37&lt;&gt;0,_xlfn.XLOOKUP($B37,'PW_CMI GRADE 10'!$B$7:$B$31,'PW_CMI GRADE 10'!AY$7:AY$31,"",0,1)="P",
   _xlfn.XLOOKUP($B37,'PW_CMI GRADE 10'!$B$7:$B$31,'PW_CMI GRADE 10'!$U$7:$U$31,"",0,1)&lt;=TODAY()-MOD(WEEKDAY(TODAY(),2)-5,7)),$D37,0)</f>
        <v>0</v>
      </c>
      <c r="CF87" s="67">
        <f ca="1">IF(AND($D37&lt;&gt;0,_xlfn.XLOOKUP($B37,'PW_CMI GRADE 10'!$B$7:$B$31,'PW_CMI GRADE 10'!AZ$7:AZ$31,"",0,1)="P",
   _xlfn.XLOOKUP($B37,'PW_CMI GRADE 10'!$B$7:$B$31,'PW_CMI GRADE 10'!$V$7:$V$31,"",0,1)&lt;=TODAY()-MOD(WEEKDAY(TODAY(),2)-5,7)),$D37,0)</f>
        <v>0</v>
      </c>
      <c r="CG87" s="67">
        <f ca="1">IF(AND($D37&lt;&gt;0,_xlfn.XLOOKUP($B37,'PW_CMI GRADE 10'!$B$7:$B$31,'PW_CMI GRADE 10'!BA$7:BA$31,"",0,1)="P",
   _xlfn.XLOOKUP($B37,'PW_CMI GRADE 10'!$B$7:$B$31,'PW_CMI GRADE 10'!$W$7:$W$31,"",0,1)&lt;=TODAY()-MOD(WEEKDAY(TODAY(),2)-5,7)),$D37,0)</f>
        <v>0</v>
      </c>
      <c r="CH87" s="67">
        <f ca="1">IF(AND($D37&lt;&gt;0,_xlfn.XLOOKUP($B37,'PW_CMI GRADE 10'!$B$7:$B$31,'PW_CMI GRADE 10'!BB$7:BB$31,"",0,1)="P",
   _xlfn.XLOOKUP($B37,'PW_CMI GRADE 10'!$B$7:$B$31,'PW_CMI GRADE 10'!$U$7:$U$31,"",0,1)&lt;=TODAY()-MOD(WEEKDAY(TODAY(),2)-5,7)),$D37,0)</f>
        <v>0</v>
      </c>
      <c r="CI87" s="67">
        <f ca="1">IF(AND($D37&lt;&gt;0,_xlfn.XLOOKUP($B37,'PW_CMI GRADE 10'!$B$7:$B$31,'PW_CMI GRADE 10'!BC$7:BC$31,"",0,1)="P",
   _xlfn.XLOOKUP($B37,'PW_CMI GRADE 10'!$B$7:$B$31,'PW_CMI GRADE 10'!$V$7:$V$31,"",0,1)&lt;=TODAY()-MOD(WEEKDAY(TODAY(),2)-5,7)),$D37,0)</f>
        <v>0</v>
      </c>
      <c r="CJ87" s="67">
        <f ca="1">IF(AND($D37&lt;&gt;0,_xlfn.XLOOKUP($B37,'PW_CMI GRADE 10'!$B$7:$B$31,'PW_CMI GRADE 10'!BD$7:BD$31,"",0,1)="P",
   _xlfn.XLOOKUP($B37,'PW_CMI GRADE 10'!$B$7:$B$31,'PW_CMI GRADE 10'!$W$7:$W$31,"",0,1)&lt;=TODAY()-MOD(WEEKDAY(TODAY(),2)-5,7)),$D37,0)</f>
        <v>0</v>
      </c>
      <c r="CK87" s="67">
        <f ca="1">IF(AND($D37&lt;&gt;0,_xlfn.XLOOKUP($B37,'PW_CMI GRADE 10'!$B$7:$B$31,'PW_CMI GRADE 10'!BE$7:BE$31,"",0,1)="P",
   _xlfn.XLOOKUP($B37,'PW_CMI GRADE 10'!$B$7:$B$31,'PW_CMI GRADE 10'!$U$7:$U$31,"",0,1)&lt;=TODAY()-MOD(WEEKDAY(TODAY(),2)-5,7)),$D37,0)</f>
        <v>0</v>
      </c>
      <c r="CL87" s="67">
        <f ca="1">IF(AND($D37&lt;&gt;0,_xlfn.XLOOKUP($B37,'PW_CMI GRADE 10'!$B$7:$B$31,'PW_CMI GRADE 10'!BF$7:BF$31,"",0,1)="P",
   _xlfn.XLOOKUP($B37,'PW_CMI GRADE 10'!$B$7:$B$31,'PW_CMI GRADE 10'!$V$7:$V$31,"",0,1)&lt;=TODAY()-MOD(WEEKDAY(TODAY(),2)-5,7)),$D37,0)</f>
        <v>0</v>
      </c>
      <c r="CM87" s="67">
        <f ca="1">IF(AND($D37&lt;&gt;0,_xlfn.XLOOKUP($B37,'PW_CMI GRADE 10'!$B$7:$B$31,'PW_CMI GRADE 10'!BG$7:BG$31,"",0,1)="P",
   _xlfn.XLOOKUP($B37,'PW_CMI GRADE 10'!$B$7:$B$31,'PW_CMI GRADE 10'!$W$7:$W$31,"",0,1)&lt;=TODAY()-MOD(WEEKDAY(TODAY(),2)-5,7)),$D37,0)</f>
        <v>0</v>
      </c>
      <c r="CN87" s="67">
        <f ca="1">IF(AND($D37&lt;&gt;0,_xlfn.XLOOKUP($B37,'PW_CMI GRADE 10'!$B$7:$B$31,'PW_CMI GRADE 10'!BH$7:BH$31,"",0,1)="P",
   _xlfn.XLOOKUP($B37,'PW_CMI GRADE 10'!$B$7:$B$31,'PW_CMI GRADE 10'!$U$7:$U$31,"",0,1)&lt;=TODAY()-MOD(WEEKDAY(TODAY(),2)-5,7)),$D37,0)</f>
        <v>0</v>
      </c>
      <c r="CO87" s="67">
        <f ca="1">IF(AND($D37&lt;&gt;0,_xlfn.XLOOKUP($B37,'PW_CMI GRADE 10'!$B$7:$B$31,'PW_CMI GRADE 10'!BI$7:BI$31,"",0,1)="P",
   _xlfn.XLOOKUP($B37,'PW_CMI GRADE 10'!$B$7:$B$31,'PW_CMI GRADE 10'!$V$7:$V$31,"",0,1)&lt;=TODAY()-MOD(WEEKDAY(TODAY(),2)-5,7)),$D37,0)</f>
        <v>0</v>
      </c>
      <c r="CP87" s="67">
        <f ca="1">IF(AND($D37&lt;&gt;0,_xlfn.XLOOKUP($B37,'PW_CMI GRADE 10'!$B$7:$B$31,'PW_CMI GRADE 10'!BJ$7:BJ$31,"",0,1)="P",
   _xlfn.XLOOKUP($B37,'PW_CMI GRADE 10'!$B$7:$B$31,'PW_CMI GRADE 10'!$W$7:$W$31,"",0,1)&lt;=TODAY()-MOD(WEEKDAY(TODAY(),2)-5,7)),$D37,0)</f>
        <v>0</v>
      </c>
      <c r="CQ87" s="67">
        <f ca="1">IF(AND($D37&lt;&gt;0,_xlfn.XLOOKUP($B37,'PW_CMI GRADE 10'!$B$7:$B$31,'PW_CMI GRADE 10'!BK$7:BK$31,"",0,1)="P",
   _xlfn.XLOOKUP($B37,'PW_CMI GRADE 10'!$B$7:$B$31,'PW_CMI GRADE 10'!$U$7:$U$31,"",0,1)&lt;=TODAY()-MOD(WEEKDAY(TODAY(),2)-5,7)),$D37,0)</f>
        <v>0</v>
      </c>
      <c r="CR87" s="67">
        <f ca="1">IF(AND($D37&lt;&gt;0,_xlfn.XLOOKUP($B37,'PW_CMI GRADE 10'!$B$7:$B$31,'PW_CMI GRADE 10'!BL$7:BL$31,"",0,1)="P",
   _xlfn.XLOOKUP($B37,'PW_CMI GRADE 10'!$B$7:$B$31,'PW_CMI GRADE 10'!$V$7:$V$31,"",0,1)&lt;=TODAY()-MOD(WEEKDAY(TODAY(),2)-5,7)),$D37,0)</f>
        <v>0</v>
      </c>
      <c r="CS87" s="67">
        <f ca="1">IF(AND($D37&lt;&gt;0,_xlfn.XLOOKUP($B37,'PW_CMI GRADE 10'!$B$7:$B$31,'PW_CMI GRADE 10'!BM$7:BM$31,"",0,1)="P",
   _xlfn.XLOOKUP($B37,'PW_CMI GRADE 10'!$B$7:$B$31,'PW_CMI GRADE 10'!$W$7:$W$31,"",0,1)&lt;=TODAY()-MOD(WEEKDAY(TODAY(),2)-5,7)),$D37,0)</f>
        <v>0</v>
      </c>
      <c r="CT87" s="67">
        <f ca="1">IF(AND($D37&lt;&gt;0,_xlfn.XLOOKUP($B37,'PW_CMI GRADE 10'!$B$7:$B$31,'PW_CMI GRADE 10'!BN$7:BN$31,"",0,1)="P",
   _xlfn.XLOOKUP($B37,'PW_CMI GRADE 10'!$B$7:$B$31,'PW_CMI GRADE 10'!$U$7:$U$31,"",0,1)&lt;=TODAY()-MOD(WEEKDAY(TODAY(),2)-5,7)),$D37,0)</f>
        <v>0</v>
      </c>
      <c r="CU87" s="67">
        <f ca="1">IF(AND($D37&lt;&gt;0,_xlfn.XLOOKUP($B37,'PW_CMI GRADE 10'!$B$7:$B$31,'PW_CMI GRADE 10'!BO$7:BO$31,"",0,1)="P",
   _xlfn.XLOOKUP($B37,'PW_CMI GRADE 10'!$B$7:$B$31,'PW_CMI GRADE 10'!$V$7:$V$31,"",0,1)&lt;=TODAY()-MOD(WEEKDAY(TODAY(),2)-5,7)),$D37,0)</f>
        <v>0</v>
      </c>
      <c r="CV87" s="67">
        <f ca="1">IF(AND($D37&lt;&gt;0,_xlfn.XLOOKUP($B37,'PW_CMI GRADE 10'!$B$7:$B$31,'PW_CMI GRADE 10'!BP$7:BP$31,"",0,1)="P",
   _xlfn.XLOOKUP($B37,'PW_CMI GRADE 10'!$B$7:$B$31,'PW_CMI GRADE 10'!$W$7:$W$31,"",0,1)&lt;=TODAY()-MOD(WEEKDAY(TODAY(),2)-5,7)),$D37,0)</f>
        <v>0</v>
      </c>
      <c r="CW87" s="62" t="e">
        <f t="shared" ca="1" si="132"/>
        <v>#REF!</v>
      </c>
      <c r="CX87" s="62" t="e">
        <f t="shared" ca="1" si="69"/>
        <v>#REF!</v>
      </c>
      <c r="CY87" s="62" t="e">
        <f t="shared" ca="1" si="70"/>
        <v>#REF!</v>
      </c>
      <c r="CZ87" s="62" t="e">
        <f t="shared" ca="1" si="71"/>
        <v>#REF!</v>
      </c>
      <c r="DA87" s="62" t="e">
        <f t="shared" ca="1" si="72"/>
        <v>#REF!</v>
      </c>
      <c r="DB87" s="62" t="e">
        <f t="shared" ca="1" si="73"/>
        <v>#REF!</v>
      </c>
      <c r="DC87" s="62" t="e">
        <f t="shared" ca="1" si="74"/>
        <v>#REF!</v>
      </c>
      <c r="DD87" s="62" t="e">
        <f t="shared" ca="1" si="75"/>
        <v>#REF!</v>
      </c>
      <c r="DE87" s="62" t="e">
        <f t="shared" ca="1" si="76"/>
        <v>#REF!</v>
      </c>
      <c r="DF87" s="62" t="e">
        <f t="shared" ca="1" si="77"/>
        <v>#REF!</v>
      </c>
      <c r="DG87" s="62" t="e">
        <f t="shared" ca="1" si="78"/>
        <v>#REF!</v>
      </c>
      <c r="DH87" s="62" t="e">
        <f t="shared" ca="1" si="79"/>
        <v>#REF!</v>
      </c>
      <c r="DI87" s="62" t="e">
        <f t="shared" ca="1" si="80"/>
        <v>#REF!</v>
      </c>
      <c r="DJ87" s="62" t="e">
        <f t="shared" ca="1" si="81"/>
        <v>#REF!</v>
      </c>
      <c r="DK87" s="62" t="e">
        <f t="shared" ca="1" si="82"/>
        <v>#REF!</v>
      </c>
      <c r="DL87" s="62" t="e">
        <f t="shared" ca="1" si="83"/>
        <v>#REF!</v>
      </c>
      <c r="DM87" s="62" t="e">
        <f t="shared" ca="1" si="84"/>
        <v>#REF!</v>
      </c>
      <c r="DN87" s="62" t="e">
        <f t="shared" ca="1" si="85"/>
        <v>#REF!</v>
      </c>
      <c r="DO87" s="62" t="e">
        <f t="shared" ca="1" si="86"/>
        <v>#REF!</v>
      </c>
      <c r="DP87" s="62" t="e">
        <f t="shared" ca="1" si="87"/>
        <v>#REF!</v>
      </c>
      <c r="DQ87" s="62" t="e">
        <f t="shared" ca="1" si="88"/>
        <v>#REF!</v>
      </c>
      <c r="DR87" s="62" t="e">
        <f t="shared" ca="1" si="89"/>
        <v>#REF!</v>
      </c>
      <c r="DS87" s="62" t="e">
        <f t="shared" ca="1" si="90"/>
        <v>#REF!</v>
      </c>
      <c r="DT87" s="62" t="e">
        <f t="shared" ca="1" si="91"/>
        <v>#REF!</v>
      </c>
      <c r="DU87" s="62" t="e">
        <f t="shared" ca="1" si="92"/>
        <v>#REF!</v>
      </c>
      <c r="DV87" s="62" t="e">
        <f t="shared" ca="1" si="93"/>
        <v>#REF!</v>
      </c>
      <c r="DW87" s="62" t="e">
        <f t="shared" ca="1" si="94"/>
        <v>#REF!</v>
      </c>
      <c r="DX87" s="62" t="e">
        <f t="shared" ca="1" si="95"/>
        <v>#REF!</v>
      </c>
      <c r="DY87" s="62" t="e">
        <f t="shared" ca="1" si="96"/>
        <v>#REF!</v>
      </c>
      <c r="DZ87" s="62" t="e">
        <f t="shared" ca="1" si="97"/>
        <v>#REF!</v>
      </c>
      <c r="EA87" s="63" t="e">
        <f t="shared" ca="1" si="98"/>
        <v>#REF!</v>
      </c>
      <c r="EB87" s="63" t="e">
        <f t="shared" ca="1" si="99"/>
        <v>#REF!</v>
      </c>
      <c r="EC87" s="63" t="e">
        <f t="shared" ca="1" si="100"/>
        <v>#REF!</v>
      </c>
      <c r="ED87" s="63" t="e">
        <f t="shared" ca="1" si="101"/>
        <v>#REF!</v>
      </c>
      <c r="EE87" s="63" t="e">
        <f t="shared" ca="1" si="102"/>
        <v>#REF!</v>
      </c>
      <c r="EF87" s="63" t="e">
        <f t="shared" ca="1" si="103"/>
        <v>#REF!</v>
      </c>
      <c r="EG87" s="63" t="e">
        <f t="shared" ca="1" si="104"/>
        <v>#REF!</v>
      </c>
      <c r="EH87" s="63" t="e">
        <f t="shared" ca="1" si="105"/>
        <v>#REF!</v>
      </c>
      <c r="EI87" s="63" t="e">
        <f t="shared" ca="1" si="106"/>
        <v>#REF!</v>
      </c>
      <c r="EJ87" s="63" t="e">
        <f t="shared" ca="1" si="107"/>
        <v>#REF!</v>
      </c>
      <c r="EK87" s="63" t="e">
        <f t="shared" ca="1" si="108"/>
        <v>#REF!</v>
      </c>
      <c r="EL87" s="63" t="e">
        <f t="shared" ca="1" si="109"/>
        <v>#REF!</v>
      </c>
      <c r="EM87" s="63" t="e">
        <f t="shared" ca="1" si="110"/>
        <v>#REF!</v>
      </c>
      <c r="EN87" s="63" t="e">
        <f t="shared" ca="1" si="111"/>
        <v>#REF!</v>
      </c>
      <c r="EO87" s="63" t="e">
        <f t="shared" ca="1" si="112"/>
        <v>#REF!</v>
      </c>
      <c r="EP87" s="63" t="e">
        <f t="shared" ca="1" si="113"/>
        <v>#REF!</v>
      </c>
    </row>
    <row r="88" spans="1:146">
      <c r="A88" s="64" t="str">
        <f t="shared" si="131"/>
        <v>6A.1</v>
      </c>
      <c r="B88" s="64" t="s">
        <v>69</v>
      </c>
      <c r="C88" s="30">
        <v>2</v>
      </c>
      <c r="D88" s="30">
        <v>2</v>
      </c>
      <c r="E88" s="65">
        <f ca="1">IF(AND($D38&lt;&gt;0,_xlfn.XLOOKUP($B38,'TH_MLG GRADE 10'!$B$7:$B$49,'TH_MLG GRADE 10'!C$7:C$49,"",0,1)="P",
   _xlfn.XLOOKUP($B38,'TH_MLG GRADE 10'!$B$7:$B$49,'TH_MLG GRADE 10'!$BK$7:$BK$49,"",0,1)&lt;=TODAY()-MOD(WEEKDAY(TODAY(),2)-5,7)),$D38,0)</f>
        <v>0</v>
      </c>
      <c r="F88" s="65">
        <f ca="1">IF(AND($D38&lt;&gt;0,_xlfn.XLOOKUP($B38,'TH_MLG GRADE 10'!$B$7:$B$49,'TH_MLG GRADE 10'!D$7:D$49,"",0,1)="P",
   _xlfn.XLOOKUP($B38,'TH_MLG GRADE 10'!$B$7:$B$49,'TH_MLG GRADE 10'!$BL$7:$BL$49,"",0,1)&lt;=TODAY()-MOD(WEEKDAY(TODAY(),2)-5,7)),$D38,0)</f>
        <v>2</v>
      </c>
      <c r="G88" s="65">
        <f ca="1">IF(AND($D38&lt;&gt;0,_xlfn.XLOOKUP($B38,'TH_MLG GRADE 10'!$B$7:$B$49,'TH_MLG GRADE 10'!E$7:E$49,"",0,1)="P",
   _xlfn.XLOOKUP($B38,'TH_MLG GRADE 10'!$B$7:$B$49,'TH_MLG GRADE 10'!$BM$7:$BM$49,"",0,1)&lt;=TODAY()-MOD(WEEKDAY(TODAY(),2)-5,7)),$D38,0)</f>
        <v>0</v>
      </c>
      <c r="H88" s="65">
        <f ca="1">IF(AND($D38&lt;&gt;0,_xlfn.XLOOKUP($B38,'TH_MLG GRADE 10'!$B$7:$B$49,'TH_MLG GRADE 10'!I$7:I$49,"",0,1)="P",
   _xlfn.XLOOKUP($B38,'TH_MLG GRADE 10'!$B$7:$B$49,'TH_MLG GRADE 10'!$BK$7:$BK$49,"",0,1)&lt;=TODAY()-MOD(WEEKDAY(TODAY(),2)-5,7)),$D38,0)</f>
        <v>2</v>
      </c>
      <c r="I88" s="65">
        <f ca="1">IF(AND($D38&lt;&gt;0,_xlfn.XLOOKUP($B38,'TH_MLG GRADE 10'!$B$7:$B$49,'TH_MLG GRADE 10'!J$7:J$49,"",0,1)="P",
   _xlfn.XLOOKUP($B38,'TH_MLG GRADE 10'!$B$7:$B$49,'TH_MLG GRADE 10'!$BL$7:$BL$49,"",0,1)&lt;=TODAY()-MOD(WEEKDAY(TODAY(),2)-5,7)),$D38,0)</f>
        <v>2</v>
      </c>
      <c r="J88" s="65">
        <f ca="1">IF(AND($D38&lt;&gt;0,_xlfn.XLOOKUP($B38,'TH_MLG GRADE 10'!$B$7:$B$49,'TH_MLG GRADE 10'!K$7:K$49,"",0,1)="P",
   _xlfn.XLOOKUP($B38,'TH_MLG GRADE 10'!$B$7:$B$49,'TH_MLG GRADE 10'!$BM$7:$BM$49,"",0,1)&lt;=TODAY()-MOD(WEEKDAY(TODAY(),2)-5,7)),$D38,0)</f>
        <v>2</v>
      </c>
      <c r="K88" s="65">
        <f ca="1">IF(AND($D38&lt;&gt;0,_xlfn.XLOOKUP($B38,'TH_MLG GRADE 10'!$B$7:$B$49,'TH_MLG GRADE 10'!O$7:O$49,"",0,1)="P",
   _xlfn.XLOOKUP($B38,'TH_MLG GRADE 10'!$B$7:$B$49,'TH_MLG GRADE 10'!$BK$7:$BK$49,"",0,1)&lt;=TODAY()-MOD(WEEKDAY(TODAY(),2)-5,7)),$D38,0)</f>
        <v>0</v>
      </c>
      <c r="L88" s="65">
        <f ca="1">IF(AND($D38&lt;&gt;0,_xlfn.XLOOKUP($B38,'TH_MLG GRADE 10'!$B$7:$B$49,'TH_MLG GRADE 10'!P$7:P$49,"",0,1)="P",
   _xlfn.XLOOKUP($B38,'TH_MLG GRADE 10'!$B$7:$B$49,'TH_MLG GRADE 10'!$BL$7:$BL$49,"",0,1)&lt;=TODAY()-MOD(WEEKDAY(TODAY(),2)-5,7)),$D38,0)</f>
        <v>0</v>
      </c>
      <c r="M88" s="65">
        <f ca="1">IF(AND($D38&lt;&gt;0,_xlfn.XLOOKUP($B38,'TH_MLG GRADE 10'!$B$7:$B$49,'TH_MLG GRADE 10'!Q$7:Q$49,"",0,1)="P",
   _xlfn.XLOOKUP($B38,'TH_MLG GRADE 10'!$B$7:$B$49,'TH_MLG GRADE 10'!$BM$7:$BM$49,"",0,1)&lt;=TODAY()-MOD(WEEKDAY(TODAY(),2)-5,7)),$D38,0)</f>
        <v>0</v>
      </c>
      <c r="N88" s="65">
        <f ca="1">IF(AND($D38&lt;&gt;0,_xlfn.XLOOKUP($B38,'TH_MLG GRADE 10'!$B$7:$B$49,'TH_MLG GRADE 10'!AA$7:AA$49,"",0,1)="P",
   _xlfn.XLOOKUP($B38,'TH_MLG GRADE 10'!$B$7:$B$49,'TH_MLG GRADE 10'!$BK$7:$BK$49,"",0,1)&lt;=TODAY()-MOD(WEEKDAY(TODAY(),2)-5,7)),$D38,0)</f>
        <v>0</v>
      </c>
      <c r="O88" s="65">
        <f ca="1">IF(AND($D38&lt;&gt;0,_xlfn.XLOOKUP($B38,'TH_MLG GRADE 10'!$B$7:$B$49,'TH_MLG GRADE 10'!AB$7:AB$49,"",0,1)="P",
   _xlfn.XLOOKUP($B38,'TH_MLG GRADE 10'!$B$7:$B$49,'TH_MLG GRADE 10'!$BL$7:$BL$49,"",0,1)&lt;=TODAY()-MOD(WEEKDAY(TODAY(),2)-5,7)),$D38,0)</f>
        <v>0</v>
      </c>
      <c r="P88" s="65">
        <f ca="1">IF(AND($D38&lt;&gt;0,_xlfn.XLOOKUP($B38,'TH_MLG GRADE 10'!$B$7:$B$49,'TH_MLG GRADE 10'!AC$7:AC$49,"",0,1)="P",
   _xlfn.XLOOKUP($B38,'TH_MLG GRADE 10'!$B$7:$B$49,'TH_MLG GRADE 10'!$BM$7:$BM$49,"",0,1)&lt;=TODAY()-MOD(WEEKDAY(TODAY(),2)-5,7)),$D38,0)</f>
        <v>0</v>
      </c>
      <c r="Q88" s="65">
        <f ca="1">IF(AND($D38&lt;&gt;0,_xlfn.XLOOKUP($B38,'TH_MLG GRADE 10'!$B$7:$B$49,'TH_MLG GRADE 10'!AG$7:AG$49,"",0,1)="P",
   _xlfn.XLOOKUP($B38,'TH_MLG GRADE 10'!$B$7:$B$49,'TH_MLG GRADE 10'!$BK$7:$BK$49,"",0,1)&lt;=TODAY()-MOD(WEEKDAY(TODAY(),2)-5,7)),$D38,0)</f>
        <v>0</v>
      </c>
      <c r="R88" s="65">
        <f ca="1">IF(AND($D38&lt;&gt;0,_xlfn.XLOOKUP($B38,'TH_MLG GRADE 10'!$B$7:$B$49,'TH_MLG GRADE 10'!AH$7:AH$49,"",0,1)="P",
   _xlfn.XLOOKUP($B38,'TH_MLG GRADE 10'!$B$7:$B$49,'TH_MLG GRADE 10'!$BL$7:$BL$49,"",0,1)&lt;=TODAY()-MOD(WEEKDAY(TODAY(),2)-5,7)),$D38,0)</f>
        <v>0</v>
      </c>
      <c r="S88" s="65">
        <f ca="1">IF(AND($D38&lt;&gt;0,_xlfn.XLOOKUP($B38,'TH_MLG GRADE 10'!$B$7:$B$49,'TH_MLG GRADE 10'!AI$7:AI$49,"",0,1)="P",
   _xlfn.XLOOKUP($B38,'TH_MLG GRADE 10'!$B$7:$B$49,'TH_MLG GRADE 10'!$BM$7:$BM$49,"",0,1)&lt;=TODAY()-MOD(WEEKDAY(TODAY(),2)-5,7)),$D38,0)</f>
        <v>0</v>
      </c>
      <c r="T88" s="65">
        <f ca="1">IF(AND($D38&lt;&gt;0,_xlfn.XLOOKUP($B38,'TH_MLG GRADE 10'!$B$7:$B$49,'TH_MLG GRADE 10'!AM$7:AM$49,"",0,1)="P",
   _xlfn.XLOOKUP($B38,'TH_MLG GRADE 10'!$B$7:$B$49,'TH_MLG GRADE 10'!$BK$7:$BK$49,"",0,1)&lt;=TODAY()-MOD(WEEKDAY(TODAY(),2)-5,7)),$D38,0)</f>
        <v>0</v>
      </c>
      <c r="U88" s="65">
        <f ca="1">IF(AND($D38&lt;&gt;0,_xlfn.XLOOKUP($B38,'TH_MLG GRADE 10'!$B$7:$B$49,'TH_MLG GRADE 10'!AN$7:AN$49,"",0,1)="P",
   _xlfn.XLOOKUP($B38,'TH_MLG GRADE 10'!$B$7:$B$49,'TH_MLG GRADE 10'!$BL$7:$BL$49,"",0,1)&lt;=TODAY()-MOD(WEEKDAY(TODAY(),2)-5,7)),$D38,0)</f>
        <v>0</v>
      </c>
      <c r="V88" s="65">
        <f ca="1">IF(AND($D38&lt;&gt;0,_xlfn.XLOOKUP($B38,'TH_MLG GRADE 10'!$B$7:$B$49,'TH_MLG GRADE 10'!AO$7:AO$49,"",0,1)="P",
   _xlfn.XLOOKUP($B38,'TH_MLG GRADE 10'!$B$7:$B$49,'TH_MLG GRADE 10'!$BM$7:$BM$49,"",0,1)&lt;=TODAY()-MOD(WEEKDAY(TODAY(),2)-5,7)),$D38,0)</f>
        <v>0</v>
      </c>
      <c r="W88" s="65">
        <f ca="1">IF(AND($D38&lt;&gt;0,_xlfn.XLOOKUP($B38,'TH_MLG GRADE 10'!$B$7:$B$49,'TH_MLG GRADE 10'!AY$7:AY$49,"",0,1)="P",
   _xlfn.XLOOKUP($B38,'TH_MLG GRADE 10'!$B$7:$B$49,'TH_MLG GRADE 10'!$BK$7:$BK$49,"",0,1)&lt;=TODAY()-MOD(WEEKDAY(TODAY(),2)-5,7)),$D38,0)</f>
        <v>0</v>
      </c>
      <c r="X88" s="65">
        <f ca="1">IF(AND($D38&lt;&gt;0,_xlfn.XLOOKUP($B38,'TH_MLG GRADE 10'!$B$7:$B$49,'TH_MLG GRADE 10'!AZ$7:AZ$49,"",0,1)="P",
   _xlfn.XLOOKUP($B38,'TH_MLG GRADE 10'!$B$7:$B$49,'TH_MLG GRADE 10'!$BL$7:$BL$49,"",0,1)&lt;=TODAY()-MOD(WEEKDAY(TODAY(),2)-5,7)),$D38,0)</f>
        <v>0</v>
      </c>
      <c r="Y88" s="65">
        <f ca="1">IF(AND($D38&lt;&gt;0,_xlfn.XLOOKUP($B38,'TH_MLG GRADE 10'!$B$7:$B$49,'TH_MLG GRADE 10'!BA$7:BA$49,"",0,1)="P",
   _xlfn.XLOOKUP($B38,'TH_MLG GRADE 10'!$B$7:$B$49,'TH_MLG GRADE 10'!$BM$7:$BM$49,"",0,1)&lt;=TODAY()-MOD(WEEKDAY(TODAY(),2)-5,7)),$D38,0)</f>
        <v>0</v>
      </c>
      <c r="Z88" s="65">
        <f ca="1">IF(AND($D38&lt;&gt;0,_xlfn.XLOOKUP($B38,'TH_MLG GRADE 10'!$B$7:$B$49,'TH_MLG GRADE 10'!BE$7:BE$49,"",0,1)="P",
   _xlfn.XLOOKUP($B38,'TH_MLG GRADE 10'!$B$7:$B$49,'TH_MLG GRADE 10'!$BK$7:$BK$49,"",0,1)&lt;=TODAY()-MOD(WEEKDAY(TODAY(),2)-5,7)),$D38,0)</f>
        <v>0</v>
      </c>
      <c r="AA88" s="65">
        <f ca="1">IF(AND($D38&lt;&gt;0,_xlfn.XLOOKUP($B38,'TH_MLG GRADE 10'!$B$7:$B$49,'TH_MLG GRADE 10'!BF$7:BF$49,"",0,1)="P",
   _xlfn.XLOOKUP($B38,'TH_MLG GRADE 10'!$B$7:$B$49,'TH_MLG GRADE 10'!$BL$7:$BL$49,"",0,1)&lt;=TODAY()-MOD(WEEKDAY(TODAY(),2)-5,7)),$D38,0)</f>
        <v>0</v>
      </c>
      <c r="AB88" s="65">
        <f ca="1">IF(AND($D38&lt;&gt;0,_xlfn.XLOOKUP($B38,'TH_MLG GRADE 10'!$B$7:$B$49,'TH_MLG GRADE 10'!BG$7:BG$49,"",0,1)="P",
   _xlfn.XLOOKUP($B38,'TH_MLG GRADE 10'!$B$7:$B$49,'TH_MLG GRADE 10'!$BM$7:$BM$49,"",0,1)&lt;=TODAY()-MOD(WEEKDAY(TODAY(),2)-5,7)),$D38,0)</f>
        <v>0</v>
      </c>
      <c r="AC88" s="65" t="e">
        <f ca="1">IF(AND($D38&lt;&gt;0,_xlfn.XLOOKUP($B38,'TH_MLG GRADE 10'!$B$7:$B$49,'TH_MLG GRADE 10'!#REF!,"",0,1)="P",
   _xlfn.XLOOKUP($B38,'TH_MLG GRADE 10'!$B$7:$B$49,'TH_MLG GRADE 10'!$BK$7:$BK$49,"",0,1)&lt;=TODAY()-MOD(WEEKDAY(TODAY(),2)-5,7)),$D38,0)</f>
        <v>#REF!</v>
      </c>
      <c r="AD88" s="65" t="e">
        <f ca="1">IF(AND($D38&lt;&gt;0,_xlfn.XLOOKUP($B38,'TH_MLG GRADE 10'!$B$7:$B$49,'TH_MLG GRADE 10'!#REF!,"",0,1)="P",
   _xlfn.XLOOKUP($B38,'TH_MLG GRADE 10'!$B$7:$B$49,'TH_MLG GRADE 10'!$BL$7:$BL$49,"",0,1)&lt;=TODAY()-MOD(WEEKDAY(TODAY(),2)-5,7)),$D38,0)</f>
        <v>#REF!</v>
      </c>
      <c r="AE88" s="65" t="e">
        <f ca="1">IF(AND($D38&lt;&gt;0,_xlfn.XLOOKUP($B38,'TH_MLG GRADE 10'!$B$7:$B$49,'TH_MLG GRADE 10'!#REF!,"",0,1)="P",
   _xlfn.XLOOKUP($B38,'TH_MLG GRADE 10'!$B$7:$B$49,'TH_MLG GRADE 10'!$BM$7:$BM$49,"",0,1)&lt;=TODAY()-MOD(WEEKDAY(TODAY(),2)-5,7)),$D38,0)</f>
        <v>#REF!</v>
      </c>
      <c r="AF88" s="65" t="e">
        <f ca="1">IF(AND($D38&lt;&gt;0,_xlfn.XLOOKUP($B38,'TH_MLG GRADE 10'!$B$7:$B$49,'TH_MLG GRADE 10'!#REF!,"",0,1)="P",
   _xlfn.XLOOKUP($B38,'TH_MLG GRADE 10'!$B$7:$B$49,'TH_MLG GRADE 10'!$BK$7:$BK$49,"",0,1)&lt;=TODAY()-MOD(WEEKDAY(TODAY(),2)-5,7)),$D38,0)</f>
        <v>#REF!</v>
      </c>
      <c r="AG88" s="65" t="e">
        <f ca="1">IF(AND($D38&lt;&gt;0,_xlfn.XLOOKUP($B38,'TH_MLG GRADE 10'!$B$7:$B$49,'TH_MLG GRADE 10'!#REF!,"",0,1)="P",
   _xlfn.XLOOKUP($B38,'TH_MLG GRADE 10'!$B$7:$B$49,'TH_MLG GRADE 10'!$BL$7:$BL$49,"",0,1)&lt;=TODAY()-MOD(WEEKDAY(TODAY(),2)-5,7)),$D38,0)</f>
        <v>#REF!</v>
      </c>
      <c r="AH88" s="65" t="e">
        <f ca="1">IF(AND($D38&lt;&gt;0,_xlfn.XLOOKUP($B38,'TH_MLG GRADE 10'!$B$7:$B$49,'TH_MLG GRADE 10'!#REF!,"",0,1)="P",
   _xlfn.XLOOKUP($B38,'TH_MLG GRADE 10'!$B$7:$B$49,'TH_MLG GRADE 10'!$BM$7:$BM$49,"",0,1)&lt;=TODAY()-MOD(WEEKDAY(TODAY(),2)-5,7)),$D38,0)</f>
        <v>#REF!</v>
      </c>
      <c r="AI88" s="67">
        <f ca="1">IF(AND($D38&lt;&gt;0,_xlfn.XLOOKUP($B38,'TH_CMI GRADE 10'!$B$7:$B$49,'TH_CMI GRADE 10'!C$7:C$49,"",0,1)="P",
   _xlfn.XLOOKUP($B38,'TH_CMI GRADE 10'!$B$7:$B$49,'TH_CMI GRADE 10'!$AS$7:$AS$49,"",0,1)&lt;=TODAY()-MOD(WEEKDAY(TODAY(),2)-5,7)),$D38,0)</f>
        <v>0</v>
      </c>
      <c r="AJ88" s="67">
        <f ca="1">IF(AND($D38&lt;&gt;0,_xlfn.XLOOKUP($B38,'TH_CMI GRADE 10'!$B$7:$B$49,'TH_CMI GRADE 10'!D$7:D$49,"",0,1)="P",
   _xlfn.XLOOKUP($B38,'TH_CMI GRADE 10'!$B$7:$B$49,'TH_CMI GRADE 10'!$AT$7:$AT$49,"",0,1)&lt;=TODAY()-MOD(WEEKDAY(TODAY(),2)-5,7)),$D38,0)</f>
        <v>0</v>
      </c>
      <c r="AK88" s="67" t="e">
        <f ca="1">IF(AND($D38&lt;&gt;0,_xlfn.XLOOKUP($B38,'TH_CMI GRADE 10'!$B$7:$B$49,'TH_CMI GRADE 10'!H$7:H$49,"",0,1)="P",
   _xlfn.XLOOKUP($B38,'TH_CMI GRADE 10'!$B$7:$B$49,'TH_CMI GRADE 10'!#REF!,"",0,1)&lt;=TODAY()-MOD(WEEKDAY(TODAY(),2)-5,7)),$D38,0)</f>
        <v>#REF!</v>
      </c>
      <c r="AL88" s="67">
        <f ca="1">IF(AND($D38&lt;&gt;0,_xlfn.XLOOKUP($B38,'TH_CMI GRADE 10'!$B$7:$B$49,'TH_CMI GRADE 10'!I$7:I$49,"",0,1)="P",
   _xlfn.XLOOKUP($B38,'TH_CMI GRADE 10'!$B$7:$B$49,'TH_CMI GRADE 10'!$AS$7:$AS$49,"",0,1)&lt;=TODAY()-MOD(WEEKDAY(TODAY(),2)-5,7)),$D38,0)</f>
        <v>0</v>
      </c>
      <c r="AM88" s="67">
        <f ca="1">IF(AND($D38&lt;&gt;0,_xlfn.XLOOKUP($B38,'TH_CMI GRADE 10'!$B$7:$B$49,'TH_CMI GRADE 10'!J$7:J$49,"",0,1)="P",
   _xlfn.XLOOKUP($B38,'TH_CMI GRADE 10'!$B$7:$B$49,'TH_CMI GRADE 10'!$AT$7:$AT$49,"",0,1)&lt;=TODAY()-MOD(WEEKDAY(TODAY(),2)-5,7)),$D38,0)</f>
        <v>0</v>
      </c>
      <c r="AN88" s="67" t="e">
        <f ca="1">IF(AND($D38&lt;&gt;0,_xlfn.XLOOKUP($B38,'TH_CMI GRADE 10'!$B$7:$B$49,'TH_CMI GRADE 10'!K$7:K$49,"",0,1)="P",
   _xlfn.XLOOKUP($B38,'TH_CMI GRADE 10'!$B$7:$B$49,'TH_CMI GRADE 10'!#REF!,"",0,1)&lt;=TODAY()-MOD(WEEKDAY(TODAY(),2)-5,7)),$D38,0)</f>
        <v>#REF!</v>
      </c>
      <c r="AO88" s="67">
        <f ca="1">IF(AND($D38&lt;&gt;0,_xlfn.XLOOKUP($B38,'TH_CMI GRADE 10'!$B$7:$B$49,'TH_CMI GRADE 10'!O$7:O$49,"",0,1)="P",
   _xlfn.XLOOKUP($B38,'TH_CMI GRADE 10'!$B$7:$B$49,'TH_CMI GRADE 10'!$AS$7:$AS$49,"",0,1)&lt;=TODAY()-MOD(WEEKDAY(TODAY(),2)-5,7)),$D38,0)</f>
        <v>2</v>
      </c>
      <c r="AP88" s="67">
        <f ca="1">IF(AND($D38&lt;&gt;0,_xlfn.XLOOKUP($B38,'TH_CMI GRADE 10'!$B$7:$B$49,'TH_CMI GRADE 10'!P$7:P$49,"",0,1)="P",
   _xlfn.XLOOKUP($B38,'TH_CMI GRADE 10'!$B$7:$B$49,'TH_CMI GRADE 10'!$AT$7:$AT$49,"",0,1)&lt;=TODAY()-MOD(WEEKDAY(TODAY(),2)-5,7)),$D38,0)</f>
        <v>2</v>
      </c>
      <c r="AQ88" s="67" t="e">
        <f ca="1">IF(AND($D38&lt;&gt;0,_xlfn.XLOOKUP($B38,'TH_CMI GRADE 10'!$B$7:$B$49,'TH_CMI GRADE 10'!Q$7:Q$49,"",0,1)="P",
   _xlfn.XLOOKUP($B38,'TH_CMI GRADE 10'!$B$7:$B$49,'TH_CMI GRADE 10'!#REF!,"",0,1)&lt;=TODAY()-MOD(WEEKDAY(TODAY(),2)-5,7)),$D38,0)</f>
        <v>#REF!</v>
      </c>
      <c r="AR88" s="67">
        <f ca="1">IF(AND($D38&lt;&gt;0,_xlfn.XLOOKUP($B38,'TH_CMI GRADE 10'!$B$7:$B$49,'TH_CMI GRADE 10'!U$7:U$49,"",0,1)="P",
   _xlfn.XLOOKUP($B38,'TH_CMI GRADE 10'!$B$7:$B$49,'TH_CMI GRADE 10'!$AS$7:$AS$49,"",0,1)&lt;=TODAY()-MOD(WEEKDAY(TODAY(),2)-5,7)),$D38,0)</f>
        <v>2</v>
      </c>
      <c r="AS88" s="67">
        <f ca="1">IF(AND($D38&lt;&gt;0,_xlfn.XLOOKUP($B38,'TH_CMI GRADE 10'!$B$7:$B$49,'TH_CMI GRADE 10'!V$7:V$49,"",0,1)="P",
   _xlfn.XLOOKUP($B38,'TH_CMI GRADE 10'!$B$7:$B$49,'TH_CMI GRADE 10'!$AT$7:$AT$49,"",0,1)&lt;=TODAY()-MOD(WEEKDAY(TODAY(),2)-5,7)),$D38,0)</f>
        <v>2</v>
      </c>
      <c r="AT88" s="67" t="e">
        <f ca="1">IF(AND($D38&lt;&gt;0,_xlfn.XLOOKUP($B38,'TH_CMI GRADE 10'!$B$7:$B$49,'TH_CMI GRADE 10'!W$7:W$49,"",0,1)="P",
   _xlfn.XLOOKUP($B38,'TH_CMI GRADE 10'!$B$7:$B$49,'TH_CMI GRADE 10'!#REF!,"",0,1)&lt;=TODAY()-MOD(WEEKDAY(TODAY(),2)-5,7)),$D38,0)</f>
        <v>#REF!</v>
      </c>
      <c r="AU88" s="67">
        <f ca="1">IF(AND($D38&lt;&gt;0,_xlfn.XLOOKUP($B38,'TH_CMI GRADE 10'!$B$7:$B$49,'TH_CMI GRADE 10'!AA$7:AA$49,"",0,1)="P",
   _xlfn.XLOOKUP($B38,'TH_CMI GRADE 10'!$B$7:$B$49,'TH_CMI GRADE 10'!$AS$7:$AS$49,"",0,1)&lt;=TODAY()-MOD(WEEKDAY(TODAY(),2)-5,7)),$D38,0)</f>
        <v>0</v>
      </c>
      <c r="AV88" s="67">
        <f ca="1">IF(AND($D38&lt;&gt;0,_xlfn.XLOOKUP($B38,'TH_CMI GRADE 10'!$B$7:$B$49,'TH_CMI GRADE 10'!AB$7:AB$49,"",0,1)="P",
   _xlfn.XLOOKUP($B38,'TH_CMI GRADE 10'!$B$7:$B$49,'TH_CMI GRADE 10'!$AT$7:$AT$49,"",0,1)&lt;=TODAY()-MOD(WEEKDAY(TODAY(),2)-5,7)),$D38,0)</f>
        <v>0</v>
      </c>
      <c r="AW88" s="67" t="e">
        <f ca="1">IF(AND($D38&lt;&gt;0,_xlfn.XLOOKUP($B38,'TH_CMI GRADE 10'!$B$7:$B$49,'TH_CMI GRADE 10'!AC$7:AC$49,"",0,1)="P",
   _xlfn.XLOOKUP($B38,'TH_CMI GRADE 10'!$B$7:$B$49,'TH_CMI GRADE 10'!#REF!,"",0,1)&lt;=TODAY()-MOD(WEEKDAY(TODAY(),2)-5,7)),$D38,0)</f>
        <v>#REF!</v>
      </c>
      <c r="AX88" s="67">
        <f ca="1">IF(AND($D38&lt;&gt;0,_xlfn.XLOOKUP($B38,'TH_CMI GRADE 10'!$B$7:$B$49,'TH_CMI GRADE 10'!AG$7:AG$49,"",0,1)="P",
   _xlfn.XLOOKUP($B38,'TH_CMI GRADE 10'!$B$7:$B$49,'TH_CMI GRADE 10'!$AS$7:$AS$49,"",0,1)&lt;=TODAY()-MOD(WEEKDAY(TODAY(),2)-5,7)),$D38,0)</f>
        <v>0</v>
      </c>
      <c r="AY88" s="67">
        <f ca="1">IF(AND($D38&lt;&gt;0,_xlfn.XLOOKUP($B38,'TH_CMI GRADE 10'!$B$7:$B$49,'TH_CMI GRADE 10'!AH$7:AH$49,"",0,1)="P",
   _xlfn.XLOOKUP($B38,'TH_CMI GRADE 10'!$B$7:$B$49,'TH_CMI GRADE 10'!$AT$7:$AT$49,"",0,1)&lt;=TODAY()-MOD(WEEKDAY(TODAY(),2)-5,7)),$D38,0)</f>
        <v>0</v>
      </c>
      <c r="AZ88" s="67" t="e">
        <f ca="1">IF(AND($D38&lt;&gt;0,_xlfn.XLOOKUP($B38,'TH_CMI GRADE 10'!$B$7:$B$49,'TH_CMI GRADE 10'!AI$7:AI$49,"",0,1)="P",
   _xlfn.XLOOKUP($B38,'TH_CMI GRADE 10'!$B$7:$B$49,'TH_CMI GRADE 10'!#REF!,"",0,1)&lt;=TODAY()-MOD(WEEKDAY(TODAY(),2)-5,7)),$D38,0)</f>
        <v>#REF!</v>
      </c>
      <c r="BA88" s="65" t="e">
        <f ca="1">IF(AND($D38&lt;&gt;0,_xlfn.XLOOKUP($B38,'PW_MLG GRADE 10'!$B$7:$B$31,'PW_MLG GRADE 10'!R$7:R$31,"",0,1)="P",
   _xlfn.XLOOKUP($B38,'PW_MLG GRADE 10'!$B$7:$B$31,'PW_MLG GRADE 10'!#REF!,"",0,1)&lt;=TODAY()-MOD(WEEKDAY(TODAY(),2)-5,7)),$D38,0)</f>
        <v>#REF!</v>
      </c>
      <c r="BB88" s="65" t="e">
        <f ca="1">IF(AND($D38&lt;&gt;0,_xlfn.XLOOKUP($B38,'PW_MLG GRADE 10'!$B$7:$B$31,'PW_MLG GRADE 10'!S$7:S$31,"",0,1)="P",
   _xlfn.XLOOKUP($B38,'PW_MLG GRADE 10'!$B$7:$B$31,'PW_MLG GRADE 10'!#REF!,"",0,1)&lt;=TODAY()-MOD(WEEKDAY(TODAY(),2)-5,7)),$D38,0)</f>
        <v>#REF!</v>
      </c>
      <c r="BC88" s="65" t="e">
        <f ca="1">IF(AND($D38&lt;&gt;0,_xlfn.XLOOKUP($B38,'PW_MLG GRADE 10'!$B$7:$B$31,'PW_MLG GRADE 10'!T$7:T$31,"",0,1)="P",
   _xlfn.XLOOKUP($B38,'PW_MLG GRADE 10'!$B$7:$B$31,'PW_MLG GRADE 10'!#REF!,"",0,1)&lt;=TODAY()-MOD(WEEKDAY(TODAY(),2)-5,7)),$D38,0)</f>
        <v>#REF!</v>
      </c>
      <c r="BD88" s="65" t="e">
        <f ca="1">IF(AND($D38&lt;&gt;0,_xlfn.XLOOKUP($B38,'PW_MLG GRADE 10'!$B$7:$B$31,'PW_MLG GRADE 10'!AA$7:AA$31,"",0,1)="P",
   _xlfn.XLOOKUP($B38,'PW_MLG GRADE 10'!$B$7:$B$31,'PW_MLG GRADE 10'!#REF!,"",0,1)&lt;=TODAY()-MOD(WEEKDAY(TODAY(),2)-5,7)),$D38,0)</f>
        <v>#REF!</v>
      </c>
      <c r="BE88" s="65" t="e">
        <f ca="1">IF(AND($D38&lt;&gt;0,_xlfn.XLOOKUP($B38,'PW_MLG GRADE 10'!$B$7:$B$31,'PW_MLG GRADE 10'!AB$7:AB$31,"",0,1)="P",
   _xlfn.XLOOKUP($B38,'PW_MLG GRADE 10'!$B$7:$B$31,'PW_MLG GRADE 10'!#REF!,"",0,1)&lt;=TODAY()-MOD(WEEKDAY(TODAY(),2)-5,7)),$D38,0)</f>
        <v>#REF!</v>
      </c>
      <c r="BF88" s="65" t="e">
        <f ca="1">IF(AND($D38&lt;&gt;0,_xlfn.XLOOKUP($B38,'PW_MLG GRADE 10'!$B$7:$B$31,'PW_MLG GRADE 10'!AC$7:AC$31,"",0,1)="P",
   _xlfn.XLOOKUP($B38,'PW_MLG GRADE 10'!$B$7:$B$31,'PW_MLG GRADE 10'!#REF!,"",0,1)&lt;=TODAY()-MOD(WEEKDAY(TODAY(),2)-5,7)),$D38,0)</f>
        <v>#REF!</v>
      </c>
      <c r="BG88" s="65" t="e">
        <f ca="1">IF(AND($D38&lt;&gt;0,_xlfn.XLOOKUP($B38,'PW_MLG GRADE 10'!$B$7:$B$31,'PW_MLG GRADE 10'!AD$7:AD$31,"",0,1)="P",
   _xlfn.XLOOKUP($B38,'PW_MLG GRADE 10'!$B$7:$B$31,'PW_MLG GRADE 10'!#REF!,"",0,1)&lt;=TODAY()-MOD(WEEKDAY(TODAY(),2)-5,7)),$D38,0)</f>
        <v>#REF!</v>
      </c>
      <c r="BH88" s="65" t="e">
        <f ca="1">IF(AND($D38&lt;&gt;0,_xlfn.XLOOKUP($B38,'PW_MLG GRADE 10'!$B$7:$B$31,'PW_MLG GRADE 10'!AE$7:AE$31,"",0,1)="P",
   _xlfn.XLOOKUP($B38,'PW_MLG GRADE 10'!$B$7:$B$31,'PW_MLG GRADE 10'!#REF!,"",0,1)&lt;=TODAY()-MOD(WEEKDAY(TODAY(),2)-5,7)),$D38,0)</f>
        <v>#REF!</v>
      </c>
      <c r="BI88" s="65" t="e">
        <f ca="1">IF(AND($D38&lt;&gt;0,_xlfn.XLOOKUP($B38,'PW_MLG GRADE 10'!$B$7:$B$31,'PW_MLG GRADE 10'!AF$7:AF$31,"",0,1)="P",
   _xlfn.XLOOKUP($B38,'PW_MLG GRADE 10'!$B$7:$B$31,'PW_MLG GRADE 10'!#REF!,"",0,1)&lt;=TODAY()-MOD(WEEKDAY(TODAY(),2)-5,7)),$D38,0)</f>
        <v>#REF!</v>
      </c>
      <c r="BJ88" s="65" t="e">
        <f ca="1">IF(AND($D38&lt;&gt;0,_xlfn.XLOOKUP($B38,'PW_MLG GRADE 10'!$B$7:$B$31,'PW_MLG GRADE 10'!AG$7:AG$31,"",0,1)="P",
   _xlfn.XLOOKUP($B38,'PW_MLG GRADE 10'!$B$7:$B$31,'PW_MLG GRADE 10'!#REF!,"",0,1)&lt;=TODAY()-MOD(WEEKDAY(TODAY(),2)-5,7)),$D38,0)</f>
        <v>#REF!</v>
      </c>
      <c r="BK88" s="65" t="e">
        <f ca="1">IF(AND($D38&lt;&gt;0,_xlfn.XLOOKUP($B38,'PW_MLG GRADE 10'!$B$7:$B$31,'PW_MLG GRADE 10'!AH$7:AH$31,"",0,1)="P",
   _xlfn.XLOOKUP($B38,'PW_MLG GRADE 10'!$B$7:$B$31,'PW_MLG GRADE 10'!#REF!,"",0,1)&lt;=TODAY()-MOD(WEEKDAY(TODAY(),2)-5,7)),$D38,0)</f>
        <v>#REF!</v>
      </c>
      <c r="BL88" s="65" t="e">
        <f ca="1">IF(AND($D38&lt;&gt;0,_xlfn.XLOOKUP($B38,'PW_MLG GRADE 10'!$B$7:$B$31,'PW_MLG GRADE 10'!AI$7:AI$31,"",0,1)="P",
   _xlfn.XLOOKUP($B38,'PW_MLG GRADE 10'!$B$7:$B$31,'PW_MLG GRADE 10'!#REF!,"",0,1)&lt;=TODAY()-MOD(WEEKDAY(TODAY(),2)-5,7)),$D38,0)</f>
        <v>#REF!</v>
      </c>
      <c r="BM88" s="65" t="e">
        <f ca="1">IF(AND($D38&lt;&gt;0,_xlfn.XLOOKUP($B38,'PW_MLG GRADE 10'!$B$7:$B$31,'PW_MLG GRADE 10'!AJ$7:AJ$31,"",0,1)="P",
   _xlfn.XLOOKUP($B38,'PW_MLG GRADE 10'!$B$7:$B$31,'PW_MLG GRADE 10'!#REF!,"",0,1)&lt;=TODAY()-MOD(WEEKDAY(TODAY(),2)-5,7)),$D38,0)</f>
        <v>#REF!</v>
      </c>
      <c r="BN88" s="65" t="e">
        <f ca="1">IF(AND($D38&lt;&gt;0,_xlfn.XLOOKUP($B38,'PW_MLG GRADE 10'!$B$7:$B$31,'PW_MLG GRADE 10'!AK$7:AK$31,"",0,1)="P",
   _xlfn.XLOOKUP($B38,'PW_MLG GRADE 10'!$B$7:$B$31,'PW_MLG GRADE 10'!#REF!,"",0,1)&lt;=TODAY()-MOD(WEEKDAY(TODAY(),2)-5,7)),$D38,0)</f>
        <v>#REF!</v>
      </c>
      <c r="BO88" s="65" t="e">
        <f ca="1">IF(AND($D38&lt;&gt;0,_xlfn.XLOOKUP($B38,'PW_MLG GRADE 10'!$B$7:$B$31,'PW_MLG GRADE 10'!AL$7:AL$31,"",0,1)="P",
   _xlfn.XLOOKUP($B38,'PW_MLG GRADE 10'!$B$7:$B$31,'PW_MLG GRADE 10'!#REF!,"",0,1)&lt;=TODAY()-MOD(WEEKDAY(TODAY(),2)-5,7)),$D38,0)</f>
        <v>#REF!</v>
      </c>
      <c r="BP88" s="65" t="e">
        <f ca="1">IF(AND($D38&lt;&gt;0,_xlfn.XLOOKUP($B38,'PW_MLG GRADE 10'!$B$7:$B$31,'PW_MLG GRADE 10'!AM$7:AM$31,"",0,1)="P",
   _xlfn.XLOOKUP($B38,'PW_MLG GRADE 10'!$B$7:$B$31,'PW_MLG GRADE 10'!#REF!,"",0,1)&lt;=TODAY()-MOD(WEEKDAY(TODAY(),2)-5,7)),$D38,0)</f>
        <v>#REF!</v>
      </c>
      <c r="BQ88" s="65" t="e">
        <f ca="1">IF(AND($D38&lt;&gt;0,_xlfn.XLOOKUP($B38,'PW_MLG GRADE 10'!$B$7:$B$31,'PW_MLG GRADE 10'!AN$7:AN$31,"",0,1)="P",
   _xlfn.XLOOKUP($B38,'PW_MLG GRADE 10'!$B$7:$B$31,'PW_MLG GRADE 10'!#REF!,"",0,1)&lt;=TODAY()-MOD(WEEKDAY(TODAY(),2)-5,7)),$D38,0)</f>
        <v>#REF!</v>
      </c>
      <c r="BR88" s="65" t="e">
        <f ca="1">IF(AND($D38&lt;&gt;0,_xlfn.XLOOKUP($B38,'PW_MLG GRADE 10'!$B$7:$B$31,'PW_MLG GRADE 10'!AO$7:AO$31,"",0,1)="P",
   _xlfn.XLOOKUP($B38,'PW_MLG GRADE 10'!$B$7:$B$31,'PW_MLG GRADE 10'!#REF!,"",0,1)&lt;=TODAY()-MOD(WEEKDAY(TODAY(),2)-5,7)),$D38,0)</f>
        <v>#REF!</v>
      </c>
      <c r="BS88" s="65" t="e">
        <f ca="1">IF(AND($D38&lt;&gt;0,_xlfn.XLOOKUP($B38,'PW_MLG GRADE 10'!$B$7:$B$31,'PW_MLG GRADE 10'!AP$7:AP$31,"",0,1)="P",
   _xlfn.XLOOKUP($B38,'PW_MLG GRADE 10'!$B$7:$B$31,'PW_MLG GRADE 10'!#REF!,"",0,1)&lt;=TODAY()-MOD(WEEKDAY(TODAY(),2)-5,7)),$D38,0)</f>
        <v>#REF!</v>
      </c>
      <c r="BT88" s="65" t="e">
        <f ca="1">IF(AND($D38&lt;&gt;0,_xlfn.XLOOKUP($B38,'PW_MLG GRADE 10'!$B$7:$B$31,'PW_MLG GRADE 10'!AQ$7:AQ$31,"",0,1)="P",
   _xlfn.XLOOKUP($B38,'PW_MLG GRADE 10'!$B$7:$B$31,'PW_MLG GRADE 10'!#REF!,"",0,1)&lt;=TODAY()-MOD(WEEKDAY(TODAY(),2)-5,7)),$D38,0)</f>
        <v>#REF!</v>
      </c>
      <c r="BU88" s="65" t="e">
        <f ca="1">IF(AND($D38&lt;&gt;0,_xlfn.XLOOKUP($B38,'PW_MLG GRADE 10'!$B$7:$B$31,'PW_MLG GRADE 10'!AR$7:AR$31,"",0,1)="P",
   _xlfn.XLOOKUP($B38,'PW_MLG GRADE 10'!$B$7:$B$31,'PW_MLG GRADE 10'!#REF!,"",0,1)&lt;=TODAY()-MOD(WEEKDAY(TODAY(),2)-5,7)),$D38,0)</f>
        <v>#REF!</v>
      </c>
      <c r="BV88" s="65" t="e">
        <f ca="1">IF(AND($D38&lt;&gt;0,_xlfn.XLOOKUP($B38,'PW_MLG GRADE 10'!$B$7:$B$31,'PW_MLG GRADE 10'!AY$7:AY$31,"",0,1)="P",
   _xlfn.XLOOKUP($B38,'PW_MLG GRADE 10'!$B$7:$B$31,'PW_MLG GRADE 10'!#REF!,"",0,1)&lt;=TODAY()-MOD(WEEKDAY(TODAY(),2)-5,7)),$D38,0)</f>
        <v>#REF!</v>
      </c>
      <c r="BW88" s="65" t="e">
        <f ca="1">IF(AND($D38&lt;&gt;0,_xlfn.XLOOKUP($B38,'PW_MLG GRADE 10'!$B$7:$B$31,'PW_MLG GRADE 10'!AZ$7:AZ$31,"",0,1)="P",
   _xlfn.XLOOKUP($B38,'PW_MLG GRADE 10'!$B$7:$B$31,'PW_MLG GRADE 10'!#REF!,"",0,1)&lt;=TODAY()-MOD(WEEKDAY(TODAY(),2)-5,7)),$D38,0)</f>
        <v>#REF!</v>
      </c>
      <c r="BX88" s="65" t="e">
        <f ca="1">IF(AND($D38&lt;&gt;0,_xlfn.XLOOKUP($B38,'PW_MLG GRADE 10'!$B$7:$B$31,'PW_MLG GRADE 10'!BA$7:BA$31,"",0,1)="P",
   _xlfn.XLOOKUP($B38,'PW_MLG GRADE 10'!$B$7:$B$31,'PW_MLG GRADE 10'!#REF!,"",0,1)&lt;=TODAY()-MOD(WEEKDAY(TODAY(),2)-5,7)),$D38,0)</f>
        <v>#REF!</v>
      </c>
      <c r="BY88" s="65" t="e">
        <f ca="1">IF(AND($D38&lt;&gt;0,_xlfn.XLOOKUP($B38,'PW_MLG GRADE 10'!$B$7:$B$31,'PW_MLG GRADE 10'!BB$7:BB$31,"",0,1)="P",
   _xlfn.XLOOKUP($B38,'PW_MLG GRADE 10'!$B$7:$B$31,'PW_MLG GRADE 10'!#REF!,"",0,1)&lt;=TODAY()-MOD(WEEKDAY(TODAY(),2)-5,7)),$D38,0)</f>
        <v>#REF!</v>
      </c>
      <c r="BZ88" s="65" t="e">
        <f ca="1">IF(AND($D38&lt;&gt;0,_xlfn.XLOOKUP($B38,'PW_MLG GRADE 10'!$B$7:$B$31,'PW_MLG GRADE 10'!BC$7:BC$31,"",0,1)="P",
   _xlfn.XLOOKUP($B38,'PW_MLG GRADE 10'!$B$7:$B$31,'PW_MLG GRADE 10'!#REF!,"",0,1)&lt;=TODAY()-MOD(WEEKDAY(TODAY(),2)-5,7)),$D38,0)</f>
        <v>#REF!</v>
      </c>
      <c r="CA88" s="65" t="e">
        <f ca="1">IF(AND($D38&lt;&gt;0,_xlfn.XLOOKUP($B38,'PW_MLG GRADE 10'!$B$7:$B$31,'PW_MLG GRADE 10'!BD$7:BD$31,"",0,1)="P",
   _xlfn.XLOOKUP($B38,'PW_MLG GRADE 10'!$B$7:$B$31,'PW_MLG GRADE 10'!#REF!,"",0,1)&lt;=TODAY()-MOD(WEEKDAY(TODAY(),2)-5,7)),$D38,0)</f>
        <v>#REF!</v>
      </c>
      <c r="CB88" s="65" t="e">
        <f ca="1">IF(AND($D38&lt;&gt;0,_xlfn.XLOOKUP($B38,'PW_MLG GRADE 10'!$B$7:$B$31,'PW_MLG GRADE 10'!BE$7:BE$31,"",0,1)="P",
   _xlfn.XLOOKUP($B38,'PW_MLG GRADE 10'!$B$7:$B$31,'PW_MLG GRADE 10'!#REF!,"",0,1)&lt;=TODAY()-MOD(WEEKDAY(TODAY(),2)-5,7)),$D38,0)</f>
        <v>#REF!</v>
      </c>
      <c r="CC88" s="65" t="e">
        <f ca="1">IF(AND($D38&lt;&gt;0,_xlfn.XLOOKUP($B38,'PW_MLG GRADE 10'!$B$7:$B$31,'PW_MLG GRADE 10'!BF$7:BF$31,"",0,1)="P",
   _xlfn.XLOOKUP($B38,'PW_MLG GRADE 10'!$B$7:$B$31,'PW_MLG GRADE 10'!#REF!,"",0,1)&lt;=TODAY()-MOD(WEEKDAY(TODAY(),2)-5,7)),$D38,0)</f>
        <v>#REF!</v>
      </c>
      <c r="CD88" s="65" t="e">
        <f ca="1">IF(AND($D38&lt;&gt;0,_xlfn.XLOOKUP($B38,'PW_MLG GRADE 10'!$B$7:$B$31,'PW_MLG GRADE 10'!BG$7:BG$31,"",0,1)="P",
   _xlfn.XLOOKUP($B38,'PW_MLG GRADE 10'!$B$7:$B$31,'PW_MLG GRADE 10'!#REF!,"",0,1)&lt;=TODAY()-MOD(WEEKDAY(TODAY(),2)-5,7)),$D38,0)</f>
        <v>#REF!</v>
      </c>
      <c r="CE88" s="67">
        <f ca="1">IF(AND($D38&lt;&gt;0,_xlfn.XLOOKUP($B38,'PW_CMI GRADE 10'!$B$7:$B$31,'PW_CMI GRADE 10'!AY$7:AY$31,"",0,1)="P",
   _xlfn.XLOOKUP($B38,'PW_CMI GRADE 10'!$B$7:$B$31,'PW_CMI GRADE 10'!$U$7:$U$31,"",0,1)&lt;=TODAY()-MOD(WEEKDAY(TODAY(),2)-5,7)),$D38,0)</f>
        <v>0</v>
      </c>
      <c r="CF88" s="67">
        <f ca="1">IF(AND($D38&lt;&gt;0,_xlfn.XLOOKUP($B38,'PW_CMI GRADE 10'!$B$7:$B$31,'PW_CMI GRADE 10'!AZ$7:AZ$31,"",0,1)="P",
   _xlfn.XLOOKUP($B38,'PW_CMI GRADE 10'!$B$7:$B$31,'PW_CMI GRADE 10'!$V$7:$V$31,"",0,1)&lt;=TODAY()-MOD(WEEKDAY(TODAY(),2)-5,7)),$D38,0)</f>
        <v>0</v>
      </c>
      <c r="CG88" s="67">
        <f ca="1">IF(AND($D38&lt;&gt;0,_xlfn.XLOOKUP($B38,'PW_CMI GRADE 10'!$B$7:$B$31,'PW_CMI GRADE 10'!BA$7:BA$31,"",0,1)="P",
   _xlfn.XLOOKUP($B38,'PW_CMI GRADE 10'!$B$7:$B$31,'PW_CMI GRADE 10'!$W$7:$W$31,"",0,1)&lt;=TODAY()-MOD(WEEKDAY(TODAY(),2)-5,7)),$D38,0)</f>
        <v>0</v>
      </c>
      <c r="CH88" s="67">
        <f ca="1">IF(AND($D38&lt;&gt;0,_xlfn.XLOOKUP($B38,'PW_CMI GRADE 10'!$B$7:$B$31,'PW_CMI GRADE 10'!BB$7:BB$31,"",0,1)="P",
   _xlfn.XLOOKUP($B38,'PW_CMI GRADE 10'!$B$7:$B$31,'PW_CMI GRADE 10'!$U$7:$U$31,"",0,1)&lt;=TODAY()-MOD(WEEKDAY(TODAY(),2)-5,7)),$D38,0)</f>
        <v>0</v>
      </c>
      <c r="CI88" s="67">
        <f ca="1">IF(AND($D38&lt;&gt;0,_xlfn.XLOOKUP($B38,'PW_CMI GRADE 10'!$B$7:$B$31,'PW_CMI GRADE 10'!BC$7:BC$31,"",0,1)="P",
   _xlfn.XLOOKUP($B38,'PW_CMI GRADE 10'!$B$7:$B$31,'PW_CMI GRADE 10'!$V$7:$V$31,"",0,1)&lt;=TODAY()-MOD(WEEKDAY(TODAY(),2)-5,7)),$D38,0)</f>
        <v>0</v>
      </c>
      <c r="CJ88" s="67">
        <f ca="1">IF(AND($D38&lt;&gt;0,_xlfn.XLOOKUP($B38,'PW_CMI GRADE 10'!$B$7:$B$31,'PW_CMI GRADE 10'!BD$7:BD$31,"",0,1)="P",
   _xlfn.XLOOKUP($B38,'PW_CMI GRADE 10'!$B$7:$B$31,'PW_CMI GRADE 10'!$W$7:$W$31,"",0,1)&lt;=TODAY()-MOD(WEEKDAY(TODAY(),2)-5,7)),$D38,0)</f>
        <v>0</v>
      </c>
      <c r="CK88" s="67">
        <f ca="1">IF(AND($D38&lt;&gt;0,_xlfn.XLOOKUP($B38,'PW_CMI GRADE 10'!$B$7:$B$31,'PW_CMI GRADE 10'!BE$7:BE$31,"",0,1)="P",
   _xlfn.XLOOKUP($B38,'PW_CMI GRADE 10'!$B$7:$B$31,'PW_CMI GRADE 10'!$U$7:$U$31,"",0,1)&lt;=TODAY()-MOD(WEEKDAY(TODAY(),2)-5,7)),$D38,0)</f>
        <v>0</v>
      </c>
      <c r="CL88" s="67">
        <f ca="1">IF(AND($D38&lt;&gt;0,_xlfn.XLOOKUP($B38,'PW_CMI GRADE 10'!$B$7:$B$31,'PW_CMI GRADE 10'!BF$7:BF$31,"",0,1)="P",
   _xlfn.XLOOKUP($B38,'PW_CMI GRADE 10'!$B$7:$B$31,'PW_CMI GRADE 10'!$V$7:$V$31,"",0,1)&lt;=TODAY()-MOD(WEEKDAY(TODAY(),2)-5,7)),$D38,0)</f>
        <v>0</v>
      </c>
      <c r="CM88" s="67">
        <f ca="1">IF(AND($D38&lt;&gt;0,_xlfn.XLOOKUP($B38,'PW_CMI GRADE 10'!$B$7:$B$31,'PW_CMI GRADE 10'!BG$7:BG$31,"",0,1)="P",
   _xlfn.XLOOKUP($B38,'PW_CMI GRADE 10'!$B$7:$B$31,'PW_CMI GRADE 10'!$W$7:$W$31,"",0,1)&lt;=TODAY()-MOD(WEEKDAY(TODAY(),2)-5,7)),$D38,0)</f>
        <v>0</v>
      </c>
      <c r="CN88" s="67">
        <f ca="1">IF(AND($D38&lt;&gt;0,_xlfn.XLOOKUP($B38,'PW_CMI GRADE 10'!$B$7:$B$31,'PW_CMI GRADE 10'!BH$7:BH$31,"",0,1)="P",
   _xlfn.XLOOKUP($B38,'PW_CMI GRADE 10'!$B$7:$B$31,'PW_CMI GRADE 10'!$U$7:$U$31,"",0,1)&lt;=TODAY()-MOD(WEEKDAY(TODAY(),2)-5,7)),$D38,0)</f>
        <v>0</v>
      </c>
      <c r="CO88" s="67">
        <f ca="1">IF(AND($D38&lt;&gt;0,_xlfn.XLOOKUP($B38,'PW_CMI GRADE 10'!$B$7:$B$31,'PW_CMI GRADE 10'!BI$7:BI$31,"",0,1)="P",
   _xlfn.XLOOKUP($B38,'PW_CMI GRADE 10'!$B$7:$B$31,'PW_CMI GRADE 10'!$V$7:$V$31,"",0,1)&lt;=TODAY()-MOD(WEEKDAY(TODAY(),2)-5,7)),$D38,0)</f>
        <v>0</v>
      </c>
      <c r="CP88" s="67">
        <f ca="1">IF(AND($D38&lt;&gt;0,_xlfn.XLOOKUP($B38,'PW_CMI GRADE 10'!$B$7:$B$31,'PW_CMI GRADE 10'!BJ$7:BJ$31,"",0,1)="P",
   _xlfn.XLOOKUP($B38,'PW_CMI GRADE 10'!$B$7:$B$31,'PW_CMI GRADE 10'!$W$7:$W$31,"",0,1)&lt;=TODAY()-MOD(WEEKDAY(TODAY(),2)-5,7)),$D38,0)</f>
        <v>0</v>
      </c>
      <c r="CQ88" s="67">
        <f ca="1">IF(AND($D38&lt;&gt;0,_xlfn.XLOOKUP($B38,'PW_CMI GRADE 10'!$B$7:$B$31,'PW_CMI GRADE 10'!BK$7:BK$31,"",0,1)="P",
   _xlfn.XLOOKUP($B38,'PW_CMI GRADE 10'!$B$7:$B$31,'PW_CMI GRADE 10'!$U$7:$U$31,"",0,1)&lt;=TODAY()-MOD(WEEKDAY(TODAY(),2)-5,7)),$D38,0)</f>
        <v>0</v>
      </c>
      <c r="CR88" s="67">
        <f ca="1">IF(AND($D38&lt;&gt;0,_xlfn.XLOOKUP($B38,'PW_CMI GRADE 10'!$B$7:$B$31,'PW_CMI GRADE 10'!BL$7:BL$31,"",0,1)="P",
   _xlfn.XLOOKUP($B38,'PW_CMI GRADE 10'!$B$7:$B$31,'PW_CMI GRADE 10'!$V$7:$V$31,"",0,1)&lt;=TODAY()-MOD(WEEKDAY(TODAY(),2)-5,7)),$D38,0)</f>
        <v>0</v>
      </c>
      <c r="CS88" s="67">
        <f ca="1">IF(AND($D38&lt;&gt;0,_xlfn.XLOOKUP($B38,'PW_CMI GRADE 10'!$B$7:$B$31,'PW_CMI GRADE 10'!BM$7:BM$31,"",0,1)="P",
   _xlfn.XLOOKUP($B38,'PW_CMI GRADE 10'!$B$7:$B$31,'PW_CMI GRADE 10'!$W$7:$W$31,"",0,1)&lt;=TODAY()-MOD(WEEKDAY(TODAY(),2)-5,7)),$D38,0)</f>
        <v>0</v>
      </c>
      <c r="CT88" s="67">
        <f ca="1">IF(AND($D38&lt;&gt;0,_xlfn.XLOOKUP($B38,'PW_CMI GRADE 10'!$B$7:$B$31,'PW_CMI GRADE 10'!BN$7:BN$31,"",0,1)="P",
   _xlfn.XLOOKUP($B38,'PW_CMI GRADE 10'!$B$7:$B$31,'PW_CMI GRADE 10'!$U$7:$U$31,"",0,1)&lt;=TODAY()-MOD(WEEKDAY(TODAY(),2)-5,7)),$D38,0)</f>
        <v>0</v>
      </c>
      <c r="CU88" s="67">
        <f ca="1">IF(AND($D38&lt;&gt;0,_xlfn.XLOOKUP($B38,'PW_CMI GRADE 10'!$B$7:$B$31,'PW_CMI GRADE 10'!BO$7:BO$31,"",0,1)="P",
   _xlfn.XLOOKUP($B38,'PW_CMI GRADE 10'!$B$7:$B$31,'PW_CMI GRADE 10'!$V$7:$V$31,"",0,1)&lt;=TODAY()-MOD(WEEKDAY(TODAY(),2)-5,7)),$D38,0)</f>
        <v>0</v>
      </c>
      <c r="CV88" s="67">
        <f ca="1">IF(AND($D38&lt;&gt;0,_xlfn.XLOOKUP($B38,'PW_CMI GRADE 10'!$B$7:$B$31,'PW_CMI GRADE 10'!BP$7:BP$31,"",0,1)="P",
   _xlfn.XLOOKUP($B38,'PW_CMI GRADE 10'!$B$7:$B$31,'PW_CMI GRADE 10'!$W$7:$W$31,"",0,1)&lt;=TODAY()-MOD(WEEKDAY(TODAY(),2)-5,7)),$D38,0)</f>
        <v>0</v>
      </c>
      <c r="CW88" s="62" t="e">
        <f t="shared" ca="1" si="132"/>
        <v>#REF!</v>
      </c>
      <c r="CX88" s="62" t="e">
        <f t="shared" ca="1" si="69"/>
        <v>#REF!</v>
      </c>
      <c r="CY88" s="62" t="e">
        <f t="shared" ca="1" si="70"/>
        <v>#REF!</v>
      </c>
      <c r="CZ88" s="62" t="e">
        <f t="shared" ca="1" si="71"/>
        <v>#REF!</v>
      </c>
      <c r="DA88" s="62" t="e">
        <f t="shared" ca="1" si="72"/>
        <v>#REF!</v>
      </c>
      <c r="DB88" s="62" t="e">
        <f t="shared" ca="1" si="73"/>
        <v>#REF!</v>
      </c>
      <c r="DC88" s="62" t="e">
        <f t="shared" ca="1" si="74"/>
        <v>#REF!</v>
      </c>
      <c r="DD88" s="62" t="e">
        <f t="shared" ca="1" si="75"/>
        <v>#REF!</v>
      </c>
      <c r="DE88" s="62" t="e">
        <f t="shared" ca="1" si="76"/>
        <v>#REF!</v>
      </c>
      <c r="DF88" s="62" t="e">
        <f t="shared" ca="1" si="77"/>
        <v>#REF!</v>
      </c>
      <c r="DG88" s="62" t="e">
        <f t="shared" ca="1" si="78"/>
        <v>#REF!</v>
      </c>
      <c r="DH88" s="62" t="e">
        <f t="shared" ca="1" si="79"/>
        <v>#REF!</v>
      </c>
      <c r="DI88" s="62" t="e">
        <f t="shared" ca="1" si="80"/>
        <v>#REF!</v>
      </c>
      <c r="DJ88" s="62" t="e">
        <f t="shared" ca="1" si="81"/>
        <v>#REF!</v>
      </c>
      <c r="DK88" s="62" t="e">
        <f t="shared" ca="1" si="82"/>
        <v>#REF!</v>
      </c>
      <c r="DL88" s="62" t="e">
        <f t="shared" ca="1" si="83"/>
        <v>#REF!</v>
      </c>
      <c r="DM88" s="62" t="e">
        <f t="shared" ca="1" si="84"/>
        <v>#REF!</v>
      </c>
      <c r="DN88" s="62" t="e">
        <f t="shared" ca="1" si="85"/>
        <v>#REF!</v>
      </c>
      <c r="DO88" s="62" t="e">
        <f t="shared" ca="1" si="86"/>
        <v>#REF!</v>
      </c>
      <c r="DP88" s="62" t="e">
        <f t="shared" ca="1" si="87"/>
        <v>#REF!</v>
      </c>
      <c r="DQ88" s="62" t="e">
        <f t="shared" ca="1" si="88"/>
        <v>#REF!</v>
      </c>
      <c r="DR88" s="62" t="e">
        <f t="shared" ca="1" si="89"/>
        <v>#REF!</v>
      </c>
      <c r="DS88" s="62" t="e">
        <f t="shared" ca="1" si="90"/>
        <v>#REF!</v>
      </c>
      <c r="DT88" s="62" t="e">
        <f t="shared" ca="1" si="91"/>
        <v>#REF!</v>
      </c>
      <c r="DU88" s="62" t="e">
        <f t="shared" ca="1" si="92"/>
        <v>#REF!</v>
      </c>
      <c r="DV88" s="62" t="e">
        <f t="shared" ca="1" si="93"/>
        <v>#REF!</v>
      </c>
      <c r="DW88" s="62" t="e">
        <f t="shared" ca="1" si="94"/>
        <v>#REF!</v>
      </c>
      <c r="DX88" s="62" t="e">
        <f t="shared" ca="1" si="95"/>
        <v>#REF!</v>
      </c>
      <c r="DY88" s="62" t="e">
        <f t="shared" ca="1" si="96"/>
        <v>#REF!</v>
      </c>
      <c r="DZ88" s="62" t="e">
        <f t="shared" ca="1" si="97"/>
        <v>#REF!</v>
      </c>
      <c r="EA88" s="63" t="e">
        <f t="shared" ca="1" si="98"/>
        <v>#REF!</v>
      </c>
      <c r="EB88" s="63" t="e">
        <f t="shared" ca="1" si="99"/>
        <v>#REF!</v>
      </c>
      <c r="EC88" s="63" t="e">
        <f t="shared" ca="1" si="100"/>
        <v>#REF!</v>
      </c>
      <c r="ED88" s="63" t="e">
        <f t="shared" ca="1" si="101"/>
        <v>#REF!</v>
      </c>
      <c r="EE88" s="63" t="e">
        <f t="shared" ca="1" si="102"/>
        <v>#REF!</v>
      </c>
      <c r="EF88" s="63" t="e">
        <f t="shared" ca="1" si="103"/>
        <v>#REF!</v>
      </c>
      <c r="EG88" s="63" t="e">
        <f t="shared" ca="1" si="104"/>
        <v>#REF!</v>
      </c>
      <c r="EH88" s="63" t="e">
        <f t="shared" ca="1" si="105"/>
        <v>#REF!</v>
      </c>
      <c r="EI88" s="63" t="e">
        <f t="shared" ca="1" si="106"/>
        <v>#REF!</v>
      </c>
      <c r="EJ88" s="63" t="e">
        <f t="shared" ca="1" si="107"/>
        <v>#REF!</v>
      </c>
      <c r="EK88" s="63" t="e">
        <f t="shared" ca="1" si="108"/>
        <v>#REF!</v>
      </c>
      <c r="EL88" s="63" t="e">
        <f t="shared" ca="1" si="109"/>
        <v>#REF!</v>
      </c>
      <c r="EM88" s="63" t="e">
        <f t="shared" ca="1" si="110"/>
        <v>#REF!</v>
      </c>
      <c r="EN88" s="63" t="e">
        <f t="shared" ca="1" si="111"/>
        <v>#REF!</v>
      </c>
      <c r="EO88" s="63" t="e">
        <f t="shared" ca="1" si="112"/>
        <v>#REF!</v>
      </c>
      <c r="EP88" s="63" t="e">
        <f t="shared" ca="1" si="113"/>
        <v>#REF!</v>
      </c>
    </row>
    <row r="89" spans="1:146">
      <c r="A89" s="64" t="str">
        <f t="shared" si="131"/>
        <v>6A.1</v>
      </c>
      <c r="B89" s="64" t="s">
        <v>70</v>
      </c>
      <c r="C89" s="30">
        <v>3</v>
      </c>
      <c r="D89" s="30">
        <v>2</v>
      </c>
      <c r="E89" s="65">
        <f ca="1">IF(AND($D39&lt;&gt;0,_xlfn.XLOOKUP($B39,'TH_MLG GRADE 10'!$B$7:$B$49,'TH_MLG GRADE 10'!C$7:C$49,"",0,1)="P",
   _xlfn.XLOOKUP($B39,'TH_MLG GRADE 10'!$B$7:$B$49,'TH_MLG GRADE 10'!$BK$7:$BK$49,"",0,1)&lt;=TODAY()-MOD(WEEKDAY(TODAY(),2)-5,7)),$D39,0)</f>
        <v>2</v>
      </c>
      <c r="F89" s="65">
        <f ca="1">IF(AND($D39&lt;&gt;0,_xlfn.XLOOKUP($B39,'TH_MLG GRADE 10'!$B$7:$B$49,'TH_MLG GRADE 10'!D$7:D$49,"",0,1)="P",
   _xlfn.XLOOKUP($B39,'TH_MLG GRADE 10'!$B$7:$B$49,'TH_MLG GRADE 10'!$BL$7:$BL$49,"",0,1)&lt;=TODAY()-MOD(WEEKDAY(TODAY(),2)-5,7)),$D39,0)</f>
        <v>2</v>
      </c>
      <c r="G89" s="65">
        <f ca="1">IF(AND($D39&lt;&gt;0,_xlfn.XLOOKUP($B39,'TH_MLG GRADE 10'!$B$7:$B$49,'TH_MLG GRADE 10'!E$7:E$49,"",0,1)="P",
   _xlfn.XLOOKUP($B39,'TH_MLG GRADE 10'!$B$7:$B$49,'TH_MLG GRADE 10'!$BM$7:$BM$49,"",0,1)&lt;=TODAY()-MOD(WEEKDAY(TODAY(),2)-5,7)),$D39,0)</f>
        <v>0</v>
      </c>
      <c r="H89" s="65">
        <f ca="1">IF(AND($D39&lt;&gt;0,_xlfn.XLOOKUP($B39,'TH_MLG GRADE 10'!$B$7:$B$49,'TH_MLG GRADE 10'!I$7:I$49,"",0,1)="P",
   _xlfn.XLOOKUP($B39,'TH_MLG GRADE 10'!$B$7:$B$49,'TH_MLG GRADE 10'!$BK$7:$BK$49,"",0,1)&lt;=TODAY()-MOD(WEEKDAY(TODAY(),2)-5,7)),$D39,0)</f>
        <v>2</v>
      </c>
      <c r="I89" s="65">
        <f ca="1">IF(AND($D39&lt;&gt;0,_xlfn.XLOOKUP($B39,'TH_MLG GRADE 10'!$B$7:$B$49,'TH_MLG GRADE 10'!J$7:J$49,"",0,1)="P",
   _xlfn.XLOOKUP($B39,'TH_MLG GRADE 10'!$B$7:$B$49,'TH_MLG GRADE 10'!$BL$7:$BL$49,"",0,1)&lt;=TODAY()-MOD(WEEKDAY(TODAY(),2)-5,7)),$D39,0)</f>
        <v>2</v>
      </c>
      <c r="J89" s="65">
        <f ca="1">IF(AND($D39&lt;&gt;0,_xlfn.XLOOKUP($B39,'TH_MLG GRADE 10'!$B$7:$B$49,'TH_MLG GRADE 10'!K$7:K$49,"",0,1)="P",
   _xlfn.XLOOKUP($B39,'TH_MLG GRADE 10'!$B$7:$B$49,'TH_MLG GRADE 10'!$BM$7:$BM$49,"",0,1)&lt;=TODAY()-MOD(WEEKDAY(TODAY(),2)-5,7)),$D39,0)</f>
        <v>2</v>
      </c>
      <c r="K89" s="65">
        <f ca="1">IF(AND($D39&lt;&gt;0,_xlfn.XLOOKUP($B39,'TH_MLG GRADE 10'!$B$7:$B$49,'TH_MLG GRADE 10'!O$7:O$49,"",0,1)="P",
   _xlfn.XLOOKUP($B39,'TH_MLG GRADE 10'!$B$7:$B$49,'TH_MLG GRADE 10'!$BK$7:$BK$49,"",0,1)&lt;=TODAY()-MOD(WEEKDAY(TODAY(),2)-5,7)),$D39,0)</f>
        <v>0</v>
      </c>
      <c r="L89" s="65">
        <f ca="1">IF(AND($D39&lt;&gt;0,_xlfn.XLOOKUP($B39,'TH_MLG GRADE 10'!$B$7:$B$49,'TH_MLG GRADE 10'!P$7:P$49,"",0,1)="P",
   _xlfn.XLOOKUP($B39,'TH_MLG GRADE 10'!$B$7:$B$49,'TH_MLG GRADE 10'!$BL$7:$BL$49,"",0,1)&lt;=TODAY()-MOD(WEEKDAY(TODAY(),2)-5,7)),$D39,0)</f>
        <v>0</v>
      </c>
      <c r="M89" s="65">
        <f ca="1">IF(AND($D39&lt;&gt;0,_xlfn.XLOOKUP($B39,'TH_MLG GRADE 10'!$B$7:$B$49,'TH_MLG GRADE 10'!Q$7:Q$49,"",0,1)="P",
   _xlfn.XLOOKUP($B39,'TH_MLG GRADE 10'!$B$7:$B$49,'TH_MLG GRADE 10'!$BM$7:$BM$49,"",0,1)&lt;=TODAY()-MOD(WEEKDAY(TODAY(),2)-5,7)),$D39,0)</f>
        <v>0</v>
      </c>
      <c r="N89" s="65">
        <f ca="1">IF(AND($D39&lt;&gt;0,_xlfn.XLOOKUP($B39,'TH_MLG GRADE 10'!$B$7:$B$49,'TH_MLG GRADE 10'!AA$7:AA$49,"",0,1)="P",
   _xlfn.XLOOKUP($B39,'TH_MLG GRADE 10'!$B$7:$B$49,'TH_MLG GRADE 10'!$BK$7:$BK$49,"",0,1)&lt;=TODAY()-MOD(WEEKDAY(TODAY(),2)-5,7)),$D39,0)</f>
        <v>0</v>
      </c>
      <c r="O89" s="65">
        <f ca="1">IF(AND($D39&lt;&gt;0,_xlfn.XLOOKUP($B39,'TH_MLG GRADE 10'!$B$7:$B$49,'TH_MLG GRADE 10'!AB$7:AB$49,"",0,1)="P",
   _xlfn.XLOOKUP($B39,'TH_MLG GRADE 10'!$B$7:$B$49,'TH_MLG GRADE 10'!$BL$7:$BL$49,"",0,1)&lt;=TODAY()-MOD(WEEKDAY(TODAY(),2)-5,7)),$D39,0)</f>
        <v>0</v>
      </c>
      <c r="P89" s="65">
        <f ca="1">IF(AND($D39&lt;&gt;0,_xlfn.XLOOKUP($B39,'TH_MLG GRADE 10'!$B$7:$B$49,'TH_MLG GRADE 10'!AC$7:AC$49,"",0,1)="P",
   _xlfn.XLOOKUP($B39,'TH_MLG GRADE 10'!$B$7:$B$49,'TH_MLG GRADE 10'!$BM$7:$BM$49,"",0,1)&lt;=TODAY()-MOD(WEEKDAY(TODAY(),2)-5,7)),$D39,0)</f>
        <v>0</v>
      </c>
      <c r="Q89" s="65">
        <f ca="1">IF(AND($D39&lt;&gt;0,_xlfn.XLOOKUP($B39,'TH_MLG GRADE 10'!$B$7:$B$49,'TH_MLG GRADE 10'!AG$7:AG$49,"",0,1)="P",
   _xlfn.XLOOKUP($B39,'TH_MLG GRADE 10'!$B$7:$B$49,'TH_MLG GRADE 10'!$BK$7:$BK$49,"",0,1)&lt;=TODAY()-MOD(WEEKDAY(TODAY(),2)-5,7)),$D39,0)</f>
        <v>0</v>
      </c>
      <c r="R89" s="65">
        <f ca="1">IF(AND($D39&lt;&gt;0,_xlfn.XLOOKUP($B39,'TH_MLG GRADE 10'!$B$7:$B$49,'TH_MLG GRADE 10'!AH$7:AH$49,"",0,1)="P",
   _xlfn.XLOOKUP($B39,'TH_MLG GRADE 10'!$B$7:$B$49,'TH_MLG GRADE 10'!$BL$7:$BL$49,"",0,1)&lt;=TODAY()-MOD(WEEKDAY(TODAY(),2)-5,7)),$D39,0)</f>
        <v>0</v>
      </c>
      <c r="S89" s="65">
        <f ca="1">IF(AND($D39&lt;&gt;0,_xlfn.XLOOKUP($B39,'TH_MLG GRADE 10'!$B$7:$B$49,'TH_MLG GRADE 10'!AI$7:AI$49,"",0,1)="P",
   _xlfn.XLOOKUP($B39,'TH_MLG GRADE 10'!$B$7:$B$49,'TH_MLG GRADE 10'!$BM$7:$BM$49,"",0,1)&lt;=TODAY()-MOD(WEEKDAY(TODAY(),2)-5,7)),$D39,0)</f>
        <v>0</v>
      </c>
      <c r="T89" s="65">
        <f ca="1">IF(AND($D39&lt;&gt;0,_xlfn.XLOOKUP($B39,'TH_MLG GRADE 10'!$B$7:$B$49,'TH_MLG GRADE 10'!AM$7:AM$49,"",0,1)="P",
   _xlfn.XLOOKUP($B39,'TH_MLG GRADE 10'!$B$7:$B$49,'TH_MLG GRADE 10'!$BK$7:$BK$49,"",0,1)&lt;=TODAY()-MOD(WEEKDAY(TODAY(),2)-5,7)),$D39,0)</f>
        <v>0</v>
      </c>
      <c r="U89" s="65">
        <f ca="1">IF(AND($D39&lt;&gt;0,_xlfn.XLOOKUP($B39,'TH_MLG GRADE 10'!$B$7:$B$49,'TH_MLG GRADE 10'!AN$7:AN$49,"",0,1)="P",
   _xlfn.XLOOKUP($B39,'TH_MLG GRADE 10'!$B$7:$B$49,'TH_MLG GRADE 10'!$BL$7:$BL$49,"",0,1)&lt;=TODAY()-MOD(WEEKDAY(TODAY(),2)-5,7)),$D39,0)</f>
        <v>0</v>
      </c>
      <c r="V89" s="65">
        <f ca="1">IF(AND($D39&lt;&gt;0,_xlfn.XLOOKUP($B39,'TH_MLG GRADE 10'!$B$7:$B$49,'TH_MLG GRADE 10'!AO$7:AO$49,"",0,1)="P",
   _xlfn.XLOOKUP($B39,'TH_MLG GRADE 10'!$B$7:$B$49,'TH_MLG GRADE 10'!$BM$7:$BM$49,"",0,1)&lt;=TODAY()-MOD(WEEKDAY(TODAY(),2)-5,7)),$D39,0)</f>
        <v>0</v>
      </c>
      <c r="W89" s="65">
        <f ca="1">IF(AND($D39&lt;&gt;0,_xlfn.XLOOKUP($B39,'TH_MLG GRADE 10'!$B$7:$B$49,'TH_MLG GRADE 10'!AY$7:AY$49,"",0,1)="P",
   _xlfn.XLOOKUP($B39,'TH_MLG GRADE 10'!$B$7:$B$49,'TH_MLG GRADE 10'!$BK$7:$BK$49,"",0,1)&lt;=TODAY()-MOD(WEEKDAY(TODAY(),2)-5,7)),$D39,0)</f>
        <v>0</v>
      </c>
      <c r="X89" s="65">
        <f ca="1">IF(AND($D39&lt;&gt;0,_xlfn.XLOOKUP($B39,'TH_MLG GRADE 10'!$B$7:$B$49,'TH_MLG GRADE 10'!AZ$7:AZ$49,"",0,1)="P",
   _xlfn.XLOOKUP($B39,'TH_MLG GRADE 10'!$B$7:$B$49,'TH_MLG GRADE 10'!$BL$7:$BL$49,"",0,1)&lt;=TODAY()-MOD(WEEKDAY(TODAY(),2)-5,7)),$D39,0)</f>
        <v>0</v>
      </c>
      <c r="Y89" s="65">
        <f ca="1">IF(AND($D39&lt;&gt;0,_xlfn.XLOOKUP($B39,'TH_MLG GRADE 10'!$B$7:$B$49,'TH_MLG GRADE 10'!BA$7:BA$49,"",0,1)="P",
   _xlfn.XLOOKUP($B39,'TH_MLG GRADE 10'!$B$7:$B$49,'TH_MLG GRADE 10'!$BM$7:$BM$49,"",0,1)&lt;=TODAY()-MOD(WEEKDAY(TODAY(),2)-5,7)),$D39,0)</f>
        <v>0</v>
      </c>
      <c r="Z89" s="65">
        <f ca="1">IF(AND($D39&lt;&gt;0,_xlfn.XLOOKUP($B39,'TH_MLG GRADE 10'!$B$7:$B$49,'TH_MLG GRADE 10'!BE$7:BE$49,"",0,1)="P",
   _xlfn.XLOOKUP($B39,'TH_MLG GRADE 10'!$B$7:$B$49,'TH_MLG GRADE 10'!$BK$7:$BK$49,"",0,1)&lt;=TODAY()-MOD(WEEKDAY(TODAY(),2)-5,7)),$D39,0)</f>
        <v>0</v>
      </c>
      <c r="AA89" s="65">
        <f ca="1">IF(AND($D39&lt;&gt;0,_xlfn.XLOOKUP($B39,'TH_MLG GRADE 10'!$B$7:$B$49,'TH_MLG GRADE 10'!BF$7:BF$49,"",0,1)="P",
   _xlfn.XLOOKUP($B39,'TH_MLG GRADE 10'!$B$7:$B$49,'TH_MLG GRADE 10'!$BL$7:$BL$49,"",0,1)&lt;=TODAY()-MOD(WEEKDAY(TODAY(),2)-5,7)),$D39,0)</f>
        <v>0</v>
      </c>
      <c r="AB89" s="65">
        <f ca="1">IF(AND($D39&lt;&gt;0,_xlfn.XLOOKUP($B39,'TH_MLG GRADE 10'!$B$7:$B$49,'TH_MLG GRADE 10'!BG$7:BG$49,"",0,1)="P",
   _xlfn.XLOOKUP($B39,'TH_MLG GRADE 10'!$B$7:$B$49,'TH_MLG GRADE 10'!$BM$7:$BM$49,"",0,1)&lt;=TODAY()-MOD(WEEKDAY(TODAY(),2)-5,7)),$D39,0)</f>
        <v>0</v>
      </c>
      <c r="AC89" s="65" t="e">
        <f ca="1">IF(AND($D39&lt;&gt;0,_xlfn.XLOOKUP($B39,'TH_MLG GRADE 10'!$B$7:$B$49,'TH_MLG GRADE 10'!#REF!,"",0,1)="P",
   _xlfn.XLOOKUP($B39,'TH_MLG GRADE 10'!$B$7:$B$49,'TH_MLG GRADE 10'!$BK$7:$BK$49,"",0,1)&lt;=TODAY()-MOD(WEEKDAY(TODAY(),2)-5,7)),$D39,0)</f>
        <v>#REF!</v>
      </c>
      <c r="AD89" s="65" t="e">
        <f ca="1">IF(AND($D39&lt;&gt;0,_xlfn.XLOOKUP($B39,'TH_MLG GRADE 10'!$B$7:$B$49,'TH_MLG GRADE 10'!#REF!,"",0,1)="P",
   _xlfn.XLOOKUP($B39,'TH_MLG GRADE 10'!$B$7:$B$49,'TH_MLG GRADE 10'!$BL$7:$BL$49,"",0,1)&lt;=TODAY()-MOD(WEEKDAY(TODAY(),2)-5,7)),$D39,0)</f>
        <v>#REF!</v>
      </c>
      <c r="AE89" s="65" t="e">
        <f ca="1">IF(AND($D39&lt;&gt;0,_xlfn.XLOOKUP($B39,'TH_MLG GRADE 10'!$B$7:$B$49,'TH_MLG GRADE 10'!#REF!,"",0,1)="P",
   _xlfn.XLOOKUP($B39,'TH_MLG GRADE 10'!$B$7:$B$49,'TH_MLG GRADE 10'!$BM$7:$BM$49,"",0,1)&lt;=TODAY()-MOD(WEEKDAY(TODAY(),2)-5,7)),$D39,0)</f>
        <v>#REF!</v>
      </c>
      <c r="AF89" s="65" t="e">
        <f ca="1">IF(AND($D39&lt;&gt;0,_xlfn.XLOOKUP($B39,'TH_MLG GRADE 10'!$B$7:$B$49,'TH_MLG GRADE 10'!#REF!,"",0,1)="P",
   _xlfn.XLOOKUP($B39,'TH_MLG GRADE 10'!$B$7:$B$49,'TH_MLG GRADE 10'!$BK$7:$BK$49,"",0,1)&lt;=TODAY()-MOD(WEEKDAY(TODAY(),2)-5,7)),$D39,0)</f>
        <v>#REF!</v>
      </c>
      <c r="AG89" s="65" t="e">
        <f ca="1">IF(AND($D39&lt;&gt;0,_xlfn.XLOOKUP($B39,'TH_MLG GRADE 10'!$B$7:$B$49,'TH_MLG GRADE 10'!#REF!,"",0,1)="P",
   _xlfn.XLOOKUP($B39,'TH_MLG GRADE 10'!$B$7:$B$49,'TH_MLG GRADE 10'!$BL$7:$BL$49,"",0,1)&lt;=TODAY()-MOD(WEEKDAY(TODAY(),2)-5,7)),$D39,0)</f>
        <v>#REF!</v>
      </c>
      <c r="AH89" s="65" t="e">
        <f ca="1">IF(AND($D39&lt;&gt;0,_xlfn.XLOOKUP($B39,'TH_MLG GRADE 10'!$B$7:$B$49,'TH_MLG GRADE 10'!#REF!,"",0,1)="P",
   _xlfn.XLOOKUP($B39,'TH_MLG GRADE 10'!$B$7:$B$49,'TH_MLG GRADE 10'!$BM$7:$BM$49,"",0,1)&lt;=TODAY()-MOD(WEEKDAY(TODAY(),2)-5,7)),$D39,0)</f>
        <v>#REF!</v>
      </c>
      <c r="AI89" s="67">
        <f ca="1">IF(AND($D39&lt;&gt;0,_xlfn.XLOOKUP($B39,'TH_CMI GRADE 10'!$B$7:$B$49,'TH_CMI GRADE 10'!C$7:C$49,"",0,1)="P",
   _xlfn.XLOOKUP($B39,'TH_CMI GRADE 10'!$B$7:$B$49,'TH_CMI GRADE 10'!$AS$7:$AS$49,"",0,1)&lt;=TODAY()-MOD(WEEKDAY(TODAY(),2)-5,7)),$D39,0)</f>
        <v>0</v>
      </c>
      <c r="AJ89" s="67">
        <f ca="1">IF(AND($D39&lt;&gt;0,_xlfn.XLOOKUP($B39,'TH_CMI GRADE 10'!$B$7:$B$49,'TH_CMI GRADE 10'!D$7:D$49,"",0,1)="P",
   _xlfn.XLOOKUP($B39,'TH_CMI GRADE 10'!$B$7:$B$49,'TH_CMI GRADE 10'!$AT$7:$AT$49,"",0,1)&lt;=TODAY()-MOD(WEEKDAY(TODAY(),2)-5,7)),$D39,0)</f>
        <v>0</v>
      </c>
      <c r="AK89" s="67" t="e">
        <f ca="1">IF(AND($D39&lt;&gt;0,_xlfn.XLOOKUP($B39,'TH_CMI GRADE 10'!$B$7:$B$49,'TH_CMI GRADE 10'!H$7:H$49,"",0,1)="P",
   _xlfn.XLOOKUP($B39,'TH_CMI GRADE 10'!$B$7:$B$49,'TH_CMI GRADE 10'!#REF!,"",0,1)&lt;=TODAY()-MOD(WEEKDAY(TODAY(),2)-5,7)),$D39,0)</f>
        <v>#REF!</v>
      </c>
      <c r="AL89" s="67">
        <f ca="1">IF(AND($D39&lt;&gt;0,_xlfn.XLOOKUP($B39,'TH_CMI GRADE 10'!$B$7:$B$49,'TH_CMI GRADE 10'!I$7:I$49,"",0,1)="P",
   _xlfn.XLOOKUP($B39,'TH_CMI GRADE 10'!$B$7:$B$49,'TH_CMI GRADE 10'!$AS$7:$AS$49,"",0,1)&lt;=TODAY()-MOD(WEEKDAY(TODAY(),2)-5,7)),$D39,0)</f>
        <v>0</v>
      </c>
      <c r="AM89" s="67">
        <f ca="1">IF(AND($D39&lt;&gt;0,_xlfn.XLOOKUP($B39,'TH_CMI GRADE 10'!$B$7:$B$49,'TH_CMI GRADE 10'!J$7:J$49,"",0,1)="P",
   _xlfn.XLOOKUP($B39,'TH_CMI GRADE 10'!$B$7:$B$49,'TH_CMI GRADE 10'!$AT$7:$AT$49,"",0,1)&lt;=TODAY()-MOD(WEEKDAY(TODAY(),2)-5,7)),$D39,0)</f>
        <v>0</v>
      </c>
      <c r="AN89" s="67" t="e">
        <f ca="1">IF(AND($D39&lt;&gt;0,_xlfn.XLOOKUP($B39,'TH_CMI GRADE 10'!$B$7:$B$49,'TH_CMI GRADE 10'!K$7:K$49,"",0,1)="P",
   _xlfn.XLOOKUP($B39,'TH_CMI GRADE 10'!$B$7:$B$49,'TH_CMI GRADE 10'!#REF!,"",0,1)&lt;=TODAY()-MOD(WEEKDAY(TODAY(),2)-5,7)),$D39,0)</f>
        <v>#REF!</v>
      </c>
      <c r="AO89" s="67">
        <f ca="1">IF(AND($D39&lt;&gt;0,_xlfn.XLOOKUP($B39,'TH_CMI GRADE 10'!$B$7:$B$49,'TH_CMI GRADE 10'!O$7:O$49,"",0,1)="P",
   _xlfn.XLOOKUP($B39,'TH_CMI GRADE 10'!$B$7:$B$49,'TH_CMI GRADE 10'!$AS$7:$AS$49,"",0,1)&lt;=TODAY()-MOD(WEEKDAY(TODAY(),2)-5,7)),$D39,0)</f>
        <v>2</v>
      </c>
      <c r="AP89" s="67">
        <f ca="1">IF(AND($D39&lt;&gt;0,_xlfn.XLOOKUP($B39,'TH_CMI GRADE 10'!$B$7:$B$49,'TH_CMI GRADE 10'!P$7:P$49,"",0,1)="P",
   _xlfn.XLOOKUP($B39,'TH_CMI GRADE 10'!$B$7:$B$49,'TH_CMI GRADE 10'!$AT$7:$AT$49,"",0,1)&lt;=TODAY()-MOD(WEEKDAY(TODAY(),2)-5,7)),$D39,0)</f>
        <v>2</v>
      </c>
      <c r="AQ89" s="67" t="e">
        <f ca="1">IF(AND($D39&lt;&gt;0,_xlfn.XLOOKUP($B39,'TH_CMI GRADE 10'!$B$7:$B$49,'TH_CMI GRADE 10'!Q$7:Q$49,"",0,1)="P",
   _xlfn.XLOOKUP($B39,'TH_CMI GRADE 10'!$B$7:$B$49,'TH_CMI GRADE 10'!#REF!,"",0,1)&lt;=TODAY()-MOD(WEEKDAY(TODAY(),2)-5,7)),$D39,0)</f>
        <v>#REF!</v>
      </c>
      <c r="AR89" s="67">
        <f ca="1">IF(AND($D39&lt;&gt;0,_xlfn.XLOOKUP($B39,'TH_CMI GRADE 10'!$B$7:$B$49,'TH_CMI GRADE 10'!U$7:U$49,"",0,1)="P",
   _xlfn.XLOOKUP($B39,'TH_CMI GRADE 10'!$B$7:$B$49,'TH_CMI GRADE 10'!$AS$7:$AS$49,"",0,1)&lt;=TODAY()-MOD(WEEKDAY(TODAY(),2)-5,7)),$D39,0)</f>
        <v>2</v>
      </c>
      <c r="AS89" s="67">
        <f ca="1">IF(AND($D39&lt;&gt;0,_xlfn.XLOOKUP($B39,'TH_CMI GRADE 10'!$B$7:$B$49,'TH_CMI GRADE 10'!V$7:V$49,"",0,1)="P",
   _xlfn.XLOOKUP($B39,'TH_CMI GRADE 10'!$B$7:$B$49,'TH_CMI GRADE 10'!$AT$7:$AT$49,"",0,1)&lt;=TODAY()-MOD(WEEKDAY(TODAY(),2)-5,7)),$D39,0)</f>
        <v>2</v>
      </c>
      <c r="AT89" s="67" t="e">
        <f ca="1">IF(AND($D39&lt;&gt;0,_xlfn.XLOOKUP($B39,'TH_CMI GRADE 10'!$B$7:$B$49,'TH_CMI GRADE 10'!W$7:W$49,"",0,1)="P",
   _xlfn.XLOOKUP($B39,'TH_CMI GRADE 10'!$B$7:$B$49,'TH_CMI GRADE 10'!#REF!,"",0,1)&lt;=TODAY()-MOD(WEEKDAY(TODAY(),2)-5,7)),$D39,0)</f>
        <v>#REF!</v>
      </c>
      <c r="AU89" s="67">
        <f ca="1">IF(AND($D39&lt;&gt;0,_xlfn.XLOOKUP($B39,'TH_CMI GRADE 10'!$B$7:$B$49,'TH_CMI GRADE 10'!AA$7:AA$49,"",0,1)="P",
   _xlfn.XLOOKUP($B39,'TH_CMI GRADE 10'!$B$7:$B$49,'TH_CMI GRADE 10'!$AS$7:$AS$49,"",0,1)&lt;=TODAY()-MOD(WEEKDAY(TODAY(),2)-5,7)),$D39,0)</f>
        <v>0</v>
      </c>
      <c r="AV89" s="67">
        <f ca="1">IF(AND($D39&lt;&gt;0,_xlfn.XLOOKUP($B39,'TH_CMI GRADE 10'!$B$7:$B$49,'TH_CMI GRADE 10'!AB$7:AB$49,"",0,1)="P",
   _xlfn.XLOOKUP($B39,'TH_CMI GRADE 10'!$B$7:$B$49,'TH_CMI GRADE 10'!$AT$7:$AT$49,"",0,1)&lt;=TODAY()-MOD(WEEKDAY(TODAY(),2)-5,7)),$D39,0)</f>
        <v>0</v>
      </c>
      <c r="AW89" s="67" t="e">
        <f ca="1">IF(AND($D39&lt;&gt;0,_xlfn.XLOOKUP($B39,'TH_CMI GRADE 10'!$B$7:$B$49,'TH_CMI GRADE 10'!AC$7:AC$49,"",0,1)="P",
   _xlfn.XLOOKUP($B39,'TH_CMI GRADE 10'!$B$7:$B$49,'TH_CMI GRADE 10'!#REF!,"",0,1)&lt;=TODAY()-MOD(WEEKDAY(TODAY(),2)-5,7)),$D39,0)</f>
        <v>#REF!</v>
      </c>
      <c r="AX89" s="67">
        <f ca="1">IF(AND($D39&lt;&gt;0,_xlfn.XLOOKUP($B39,'TH_CMI GRADE 10'!$B$7:$B$49,'TH_CMI GRADE 10'!AG$7:AG$49,"",0,1)="P",
   _xlfn.XLOOKUP($B39,'TH_CMI GRADE 10'!$B$7:$B$49,'TH_CMI GRADE 10'!$AS$7:$AS$49,"",0,1)&lt;=TODAY()-MOD(WEEKDAY(TODAY(),2)-5,7)),$D39,0)</f>
        <v>0</v>
      </c>
      <c r="AY89" s="67">
        <f ca="1">IF(AND($D39&lt;&gt;0,_xlfn.XLOOKUP($B39,'TH_CMI GRADE 10'!$B$7:$B$49,'TH_CMI GRADE 10'!AH$7:AH$49,"",0,1)="P",
   _xlfn.XLOOKUP($B39,'TH_CMI GRADE 10'!$B$7:$B$49,'TH_CMI GRADE 10'!$AT$7:$AT$49,"",0,1)&lt;=TODAY()-MOD(WEEKDAY(TODAY(),2)-5,7)),$D39,0)</f>
        <v>0</v>
      </c>
      <c r="AZ89" s="67" t="e">
        <f ca="1">IF(AND($D39&lt;&gt;0,_xlfn.XLOOKUP($B39,'TH_CMI GRADE 10'!$B$7:$B$49,'TH_CMI GRADE 10'!AI$7:AI$49,"",0,1)="P",
   _xlfn.XLOOKUP($B39,'TH_CMI GRADE 10'!$B$7:$B$49,'TH_CMI GRADE 10'!#REF!,"",0,1)&lt;=TODAY()-MOD(WEEKDAY(TODAY(),2)-5,7)),$D39,0)</f>
        <v>#REF!</v>
      </c>
      <c r="BA89" s="65" t="e">
        <f ca="1">IF(AND($D39&lt;&gt;0,_xlfn.XLOOKUP($B39,'PW_MLG GRADE 10'!$B$7:$B$31,'PW_MLG GRADE 10'!R$7:R$31,"",0,1)="P",
   _xlfn.XLOOKUP($B39,'PW_MLG GRADE 10'!$B$7:$B$31,'PW_MLG GRADE 10'!#REF!,"",0,1)&lt;=TODAY()-MOD(WEEKDAY(TODAY(),2)-5,7)),$D39,0)</f>
        <v>#REF!</v>
      </c>
      <c r="BB89" s="65" t="e">
        <f ca="1">IF(AND($D39&lt;&gt;0,_xlfn.XLOOKUP($B39,'PW_MLG GRADE 10'!$B$7:$B$31,'PW_MLG GRADE 10'!S$7:S$31,"",0,1)="P",
   _xlfn.XLOOKUP($B39,'PW_MLG GRADE 10'!$B$7:$B$31,'PW_MLG GRADE 10'!#REF!,"",0,1)&lt;=TODAY()-MOD(WEEKDAY(TODAY(),2)-5,7)),$D39,0)</f>
        <v>#REF!</v>
      </c>
      <c r="BC89" s="65" t="e">
        <f ca="1">IF(AND($D39&lt;&gt;0,_xlfn.XLOOKUP($B39,'PW_MLG GRADE 10'!$B$7:$B$31,'PW_MLG GRADE 10'!T$7:T$31,"",0,1)="P",
   _xlfn.XLOOKUP($B39,'PW_MLG GRADE 10'!$B$7:$B$31,'PW_MLG GRADE 10'!#REF!,"",0,1)&lt;=TODAY()-MOD(WEEKDAY(TODAY(),2)-5,7)),$D39,0)</f>
        <v>#REF!</v>
      </c>
      <c r="BD89" s="65" t="e">
        <f ca="1">IF(AND($D39&lt;&gt;0,_xlfn.XLOOKUP($B39,'PW_MLG GRADE 10'!$B$7:$B$31,'PW_MLG GRADE 10'!AA$7:AA$31,"",0,1)="P",
   _xlfn.XLOOKUP($B39,'PW_MLG GRADE 10'!$B$7:$B$31,'PW_MLG GRADE 10'!#REF!,"",0,1)&lt;=TODAY()-MOD(WEEKDAY(TODAY(),2)-5,7)),$D39,0)</f>
        <v>#REF!</v>
      </c>
      <c r="BE89" s="65" t="e">
        <f ca="1">IF(AND($D39&lt;&gt;0,_xlfn.XLOOKUP($B39,'PW_MLG GRADE 10'!$B$7:$B$31,'PW_MLG GRADE 10'!AB$7:AB$31,"",0,1)="P",
   _xlfn.XLOOKUP($B39,'PW_MLG GRADE 10'!$B$7:$B$31,'PW_MLG GRADE 10'!#REF!,"",0,1)&lt;=TODAY()-MOD(WEEKDAY(TODAY(),2)-5,7)),$D39,0)</f>
        <v>#REF!</v>
      </c>
      <c r="BF89" s="65" t="e">
        <f ca="1">IF(AND($D39&lt;&gt;0,_xlfn.XLOOKUP($B39,'PW_MLG GRADE 10'!$B$7:$B$31,'PW_MLG GRADE 10'!AC$7:AC$31,"",0,1)="P",
   _xlfn.XLOOKUP($B39,'PW_MLG GRADE 10'!$B$7:$B$31,'PW_MLG GRADE 10'!#REF!,"",0,1)&lt;=TODAY()-MOD(WEEKDAY(TODAY(),2)-5,7)),$D39,0)</f>
        <v>#REF!</v>
      </c>
      <c r="BG89" s="65" t="e">
        <f ca="1">IF(AND($D39&lt;&gt;0,_xlfn.XLOOKUP($B39,'PW_MLG GRADE 10'!$B$7:$B$31,'PW_MLG GRADE 10'!AD$7:AD$31,"",0,1)="P",
   _xlfn.XLOOKUP($B39,'PW_MLG GRADE 10'!$B$7:$B$31,'PW_MLG GRADE 10'!#REF!,"",0,1)&lt;=TODAY()-MOD(WEEKDAY(TODAY(),2)-5,7)),$D39,0)</f>
        <v>#REF!</v>
      </c>
      <c r="BH89" s="65" t="e">
        <f ca="1">IF(AND($D39&lt;&gt;0,_xlfn.XLOOKUP($B39,'PW_MLG GRADE 10'!$B$7:$B$31,'PW_MLG GRADE 10'!AE$7:AE$31,"",0,1)="P",
   _xlfn.XLOOKUP($B39,'PW_MLG GRADE 10'!$B$7:$B$31,'PW_MLG GRADE 10'!#REF!,"",0,1)&lt;=TODAY()-MOD(WEEKDAY(TODAY(),2)-5,7)),$D39,0)</f>
        <v>#REF!</v>
      </c>
      <c r="BI89" s="65" t="e">
        <f ca="1">IF(AND($D39&lt;&gt;0,_xlfn.XLOOKUP($B39,'PW_MLG GRADE 10'!$B$7:$B$31,'PW_MLG GRADE 10'!AF$7:AF$31,"",0,1)="P",
   _xlfn.XLOOKUP($B39,'PW_MLG GRADE 10'!$B$7:$B$31,'PW_MLG GRADE 10'!#REF!,"",0,1)&lt;=TODAY()-MOD(WEEKDAY(TODAY(),2)-5,7)),$D39,0)</f>
        <v>#REF!</v>
      </c>
      <c r="BJ89" s="65" t="e">
        <f ca="1">IF(AND($D39&lt;&gt;0,_xlfn.XLOOKUP($B39,'PW_MLG GRADE 10'!$B$7:$B$31,'PW_MLG GRADE 10'!AG$7:AG$31,"",0,1)="P",
   _xlfn.XLOOKUP($B39,'PW_MLG GRADE 10'!$B$7:$B$31,'PW_MLG GRADE 10'!#REF!,"",0,1)&lt;=TODAY()-MOD(WEEKDAY(TODAY(),2)-5,7)),$D39,0)</f>
        <v>#REF!</v>
      </c>
      <c r="BK89" s="65" t="e">
        <f ca="1">IF(AND($D39&lt;&gt;0,_xlfn.XLOOKUP($B39,'PW_MLG GRADE 10'!$B$7:$B$31,'PW_MLG GRADE 10'!AH$7:AH$31,"",0,1)="P",
   _xlfn.XLOOKUP($B39,'PW_MLG GRADE 10'!$B$7:$B$31,'PW_MLG GRADE 10'!#REF!,"",0,1)&lt;=TODAY()-MOD(WEEKDAY(TODAY(),2)-5,7)),$D39,0)</f>
        <v>#REF!</v>
      </c>
      <c r="BL89" s="65" t="e">
        <f ca="1">IF(AND($D39&lt;&gt;0,_xlfn.XLOOKUP($B39,'PW_MLG GRADE 10'!$B$7:$B$31,'PW_MLG GRADE 10'!AI$7:AI$31,"",0,1)="P",
   _xlfn.XLOOKUP($B39,'PW_MLG GRADE 10'!$B$7:$B$31,'PW_MLG GRADE 10'!#REF!,"",0,1)&lt;=TODAY()-MOD(WEEKDAY(TODAY(),2)-5,7)),$D39,0)</f>
        <v>#REF!</v>
      </c>
      <c r="BM89" s="65" t="e">
        <f ca="1">IF(AND($D39&lt;&gt;0,_xlfn.XLOOKUP($B39,'PW_MLG GRADE 10'!$B$7:$B$31,'PW_MLG GRADE 10'!AJ$7:AJ$31,"",0,1)="P",
   _xlfn.XLOOKUP($B39,'PW_MLG GRADE 10'!$B$7:$B$31,'PW_MLG GRADE 10'!#REF!,"",0,1)&lt;=TODAY()-MOD(WEEKDAY(TODAY(),2)-5,7)),$D39,0)</f>
        <v>#REF!</v>
      </c>
      <c r="BN89" s="65" t="e">
        <f ca="1">IF(AND($D39&lt;&gt;0,_xlfn.XLOOKUP($B39,'PW_MLG GRADE 10'!$B$7:$B$31,'PW_MLG GRADE 10'!AK$7:AK$31,"",0,1)="P",
   _xlfn.XLOOKUP($B39,'PW_MLG GRADE 10'!$B$7:$B$31,'PW_MLG GRADE 10'!#REF!,"",0,1)&lt;=TODAY()-MOD(WEEKDAY(TODAY(),2)-5,7)),$D39,0)</f>
        <v>#REF!</v>
      </c>
      <c r="BO89" s="65" t="e">
        <f ca="1">IF(AND($D39&lt;&gt;0,_xlfn.XLOOKUP($B39,'PW_MLG GRADE 10'!$B$7:$B$31,'PW_MLG GRADE 10'!AL$7:AL$31,"",0,1)="P",
   _xlfn.XLOOKUP($B39,'PW_MLG GRADE 10'!$B$7:$B$31,'PW_MLG GRADE 10'!#REF!,"",0,1)&lt;=TODAY()-MOD(WEEKDAY(TODAY(),2)-5,7)),$D39,0)</f>
        <v>#REF!</v>
      </c>
      <c r="BP89" s="65" t="e">
        <f ca="1">IF(AND($D39&lt;&gt;0,_xlfn.XLOOKUP($B39,'PW_MLG GRADE 10'!$B$7:$B$31,'PW_MLG GRADE 10'!AM$7:AM$31,"",0,1)="P",
   _xlfn.XLOOKUP($B39,'PW_MLG GRADE 10'!$B$7:$B$31,'PW_MLG GRADE 10'!#REF!,"",0,1)&lt;=TODAY()-MOD(WEEKDAY(TODAY(),2)-5,7)),$D39,0)</f>
        <v>#REF!</v>
      </c>
      <c r="BQ89" s="65" t="e">
        <f ca="1">IF(AND($D39&lt;&gt;0,_xlfn.XLOOKUP($B39,'PW_MLG GRADE 10'!$B$7:$B$31,'PW_MLG GRADE 10'!AN$7:AN$31,"",0,1)="P",
   _xlfn.XLOOKUP($B39,'PW_MLG GRADE 10'!$B$7:$B$31,'PW_MLG GRADE 10'!#REF!,"",0,1)&lt;=TODAY()-MOD(WEEKDAY(TODAY(),2)-5,7)),$D39,0)</f>
        <v>#REF!</v>
      </c>
      <c r="BR89" s="65" t="e">
        <f ca="1">IF(AND($D39&lt;&gt;0,_xlfn.XLOOKUP($B39,'PW_MLG GRADE 10'!$B$7:$B$31,'PW_MLG GRADE 10'!AO$7:AO$31,"",0,1)="P",
   _xlfn.XLOOKUP($B39,'PW_MLG GRADE 10'!$B$7:$B$31,'PW_MLG GRADE 10'!#REF!,"",0,1)&lt;=TODAY()-MOD(WEEKDAY(TODAY(),2)-5,7)),$D39,0)</f>
        <v>#REF!</v>
      </c>
      <c r="BS89" s="65" t="e">
        <f ca="1">IF(AND($D39&lt;&gt;0,_xlfn.XLOOKUP($B39,'PW_MLG GRADE 10'!$B$7:$B$31,'PW_MLG GRADE 10'!AP$7:AP$31,"",0,1)="P",
   _xlfn.XLOOKUP($B39,'PW_MLG GRADE 10'!$B$7:$B$31,'PW_MLG GRADE 10'!#REF!,"",0,1)&lt;=TODAY()-MOD(WEEKDAY(TODAY(),2)-5,7)),$D39,0)</f>
        <v>#REF!</v>
      </c>
      <c r="BT89" s="65" t="e">
        <f ca="1">IF(AND($D39&lt;&gt;0,_xlfn.XLOOKUP($B39,'PW_MLG GRADE 10'!$B$7:$B$31,'PW_MLG GRADE 10'!AQ$7:AQ$31,"",0,1)="P",
   _xlfn.XLOOKUP($B39,'PW_MLG GRADE 10'!$B$7:$B$31,'PW_MLG GRADE 10'!#REF!,"",0,1)&lt;=TODAY()-MOD(WEEKDAY(TODAY(),2)-5,7)),$D39,0)</f>
        <v>#REF!</v>
      </c>
      <c r="BU89" s="65" t="e">
        <f ca="1">IF(AND($D39&lt;&gt;0,_xlfn.XLOOKUP($B39,'PW_MLG GRADE 10'!$B$7:$B$31,'PW_MLG GRADE 10'!AR$7:AR$31,"",0,1)="P",
   _xlfn.XLOOKUP($B39,'PW_MLG GRADE 10'!$B$7:$B$31,'PW_MLG GRADE 10'!#REF!,"",0,1)&lt;=TODAY()-MOD(WEEKDAY(TODAY(),2)-5,7)),$D39,0)</f>
        <v>#REF!</v>
      </c>
      <c r="BV89" s="65" t="e">
        <f ca="1">IF(AND($D39&lt;&gt;0,_xlfn.XLOOKUP($B39,'PW_MLG GRADE 10'!$B$7:$B$31,'PW_MLG GRADE 10'!AY$7:AY$31,"",0,1)="P",
   _xlfn.XLOOKUP($B39,'PW_MLG GRADE 10'!$B$7:$B$31,'PW_MLG GRADE 10'!#REF!,"",0,1)&lt;=TODAY()-MOD(WEEKDAY(TODAY(),2)-5,7)),$D39,0)</f>
        <v>#REF!</v>
      </c>
      <c r="BW89" s="65" t="e">
        <f ca="1">IF(AND($D39&lt;&gt;0,_xlfn.XLOOKUP($B39,'PW_MLG GRADE 10'!$B$7:$B$31,'PW_MLG GRADE 10'!AZ$7:AZ$31,"",0,1)="P",
   _xlfn.XLOOKUP($B39,'PW_MLG GRADE 10'!$B$7:$B$31,'PW_MLG GRADE 10'!#REF!,"",0,1)&lt;=TODAY()-MOD(WEEKDAY(TODAY(),2)-5,7)),$D39,0)</f>
        <v>#REF!</v>
      </c>
      <c r="BX89" s="65" t="e">
        <f ca="1">IF(AND($D39&lt;&gt;0,_xlfn.XLOOKUP($B39,'PW_MLG GRADE 10'!$B$7:$B$31,'PW_MLG GRADE 10'!BA$7:BA$31,"",0,1)="P",
   _xlfn.XLOOKUP($B39,'PW_MLG GRADE 10'!$B$7:$B$31,'PW_MLG GRADE 10'!#REF!,"",0,1)&lt;=TODAY()-MOD(WEEKDAY(TODAY(),2)-5,7)),$D39,0)</f>
        <v>#REF!</v>
      </c>
      <c r="BY89" s="65" t="e">
        <f ca="1">IF(AND($D39&lt;&gt;0,_xlfn.XLOOKUP($B39,'PW_MLG GRADE 10'!$B$7:$B$31,'PW_MLG GRADE 10'!BB$7:BB$31,"",0,1)="P",
   _xlfn.XLOOKUP($B39,'PW_MLG GRADE 10'!$B$7:$B$31,'PW_MLG GRADE 10'!#REF!,"",0,1)&lt;=TODAY()-MOD(WEEKDAY(TODAY(),2)-5,7)),$D39,0)</f>
        <v>#REF!</v>
      </c>
      <c r="BZ89" s="65" t="e">
        <f ca="1">IF(AND($D39&lt;&gt;0,_xlfn.XLOOKUP($B39,'PW_MLG GRADE 10'!$B$7:$B$31,'PW_MLG GRADE 10'!BC$7:BC$31,"",0,1)="P",
   _xlfn.XLOOKUP($B39,'PW_MLG GRADE 10'!$B$7:$B$31,'PW_MLG GRADE 10'!#REF!,"",0,1)&lt;=TODAY()-MOD(WEEKDAY(TODAY(),2)-5,7)),$D39,0)</f>
        <v>#REF!</v>
      </c>
      <c r="CA89" s="65" t="e">
        <f ca="1">IF(AND($D39&lt;&gt;0,_xlfn.XLOOKUP($B39,'PW_MLG GRADE 10'!$B$7:$B$31,'PW_MLG GRADE 10'!BD$7:BD$31,"",0,1)="P",
   _xlfn.XLOOKUP($B39,'PW_MLG GRADE 10'!$B$7:$B$31,'PW_MLG GRADE 10'!#REF!,"",0,1)&lt;=TODAY()-MOD(WEEKDAY(TODAY(),2)-5,7)),$D39,0)</f>
        <v>#REF!</v>
      </c>
      <c r="CB89" s="65" t="e">
        <f ca="1">IF(AND($D39&lt;&gt;0,_xlfn.XLOOKUP($B39,'PW_MLG GRADE 10'!$B$7:$B$31,'PW_MLG GRADE 10'!BE$7:BE$31,"",0,1)="P",
   _xlfn.XLOOKUP($B39,'PW_MLG GRADE 10'!$B$7:$B$31,'PW_MLG GRADE 10'!#REF!,"",0,1)&lt;=TODAY()-MOD(WEEKDAY(TODAY(),2)-5,7)),$D39,0)</f>
        <v>#REF!</v>
      </c>
      <c r="CC89" s="65" t="e">
        <f ca="1">IF(AND($D39&lt;&gt;0,_xlfn.XLOOKUP($B39,'PW_MLG GRADE 10'!$B$7:$B$31,'PW_MLG GRADE 10'!BF$7:BF$31,"",0,1)="P",
   _xlfn.XLOOKUP($B39,'PW_MLG GRADE 10'!$B$7:$B$31,'PW_MLG GRADE 10'!#REF!,"",0,1)&lt;=TODAY()-MOD(WEEKDAY(TODAY(),2)-5,7)),$D39,0)</f>
        <v>#REF!</v>
      </c>
      <c r="CD89" s="65" t="e">
        <f ca="1">IF(AND($D39&lt;&gt;0,_xlfn.XLOOKUP($B39,'PW_MLG GRADE 10'!$B$7:$B$31,'PW_MLG GRADE 10'!BG$7:BG$31,"",0,1)="P",
   _xlfn.XLOOKUP($B39,'PW_MLG GRADE 10'!$B$7:$B$31,'PW_MLG GRADE 10'!#REF!,"",0,1)&lt;=TODAY()-MOD(WEEKDAY(TODAY(),2)-5,7)),$D39,0)</f>
        <v>#REF!</v>
      </c>
      <c r="CE89" s="67">
        <f ca="1">IF(AND($D39&lt;&gt;0,_xlfn.XLOOKUP($B39,'PW_CMI GRADE 10'!$B$7:$B$31,'PW_CMI GRADE 10'!AY$7:AY$31,"",0,1)="P",
   _xlfn.XLOOKUP($B39,'PW_CMI GRADE 10'!$B$7:$B$31,'PW_CMI GRADE 10'!$U$7:$U$31,"",0,1)&lt;=TODAY()-MOD(WEEKDAY(TODAY(),2)-5,7)),$D39,0)</f>
        <v>0</v>
      </c>
      <c r="CF89" s="67">
        <f ca="1">IF(AND($D39&lt;&gt;0,_xlfn.XLOOKUP($B39,'PW_CMI GRADE 10'!$B$7:$B$31,'PW_CMI GRADE 10'!AZ$7:AZ$31,"",0,1)="P",
   _xlfn.XLOOKUP($B39,'PW_CMI GRADE 10'!$B$7:$B$31,'PW_CMI GRADE 10'!$V$7:$V$31,"",0,1)&lt;=TODAY()-MOD(WEEKDAY(TODAY(),2)-5,7)),$D39,0)</f>
        <v>0</v>
      </c>
      <c r="CG89" s="67">
        <f ca="1">IF(AND($D39&lt;&gt;0,_xlfn.XLOOKUP($B39,'PW_CMI GRADE 10'!$B$7:$B$31,'PW_CMI GRADE 10'!BA$7:BA$31,"",0,1)="P",
   _xlfn.XLOOKUP($B39,'PW_CMI GRADE 10'!$B$7:$B$31,'PW_CMI GRADE 10'!$W$7:$W$31,"",0,1)&lt;=TODAY()-MOD(WEEKDAY(TODAY(),2)-5,7)),$D39,0)</f>
        <v>0</v>
      </c>
      <c r="CH89" s="67">
        <f ca="1">IF(AND($D39&lt;&gt;0,_xlfn.XLOOKUP($B39,'PW_CMI GRADE 10'!$B$7:$B$31,'PW_CMI GRADE 10'!BB$7:BB$31,"",0,1)="P",
   _xlfn.XLOOKUP($B39,'PW_CMI GRADE 10'!$B$7:$B$31,'PW_CMI GRADE 10'!$U$7:$U$31,"",0,1)&lt;=TODAY()-MOD(WEEKDAY(TODAY(),2)-5,7)),$D39,0)</f>
        <v>0</v>
      </c>
      <c r="CI89" s="67">
        <f ca="1">IF(AND($D39&lt;&gt;0,_xlfn.XLOOKUP($B39,'PW_CMI GRADE 10'!$B$7:$B$31,'PW_CMI GRADE 10'!BC$7:BC$31,"",0,1)="P",
   _xlfn.XLOOKUP($B39,'PW_CMI GRADE 10'!$B$7:$B$31,'PW_CMI GRADE 10'!$V$7:$V$31,"",0,1)&lt;=TODAY()-MOD(WEEKDAY(TODAY(),2)-5,7)),$D39,0)</f>
        <v>0</v>
      </c>
      <c r="CJ89" s="67">
        <f ca="1">IF(AND($D39&lt;&gt;0,_xlfn.XLOOKUP($B39,'PW_CMI GRADE 10'!$B$7:$B$31,'PW_CMI GRADE 10'!BD$7:BD$31,"",0,1)="P",
   _xlfn.XLOOKUP($B39,'PW_CMI GRADE 10'!$B$7:$B$31,'PW_CMI GRADE 10'!$W$7:$W$31,"",0,1)&lt;=TODAY()-MOD(WEEKDAY(TODAY(),2)-5,7)),$D39,0)</f>
        <v>0</v>
      </c>
      <c r="CK89" s="67">
        <f ca="1">IF(AND($D39&lt;&gt;0,_xlfn.XLOOKUP($B39,'PW_CMI GRADE 10'!$B$7:$B$31,'PW_CMI GRADE 10'!BE$7:BE$31,"",0,1)="P",
   _xlfn.XLOOKUP($B39,'PW_CMI GRADE 10'!$B$7:$B$31,'PW_CMI GRADE 10'!$U$7:$U$31,"",0,1)&lt;=TODAY()-MOD(WEEKDAY(TODAY(),2)-5,7)),$D39,0)</f>
        <v>0</v>
      </c>
      <c r="CL89" s="67">
        <f ca="1">IF(AND($D39&lt;&gt;0,_xlfn.XLOOKUP($B39,'PW_CMI GRADE 10'!$B$7:$B$31,'PW_CMI GRADE 10'!BF$7:BF$31,"",0,1)="P",
   _xlfn.XLOOKUP($B39,'PW_CMI GRADE 10'!$B$7:$B$31,'PW_CMI GRADE 10'!$V$7:$V$31,"",0,1)&lt;=TODAY()-MOD(WEEKDAY(TODAY(),2)-5,7)),$D39,0)</f>
        <v>0</v>
      </c>
      <c r="CM89" s="67">
        <f ca="1">IF(AND($D39&lt;&gt;0,_xlfn.XLOOKUP($B39,'PW_CMI GRADE 10'!$B$7:$B$31,'PW_CMI GRADE 10'!BG$7:BG$31,"",0,1)="P",
   _xlfn.XLOOKUP($B39,'PW_CMI GRADE 10'!$B$7:$B$31,'PW_CMI GRADE 10'!$W$7:$W$31,"",0,1)&lt;=TODAY()-MOD(WEEKDAY(TODAY(),2)-5,7)),$D39,0)</f>
        <v>0</v>
      </c>
      <c r="CN89" s="67">
        <f ca="1">IF(AND($D39&lt;&gt;0,_xlfn.XLOOKUP($B39,'PW_CMI GRADE 10'!$B$7:$B$31,'PW_CMI GRADE 10'!BH$7:BH$31,"",0,1)="P",
   _xlfn.XLOOKUP($B39,'PW_CMI GRADE 10'!$B$7:$B$31,'PW_CMI GRADE 10'!$U$7:$U$31,"",0,1)&lt;=TODAY()-MOD(WEEKDAY(TODAY(),2)-5,7)),$D39,0)</f>
        <v>0</v>
      </c>
      <c r="CO89" s="67">
        <f ca="1">IF(AND($D39&lt;&gt;0,_xlfn.XLOOKUP($B39,'PW_CMI GRADE 10'!$B$7:$B$31,'PW_CMI GRADE 10'!BI$7:BI$31,"",0,1)="P",
   _xlfn.XLOOKUP($B39,'PW_CMI GRADE 10'!$B$7:$B$31,'PW_CMI GRADE 10'!$V$7:$V$31,"",0,1)&lt;=TODAY()-MOD(WEEKDAY(TODAY(),2)-5,7)),$D39,0)</f>
        <v>0</v>
      </c>
      <c r="CP89" s="67">
        <f ca="1">IF(AND($D39&lt;&gt;0,_xlfn.XLOOKUP($B39,'PW_CMI GRADE 10'!$B$7:$B$31,'PW_CMI GRADE 10'!BJ$7:BJ$31,"",0,1)="P",
   _xlfn.XLOOKUP($B39,'PW_CMI GRADE 10'!$B$7:$B$31,'PW_CMI GRADE 10'!$W$7:$W$31,"",0,1)&lt;=TODAY()-MOD(WEEKDAY(TODAY(),2)-5,7)),$D39,0)</f>
        <v>0</v>
      </c>
      <c r="CQ89" s="67">
        <f ca="1">IF(AND($D39&lt;&gt;0,_xlfn.XLOOKUP($B39,'PW_CMI GRADE 10'!$B$7:$B$31,'PW_CMI GRADE 10'!BK$7:BK$31,"",0,1)="P",
   _xlfn.XLOOKUP($B39,'PW_CMI GRADE 10'!$B$7:$B$31,'PW_CMI GRADE 10'!$U$7:$U$31,"",0,1)&lt;=TODAY()-MOD(WEEKDAY(TODAY(),2)-5,7)),$D39,0)</f>
        <v>0</v>
      </c>
      <c r="CR89" s="67">
        <f ca="1">IF(AND($D39&lt;&gt;0,_xlfn.XLOOKUP($B39,'PW_CMI GRADE 10'!$B$7:$B$31,'PW_CMI GRADE 10'!BL$7:BL$31,"",0,1)="P",
   _xlfn.XLOOKUP($B39,'PW_CMI GRADE 10'!$B$7:$B$31,'PW_CMI GRADE 10'!$V$7:$V$31,"",0,1)&lt;=TODAY()-MOD(WEEKDAY(TODAY(),2)-5,7)),$D39,0)</f>
        <v>0</v>
      </c>
      <c r="CS89" s="67">
        <f ca="1">IF(AND($D39&lt;&gt;0,_xlfn.XLOOKUP($B39,'PW_CMI GRADE 10'!$B$7:$B$31,'PW_CMI GRADE 10'!BM$7:BM$31,"",0,1)="P",
   _xlfn.XLOOKUP($B39,'PW_CMI GRADE 10'!$B$7:$B$31,'PW_CMI GRADE 10'!$W$7:$W$31,"",0,1)&lt;=TODAY()-MOD(WEEKDAY(TODAY(),2)-5,7)),$D39,0)</f>
        <v>0</v>
      </c>
      <c r="CT89" s="67">
        <f ca="1">IF(AND($D39&lt;&gt;0,_xlfn.XLOOKUP($B39,'PW_CMI GRADE 10'!$B$7:$B$31,'PW_CMI GRADE 10'!BN$7:BN$31,"",0,1)="P",
   _xlfn.XLOOKUP($B39,'PW_CMI GRADE 10'!$B$7:$B$31,'PW_CMI GRADE 10'!$U$7:$U$31,"",0,1)&lt;=TODAY()-MOD(WEEKDAY(TODAY(),2)-5,7)),$D39,0)</f>
        <v>0</v>
      </c>
      <c r="CU89" s="67">
        <f ca="1">IF(AND($D39&lt;&gt;0,_xlfn.XLOOKUP($B39,'PW_CMI GRADE 10'!$B$7:$B$31,'PW_CMI GRADE 10'!BO$7:BO$31,"",0,1)="P",
   _xlfn.XLOOKUP($B39,'PW_CMI GRADE 10'!$B$7:$B$31,'PW_CMI GRADE 10'!$V$7:$V$31,"",0,1)&lt;=TODAY()-MOD(WEEKDAY(TODAY(),2)-5,7)),$D39,0)</f>
        <v>0</v>
      </c>
      <c r="CV89" s="67">
        <f ca="1">IF(AND($D39&lt;&gt;0,_xlfn.XLOOKUP($B39,'PW_CMI GRADE 10'!$B$7:$B$31,'PW_CMI GRADE 10'!BP$7:BP$31,"",0,1)="P",
   _xlfn.XLOOKUP($B39,'PW_CMI GRADE 10'!$B$7:$B$31,'PW_CMI GRADE 10'!$W$7:$W$31,"",0,1)&lt;=TODAY()-MOD(WEEKDAY(TODAY(),2)-5,7)),$D39,0)</f>
        <v>0</v>
      </c>
      <c r="CW89" s="62" t="e">
        <f t="shared" ca="1" si="132"/>
        <v>#REF!</v>
      </c>
      <c r="CX89" s="62" t="e">
        <f t="shared" ca="1" si="69"/>
        <v>#REF!</v>
      </c>
      <c r="CY89" s="62" t="e">
        <f t="shared" ca="1" si="70"/>
        <v>#REF!</v>
      </c>
      <c r="CZ89" s="62" t="e">
        <f t="shared" ca="1" si="71"/>
        <v>#REF!</v>
      </c>
      <c r="DA89" s="62" t="e">
        <f t="shared" ca="1" si="72"/>
        <v>#REF!</v>
      </c>
      <c r="DB89" s="62" t="e">
        <f t="shared" ca="1" si="73"/>
        <v>#REF!</v>
      </c>
      <c r="DC89" s="62" t="e">
        <f t="shared" ca="1" si="74"/>
        <v>#REF!</v>
      </c>
      <c r="DD89" s="62" t="e">
        <f t="shared" ca="1" si="75"/>
        <v>#REF!</v>
      </c>
      <c r="DE89" s="62" t="e">
        <f t="shared" ca="1" si="76"/>
        <v>#REF!</v>
      </c>
      <c r="DF89" s="62" t="e">
        <f t="shared" ca="1" si="77"/>
        <v>#REF!</v>
      </c>
      <c r="DG89" s="62" t="e">
        <f t="shared" ca="1" si="78"/>
        <v>#REF!</v>
      </c>
      <c r="DH89" s="62" t="e">
        <f t="shared" ca="1" si="79"/>
        <v>#REF!</v>
      </c>
      <c r="DI89" s="62" t="e">
        <f t="shared" ca="1" si="80"/>
        <v>#REF!</v>
      </c>
      <c r="DJ89" s="62" t="e">
        <f t="shared" ca="1" si="81"/>
        <v>#REF!</v>
      </c>
      <c r="DK89" s="62" t="e">
        <f t="shared" ca="1" si="82"/>
        <v>#REF!</v>
      </c>
      <c r="DL89" s="62" t="e">
        <f t="shared" ca="1" si="83"/>
        <v>#REF!</v>
      </c>
      <c r="DM89" s="62" t="e">
        <f t="shared" ca="1" si="84"/>
        <v>#REF!</v>
      </c>
      <c r="DN89" s="62" t="e">
        <f t="shared" ca="1" si="85"/>
        <v>#REF!</v>
      </c>
      <c r="DO89" s="62" t="e">
        <f t="shared" ca="1" si="86"/>
        <v>#REF!</v>
      </c>
      <c r="DP89" s="62" t="e">
        <f t="shared" ca="1" si="87"/>
        <v>#REF!</v>
      </c>
      <c r="DQ89" s="62" t="e">
        <f t="shared" ca="1" si="88"/>
        <v>#REF!</v>
      </c>
      <c r="DR89" s="62" t="e">
        <f t="shared" ca="1" si="89"/>
        <v>#REF!</v>
      </c>
      <c r="DS89" s="62" t="e">
        <f t="shared" ca="1" si="90"/>
        <v>#REF!</v>
      </c>
      <c r="DT89" s="62" t="e">
        <f t="shared" ca="1" si="91"/>
        <v>#REF!</v>
      </c>
      <c r="DU89" s="62" t="e">
        <f t="shared" ca="1" si="92"/>
        <v>#REF!</v>
      </c>
      <c r="DV89" s="62" t="e">
        <f t="shared" ca="1" si="93"/>
        <v>#REF!</v>
      </c>
      <c r="DW89" s="62" t="e">
        <f t="shared" ca="1" si="94"/>
        <v>#REF!</v>
      </c>
      <c r="DX89" s="62" t="e">
        <f t="shared" ca="1" si="95"/>
        <v>#REF!</v>
      </c>
      <c r="DY89" s="62" t="e">
        <f t="shared" ca="1" si="96"/>
        <v>#REF!</v>
      </c>
      <c r="DZ89" s="62" t="e">
        <f t="shared" ca="1" si="97"/>
        <v>#REF!</v>
      </c>
      <c r="EA89" s="63" t="e">
        <f t="shared" ca="1" si="98"/>
        <v>#REF!</v>
      </c>
      <c r="EB89" s="63" t="e">
        <f t="shared" ca="1" si="99"/>
        <v>#REF!</v>
      </c>
      <c r="EC89" s="63" t="e">
        <f t="shared" ca="1" si="100"/>
        <v>#REF!</v>
      </c>
      <c r="ED89" s="63" t="e">
        <f t="shared" ca="1" si="101"/>
        <v>#REF!</v>
      </c>
      <c r="EE89" s="63" t="e">
        <f t="shared" ca="1" si="102"/>
        <v>#REF!</v>
      </c>
      <c r="EF89" s="63" t="e">
        <f t="shared" ca="1" si="103"/>
        <v>#REF!</v>
      </c>
      <c r="EG89" s="63" t="e">
        <f t="shared" ca="1" si="104"/>
        <v>#REF!</v>
      </c>
      <c r="EH89" s="63" t="e">
        <f t="shared" ca="1" si="105"/>
        <v>#REF!</v>
      </c>
      <c r="EI89" s="63" t="e">
        <f t="shared" ca="1" si="106"/>
        <v>#REF!</v>
      </c>
      <c r="EJ89" s="63" t="e">
        <f t="shared" ca="1" si="107"/>
        <v>#REF!</v>
      </c>
      <c r="EK89" s="63" t="e">
        <f t="shared" ca="1" si="108"/>
        <v>#REF!</v>
      </c>
      <c r="EL89" s="63" t="e">
        <f t="shared" ca="1" si="109"/>
        <v>#REF!</v>
      </c>
      <c r="EM89" s="63" t="e">
        <f t="shared" ca="1" si="110"/>
        <v>#REF!</v>
      </c>
      <c r="EN89" s="63" t="e">
        <f t="shared" ca="1" si="111"/>
        <v>#REF!</v>
      </c>
      <c r="EO89" s="63" t="e">
        <f t="shared" ca="1" si="112"/>
        <v>#REF!</v>
      </c>
      <c r="EP89" s="63" t="e">
        <f t="shared" ca="1" si="113"/>
        <v>#REF!</v>
      </c>
    </row>
    <row r="90" spans="1:146">
      <c r="A90" s="64" t="str">
        <f t="shared" si="131"/>
        <v>6A.2</v>
      </c>
      <c r="B90" s="64" t="s">
        <v>71</v>
      </c>
      <c r="C90" s="30">
        <v>0</v>
      </c>
      <c r="D90" s="30">
        <v>1</v>
      </c>
      <c r="E90" s="65">
        <f ca="1">IF(AND($D40&lt;&gt;0,_xlfn.XLOOKUP($B40,'TH_MLG GRADE 10'!$B$7:$B$49,'TH_MLG GRADE 10'!C$7:C$49,"",0,1)="P",
   _xlfn.XLOOKUP($B40,'TH_MLG GRADE 10'!$B$7:$B$49,'TH_MLG GRADE 10'!$BK$7:$BK$49,"",0,1)&lt;=TODAY()-MOD(WEEKDAY(TODAY(),2)-5,7)),$D40,0)</f>
        <v>1</v>
      </c>
      <c r="F90" s="65">
        <f ca="1">IF(AND($D40&lt;&gt;0,_xlfn.XLOOKUP($B40,'TH_MLG GRADE 10'!$B$7:$B$49,'TH_MLG GRADE 10'!D$7:D$49,"",0,1)="P",
   _xlfn.XLOOKUP($B40,'TH_MLG GRADE 10'!$B$7:$B$49,'TH_MLG GRADE 10'!$BL$7:$BL$49,"",0,1)&lt;=TODAY()-MOD(WEEKDAY(TODAY(),2)-5,7)),$D40,0)</f>
        <v>1</v>
      </c>
      <c r="G90" s="65">
        <f ca="1">IF(AND($D40&lt;&gt;0,_xlfn.XLOOKUP($B40,'TH_MLG GRADE 10'!$B$7:$B$49,'TH_MLG GRADE 10'!E$7:E$49,"",0,1)="P",
   _xlfn.XLOOKUP($B40,'TH_MLG GRADE 10'!$B$7:$B$49,'TH_MLG GRADE 10'!$BM$7:$BM$49,"",0,1)&lt;=TODAY()-MOD(WEEKDAY(TODAY(),2)-5,7)),$D40,0)</f>
        <v>0</v>
      </c>
      <c r="H90" s="65">
        <f ca="1">IF(AND($D40&lt;&gt;0,_xlfn.XLOOKUP($B40,'TH_MLG GRADE 10'!$B$7:$B$49,'TH_MLG GRADE 10'!I$7:I$49,"",0,1)="P",
   _xlfn.XLOOKUP($B40,'TH_MLG GRADE 10'!$B$7:$B$49,'TH_MLG GRADE 10'!$BK$7:$BK$49,"",0,1)&lt;=TODAY()-MOD(WEEKDAY(TODAY(),2)-5,7)),$D40,0)</f>
        <v>1</v>
      </c>
      <c r="I90" s="65">
        <f ca="1">IF(AND($D40&lt;&gt;0,_xlfn.XLOOKUP($B40,'TH_MLG GRADE 10'!$B$7:$B$49,'TH_MLG GRADE 10'!J$7:J$49,"",0,1)="P",
   _xlfn.XLOOKUP($B40,'TH_MLG GRADE 10'!$B$7:$B$49,'TH_MLG GRADE 10'!$BL$7:$BL$49,"",0,1)&lt;=TODAY()-MOD(WEEKDAY(TODAY(),2)-5,7)),$D40,0)</f>
        <v>1</v>
      </c>
      <c r="J90" s="65">
        <f ca="1">IF(AND($D40&lt;&gt;0,_xlfn.XLOOKUP($B40,'TH_MLG GRADE 10'!$B$7:$B$49,'TH_MLG GRADE 10'!K$7:K$49,"",0,1)="P",
   _xlfn.XLOOKUP($B40,'TH_MLG GRADE 10'!$B$7:$B$49,'TH_MLG GRADE 10'!$BM$7:$BM$49,"",0,1)&lt;=TODAY()-MOD(WEEKDAY(TODAY(),2)-5,7)),$D40,0)</f>
        <v>1</v>
      </c>
      <c r="K90" s="65">
        <f ca="1">IF(AND($D40&lt;&gt;0,_xlfn.XLOOKUP($B40,'TH_MLG GRADE 10'!$B$7:$B$49,'TH_MLG GRADE 10'!O$7:O$49,"",0,1)="P",
   _xlfn.XLOOKUP($B40,'TH_MLG GRADE 10'!$B$7:$B$49,'TH_MLG GRADE 10'!$BK$7:$BK$49,"",0,1)&lt;=TODAY()-MOD(WEEKDAY(TODAY(),2)-5,7)),$D40,0)</f>
        <v>0</v>
      </c>
      <c r="L90" s="65">
        <f ca="1">IF(AND($D40&lt;&gt;0,_xlfn.XLOOKUP($B40,'TH_MLG GRADE 10'!$B$7:$B$49,'TH_MLG GRADE 10'!P$7:P$49,"",0,1)="P",
   _xlfn.XLOOKUP($B40,'TH_MLG GRADE 10'!$B$7:$B$49,'TH_MLG GRADE 10'!$BL$7:$BL$49,"",0,1)&lt;=TODAY()-MOD(WEEKDAY(TODAY(),2)-5,7)),$D40,0)</f>
        <v>0</v>
      </c>
      <c r="M90" s="65">
        <f ca="1">IF(AND($D40&lt;&gt;0,_xlfn.XLOOKUP($B40,'TH_MLG GRADE 10'!$B$7:$B$49,'TH_MLG GRADE 10'!Q$7:Q$49,"",0,1)="P",
   _xlfn.XLOOKUP($B40,'TH_MLG GRADE 10'!$B$7:$B$49,'TH_MLG GRADE 10'!$BM$7:$BM$49,"",0,1)&lt;=TODAY()-MOD(WEEKDAY(TODAY(),2)-5,7)),$D40,0)</f>
        <v>0</v>
      </c>
      <c r="N90" s="65">
        <f ca="1">IF(AND($D40&lt;&gt;0,_xlfn.XLOOKUP($B40,'TH_MLG GRADE 10'!$B$7:$B$49,'TH_MLG GRADE 10'!AA$7:AA$49,"",0,1)="P",
   _xlfn.XLOOKUP($B40,'TH_MLG GRADE 10'!$B$7:$B$49,'TH_MLG GRADE 10'!$BK$7:$BK$49,"",0,1)&lt;=TODAY()-MOD(WEEKDAY(TODAY(),2)-5,7)),$D40,0)</f>
        <v>0</v>
      </c>
      <c r="O90" s="65">
        <f ca="1">IF(AND($D40&lt;&gt;0,_xlfn.XLOOKUP($B40,'TH_MLG GRADE 10'!$B$7:$B$49,'TH_MLG GRADE 10'!AB$7:AB$49,"",0,1)="P",
   _xlfn.XLOOKUP($B40,'TH_MLG GRADE 10'!$B$7:$B$49,'TH_MLG GRADE 10'!$BL$7:$BL$49,"",0,1)&lt;=TODAY()-MOD(WEEKDAY(TODAY(),2)-5,7)),$D40,0)</f>
        <v>0</v>
      </c>
      <c r="P90" s="65">
        <f ca="1">IF(AND($D40&lt;&gt;0,_xlfn.XLOOKUP($B40,'TH_MLG GRADE 10'!$B$7:$B$49,'TH_MLG GRADE 10'!AC$7:AC$49,"",0,1)="P",
   _xlfn.XLOOKUP($B40,'TH_MLG GRADE 10'!$B$7:$B$49,'TH_MLG GRADE 10'!$BM$7:$BM$49,"",0,1)&lt;=TODAY()-MOD(WEEKDAY(TODAY(),2)-5,7)),$D40,0)</f>
        <v>0</v>
      </c>
      <c r="Q90" s="65">
        <f ca="1">IF(AND($D40&lt;&gt;0,_xlfn.XLOOKUP($B40,'TH_MLG GRADE 10'!$B$7:$B$49,'TH_MLG GRADE 10'!AG$7:AG$49,"",0,1)="P",
   _xlfn.XLOOKUP($B40,'TH_MLG GRADE 10'!$B$7:$B$49,'TH_MLG GRADE 10'!$BK$7:$BK$49,"",0,1)&lt;=TODAY()-MOD(WEEKDAY(TODAY(),2)-5,7)),$D40,0)</f>
        <v>0</v>
      </c>
      <c r="R90" s="65">
        <f ca="1">IF(AND($D40&lt;&gt;0,_xlfn.XLOOKUP($B40,'TH_MLG GRADE 10'!$B$7:$B$49,'TH_MLG GRADE 10'!AH$7:AH$49,"",0,1)="P",
   _xlfn.XLOOKUP($B40,'TH_MLG GRADE 10'!$B$7:$B$49,'TH_MLG GRADE 10'!$BL$7:$BL$49,"",0,1)&lt;=TODAY()-MOD(WEEKDAY(TODAY(),2)-5,7)),$D40,0)</f>
        <v>0</v>
      </c>
      <c r="S90" s="65">
        <f ca="1">IF(AND($D40&lt;&gt;0,_xlfn.XLOOKUP($B40,'TH_MLG GRADE 10'!$B$7:$B$49,'TH_MLG GRADE 10'!AI$7:AI$49,"",0,1)="P",
   _xlfn.XLOOKUP($B40,'TH_MLG GRADE 10'!$B$7:$B$49,'TH_MLG GRADE 10'!$BM$7:$BM$49,"",0,1)&lt;=TODAY()-MOD(WEEKDAY(TODAY(),2)-5,7)),$D40,0)</f>
        <v>0</v>
      </c>
      <c r="T90" s="65">
        <f ca="1">IF(AND($D40&lt;&gt;0,_xlfn.XLOOKUP($B40,'TH_MLG GRADE 10'!$B$7:$B$49,'TH_MLG GRADE 10'!AM$7:AM$49,"",0,1)="P",
   _xlfn.XLOOKUP($B40,'TH_MLG GRADE 10'!$B$7:$B$49,'TH_MLG GRADE 10'!$BK$7:$BK$49,"",0,1)&lt;=TODAY()-MOD(WEEKDAY(TODAY(),2)-5,7)),$D40,0)</f>
        <v>0</v>
      </c>
      <c r="U90" s="65">
        <f ca="1">IF(AND($D40&lt;&gt;0,_xlfn.XLOOKUP($B40,'TH_MLG GRADE 10'!$B$7:$B$49,'TH_MLG GRADE 10'!AN$7:AN$49,"",0,1)="P",
   _xlfn.XLOOKUP($B40,'TH_MLG GRADE 10'!$B$7:$B$49,'TH_MLG GRADE 10'!$BL$7:$BL$49,"",0,1)&lt;=TODAY()-MOD(WEEKDAY(TODAY(),2)-5,7)),$D40,0)</f>
        <v>0</v>
      </c>
      <c r="V90" s="65">
        <f ca="1">IF(AND($D40&lt;&gt;0,_xlfn.XLOOKUP($B40,'TH_MLG GRADE 10'!$B$7:$B$49,'TH_MLG GRADE 10'!AO$7:AO$49,"",0,1)="P",
   _xlfn.XLOOKUP($B40,'TH_MLG GRADE 10'!$B$7:$B$49,'TH_MLG GRADE 10'!$BM$7:$BM$49,"",0,1)&lt;=TODAY()-MOD(WEEKDAY(TODAY(),2)-5,7)),$D40,0)</f>
        <v>0</v>
      </c>
      <c r="W90" s="65">
        <f ca="1">IF(AND($D40&lt;&gt;0,_xlfn.XLOOKUP($B40,'TH_MLG GRADE 10'!$B$7:$B$49,'TH_MLG GRADE 10'!AY$7:AY$49,"",0,1)="P",
   _xlfn.XLOOKUP($B40,'TH_MLG GRADE 10'!$B$7:$B$49,'TH_MLG GRADE 10'!$BK$7:$BK$49,"",0,1)&lt;=TODAY()-MOD(WEEKDAY(TODAY(),2)-5,7)),$D40,0)</f>
        <v>0</v>
      </c>
      <c r="X90" s="65">
        <f ca="1">IF(AND($D40&lt;&gt;0,_xlfn.XLOOKUP($B40,'TH_MLG GRADE 10'!$B$7:$B$49,'TH_MLG GRADE 10'!AZ$7:AZ$49,"",0,1)="P",
   _xlfn.XLOOKUP($B40,'TH_MLG GRADE 10'!$B$7:$B$49,'TH_MLG GRADE 10'!$BL$7:$BL$49,"",0,1)&lt;=TODAY()-MOD(WEEKDAY(TODAY(),2)-5,7)),$D40,0)</f>
        <v>0</v>
      </c>
      <c r="Y90" s="65">
        <f ca="1">IF(AND($D40&lt;&gt;0,_xlfn.XLOOKUP($B40,'TH_MLG GRADE 10'!$B$7:$B$49,'TH_MLG GRADE 10'!BA$7:BA$49,"",0,1)="P",
   _xlfn.XLOOKUP($B40,'TH_MLG GRADE 10'!$B$7:$B$49,'TH_MLG GRADE 10'!$BM$7:$BM$49,"",0,1)&lt;=TODAY()-MOD(WEEKDAY(TODAY(),2)-5,7)),$D40,0)</f>
        <v>0</v>
      </c>
      <c r="Z90" s="65">
        <f ca="1">IF(AND($D40&lt;&gt;0,_xlfn.XLOOKUP($B40,'TH_MLG GRADE 10'!$B$7:$B$49,'TH_MLG GRADE 10'!BE$7:BE$49,"",0,1)="P",
   _xlfn.XLOOKUP($B40,'TH_MLG GRADE 10'!$B$7:$B$49,'TH_MLG GRADE 10'!$BK$7:$BK$49,"",0,1)&lt;=TODAY()-MOD(WEEKDAY(TODAY(),2)-5,7)),$D40,0)</f>
        <v>0</v>
      </c>
      <c r="AA90" s="65">
        <f ca="1">IF(AND($D40&lt;&gt;0,_xlfn.XLOOKUP($B40,'TH_MLG GRADE 10'!$B$7:$B$49,'TH_MLG GRADE 10'!BF$7:BF$49,"",0,1)="P",
   _xlfn.XLOOKUP($B40,'TH_MLG GRADE 10'!$B$7:$B$49,'TH_MLG GRADE 10'!$BL$7:$BL$49,"",0,1)&lt;=TODAY()-MOD(WEEKDAY(TODAY(),2)-5,7)),$D40,0)</f>
        <v>0</v>
      </c>
      <c r="AB90" s="65">
        <f ca="1">IF(AND($D40&lt;&gt;0,_xlfn.XLOOKUP($B40,'TH_MLG GRADE 10'!$B$7:$B$49,'TH_MLG GRADE 10'!BG$7:BG$49,"",0,1)="P",
   _xlfn.XLOOKUP($B40,'TH_MLG GRADE 10'!$B$7:$B$49,'TH_MLG GRADE 10'!$BM$7:$BM$49,"",0,1)&lt;=TODAY()-MOD(WEEKDAY(TODAY(),2)-5,7)),$D40,0)</f>
        <v>0</v>
      </c>
      <c r="AC90" s="65" t="e">
        <f ca="1">IF(AND($D40&lt;&gt;0,_xlfn.XLOOKUP($B40,'TH_MLG GRADE 10'!$B$7:$B$49,'TH_MLG GRADE 10'!#REF!,"",0,1)="P",
   _xlfn.XLOOKUP($B40,'TH_MLG GRADE 10'!$B$7:$B$49,'TH_MLG GRADE 10'!$BK$7:$BK$49,"",0,1)&lt;=TODAY()-MOD(WEEKDAY(TODAY(),2)-5,7)),$D40,0)</f>
        <v>#REF!</v>
      </c>
      <c r="AD90" s="65" t="e">
        <f ca="1">IF(AND($D40&lt;&gt;0,_xlfn.XLOOKUP($B40,'TH_MLG GRADE 10'!$B$7:$B$49,'TH_MLG GRADE 10'!#REF!,"",0,1)="P",
   _xlfn.XLOOKUP($B40,'TH_MLG GRADE 10'!$B$7:$B$49,'TH_MLG GRADE 10'!$BL$7:$BL$49,"",0,1)&lt;=TODAY()-MOD(WEEKDAY(TODAY(),2)-5,7)),$D40,0)</f>
        <v>#REF!</v>
      </c>
      <c r="AE90" s="65" t="e">
        <f ca="1">IF(AND($D40&lt;&gt;0,_xlfn.XLOOKUP($B40,'TH_MLG GRADE 10'!$B$7:$B$49,'TH_MLG GRADE 10'!#REF!,"",0,1)="P",
   _xlfn.XLOOKUP($B40,'TH_MLG GRADE 10'!$B$7:$B$49,'TH_MLG GRADE 10'!$BM$7:$BM$49,"",0,1)&lt;=TODAY()-MOD(WEEKDAY(TODAY(),2)-5,7)),$D40,0)</f>
        <v>#REF!</v>
      </c>
      <c r="AF90" s="65" t="e">
        <f ca="1">IF(AND($D40&lt;&gt;0,_xlfn.XLOOKUP($B40,'TH_MLG GRADE 10'!$B$7:$B$49,'TH_MLG GRADE 10'!#REF!,"",0,1)="P",
   _xlfn.XLOOKUP($B40,'TH_MLG GRADE 10'!$B$7:$B$49,'TH_MLG GRADE 10'!$BK$7:$BK$49,"",0,1)&lt;=TODAY()-MOD(WEEKDAY(TODAY(),2)-5,7)),$D40,0)</f>
        <v>#REF!</v>
      </c>
      <c r="AG90" s="65" t="e">
        <f ca="1">IF(AND($D40&lt;&gt;0,_xlfn.XLOOKUP($B40,'TH_MLG GRADE 10'!$B$7:$B$49,'TH_MLG GRADE 10'!#REF!,"",0,1)="P",
   _xlfn.XLOOKUP($B40,'TH_MLG GRADE 10'!$B$7:$B$49,'TH_MLG GRADE 10'!$BL$7:$BL$49,"",0,1)&lt;=TODAY()-MOD(WEEKDAY(TODAY(),2)-5,7)),$D40,0)</f>
        <v>#REF!</v>
      </c>
      <c r="AH90" s="65" t="e">
        <f ca="1">IF(AND($D40&lt;&gt;0,_xlfn.XLOOKUP($B40,'TH_MLG GRADE 10'!$B$7:$B$49,'TH_MLG GRADE 10'!#REF!,"",0,1)="P",
   _xlfn.XLOOKUP($B40,'TH_MLG GRADE 10'!$B$7:$B$49,'TH_MLG GRADE 10'!$BM$7:$BM$49,"",0,1)&lt;=TODAY()-MOD(WEEKDAY(TODAY(),2)-5,7)),$D40,0)</f>
        <v>#REF!</v>
      </c>
      <c r="AI90" s="67">
        <f ca="1">IF(AND($D40&lt;&gt;0,_xlfn.XLOOKUP($B40,'TH_CMI GRADE 10'!$B$7:$B$49,'TH_CMI GRADE 10'!C$7:C$49,"",0,1)="P",
   _xlfn.XLOOKUP($B40,'TH_CMI GRADE 10'!$B$7:$B$49,'TH_CMI GRADE 10'!$AS$7:$AS$49,"",0,1)&lt;=TODAY()-MOD(WEEKDAY(TODAY(),2)-5,7)),$D40,0)</f>
        <v>0</v>
      </c>
      <c r="AJ90" s="67">
        <f ca="1">IF(AND($D40&lt;&gt;0,_xlfn.XLOOKUP($B40,'TH_CMI GRADE 10'!$B$7:$B$49,'TH_CMI GRADE 10'!D$7:D$49,"",0,1)="P",
   _xlfn.XLOOKUP($B40,'TH_CMI GRADE 10'!$B$7:$B$49,'TH_CMI GRADE 10'!$AT$7:$AT$49,"",0,1)&lt;=TODAY()-MOD(WEEKDAY(TODAY(),2)-5,7)),$D40,0)</f>
        <v>0</v>
      </c>
      <c r="AK90" s="67" t="e">
        <f ca="1">IF(AND($D40&lt;&gt;0,_xlfn.XLOOKUP($B40,'TH_CMI GRADE 10'!$B$7:$B$49,'TH_CMI GRADE 10'!H$7:H$49,"",0,1)="P",
   _xlfn.XLOOKUP($B40,'TH_CMI GRADE 10'!$B$7:$B$49,'TH_CMI GRADE 10'!#REF!,"",0,1)&lt;=TODAY()-MOD(WEEKDAY(TODAY(),2)-5,7)),$D40,0)</f>
        <v>#REF!</v>
      </c>
      <c r="AL90" s="67">
        <f ca="1">IF(AND($D40&lt;&gt;0,_xlfn.XLOOKUP($B40,'TH_CMI GRADE 10'!$B$7:$B$49,'TH_CMI GRADE 10'!I$7:I$49,"",0,1)="P",
   _xlfn.XLOOKUP($B40,'TH_CMI GRADE 10'!$B$7:$B$49,'TH_CMI GRADE 10'!$AS$7:$AS$49,"",0,1)&lt;=TODAY()-MOD(WEEKDAY(TODAY(),2)-5,7)),$D40,0)</f>
        <v>0</v>
      </c>
      <c r="AM90" s="67">
        <f ca="1">IF(AND($D40&lt;&gt;0,_xlfn.XLOOKUP($B40,'TH_CMI GRADE 10'!$B$7:$B$49,'TH_CMI GRADE 10'!J$7:J$49,"",0,1)="P",
   _xlfn.XLOOKUP($B40,'TH_CMI GRADE 10'!$B$7:$B$49,'TH_CMI GRADE 10'!$AT$7:$AT$49,"",0,1)&lt;=TODAY()-MOD(WEEKDAY(TODAY(),2)-5,7)),$D40,0)</f>
        <v>0</v>
      </c>
      <c r="AN90" s="67" t="e">
        <f ca="1">IF(AND($D40&lt;&gt;0,_xlfn.XLOOKUP($B40,'TH_CMI GRADE 10'!$B$7:$B$49,'TH_CMI GRADE 10'!K$7:K$49,"",0,1)="P",
   _xlfn.XLOOKUP($B40,'TH_CMI GRADE 10'!$B$7:$B$49,'TH_CMI GRADE 10'!#REF!,"",0,1)&lt;=TODAY()-MOD(WEEKDAY(TODAY(),2)-5,7)),$D40,0)</f>
        <v>#REF!</v>
      </c>
      <c r="AO90" s="67">
        <f ca="1">IF(AND($D40&lt;&gt;0,_xlfn.XLOOKUP($B40,'TH_CMI GRADE 10'!$B$7:$B$49,'TH_CMI GRADE 10'!O$7:O$49,"",0,1)="P",
   _xlfn.XLOOKUP($B40,'TH_CMI GRADE 10'!$B$7:$B$49,'TH_CMI GRADE 10'!$AS$7:$AS$49,"",0,1)&lt;=TODAY()-MOD(WEEKDAY(TODAY(),2)-5,7)),$D40,0)</f>
        <v>1</v>
      </c>
      <c r="AP90" s="67">
        <f ca="1">IF(AND($D40&lt;&gt;0,_xlfn.XLOOKUP($B40,'TH_CMI GRADE 10'!$B$7:$B$49,'TH_CMI GRADE 10'!P$7:P$49,"",0,1)="P",
   _xlfn.XLOOKUP($B40,'TH_CMI GRADE 10'!$B$7:$B$49,'TH_CMI GRADE 10'!$AT$7:$AT$49,"",0,1)&lt;=TODAY()-MOD(WEEKDAY(TODAY(),2)-5,7)),$D40,0)</f>
        <v>0</v>
      </c>
      <c r="AQ90" s="67" t="e">
        <f ca="1">IF(AND($D40&lt;&gt;0,_xlfn.XLOOKUP($B40,'TH_CMI GRADE 10'!$B$7:$B$49,'TH_CMI GRADE 10'!Q$7:Q$49,"",0,1)="P",
   _xlfn.XLOOKUP($B40,'TH_CMI GRADE 10'!$B$7:$B$49,'TH_CMI GRADE 10'!#REF!,"",0,1)&lt;=TODAY()-MOD(WEEKDAY(TODAY(),2)-5,7)),$D40,0)</f>
        <v>#REF!</v>
      </c>
      <c r="AR90" s="67">
        <f ca="1">IF(AND($D40&lt;&gt;0,_xlfn.XLOOKUP($B40,'TH_CMI GRADE 10'!$B$7:$B$49,'TH_CMI GRADE 10'!U$7:U$49,"",0,1)="P",
   _xlfn.XLOOKUP($B40,'TH_CMI GRADE 10'!$B$7:$B$49,'TH_CMI GRADE 10'!$AS$7:$AS$49,"",0,1)&lt;=TODAY()-MOD(WEEKDAY(TODAY(),2)-5,7)),$D40,0)</f>
        <v>1</v>
      </c>
      <c r="AS90" s="67">
        <f ca="1">IF(AND($D40&lt;&gt;0,_xlfn.XLOOKUP($B40,'TH_CMI GRADE 10'!$B$7:$B$49,'TH_CMI GRADE 10'!V$7:V$49,"",0,1)="P",
   _xlfn.XLOOKUP($B40,'TH_CMI GRADE 10'!$B$7:$B$49,'TH_CMI GRADE 10'!$AT$7:$AT$49,"",0,1)&lt;=TODAY()-MOD(WEEKDAY(TODAY(),2)-5,7)),$D40,0)</f>
        <v>0</v>
      </c>
      <c r="AT90" s="67" t="e">
        <f ca="1">IF(AND($D40&lt;&gt;0,_xlfn.XLOOKUP($B40,'TH_CMI GRADE 10'!$B$7:$B$49,'TH_CMI GRADE 10'!W$7:W$49,"",0,1)="P",
   _xlfn.XLOOKUP($B40,'TH_CMI GRADE 10'!$B$7:$B$49,'TH_CMI GRADE 10'!#REF!,"",0,1)&lt;=TODAY()-MOD(WEEKDAY(TODAY(),2)-5,7)),$D40,0)</f>
        <v>#REF!</v>
      </c>
      <c r="AU90" s="67">
        <f ca="1">IF(AND($D40&lt;&gt;0,_xlfn.XLOOKUP($B40,'TH_CMI GRADE 10'!$B$7:$B$49,'TH_CMI GRADE 10'!AA$7:AA$49,"",0,1)="P",
   _xlfn.XLOOKUP($B40,'TH_CMI GRADE 10'!$B$7:$B$49,'TH_CMI GRADE 10'!$AS$7:$AS$49,"",0,1)&lt;=TODAY()-MOD(WEEKDAY(TODAY(),2)-5,7)),$D40,0)</f>
        <v>0</v>
      </c>
      <c r="AV90" s="67">
        <f ca="1">IF(AND($D40&lt;&gt;0,_xlfn.XLOOKUP($B40,'TH_CMI GRADE 10'!$B$7:$B$49,'TH_CMI GRADE 10'!AB$7:AB$49,"",0,1)="P",
   _xlfn.XLOOKUP($B40,'TH_CMI GRADE 10'!$B$7:$B$49,'TH_CMI GRADE 10'!$AT$7:$AT$49,"",0,1)&lt;=TODAY()-MOD(WEEKDAY(TODAY(),2)-5,7)),$D40,0)</f>
        <v>0</v>
      </c>
      <c r="AW90" s="67" t="e">
        <f ca="1">IF(AND($D40&lt;&gt;0,_xlfn.XLOOKUP($B40,'TH_CMI GRADE 10'!$B$7:$B$49,'TH_CMI GRADE 10'!AC$7:AC$49,"",0,1)="P",
   _xlfn.XLOOKUP($B40,'TH_CMI GRADE 10'!$B$7:$B$49,'TH_CMI GRADE 10'!#REF!,"",0,1)&lt;=TODAY()-MOD(WEEKDAY(TODAY(),2)-5,7)),$D40,0)</f>
        <v>#REF!</v>
      </c>
      <c r="AX90" s="67">
        <f ca="1">IF(AND($D40&lt;&gt;0,_xlfn.XLOOKUP($B40,'TH_CMI GRADE 10'!$B$7:$B$49,'TH_CMI GRADE 10'!AG$7:AG$49,"",0,1)="P",
   _xlfn.XLOOKUP($B40,'TH_CMI GRADE 10'!$B$7:$B$49,'TH_CMI GRADE 10'!$AS$7:$AS$49,"",0,1)&lt;=TODAY()-MOD(WEEKDAY(TODAY(),2)-5,7)),$D40,0)</f>
        <v>0</v>
      </c>
      <c r="AY90" s="67">
        <f ca="1">IF(AND($D40&lt;&gt;0,_xlfn.XLOOKUP($B40,'TH_CMI GRADE 10'!$B$7:$B$49,'TH_CMI GRADE 10'!AH$7:AH$49,"",0,1)="P",
   _xlfn.XLOOKUP($B40,'TH_CMI GRADE 10'!$B$7:$B$49,'TH_CMI GRADE 10'!$AT$7:$AT$49,"",0,1)&lt;=TODAY()-MOD(WEEKDAY(TODAY(),2)-5,7)),$D40,0)</f>
        <v>0</v>
      </c>
      <c r="AZ90" s="67" t="e">
        <f ca="1">IF(AND($D40&lt;&gt;0,_xlfn.XLOOKUP($B40,'TH_CMI GRADE 10'!$B$7:$B$49,'TH_CMI GRADE 10'!AI$7:AI$49,"",0,1)="P",
   _xlfn.XLOOKUP($B40,'TH_CMI GRADE 10'!$B$7:$B$49,'TH_CMI GRADE 10'!#REF!,"",0,1)&lt;=TODAY()-MOD(WEEKDAY(TODAY(),2)-5,7)),$D40,0)</f>
        <v>#REF!</v>
      </c>
      <c r="BA90" s="65" t="e">
        <f ca="1">IF(AND($D40&lt;&gt;0,_xlfn.XLOOKUP($B40,'PW_MLG GRADE 10'!$B$7:$B$31,'PW_MLG GRADE 10'!R$7:R$31,"",0,1)="P",
   _xlfn.XLOOKUP($B40,'PW_MLG GRADE 10'!$B$7:$B$31,'PW_MLG GRADE 10'!#REF!,"",0,1)&lt;=TODAY()-MOD(WEEKDAY(TODAY(),2)-5,7)),$D40,0)</f>
        <v>#REF!</v>
      </c>
      <c r="BB90" s="65" t="e">
        <f ca="1">IF(AND($D40&lt;&gt;0,_xlfn.XLOOKUP($B40,'PW_MLG GRADE 10'!$B$7:$B$31,'PW_MLG GRADE 10'!S$7:S$31,"",0,1)="P",
   _xlfn.XLOOKUP($B40,'PW_MLG GRADE 10'!$B$7:$B$31,'PW_MLG GRADE 10'!#REF!,"",0,1)&lt;=TODAY()-MOD(WEEKDAY(TODAY(),2)-5,7)),$D40,0)</f>
        <v>#REF!</v>
      </c>
      <c r="BC90" s="65" t="e">
        <f ca="1">IF(AND($D40&lt;&gt;0,_xlfn.XLOOKUP($B40,'PW_MLG GRADE 10'!$B$7:$B$31,'PW_MLG GRADE 10'!T$7:T$31,"",0,1)="P",
   _xlfn.XLOOKUP($B40,'PW_MLG GRADE 10'!$B$7:$B$31,'PW_MLG GRADE 10'!#REF!,"",0,1)&lt;=TODAY()-MOD(WEEKDAY(TODAY(),2)-5,7)),$D40,0)</f>
        <v>#REF!</v>
      </c>
      <c r="BD90" s="65" t="e">
        <f ca="1">IF(AND($D40&lt;&gt;0,_xlfn.XLOOKUP($B40,'PW_MLG GRADE 10'!$B$7:$B$31,'PW_MLG GRADE 10'!AA$7:AA$31,"",0,1)="P",
   _xlfn.XLOOKUP($B40,'PW_MLG GRADE 10'!$B$7:$B$31,'PW_MLG GRADE 10'!#REF!,"",0,1)&lt;=TODAY()-MOD(WEEKDAY(TODAY(),2)-5,7)),$D40,0)</f>
        <v>#REF!</v>
      </c>
      <c r="BE90" s="65" t="e">
        <f ca="1">IF(AND($D40&lt;&gt;0,_xlfn.XLOOKUP($B40,'PW_MLG GRADE 10'!$B$7:$B$31,'PW_MLG GRADE 10'!AB$7:AB$31,"",0,1)="P",
   _xlfn.XLOOKUP($B40,'PW_MLG GRADE 10'!$B$7:$B$31,'PW_MLG GRADE 10'!#REF!,"",0,1)&lt;=TODAY()-MOD(WEEKDAY(TODAY(),2)-5,7)),$D40,0)</f>
        <v>#REF!</v>
      </c>
      <c r="BF90" s="65" t="e">
        <f ca="1">IF(AND($D40&lt;&gt;0,_xlfn.XLOOKUP($B40,'PW_MLG GRADE 10'!$B$7:$B$31,'PW_MLG GRADE 10'!AC$7:AC$31,"",0,1)="P",
   _xlfn.XLOOKUP($B40,'PW_MLG GRADE 10'!$B$7:$B$31,'PW_MLG GRADE 10'!#REF!,"",0,1)&lt;=TODAY()-MOD(WEEKDAY(TODAY(),2)-5,7)),$D40,0)</f>
        <v>#REF!</v>
      </c>
      <c r="BG90" s="65" t="e">
        <f ca="1">IF(AND($D40&lt;&gt;0,_xlfn.XLOOKUP($B40,'PW_MLG GRADE 10'!$B$7:$B$31,'PW_MLG GRADE 10'!AD$7:AD$31,"",0,1)="P",
   _xlfn.XLOOKUP($B40,'PW_MLG GRADE 10'!$B$7:$B$31,'PW_MLG GRADE 10'!#REF!,"",0,1)&lt;=TODAY()-MOD(WEEKDAY(TODAY(),2)-5,7)),$D40,0)</f>
        <v>#REF!</v>
      </c>
      <c r="BH90" s="65" t="e">
        <f ca="1">IF(AND($D40&lt;&gt;0,_xlfn.XLOOKUP($B40,'PW_MLG GRADE 10'!$B$7:$B$31,'PW_MLG GRADE 10'!AE$7:AE$31,"",0,1)="P",
   _xlfn.XLOOKUP($B40,'PW_MLG GRADE 10'!$B$7:$B$31,'PW_MLG GRADE 10'!#REF!,"",0,1)&lt;=TODAY()-MOD(WEEKDAY(TODAY(),2)-5,7)),$D40,0)</f>
        <v>#REF!</v>
      </c>
      <c r="BI90" s="65" t="e">
        <f ca="1">IF(AND($D40&lt;&gt;0,_xlfn.XLOOKUP($B40,'PW_MLG GRADE 10'!$B$7:$B$31,'PW_MLG GRADE 10'!AF$7:AF$31,"",0,1)="P",
   _xlfn.XLOOKUP($B40,'PW_MLG GRADE 10'!$B$7:$B$31,'PW_MLG GRADE 10'!#REF!,"",0,1)&lt;=TODAY()-MOD(WEEKDAY(TODAY(),2)-5,7)),$D40,0)</f>
        <v>#REF!</v>
      </c>
      <c r="BJ90" s="65" t="e">
        <f ca="1">IF(AND($D40&lt;&gt;0,_xlfn.XLOOKUP($B40,'PW_MLG GRADE 10'!$B$7:$B$31,'PW_MLG GRADE 10'!AG$7:AG$31,"",0,1)="P",
   _xlfn.XLOOKUP($B40,'PW_MLG GRADE 10'!$B$7:$B$31,'PW_MLG GRADE 10'!#REF!,"",0,1)&lt;=TODAY()-MOD(WEEKDAY(TODAY(),2)-5,7)),$D40,0)</f>
        <v>#REF!</v>
      </c>
      <c r="BK90" s="65" t="e">
        <f ca="1">IF(AND($D40&lt;&gt;0,_xlfn.XLOOKUP($B40,'PW_MLG GRADE 10'!$B$7:$B$31,'PW_MLG GRADE 10'!AH$7:AH$31,"",0,1)="P",
   _xlfn.XLOOKUP($B40,'PW_MLG GRADE 10'!$B$7:$B$31,'PW_MLG GRADE 10'!#REF!,"",0,1)&lt;=TODAY()-MOD(WEEKDAY(TODAY(),2)-5,7)),$D40,0)</f>
        <v>#REF!</v>
      </c>
      <c r="BL90" s="65" t="e">
        <f ca="1">IF(AND($D40&lt;&gt;0,_xlfn.XLOOKUP($B40,'PW_MLG GRADE 10'!$B$7:$B$31,'PW_MLG GRADE 10'!AI$7:AI$31,"",0,1)="P",
   _xlfn.XLOOKUP($B40,'PW_MLG GRADE 10'!$B$7:$B$31,'PW_MLG GRADE 10'!#REF!,"",0,1)&lt;=TODAY()-MOD(WEEKDAY(TODAY(),2)-5,7)),$D40,0)</f>
        <v>#REF!</v>
      </c>
      <c r="BM90" s="65" t="e">
        <f ca="1">IF(AND($D40&lt;&gt;0,_xlfn.XLOOKUP($B40,'PW_MLG GRADE 10'!$B$7:$B$31,'PW_MLG GRADE 10'!AJ$7:AJ$31,"",0,1)="P",
   _xlfn.XLOOKUP($B40,'PW_MLG GRADE 10'!$B$7:$B$31,'PW_MLG GRADE 10'!#REF!,"",0,1)&lt;=TODAY()-MOD(WEEKDAY(TODAY(),2)-5,7)),$D40,0)</f>
        <v>#REF!</v>
      </c>
      <c r="BN90" s="65" t="e">
        <f ca="1">IF(AND($D40&lt;&gt;0,_xlfn.XLOOKUP($B40,'PW_MLG GRADE 10'!$B$7:$B$31,'PW_MLG GRADE 10'!AK$7:AK$31,"",0,1)="P",
   _xlfn.XLOOKUP($B40,'PW_MLG GRADE 10'!$B$7:$B$31,'PW_MLG GRADE 10'!#REF!,"",0,1)&lt;=TODAY()-MOD(WEEKDAY(TODAY(),2)-5,7)),$D40,0)</f>
        <v>#REF!</v>
      </c>
      <c r="BO90" s="65" t="e">
        <f ca="1">IF(AND($D40&lt;&gt;0,_xlfn.XLOOKUP($B40,'PW_MLG GRADE 10'!$B$7:$B$31,'PW_MLG GRADE 10'!AL$7:AL$31,"",0,1)="P",
   _xlfn.XLOOKUP($B40,'PW_MLG GRADE 10'!$B$7:$B$31,'PW_MLG GRADE 10'!#REF!,"",0,1)&lt;=TODAY()-MOD(WEEKDAY(TODAY(),2)-5,7)),$D40,0)</f>
        <v>#REF!</v>
      </c>
      <c r="BP90" s="65" t="e">
        <f ca="1">IF(AND($D40&lt;&gt;0,_xlfn.XLOOKUP($B40,'PW_MLG GRADE 10'!$B$7:$B$31,'PW_MLG GRADE 10'!AM$7:AM$31,"",0,1)="P",
   _xlfn.XLOOKUP($B40,'PW_MLG GRADE 10'!$B$7:$B$31,'PW_MLG GRADE 10'!#REF!,"",0,1)&lt;=TODAY()-MOD(WEEKDAY(TODAY(),2)-5,7)),$D40,0)</f>
        <v>#REF!</v>
      </c>
      <c r="BQ90" s="65" t="e">
        <f ca="1">IF(AND($D40&lt;&gt;0,_xlfn.XLOOKUP($B40,'PW_MLG GRADE 10'!$B$7:$B$31,'PW_MLG GRADE 10'!AN$7:AN$31,"",0,1)="P",
   _xlfn.XLOOKUP($B40,'PW_MLG GRADE 10'!$B$7:$B$31,'PW_MLG GRADE 10'!#REF!,"",0,1)&lt;=TODAY()-MOD(WEEKDAY(TODAY(),2)-5,7)),$D40,0)</f>
        <v>#REF!</v>
      </c>
      <c r="BR90" s="65" t="e">
        <f ca="1">IF(AND($D40&lt;&gt;0,_xlfn.XLOOKUP($B40,'PW_MLG GRADE 10'!$B$7:$B$31,'PW_MLG GRADE 10'!AO$7:AO$31,"",0,1)="P",
   _xlfn.XLOOKUP($B40,'PW_MLG GRADE 10'!$B$7:$B$31,'PW_MLG GRADE 10'!#REF!,"",0,1)&lt;=TODAY()-MOD(WEEKDAY(TODAY(),2)-5,7)),$D40,0)</f>
        <v>#REF!</v>
      </c>
      <c r="BS90" s="65" t="e">
        <f ca="1">IF(AND($D40&lt;&gt;0,_xlfn.XLOOKUP($B40,'PW_MLG GRADE 10'!$B$7:$B$31,'PW_MLG GRADE 10'!AP$7:AP$31,"",0,1)="P",
   _xlfn.XLOOKUP($B40,'PW_MLG GRADE 10'!$B$7:$B$31,'PW_MLG GRADE 10'!#REF!,"",0,1)&lt;=TODAY()-MOD(WEEKDAY(TODAY(),2)-5,7)),$D40,0)</f>
        <v>#REF!</v>
      </c>
      <c r="BT90" s="65" t="e">
        <f ca="1">IF(AND($D40&lt;&gt;0,_xlfn.XLOOKUP($B40,'PW_MLG GRADE 10'!$B$7:$B$31,'PW_MLG GRADE 10'!AQ$7:AQ$31,"",0,1)="P",
   _xlfn.XLOOKUP($B40,'PW_MLG GRADE 10'!$B$7:$B$31,'PW_MLG GRADE 10'!#REF!,"",0,1)&lt;=TODAY()-MOD(WEEKDAY(TODAY(),2)-5,7)),$D40,0)</f>
        <v>#REF!</v>
      </c>
      <c r="BU90" s="65" t="e">
        <f ca="1">IF(AND($D40&lt;&gt;0,_xlfn.XLOOKUP($B40,'PW_MLG GRADE 10'!$B$7:$B$31,'PW_MLG GRADE 10'!AR$7:AR$31,"",0,1)="P",
   _xlfn.XLOOKUP($B40,'PW_MLG GRADE 10'!$B$7:$B$31,'PW_MLG GRADE 10'!#REF!,"",0,1)&lt;=TODAY()-MOD(WEEKDAY(TODAY(),2)-5,7)),$D40,0)</f>
        <v>#REF!</v>
      </c>
      <c r="BV90" s="65" t="e">
        <f ca="1">IF(AND($D40&lt;&gt;0,_xlfn.XLOOKUP($B40,'PW_MLG GRADE 10'!$B$7:$B$31,'PW_MLG GRADE 10'!AY$7:AY$31,"",0,1)="P",
   _xlfn.XLOOKUP($B40,'PW_MLG GRADE 10'!$B$7:$B$31,'PW_MLG GRADE 10'!#REF!,"",0,1)&lt;=TODAY()-MOD(WEEKDAY(TODAY(),2)-5,7)),$D40,0)</f>
        <v>#REF!</v>
      </c>
      <c r="BW90" s="65" t="e">
        <f ca="1">IF(AND($D40&lt;&gt;0,_xlfn.XLOOKUP($B40,'PW_MLG GRADE 10'!$B$7:$B$31,'PW_MLG GRADE 10'!AZ$7:AZ$31,"",0,1)="P",
   _xlfn.XLOOKUP($B40,'PW_MLG GRADE 10'!$B$7:$B$31,'PW_MLG GRADE 10'!#REF!,"",0,1)&lt;=TODAY()-MOD(WEEKDAY(TODAY(),2)-5,7)),$D40,0)</f>
        <v>#REF!</v>
      </c>
      <c r="BX90" s="65" t="e">
        <f ca="1">IF(AND($D40&lt;&gt;0,_xlfn.XLOOKUP($B40,'PW_MLG GRADE 10'!$B$7:$B$31,'PW_MLG GRADE 10'!BA$7:BA$31,"",0,1)="P",
   _xlfn.XLOOKUP($B40,'PW_MLG GRADE 10'!$B$7:$B$31,'PW_MLG GRADE 10'!#REF!,"",0,1)&lt;=TODAY()-MOD(WEEKDAY(TODAY(),2)-5,7)),$D40,0)</f>
        <v>#REF!</v>
      </c>
      <c r="BY90" s="65" t="e">
        <f ca="1">IF(AND($D40&lt;&gt;0,_xlfn.XLOOKUP($B40,'PW_MLG GRADE 10'!$B$7:$B$31,'PW_MLG GRADE 10'!BB$7:BB$31,"",0,1)="P",
   _xlfn.XLOOKUP($B40,'PW_MLG GRADE 10'!$B$7:$B$31,'PW_MLG GRADE 10'!#REF!,"",0,1)&lt;=TODAY()-MOD(WEEKDAY(TODAY(),2)-5,7)),$D40,0)</f>
        <v>#REF!</v>
      </c>
      <c r="BZ90" s="65" t="e">
        <f ca="1">IF(AND($D40&lt;&gt;0,_xlfn.XLOOKUP($B40,'PW_MLG GRADE 10'!$B$7:$B$31,'PW_MLG GRADE 10'!BC$7:BC$31,"",0,1)="P",
   _xlfn.XLOOKUP($B40,'PW_MLG GRADE 10'!$B$7:$B$31,'PW_MLG GRADE 10'!#REF!,"",0,1)&lt;=TODAY()-MOD(WEEKDAY(TODAY(),2)-5,7)),$D40,0)</f>
        <v>#REF!</v>
      </c>
      <c r="CA90" s="65" t="e">
        <f ca="1">IF(AND($D40&lt;&gt;0,_xlfn.XLOOKUP($B40,'PW_MLG GRADE 10'!$B$7:$B$31,'PW_MLG GRADE 10'!BD$7:BD$31,"",0,1)="P",
   _xlfn.XLOOKUP($B40,'PW_MLG GRADE 10'!$B$7:$B$31,'PW_MLG GRADE 10'!#REF!,"",0,1)&lt;=TODAY()-MOD(WEEKDAY(TODAY(),2)-5,7)),$D40,0)</f>
        <v>#REF!</v>
      </c>
      <c r="CB90" s="65" t="e">
        <f ca="1">IF(AND($D40&lt;&gt;0,_xlfn.XLOOKUP($B40,'PW_MLG GRADE 10'!$B$7:$B$31,'PW_MLG GRADE 10'!BE$7:BE$31,"",0,1)="P",
   _xlfn.XLOOKUP($B40,'PW_MLG GRADE 10'!$B$7:$B$31,'PW_MLG GRADE 10'!#REF!,"",0,1)&lt;=TODAY()-MOD(WEEKDAY(TODAY(),2)-5,7)),$D40,0)</f>
        <v>#REF!</v>
      </c>
      <c r="CC90" s="65" t="e">
        <f ca="1">IF(AND($D40&lt;&gt;0,_xlfn.XLOOKUP($B40,'PW_MLG GRADE 10'!$B$7:$B$31,'PW_MLG GRADE 10'!BF$7:BF$31,"",0,1)="P",
   _xlfn.XLOOKUP($B40,'PW_MLG GRADE 10'!$B$7:$B$31,'PW_MLG GRADE 10'!#REF!,"",0,1)&lt;=TODAY()-MOD(WEEKDAY(TODAY(),2)-5,7)),$D40,0)</f>
        <v>#REF!</v>
      </c>
      <c r="CD90" s="65" t="e">
        <f ca="1">IF(AND($D40&lt;&gt;0,_xlfn.XLOOKUP($B40,'PW_MLG GRADE 10'!$B$7:$B$31,'PW_MLG GRADE 10'!BG$7:BG$31,"",0,1)="P",
   _xlfn.XLOOKUP($B40,'PW_MLG GRADE 10'!$B$7:$B$31,'PW_MLG GRADE 10'!#REF!,"",0,1)&lt;=TODAY()-MOD(WEEKDAY(TODAY(),2)-5,7)),$D40,0)</f>
        <v>#REF!</v>
      </c>
      <c r="CE90" s="67">
        <f ca="1">IF(AND($D40&lt;&gt;0,_xlfn.XLOOKUP($B40,'PW_CMI GRADE 10'!$B$7:$B$31,'PW_CMI GRADE 10'!AY$7:AY$31,"",0,1)="P",
   _xlfn.XLOOKUP($B40,'PW_CMI GRADE 10'!$B$7:$B$31,'PW_CMI GRADE 10'!$U$7:$U$31,"",0,1)&lt;=TODAY()-MOD(WEEKDAY(TODAY(),2)-5,7)),$D40,0)</f>
        <v>0</v>
      </c>
      <c r="CF90" s="67">
        <f ca="1">IF(AND($D40&lt;&gt;0,_xlfn.XLOOKUP($B40,'PW_CMI GRADE 10'!$B$7:$B$31,'PW_CMI GRADE 10'!AZ$7:AZ$31,"",0,1)="P",
   _xlfn.XLOOKUP($B40,'PW_CMI GRADE 10'!$B$7:$B$31,'PW_CMI GRADE 10'!$V$7:$V$31,"",0,1)&lt;=TODAY()-MOD(WEEKDAY(TODAY(),2)-5,7)),$D40,0)</f>
        <v>0</v>
      </c>
      <c r="CG90" s="67">
        <f ca="1">IF(AND($D40&lt;&gt;0,_xlfn.XLOOKUP($B40,'PW_CMI GRADE 10'!$B$7:$B$31,'PW_CMI GRADE 10'!BA$7:BA$31,"",0,1)="P",
   _xlfn.XLOOKUP($B40,'PW_CMI GRADE 10'!$B$7:$B$31,'PW_CMI GRADE 10'!$W$7:$W$31,"",0,1)&lt;=TODAY()-MOD(WEEKDAY(TODAY(),2)-5,7)),$D40,0)</f>
        <v>0</v>
      </c>
      <c r="CH90" s="67">
        <f ca="1">IF(AND($D40&lt;&gt;0,_xlfn.XLOOKUP($B40,'PW_CMI GRADE 10'!$B$7:$B$31,'PW_CMI GRADE 10'!BB$7:BB$31,"",0,1)="P",
   _xlfn.XLOOKUP($B40,'PW_CMI GRADE 10'!$B$7:$B$31,'PW_CMI GRADE 10'!$U$7:$U$31,"",0,1)&lt;=TODAY()-MOD(WEEKDAY(TODAY(),2)-5,7)),$D40,0)</f>
        <v>0</v>
      </c>
      <c r="CI90" s="67">
        <f ca="1">IF(AND($D40&lt;&gt;0,_xlfn.XLOOKUP($B40,'PW_CMI GRADE 10'!$B$7:$B$31,'PW_CMI GRADE 10'!BC$7:BC$31,"",0,1)="P",
   _xlfn.XLOOKUP($B40,'PW_CMI GRADE 10'!$B$7:$B$31,'PW_CMI GRADE 10'!$V$7:$V$31,"",0,1)&lt;=TODAY()-MOD(WEEKDAY(TODAY(),2)-5,7)),$D40,0)</f>
        <v>0</v>
      </c>
      <c r="CJ90" s="67">
        <f ca="1">IF(AND($D40&lt;&gt;0,_xlfn.XLOOKUP($B40,'PW_CMI GRADE 10'!$B$7:$B$31,'PW_CMI GRADE 10'!BD$7:BD$31,"",0,1)="P",
   _xlfn.XLOOKUP($B40,'PW_CMI GRADE 10'!$B$7:$B$31,'PW_CMI GRADE 10'!$W$7:$W$31,"",0,1)&lt;=TODAY()-MOD(WEEKDAY(TODAY(),2)-5,7)),$D40,0)</f>
        <v>0</v>
      </c>
      <c r="CK90" s="67">
        <f ca="1">IF(AND($D40&lt;&gt;0,_xlfn.XLOOKUP($B40,'PW_CMI GRADE 10'!$B$7:$B$31,'PW_CMI GRADE 10'!BE$7:BE$31,"",0,1)="P",
   _xlfn.XLOOKUP($B40,'PW_CMI GRADE 10'!$B$7:$B$31,'PW_CMI GRADE 10'!$U$7:$U$31,"",0,1)&lt;=TODAY()-MOD(WEEKDAY(TODAY(),2)-5,7)),$D40,0)</f>
        <v>0</v>
      </c>
      <c r="CL90" s="67">
        <f ca="1">IF(AND($D40&lt;&gt;0,_xlfn.XLOOKUP($B40,'PW_CMI GRADE 10'!$B$7:$B$31,'PW_CMI GRADE 10'!BF$7:BF$31,"",0,1)="P",
   _xlfn.XLOOKUP($B40,'PW_CMI GRADE 10'!$B$7:$B$31,'PW_CMI GRADE 10'!$V$7:$V$31,"",0,1)&lt;=TODAY()-MOD(WEEKDAY(TODAY(),2)-5,7)),$D40,0)</f>
        <v>0</v>
      </c>
      <c r="CM90" s="67">
        <f ca="1">IF(AND($D40&lt;&gt;0,_xlfn.XLOOKUP($B40,'PW_CMI GRADE 10'!$B$7:$B$31,'PW_CMI GRADE 10'!BG$7:BG$31,"",0,1)="P",
   _xlfn.XLOOKUP($B40,'PW_CMI GRADE 10'!$B$7:$B$31,'PW_CMI GRADE 10'!$W$7:$W$31,"",0,1)&lt;=TODAY()-MOD(WEEKDAY(TODAY(),2)-5,7)),$D40,0)</f>
        <v>0</v>
      </c>
      <c r="CN90" s="67">
        <f ca="1">IF(AND($D40&lt;&gt;0,_xlfn.XLOOKUP($B40,'PW_CMI GRADE 10'!$B$7:$B$31,'PW_CMI GRADE 10'!BH$7:BH$31,"",0,1)="P",
   _xlfn.XLOOKUP($B40,'PW_CMI GRADE 10'!$B$7:$B$31,'PW_CMI GRADE 10'!$U$7:$U$31,"",0,1)&lt;=TODAY()-MOD(WEEKDAY(TODAY(),2)-5,7)),$D40,0)</f>
        <v>0</v>
      </c>
      <c r="CO90" s="67">
        <f ca="1">IF(AND($D40&lt;&gt;0,_xlfn.XLOOKUP($B40,'PW_CMI GRADE 10'!$B$7:$B$31,'PW_CMI GRADE 10'!BI$7:BI$31,"",0,1)="P",
   _xlfn.XLOOKUP($B40,'PW_CMI GRADE 10'!$B$7:$B$31,'PW_CMI GRADE 10'!$V$7:$V$31,"",0,1)&lt;=TODAY()-MOD(WEEKDAY(TODAY(),2)-5,7)),$D40,0)</f>
        <v>0</v>
      </c>
      <c r="CP90" s="67">
        <f ca="1">IF(AND($D40&lt;&gt;0,_xlfn.XLOOKUP($B40,'PW_CMI GRADE 10'!$B$7:$B$31,'PW_CMI GRADE 10'!BJ$7:BJ$31,"",0,1)="P",
   _xlfn.XLOOKUP($B40,'PW_CMI GRADE 10'!$B$7:$B$31,'PW_CMI GRADE 10'!$W$7:$W$31,"",0,1)&lt;=TODAY()-MOD(WEEKDAY(TODAY(),2)-5,7)),$D40,0)</f>
        <v>0</v>
      </c>
      <c r="CQ90" s="67">
        <f ca="1">IF(AND($D40&lt;&gt;0,_xlfn.XLOOKUP($B40,'PW_CMI GRADE 10'!$B$7:$B$31,'PW_CMI GRADE 10'!BK$7:BK$31,"",0,1)="P",
   _xlfn.XLOOKUP($B40,'PW_CMI GRADE 10'!$B$7:$B$31,'PW_CMI GRADE 10'!$U$7:$U$31,"",0,1)&lt;=TODAY()-MOD(WEEKDAY(TODAY(),2)-5,7)),$D40,0)</f>
        <v>0</v>
      </c>
      <c r="CR90" s="67">
        <f ca="1">IF(AND($D40&lt;&gt;0,_xlfn.XLOOKUP($B40,'PW_CMI GRADE 10'!$B$7:$B$31,'PW_CMI GRADE 10'!BL$7:BL$31,"",0,1)="P",
   _xlfn.XLOOKUP($B40,'PW_CMI GRADE 10'!$B$7:$B$31,'PW_CMI GRADE 10'!$V$7:$V$31,"",0,1)&lt;=TODAY()-MOD(WEEKDAY(TODAY(),2)-5,7)),$D40,0)</f>
        <v>0</v>
      </c>
      <c r="CS90" s="67">
        <f ca="1">IF(AND($D40&lt;&gt;0,_xlfn.XLOOKUP($B40,'PW_CMI GRADE 10'!$B$7:$B$31,'PW_CMI GRADE 10'!BM$7:BM$31,"",0,1)="P",
   _xlfn.XLOOKUP($B40,'PW_CMI GRADE 10'!$B$7:$B$31,'PW_CMI GRADE 10'!$W$7:$W$31,"",0,1)&lt;=TODAY()-MOD(WEEKDAY(TODAY(),2)-5,7)),$D40,0)</f>
        <v>0</v>
      </c>
      <c r="CT90" s="67">
        <f ca="1">IF(AND($D40&lt;&gt;0,_xlfn.XLOOKUP($B40,'PW_CMI GRADE 10'!$B$7:$B$31,'PW_CMI GRADE 10'!BN$7:BN$31,"",0,1)="P",
   _xlfn.XLOOKUP($B40,'PW_CMI GRADE 10'!$B$7:$B$31,'PW_CMI GRADE 10'!$U$7:$U$31,"",0,1)&lt;=TODAY()-MOD(WEEKDAY(TODAY(),2)-5,7)),$D40,0)</f>
        <v>0</v>
      </c>
      <c r="CU90" s="67">
        <f ca="1">IF(AND($D40&lt;&gt;0,_xlfn.XLOOKUP($B40,'PW_CMI GRADE 10'!$B$7:$B$31,'PW_CMI GRADE 10'!BO$7:BO$31,"",0,1)="P",
   _xlfn.XLOOKUP($B40,'PW_CMI GRADE 10'!$B$7:$B$31,'PW_CMI GRADE 10'!$V$7:$V$31,"",0,1)&lt;=TODAY()-MOD(WEEKDAY(TODAY(),2)-5,7)),$D40,0)</f>
        <v>0</v>
      </c>
      <c r="CV90" s="67">
        <f ca="1">IF(AND($D40&lt;&gt;0,_xlfn.XLOOKUP($B40,'PW_CMI GRADE 10'!$B$7:$B$31,'PW_CMI GRADE 10'!BP$7:BP$31,"",0,1)="P",
   _xlfn.XLOOKUP($B40,'PW_CMI GRADE 10'!$B$7:$B$31,'PW_CMI GRADE 10'!$W$7:$W$31,"",0,1)&lt;=TODAY()-MOD(WEEKDAY(TODAY(),2)-5,7)),$D40,0)</f>
        <v>0</v>
      </c>
      <c r="CW90" s="62" t="e">
        <f t="shared" ca="1" si="132"/>
        <v>#REF!</v>
      </c>
      <c r="CX90" s="62" t="e">
        <f t="shared" ca="1" si="69"/>
        <v>#REF!</v>
      </c>
      <c r="CY90" s="62" t="e">
        <f t="shared" ca="1" si="70"/>
        <v>#REF!</v>
      </c>
      <c r="CZ90" s="62" t="e">
        <f t="shared" ca="1" si="71"/>
        <v>#REF!</v>
      </c>
      <c r="DA90" s="62" t="e">
        <f t="shared" ca="1" si="72"/>
        <v>#REF!</v>
      </c>
      <c r="DB90" s="62" t="e">
        <f t="shared" ca="1" si="73"/>
        <v>#REF!</v>
      </c>
      <c r="DC90" s="62" t="e">
        <f t="shared" ca="1" si="74"/>
        <v>#REF!</v>
      </c>
      <c r="DD90" s="62" t="e">
        <f t="shared" ca="1" si="75"/>
        <v>#REF!</v>
      </c>
      <c r="DE90" s="62" t="e">
        <f t="shared" ca="1" si="76"/>
        <v>#REF!</v>
      </c>
      <c r="DF90" s="62" t="e">
        <f t="shared" ca="1" si="77"/>
        <v>#REF!</v>
      </c>
      <c r="DG90" s="62" t="e">
        <f t="shared" ca="1" si="78"/>
        <v>#REF!</v>
      </c>
      <c r="DH90" s="62" t="e">
        <f t="shared" ca="1" si="79"/>
        <v>#REF!</v>
      </c>
      <c r="DI90" s="62" t="e">
        <f t="shared" ca="1" si="80"/>
        <v>#REF!</v>
      </c>
      <c r="DJ90" s="62" t="e">
        <f t="shared" ca="1" si="81"/>
        <v>#REF!</v>
      </c>
      <c r="DK90" s="62" t="e">
        <f t="shared" ca="1" si="82"/>
        <v>#REF!</v>
      </c>
      <c r="DL90" s="62" t="e">
        <f t="shared" ca="1" si="83"/>
        <v>#REF!</v>
      </c>
      <c r="DM90" s="62" t="e">
        <f t="shared" ca="1" si="84"/>
        <v>#REF!</v>
      </c>
      <c r="DN90" s="62" t="e">
        <f t="shared" ca="1" si="85"/>
        <v>#REF!</v>
      </c>
      <c r="DO90" s="62" t="e">
        <f t="shared" ca="1" si="86"/>
        <v>#REF!</v>
      </c>
      <c r="DP90" s="62" t="e">
        <f t="shared" ca="1" si="87"/>
        <v>#REF!</v>
      </c>
      <c r="DQ90" s="62" t="e">
        <f t="shared" ca="1" si="88"/>
        <v>#REF!</v>
      </c>
      <c r="DR90" s="62" t="e">
        <f t="shared" ca="1" si="89"/>
        <v>#REF!</v>
      </c>
      <c r="DS90" s="62" t="e">
        <f t="shared" ca="1" si="90"/>
        <v>#REF!</v>
      </c>
      <c r="DT90" s="62" t="e">
        <f t="shared" ca="1" si="91"/>
        <v>#REF!</v>
      </c>
      <c r="DU90" s="62" t="e">
        <f t="shared" ca="1" si="92"/>
        <v>#REF!</v>
      </c>
      <c r="DV90" s="62" t="e">
        <f t="shared" ca="1" si="93"/>
        <v>#REF!</v>
      </c>
      <c r="DW90" s="62" t="e">
        <f t="shared" ca="1" si="94"/>
        <v>#REF!</v>
      </c>
      <c r="DX90" s="62" t="e">
        <f t="shared" ca="1" si="95"/>
        <v>#REF!</v>
      </c>
      <c r="DY90" s="62" t="e">
        <f t="shared" ca="1" si="96"/>
        <v>#REF!</v>
      </c>
      <c r="DZ90" s="62" t="e">
        <f t="shared" ca="1" si="97"/>
        <v>#REF!</v>
      </c>
      <c r="EA90" s="63" t="e">
        <f t="shared" ca="1" si="98"/>
        <v>#REF!</v>
      </c>
      <c r="EB90" s="63" t="e">
        <f t="shared" ca="1" si="99"/>
        <v>#REF!</v>
      </c>
      <c r="EC90" s="63" t="e">
        <f t="shared" ca="1" si="100"/>
        <v>#REF!</v>
      </c>
      <c r="ED90" s="63" t="e">
        <f t="shared" ca="1" si="101"/>
        <v>#REF!</v>
      </c>
      <c r="EE90" s="63" t="e">
        <f t="shared" ca="1" si="102"/>
        <v>#REF!</v>
      </c>
      <c r="EF90" s="63" t="e">
        <f t="shared" ca="1" si="103"/>
        <v>#REF!</v>
      </c>
      <c r="EG90" s="63" t="e">
        <f t="shared" ca="1" si="104"/>
        <v>#REF!</v>
      </c>
      <c r="EH90" s="63" t="e">
        <f t="shared" ca="1" si="105"/>
        <v>#REF!</v>
      </c>
      <c r="EI90" s="63" t="e">
        <f t="shared" ca="1" si="106"/>
        <v>#REF!</v>
      </c>
      <c r="EJ90" s="63" t="e">
        <f t="shared" ca="1" si="107"/>
        <v>#REF!</v>
      </c>
      <c r="EK90" s="63" t="e">
        <f t="shared" ca="1" si="108"/>
        <v>#REF!</v>
      </c>
      <c r="EL90" s="63" t="e">
        <f t="shared" ca="1" si="109"/>
        <v>#REF!</v>
      </c>
      <c r="EM90" s="63" t="e">
        <f t="shared" ca="1" si="110"/>
        <v>#REF!</v>
      </c>
      <c r="EN90" s="63" t="e">
        <f t="shared" ca="1" si="111"/>
        <v>#REF!</v>
      </c>
      <c r="EO90" s="63" t="e">
        <f t="shared" ca="1" si="112"/>
        <v>#REF!</v>
      </c>
      <c r="EP90" s="63" t="e">
        <f t="shared" ca="1" si="113"/>
        <v>#REF!</v>
      </c>
    </row>
    <row r="91" spans="1:146">
      <c r="A91" s="64" t="str">
        <f t="shared" si="131"/>
        <v>6A.2</v>
      </c>
      <c r="B91" s="64" t="s">
        <v>72</v>
      </c>
      <c r="C91" s="30">
        <v>4</v>
      </c>
      <c r="D91" s="30">
        <v>1</v>
      </c>
      <c r="E91" s="65">
        <f ca="1">IF(AND($D41&lt;&gt;0,_xlfn.XLOOKUP($B41,'TH_MLG GRADE 10'!$B$7:$B$49,'TH_MLG GRADE 10'!C$7:C$49,"",0,1)="P",
   _xlfn.XLOOKUP($B41,'TH_MLG GRADE 10'!$B$7:$B$49,'TH_MLG GRADE 10'!$BK$7:$BK$49,"",0,1)&lt;=TODAY()-MOD(WEEKDAY(TODAY(),2)-5,7)),$D41,0)</f>
        <v>1</v>
      </c>
      <c r="F91" s="65">
        <f ca="1">IF(AND($D41&lt;&gt;0,_xlfn.XLOOKUP($B41,'TH_MLG GRADE 10'!$B$7:$B$49,'TH_MLG GRADE 10'!D$7:D$49,"",0,1)="P",
   _xlfn.XLOOKUP($B41,'TH_MLG GRADE 10'!$B$7:$B$49,'TH_MLG GRADE 10'!$BL$7:$BL$49,"",0,1)&lt;=TODAY()-MOD(WEEKDAY(TODAY(),2)-5,7)),$D41,0)</f>
        <v>1</v>
      </c>
      <c r="G91" s="65">
        <f ca="1">IF(AND($D41&lt;&gt;0,_xlfn.XLOOKUP($B41,'TH_MLG GRADE 10'!$B$7:$B$49,'TH_MLG GRADE 10'!E$7:E$49,"",0,1)="P",
   _xlfn.XLOOKUP($B41,'TH_MLG GRADE 10'!$B$7:$B$49,'TH_MLG GRADE 10'!$BM$7:$BM$49,"",0,1)&lt;=TODAY()-MOD(WEEKDAY(TODAY(),2)-5,7)),$D41,0)</f>
        <v>0</v>
      </c>
      <c r="H91" s="65">
        <f ca="1">IF(AND($D41&lt;&gt;0,_xlfn.XLOOKUP($B41,'TH_MLG GRADE 10'!$B$7:$B$49,'TH_MLG GRADE 10'!I$7:I$49,"",0,1)="P",
   _xlfn.XLOOKUP($B41,'TH_MLG GRADE 10'!$B$7:$B$49,'TH_MLG GRADE 10'!$BK$7:$BK$49,"",0,1)&lt;=TODAY()-MOD(WEEKDAY(TODAY(),2)-5,7)),$D41,0)</f>
        <v>1</v>
      </c>
      <c r="I91" s="65">
        <f ca="1">IF(AND($D41&lt;&gt;0,_xlfn.XLOOKUP($B41,'TH_MLG GRADE 10'!$B$7:$B$49,'TH_MLG GRADE 10'!J$7:J$49,"",0,1)="P",
   _xlfn.XLOOKUP($B41,'TH_MLG GRADE 10'!$B$7:$B$49,'TH_MLG GRADE 10'!$BL$7:$BL$49,"",0,1)&lt;=TODAY()-MOD(WEEKDAY(TODAY(),2)-5,7)),$D41,0)</f>
        <v>1</v>
      </c>
      <c r="J91" s="65">
        <f ca="1">IF(AND($D41&lt;&gt;0,_xlfn.XLOOKUP($B41,'TH_MLG GRADE 10'!$B$7:$B$49,'TH_MLG GRADE 10'!K$7:K$49,"",0,1)="P",
   _xlfn.XLOOKUP($B41,'TH_MLG GRADE 10'!$B$7:$B$49,'TH_MLG GRADE 10'!$BM$7:$BM$49,"",0,1)&lt;=TODAY()-MOD(WEEKDAY(TODAY(),2)-5,7)),$D41,0)</f>
        <v>1</v>
      </c>
      <c r="K91" s="65">
        <f ca="1">IF(AND($D41&lt;&gt;0,_xlfn.XLOOKUP($B41,'TH_MLG GRADE 10'!$B$7:$B$49,'TH_MLG GRADE 10'!O$7:O$49,"",0,1)="P",
   _xlfn.XLOOKUP($B41,'TH_MLG GRADE 10'!$B$7:$B$49,'TH_MLG GRADE 10'!$BK$7:$BK$49,"",0,1)&lt;=TODAY()-MOD(WEEKDAY(TODAY(),2)-5,7)),$D41,0)</f>
        <v>0</v>
      </c>
      <c r="L91" s="65">
        <f ca="1">IF(AND($D41&lt;&gt;0,_xlfn.XLOOKUP($B41,'TH_MLG GRADE 10'!$B$7:$B$49,'TH_MLG GRADE 10'!P$7:P$49,"",0,1)="P",
   _xlfn.XLOOKUP($B41,'TH_MLG GRADE 10'!$B$7:$B$49,'TH_MLG GRADE 10'!$BL$7:$BL$49,"",0,1)&lt;=TODAY()-MOD(WEEKDAY(TODAY(),2)-5,7)),$D41,0)</f>
        <v>0</v>
      </c>
      <c r="M91" s="65">
        <f ca="1">IF(AND($D41&lt;&gt;0,_xlfn.XLOOKUP($B41,'TH_MLG GRADE 10'!$B$7:$B$49,'TH_MLG GRADE 10'!Q$7:Q$49,"",0,1)="P",
   _xlfn.XLOOKUP($B41,'TH_MLG GRADE 10'!$B$7:$B$49,'TH_MLG GRADE 10'!$BM$7:$BM$49,"",0,1)&lt;=TODAY()-MOD(WEEKDAY(TODAY(),2)-5,7)),$D41,0)</f>
        <v>0</v>
      </c>
      <c r="N91" s="65">
        <f ca="1">IF(AND($D41&lt;&gt;0,_xlfn.XLOOKUP($B41,'TH_MLG GRADE 10'!$B$7:$B$49,'TH_MLG GRADE 10'!AA$7:AA$49,"",0,1)="P",
   _xlfn.XLOOKUP($B41,'TH_MLG GRADE 10'!$B$7:$B$49,'TH_MLG GRADE 10'!$BK$7:$BK$49,"",0,1)&lt;=TODAY()-MOD(WEEKDAY(TODAY(),2)-5,7)),$D41,0)</f>
        <v>0</v>
      </c>
      <c r="O91" s="65">
        <f ca="1">IF(AND($D41&lt;&gt;0,_xlfn.XLOOKUP($B41,'TH_MLG GRADE 10'!$B$7:$B$49,'TH_MLG GRADE 10'!AB$7:AB$49,"",0,1)="P",
   _xlfn.XLOOKUP($B41,'TH_MLG GRADE 10'!$B$7:$B$49,'TH_MLG GRADE 10'!$BL$7:$BL$49,"",0,1)&lt;=TODAY()-MOD(WEEKDAY(TODAY(),2)-5,7)),$D41,0)</f>
        <v>0</v>
      </c>
      <c r="P91" s="65">
        <f ca="1">IF(AND($D41&lt;&gt;0,_xlfn.XLOOKUP($B41,'TH_MLG GRADE 10'!$B$7:$B$49,'TH_MLG GRADE 10'!AC$7:AC$49,"",0,1)="P",
   _xlfn.XLOOKUP($B41,'TH_MLG GRADE 10'!$B$7:$B$49,'TH_MLG GRADE 10'!$BM$7:$BM$49,"",0,1)&lt;=TODAY()-MOD(WEEKDAY(TODAY(),2)-5,7)),$D41,0)</f>
        <v>0</v>
      </c>
      <c r="Q91" s="65">
        <f ca="1">IF(AND($D41&lt;&gt;0,_xlfn.XLOOKUP($B41,'TH_MLG GRADE 10'!$B$7:$B$49,'TH_MLG GRADE 10'!AG$7:AG$49,"",0,1)="P",
   _xlfn.XLOOKUP($B41,'TH_MLG GRADE 10'!$B$7:$B$49,'TH_MLG GRADE 10'!$BK$7:$BK$49,"",0,1)&lt;=TODAY()-MOD(WEEKDAY(TODAY(),2)-5,7)),$D41,0)</f>
        <v>0</v>
      </c>
      <c r="R91" s="65">
        <f ca="1">IF(AND($D41&lt;&gt;0,_xlfn.XLOOKUP($B41,'TH_MLG GRADE 10'!$B$7:$B$49,'TH_MLG GRADE 10'!AH$7:AH$49,"",0,1)="P",
   _xlfn.XLOOKUP($B41,'TH_MLG GRADE 10'!$B$7:$B$49,'TH_MLG GRADE 10'!$BL$7:$BL$49,"",0,1)&lt;=TODAY()-MOD(WEEKDAY(TODAY(),2)-5,7)),$D41,0)</f>
        <v>0</v>
      </c>
      <c r="S91" s="65">
        <f ca="1">IF(AND($D41&lt;&gt;0,_xlfn.XLOOKUP($B41,'TH_MLG GRADE 10'!$B$7:$B$49,'TH_MLG GRADE 10'!AI$7:AI$49,"",0,1)="P",
   _xlfn.XLOOKUP($B41,'TH_MLG GRADE 10'!$B$7:$B$49,'TH_MLG GRADE 10'!$BM$7:$BM$49,"",0,1)&lt;=TODAY()-MOD(WEEKDAY(TODAY(),2)-5,7)),$D41,0)</f>
        <v>0</v>
      </c>
      <c r="T91" s="65">
        <f ca="1">IF(AND($D41&lt;&gt;0,_xlfn.XLOOKUP($B41,'TH_MLG GRADE 10'!$B$7:$B$49,'TH_MLG GRADE 10'!AM$7:AM$49,"",0,1)="P",
   _xlfn.XLOOKUP($B41,'TH_MLG GRADE 10'!$B$7:$B$49,'TH_MLG GRADE 10'!$BK$7:$BK$49,"",0,1)&lt;=TODAY()-MOD(WEEKDAY(TODAY(),2)-5,7)),$D41,0)</f>
        <v>0</v>
      </c>
      <c r="U91" s="65">
        <f ca="1">IF(AND($D41&lt;&gt;0,_xlfn.XLOOKUP($B41,'TH_MLG GRADE 10'!$B$7:$B$49,'TH_MLG GRADE 10'!AN$7:AN$49,"",0,1)="P",
   _xlfn.XLOOKUP($B41,'TH_MLG GRADE 10'!$B$7:$B$49,'TH_MLG GRADE 10'!$BL$7:$BL$49,"",0,1)&lt;=TODAY()-MOD(WEEKDAY(TODAY(),2)-5,7)),$D41,0)</f>
        <v>0</v>
      </c>
      <c r="V91" s="65">
        <f ca="1">IF(AND($D41&lt;&gt;0,_xlfn.XLOOKUP($B41,'TH_MLG GRADE 10'!$B$7:$B$49,'TH_MLG GRADE 10'!AO$7:AO$49,"",0,1)="P",
   _xlfn.XLOOKUP($B41,'TH_MLG GRADE 10'!$B$7:$B$49,'TH_MLG GRADE 10'!$BM$7:$BM$49,"",0,1)&lt;=TODAY()-MOD(WEEKDAY(TODAY(),2)-5,7)),$D41,0)</f>
        <v>0</v>
      </c>
      <c r="W91" s="65">
        <f ca="1">IF(AND($D41&lt;&gt;0,_xlfn.XLOOKUP($B41,'TH_MLG GRADE 10'!$B$7:$B$49,'TH_MLG GRADE 10'!AY$7:AY$49,"",0,1)="P",
   _xlfn.XLOOKUP($B41,'TH_MLG GRADE 10'!$B$7:$B$49,'TH_MLG GRADE 10'!$BK$7:$BK$49,"",0,1)&lt;=TODAY()-MOD(WEEKDAY(TODAY(),2)-5,7)),$D41,0)</f>
        <v>0</v>
      </c>
      <c r="X91" s="65">
        <f ca="1">IF(AND($D41&lt;&gt;0,_xlfn.XLOOKUP($B41,'TH_MLG GRADE 10'!$B$7:$B$49,'TH_MLG GRADE 10'!AZ$7:AZ$49,"",0,1)="P",
   _xlfn.XLOOKUP($B41,'TH_MLG GRADE 10'!$B$7:$B$49,'TH_MLG GRADE 10'!$BL$7:$BL$49,"",0,1)&lt;=TODAY()-MOD(WEEKDAY(TODAY(),2)-5,7)),$D41,0)</f>
        <v>0</v>
      </c>
      <c r="Y91" s="65">
        <f ca="1">IF(AND($D41&lt;&gt;0,_xlfn.XLOOKUP($B41,'TH_MLG GRADE 10'!$B$7:$B$49,'TH_MLG GRADE 10'!BA$7:BA$49,"",0,1)="P",
   _xlfn.XLOOKUP($B41,'TH_MLG GRADE 10'!$B$7:$B$49,'TH_MLG GRADE 10'!$BM$7:$BM$49,"",0,1)&lt;=TODAY()-MOD(WEEKDAY(TODAY(),2)-5,7)),$D41,0)</f>
        <v>0</v>
      </c>
      <c r="Z91" s="65">
        <f ca="1">IF(AND($D41&lt;&gt;0,_xlfn.XLOOKUP($B41,'TH_MLG GRADE 10'!$B$7:$B$49,'TH_MLG GRADE 10'!BE$7:BE$49,"",0,1)="P",
   _xlfn.XLOOKUP($B41,'TH_MLG GRADE 10'!$B$7:$B$49,'TH_MLG GRADE 10'!$BK$7:$BK$49,"",0,1)&lt;=TODAY()-MOD(WEEKDAY(TODAY(),2)-5,7)),$D41,0)</f>
        <v>0</v>
      </c>
      <c r="AA91" s="65">
        <f ca="1">IF(AND($D41&lt;&gt;0,_xlfn.XLOOKUP($B41,'TH_MLG GRADE 10'!$B$7:$B$49,'TH_MLG GRADE 10'!BF$7:BF$49,"",0,1)="P",
   _xlfn.XLOOKUP($B41,'TH_MLG GRADE 10'!$B$7:$B$49,'TH_MLG GRADE 10'!$BL$7:$BL$49,"",0,1)&lt;=TODAY()-MOD(WEEKDAY(TODAY(),2)-5,7)),$D41,0)</f>
        <v>0</v>
      </c>
      <c r="AB91" s="65">
        <f ca="1">IF(AND($D41&lt;&gt;0,_xlfn.XLOOKUP($B41,'TH_MLG GRADE 10'!$B$7:$B$49,'TH_MLG GRADE 10'!BG$7:BG$49,"",0,1)="P",
   _xlfn.XLOOKUP($B41,'TH_MLG GRADE 10'!$B$7:$B$49,'TH_MLG GRADE 10'!$BM$7:$BM$49,"",0,1)&lt;=TODAY()-MOD(WEEKDAY(TODAY(),2)-5,7)),$D41,0)</f>
        <v>0</v>
      </c>
      <c r="AC91" s="65" t="e">
        <f ca="1">IF(AND($D41&lt;&gt;0,_xlfn.XLOOKUP($B41,'TH_MLG GRADE 10'!$B$7:$B$49,'TH_MLG GRADE 10'!#REF!,"",0,1)="P",
   _xlfn.XLOOKUP($B41,'TH_MLG GRADE 10'!$B$7:$B$49,'TH_MLG GRADE 10'!$BK$7:$BK$49,"",0,1)&lt;=TODAY()-MOD(WEEKDAY(TODAY(),2)-5,7)),$D41,0)</f>
        <v>#REF!</v>
      </c>
      <c r="AD91" s="65" t="e">
        <f ca="1">IF(AND($D41&lt;&gt;0,_xlfn.XLOOKUP($B41,'TH_MLG GRADE 10'!$B$7:$B$49,'TH_MLG GRADE 10'!#REF!,"",0,1)="P",
   _xlfn.XLOOKUP($B41,'TH_MLG GRADE 10'!$B$7:$B$49,'TH_MLG GRADE 10'!$BL$7:$BL$49,"",0,1)&lt;=TODAY()-MOD(WEEKDAY(TODAY(),2)-5,7)),$D41,0)</f>
        <v>#REF!</v>
      </c>
      <c r="AE91" s="65" t="e">
        <f ca="1">IF(AND($D41&lt;&gt;0,_xlfn.XLOOKUP($B41,'TH_MLG GRADE 10'!$B$7:$B$49,'TH_MLG GRADE 10'!#REF!,"",0,1)="P",
   _xlfn.XLOOKUP($B41,'TH_MLG GRADE 10'!$B$7:$B$49,'TH_MLG GRADE 10'!$BM$7:$BM$49,"",0,1)&lt;=TODAY()-MOD(WEEKDAY(TODAY(),2)-5,7)),$D41,0)</f>
        <v>#REF!</v>
      </c>
      <c r="AF91" s="65" t="e">
        <f ca="1">IF(AND($D41&lt;&gt;0,_xlfn.XLOOKUP($B41,'TH_MLG GRADE 10'!$B$7:$B$49,'TH_MLG GRADE 10'!#REF!,"",0,1)="P",
   _xlfn.XLOOKUP($B41,'TH_MLG GRADE 10'!$B$7:$B$49,'TH_MLG GRADE 10'!$BK$7:$BK$49,"",0,1)&lt;=TODAY()-MOD(WEEKDAY(TODAY(),2)-5,7)),$D41,0)</f>
        <v>#REF!</v>
      </c>
      <c r="AG91" s="65" t="e">
        <f ca="1">IF(AND($D41&lt;&gt;0,_xlfn.XLOOKUP($B41,'TH_MLG GRADE 10'!$B$7:$B$49,'TH_MLG GRADE 10'!#REF!,"",0,1)="P",
   _xlfn.XLOOKUP($B41,'TH_MLG GRADE 10'!$B$7:$B$49,'TH_MLG GRADE 10'!$BL$7:$BL$49,"",0,1)&lt;=TODAY()-MOD(WEEKDAY(TODAY(),2)-5,7)),$D41,0)</f>
        <v>#REF!</v>
      </c>
      <c r="AH91" s="65" t="e">
        <f ca="1">IF(AND($D41&lt;&gt;0,_xlfn.XLOOKUP($B41,'TH_MLG GRADE 10'!$B$7:$B$49,'TH_MLG GRADE 10'!#REF!,"",0,1)="P",
   _xlfn.XLOOKUP($B41,'TH_MLG GRADE 10'!$B$7:$B$49,'TH_MLG GRADE 10'!$BM$7:$BM$49,"",0,1)&lt;=TODAY()-MOD(WEEKDAY(TODAY(),2)-5,7)),$D41,0)</f>
        <v>#REF!</v>
      </c>
      <c r="AI91" s="67">
        <f ca="1">IF(AND($D41&lt;&gt;0,_xlfn.XLOOKUP($B41,'TH_CMI GRADE 10'!$B$7:$B$49,'TH_CMI GRADE 10'!C$7:C$49,"",0,1)="P",
   _xlfn.XLOOKUP($B41,'TH_CMI GRADE 10'!$B$7:$B$49,'TH_CMI GRADE 10'!$AS$7:$AS$49,"",0,1)&lt;=TODAY()-MOD(WEEKDAY(TODAY(),2)-5,7)),$D41,0)</f>
        <v>0</v>
      </c>
      <c r="AJ91" s="67">
        <f ca="1">IF(AND($D41&lt;&gt;0,_xlfn.XLOOKUP($B41,'TH_CMI GRADE 10'!$B$7:$B$49,'TH_CMI GRADE 10'!D$7:D$49,"",0,1)="P",
   _xlfn.XLOOKUP($B41,'TH_CMI GRADE 10'!$B$7:$B$49,'TH_CMI GRADE 10'!$AT$7:$AT$49,"",0,1)&lt;=TODAY()-MOD(WEEKDAY(TODAY(),2)-5,7)),$D41,0)</f>
        <v>0</v>
      </c>
      <c r="AK91" s="67" t="e">
        <f ca="1">IF(AND($D41&lt;&gt;0,_xlfn.XLOOKUP($B41,'TH_CMI GRADE 10'!$B$7:$B$49,'TH_CMI GRADE 10'!H$7:H$49,"",0,1)="P",
   _xlfn.XLOOKUP($B41,'TH_CMI GRADE 10'!$B$7:$B$49,'TH_CMI GRADE 10'!#REF!,"",0,1)&lt;=TODAY()-MOD(WEEKDAY(TODAY(),2)-5,7)),$D41,0)</f>
        <v>#REF!</v>
      </c>
      <c r="AL91" s="67">
        <f ca="1">IF(AND($D41&lt;&gt;0,_xlfn.XLOOKUP($B41,'TH_CMI GRADE 10'!$B$7:$B$49,'TH_CMI GRADE 10'!I$7:I$49,"",0,1)="P",
   _xlfn.XLOOKUP($B41,'TH_CMI GRADE 10'!$B$7:$B$49,'TH_CMI GRADE 10'!$AS$7:$AS$49,"",0,1)&lt;=TODAY()-MOD(WEEKDAY(TODAY(),2)-5,7)),$D41,0)</f>
        <v>0</v>
      </c>
      <c r="AM91" s="67">
        <f ca="1">IF(AND($D41&lt;&gt;0,_xlfn.XLOOKUP($B41,'TH_CMI GRADE 10'!$B$7:$B$49,'TH_CMI GRADE 10'!J$7:J$49,"",0,1)="P",
   _xlfn.XLOOKUP($B41,'TH_CMI GRADE 10'!$B$7:$B$49,'TH_CMI GRADE 10'!$AT$7:$AT$49,"",0,1)&lt;=TODAY()-MOD(WEEKDAY(TODAY(),2)-5,7)),$D41,0)</f>
        <v>0</v>
      </c>
      <c r="AN91" s="67" t="e">
        <f ca="1">IF(AND($D41&lt;&gt;0,_xlfn.XLOOKUP($B41,'TH_CMI GRADE 10'!$B$7:$B$49,'TH_CMI GRADE 10'!K$7:K$49,"",0,1)="P",
   _xlfn.XLOOKUP($B41,'TH_CMI GRADE 10'!$B$7:$B$49,'TH_CMI GRADE 10'!#REF!,"",0,1)&lt;=TODAY()-MOD(WEEKDAY(TODAY(),2)-5,7)),$D41,0)</f>
        <v>#REF!</v>
      </c>
      <c r="AO91" s="67">
        <f ca="1">IF(AND($D41&lt;&gt;0,_xlfn.XLOOKUP($B41,'TH_CMI GRADE 10'!$B$7:$B$49,'TH_CMI GRADE 10'!O$7:O$49,"",0,1)="P",
   _xlfn.XLOOKUP($B41,'TH_CMI GRADE 10'!$B$7:$B$49,'TH_CMI GRADE 10'!$AS$7:$AS$49,"",0,1)&lt;=TODAY()-MOD(WEEKDAY(TODAY(),2)-5,7)),$D41,0)</f>
        <v>1</v>
      </c>
      <c r="AP91" s="67">
        <f ca="1">IF(AND($D41&lt;&gt;0,_xlfn.XLOOKUP($B41,'TH_CMI GRADE 10'!$B$7:$B$49,'TH_CMI GRADE 10'!P$7:P$49,"",0,1)="P",
   _xlfn.XLOOKUP($B41,'TH_CMI GRADE 10'!$B$7:$B$49,'TH_CMI GRADE 10'!$AT$7:$AT$49,"",0,1)&lt;=TODAY()-MOD(WEEKDAY(TODAY(),2)-5,7)),$D41,0)</f>
        <v>1</v>
      </c>
      <c r="AQ91" s="67" t="e">
        <f ca="1">IF(AND($D41&lt;&gt;0,_xlfn.XLOOKUP($B41,'TH_CMI GRADE 10'!$B$7:$B$49,'TH_CMI GRADE 10'!Q$7:Q$49,"",0,1)="P",
   _xlfn.XLOOKUP($B41,'TH_CMI GRADE 10'!$B$7:$B$49,'TH_CMI GRADE 10'!#REF!,"",0,1)&lt;=TODAY()-MOD(WEEKDAY(TODAY(),2)-5,7)),$D41,0)</f>
        <v>#REF!</v>
      </c>
      <c r="AR91" s="67">
        <f ca="1">IF(AND($D41&lt;&gt;0,_xlfn.XLOOKUP($B41,'TH_CMI GRADE 10'!$B$7:$B$49,'TH_CMI GRADE 10'!U$7:U$49,"",0,1)="P",
   _xlfn.XLOOKUP($B41,'TH_CMI GRADE 10'!$B$7:$B$49,'TH_CMI GRADE 10'!$AS$7:$AS$49,"",0,1)&lt;=TODAY()-MOD(WEEKDAY(TODAY(),2)-5,7)),$D41,0)</f>
        <v>1</v>
      </c>
      <c r="AS91" s="67">
        <f ca="1">IF(AND($D41&lt;&gt;0,_xlfn.XLOOKUP($B41,'TH_CMI GRADE 10'!$B$7:$B$49,'TH_CMI GRADE 10'!V$7:V$49,"",0,1)="P",
   _xlfn.XLOOKUP($B41,'TH_CMI GRADE 10'!$B$7:$B$49,'TH_CMI GRADE 10'!$AT$7:$AT$49,"",0,1)&lt;=TODAY()-MOD(WEEKDAY(TODAY(),2)-5,7)),$D41,0)</f>
        <v>1</v>
      </c>
      <c r="AT91" s="67" t="e">
        <f ca="1">IF(AND($D41&lt;&gt;0,_xlfn.XLOOKUP($B41,'TH_CMI GRADE 10'!$B$7:$B$49,'TH_CMI GRADE 10'!W$7:W$49,"",0,1)="P",
   _xlfn.XLOOKUP($B41,'TH_CMI GRADE 10'!$B$7:$B$49,'TH_CMI GRADE 10'!#REF!,"",0,1)&lt;=TODAY()-MOD(WEEKDAY(TODAY(),2)-5,7)),$D41,0)</f>
        <v>#REF!</v>
      </c>
      <c r="AU91" s="67">
        <f ca="1">IF(AND($D41&lt;&gt;0,_xlfn.XLOOKUP($B41,'TH_CMI GRADE 10'!$B$7:$B$49,'TH_CMI GRADE 10'!AA$7:AA$49,"",0,1)="P",
   _xlfn.XLOOKUP($B41,'TH_CMI GRADE 10'!$B$7:$B$49,'TH_CMI GRADE 10'!$AS$7:$AS$49,"",0,1)&lt;=TODAY()-MOD(WEEKDAY(TODAY(),2)-5,7)),$D41,0)</f>
        <v>0</v>
      </c>
      <c r="AV91" s="67">
        <f ca="1">IF(AND($D41&lt;&gt;0,_xlfn.XLOOKUP($B41,'TH_CMI GRADE 10'!$B$7:$B$49,'TH_CMI GRADE 10'!AB$7:AB$49,"",0,1)="P",
   _xlfn.XLOOKUP($B41,'TH_CMI GRADE 10'!$B$7:$B$49,'TH_CMI GRADE 10'!$AT$7:$AT$49,"",0,1)&lt;=TODAY()-MOD(WEEKDAY(TODAY(),2)-5,7)),$D41,0)</f>
        <v>0</v>
      </c>
      <c r="AW91" s="67" t="e">
        <f ca="1">IF(AND($D41&lt;&gt;0,_xlfn.XLOOKUP($B41,'TH_CMI GRADE 10'!$B$7:$B$49,'TH_CMI GRADE 10'!AC$7:AC$49,"",0,1)="P",
   _xlfn.XLOOKUP($B41,'TH_CMI GRADE 10'!$B$7:$B$49,'TH_CMI GRADE 10'!#REF!,"",0,1)&lt;=TODAY()-MOD(WEEKDAY(TODAY(),2)-5,7)),$D41,0)</f>
        <v>#REF!</v>
      </c>
      <c r="AX91" s="67">
        <f ca="1">IF(AND($D41&lt;&gt;0,_xlfn.XLOOKUP($B41,'TH_CMI GRADE 10'!$B$7:$B$49,'TH_CMI GRADE 10'!AG$7:AG$49,"",0,1)="P",
   _xlfn.XLOOKUP($B41,'TH_CMI GRADE 10'!$B$7:$B$49,'TH_CMI GRADE 10'!$AS$7:$AS$49,"",0,1)&lt;=TODAY()-MOD(WEEKDAY(TODAY(),2)-5,7)),$D41,0)</f>
        <v>0</v>
      </c>
      <c r="AY91" s="67">
        <f ca="1">IF(AND($D41&lt;&gt;0,_xlfn.XLOOKUP($B41,'TH_CMI GRADE 10'!$B$7:$B$49,'TH_CMI GRADE 10'!AH$7:AH$49,"",0,1)="P",
   _xlfn.XLOOKUP($B41,'TH_CMI GRADE 10'!$B$7:$B$49,'TH_CMI GRADE 10'!$AT$7:$AT$49,"",0,1)&lt;=TODAY()-MOD(WEEKDAY(TODAY(),2)-5,7)),$D41,0)</f>
        <v>0</v>
      </c>
      <c r="AZ91" s="67" t="e">
        <f ca="1">IF(AND($D41&lt;&gt;0,_xlfn.XLOOKUP($B41,'TH_CMI GRADE 10'!$B$7:$B$49,'TH_CMI GRADE 10'!AI$7:AI$49,"",0,1)="P",
   _xlfn.XLOOKUP($B41,'TH_CMI GRADE 10'!$B$7:$B$49,'TH_CMI GRADE 10'!#REF!,"",0,1)&lt;=TODAY()-MOD(WEEKDAY(TODAY(),2)-5,7)),$D41,0)</f>
        <v>#REF!</v>
      </c>
      <c r="BA91" s="65" t="e">
        <f ca="1">IF(AND($D41&lt;&gt;0,_xlfn.XLOOKUP($B41,'PW_MLG GRADE 10'!$B$7:$B$31,'PW_MLG GRADE 10'!R$7:R$31,"",0,1)="P",
   _xlfn.XLOOKUP($B41,'PW_MLG GRADE 10'!$B$7:$B$31,'PW_MLG GRADE 10'!#REF!,"",0,1)&lt;=TODAY()-MOD(WEEKDAY(TODAY(),2)-5,7)),$D41,0)</f>
        <v>#REF!</v>
      </c>
      <c r="BB91" s="65" t="e">
        <f ca="1">IF(AND($D41&lt;&gt;0,_xlfn.XLOOKUP($B41,'PW_MLG GRADE 10'!$B$7:$B$31,'PW_MLG GRADE 10'!S$7:S$31,"",0,1)="P",
   _xlfn.XLOOKUP($B41,'PW_MLG GRADE 10'!$B$7:$B$31,'PW_MLG GRADE 10'!#REF!,"",0,1)&lt;=TODAY()-MOD(WEEKDAY(TODAY(),2)-5,7)),$D41,0)</f>
        <v>#REF!</v>
      </c>
      <c r="BC91" s="65" t="e">
        <f ca="1">IF(AND($D41&lt;&gt;0,_xlfn.XLOOKUP($B41,'PW_MLG GRADE 10'!$B$7:$B$31,'PW_MLG GRADE 10'!T$7:T$31,"",0,1)="P",
   _xlfn.XLOOKUP($B41,'PW_MLG GRADE 10'!$B$7:$B$31,'PW_MLG GRADE 10'!#REF!,"",0,1)&lt;=TODAY()-MOD(WEEKDAY(TODAY(),2)-5,7)),$D41,0)</f>
        <v>#REF!</v>
      </c>
      <c r="BD91" s="65" t="e">
        <f ca="1">IF(AND($D41&lt;&gt;0,_xlfn.XLOOKUP($B41,'PW_MLG GRADE 10'!$B$7:$B$31,'PW_MLG GRADE 10'!AA$7:AA$31,"",0,1)="P",
   _xlfn.XLOOKUP($B41,'PW_MLG GRADE 10'!$B$7:$B$31,'PW_MLG GRADE 10'!#REF!,"",0,1)&lt;=TODAY()-MOD(WEEKDAY(TODAY(),2)-5,7)),$D41,0)</f>
        <v>#REF!</v>
      </c>
      <c r="BE91" s="65" t="e">
        <f ca="1">IF(AND($D41&lt;&gt;0,_xlfn.XLOOKUP($B41,'PW_MLG GRADE 10'!$B$7:$B$31,'PW_MLG GRADE 10'!AB$7:AB$31,"",0,1)="P",
   _xlfn.XLOOKUP($B41,'PW_MLG GRADE 10'!$B$7:$B$31,'PW_MLG GRADE 10'!#REF!,"",0,1)&lt;=TODAY()-MOD(WEEKDAY(TODAY(),2)-5,7)),$D41,0)</f>
        <v>#REF!</v>
      </c>
      <c r="BF91" s="65" t="e">
        <f ca="1">IF(AND($D41&lt;&gt;0,_xlfn.XLOOKUP($B41,'PW_MLG GRADE 10'!$B$7:$B$31,'PW_MLG GRADE 10'!AC$7:AC$31,"",0,1)="P",
   _xlfn.XLOOKUP($B41,'PW_MLG GRADE 10'!$B$7:$B$31,'PW_MLG GRADE 10'!#REF!,"",0,1)&lt;=TODAY()-MOD(WEEKDAY(TODAY(),2)-5,7)),$D41,0)</f>
        <v>#REF!</v>
      </c>
      <c r="BG91" s="65" t="e">
        <f ca="1">IF(AND($D41&lt;&gt;0,_xlfn.XLOOKUP($B41,'PW_MLG GRADE 10'!$B$7:$B$31,'PW_MLG GRADE 10'!AD$7:AD$31,"",0,1)="P",
   _xlfn.XLOOKUP($B41,'PW_MLG GRADE 10'!$B$7:$B$31,'PW_MLG GRADE 10'!#REF!,"",0,1)&lt;=TODAY()-MOD(WEEKDAY(TODAY(),2)-5,7)),$D41,0)</f>
        <v>#REF!</v>
      </c>
      <c r="BH91" s="65" t="e">
        <f ca="1">IF(AND($D41&lt;&gt;0,_xlfn.XLOOKUP($B41,'PW_MLG GRADE 10'!$B$7:$B$31,'PW_MLG GRADE 10'!AE$7:AE$31,"",0,1)="P",
   _xlfn.XLOOKUP($B41,'PW_MLG GRADE 10'!$B$7:$B$31,'PW_MLG GRADE 10'!#REF!,"",0,1)&lt;=TODAY()-MOD(WEEKDAY(TODAY(),2)-5,7)),$D41,0)</f>
        <v>#REF!</v>
      </c>
      <c r="BI91" s="65" t="e">
        <f ca="1">IF(AND($D41&lt;&gt;0,_xlfn.XLOOKUP($B41,'PW_MLG GRADE 10'!$B$7:$B$31,'PW_MLG GRADE 10'!AF$7:AF$31,"",0,1)="P",
   _xlfn.XLOOKUP($B41,'PW_MLG GRADE 10'!$B$7:$B$31,'PW_MLG GRADE 10'!#REF!,"",0,1)&lt;=TODAY()-MOD(WEEKDAY(TODAY(),2)-5,7)),$D41,0)</f>
        <v>#REF!</v>
      </c>
      <c r="BJ91" s="65" t="e">
        <f ca="1">IF(AND($D41&lt;&gt;0,_xlfn.XLOOKUP($B41,'PW_MLG GRADE 10'!$B$7:$B$31,'PW_MLG GRADE 10'!AG$7:AG$31,"",0,1)="P",
   _xlfn.XLOOKUP($B41,'PW_MLG GRADE 10'!$B$7:$B$31,'PW_MLG GRADE 10'!#REF!,"",0,1)&lt;=TODAY()-MOD(WEEKDAY(TODAY(),2)-5,7)),$D41,0)</f>
        <v>#REF!</v>
      </c>
      <c r="BK91" s="65" t="e">
        <f ca="1">IF(AND($D41&lt;&gt;0,_xlfn.XLOOKUP($B41,'PW_MLG GRADE 10'!$B$7:$B$31,'PW_MLG GRADE 10'!AH$7:AH$31,"",0,1)="P",
   _xlfn.XLOOKUP($B41,'PW_MLG GRADE 10'!$B$7:$B$31,'PW_MLG GRADE 10'!#REF!,"",0,1)&lt;=TODAY()-MOD(WEEKDAY(TODAY(),2)-5,7)),$D41,0)</f>
        <v>#REF!</v>
      </c>
      <c r="BL91" s="65" t="e">
        <f ca="1">IF(AND($D41&lt;&gt;0,_xlfn.XLOOKUP($B41,'PW_MLG GRADE 10'!$B$7:$B$31,'PW_MLG GRADE 10'!AI$7:AI$31,"",0,1)="P",
   _xlfn.XLOOKUP($B41,'PW_MLG GRADE 10'!$B$7:$B$31,'PW_MLG GRADE 10'!#REF!,"",0,1)&lt;=TODAY()-MOD(WEEKDAY(TODAY(),2)-5,7)),$D41,0)</f>
        <v>#REF!</v>
      </c>
      <c r="BM91" s="65" t="e">
        <f ca="1">IF(AND($D41&lt;&gt;0,_xlfn.XLOOKUP($B41,'PW_MLG GRADE 10'!$B$7:$B$31,'PW_MLG GRADE 10'!AJ$7:AJ$31,"",0,1)="P",
   _xlfn.XLOOKUP($B41,'PW_MLG GRADE 10'!$B$7:$B$31,'PW_MLG GRADE 10'!#REF!,"",0,1)&lt;=TODAY()-MOD(WEEKDAY(TODAY(),2)-5,7)),$D41,0)</f>
        <v>#REF!</v>
      </c>
      <c r="BN91" s="65" t="e">
        <f ca="1">IF(AND($D41&lt;&gt;0,_xlfn.XLOOKUP($B41,'PW_MLG GRADE 10'!$B$7:$B$31,'PW_MLG GRADE 10'!AK$7:AK$31,"",0,1)="P",
   _xlfn.XLOOKUP($B41,'PW_MLG GRADE 10'!$B$7:$B$31,'PW_MLG GRADE 10'!#REF!,"",0,1)&lt;=TODAY()-MOD(WEEKDAY(TODAY(),2)-5,7)),$D41,0)</f>
        <v>#REF!</v>
      </c>
      <c r="BO91" s="65" t="e">
        <f ca="1">IF(AND($D41&lt;&gt;0,_xlfn.XLOOKUP($B41,'PW_MLG GRADE 10'!$B$7:$B$31,'PW_MLG GRADE 10'!AL$7:AL$31,"",0,1)="P",
   _xlfn.XLOOKUP($B41,'PW_MLG GRADE 10'!$B$7:$B$31,'PW_MLG GRADE 10'!#REF!,"",0,1)&lt;=TODAY()-MOD(WEEKDAY(TODAY(),2)-5,7)),$D41,0)</f>
        <v>#REF!</v>
      </c>
      <c r="BP91" s="65" t="e">
        <f ca="1">IF(AND($D41&lt;&gt;0,_xlfn.XLOOKUP($B41,'PW_MLG GRADE 10'!$B$7:$B$31,'PW_MLG GRADE 10'!AM$7:AM$31,"",0,1)="P",
   _xlfn.XLOOKUP($B41,'PW_MLG GRADE 10'!$B$7:$B$31,'PW_MLG GRADE 10'!#REF!,"",0,1)&lt;=TODAY()-MOD(WEEKDAY(TODAY(),2)-5,7)),$D41,0)</f>
        <v>#REF!</v>
      </c>
      <c r="BQ91" s="65" t="e">
        <f ca="1">IF(AND($D41&lt;&gt;0,_xlfn.XLOOKUP($B41,'PW_MLG GRADE 10'!$B$7:$B$31,'PW_MLG GRADE 10'!AN$7:AN$31,"",0,1)="P",
   _xlfn.XLOOKUP($B41,'PW_MLG GRADE 10'!$B$7:$B$31,'PW_MLG GRADE 10'!#REF!,"",0,1)&lt;=TODAY()-MOD(WEEKDAY(TODAY(),2)-5,7)),$D41,0)</f>
        <v>#REF!</v>
      </c>
      <c r="BR91" s="65" t="e">
        <f ca="1">IF(AND($D41&lt;&gt;0,_xlfn.XLOOKUP($B41,'PW_MLG GRADE 10'!$B$7:$B$31,'PW_MLG GRADE 10'!AO$7:AO$31,"",0,1)="P",
   _xlfn.XLOOKUP($B41,'PW_MLG GRADE 10'!$B$7:$B$31,'PW_MLG GRADE 10'!#REF!,"",0,1)&lt;=TODAY()-MOD(WEEKDAY(TODAY(),2)-5,7)),$D41,0)</f>
        <v>#REF!</v>
      </c>
      <c r="BS91" s="65" t="e">
        <f ca="1">IF(AND($D41&lt;&gt;0,_xlfn.XLOOKUP($B41,'PW_MLG GRADE 10'!$B$7:$B$31,'PW_MLG GRADE 10'!AP$7:AP$31,"",0,1)="P",
   _xlfn.XLOOKUP($B41,'PW_MLG GRADE 10'!$B$7:$B$31,'PW_MLG GRADE 10'!#REF!,"",0,1)&lt;=TODAY()-MOD(WEEKDAY(TODAY(),2)-5,7)),$D41,0)</f>
        <v>#REF!</v>
      </c>
      <c r="BT91" s="65" t="e">
        <f ca="1">IF(AND($D41&lt;&gt;0,_xlfn.XLOOKUP($B41,'PW_MLG GRADE 10'!$B$7:$B$31,'PW_MLG GRADE 10'!AQ$7:AQ$31,"",0,1)="P",
   _xlfn.XLOOKUP($B41,'PW_MLG GRADE 10'!$B$7:$B$31,'PW_MLG GRADE 10'!#REF!,"",0,1)&lt;=TODAY()-MOD(WEEKDAY(TODAY(),2)-5,7)),$D41,0)</f>
        <v>#REF!</v>
      </c>
      <c r="BU91" s="65" t="e">
        <f ca="1">IF(AND($D41&lt;&gt;0,_xlfn.XLOOKUP($B41,'PW_MLG GRADE 10'!$B$7:$B$31,'PW_MLG GRADE 10'!AR$7:AR$31,"",0,1)="P",
   _xlfn.XLOOKUP($B41,'PW_MLG GRADE 10'!$B$7:$B$31,'PW_MLG GRADE 10'!#REF!,"",0,1)&lt;=TODAY()-MOD(WEEKDAY(TODAY(),2)-5,7)),$D41,0)</f>
        <v>#REF!</v>
      </c>
      <c r="BV91" s="65" t="e">
        <f ca="1">IF(AND($D41&lt;&gt;0,_xlfn.XLOOKUP($B41,'PW_MLG GRADE 10'!$B$7:$B$31,'PW_MLG GRADE 10'!AY$7:AY$31,"",0,1)="P",
   _xlfn.XLOOKUP($B41,'PW_MLG GRADE 10'!$B$7:$B$31,'PW_MLG GRADE 10'!#REF!,"",0,1)&lt;=TODAY()-MOD(WEEKDAY(TODAY(),2)-5,7)),$D41,0)</f>
        <v>#REF!</v>
      </c>
      <c r="BW91" s="65" t="e">
        <f ca="1">IF(AND($D41&lt;&gt;0,_xlfn.XLOOKUP($B41,'PW_MLG GRADE 10'!$B$7:$B$31,'PW_MLG GRADE 10'!AZ$7:AZ$31,"",0,1)="P",
   _xlfn.XLOOKUP($B41,'PW_MLG GRADE 10'!$B$7:$B$31,'PW_MLG GRADE 10'!#REF!,"",0,1)&lt;=TODAY()-MOD(WEEKDAY(TODAY(),2)-5,7)),$D41,0)</f>
        <v>#REF!</v>
      </c>
      <c r="BX91" s="65" t="e">
        <f ca="1">IF(AND($D41&lt;&gt;0,_xlfn.XLOOKUP($B41,'PW_MLG GRADE 10'!$B$7:$B$31,'PW_MLG GRADE 10'!BA$7:BA$31,"",0,1)="P",
   _xlfn.XLOOKUP($B41,'PW_MLG GRADE 10'!$B$7:$B$31,'PW_MLG GRADE 10'!#REF!,"",0,1)&lt;=TODAY()-MOD(WEEKDAY(TODAY(),2)-5,7)),$D41,0)</f>
        <v>#REF!</v>
      </c>
      <c r="BY91" s="65" t="e">
        <f ca="1">IF(AND($D41&lt;&gt;0,_xlfn.XLOOKUP($B41,'PW_MLG GRADE 10'!$B$7:$B$31,'PW_MLG GRADE 10'!BB$7:BB$31,"",0,1)="P",
   _xlfn.XLOOKUP($B41,'PW_MLG GRADE 10'!$B$7:$B$31,'PW_MLG GRADE 10'!#REF!,"",0,1)&lt;=TODAY()-MOD(WEEKDAY(TODAY(),2)-5,7)),$D41,0)</f>
        <v>#REF!</v>
      </c>
      <c r="BZ91" s="65" t="e">
        <f ca="1">IF(AND($D41&lt;&gt;0,_xlfn.XLOOKUP($B41,'PW_MLG GRADE 10'!$B$7:$B$31,'PW_MLG GRADE 10'!BC$7:BC$31,"",0,1)="P",
   _xlfn.XLOOKUP($B41,'PW_MLG GRADE 10'!$B$7:$B$31,'PW_MLG GRADE 10'!#REF!,"",0,1)&lt;=TODAY()-MOD(WEEKDAY(TODAY(),2)-5,7)),$D41,0)</f>
        <v>#REF!</v>
      </c>
      <c r="CA91" s="65" t="e">
        <f ca="1">IF(AND($D41&lt;&gt;0,_xlfn.XLOOKUP($B41,'PW_MLG GRADE 10'!$B$7:$B$31,'PW_MLG GRADE 10'!BD$7:BD$31,"",0,1)="P",
   _xlfn.XLOOKUP($B41,'PW_MLG GRADE 10'!$B$7:$B$31,'PW_MLG GRADE 10'!#REF!,"",0,1)&lt;=TODAY()-MOD(WEEKDAY(TODAY(),2)-5,7)),$D41,0)</f>
        <v>#REF!</v>
      </c>
      <c r="CB91" s="65" t="e">
        <f ca="1">IF(AND($D41&lt;&gt;0,_xlfn.XLOOKUP($B41,'PW_MLG GRADE 10'!$B$7:$B$31,'PW_MLG GRADE 10'!BE$7:BE$31,"",0,1)="P",
   _xlfn.XLOOKUP($B41,'PW_MLG GRADE 10'!$B$7:$B$31,'PW_MLG GRADE 10'!#REF!,"",0,1)&lt;=TODAY()-MOD(WEEKDAY(TODAY(),2)-5,7)),$D41,0)</f>
        <v>#REF!</v>
      </c>
      <c r="CC91" s="65" t="e">
        <f ca="1">IF(AND($D41&lt;&gt;0,_xlfn.XLOOKUP($B41,'PW_MLG GRADE 10'!$B$7:$B$31,'PW_MLG GRADE 10'!BF$7:BF$31,"",0,1)="P",
   _xlfn.XLOOKUP($B41,'PW_MLG GRADE 10'!$B$7:$B$31,'PW_MLG GRADE 10'!#REF!,"",0,1)&lt;=TODAY()-MOD(WEEKDAY(TODAY(),2)-5,7)),$D41,0)</f>
        <v>#REF!</v>
      </c>
      <c r="CD91" s="65" t="e">
        <f ca="1">IF(AND($D41&lt;&gt;0,_xlfn.XLOOKUP($B41,'PW_MLG GRADE 10'!$B$7:$B$31,'PW_MLG GRADE 10'!BG$7:BG$31,"",0,1)="P",
   _xlfn.XLOOKUP($B41,'PW_MLG GRADE 10'!$B$7:$B$31,'PW_MLG GRADE 10'!#REF!,"",0,1)&lt;=TODAY()-MOD(WEEKDAY(TODAY(),2)-5,7)),$D41,0)</f>
        <v>#REF!</v>
      </c>
      <c r="CE91" s="67">
        <f ca="1">IF(AND($D41&lt;&gt;0,_xlfn.XLOOKUP($B41,'PW_CMI GRADE 10'!$B$7:$B$31,'PW_CMI GRADE 10'!AY$7:AY$31,"",0,1)="P",
   _xlfn.XLOOKUP($B41,'PW_CMI GRADE 10'!$B$7:$B$31,'PW_CMI GRADE 10'!$U$7:$U$31,"",0,1)&lt;=TODAY()-MOD(WEEKDAY(TODAY(),2)-5,7)),$D41,0)</f>
        <v>0</v>
      </c>
      <c r="CF91" s="67">
        <f ca="1">IF(AND($D41&lt;&gt;0,_xlfn.XLOOKUP($B41,'PW_CMI GRADE 10'!$B$7:$B$31,'PW_CMI GRADE 10'!AZ$7:AZ$31,"",0,1)="P",
   _xlfn.XLOOKUP($B41,'PW_CMI GRADE 10'!$B$7:$B$31,'PW_CMI GRADE 10'!$V$7:$V$31,"",0,1)&lt;=TODAY()-MOD(WEEKDAY(TODAY(),2)-5,7)),$D41,0)</f>
        <v>0</v>
      </c>
      <c r="CG91" s="67">
        <f ca="1">IF(AND($D41&lt;&gt;0,_xlfn.XLOOKUP($B41,'PW_CMI GRADE 10'!$B$7:$B$31,'PW_CMI GRADE 10'!BA$7:BA$31,"",0,1)="P",
   _xlfn.XLOOKUP($B41,'PW_CMI GRADE 10'!$B$7:$B$31,'PW_CMI GRADE 10'!$W$7:$W$31,"",0,1)&lt;=TODAY()-MOD(WEEKDAY(TODAY(),2)-5,7)),$D41,0)</f>
        <v>0</v>
      </c>
      <c r="CH91" s="67">
        <f ca="1">IF(AND($D41&lt;&gt;0,_xlfn.XLOOKUP($B41,'PW_CMI GRADE 10'!$B$7:$B$31,'PW_CMI GRADE 10'!BB$7:BB$31,"",0,1)="P",
   _xlfn.XLOOKUP($B41,'PW_CMI GRADE 10'!$B$7:$B$31,'PW_CMI GRADE 10'!$U$7:$U$31,"",0,1)&lt;=TODAY()-MOD(WEEKDAY(TODAY(),2)-5,7)),$D41,0)</f>
        <v>0</v>
      </c>
      <c r="CI91" s="67">
        <f ca="1">IF(AND($D41&lt;&gt;0,_xlfn.XLOOKUP($B41,'PW_CMI GRADE 10'!$B$7:$B$31,'PW_CMI GRADE 10'!BC$7:BC$31,"",0,1)="P",
   _xlfn.XLOOKUP($B41,'PW_CMI GRADE 10'!$B$7:$B$31,'PW_CMI GRADE 10'!$V$7:$V$31,"",0,1)&lt;=TODAY()-MOD(WEEKDAY(TODAY(),2)-5,7)),$D41,0)</f>
        <v>0</v>
      </c>
      <c r="CJ91" s="67">
        <f ca="1">IF(AND($D41&lt;&gt;0,_xlfn.XLOOKUP($B41,'PW_CMI GRADE 10'!$B$7:$B$31,'PW_CMI GRADE 10'!BD$7:BD$31,"",0,1)="P",
   _xlfn.XLOOKUP($B41,'PW_CMI GRADE 10'!$B$7:$B$31,'PW_CMI GRADE 10'!$W$7:$W$31,"",0,1)&lt;=TODAY()-MOD(WEEKDAY(TODAY(),2)-5,7)),$D41,0)</f>
        <v>0</v>
      </c>
      <c r="CK91" s="67">
        <f ca="1">IF(AND($D41&lt;&gt;0,_xlfn.XLOOKUP($B41,'PW_CMI GRADE 10'!$B$7:$B$31,'PW_CMI GRADE 10'!BE$7:BE$31,"",0,1)="P",
   _xlfn.XLOOKUP($B41,'PW_CMI GRADE 10'!$B$7:$B$31,'PW_CMI GRADE 10'!$U$7:$U$31,"",0,1)&lt;=TODAY()-MOD(WEEKDAY(TODAY(),2)-5,7)),$D41,0)</f>
        <v>0</v>
      </c>
      <c r="CL91" s="67">
        <f ca="1">IF(AND($D41&lt;&gt;0,_xlfn.XLOOKUP($B41,'PW_CMI GRADE 10'!$B$7:$B$31,'PW_CMI GRADE 10'!BF$7:BF$31,"",0,1)="P",
   _xlfn.XLOOKUP($B41,'PW_CMI GRADE 10'!$B$7:$B$31,'PW_CMI GRADE 10'!$V$7:$V$31,"",0,1)&lt;=TODAY()-MOD(WEEKDAY(TODAY(),2)-5,7)),$D41,0)</f>
        <v>0</v>
      </c>
      <c r="CM91" s="67">
        <f ca="1">IF(AND($D41&lt;&gt;0,_xlfn.XLOOKUP($B41,'PW_CMI GRADE 10'!$B$7:$B$31,'PW_CMI GRADE 10'!BG$7:BG$31,"",0,1)="P",
   _xlfn.XLOOKUP($B41,'PW_CMI GRADE 10'!$B$7:$B$31,'PW_CMI GRADE 10'!$W$7:$W$31,"",0,1)&lt;=TODAY()-MOD(WEEKDAY(TODAY(),2)-5,7)),$D41,0)</f>
        <v>0</v>
      </c>
      <c r="CN91" s="67">
        <f ca="1">IF(AND($D41&lt;&gt;0,_xlfn.XLOOKUP($B41,'PW_CMI GRADE 10'!$B$7:$B$31,'PW_CMI GRADE 10'!BH$7:BH$31,"",0,1)="P",
   _xlfn.XLOOKUP($B41,'PW_CMI GRADE 10'!$B$7:$B$31,'PW_CMI GRADE 10'!$U$7:$U$31,"",0,1)&lt;=TODAY()-MOD(WEEKDAY(TODAY(),2)-5,7)),$D41,0)</f>
        <v>0</v>
      </c>
      <c r="CO91" s="67">
        <f ca="1">IF(AND($D41&lt;&gt;0,_xlfn.XLOOKUP($B41,'PW_CMI GRADE 10'!$B$7:$B$31,'PW_CMI GRADE 10'!BI$7:BI$31,"",0,1)="P",
   _xlfn.XLOOKUP($B41,'PW_CMI GRADE 10'!$B$7:$B$31,'PW_CMI GRADE 10'!$V$7:$V$31,"",0,1)&lt;=TODAY()-MOD(WEEKDAY(TODAY(),2)-5,7)),$D41,0)</f>
        <v>0</v>
      </c>
      <c r="CP91" s="67">
        <f ca="1">IF(AND($D41&lt;&gt;0,_xlfn.XLOOKUP($B41,'PW_CMI GRADE 10'!$B$7:$B$31,'PW_CMI GRADE 10'!BJ$7:BJ$31,"",0,1)="P",
   _xlfn.XLOOKUP($B41,'PW_CMI GRADE 10'!$B$7:$B$31,'PW_CMI GRADE 10'!$W$7:$W$31,"",0,1)&lt;=TODAY()-MOD(WEEKDAY(TODAY(),2)-5,7)),$D41,0)</f>
        <v>0</v>
      </c>
      <c r="CQ91" s="67">
        <f ca="1">IF(AND($D41&lt;&gt;0,_xlfn.XLOOKUP($B41,'PW_CMI GRADE 10'!$B$7:$B$31,'PW_CMI GRADE 10'!BK$7:BK$31,"",0,1)="P",
   _xlfn.XLOOKUP($B41,'PW_CMI GRADE 10'!$B$7:$B$31,'PW_CMI GRADE 10'!$U$7:$U$31,"",0,1)&lt;=TODAY()-MOD(WEEKDAY(TODAY(),2)-5,7)),$D41,0)</f>
        <v>0</v>
      </c>
      <c r="CR91" s="67">
        <f ca="1">IF(AND($D41&lt;&gt;0,_xlfn.XLOOKUP($B41,'PW_CMI GRADE 10'!$B$7:$B$31,'PW_CMI GRADE 10'!BL$7:BL$31,"",0,1)="P",
   _xlfn.XLOOKUP($B41,'PW_CMI GRADE 10'!$B$7:$B$31,'PW_CMI GRADE 10'!$V$7:$V$31,"",0,1)&lt;=TODAY()-MOD(WEEKDAY(TODAY(),2)-5,7)),$D41,0)</f>
        <v>0</v>
      </c>
      <c r="CS91" s="67">
        <f ca="1">IF(AND($D41&lt;&gt;0,_xlfn.XLOOKUP($B41,'PW_CMI GRADE 10'!$B$7:$B$31,'PW_CMI GRADE 10'!BM$7:BM$31,"",0,1)="P",
   _xlfn.XLOOKUP($B41,'PW_CMI GRADE 10'!$B$7:$B$31,'PW_CMI GRADE 10'!$W$7:$W$31,"",0,1)&lt;=TODAY()-MOD(WEEKDAY(TODAY(),2)-5,7)),$D41,0)</f>
        <v>0</v>
      </c>
      <c r="CT91" s="67">
        <f ca="1">IF(AND($D41&lt;&gt;0,_xlfn.XLOOKUP($B41,'PW_CMI GRADE 10'!$B$7:$B$31,'PW_CMI GRADE 10'!BN$7:BN$31,"",0,1)="P",
   _xlfn.XLOOKUP($B41,'PW_CMI GRADE 10'!$B$7:$B$31,'PW_CMI GRADE 10'!$U$7:$U$31,"",0,1)&lt;=TODAY()-MOD(WEEKDAY(TODAY(),2)-5,7)),$D41,0)</f>
        <v>0</v>
      </c>
      <c r="CU91" s="67">
        <f ca="1">IF(AND($D41&lt;&gt;0,_xlfn.XLOOKUP($B41,'PW_CMI GRADE 10'!$B$7:$B$31,'PW_CMI GRADE 10'!BO$7:BO$31,"",0,1)="P",
   _xlfn.XLOOKUP($B41,'PW_CMI GRADE 10'!$B$7:$B$31,'PW_CMI GRADE 10'!$V$7:$V$31,"",0,1)&lt;=TODAY()-MOD(WEEKDAY(TODAY(),2)-5,7)),$D41,0)</f>
        <v>0</v>
      </c>
      <c r="CV91" s="67">
        <f ca="1">IF(AND($D41&lt;&gt;0,_xlfn.XLOOKUP($B41,'PW_CMI GRADE 10'!$B$7:$B$31,'PW_CMI GRADE 10'!BP$7:BP$31,"",0,1)="P",
   _xlfn.XLOOKUP($B41,'PW_CMI GRADE 10'!$B$7:$B$31,'PW_CMI GRADE 10'!$W$7:$W$31,"",0,1)&lt;=TODAY()-MOD(WEEKDAY(TODAY(),2)-5,7)),$D41,0)</f>
        <v>0</v>
      </c>
      <c r="CW91" s="62" t="e">
        <f t="shared" ca="1" si="132"/>
        <v>#REF!</v>
      </c>
      <c r="CX91" s="62" t="e">
        <f t="shared" ca="1" si="69"/>
        <v>#REF!</v>
      </c>
      <c r="CY91" s="62" t="e">
        <f t="shared" ca="1" si="70"/>
        <v>#REF!</v>
      </c>
      <c r="CZ91" s="62" t="e">
        <f t="shared" ca="1" si="71"/>
        <v>#REF!</v>
      </c>
      <c r="DA91" s="62" t="e">
        <f t="shared" ca="1" si="72"/>
        <v>#REF!</v>
      </c>
      <c r="DB91" s="62" t="e">
        <f t="shared" ca="1" si="73"/>
        <v>#REF!</v>
      </c>
      <c r="DC91" s="62" t="e">
        <f t="shared" ca="1" si="74"/>
        <v>#REF!</v>
      </c>
      <c r="DD91" s="62" t="e">
        <f t="shared" ca="1" si="75"/>
        <v>#REF!</v>
      </c>
      <c r="DE91" s="62" t="e">
        <f t="shared" ca="1" si="76"/>
        <v>#REF!</v>
      </c>
      <c r="DF91" s="62" t="e">
        <f t="shared" ca="1" si="77"/>
        <v>#REF!</v>
      </c>
      <c r="DG91" s="62" t="e">
        <f t="shared" ca="1" si="78"/>
        <v>#REF!</v>
      </c>
      <c r="DH91" s="62" t="e">
        <f t="shared" ca="1" si="79"/>
        <v>#REF!</v>
      </c>
      <c r="DI91" s="62" t="e">
        <f t="shared" ca="1" si="80"/>
        <v>#REF!</v>
      </c>
      <c r="DJ91" s="62" t="e">
        <f t="shared" ca="1" si="81"/>
        <v>#REF!</v>
      </c>
      <c r="DK91" s="62" t="e">
        <f t="shared" ca="1" si="82"/>
        <v>#REF!</v>
      </c>
      <c r="DL91" s="62" t="e">
        <f t="shared" ca="1" si="83"/>
        <v>#REF!</v>
      </c>
      <c r="DM91" s="62" t="e">
        <f t="shared" ca="1" si="84"/>
        <v>#REF!</v>
      </c>
      <c r="DN91" s="62" t="e">
        <f t="shared" ca="1" si="85"/>
        <v>#REF!</v>
      </c>
      <c r="DO91" s="62" t="e">
        <f t="shared" ca="1" si="86"/>
        <v>#REF!</v>
      </c>
      <c r="DP91" s="62" t="e">
        <f t="shared" ca="1" si="87"/>
        <v>#REF!</v>
      </c>
      <c r="DQ91" s="62" t="e">
        <f t="shared" ca="1" si="88"/>
        <v>#REF!</v>
      </c>
      <c r="DR91" s="62" t="e">
        <f t="shared" ca="1" si="89"/>
        <v>#REF!</v>
      </c>
      <c r="DS91" s="62" t="e">
        <f t="shared" ca="1" si="90"/>
        <v>#REF!</v>
      </c>
      <c r="DT91" s="62" t="e">
        <f t="shared" ca="1" si="91"/>
        <v>#REF!</v>
      </c>
      <c r="DU91" s="62" t="e">
        <f t="shared" ca="1" si="92"/>
        <v>#REF!</v>
      </c>
      <c r="DV91" s="62" t="e">
        <f t="shared" ca="1" si="93"/>
        <v>#REF!</v>
      </c>
      <c r="DW91" s="62" t="e">
        <f t="shared" ca="1" si="94"/>
        <v>#REF!</v>
      </c>
      <c r="DX91" s="62" t="e">
        <f t="shared" ca="1" si="95"/>
        <v>#REF!</v>
      </c>
      <c r="DY91" s="62" t="e">
        <f t="shared" ca="1" si="96"/>
        <v>#REF!</v>
      </c>
      <c r="DZ91" s="62" t="e">
        <f t="shared" ca="1" si="97"/>
        <v>#REF!</v>
      </c>
      <c r="EA91" s="63" t="e">
        <f t="shared" ca="1" si="98"/>
        <v>#REF!</v>
      </c>
      <c r="EB91" s="63" t="e">
        <f t="shared" ca="1" si="99"/>
        <v>#REF!</v>
      </c>
      <c r="EC91" s="63" t="e">
        <f t="shared" ca="1" si="100"/>
        <v>#REF!</v>
      </c>
      <c r="ED91" s="63" t="e">
        <f t="shared" ca="1" si="101"/>
        <v>#REF!</v>
      </c>
      <c r="EE91" s="63" t="e">
        <f t="shared" ca="1" si="102"/>
        <v>#REF!</v>
      </c>
      <c r="EF91" s="63" t="e">
        <f t="shared" ca="1" si="103"/>
        <v>#REF!</v>
      </c>
      <c r="EG91" s="63" t="e">
        <f t="shared" ca="1" si="104"/>
        <v>#REF!</v>
      </c>
      <c r="EH91" s="63" t="e">
        <f t="shared" ca="1" si="105"/>
        <v>#REF!</v>
      </c>
      <c r="EI91" s="63" t="e">
        <f t="shared" ca="1" si="106"/>
        <v>#REF!</v>
      </c>
      <c r="EJ91" s="63" t="e">
        <f t="shared" ca="1" si="107"/>
        <v>#REF!</v>
      </c>
      <c r="EK91" s="63" t="e">
        <f t="shared" ca="1" si="108"/>
        <v>#REF!</v>
      </c>
      <c r="EL91" s="63" t="e">
        <f t="shared" ca="1" si="109"/>
        <v>#REF!</v>
      </c>
      <c r="EM91" s="63" t="e">
        <f t="shared" ca="1" si="110"/>
        <v>#REF!</v>
      </c>
      <c r="EN91" s="63" t="e">
        <f t="shared" ca="1" si="111"/>
        <v>#REF!</v>
      </c>
      <c r="EO91" s="63" t="e">
        <f t="shared" ca="1" si="112"/>
        <v>#REF!</v>
      </c>
      <c r="EP91" s="63" t="e">
        <f t="shared" ca="1" si="113"/>
        <v>#REF!</v>
      </c>
    </row>
    <row r="92" spans="1:146">
      <c r="A92" s="64" t="str">
        <f t="shared" si="131"/>
        <v>6A.2</v>
      </c>
      <c r="B92" s="64" t="s">
        <v>73</v>
      </c>
      <c r="C92" s="30">
        <v>3</v>
      </c>
      <c r="D92" s="30">
        <v>2</v>
      </c>
      <c r="E92" s="65">
        <f ca="1">IF(AND($D42&lt;&gt;0,_xlfn.XLOOKUP($B42,'TH_MLG GRADE 10'!$B$7:$B$49,'TH_MLG GRADE 10'!C$7:C$49,"",0,1)="P",
   _xlfn.XLOOKUP($B42,'TH_MLG GRADE 10'!$B$7:$B$49,'TH_MLG GRADE 10'!$BK$7:$BK$49,"",0,1)&lt;=TODAY()-MOD(WEEKDAY(TODAY(),2)-5,7)),$D42,0)</f>
        <v>2</v>
      </c>
      <c r="F92" s="65">
        <f ca="1">IF(AND($D42&lt;&gt;0,_xlfn.XLOOKUP($B42,'TH_MLG GRADE 10'!$B$7:$B$49,'TH_MLG GRADE 10'!D$7:D$49,"",0,1)="P",
   _xlfn.XLOOKUP($B42,'TH_MLG GRADE 10'!$B$7:$B$49,'TH_MLG GRADE 10'!$BL$7:$BL$49,"",0,1)&lt;=TODAY()-MOD(WEEKDAY(TODAY(),2)-5,7)),$D42,0)</f>
        <v>2</v>
      </c>
      <c r="G92" s="65">
        <f ca="1">IF(AND($D42&lt;&gt;0,_xlfn.XLOOKUP($B42,'TH_MLG GRADE 10'!$B$7:$B$49,'TH_MLG GRADE 10'!E$7:E$49,"",0,1)="P",
   _xlfn.XLOOKUP($B42,'TH_MLG GRADE 10'!$B$7:$B$49,'TH_MLG GRADE 10'!$BM$7:$BM$49,"",0,1)&lt;=TODAY()-MOD(WEEKDAY(TODAY(),2)-5,7)),$D42,0)</f>
        <v>0</v>
      </c>
      <c r="H92" s="65">
        <f ca="1">IF(AND($D42&lt;&gt;0,_xlfn.XLOOKUP($B42,'TH_MLG GRADE 10'!$B$7:$B$49,'TH_MLG GRADE 10'!I$7:I$49,"",0,1)="P",
   _xlfn.XLOOKUP($B42,'TH_MLG GRADE 10'!$B$7:$B$49,'TH_MLG GRADE 10'!$BK$7:$BK$49,"",0,1)&lt;=TODAY()-MOD(WEEKDAY(TODAY(),2)-5,7)),$D42,0)</f>
        <v>2</v>
      </c>
      <c r="I92" s="65">
        <f ca="1">IF(AND($D42&lt;&gt;0,_xlfn.XLOOKUP($B42,'TH_MLG GRADE 10'!$B$7:$B$49,'TH_MLG GRADE 10'!J$7:J$49,"",0,1)="P",
   _xlfn.XLOOKUP($B42,'TH_MLG GRADE 10'!$B$7:$B$49,'TH_MLG GRADE 10'!$BL$7:$BL$49,"",0,1)&lt;=TODAY()-MOD(WEEKDAY(TODAY(),2)-5,7)),$D42,0)</f>
        <v>2</v>
      </c>
      <c r="J92" s="65">
        <f ca="1">IF(AND($D42&lt;&gt;0,_xlfn.XLOOKUP($B42,'TH_MLG GRADE 10'!$B$7:$B$49,'TH_MLG GRADE 10'!K$7:K$49,"",0,1)="P",
   _xlfn.XLOOKUP($B42,'TH_MLG GRADE 10'!$B$7:$B$49,'TH_MLG GRADE 10'!$BM$7:$BM$49,"",0,1)&lt;=TODAY()-MOD(WEEKDAY(TODAY(),2)-5,7)),$D42,0)</f>
        <v>2</v>
      </c>
      <c r="K92" s="65">
        <f ca="1">IF(AND($D42&lt;&gt;0,_xlfn.XLOOKUP($B42,'TH_MLG GRADE 10'!$B$7:$B$49,'TH_MLG GRADE 10'!O$7:O$49,"",0,1)="P",
   _xlfn.XLOOKUP($B42,'TH_MLG GRADE 10'!$B$7:$B$49,'TH_MLG GRADE 10'!$BK$7:$BK$49,"",0,1)&lt;=TODAY()-MOD(WEEKDAY(TODAY(),2)-5,7)),$D42,0)</f>
        <v>0</v>
      </c>
      <c r="L92" s="65">
        <f ca="1">IF(AND($D42&lt;&gt;0,_xlfn.XLOOKUP($B42,'TH_MLG GRADE 10'!$B$7:$B$49,'TH_MLG GRADE 10'!P$7:P$49,"",0,1)="P",
   _xlfn.XLOOKUP($B42,'TH_MLG GRADE 10'!$B$7:$B$49,'TH_MLG GRADE 10'!$BL$7:$BL$49,"",0,1)&lt;=TODAY()-MOD(WEEKDAY(TODAY(),2)-5,7)),$D42,0)</f>
        <v>0</v>
      </c>
      <c r="M92" s="65">
        <f ca="1">IF(AND($D42&lt;&gt;0,_xlfn.XLOOKUP($B42,'TH_MLG GRADE 10'!$B$7:$B$49,'TH_MLG GRADE 10'!Q$7:Q$49,"",0,1)="P",
   _xlfn.XLOOKUP($B42,'TH_MLG GRADE 10'!$B$7:$B$49,'TH_MLG GRADE 10'!$BM$7:$BM$49,"",0,1)&lt;=TODAY()-MOD(WEEKDAY(TODAY(),2)-5,7)),$D42,0)</f>
        <v>0</v>
      </c>
      <c r="N92" s="65">
        <f ca="1">IF(AND($D42&lt;&gt;0,_xlfn.XLOOKUP($B42,'TH_MLG GRADE 10'!$B$7:$B$49,'TH_MLG GRADE 10'!AA$7:AA$49,"",0,1)="P",
   _xlfn.XLOOKUP($B42,'TH_MLG GRADE 10'!$B$7:$B$49,'TH_MLG GRADE 10'!$BK$7:$BK$49,"",0,1)&lt;=TODAY()-MOD(WEEKDAY(TODAY(),2)-5,7)),$D42,0)</f>
        <v>0</v>
      </c>
      <c r="O92" s="65">
        <f ca="1">IF(AND($D42&lt;&gt;0,_xlfn.XLOOKUP($B42,'TH_MLG GRADE 10'!$B$7:$B$49,'TH_MLG GRADE 10'!AB$7:AB$49,"",0,1)="P",
   _xlfn.XLOOKUP($B42,'TH_MLG GRADE 10'!$B$7:$B$49,'TH_MLG GRADE 10'!$BL$7:$BL$49,"",0,1)&lt;=TODAY()-MOD(WEEKDAY(TODAY(),2)-5,7)),$D42,0)</f>
        <v>0</v>
      </c>
      <c r="P92" s="65">
        <f ca="1">IF(AND($D42&lt;&gt;0,_xlfn.XLOOKUP($B42,'TH_MLG GRADE 10'!$B$7:$B$49,'TH_MLG GRADE 10'!AC$7:AC$49,"",0,1)="P",
   _xlfn.XLOOKUP($B42,'TH_MLG GRADE 10'!$B$7:$B$49,'TH_MLG GRADE 10'!$BM$7:$BM$49,"",0,1)&lt;=TODAY()-MOD(WEEKDAY(TODAY(),2)-5,7)),$D42,0)</f>
        <v>0</v>
      </c>
      <c r="Q92" s="65">
        <f ca="1">IF(AND($D42&lt;&gt;0,_xlfn.XLOOKUP($B42,'TH_MLG GRADE 10'!$B$7:$B$49,'TH_MLG GRADE 10'!AG$7:AG$49,"",0,1)="P",
   _xlfn.XLOOKUP($B42,'TH_MLG GRADE 10'!$B$7:$B$49,'TH_MLG GRADE 10'!$BK$7:$BK$49,"",0,1)&lt;=TODAY()-MOD(WEEKDAY(TODAY(),2)-5,7)),$D42,0)</f>
        <v>0</v>
      </c>
      <c r="R92" s="65">
        <f ca="1">IF(AND($D42&lt;&gt;0,_xlfn.XLOOKUP($B42,'TH_MLG GRADE 10'!$B$7:$B$49,'TH_MLG GRADE 10'!AH$7:AH$49,"",0,1)="P",
   _xlfn.XLOOKUP($B42,'TH_MLG GRADE 10'!$B$7:$B$49,'TH_MLG GRADE 10'!$BL$7:$BL$49,"",0,1)&lt;=TODAY()-MOD(WEEKDAY(TODAY(),2)-5,7)),$D42,0)</f>
        <v>0</v>
      </c>
      <c r="S92" s="65">
        <f ca="1">IF(AND($D42&lt;&gt;0,_xlfn.XLOOKUP($B42,'TH_MLG GRADE 10'!$B$7:$B$49,'TH_MLG GRADE 10'!AI$7:AI$49,"",0,1)="P",
   _xlfn.XLOOKUP($B42,'TH_MLG GRADE 10'!$B$7:$B$49,'TH_MLG GRADE 10'!$BM$7:$BM$49,"",0,1)&lt;=TODAY()-MOD(WEEKDAY(TODAY(),2)-5,7)),$D42,0)</f>
        <v>0</v>
      </c>
      <c r="T92" s="65">
        <f ca="1">IF(AND($D42&lt;&gt;0,_xlfn.XLOOKUP($B42,'TH_MLG GRADE 10'!$B$7:$B$49,'TH_MLG GRADE 10'!AM$7:AM$49,"",0,1)="P",
   _xlfn.XLOOKUP($B42,'TH_MLG GRADE 10'!$B$7:$B$49,'TH_MLG GRADE 10'!$BK$7:$BK$49,"",0,1)&lt;=TODAY()-MOD(WEEKDAY(TODAY(),2)-5,7)),$D42,0)</f>
        <v>0</v>
      </c>
      <c r="U92" s="65">
        <f ca="1">IF(AND($D42&lt;&gt;0,_xlfn.XLOOKUP($B42,'TH_MLG GRADE 10'!$B$7:$B$49,'TH_MLG GRADE 10'!AN$7:AN$49,"",0,1)="P",
   _xlfn.XLOOKUP($B42,'TH_MLG GRADE 10'!$B$7:$B$49,'TH_MLG GRADE 10'!$BL$7:$BL$49,"",0,1)&lt;=TODAY()-MOD(WEEKDAY(TODAY(),2)-5,7)),$D42,0)</f>
        <v>0</v>
      </c>
      <c r="V92" s="65">
        <f ca="1">IF(AND($D42&lt;&gt;0,_xlfn.XLOOKUP($B42,'TH_MLG GRADE 10'!$B$7:$B$49,'TH_MLG GRADE 10'!AO$7:AO$49,"",0,1)="P",
   _xlfn.XLOOKUP($B42,'TH_MLG GRADE 10'!$B$7:$B$49,'TH_MLG GRADE 10'!$BM$7:$BM$49,"",0,1)&lt;=TODAY()-MOD(WEEKDAY(TODAY(),2)-5,7)),$D42,0)</f>
        <v>0</v>
      </c>
      <c r="W92" s="65">
        <f ca="1">IF(AND($D42&lt;&gt;0,_xlfn.XLOOKUP($B42,'TH_MLG GRADE 10'!$B$7:$B$49,'TH_MLG GRADE 10'!AY$7:AY$49,"",0,1)="P",
   _xlfn.XLOOKUP($B42,'TH_MLG GRADE 10'!$B$7:$B$49,'TH_MLG GRADE 10'!$BK$7:$BK$49,"",0,1)&lt;=TODAY()-MOD(WEEKDAY(TODAY(),2)-5,7)),$D42,0)</f>
        <v>0</v>
      </c>
      <c r="X92" s="65">
        <f ca="1">IF(AND($D42&lt;&gt;0,_xlfn.XLOOKUP($B42,'TH_MLG GRADE 10'!$B$7:$B$49,'TH_MLG GRADE 10'!AZ$7:AZ$49,"",0,1)="P",
   _xlfn.XLOOKUP($B42,'TH_MLG GRADE 10'!$B$7:$B$49,'TH_MLG GRADE 10'!$BL$7:$BL$49,"",0,1)&lt;=TODAY()-MOD(WEEKDAY(TODAY(),2)-5,7)),$D42,0)</f>
        <v>0</v>
      </c>
      <c r="Y92" s="65">
        <f ca="1">IF(AND($D42&lt;&gt;0,_xlfn.XLOOKUP($B42,'TH_MLG GRADE 10'!$B$7:$B$49,'TH_MLG GRADE 10'!BA$7:BA$49,"",0,1)="P",
   _xlfn.XLOOKUP($B42,'TH_MLG GRADE 10'!$B$7:$B$49,'TH_MLG GRADE 10'!$BM$7:$BM$49,"",0,1)&lt;=TODAY()-MOD(WEEKDAY(TODAY(),2)-5,7)),$D42,0)</f>
        <v>0</v>
      </c>
      <c r="Z92" s="65">
        <f ca="1">IF(AND($D42&lt;&gt;0,_xlfn.XLOOKUP($B42,'TH_MLG GRADE 10'!$B$7:$B$49,'TH_MLG GRADE 10'!BE$7:BE$49,"",0,1)="P",
   _xlfn.XLOOKUP($B42,'TH_MLG GRADE 10'!$B$7:$B$49,'TH_MLG GRADE 10'!$BK$7:$BK$49,"",0,1)&lt;=TODAY()-MOD(WEEKDAY(TODAY(),2)-5,7)),$D42,0)</f>
        <v>0</v>
      </c>
      <c r="AA92" s="65">
        <f ca="1">IF(AND($D42&lt;&gt;0,_xlfn.XLOOKUP($B42,'TH_MLG GRADE 10'!$B$7:$B$49,'TH_MLG GRADE 10'!BF$7:BF$49,"",0,1)="P",
   _xlfn.XLOOKUP($B42,'TH_MLG GRADE 10'!$B$7:$B$49,'TH_MLG GRADE 10'!$BL$7:$BL$49,"",0,1)&lt;=TODAY()-MOD(WEEKDAY(TODAY(),2)-5,7)),$D42,0)</f>
        <v>0</v>
      </c>
      <c r="AB92" s="65">
        <f ca="1">IF(AND($D42&lt;&gt;0,_xlfn.XLOOKUP($B42,'TH_MLG GRADE 10'!$B$7:$B$49,'TH_MLG GRADE 10'!BG$7:BG$49,"",0,1)="P",
   _xlfn.XLOOKUP($B42,'TH_MLG GRADE 10'!$B$7:$B$49,'TH_MLG GRADE 10'!$BM$7:$BM$49,"",0,1)&lt;=TODAY()-MOD(WEEKDAY(TODAY(),2)-5,7)),$D42,0)</f>
        <v>0</v>
      </c>
      <c r="AC92" s="65" t="e">
        <f ca="1">IF(AND($D42&lt;&gt;0,_xlfn.XLOOKUP($B42,'TH_MLG GRADE 10'!$B$7:$B$49,'TH_MLG GRADE 10'!#REF!,"",0,1)="P",
   _xlfn.XLOOKUP($B42,'TH_MLG GRADE 10'!$B$7:$B$49,'TH_MLG GRADE 10'!$BK$7:$BK$49,"",0,1)&lt;=TODAY()-MOD(WEEKDAY(TODAY(),2)-5,7)),$D42,0)</f>
        <v>#REF!</v>
      </c>
      <c r="AD92" s="65" t="e">
        <f ca="1">IF(AND($D42&lt;&gt;0,_xlfn.XLOOKUP($B42,'TH_MLG GRADE 10'!$B$7:$B$49,'TH_MLG GRADE 10'!#REF!,"",0,1)="P",
   _xlfn.XLOOKUP($B42,'TH_MLG GRADE 10'!$B$7:$B$49,'TH_MLG GRADE 10'!$BL$7:$BL$49,"",0,1)&lt;=TODAY()-MOD(WEEKDAY(TODAY(),2)-5,7)),$D42,0)</f>
        <v>#REF!</v>
      </c>
      <c r="AE92" s="65" t="e">
        <f ca="1">IF(AND($D42&lt;&gt;0,_xlfn.XLOOKUP($B42,'TH_MLG GRADE 10'!$B$7:$B$49,'TH_MLG GRADE 10'!#REF!,"",0,1)="P",
   _xlfn.XLOOKUP($B42,'TH_MLG GRADE 10'!$B$7:$B$49,'TH_MLG GRADE 10'!$BM$7:$BM$49,"",0,1)&lt;=TODAY()-MOD(WEEKDAY(TODAY(),2)-5,7)),$D42,0)</f>
        <v>#REF!</v>
      </c>
      <c r="AF92" s="65" t="e">
        <f ca="1">IF(AND($D42&lt;&gt;0,_xlfn.XLOOKUP($B42,'TH_MLG GRADE 10'!$B$7:$B$49,'TH_MLG GRADE 10'!#REF!,"",0,1)="P",
   _xlfn.XLOOKUP($B42,'TH_MLG GRADE 10'!$B$7:$B$49,'TH_MLG GRADE 10'!$BK$7:$BK$49,"",0,1)&lt;=TODAY()-MOD(WEEKDAY(TODAY(),2)-5,7)),$D42,0)</f>
        <v>#REF!</v>
      </c>
      <c r="AG92" s="65" t="e">
        <f ca="1">IF(AND($D42&lt;&gt;0,_xlfn.XLOOKUP($B42,'TH_MLG GRADE 10'!$B$7:$B$49,'TH_MLG GRADE 10'!#REF!,"",0,1)="P",
   _xlfn.XLOOKUP($B42,'TH_MLG GRADE 10'!$B$7:$B$49,'TH_MLG GRADE 10'!$BL$7:$BL$49,"",0,1)&lt;=TODAY()-MOD(WEEKDAY(TODAY(),2)-5,7)),$D42,0)</f>
        <v>#REF!</v>
      </c>
      <c r="AH92" s="65" t="e">
        <f ca="1">IF(AND($D42&lt;&gt;0,_xlfn.XLOOKUP($B42,'TH_MLG GRADE 10'!$B$7:$B$49,'TH_MLG GRADE 10'!#REF!,"",0,1)="P",
   _xlfn.XLOOKUP($B42,'TH_MLG GRADE 10'!$B$7:$B$49,'TH_MLG GRADE 10'!$BM$7:$BM$49,"",0,1)&lt;=TODAY()-MOD(WEEKDAY(TODAY(),2)-5,7)),$D42,0)</f>
        <v>#REF!</v>
      </c>
      <c r="AI92" s="67">
        <f ca="1">IF(AND($D42&lt;&gt;0,_xlfn.XLOOKUP($B42,'TH_CMI GRADE 10'!$B$7:$B$49,'TH_CMI GRADE 10'!C$7:C$49,"",0,1)="P",
   _xlfn.XLOOKUP($B42,'TH_CMI GRADE 10'!$B$7:$B$49,'TH_CMI GRADE 10'!$AS$7:$AS$49,"",0,1)&lt;=TODAY()-MOD(WEEKDAY(TODAY(),2)-5,7)),$D42,0)</f>
        <v>0</v>
      </c>
      <c r="AJ92" s="67">
        <f ca="1">IF(AND($D42&lt;&gt;0,_xlfn.XLOOKUP($B42,'TH_CMI GRADE 10'!$B$7:$B$49,'TH_CMI GRADE 10'!D$7:D$49,"",0,1)="P",
   _xlfn.XLOOKUP($B42,'TH_CMI GRADE 10'!$B$7:$B$49,'TH_CMI GRADE 10'!$AT$7:$AT$49,"",0,1)&lt;=TODAY()-MOD(WEEKDAY(TODAY(),2)-5,7)),$D42,0)</f>
        <v>0</v>
      </c>
      <c r="AK92" s="67" t="e">
        <f ca="1">IF(AND($D42&lt;&gt;0,_xlfn.XLOOKUP($B42,'TH_CMI GRADE 10'!$B$7:$B$49,'TH_CMI GRADE 10'!H$7:H$49,"",0,1)="P",
   _xlfn.XLOOKUP($B42,'TH_CMI GRADE 10'!$B$7:$B$49,'TH_CMI GRADE 10'!#REF!,"",0,1)&lt;=TODAY()-MOD(WEEKDAY(TODAY(),2)-5,7)),$D42,0)</f>
        <v>#REF!</v>
      </c>
      <c r="AL92" s="67">
        <f ca="1">IF(AND($D42&lt;&gt;0,_xlfn.XLOOKUP($B42,'TH_CMI GRADE 10'!$B$7:$B$49,'TH_CMI GRADE 10'!I$7:I$49,"",0,1)="P",
   _xlfn.XLOOKUP($B42,'TH_CMI GRADE 10'!$B$7:$B$49,'TH_CMI GRADE 10'!$AS$7:$AS$49,"",0,1)&lt;=TODAY()-MOD(WEEKDAY(TODAY(),2)-5,7)),$D42,0)</f>
        <v>0</v>
      </c>
      <c r="AM92" s="67">
        <f ca="1">IF(AND($D42&lt;&gt;0,_xlfn.XLOOKUP($B42,'TH_CMI GRADE 10'!$B$7:$B$49,'TH_CMI GRADE 10'!J$7:J$49,"",0,1)="P",
   _xlfn.XLOOKUP($B42,'TH_CMI GRADE 10'!$B$7:$B$49,'TH_CMI GRADE 10'!$AT$7:$AT$49,"",0,1)&lt;=TODAY()-MOD(WEEKDAY(TODAY(),2)-5,7)),$D42,0)</f>
        <v>0</v>
      </c>
      <c r="AN92" s="67" t="e">
        <f ca="1">IF(AND($D42&lt;&gt;0,_xlfn.XLOOKUP($B42,'TH_CMI GRADE 10'!$B$7:$B$49,'TH_CMI GRADE 10'!K$7:K$49,"",0,1)="P",
   _xlfn.XLOOKUP($B42,'TH_CMI GRADE 10'!$B$7:$B$49,'TH_CMI GRADE 10'!#REF!,"",0,1)&lt;=TODAY()-MOD(WEEKDAY(TODAY(),2)-5,7)),$D42,0)</f>
        <v>#REF!</v>
      </c>
      <c r="AO92" s="67">
        <f ca="1">IF(AND($D42&lt;&gt;0,_xlfn.XLOOKUP($B42,'TH_CMI GRADE 10'!$B$7:$B$49,'TH_CMI GRADE 10'!O$7:O$49,"",0,1)="P",
   _xlfn.XLOOKUP($B42,'TH_CMI GRADE 10'!$B$7:$B$49,'TH_CMI GRADE 10'!$AS$7:$AS$49,"",0,1)&lt;=TODAY()-MOD(WEEKDAY(TODAY(),2)-5,7)),$D42,0)</f>
        <v>2</v>
      </c>
      <c r="AP92" s="67">
        <f ca="1">IF(AND($D42&lt;&gt;0,_xlfn.XLOOKUP($B42,'TH_CMI GRADE 10'!$B$7:$B$49,'TH_CMI GRADE 10'!P$7:P$49,"",0,1)="P",
   _xlfn.XLOOKUP($B42,'TH_CMI GRADE 10'!$B$7:$B$49,'TH_CMI GRADE 10'!$AT$7:$AT$49,"",0,1)&lt;=TODAY()-MOD(WEEKDAY(TODAY(),2)-5,7)),$D42,0)</f>
        <v>2</v>
      </c>
      <c r="AQ92" s="67" t="e">
        <f ca="1">IF(AND($D42&lt;&gt;0,_xlfn.XLOOKUP($B42,'TH_CMI GRADE 10'!$B$7:$B$49,'TH_CMI GRADE 10'!Q$7:Q$49,"",0,1)="P",
   _xlfn.XLOOKUP($B42,'TH_CMI GRADE 10'!$B$7:$B$49,'TH_CMI GRADE 10'!#REF!,"",0,1)&lt;=TODAY()-MOD(WEEKDAY(TODAY(),2)-5,7)),$D42,0)</f>
        <v>#REF!</v>
      </c>
      <c r="AR92" s="67">
        <f ca="1">IF(AND($D42&lt;&gt;0,_xlfn.XLOOKUP($B42,'TH_CMI GRADE 10'!$B$7:$B$49,'TH_CMI GRADE 10'!U$7:U$49,"",0,1)="P",
   _xlfn.XLOOKUP($B42,'TH_CMI GRADE 10'!$B$7:$B$49,'TH_CMI GRADE 10'!$AS$7:$AS$49,"",0,1)&lt;=TODAY()-MOD(WEEKDAY(TODAY(),2)-5,7)),$D42,0)</f>
        <v>2</v>
      </c>
      <c r="AS92" s="67">
        <f ca="1">IF(AND($D42&lt;&gt;0,_xlfn.XLOOKUP($B42,'TH_CMI GRADE 10'!$B$7:$B$49,'TH_CMI GRADE 10'!V$7:V$49,"",0,1)="P",
   _xlfn.XLOOKUP($B42,'TH_CMI GRADE 10'!$B$7:$B$49,'TH_CMI GRADE 10'!$AT$7:$AT$49,"",0,1)&lt;=TODAY()-MOD(WEEKDAY(TODAY(),2)-5,7)),$D42,0)</f>
        <v>2</v>
      </c>
      <c r="AT92" s="67" t="e">
        <f ca="1">IF(AND($D42&lt;&gt;0,_xlfn.XLOOKUP($B42,'TH_CMI GRADE 10'!$B$7:$B$49,'TH_CMI GRADE 10'!W$7:W$49,"",0,1)="P",
   _xlfn.XLOOKUP($B42,'TH_CMI GRADE 10'!$B$7:$B$49,'TH_CMI GRADE 10'!#REF!,"",0,1)&lt;=TODAY()-MOD(WEEKDAY(TODAY(),2)-5,7)),$D42,0)</f>
        <v>#REF!</v>
      </c>
      <c r="AU92" s="67">
        <f ca="1">IF(AND($D42&lt;&gt;0,_xlfn.XLOOKUP($B42,'TH_CMI GRADE 10'!$B$7:$B$49,'TH_CMI GRADE 10'!AA$7:AA$49,"",0,1)="P",
   _xlfn.XLOOKUP($B42,'TH_CMI GRADE 10'!$B$7:$B$49,'TH_CMI GRADE 10'!$AS$7:$AS$49,"",0,1)&lt;=TODAY()-MOD(WEEKDAY(TODAY(),2)-5,7)),$D42,0)</f>
        <v>0</v>
      </c>
      <c r="AV92" s="67">
        <f ca="1">IF(AND($D42&lt;&gt;0,_xlfn.XLOOKUP($B42,'TH_CMI GRADE 10'!$B$7:$B$49,'TH_CMI GRADE 10'!AB$7:AB$49,"",0,1)="P",
   _xlfn.XLOOKUP($B42,'TH_CMI GRADE 10'!$B$7:$B$49,'TH_CMI GRADE 10'!$AT$7:$AT$49,"",0,1)&lt;=TODAY()-MOD(WEEKDAY(TODAY(),2)-5,7)),$D42,0)</f>
        <v>0</v>
      </c>
      <c r="AW92" s="67" t="e">
        <f ca="1">IF(AND($D42&lt;&gt;0,_xlfn.XLOOKUP($B42,'TH_CMI GRADE 10'!$B$7:$B$49,'TH_CMI GRADE 10'!AC$7:AC$49,"",0,1)="P",
   _xlfn.XLOOKUP($B42,'TH_CMI GRADE 10'!$B$7:$B$49,'TH_CMI GRADE 10'!#REF!,"",0,1)&lt;=TODAY()-MOD(WEEKDAY(TODAY(),2)-5,7)),$D42,0)</f>
        <v>#REF!</v>
      </c>
      <c r="AX92" s="67">
        <f ca="1">IF(AND($D42&lt;&gt;0,_xlfn.XLOOKUP($B42,'TH_CMI GRADE 10'!$B$7:$B$49,'TH_CMI GRADE 10'!AG$7:AG$49,"",0,1)="P",
   _xlfn.XLOOKUP($B42,'TH_CMI GRADE 10'!$B$7:$B$49,'TH_CMI GRADE 10'!$AS$7:$AS$49,"",0,1)&lt;=TODAY()-MOD(WEEKDAY(TODAY(),2)-5,7)),$D42,0)</f>
        <v>0</v>
      </c>
      <c r="AY92" s="67">
        <f ca="1">IF(AND($D42&lt;&gt;0,_xlfn.XLOOKUP($B42,'TH_CMI GRADE 10'!$B$7:$B$49,'TH_CMI GRADE 10'!AH$7:AH$49,"",0,1)="P",
   _xlfn.XLOOKUP($B42,'TH_CMI GRADE 10'!$B$7:$B$49,'TH_CMI GRADE 10'!$AT$7:$AT$49,"",0,1)&lt;=TODAY()-MOD(WEEKDAY(TODAY(),2)-5,7)),$D42,0)</f>
        <v>0</v>
      </c>
      <c r="AZ92" s="67" t="e">
        <f ca="1">IF(AND($D42&lt;&gt;0,_xlfn.XLOOKUP($B42,'TH_CMI GRADE 10'!$B$7:$B$49,'TH_CMI GRADE 10'!AI$7:AI$49,"",0,1)="P",
   _xlfn.XLOOKUP($B42,'TH_CMI GRADE 10'!$B$7:$B$49,'TH_CMI GRADE 10'!#REF!,"",0,1)&lt;=TODAY()-MOD(WEEKDAY(TODAY(),2)-5,7)),$D42,0)</f>
        <v>#REF!</v>
      </c>
      <c r="BA92" s="65" t="e">
        <f ca="1">IF(AND($D42&lt;&gt;0,_xlfn.XLOOKUP($B42,'PW_MLG GRADE 10'!$B$7:$B$31,'PW_MLG GRADE 10'!R$7:R$31,"",0,1)="P",
   _xlfn.XLOOKUP($B42,'PW_MLG GRADE 10'!$B$7:$B$31,'PW_MLG GRADE 10'!#REF!,"",0,1)&lt;=TODAY()-MOD(WEEKDAY(TODAY(),2)-5,7)),$D42,0)</f>
        <v>#REF!</v>
      </c>
      <c r="BB92" s="65" t="e">
        <f ca="1">IF(AND($D42&lt;&gt;0,_xlfn.XLOOKUP($B42,'PW_MLG GRADE 10'!$B$7:$B$31,'PW_MLG GRADE 10'!S$7:S$31,"",0,1)="P",
   _xlfn.XLOOKUP($B42,'PW_MLG GRADE 10'!$B$7:$B$31,'PW_MLG GRADE 10'!#REF!,"",0,1)&lt;=TODAY()-MOD(WEEKDAY(TODAY(),2)-5,7)),$D42,0)</f>
        <v>#REF!</v>
      </c>
      <c r="BC92" s="65" t="e">
        <f ca="1">IF(AND($D42&lt;&gt;0,_xlfn.XLOOKUP($B42,'PW_MLG GRADE 10'!$B$7:$B$31,'PW_MLG GRADE 10'!T$7:T$31,"",0,1)="P",
   _xlfn.XLOOKUP($B42,'PW_MLG GRADE 10'!$B$7:$B$31,'PW_MLG GRADE 10'!#REF!,"",0,1)&lt;=TODAY()-MOD(WEEKDAY(TODAY(),2)-5,7)),$D42,0)</f>
        <v>#REF!</v>
      </c>
      <c r="BD92" s="65" t="e">
        <f ca="1">IF(AND($D42&lt;&gt;0,_xlfn.XLOOKUP($B42,'PW_MLG GRADE 10'!$B$7:$B$31,'PW_MLG GRADE 10'!AA$7:AA$31,"",0,1)="P",
   _xlfn.XLOOKUP($B42,'PW_MLG GRADE 10'!$B$7:$B$31,'PW_MLG GRADE 10'!#REF!,"",0,1)&lt;=TODAY()-MOD(WEEKDAY(TODAY(),2)-5,7)),$D42,0)</f>
        <v>#REF!</v>
      </c>
      <c r="BE92" s="65" t="e">
        <f ca="1">IF(AND($D42&lt;&gt;0,_xlfn.XLOOKUP($B42,'PW_MLG GRADE 10'!$B$7:$B$31,'PW_MLG GRADE 10'!AB$7:AB$31,"",0,1)="P",
   _xlfn.XLOOKUP($B42,'PW_MLG GRADE 10'!$B$7:$B$31,'PW_MLG GRADE 10'!#REF!,"",0,1)&lt;=TODAY()-MOD(WEEKDAY(TODAY(),2)-5,7)),$D42,0)</f>
        <v>#REF!</v>
      </c>
      <c r="BF92" s="65" t="e">
        <f ca="1">IF(AND($D42&lt;&gt;0,_xlfn.XLOOKUP($B42,'PW_MLG GRADE 10'!$B$7:$B$31,'PW_MLG GRADE 10'!AC$7:AC$31,"",0,1)="P",
   _xlfn.XLOOKUP($B42,'PW_MLG GRADE 10'!$B$7:$B$31,'PW_MLG GRADE 10'!#REF!,"",0,1)&lt;=TODAY()-MOD(WEEKDAY(TODAY(),2)-5,7)),$D42,0)</f>
        <v>#REF!</v>
      </c>
      <c r="BG92" s="65" t="e">
        <f ca="1">IF(AND($D42&lt;&gt;0,_xlfn.XLOOKUP($B42,'PW_MLG GRADE 10'!$B$7:$B$31,'PW_MLG GRADE 10'!AD$7:AD$31,"",0,1)="P",
   _xlfn.XLOOKUP($B42,'PW_MLG GRADE 10'!$B$7:$B$31,'PW_MLG GRADE 10'!#REF!,"",0,1)&lt;=TODAY()-MOD(WEEKDAY(TODAY(),2)-5,7)),$D42,0)</f>
        <v>#REF!</v>
      </c>
      <c r="BH92" s="65" t="e">
        <f ca="1">IF(AND($D42&lt;&gt;0,_xlfn.XLOOKUP($B42,'PW_MLG GRADE 10'!$B$7:$B$31,'PW_MLG GRADE 10'!AE$7:AE$31,"",0,1)="P",
   _xlfn.XLOOKUP($B42,'PW_MLG GRADE 10'!$B$7:$B$31,'PW_MLG GRADE 10'!#REF!,"",0,1)&lt;=TODAY()-MOD(WEEKDAY(TODAY(),2)-5,7)),$D42,0)</f>
        <v>#REF!</v>
      </c>
      <c r="BI92" s="65" t="e">
        <f ca="1">IF(AND($D42&lt;&gt;0,_xlfn.XLOOKUP($B42,'PW_MLG GRADE 10'!$B$7:$B$31,'PW_MLG GRADE 10'!AF$7:AF$31,"",0,1)="P",
   _xlfn.XLOOKUP($B42,'PW_MLG GRADE 10'!$B$7:$B$31,'PW_MLG GRADE 10'!#REF!,"",0,1)&lt;=TODAY()-MOD(WEEKDAY(TODAY(),2)-5,7)),$D42,0)</f>
        <v>#REF!</v>
      </c>
      <c r="BJ92" s="65" t="e">
        <f ca="1">IF(AND($D42&lt;&gt;0,_xlfn.XLOOKUP($B42,'PW_MLG GRADE 10'!$B$7:$B$31,'PW_MLG GRADE 10'!AG$7:AG$31,"",0,1)="P",
   _xlfn.XLOOKUP($B42,'PW_MLG GRADE 10'!$B$7:$B$31,'PW_MLG GRADE 10'!#REF!,"",0,1)&lt;=TODAY()-MOD(WEEKDAY(TODAY(),2)-5,7)),$D42,0)</f>
        <v>#REF!</v>
      </c>
      <c r="BK92" s="65" t="e">
        <f ca="1">IF(AND($D42&lt;&gt;0,_xlfn.XLOOKUP($B42,'PW_MLG GRADE 10'!$B$7:$B$31,'PW_MLG GRADE 10'!AH$7:AH$31,"",0,1)="P",
   _xlfn.XLOOKUP($B42,'PW_MLG GRADE 10'!$B$7:$B$31,'PW_MLG GRADE 10'!#REF!,"",0,1)&lt;=TODAY()-MOD(WEEKDAY(TODAY(),2)-5,7)),$D42,0)</f>
        <v>#REF!</v>
      </c>
      <c r="BL92" s="65" t="e">
        <f ca="1">IF(AND($D42&lt;&gt;0,_xlfn.XLOOKUP($B42,'PW_MLG GRADE 10'!$B$7:$B$31,'PW_MLG GRADE 10'!AI$7:AI$31,"",0,1)="P",
   _xlfn.XLOOKUP($B42,'PW_MLG GRADE 10'!$B$7:$B$31,'PW_MLG GRADE 10'!#REF!,"",0,1)&lt;=TODAY()-MOD(WEEKDAY(TODAY(),2)-5,7)),$D42,0)</f>
        <v>#REF!</v>
      </c>
      <c r="BM92" s="65" t="e">
        <f ca="1">IF(AND($D42&lt;&gt;0,_xlfn.XLOOKUP($B42,'PW_MLG GRADE 10'!$B$7:$B$31,'PW_MLG GRADE 10'!AJ$7:AJ$31,"",0,1)="P",
   _xlfn.XLOOKUP($B42,'PW_MLG GRADE 10'!$B$7:$B$31,'PW_MLG GRADE 10'!#REF!,"",0,1)&lt;=TODAY()-MOD(WEEKDAY(TODAY(),2)-5,7)),$D42,0)</f>
        <v>#REF!</v>
      </c>
      <c r="BN92" s="65" t="e">
        <f ca="1">IF(AND($D42&lt;&gt;0,_xlfn.XLOOKUP($B42,'PW_MLG GRADE 10'!$B$7:$B$31,'PW_MLG GRADE 10'!AK$7:AK$31,"",0,1)="P",
   _xlfn.XLOOKUP($B42,'PW_MLG GRADE 10'!$B$7:$B$31,'PW_MLG GRADE 10'!#REF!,"",0,1)&lt;=TODAY()-MOD(WEEKDAY(TODAY(),2)-5,7)),$D42,0)</f>
        <v>#REF!</v>
      </c>
      <c r="BO92" s="65" t="e">
        <f ca="1">IF(AND($D42&lt;&gt;0,_xlfn.XLOOKUP($B42,'PW_MLG GRADE 10'!$B$7:$B$31,'PW_MLG GRADE 10'!AL$7:AL$31,"",0,1)="P",
   _xlfn.XLOOKUP($B42,'PW_MLG GRADE 10'!$B$7:$B$31,'PW_MLG GRADE 10'!#REF!,"",0,1)&lt;=TODAY()-MOD(WEEKDAY(TODAY(),2)-5,7)),$D42,0)</f>
        <v>#REF!</v>
      </c>
      <c r="BP92" s="65" t="e">
        <f ca="1">IF(AND($D42&lt;&gt;0,_xlfn.XLOOKUP($B42,'PW_MLG GRADE 10'!$B$7:$B$31,'PW_MLG GRADE 10'!AM$7:AM$31,"",0,1)="P",
   _xlfn.XLOOKUP($B42,'PW_MLG GRADE 10'!$B$7:$B$31,'PW_MLG GRADE 10'!#REF!,"",0,1)&lt;=TODAY()-MOD(WEEKDAY(TODAY(),2)-5,7)),$D42,0)</f>
        <v>#REF!</v>
      </c>
      <c r="BQ92" s="65" t="e">
        <f ca="1">IF(AND($D42&lt;&gt;0,_xlfn.XLOOKUP($B42,'PW_MLG GRADE 10'!$B$7:$B$31,'PW_MLG GRADE 10'!AN$7:AN$31,"",0,1)="P",
   _xlfn.XLOOKUP($B42,'PW_MLG GRADE 10'!$B$7:$B$31,'PW_MLG GRADE 10'!#REF!,"",0,1)&lt;=TODAY()-MOD(WEEKDAY(TODAY(),2)-5,7)),$D42,0)</f>
        <v>#REF!</v>
      </c>
      <c r="BR92" s="65" t="e">
        <f ca="1">IF(AND($D42&lt;&gt;0,_xlfn.XLOOKUP($B42,'PW_MLG GRADE 10'!$B$7:$B$31,'PW_MLG GRADE 10'!AO$7:AO$31,"",0,1)="P",
   _xlfn.XLOOKUP($B42,'PW_MLG GRADE 10'!$B$7:$B$31,'PW_MLG GRADE 10'!#REF!,"",0,1)&lt;=TODAY()-MOD(WEEKDAY(TODAY(),2)-5,7)),$D42,0)</f>
        <v>#REF!</v>
      </c>
      <c r="BS92" s="65" t="e">
        <f ca="1">IF(AND($D42&lt;&gt;0,_xlfn.XLOOKUP($B42,'PW_MLG GRADE 10'!$B$7:$B$31,'PW_MLG GRADE 10'!AP$7:AP$31,"",0,1)="P",
   _xlfn.XLOOKUP($B42,'PW_MLG GRADE 10'!$B$7:$B$31,'PW_MLG GRADE 10'!#REF!,"",0,1)&lt;=TODAY()-MOD(WEEKDAY(TODAY(),2)-5,7)),$D42,0)</f>
        <v>#REF!</v>
      </c>
      <c r="BT92" s="65" t="e">
        <f ca="1">IF(AND($D42&lt;&gt;0,_xlfn.XLOOKUP($B42,'PW_MLG GRADE 10'!$B$7:$B$31,'PW_MLG GRADE 10'!AQ$7:AQ$31,"",0,1)="P",
   _xlfn.XLOOKUP($B42,'PW_MLG GRADE 10'!$B$7:$B$31,'PW_MLG GRADE 10'!#REF!,"",0,1)&lt;=TODAY()-MOD(WEEKDAY(TODAY(),2)-5,7)),$D42,0)</f>
        <v>#REF!</v>
      </c>
      <c r="BU92" s="65" t="e">
        <f ca="1">IF(AND($D42&lt;&gt;0,_xlfn.XLOOKUP($B42,'PW_MLG GRADE 10'!$B$7:$B$31,'PW_MLG GRADE 10'!AR$7:AR$31,"",0,1)="P",
   _xlfn.XLOOKUP($B42,'PW_MLG GRADE 10'!$B$7:$B$31,'PW_MLG GRADE 10'!#REF!,"",0,1)&lt;=TODAY()-MOD(WEEKDAY(TODAY(),2)-5,7)),$D42,0)</f>
        <v>#REF!</v>
      </c>
      <c r="BV92" s="65" t="e">
        <f ca="1">IF(AND($D42&lt;&gt;0,_xlfn.XLOOKUP($B42,'PW_MLG GRADE 10'!$B$7:$B$31,'PW_MLG GRADE 10'!AY$7:AY$31,"",0,1)="P",
   _xlfn.XLOOKUP($B42,'PW_MLG GRADE 10'!$B$7:$B$31,'PW_MLG GRADE 10'!#REF!,"",0,1)&lt;=TODAY()-MOD(WEEKDAY(TODAY(),2)-5,7)),$D42,0)</f>
        <v>#REF!</v>
      </c>
      <c r="BW92" s="65" t="e">
        <f ca="1">IF(AND($D42&lt;&gt;0,_xlfn.XLOOKUP($B42,'PW_MLG GRADE 10'!$B$7:$B$31,'PW_MLG GRADE 10'!AZ$7:AZ$31,"",0,1)="P",
   _xlfn.XLOOKUP($B42,'PW_MLG GRADE 10'!$B$7:$B$31,'PW_MLG GRADE 10'!#REF!,"",0,1)&lt;=TODAY()-MOD(WEEKDAY(TODAY(),2)-5,7)),$D42,0)</f>
        <v>#REF!</v>
      </c>
      <c r="BX92" s="65" t="e">
        <f ca="1">IF(AND($D42&lt;&gt;0,_xlfn.XLOOKUP($B42,'PW_MLG GRADE 10'!$B$7:$B$31,'PW_MLG GRADE 10'!BA$7:BA$31,"",0,1)="P",
   _xlfn.XLOOKUP($B42,'PW_MLG GRADE 10'!$B$7:$B$31,'PW_MLG GRADE 10'!#REF!,"",0,1)&lt;=TODAY()-MOD(WEEKDAY(TODAY(),2)-5,7)),$D42,0)</f>
        <v>#REF!</v>
      </c>
      <c r="BY92" s="65" t="e">
        <f ca="1">IF(AND($D42&lt;&gt;0,_xlfn.XLOOKUP($B42,'PW_MLG GRADE 10'!$B$7:$B$31,'PW_MLG GRADE 10'!BB$7:BB$31,"",0,1)="P",
   _xlfn.XLOOKUP($B42,'PW_MLG GRADE 10'!$B$7:$B$31,'PW_MLG GRADE 10'!#REF!,"",0,1)&lt;=TODAY()-MOD(WEEKDAY(TODAY(),2)-5,7)),$D42,0)</f>
        <v>#REF!</v>
      </c>
      <c r="BZ92" s="65" t="e">
        <f ca="1">IF(AND($D42&lt;&gt;0,_xlfn.XLOOKUP($B42,'PW_MLG GRADE 10'!$B$7:$B$31,'PW_MLG GRADE 10'!BC$7:BC$31,"",0,1)="P",
   _xlfn.XLOOKUP($B42,'PW_MLG GRADE 10'!$B$7:$B$31,'PW_MLG GRADE 10'!#REF!,"",0,1)&lt;=TODAY()-MOD(WEEKDAY(TODAY(),2)-5,7)),$D42,0)</f>
        <v>#REF!</v>
      </c>
      <c r="CA92" s="65" t="e">
        <f ca="1">IF(AND($D42&lt;&gt;0,_xlfn.XLOOKUP($B42,'PW_MLG GRADE 10'!$B$7:$B$31,'PW_MLG GRADE 10'!BD$7:BD$31,"",0,1)="P",
   _xlfn.XLOOKUP($B42,'PW_MLG GRADE 10'!$B$7:$B$31,'PW_MLG GRADE 10'!#REF!,"",0,1)&lt;=TODAY()-MOD(WEEKDAY(TODAY(),2)-5,7)),$D42,0)</f>
        <v>#REF!</v>
      </c>
      <c r="CB92" s="65" t="e">
        <f ca="1">IF(AND($D42&lt;&gt;0,_xlfn.XLOOKUP($B42,'PW_MLG GRADE 10'!$B$7:$B$31,'PW_MLG GRADE 10'!BE$7:BE$31,"",0,1)="P",
   _xlfn.XLOOKUP($B42,'PW_MLG GRADE 10'!$B$7:$B$31,'PW_MLG GRADE 10'!#REF!,"",0,1)&lt;=TODAY()-MOD(WEEKDAY(TODAY(),2)-5,7)),$D42,0)</f>
        <v>#REF!</v>
      </c>
      <c r="CC92" s="65" t="e">
        <f ca="1">IF(AND($D42&lt;&gt;0,_xlfn.XLOOKUP($B42,'PW_MLG GRADE 10'!$B$7:$B$31,'PW_MLG GRADE 10'!BF$7:BF$31,"",0,1)="P",
   _xlfn.XLOOKUP($B42,'PW_MLG GRADE 10'!$B$7:$B$31,'PW_MLG GRADE 10'!#REF!,"",0,1)&lt;=TODAY()-MOD(WEEKDAY(TODAY(),2)-5,7)),$D42,0)</f>
        <v>#REF!</v>
      </c>
      <c r="CD92" s="65" t="e">
        <f ca="1">IF(AND($D42&lt;&gt;0,_xlfn.XLOOKUP($B42,'PW_MLG GRADE 10'!$B$7:$B$31,'PW_MLG GRADE 10'!BG$7:BG$31,"",0,1)="P",
   _xlfn.XLOOKUP($B42,'PW_MLG GRADE 10'!$B$7:$B$31,'PW_MLG GRADE 10'!#REF!,"",0,1)&lt;=TODAY()-MOD(WEEKDAY(TODAY(),2)-5,7)),$D42,0)</f>
        <v>#REF!</v>
      </c>
      <c r="CE92" s="67">
        <f ca="1">IF(AND($D42&lt;&gt;0,_xlfn.XLOOKUP($B42,'PW_CMI GRADE 10'!$B$7:$B$31,'PW_CMI GRADE 10'!AY$7:AY$31,"",0,1)="P",
   _xlfn.XLOOKUP($B42,'PW_CMI GRADE 10'!$B$7:$B$31,'PW_CMI GRADE 10'!$U$7:$U$31,"",0,1)&lt;=TODAY()-MOD(WEEKDAY(TODAY(),2)-5,7)),$D42,0)</f>
        <v>0</v>
      </c>
      <c r="CF92" s="67">
        <f ca="1">IF(AND($D42&lt;&gt;0,_xlfn.XLOOKUP($B42,'PW_CMI GRADE 10'!$B$7:$B$31,'PW_CMI GRADE 10'!AZ$7:AZ$31,"",0,1)="P",
   _xlfn.XLOOKUP($B42,'PW_CMI GRADE 10'!$B$7:$B$31,'PW_CMI GRADE 10'!$V$7:$V$31,"",0,1)&lt;=TODAY()-MOD(WEEKDAY(TODAY(),2)-5,7)),$D42,0)</f>
        <v>0</v>
      </c>
      <c r="CG92" s="67">
        <f ca="1">IF(AND($D42&lt;&gt;0,_xlfn.XLOOKUP($B42,'PW_CMI GRADE 10'!$B$7:$B$31,'PW_CMI GRADE 10'!BA$7:BA$31,"",0,1)="P",
   _xlfn.XLOOKUP($B42,'PW_CMI GRADE 10'!$B$7:$B$31,'PW_CMI GRADE 10'!$W$7:$W$31,"",0,1)&lt;=TODAY()-MOD(WEEKDAY(TODAY(),2)-5,7)),$D42,0)</f>
        <v>0</v>
      </c>
      <c r="CH92" s="67">
        <f ca="1">IF(AND($D42&lt;&gt;0,_xlfn.XLOOKUP($B42,'PW_CMI GRADE 10'!$B$7:$B$31,'PW_CMI GRADE 10'!BB$7:BB$31,"",0,1)="P",
   _xlfn.XLOOKUP($B42,'PW_CMI GRADE 10'!$B$7:$B$31,'PW_CMI GRADE 10'!$U$7:$U$31,"",0,1)&lt;=TODAY()-MOD(WEEKDAY(TODAY(),2)-5,7)),$D42,0)</f>
        <v>0</v>
      </c>
      <c r="CI92" s="67">
        <f ca="1">IF(AND($D42&lt;&gt;0,_xlfn.XLOOKUP($B42,'PW_CMI GRADE 10'!$B$7:$B$31,'PW_CMI GRADE 10'!BC$7:BC$31,"",0,1)="P",
   _xlfn.XLOOKUP($B42,'PW_CMI GRADE 10'!$B$7:$B$31,'PW_CMI GRADE 10'!$V$7:$V$31,"",0,1)&lt;=TODAY()-MOD(WEEKDAY(TODAY(),2)-5,7)),$D42,0)</f>
        <v>0</v>
      </c>
      <c r="CJ92" s="67">
        <f ca="1">IF(AND($D42&lt;&gt;0,_xlfn.XLOOKUP($B42,'PW_CMI GRADE 10'!$B$7:$B$31,'PW_CMI GRADE 10'!BD$7:BD$31,"",0,1)="P",
   _xlfn.XLOOKUP($B42,'PW_CMI GRADE 10'!$B$7:$B$31,'PW_CMI GRADE 10'!$W$7:$W$31,"",0,1)&lt;=TODAY()-MOD(WEEKDAY(TODAY(),2)-5,7)),$D42,0)</f>
        <v>0</v>
      </c>
      <c r="CK92" s="67">
        <f ca="1">IF(AND($D42&lt;&gt;0,_xlfn.XLOOKUP($B42,'PW_CMI GRADE 10'!$B$7:$B$31,'PW_CMI GRADE 10'!BE$7:BE$31,"",0,1)="P",
   _xlfn.XLOOKUP($B42,'PW_CMI GRADE 10'!$B$7:$B$31,'PW_CMI GRADE 10'!$U$7:$U$31,"",0,1)&lt;=TODAY()-MOD(WEEKDAY(TODAY(),2)-5,7)),$D42,0)</f>
        <v>0</v>
      </c>
      <c r="CL92" s="67">
        <f ca="1">IF(AND($D42&lt;&gt;0,_xlfn.XLOOKUP($B42,'PW_CMI GRADE 10'!$B$7:$B$31,'PW_CMI GRADE 10'!BF$7:BF$31,"",0,1)="P",
   _xlfn.XLOOKUP($B42,'PW_CMI GRADE 10'!$B$7:$B$31,'PW_CMI GRADE 10'!$V$7:$V$31,"",0,1)&lt;=TODAY()-MOD(WEEKDAY(TODAY(),2)-5,7)),$D42,0)</f>
        <v>0</v>
      </c>
      <c r="CM92" s="67">
        <f ca="1">IF(AND($D42&lt;&gt;0,_xlfn.XLOOKUP($B42,'PW_CMI GRADE 10'!$B$7:$B$31,'PW_CMI GRADE 10'!BG$7:BG$31,"",0,1)="P",
   _xlfn.XLOOKUP($B42,'PW_CMI GRADE 10'!$B$7:$B$31,'PW_CMI GRADE 10'!$W$7:$W$31,"",0,1)&lt;=TODAY()-MOD(WEEKDAY(TODAY(),2)-5,7)),$D42,0)</f>
        <v>0</v>
      </c>
      <c r="CN92" s="67">
        <f ca="1">IF(AND($D42&lt;&gt;0,_xlfn.XLOOKUP($B42,'PW_CMI GRADE 10'!$B$7:$B$31,'PW_CMI GRADE 10'!BH$7:BH$31,"",0,1)="P",
   _xlfn.XLOOKUP($B42,'PW_CMI GRADE 10'!$B$7:$B$31,'PW_CMI GRADE 10'!$U$7:$U$31,"",0,1)&lt;=TODAY()-MOD(WEEKDAY(TODAY(),2)-5,7)),$D42,0)</f>
        <v>0</v>
      </c>
      <c r="CO92" s="67">
        <f ca="1">IF(AND($D42&lt;&gt;0,_xlfn.XLOOKUP($B42,'PW_CMI GRADE 10'!$B$7:$B$31,'PW_CMI GRADE 10'!BI$7:BI$31,"",0,1)="P",
   _xlfn.XLOOKUP($B42,'PW_CMI GRADE 10'!$B$7:$B$31,'PW_CMI GRADE 10'!$V$7:$V$31,"",0,1)&lt;=TODAY()-MOD(WEEKDAY(TODAY(),2)-5,7)),$D42,0)</f>
        <v>0</v>
      </c>
      <c r="CP92" s="67">
        <f ca="1">IF(AND($D42&lt;&gt;0,_xlfn.XLOOKUP($B42,'PW_CMI GRADE 10'!$B$7:$B$31,'PW_CMI GRADE 10'!BJ$7:BJ$31,"",0,1)="P",
   _xlfn.XLOOKUP($B42,'PW_CMI GRADE 10'!$B$7:$B$31,'PW_CMI GRADE 10'!$W$7:$W$31,"",0,1)&lt;=TODAY()-MOD(WEEKDAY(TODAY(),2)-5,7)),$D42,0)</f>
        <v>0</v>
      </c>
      <c r="CQ92" s="67">
        <f ca="1">IF(AND($D42&lt;&gt;0,_xlfn.XLOOKUP($B42,'PW_CMI GRADE 10'!$B$7:$B$31,'PW_CMI GRADE 10'!BK$7:BK$31,"",0,1)="P",
   _xlfn.XLOOKUP($B42,'PW_CMI GRADE 10'!$B$7:$B$31,'PW_CMI GRADE 10'!$U$7:$U$31,"",0,1)&lt;=TODAY()-MOD(WEEKDAY(TODAY(),2)-5,7)),$D42,0)</f>
        <v>0</v>
      </c>
      <c r="CR92" s="67">
        <f ca="1">IF(AND($D42&lt;&gt;0,_xlfn.XLOOKUP($B42,'PW_CMI GRADE 10'!$B$7:$B$31,'PW_CMI GRADE 10'!BL$7:BL$31,"",0,1)="P",
   _xlfn.XLOOKUP($B42,'PW_CMI GRADE 10'!$B$7:$B$31,'PW_CMI GRADE 10'!$V$7:$V$31,"",0,1)&lt;=TODAY()-MOD(WEEKDAY(TODAY(),2)-5,7)),$D42,0)</f>
        <v>0</v>
      </c>
      <c r="CS92" s="67">
        <f ca="1">IF(AND($D42&lt;&gt;0,_xlfn.XLOOKUP($B42,'PW_CMI GRADE 10'!$B$7:$B$31,'PW_CMI GRADE 10'!BM$7:BM$31,"",0,1)="P",
   _xlfn.XLOOKUP($B42,'PW_CMI GRADE 10'!$B$7:$B$31,'PW_CMI GRADE 10'!$W$7:$W$31,"",0,1)&lt;=TODAY()-MOD(WEEKDAY(TODAY(),2)-5,7)),$D42,0)</f>
        <v>0</v>
      </c>
      <c r="CT92" s="67">
        <f ca="1">IF(AND($D42&lt;&gt;0,_xlfn.XLOOKUP($B42,'PW_CMI GRADE 10'!$B$7:$B$31,'PW_CMI GRADE 10'!BN$7:BN$31,"",0,1)="P",
   _xlfn.XLOOKUP($B42,'PW_CMI GRADE 10'!$B$7:$B$31,'PW_CMI GRADE 10'!$U$7:$U$31,"",0,1)&lt;=TODAY()-MOD(WEEKDAY(TODAY(),2)-5,7)),$D42,0)</f>
        <v>0</v>
      </c>
      <c r="CU92" s="67">
        <f ca="1">IF(AND($D42&lt;&gt;0,_xlfn.XLOOKUP($B42,'PW_CMI GRADE 10'!$B$7:$B$31,'PW_CMI GRADE 10'!BO$7:BO$31,"",0,1)="P",
   _xlfn.XLOOKUP($B42,'PW_CMI GRADE 10'!$B$7:$B$31,'PW_CMI GRADE 10'!$V$7:$V$31,"",0,1)&lt;=TODAY()-MOD(WEEKDAY(TODAY(),2)-5,7)),$D42,0)</f>
        <v>0</v>
      </c>
      <c r="CV92" s="67">
        <f ca="1">IF(AND($D42&lt;&gt;0,_xlfn.XLOOKUP($B42,'PW_CMI GRADE 10'!$B$7:$B$31,'PW_CMI GRADE 10'!BP$7:BP$31,"",0,1)="P",
   _xlfn.XLOOKUP($B42,'PW_CMI GRADE 10'!$B$7:$B$31,'PW_CMI GRADE 10'!$W$7:$W$31,"",0,1)&lt;=TODAY()-MOD(WEEKDAY(TODAY(),2)-5,7)),$D42,0)</f>
        <v>0</v>
      </c>
      <c r="CW92" s="62" t="e">
        <f t="shared" ca="1" si="132"/>
        <v>#REF!</v>
      </c>
      <c r="CX92" s="62" t="e">
        <f t="shared" ca="1" si="69"/>
        <v>#REF!</v>
      </c>
      <c r="CY92" s="62" t="e">
        <f t="shared" ca="1" si="70"/>
        <v>#REF!</v>
      </c>
      <c r="CZ92" s="62" t="e">
        <f t="shared" ca="1" si="71"/>
        <v>#REF!</v>
      </c>
      <c r="DA92" s="62" t="e">
        <f t="shared" ca="1" si="72"/>
        <v>#REF!</v>
      </c>
      <c r="DB92" s="62" t="e">
        <f t="shared" ca="1" si="73"/>
        <v>#REF!</v>
      </c>
      <c r="DC92" s="62" t="e">
        <f t="shared" ca="1" si="74"/>
        <v>#REF!</v>
      </c>
      <c r="DD92" s="62" t="e">
        <f t="shared" ca="1" si="75"/>
        <v>#REF!</v>
      </c>
      <c r="DE92" s="62" t="e">
        <f t="shared" ca="1" si="76"/>
        <v>#REF!</v>
      </c>
      <c r="DF92" s="62" t="e">
        <f t="shared" ca="1" si="77"/>
        <v>#REF!</v>
      </c>
      <c r="DG92" s="62" t="e">
        <f t="shared" ca="1" si="78"/>
        <v>#REF!</v>
      </c>
      <c r="DH92" s="62" t="e">
        <f t="shared" ca="1" si="79"/>
        <v>#REF!</v>
      </c>
      <c r="DI92" s="62" t="e">
        <f t="shared" ca="1" si="80"/>
        <v>#REF!</v>
      </c>
      <c r="DJ92" s="62" t="e">
        <f t="shared" ca="1" si="81"/>
        <v>#REF!</v>
      </c>
      <c r="DK92" s="62" t="e">
        <f t="shared" ca="1" si="82"/>
        <v>#REF!</v>
      </c>
      <c r="DL92" s="62" t="e">
        <f t="shared" ca="1" si="83"/>
        <v>#REF!</v>
      </c>
      <c r="DM92" s="62" t="e">
        <f t="shared" ca="1" si="84"/>
        <v>#REF!</v>
      </c>
      <c r="DN92" s="62" t="e">
        <f t="shared" ca="1" si="85"/>
        <v>#REF!</v>
      </c>
      <c r="DO92" s="62" t="e">
        <f t="shared" ca="1" si="86"/>
        <v>#REF!</v>
      </c>
      <c r="DP92" s="62" t="e">
        <f t="shared" ca="1" si="87"/>
        <v>#REF!</v>
      </c>
      <c r="DQ92" s="62" t="e">
        <f t="shared" ca="1" si="88"/>
        <v>#REF!</v>
      </c>
      <c r="DR92" s="62" t="e">
        <f t="shared" ca="1" si="89"/>
        <v>#REF!</v>
      </c>
      <c r="DS92" s="62" t="e">
        <f t="shared" ca="1" si="90"/>
        <v>#REF!</v>
      </c>
      <c r="DT92" s="62" t="e">
        <f t="shared" ca="1" si="91"/>
        <v>#REF!</v>
      </c>
      <c r="DU92" s="62" t="e">
        <f t="shared" ca="1" si="92"/>
        <v>#REF!</v>
      </c>
      <c r="DV92" s="62" t="e">
        <f t="shared" ca="1" si="93"/>
        <v>#REF!</v>
      </c>
      <c r="DW92" s="62" t="e">
        <f t="shared" ca="1" si="94"/>
        <v>#REF!</v>
      </c>
      <c r="DX92" s="62" t="e">
        <f t="shared" ca="1" si="95"/>
        <v>#REF!</v>
      </c>
      <c r="DY92" s="62" t="e">
        <f t="shared" ca="1" si="96"/>
        <v>#REF!</v>
      </c>
      <c r="DZ92" s="62" t="e">
        <f t="shared" ca="1" si="97"/>
        <v>#REF!</v>
      </c>
      <c r="EA92" s="63" t="e">
        <f t="shared" ca="1" si="98"/>
        <v>#REF!</v>
      </c>
      <c r="EB92" s="63" t="e">
        <f t="shared" ca="1" si="99"/>
        <v>#REF!</v>
      </c>
      <c r="EC92" s="63" t="e">
        <f t="shared" ca="1" si="100"/>
        <v>#REF!</v>
      </c>
      <c r="ED92" s="63" t="e">
        <f t="shared" ca="1" si="101"/>
        <v>#REF!</v>
      </c>
      <c r="EE92" s="63" t="e">
        <f t="shared" ca="1" si="102"/>
        <v>#REF!</v>
      </c>
      <c r="EF92" s="63" t="e">
        <f t="shared" ca="1" si="103"/>
        <v>#REF!</v>
      </c>
      <c r="EG92" s="63" t="e">
        <f t="shared" ca="1" si="104"/>
        <v>#REF!</v>
      </c>
      <c r="EH92" s="63" t="e">
        <f t="shared" ca="1" si="105"/>
        <v>#REF!</v>
      </c>
      <c r="EI92" s="63" t="e">
        <f t="shared" ca="1" si="106"/>
        <v>#REF!</v>
      </c>
      <c r="EJ92" s="63" t="e">
        <f t="shared" ca="1" si="107"/>
        <v>#REF!</v>
      </c>
      <c r="EK92" s="63" t="e">
        <f t="shared" ca="1" si="108"/>
        <v>#REF!</v>
      </c>
      <c r="EL92" s="63" t="e">
        <f t="shared" ca="1" si="109"/>
        <v>#REF!</v>
      </c>
      <c r="EM92" s="63" t="e">
        <f t="shared" ca="1" si="110"/>
        <v>#REF!</v>
      </c>
      <c r="EN92" s="63" t="e">
        <f t="shared" ca="1" si="111"/>
        <v>#REF!</v>
      </c>
      <c r="EO92" s="63" t="e">
        <f t="shared" ca="1" si="112"/>
        <v>#REF!</v>
      </c>
      <c r="EP92" s="63" t="e">
        <f t="shared" ca="1" si="113"/>
        <v>#REF!</v>
      </c>
    </row>
    <row r="93" spans="1:146">
      <c r="A93" s="64" t="str">
        <f t="shared" si="131"/>
        <v>7A.1</v>
      </c>
      <c r="B93" s="64" t="s">
        <v>74</v>
      </c>
      <c r="C93" s="29"/>
      <c r="D93" s="29">
        <v>2</v>
      </c>
      <c r="E93" s="65">
        <f ca="1">IF(AND($D43&lt;&gt;0,_xlfn.XLOOKUP($B43,'TH_MLG GRADE 10'!$B$7:$B$49,'TH_MLG GRADE 10'!C$7:C$49,"",0,1)="P",
   _xlfn.XLOOKUP($B43,'TH_MLG GRADE 10'!$B$7:$B$49,'TH_MLG GRADE 10'!$BK$7:$BK$49,"",0,1)&lt;=TODAY()-MOD(WEEKDAY(TODAY(),2)-5,7)),$D43,0)</f>
        <v>0</v>
      </c>
      <c r="F93" s="65">
        <f ca="1">IF(AND($D43&lt;&gt;0,_xlfn.XLOOKUP($B43,'TH_MLG GRADE 10'!$B$7:$B$49,'TH_MLG GRADE 10'!D$7:D$49,"",0,1)="P",
   _xlfn.XLOOKUP($B43,'TH_MLG GRADE 10'!$B$7:$B$49,'TH_MLG GRADE 10'!$BL$7:$BL$49,"",0,1)&lt;=TODAY()-MOD(WEEKDAY(TODAY(),2)-5,7)),$D43,0)</f>
        <v>0</v>
      </c>
      <c r="G93" s="65">
        <f ca="1">IF(AND($D43&lt;&gt;0,_xlfn.XLOOKUP($B43,'TH_MLG GRADE 10'!$B$7:$B$49,'TH_MLG GRADE 10'!E$7:E$49,"",0,1)="P",
   _xlfn.XLOOKUP($B43,'TH_MLG GRADE 10'!$B$7:$B$49,'TH_MLG GRADE 10'!$BM$7:$BM$49,"",0,1)&lt;=TODAY()-MOD(WEEKDAY(TODAY(),2)-5,7)),$D43,0)</f>
        <v>0</v>
      </c>
      <c r="H93" s="65">
        <f ca="1">IF(AND($D43&lt;&gt;0,_xlfn.XLOOKUP($B43,'TH_MLG GRADE 10'!$B$7:$B$49,'TH_MLG GRADE 10'!I$7:I$49,"",0,1)="P",
   _xlfn.XLOOKUP($B43,'TH_MLG GRADE 10'!$B$7:$B$49,'TH_MLG GRADE 10'!$BK$7:$BK$49,"",0,1)&lt;=TODAY()-MOD(WEEKDAY(TODAY(),2)-5,7)),$D43,0)</f>
        <v>0</v>
      </c>
      <c r="I93" s="65">
        <f ca="1">IF(AND($D43&lt;&gt;0,_xlfn.XLOOKUP($B43,'TH_MLG GRADE 10'!$B$7:$B$49,'TH_MLG GRADE 10'!J$7:J$49,"",0,1)="P",
   _xlfn.XLOOKUP($B43,'TH_MLG GRADE 10'!$B$7:$B$49,'TH_MLG GRADE 10'!$BL$7:$BL$49,"",0,1)&lt;=TODAY()-MOD(WEEKDAY(TODAY(),2)-5,7)),$D43,0)</f>
        <v>0</v>
      </c>
      <c r="J93" s="65">
        <f ca="1">IF(AND($D43&lt;&gt;0,_xlfn.XLOOKUP($B43,'TH_MLG GRADE 10'!$B$7:$B$49,'TH_MLG GRADE 10'!K$7:K$49,"",0,1)="P",
   _xlfn.XLOOKUP($B43,'TH_MLG GRADE 10'!$B$7:$B$49,'TH_MLG GRADE 10'!$BM$7:$BM$49,"",0,1)&lt;=TODAY()-MOD(WEEKDAY(TODAY(),2)-5,7)),$D43,0)</f>
        <v>0</v>
      </c>
      <c r="K93" s="65">
        <f ca="1">IF(AND($D43&lt;&gt;0,_xlfn.XLOOKUP($B43,'TH_MLG GRADE 10'!$B$7:$B$49,'TH_MLG GRADE 10'!O$7:O$49,"",0,1)="P",
   _xlfn.XLOOKUP($B43,'TH_MLG GRADE 10'!$B$7:$B$49,'TH_MLG GRADE 10'!$BK$7:$BK$49,"",0,1)&lt;=TODAY()-MOD(WEEKDAY(TODAY(),2)-5,7)),$D43,0)</f>
        <v>0</v>
      </c>
      <c r="L93" s="65">
        <f ca="1">IF(AND($D43&lt;&gt;0,_xlfn.XLOOKUP($B43,'TH_MLG GRADE 10'!$B$7:$B$49,'TH_MLG GRADE 10'!P$7:P$49,"",0,1)="P",
   _xlfn.XLOOKUP($B43,'TH_MLG GRADE 10'!$B$7:$B$49,'TH_MLG GRADE 10'!$BL$7:$BL$49,"",0,1)&lt;=TODAY()-MOD(WEEKDAY(TODAY(),2)-5,7)),$D43,0)</f>
        <v>0</v>
      </c>
      <c r="M93" s="65">
        <f ca="1">IF(AND($D43&lt;&gt;0,_xlfn.XLOOKUP($B43,'TH_MLG GRADE 10'!$B$7:$B$49,'TH_MLG GRADE 10'!Q$7:Q$49,"",0,1)="P",
   _xlfn.XLOOKUP($B43,'TH_MLG GRADE 10'!$B$7:$B$49,'TH_MLG GRADE 10'!$BM$7:$BM$49,"",0,1)&lt;=TODAY()-MOD(WEEKDAY(TODAY(),2)-5,7)),$D43,0)</f>
        <v>0</v>
      </c>
      <c r="N93" s="65">
        <f ca="1">IF(AND($D43&lt;&gt;0,_xlfn.XLOOKUP($B43,'TH_MLG GRADE 10'!$B$7:$B$49,'TH_MLG GRADE 10'!AA$7:AA$49,"",0,1)="P",
   _xlfn.XLOOKUP($B43,'TH_MLG GRADE 10'!$B$7:$B$49,'TH_MLG GRADE 10'!$BK$7:$BK$49,"",0,1)&lt;=TODAY()-MOD(WEEKDAY(TODAY(),2)-5,7)),$D43,0)</f>
        <v>0</v>
      </c>
      <c r="O93" s="65">
        <f ca="1">IF(AND($D43&lt;&gt;0,_xlfn.XLOOKUP($B43,'TH_MLG GRADE 10'!$B$7:$B$49,'TH_MLG GRADE 10'!AB$7:AB$49,"",0,1)="P",
   _xlfn.XLOOKUP($B43,'TH_MLG GRADE 10'!$B$7:$B$49,'TH_MLG GRADE 10'!$BL$7:$BL$49,"",0,1)&lt;=TODAY()-MOD(WEEKDAY(TODAY(),2)-5,7)),$D43,0)</f>
        <v>0</v>
      </c>
      <c r="P93" s="65">
        <f ca="1">IF(AND($D43&lt;&gt;0,_xlfn.XLOOKUP($B43,'TH_MLG GRADE 10'!$B$7:$B$49,'TH_MLG GRADE 10'!AC$7:AC$49,"",0,1)="P",
   _xlfn.XLOOKUP($B43,'TH_MLG GRADE 10'!$B$7:$B$49,'TH_MLG GRADE 10'!$BM$7:$BM$49,"",0,1)&lt;=TODAY()-MOD(WEEKDAY(TODAY(),2)-5,7)),$D43,0)</f>
        <v>0</v>
      </c>
      <c r="Q93" s="65">
        <f ca="1">IF(AND($D43&lt;&gt;0,_xlfn.XLOOKUP($B43,'TH_MLG GRADE 10'!$B$7:$B$49,'TH_MLG GRADE 10'!AG$7:AG$49,"",0,1)="P",
   _xlfn.XLOOKUP($B43,'TH_MLG GRADE 10'!$B$7:$B$49,'TH_MLG GRADE 10'!$BK$7:$BK$49,"",0,1)&lt;=TODAY()-MOD(WEEKDAY(TODAY(),2)-5,7)),$D43,0)</f>
        <v>0</v>
      </c>
      <c r="R93" s="65">
        <f ca="1">IF(AND($D43&lt;&gt;0,_xlfn.XLOOKUP($B43,'TH_MLG GRADE 10'!$B$7:$B$49,'TH_MLG GRADE 10'!AH$7:AH$49,"",0,1)="P",
   _xlfn.XLOOKUP($B43,'TH_MLG GRADE 10'!$B$7:$B$49,'TH_MLG GRADE 10'!$BL$7:$BL$49,"",0,1)&lt;=TODAY()-MOD(WEEKDAY(TODAY(),2)-5,7)),$D43,0)</f>
        <v>0</v>
      </c>
      <c r="S93" s="65">
        <f ca="1">IF(AND($D43&lt;&gt;0,_xlfn.XLOOKUP($B43,'TH_MLG GRADE 10'!$B$7:$B$49,'TH_MLG GRADE 10'!AI$7:AI$49,"",0,1)="P",
   _xlfn.XLOOKUP($B43,'TH_MLG GRADE 10'!$B$7:$B$49,'TH_MLG GRADE 10'!$BM$7:$BM$49,"",0,1)&lt;=TODAY()-MOD(WEEKDAY(TODAY(),2)-5,7)),$D43,0)</f>
        <v>0</v>
      </c>
      <c r="T93" s="65">
        <f ca="1">IF(AND($D43&lt;&gt;0,_xlfn.XLOOKUP($B43,'TH_MLG GRADE 10'!$B$7:$B$49,'TH_MLG GRADE 10'!AM$7:AM$49,"",0,1)="P",
   _xlfn.XLOOKUP($B43,'TH_MLG GRADE 10'!$B$7:$B$49,'TH_MLG GRADE 10'!$BK$7:$BK$49,"",0,1)&lt;=TODAY()-MOD(WEEKDAY(TODAY(),2)-5,7)),$D43,0)</f>
        <v>2</v>
      </c>
      <c r="U93" s="65">
        <f ca="1">IF(AND($D43&lt;&gt;0,_xlfn.XLOOKUP($B43,'TH_MLG GRADE 10'!$B$7:$B$49,'TH_MLG GRADE 10'!AN$7:AN$49,"",0,1)="P",
   _xlfn.XLOOKUP($B43,'TH_MLG GRADE 10'!$B$7:$B$49,'TH_MLG GRADE 10'!$BL$7:$BL$49,"",0,1)&lt;=TODAY()-MOD(WEEKDAY(TODAY(),2)-5,7)),$D43,0)</f>
        <v>2</v>
      </c>
      <c r="V93" s="65">
        <f ca="1">IF(AND($D43&lt;&gt;0,_xlfn.XLOOKUP($B43,'TH_MLG GRADE 10'!$B$7:$B$49,'TH_MLG GRADE 10'!AO$7:AO$49,"",0,1)="P",
   _xlfn.XLOOKUP($B43,'TH_MLG GRADE 10'!$B$7:$B$49,'TH_MLG GRADE 10'!$BM$7:$BM$49,"",0,1)&lt;=TODAY()-MOD(WEEKDAY(TODAY(),2)-5,7)),$D43,0)</f>
        <v>2</v>
      </c>
      <c r="W93" s="65">
        <f ca="1">IF(AND($D43&lt;&gt;0,_xlfn.XLOOKUP($B43,'TH_MLG GRADE 10'!$B$7:$B$49,'TH_MLG GRADE 10'!AY$7:AY$49,"",0,1)="P",
   _xlfn.XLOOKUP($B43,'TH_MLG GRADE 10'!$B$7:$B$49,'TH_MLG GRADE 10'!$BK$7:$BK$49,"",0,1)&lt;=TODAY()-MOD(WEEKDAY(TODAY(),2)-5,7)),$D43,0)</f>
        <v>2</v>
      </c>
      <c r="X93" s="65">
        <f ca="1">IF(AND($D43&lt;&gt;0,_xlfn.XLOOKUP($B43,'TH_MLG GRADE 10'!$B$7:$B$49,'TH_MLG GRADE 10'!AZ$7:AZ$49,"",0,1)="P",
   _xlfn.XLOOKUP($B43,'TH_MLG GRADE 10'!$B$7:$B$49,'TH_MLG GRADE 10'!$BL$7:$BL$49,"",0,1)&lt;=TODAY()-MOD(WEEKDAY(TODAY(),2)-5,7)),$D43,0)</f>
        <v>2</v>
      </c>
      <c r="Y93" s="65">
        <f ca="1">IF(AND($D43&lt;&gt;0,_xlfn.XLOOKUP($B43,'TH_MLG GRADE 10'!$B$7:$B$49,'TH_MLG GRADE 10'!BA$7:BA$49,"",0,1)="P",
   _xlfn.XLOOKUP($B43,'TH_MLG GRADE 10'!$B$7:$B$49,'TH_MLG GRADE 10'!$BM$7:$BM$49,"",0,1)&lt;=TODAY()-MOD(WEEKDAY(TODAY(),2)-5,7)),$D43,0)</f>
        <v>2</v>
      </c>
      <c r="Z93" s="65">
        <f ca="1">IF(AND($D43&lt;&gt;0,_xlfn.XLOOKUP($B43,'TH_MLG GRADE 10'!$B$7:$B$49,'TH_MLG GRADE 10'!BE$7:BE$49,"",0,1)="P",
   _xlfn.XLOOKUP($B43,'TH_MLG GRADE 10'!$B$7:$B$49,'TH_MLG GRADE 10'!$BK$7:$BK$49,"",0,1)&lt;=TODAY()-MOD(WEEKDAY(TODAY(),2)-5,7)),$D43,0)</f>
        <v>0</v>
      </c>
      <c r="AA93" s="65">
        <f ca="1">IF(AND($D43&lt;&gt;0,_xlfn.XLOOKUP($B43,'TH_MLG GRADE 10'!$B$7:$B$49,'TH_MLG GRADE 10'!BF$7:BF$49,"",0,1)="P",
   _xlfn.XLOOKUP($B43,'TH_MLG GRADE 10'!$B$7:$B$49,'TH_MLG GRADE 10'!$BL$7:$BL$49,"",0,1)&lt;=TODAY()-MOD(WEEKDAY(TODAY(),2)-5,7)),$D43,0)</f>
        <v>0</v>
      </c>
      <c r="AB93" s="65">
        <f ca="1">IF(AND($D43&lt;&gt;0,_xlfn.XLOOKUP($B43,'TH_MLG GRADE 10'!$B$7:$B$49,'TH_MLG GRADE 10'!BG$7:BG$49,"",0,1)="P",
   _xlfn.XLOOKUP($B43,'TH_MLG GRADE 10'!$B$7:$B$49,'TH_MLG GRADE 10'!$BM$7:$BM$49,"",0,1)&lt;=TODAY()-MOD(WEEKDAY(TODAY(),2)-5,7)),$D43,0)</f>
        <v>0</v>
      </c>
      <c r="AC93" s="65" t="e">
        <f ca="1">IF(AND($D43&lt;&gt;0,_xlfn.XLOOKUP($B43,'TH_MLG GRADE 10'!$B$7:$B$49,'TH_MLG GRADE 10'!#REF!,"",0,1)="P",
   _xlfn.XLOOKUP($B43,'TH_MLG GRADE 10'!$B$7:$B$49,'TH_MLG GRADE 10'!$BK$7:$BK$49,"",0,1)&lt;=TODAY()-MOD(WEEKDAY(TODAY(),2)-5,7)),$D43,0)</f>
        <v>#REF!</v>
      </c>
      <c r="AD93" s="65" t="e">
        <f ca="1">IF(AND($D43&lt;&gt;0,_xlfn.XLOOKUP($B43,'TH_MLG GRADE 10'!$B$7:$B$49,'TH_MLG GRADE 10'!#REF!,"",0,1)="P",
   _xlfn.XLOOKUP($B43,'TH_MLG GRADE 10'!$B$7:$B$49,'TH_MLG GRADE 10'!$BL$7:$BL$49,"",0,1)&lt;=TODAY()-MOD(WEEKDAY(TODAY(),2)-5,7)),$D43,0)</f>
        <v>#REF!</v>
      </c>
      <c r="AE93" s="65" t="e">
        <f ca="1">IF(AND($D43&lt;&gt;0,_xlfn.XLOOKUP($B43,'TH_MLG GRADE 10'!$B$7:$B$49,'TH_MLG GRADE 10'!#REF!,"",0,1)="P",
   _xlfn.XLOOKUP($B43,'TH_MLG GRADE 10'!$B$7:$B$49,'TH_MLG GRADE 10'!$BM$7:$BM$49,"",0,1)&lt;=TODAY()-MOD(WEEKDAY(TODAY(),2)-5,7)),$D43,0)</f>
        <v>#REF!</v>
      </c>
      <c r="AF93" s="65" t="e">
        <f ca="1">IF(AND($D43&lt;&gt;0,_xlfn.XLOOKUP($B43,'TH_MLG GRADE 10'!$B$7:$B$49,'TH_MLG GRADE 10'!#REF!,"",0,1)="P",
   _xlfn.XLOOKUP($B43,'TH_MLG GRADE 10'!$B$7:$B$49,'TH_MLG GRADE 10'!$BK$7:$BK$49,"",0,1)&lt;=TODAY()-MOD(WEEKDAY(TODAY(),2)-5,7)),$D43,0)</f>
        <v>#REF!</v>
      </c>
      <c r="AG93" s="65" t="e">
        <f ca="1">IF(AND($D43&lt;&gt;0,_xlfn.XLOOKUP($B43,'TH_MLG GRADE 10'!$B$7:$B$49,'TH_MLG GRADE 10'!#REF!,"",0,1)="P",
   _xlfn.XLOOKUP($B43,'TH_MLG GRADE 10'!$B$7:$B$49,'TH_MLG GRADE 10'!$BL$7:$BL$49,"",0,1)&lt;=TODAY()-MOD(WEEKDAY(TODAY(),2)-5,7)),$D43,0)</f>
        <v>#REF!</v>
      </c>
      <c r="AH93" s="65" t="e">
        <f ca="1">IF(AND($D43&lt;&gt;0,_xlfn.XLOOKUP($B43,'TH_MLG GRADE 10'!$B$7:$B$49,'TH_MLG GRADE 10'!#REF!,"",0,1)="P",
   _xlfn.XLOOKUP($B43,'TH_MLG GRADE 10'!$B$7:$B$49,'TH_MLG GRADE 10'!$BM$7:$BM$49,"",0,1)&lt;=TODAY()-MOD(WEEKDAY(TODAY(),2)-5,7)),$D43,0)</f>
        <v>#REF!</v>
      </c>
      <c r="AI93" s="67">
        <f ca="1">IF(AND($D43&lt;&gt;0,_xlfn.XLOOKUP($B43,'TH_CMI GRADE 10'!$B$7:$B$49,'TH_CMI GRADE 10'!C$7:C$49,"",0,1)="P",
   _xlfn.XLOOKUP($B43,'TH_CMI GRADE 10'!$B$7:$B$49,'TH_CMI GRADE 10'!$AS$7:$AS$49,"",0,1)&lt;=TODAY()-MOD(WEEKDAY(TODAY(),2)-5,7)),$D43,0)</f>
        <v>2</v>
      </c>
      <c r="AJ93" s="67">
        <f ca="1">IF(AND($D43&lt;&gt;0,_xlfn.XLOOKUP($B43,'TH_CMI GRADE 10'!$B$7:$B$49,'TH_CMI GRADE 10'!D$7:D$49,"",0,1)="P",
   _xlfn.XLOOKUP($B43,'TH_CMI GRADE 10'!$B$7:$B$49,'TH_CMI GRADE 10'!$AT$7:$AT$49,"",0,1)&lt;=TODAY()-MOD(WEEKDAY(TODAY(),2)-5,7)),$D43,0)</f>
        <v>2</v>
      </c>
      <c r="AK93" s="67" t="e">
        <f ca="1">IF(AND($D43&lt;&gt;0,_xlfn.XLOOKUP($B43,'TH_CMI GRADE 10'!$B$7:$B$49,'TH_CMI GRADE 10'!H$7:H$49,"",0,1)="P",
   _xlfn.XLOOKUP($B43,'TH_CMI GRADE 10'!$B$7:$B$49,'TH_CMI GRADE 10'!#REF!,"",0,1)&lt;=TODAY()-MOD(WEEKDAY(TODAY(),2)-5,7)),$D43,0)</f>
        <v>#REF!</v>
      </c>
      <c r="AL93" s="67">
        <f ca="1">IF(AND($D43&lt;&gt;0,_xlfn.XLOOKUP($B43,'TH_CMI GRADE 10'!$B$7:$B$49,'TH_CMI GRADE 10'!I$7:I$49,"",0,1)="P",
   _xlfn.XLOOKUP($B43,'TH_CMI GRADE 10'!$B$7:$B$49,'TH_CMI GRADE 10'!$AS$7:$AS$49,"",0,1)&lt;=TODAY()-MOD(WEEKDAY(TODAY(),2)-5,7)),$D43,0)</f>
        <v>0</v>
      </c>
      <c r="AM93" s="67">
        <f ca="1">IF(AND($D43&lt;&gt;0,_xlfn.XLOOKUP($B43,'TH_CMI GRADE 10'!$B$7:$B$49,'TH_CMI GRADE 10'!J$7:J$49,"",0,1)="P",
   _xlfn.XLOOKUP($B43,'TH_CMI GRADE 10'!$B$7:$B$49,'TH_CMI GRADE 10'!$AT$7:$AT$49,"",0,1)&lt;=TODAY()-MOD(WEEKDAY(TODAY(),2)-5,7)),$D43,0)</f>
        <v>0</v>
      </c>
      <c r="AN93" s="67" t="e">
        <f ca="1">IF(AND($D43&lt;&gt;0,_xlfn.XLOOKUP($B43,'TH_CMI GRADE 10'!$B$7:$B$49,'TH_CMI GRADE 10'!K$7:K$49,"",0,1)="P",
   _xlfn.XLOOKUP($B43,'TH_CMI GRADE 10'!$B$7:$B$49,'TH_CMI GRADE 10'!#REF!,"",0,1)&lt;=TODAY()-MOD(WEEKDAY(TODAY(),2)-5,7)),$D43,0)</f>
        <v>#REF!</v>
      </c>
      <c r="AO93" s="67">
        <f ca="1">IF(AND($D43&lt;&gt;0,_xlfn.XLOOKUP($B43,'TH_CMI GRADE 10'!$B$7:$B$49,'TH_CMI GRADE 10'!O$7:O$49,"",0,1)="P",
   _xlfn.XLOOKUP($B43,'TH_CMI GRADE 10'!$B$7:$B$49,'TH_CMI GRADE 10'!$AS$7:$AS$49,"",0,1)&lt;=TODAY()-MOD(WEEKDAY(TODAY(),2)-5,7)),$D43,0)</f>
        <v>0</v>
      </c>
      <c r="AP93" s="67">
        <f ca="1">IF(AND($D43&lt;&gt;0,_xlfn.XLOOKUP($B43,'TH_CMI GRADE 10'!$B$7:$B$49,'TH_CMI GRADE 10'!P$7:P$49,"",0,1)="P",
   _xlfn.XLOOKUP($B43,'TH_CMI GRADE 10'!$B$7:$B$49,'TH_CMI GRADE 10'!$AT$7:$AT$49,"",0,1)&lt;=TODAY()-MOD(WEEKDAY(TODAY(),2)-5,7)),$D43,0)</f>
        <v>0</v>
      </c>
      <c r="AQ93" s="67" t="e">
        <f ca="1">IF(AND($D43&lt;&gt;0,_xlfn.XLOOKUP($B43,'TH_CMI GRADE 10'!$B$7:$B$49,'TH_CMI GRADE 10'!Q$7:Q$49,"",0,1)="P",
   _xlfn.XLOOKUP($B43,'TH_CMI GRADE 10'!$B$7:$B$49,'TH_CMI GRADE 10'!#REF!,"",0,1)&lt;=TODAY()-MOD(WEEKDAY(TODAY(),2)-5,7)),$D43,0)</f>
        <v>#REF!</v>
      </c>
      <c r="AR93" s="67">
        <f ca="1">IF(AND($D43&lt;&gt;0,_xlfn.XLOOKUP($B43,'TH_CMI GRADE 10'!$B$7:$B$49,'TH_CMI GRADE 10'!U$7:U$49,"",0,1)="P",
   _xlfn.XLOOKUP($B43,'TH_CMI GRADE 10'!$B$7:$B$49,'TH_CMI GRADE 10'!$AS$7:$AS$49,"",0,1)&lt;=TODAY()-MOD(WEEKDAY(TODAY(),2)-5,7)),$D43,0)</f>
        <v>2</v>
      </c>
      <c r="AS93" s="67">
        <f ca="1">IF(AND($D43&lt;&gt;0,_xlfn.XLOOKUP($B43,'TH_CMI GRADE 10'!$B$7:$B$49,'TH_CMI GRADE 10'!V$7:V$49,"",0,1)="P",
   _xlfn.XLOOKUP($B43,'TH_CMI GRADE 10'!$B$7:$B$49,'TH_CMI GRADE 10'!$AT$7:$AT$49,"",0,1)&lt;=TODAY()-MOD(WEEKDAY(TODAY(),2)-5,7)),$D43,0)</f>
        <v>2</v>
      </c>
      <c r="AT93" s="67" t="e">
        <f ca="1">IF(AND($D43&lt;&gt;0,_xlfn.XLOOKUP($B43,'TH_CMI GRADE 10'!$B$7:$B$49,'TH_CMI GRADE 10'!W$7:W$49,"",0,1)="P",
   _xlfn.XLOOKUP($B43,'TH_CMI GRADE 10'!$B$7:$B$49,'TH_CMI GRADE 10'!#REF!,"",0,1)&lt;=TODAY()-MOD(WEEKDAY(TODAY(),2)-5,7)),$D43,0)</f>
        <v>#REF!</v>
      </c>
      <c r="AU93" s="67">
        <f ca="1">IF(AND($D43&lt;&gt;0,_xlfn.XLOOKUP($B43,'TH_CMI GRADE 10'!$B$7:$B$49,'TH_CMI GRADE 10'!AA$7:AA$49,"",0,1)="P",
   _xlfn.XLOOKUP($B43,'TH_CMI GRADE 10'!$B$7:$B$49,'TH_CMI GRADE 10'!$AS$7:$AS$49,"",0,1)&lt;=TODAY()-MOD(WEEKDAY(TODAY(),2)-5,7)),$D43,0)</f>
        <v>0</v>
      </c>
      <c r="AV93" s="67">
        <f ca="1">IF(AND($D43&lt;&gt;0,_xlfn.XLOOKUP($B43,'TH_CMI GRADE 10'!$B$7:$B$49,'TH_CMI GRADE 10'!AB$7:AB$49,"",0,1)="P",
   _xlfn.XLOOKUP($B43,'TH_CMI GRADE 10'!$B$7:$B$49,'TH_CMI GRADE 10'!$AT$7:$AT$49,"",0,1)&lt;=TODAY()-MOD(WEEKDAY(TODAY(),2)-5,7)),$D43,0)</f>
        <v>0</v>
      </c>
      <c r="AW93" s="67" t="e">
        <f ca="1">IF(AND($D43&lt;&gt;0,_xlfn.XLOOKUP($B43,'TH_CMI GRADE 10'!$B$7:$B$49,'TH_CMI GRADE 10'!AC$7:AC$49,"",0,1)="P",
   _xlfn.XLOOKUP($B43,'TH_CMI GRADE 10'!$B$7:$B$49,'TH_CMI GRADE 10'!#REF!,"",0,1)&lt;=TODAY()-MOD(WEEKDAY(TODAY(),2)-5,7)),$D43,0)</f>
        <v>#REF!</v>
      </c>
      <c r="AX93" s="67">
        <f ca="1">IF(AND($D43&lt;&gt;0,_xlfn.XLOOKUP($B43,'TH_CMI GRADE 10'!$B$7:$B$49,'TH_CMI GRADE 10'!AG$7:AG$49,"",0,1)="P",
   _xlfn.XLOOKUP($B43,'TH_CMI GRADE 10'!$B$7:$B$49,'TH_CMI GRADE 10'!$AS$7:$AS$49,"",0,1)&lt;=TODAY()-MOD(WEEKDAY(TODAY(),2)-5,7)),$D43,0)</f>
        <v>0</v>
      </c>
      <c r="AY93" s="67">
        <f ca="1">IF(AND($D43&lt;&gt;0,_xlfn.XLOOKUP($B43,'TH_CMI GRADE 10'!$B$7:$B$49,'TH_CMI GRADE 10'!AH$7:AH$49,"",0,1)="P",
   _xlfn.XLOOKUP($B43,'TH_CMI GRADE 10'!$B$7:$B$49,'TH_CMI GRADE 10'!$AT$7:$AT$49,"",0,1)&lt;=TODAY()-MOD(WEEKDAY(TODAY(),2)-5,7)),$D43,0)</f>
        <v>0</v>
      </c>
      <c r="AZ93" s="67" t="e">
        <f ca="1">IF(AND($D43&lt;&gt;0,_xlfn.XLOOKUP($B43,'TH_CMI GRADE 10'!$B$7:$B$49,'TH_CMI GRADE 10'!AI$7:AI$49,"",0,1)="P",
   _xlfn.XLOOKUP($B43,'TH_CMI GRADE 10'!$B$7:$B$49,'TH_CMI GRADE 10'!#REF!,"",0,1)&lt;=TODAY()-MOD(WEEKDAY(TODAY(),2)-5,7)),$D43,0)</f>
        <v>#REF!</v>
      </c>
      <c r="BA93" s="65" t="e">
        <f ca="1">IF(AND($D43&lt;&gt;0,_xlfn.XLOOKUP($B43,'PW_MLG GRADE 10'!$B$7:$B$31,'PW_MLG GRADE 10'!R$7:R$31,"",0,1)="P",
   _xlfn.XLOOKUP($B43,'PW_MLG GRADE 10'!$B$7:$B$31,'PW_MLG GRADE 10'!#REF!,"",0,1)&lt;=TODAY()-MOD(WEEKDAY(TODAY(),2)-5,7)),$D43,0)</f>
        <v>#REF!</v>
      </c>
      <c r="BB93" s="65" t="e">
        <f ca="1">IF(AND($D43&lt;&gt;0,_xlfn.XLOOKUP($B43,'PW_MLG GRADE 10'!$B$7:$B$31,'PW_MLG GRADE 10'!S$7:S$31,"",0,1)="P",
   _xlfn.XLOOKUP($B43,'PW_MLG GRADE 10'!$B$7:$B$31,'PW_MLG GRADE 10'!#REF!,"",0,1)&lt;=TODAY()-MOD(WEEKDAY(TODAY(),2)-5,7)),$D43,0)</f>
        <v>#REF!</v>
      </c>
      <c r="BC93" s="65" t="e">
        <f ca="1">IF(AND($D43&lt;&gt;0,_xlfn.XLOOKUP($B43,'PW_MLG GRADE 10'!$B$7:$B$31,'PW_MLG GRADE 10'!T$7:T$31,"",0,1)="P",
   _xlfn.XLOOKUP($B43,'PW_MLG GRADE 10'!$B$7:$B$31,'PW_MLG GRADE 10'!#REF!,"",0,1)&lt;=TODAY()-MOD(WEEKDAY(TODAY(),2)-5,7)),$D43,0)</f>
        <v>#REF!</v>
      </c>
      <c r="BD93" s="65" t="e">
        <f ca="1">IF(AND($D43&lt;&gt;0,_xlfn.XLOOKUP($B43,'PW_MLG GRADE 10'!$B$7:$B$31,'PW_MLG GRADE 10'!AA$7:AA$31,"",0,1)="P",
   _xlfn.XLOOKUP($B43,'PW_MLG GRADE 10'!$B$7:$B$31,'PW_MLG GRADE 10'!#REF!,"",0,1)&lt;=TODAY()-MOD(WEEKDAY(TODAY(),2)-5,7)),$D43,0)</f>
        <v>#REF!</v>
      </c>
      <c r="BE93" s="65" t="e">
        <f ca="1">IF(AND($D43&lt;&gt;0,_xlfn.XLOOKUP($B43,'PW_MLG GRADE 10'!$B$7:$B$31,'PW_MLG GRADE 10'!AB$7:AB$31,"",0,1)="P",
   _xlfn.XLOOKUP($B43,'PW_MLG GRADE 10'!$B$7:$B$31,'PW_MLG GRADE 10'!#REF!,"",0,1)&lt;=TODAY()-MOD(WEEKDAY(TODAY(),2)-5,7)),$D43,0)</f>
        <v>#REF!</v>
      </c>
      <c r="BF93" s="65" t="e">
        <f ca="1">IF(AND($D43&lt;&gt;0,_xlfn.XLOOKUP($B43,'PW_MLG GRADE 10'!$B$7:$B$31,'PW_MLG GRADE 10'!AC$7:AC$31,"",0,1)="P",
   _xlfn.XLOOKUP($B43,'PW_MLG GRADE 10'!$B$7:$B$31,'PW_MLG GRADE 10'!#REF!,"",0,1)&lt;=TODAY()-MOD(WEEKDAY(TODAY(),2)-5,7)),$D43,0)</f>
        <v>#REF!</v>
      </c>
      <c r="BG93" s="65" t="e">
        <f ca="1">IF(AND($D43&lt;&gt;0,_xlfn.XLOOKUP($B43,'PW_MLG GRADE 10'!$B$7:$B$31,'PW_MLG GRADE 10'!AD$7:AD$31,"",0,1)="P",
   _xlfn.XLOOKUP($B43,'PW_MLG GRADE 10'!$B$7:$B$31,'PW_MLG GRADE 10'!#REF!,"",0,1)&lt;=TODAY()-MOD(WEEKDAY(TODAY(),2)-5,7)),$D43,0)</f>
        <v>#REF!</v>
      </c>
      <c r="BH93" s="65" t="e">
        <f ca="1">IF(AND($D43&lt;&gt;0,_xlfn.XLOOKUP($B43,'PW_MLG GRADE 10'!$B$7:$B$31,'PW_MLG GRADE 10'!AE$7:AE$31,"",0,1)="P",
   _xlfn.XLOOKUP($B43,'PW_MLG GRADE 10'!$B$7:$B$31,'PW_MLG GRADE 10'!#REF!,"",0,1)&lt;=TODAY()-MOD(WEEKDAY(TODAY(),2)-5,7)),$D43,0)</f>
        <v>#REF!</v>
      </c>
      <c r="BI93" s="65" t="e">
        <f ca="1">IF(AND($D43&lt;&gt;0,_xlfn.XLOOKUP($B43,'PW_MLG GRADE 10'!$B$7:$B$31,'PW_MLG GRADE 10'!AF$7:AF$31,"",0,1)="P",
   _xlfn.XLOOKUP($B43,'PW_MLG GRADE 10'!$B$7:$B$31,'PW_MLG GRADE 10'!#REF!,"",0,1)&lt;=TODAY()-MOD(WEEKDAY(TODAY(),2)-5,7)),$D43,0)</f>
        <v>#REF!</v>
      </c>
      <c r="BJ93" s="65" t="e">
        <f ca="1">IF(AND($D43&lt;&gt;0,_xlfn.XLOOKUP($B43,'PW_MLG GRADE 10'!$B$7:$B$31,'PW_MLG GRADE 10'!AG$7:AG$31,"",0,1)="P",
   _xlfn.XLOOKUP($B43,'PW_MLG GRADE 10'!$B$7:$B$31,'PW_MLG GRADE 10'!#REF!,"",0,1)&lt;=TODAY()-MOD(WEEKDAY(TODAY(),2)-5,7)),$D43,0)</f>
        <v>#REF!</v>
      </c>
      <c r="BK93" s="65" t="e">
        <f ca="1">IF(AND($D43&lt;&gt;0,_xlfn.XLOOKUP($B43,'PW_MLG GRADE 10'!$B$7:$B$31,'PW_MLG GRADE 10'!AH$7:AH$31,"",0,1)="P",
   _xlfn.XLOOKUP($B43,'PW_MLG GRADE 10'!$B$7:$B$31,'PW_MLG GRADE 10'!#REF!,"",0,1)&lt;=TODAY()-MOD(WEEKDAY(TODAY(),2)-5,7)),$D43,0)</f>
        <v>#REF!</v>
      </c>
      <c r="BL93" s="65" t="e">
        <f ca="1">IF(AND($D43&lt;&gt;0,_xlfn.XLOOKUP($B43,'PW_MLG GRADE 10'!$B$7:$B$31,'PW_MLG GRADE 10'!AI$7:AI$31,"",0,1)="P",
   _xlfn.XLOOKUP($B43,'PW_MLG GRADE 10'!$B$7:$B$31,'PW_MLG GRADE 10'!#REF!,"",0,1)&lt;=TODAY()-MOD(WEEKDAY(TODAY(),2)-5,7)),$D43,0)</f>
        <v>#REF!</v>
      </c>
      <c r="BM93" s="65" t="e">
        <f ca="1">IF(AND($D43&lt;&gt;0,_xlfn.XLOOKUP($B43,'PW_MLG GRADE 10'!$B$7:$B$31,'PW_MLG GRADE 10'!AJ$7:AJ$31,"",0,1)="P",
   _xlfn.XLOOKUP($B43,'PW_MLG GRADE 10'!$B$7:$B$31,'PW_MLG GRADE 10'!#REF!,"",0,1)&lt;=TODAY()-MOD(WEEKDAY(TODAY(),2)-5,7)),$D43,0)</f>
        <v>#REF!</v>
      </c>
      <c r="BN93" s="65" t="e">
        <f ca="1">IF(AND($D43&lt;&gt;0,_xlfn.XLOOKUP($B43,'PW_MLG GRADE 10'!$B$7:$B$31,'PW_MLG GRADE 10'!AK$7:AK$31,"",0,1)="P",
   _xlfn.XLOOKUP($B43,'PW_MLG GRADE 10'!$B$7:$B$31,'PW_MLG GRADE 10'!#REF!,"",0,1)&lt;=TODAY()-MOD(WEEKDAY(TODAY(),2)-5,7)),$D43,0)</f>
        <v>#REF!</v>
      </c>
      <c r="BO93" s="65" t="e">
        <f ca="1">IF(AND($D43&lt;&gt;0,_xlfn.XLOOKUP($B43,'PW_MLG GRADE 10'!$B$7:$B$31,'PW_MLG GRADE 10'!AL$7:AL$31,"",0,1)="P",
   _xlfn.XLOOKUP($B43,'PW_MLG GRADE 10'!$B$7:$B$31,'PW_MLG GRADE 10'!#REF!,"",0,1)&lt;=TODAY()-MOD(WEEKDAY(TODAY(),2)-5,7)),$D43,0)</f>
        <v>#REF!</v>
      </c>
      <c r="BP93" s="65" t="e">
        <f ca="1">IF(AND($D43&lt;&gt;0,_xlfn.XLOOKUP($B43,'PW_MLG GRADE 10'!$B$7:$B$31,'PW_MLG GRADE 10'!AM$7:AM$31,"",0,1)="P",
   _xlfn.XLOOKUP($B43,'PW_MLG GRADE 10'!$B$7:$B$31,'PW_MLG GRADE 10'!#REF!,"",0,1)&lt;=TODAY()-MOD(WEEKDAY(TODAY(),2)-5,7)),$D43,0)</f>
        <v>#REF!</v>
      </c>
      <c r="BQ93" s="65" t="e">
        <f ca="1">IF(AND($D43&lt;&gt;0,_xlfn.XLOOKUP($B43,'PW_MLG GRADE 10'!$B$7:$B$31,'PW_MLG GRADE 10'!AN$7:AN$31,"",0,1)="P",
   _xlfn.XLOOKUP($B43,'PW_MLG GRADE 10'!$B$7:$B$31,'PW_MLG GRADE 10'!#REF!,"",0,1)&lt;=TODAY()-MOD(WEEKDAY(TODAY(),2)-5,7)),$D43,0)</f>
        <v>#REF!</v>
      </c>
      <c r="BR93" s="65" t="e">
        <f ca="1">IF(AND($D43&lt;&gt;0,_xlfn.XLOOKUP($B43,'PW_MLG GRADE 10'!$B$7:$B$31,'PW_MLG GRADE 10'!AO$7:AO$31,"",0,1)="P",
   _xlfn.XLOOKUP($B43,'PW_MLG GRADE 10'!$B$7:$B$31,'PW_MLG GRADE 10'!#REF!,"",0,1)&lt;=TODAY()-MOD(WEEKDAY(TODAY(),2)-5,7)),$D43,0)</f>
        <v>#REF!</v>
      </c>
      <c r="BS93" s="65" t="e">
        <f ca="1">IF(AND($D43&lt;&gt;0,_xlfn.XLOOKUP($B43,'PW_MLG GRADE 10'!$B$7:$B$31,'PW_MLG GRADE 10'!AP$7:AP$31,"",0,1)="P",
   _xlfn.XLOOKUP($B43,'PW_MLG GRADE 10'!$B$7:$B$31,'PW_MLG GRADE 10'!#REF!,"",0,1)&lt;=TODAY()-MOD(WEEKDAY(TODAY(),2)-5,7)),$D43,0)</f>
        <v>#REF!</v>
      </c>
      <c r="BT93" s="65" t="e">
        <f ca="1">IF(AND($D43&lt;&gt;0,_xlfn.XLOOKUP($B43,'PW_MLG GRADE 10'!$B$7:$B$31,'PW_MLG GRADE 10'!AQ$7:AQ$31,"",0,1)="P",
   _xlfn.XLOOKUP($B43,'PW_MLG GRADE 10'!$B$7:$B$31,'PW_MLG GRADE 10'!#REF!,"",0,1)&lt;=TODAY()-MOD(WEEKDAY(TODAY(),2)-5,7)),$D43,0)</f>
        <v>#REF!</v>
      </c>
      <c r="BU93" s="65" t="e">
        <f ca="1">IF(AND($D43&lt;&gt;0,_xlfn.XLOOKUP($B43,'PW_MLG GRADE 10'!$B$7:$B$31,'PW_MLG GRADE 10'!AR$7:AR$31,"",0,1)="P",
   _xlfn.XLOOKUP($B43,'PW_MLG GRADE 10'!$B$7:$B$31,'PW_MLG GRADE 10'!#REF!,"",0,1)&lt;=TODAY()-MOD(WEEKDAY(TODAY(),2)-5,7)),$D43,0)</f>
        <v>#REF!</v>
      </c>
      <c r="BV93" s="65" t="e">
        <f ca="1">IF(AND($D43&lt;&gt;0,_xlfn.XLOOKUP($B43,'PW_MLG GRADE 10'!$B$7:$B$31,'PW_MLG GRADE 10'!AY$7:AY$31,"",0,1)="P",
   _xlfn.XLOOKUP($B43,'PW_MLG GRADE 10'!$B$7:$B$31,'PW_MLG GRADE 10'!#REF!,"",0,1)&lt;=TODAY()-MOD(WEEKDAY(TODAY(),2)-5,7)),$D43,0)</f>
        <v>#REF!</v>
      </c>
      <c r="BW93" s="65" t="e">
        <f ca="1">IF(AND($D43&lt;&gt;0,_xlfn.XLOOKUP($B43,'PW_MLG GRADE 10'!$B$7:$B$31,'PW_MLG GRADE 10'!AZ$7:AZ$31,"",0,1)="P",
   _xlfn.XLOOKUP($B43,'PW_MLG GRADE 10'!$B$7:$B$31,'PW_MLG GRADE 10'!#REF!,"",0,1)&lt;=TODAY()-MOD(WEEKDAY(TODAY(),2)-5,7)),$D43,0)</f>
        <v>#REF!</v>
      </c>
      <c r="BX93" s="65" t="e">
        <f ca="1">IF(AND($D43&lt;&gt;0,_xlfn.XLOOKUP($B43,'PW_MLG GRADE 10'!$B$7:$B$31,'PW_MLG GRADE 10'!BA$7:BA$31,"",0,1)="P",
   _xlfn.XLOOKUP($B43,'PW_MLG GRADE 10'!$B$7:$B$31,'PW_MLG GRADE 10'!#REF!,"",0,1)&lt;=TODAY()-MOD(WEEKDAY(TODAY(),2)-5,7)),$D43,0)</f>
        <v>#REF!</v>
      </c>
      <c r="BY93" s="65" t="e">
        <f ca="1">IF(AND($D43&lt;&gt;0,_xlfn.XLOOKUP($B43,'PW_MLG GRADE 10'!$B$7:$B$31,'PW_MLG GRADE 10'!BB$7:BB$31,"",0,1)="P",
   _xlfn.XLOOKUP($B43,'PW_MLG GRADE 10'!$B$7:$B$31,'PW_MLG GRADE 10'!#REF!,"",0,1)&lt;=TODAY()-MOD(WEEKDAY(TODAY(),2)-5,7)),$D43,0)</f>
        <v>#REF!</v>
      </c>
      <c r="BZ93" s="65" t="e">
        <f ca="1">IF(AND($D43&lt;&gt;0,_xlfn.XLOOKUP($B43,'PW_MLG GRADE 10'!$B$7:$B$31,'PW_MLG GRADE 10'!BC$7:BC$31,"",0,1)="P",
   _xlfn.XLOOKUP($B43,'PW_MLG GRADE 10'!$B$7:$B$31,'PW_MLG GRADE 10'!#REF!,"",0,1)&lt;=TODAY()-MOD(WEEKDAY(TODAY(),2)-5,7)),$D43,0)</f>
        <v>#REF!</v>
      </c>
      <c r="CA93" s="65" t="e">
        <f ca="1">IF(AND($D43&lt;&gt;0,_xlfn.XLOOKUP($B43,'PW_MLG GRADE 10'!$B$7:$B$31,'PW_MLG GRADE 10'!BD$7:BD$31,"",0,1)="P",
   _xlfn.XLOOKUP($B43,'PW_MLG GRADE 10'!$B$7:$B$31,'PW_MLG GRADE 10'!#REF!,"",0,1)&lt;=TODAY()-MOD(WEEKDAY(TODAY(),2)-5,7)),$D43,0)</f>
        <v>#REF!</v>
      </c>
      <c r="CB93" s="65" t="e">
        <f ca="1">IF(AND($D43&lt;&gt;0,_xlfn.XLOOKUP($B43,'PW_MLG GRADE 10'!$B$7:$B$31,'PW_MLG GRADE 10'!BE$7:BE$31,"",0,1)="P",
   _xlfn.XLOOKUP($B43,'PW_MLG GRADE 10'!$B$7:$B$31,'PW_MLG GRADE 10'!#REF!,"",0,1)&lt;=TODAY()-MOD(WEEKDAY(TODAY(),2)-5,7)),$D43,0)</f>
        <v>#REF!</v>
      </c>
      <c r="CC93" s="65" t="e">
        <f ca="1">IF(AND($D43&lt;&gt;0,_xlfn.XLOOKUP($B43,'PW_MLG GRADE 10'!$B$7:$B$31,'PW_MLG GRADE 10'!BF$7:BF$31,"",0,1)="P",
   _xlfn.XLOOKUP($B43,'PW_MLG GRADE 10'!$B$7:$B$31,'PW_MLG GRADE 10'!#REF!,"",0,1)&lt;=TODAY()-MOD(WEEKDAY(TODAY(),2)-5,7)),$D43,0)</f>
        <v>#REF!</v>
      </c>
      <c r="CD93" s="65" t="e">
        <f ca="1">IF(AND($D43&lt;&gt;0,_xlfn.XLOOKUP($B43,'PW_MLG GRADE 10'!$B$7:$B$31,'PW_MLG GRADE 10'!BG$7:BG$31,"",0,1)="P",
   _xlfn.XLOOKUP($B43,'PW_MLG GRADE 10'!$B$7:$B$31,'PW_MLG GRADE 10'!#REF!,"",0,1)&lt;=TODAY()-MOD(WEEKDAY(TODAY(),2)-5,7)),$D43,0)</f>
        <v>#REF!</v>
      </c>
      <c r="CE93" s="67">
        <f ca="1">IF(AND($D43&lt;&gt;0,_xlfn.XLOOKUP($B43,'PW_CMI GRADE 10'!$B$7:$B$31,'PW_CMI GRADE 10'!AY$7:AY$31,"",0,1)="P",
   _xlfn.XLOOKUP($B43,'PW_CMI GRADE 10'!$B$7:$B$31,'PW_CMI GRADE 10'!$U$7:$U$31,"",0,1)&lt;=TODAY()-MOD(WEEKDAY(TODAY(),2)-5,7)),$D43,0)</f>
        <v>0</v>
      </c>
      <c r="CF93" s="67">
        <f ca="1">IF(AND($D43&lt;&gt;0,_xlfn.XLOOKUP($B43,'PW_CMI GRADE 10'!$B$7:$B$31,'PW_CMI GRADE 10'!AZ$7:AZ$31,"",0,1)="P",
   _xlfn.XLOOKUP($B43,'PW_CMI GRADE 10'!$B$7:$B$31,'PW_CMI GRADE 10'!$V$7:$V$31,"",0,1)&lt;=TODAY()-MOD(WEEKDAY(TODAY(),2)-5,7)),$D43,0)</f>
        <v>0</v>
      </c>
      <c r="CG93" s="67">
        <f ca="1">IF(AND($D43&lt;&gt;0,_xlfn.XLOOKUP($B43,'PW_CMI GRADE 10'!$B$7:$B$31,'PW_CMI GRADE 10'!BA$7:BA$31,"",0,1)="P",
   _xlfn.XLOOKUP($B43,'PW_CMI GRADE 10'!$B$7:$B$31,'PW_CMI GRADE 10'!$W$7:$W$31,"",0,1)&lt;=TODAY()-MOD(WEEKDAY(TODAY(),2)-5,7)),$D43,0)</f>
        <v>0</v>
      </c>
      <c r="CH93" s="67">
        <f ca="1">IF(AND($D43&lt;&gt;0,_xlfn.XLOOKUP($B43,'PW_CMI GRADE 10'!$B$7:$B$31,'PW_CMI GRADE 10'!BB$7:BB$31,"",0,1)="P",
   _xlfn.XLOOKUP($B43,'PW_CMI GRADE 10'!$B$7:$B$31,'PW_CMI GRADE 10'!$U$7:$U$31,"",0,1)&lt;=TODAY()-MOD(WEEKDAY(TODAY(),2)-5,7)),$D43,0)</f>
        <v>0</v>
      </c>
      <c r="CI93" s="67">
        <f ca="1">IF(AND($D43&lt;&gt;0,_xlfn.XLOOKUP($B43,'PW_CMI GRADE 10'!$B$7:$B$31,'PW_CMI GRADE 10'!BC$7:BC$31,"",0,1)="P",
   _xlfn.XLOOKUP($B43,'PW_CMI GRADE 10'!$B$7:$B$31,'PW_CMI GRADE 10'!$V$7:$V$31,"",0,1)&lt;=TODAY()-MOD(WEEKDAY(TODAY(),2)-5,7)),$D43,0)</f>
        <v>0</v>
      </c>
      <c r="CJ93" s="67">
        <f ca="1">IF(AND($D43&lt;&gt;0,_xlfn.XLOOKUP($B43,'PW_CMI GRADE 10'!$B$7:$B$31,'PW_CMI GRADE 10'!BD$7:BD$31,"",0,1)="P",
   _xlfn.XLOOKUP($B43,'PW_CMI GRADE 10'!$B$7:$B$31,'PW_CMI GRADE 10'!$W$7:$W$31,"",0,1)&lt;=TODAY()-MOD(WEEKDAY(TODAY(),2)-5,7)),$D43,0)</f>
        <v>0</v>
      </c>
      <c r="CK93" s="67">
        <f ca="1">IF(AND($D43&lt;&gt;0,_xlfn.XLOOKUP($B43,'PW_CMI GRADE 10'!$B$7:$B$31,'PW_CMI GRADE 10'!BE$7:BE$31,"",0,1)="P",
   _xlfn.XLOOKUP($B43,'PW_CMI GRADE 10'!$B$7:$B$31,'PW_CMI GRADE 10'!$U$7:$U$31,"",0,1)&lt;=TODAY()-MOD(WEEKDAY(TODAY(),2)-5,7)),$D43,0)</f>
        <v>0</v>
      </c>
      <c r="CL93" s="67">
        <f ca="1">IF(AND($D43&lt;&gt;0,_xlfn.XLOOKUP($B43,'PW_CMI GRADE 10'!$B$7:$B$31,'PW_CMI GRADE 10'!BF$7:BF$31,"",0,1)="P",
   _xlfn.XLOOKUP($B43,'PW_CMI GRADE 10'!$B$7:$B$31,'PW_CMI GRADE 10'!$V$7:$V$31,"",0,1)&lt;=TODAY()-MOD(WEEKDAY(TODAY(),2)-5,7)),$D43,0)</f>
        <v>0</v>
      </c>
      <c r="CM93" s="67">
        <f ca="1">IF(AND($D43&lt;&gt;0,_xlfn.XLOOKUP($B43,'PW_CMI GRADE 10'!$B$7:$B$31,'PW_CMI GRADE 10'!BG$7:BG$31,"",0,1)="P",
   _xlfn.XLOOKUP($B43,'PW_CMI GRADE 10'!$B$7:$B$31,'PW_CMI GRADE 10'!$W$7:$W$31,"",0,1)&lt;=TODAY()-MOD(WEEKDAY(TODAY(),2)-5,7)),$D43,0)</f>
        <v>0</v>
      </c>
      <c r="CN93" s="67">
        <f ca="1">IF(AND($D43&lt;&gt;0,_xlfn.XLOOKUP($B43,'PW_CMI GRADE 10'!$B$7:$B$31,'PW_CMI GRADE 10'!BH$7:BH$31,"",0,1)="P",
   _xlfn.XLOOKUP($B43,'PW_CMI GRADE 10'!$B$7:$B$31,'PW_CMI GRADE 10'!$U$7:$U$31,"",0,1)&lt;=TODAY()-MOD(WEEKDAY(TODAY(),2)-5,7)),$D43,0)</f>
        <v>0</v>
      </c>
      <c r="CO93" s="67">
        <f ca="1">IF(AND($D43&lt;&gt;0,_xlfn.XLOOKUP($B43,'PW_CMI GRADE 10'!$B$7:$B$31,'PW_CMI GRADE 10'!BI$7:BI$31,"",0,1)="P",
   _xlfn.XLOOKUP($B43,'PW_CMI GRADE 10'!$B$7:$B$31,'PW_CMI GRADE 10'!$V$7:$V$31,"",0,1)&lt;=TODAY()-MOD(WEEKDAY(TODAY(),2)-5,7)),$D43,0)</f>
        <v>0</v>
      </c>
      <c r="CP93" s="67">
        <f ca="1">IF(AND($D43&lt;&gt;0,_xlfn.XLOOKUP($B43,'PW_CMI GRADE 10'!$B$7:$B$31,'PW_CMI GRADE 10'!BJ$7:BJ$31,"",0,1)="P",
   _xlfn.XLOOKUP($B43,'PW_CMI GRADE 10'!$B$7:$B$31,'PW_CMI GRADE 10'!$W$7:$W$31,"",0,1)&lt;=TODAY()-MOD(WEEKDAY(TODAY(),2)-5,7)),$D43,0)</f>
        <v>0</v>
      </c>
      <c r="CQ93" s="67">
        <f ca="1">IF(AND($D43&lt;&gt;0,_xlfn.XLOOKUP($B43,'PW_CMI GRADE 10'!$B$7:$B$31,'PW_CMI GRADE 10'!BK$7:BK$31,"",0,1)="P",
   _xlfn.XLOOKUP($B43,'PW_CMI GRADE 10'!$B$7:$B$31,'PW_CMI GRADE 10'!$U$7:$U$31,"",0,1)&lt;=TODAY()-MOD(WEEKDAY(TODAY(),2)-5,7)),$D43,0)</f>
        <v>0</v>
      </c>
      <c r="CR93" s="67">
        <f ca="1">IF(AND($D43&lt;&gt;0,_xlfn.XLOOKUP($B43,'PW_CMI GRADE 10'!$B$7:$B$31,'PW_CMI GRADE 10'!BL$7:BL$31,"",0,1)="P",
   _xlfn.XLOOKUP($B43,'PW_CMI GRADE 10'!$B$7:$B$31,'PW_CMI GRADE 10'!$V$7:$V$31,"",0,1)&lt;=TODAY()-MOD(WEEKDAY(TODAY(),2)-5,7)),$D43,0)</f>
        <v>0</v>
      </c>
      <c r="CS93" s="67">
        <f ca="1">IF(AND($D43&lt;&gt;0,_xlfn.XLOOKUP($B43,'PW_CMI GRADE 10'!$B$7:$B$31,'PW_CMI GRADE 10'!BM$7:BM$31,"",0,1)="P",
   _xlfn.XLOOKUP($B43,'PW_CMI GRADE 10'!$B$7:$B$31,'PW_CMI GRADE 10'!$W$7:$W$31,"",0,1)&lt;=TODAY()-MOD(WEEKDAY(TODAY(),2)-5,7)),$D43,0)</f>
        <v>0</v>
      </c>
      <c r="CT93" s="67">
        <f ca="1">IF(AND($D43&lt;&gt;0,_xlfn.XLOOKUP($B43,'PW_CMI GRADE 10'!$B$7:$B$31,'PW_CMI GRADE 10'!BN$7:BN$31,"",0,1)="P",
   _xlfn.XLOOKUP($B43,'PW_CMI GRADE 10'!$B$7:$B$31,'PW_CMI GRADE 10'!$U$7:$U$31,"",0,1)&lt;=TODAY()-MOD(WEEKDAY(TODAY(),2)-5,7)),$D43,0)</f>
        <v>0</v>
      </c>
      <c r="CU93" s="67">
        <f ca="1">IF(AND($D43&lt;&gt;0,_xlfn.XLOOKUP($B43,'PW_CMI GRADE 10'!$B$7:$B$31,'PW_CMI GRADE 10'!BO$7:BO$31,"",0,1)="P",
   _xlfn.XLOOKUP($B43,'PW_CMI GRADE 10'!$B$7:$B$31,'PW_CMI GRADE 10'!$V$7:$V$31,"",0,1)&lt;=TODAY()-MOD(WEEKDAY(TODAY(),2)-5,7)),$D43,0)</f>
        <v>0</v>
      </c>
      <c r="CV93" s="67">
        <f ca="1">IF(AND($D43&lt;&gt;0,_xlfn.XLOOKUP($B43,'PW_CMI GRADE 10'!$B$7:$B$31,'PW_CMI GRADE 10'!BP$7:BP$31,"",0,1)="P",
   _xlfn.XLOOKUP($B43,'PW_CMI GRADE 10'!$B$7:$B$31,'PW_CMI GRADE 10'!$W$7:$W$31,"",0,1)&lt;=TODAY()-MOD(WEEKDAY(TODAY(),2)-5,7)),$D43,0)</f>
        <v>0</v>
      </c>
      <c r="CW93" s="62" t="e">
        <f t="shared" ca="1" si="132"/>
        <v>#REF!</v>
      </c>
      <c r="CX93" s="62" t="e">
        <f t="shared" ca="1" si="69"/>
        <v>#REF!</v>
      </c>
      <c r="CY93" s="62" t="e">
        <f t="shared" ca="1" si="70"/>
        <v>#REF!</v>
      </c>
      <c r="CZ93" s="62" t="e">
        <f t="shared" ca="1" si="71"/>
        <v>#REF!</v>
      </c>
      <c r="DA93" s="62" t="e">
        <f t="shared" ca="1" si="72"/>
        <v>#REF!</v>
      </c>
      <c r="DB93" s="62" t="e">
        <f t="shared" ca="1" si="73"/>
        <v>#REF!</v>
      </c>
      <c r="DC93" s="62" t="e">
        <f t="shared" ca="1" si="74"/>
        <v>#REF!</v>
      </c>
      <c r="DD93" s="62" t="e">
        <f t="shared" ca="1" si="75"/>
        <v>#REF!</v>
      </c>
      <c r="DE93" s="62" t="e">
        <f t="shared" ca="1" si="76"/>
        <v>#REF!</v>
      </c>
      <c r="DF93" s="62" t="e">
        <f t="shared" ca="1" si="77"/>
        <v>#REF!</v>
      </c>
      <c r="DG93" s="62" t="e">
        <f t="shared" ca="1" si="78"/>
        <v>#REF!</v>
      </c>
      <c r="DH93" s="62" t="e">
        <f t="shared" ca="1" si="79"/>
        <v>#REF!</v>
      </c>
      <c r="DI93" s="62" t="e">
        <f t="shared" ca="1" si="80"/>
        <v>#REF!</v>
      </c>
      <c r="DJ93" s="62" t="e">
        <f t="shared" ca="1" si="81"/>
        <v>#REF!</v>
      </c>
      <c r="DK93" s="62" t="e">
        <f t="shared" ca="1" si="82"/>
        <v>#REF!</v>
      </c>
      <c r="DL93" s="62" t="e">
        <f t="shared" ca="1" si="83"/>
        <v>#REF!</v>
      </c>
      <c r="DM93" s="62" t="e">
        <f t="shared" ca="1" si="84"/>
        <v>#REF!</v>
      </c>
      <c r="DN93" s="62" t="e">
        <f t="shared" ca="1" si="85"/>
        <v>#REF!</v>
      </c>
      <c r="DO93" s="62" t="e">
        <f t="shared" ca="1" si="86"/>
        <v>#REF!</v>
      </c>
      <c r="DP93" s="62" t="e">
        <f t="shared" ca="1" si="87"/>
        <v>#REF!</v>
      </c>
      <c r="DQ93" s="62" t="e">
        <f t="shared" ca="1" si="88"/>
        <v>#REF!</v>
      </c>
      <c r="DR93" s="62" t="e">
        <f t="shared" ca="1" si="89"/>
        <v>#REF!</v>
      </c>
      <c r="DS93" s="62" t="e">
        <f t="shared" ca="1" si="90"/>
        <v>#REF!</v>
      </c>
      <c r="DT93" s="62" t="e">
        <f t="shared" ca="1" si="91"/>
        <v>#REF!</v>
      </c>
      <c r="DU93" s="62" t="e">
        <f t="shared" ca="1" si="92"/>
        <v>#REF!</v>
      </c>
      <c r="DV93" s="62" t="e">
        <f t="shared" ca="1" si="93"/>
        <v>#REF!</v>
      </c>
      <c r="DW93" s="62" t="e">
        <f t="shared" ca="1" si="94"/>
        <v>#REF!</v>
      </c>
      <c r="DX93" s="62" t="e">
        <f t="shared" ca="1" si="95"/>
        <v>#REF!</v>
      </c>
      <c r="DY93" s="62" t="e">
        <f t="shared" ca="1" si="96"/>
        <v>#REF!</v>
      </c>
      <c r="DZ93" s="62" t="e">
        <f t="shared" ca="1" si="97"/>
        <v>#REF!</v>
      </c>
      <c r="EA93" s="63" t="e">
        <f t="shared" ca="1" si="98"/>
        <v>#REF!</v>
      </c>
      <c r="EB93" s="63" t="e">
        <f t="shared" ca="1" si="99"/>
        <v>#REF!</v>
      </c>
      <c r="EC93" s="63" t="e">
        <f t="shared" ca="1" si="100"/>
        <v>#REF!</v>
      </c>
      <c r="ED93" s="63" t="e">
        <f t="shared" ca="1" si="101"/>
        <v>#REF!</v>
      </c>
      <c r="EE93" s="63" t="e">
        <f t="shared" ca="1" si="102"/>
        <v>#REF!</v>
      </c>
      <c r="EF93" s="63" t="e">
        <f t="shared" ca="1" si="103"/>
        <v>#REF!</v>
      </c>
      <c r="EG93" s="63" t="e">
        <f t="shared" ca="1" si="104"/>
        <v>#REF!</v>
      </c>
      <c r="EH93" s="63" t="e">
        <f t="shared" ca="1" si="105"/>
        <v>#REF!</v>
      </c>
      <c r="EI93" s="63" t="e">
        <f t="shared" ca="1" si="106"/>
        <v>#REF!</v>
      </c>
      <c r="EJ93" s="63" t="e">
        <f t="shared" ca="1" si="107"/>
        <v>#REF!</v>
      </c>
      <c r="EK93" s="63" t="e">
        <f t="shared" ca="1" si="108"/>
        <v>#REF!</v>
      </c>
      <c r="EL93" s="63" t="e">
        <f t="shared" ca="1" si="109"/>
        <v>#REF!</v>
      </c>
      <c r="EM93" s="63" t="e">
        <f t="shared" ca="1" si="110"/>
        <v>#REF!</v>
      </c>
      <c r="EN93" s="63" t="e">
        <f t="shared" ca="1" si="111"/>
        <v>#REF!</v>
      </c>
      <c r="EO93" s="63" t="e">
        <f t="shared" ca="1" si="112"/>
        <v>#REF!</v>
      </c>
      <c r="EP93" s="63" t="e">
        <f t="shared" ca="1" si="113"/>
        <v>#REF!</v>
      </c>
    </row>
    <row r="94" spans="1:146">
      <c r="A94" s="64" t="str">
        <f t="shared" si="131"/>
        <v>7A.1</v>
      </c>
      <c r="B94" s="64" t="s">
        <v>75</v>
      </c>
      <c r="C94" s="29"/>
      <c r="D94" s="29">
        <v>2</v>
      </c>
      <c r="E94" s="65">
        <f ca="1">IF(AND($D44&lt;&gt;0,_xlfn.XLOOKUP($B44,'TH_MLG GRADE 10'!$B$7:$B$49,'TH_MLG GRADE 10'!C$7:C$49,"",0,1)="P",
   _xlfn.XLOOKUP($B44,'TH_MLG GRADE 10'!$B$7:$B$49,'TH_MLG GRADE 10'!$BK$7:$BK$49,"",0,1)&lt;=TODAY()-MOD(WEEKDAY(TODAY(),2)-5,7)),$D44,0)</f>
        <v>0</v>
      </c>
      <c r="F94" s="65">
        <f ca="1">IF(AND($D44&lt;&gt;0,_xlfn.XLOOKUP($B44,'TH_MLG GRADE 10'!$B$7:$B$49,'TH_MLG GRADE 10'!D$7:D$49,"",0,1)="P",
   _xlfn.XLOOKUP($B44,'TH_MLG GRADE 10'!$B$7:$B$49,'TH_MLG GRADE 10'!$BL$7:$BL$49,"",0,1)&lt;=TODAY()-MOD(WEEKDAY(TODAY(),2)-5,7)),$D44,0)</f>
        <v>0</v>
      </c>
      <c r="G94" s="65">
        <f ca="1">IF(AND($D44&lt;&gt;0,_xlfn.XLOOKUP($B44,'TH_MLG GRADE 10'!$B$7:$B$49,'TH_MLG GRADE 10'!E$7:E$49,"",0,1)="P",
   _xlfn.XLOOKUP($B44,'TH_MLG GRADE 10'!$B$7:$B$49,'TH_MLG GRADE 10'!$BM$7:$BM$49,"",0,1)&lt;=TODAY()-MOD(WEEKDAY(TODAY(),2)-5,7)),$D44,0)</f>
        <v>0</v>
      </c>
      <c r="H94" s="65">
        <f ca="1">IF(AND($D44&lt;&gt;0,_xlfn.XLOOKUP($B44,'TH_MLG GRADE 10'!$B$7:$B$49,'TH_MLG GRADE 10'!I$7:I$49,"",0,1)="P",
   _xlfn.XLOOKUP($B44,'TH_MLG GRADE 10'!$B$7:$B$49,'TH_MLG GRADE 10'!$BK$7:$BK$49,"",0,1)&lt;=TODAY()-MOD(WEEKDAY(TODAY(),2)-5,7)),$D44,0)</f>
        <v>0</v>
      </c>
      <c r="I94" s="65">
        <f ca="1">IF(AND($D44&lt;&gt;0,_xlfn.XLOOKUP($B44,'TH_MLG GRADE 10'!$B$7:$B$49,'TH_MLG GRADE 10'!J$7:J$49,"",0,1)="P",
   _xlfn.XLOOKUP($B44,'TH_MLG GRADE 10'!$B$7:$B$49,'TH_MLG GRADE 10'!$BL$7:$BL$49,"",0,1)&lt;=TODAY()-MOD(WEEKDAY(TODAY(),2)-5,7)),$D44,0)</f>
        <v>0</v>
      </c>
      <c r="J94" s="65">
        <f ca="1">IF(AND($D44&lt;&gt;0,_xlfn.XLOOKUP($B44,'TH_MLG GRADE 10'!$B$7:$B$49,'TH_MLG GRADE 10'!K$7:K$49,"",0,1)="P",
   _xlfn.XLOOKUP($B44,'TH_MLG GRADE 10'!$B$7:$B$49,'TH_MLG GRADE 10'!$BM$7:$BM$49,"",0,1)&lt;=TODAY()-MOD(WEEKDAY(TODAY(),2)-5,7)),$D44,0)</f>
        <v>0</v>
      </c>
      <c r="K94" s="65">
        <f ca="1">IF(AND($D44&lt;&gt;0,_xlfn.XLOOKUP($B44,'TH_MLG GRADE 10'!$B$7:$B$49,'TH_MLG GRADE 10'!O$7:O$49,"",0,1)="P",
   _xlfn.XLOOKUP($B44,'TH_MLG GRADE 10'!$B$7:$B$49,'TH_MLG GRADE 10'!$BK$7:$BK$49,"",0,1)&lt;=TODAY()-MOD(WEEKDAY(TODAY(),2)-5,7)),$D44,0)</f>
        <v>0</v>
      </c>
      <c r="L94" s="65">
        <f ca="1">IF(AND($D44&lt;&gt;0,_xlfn.XLOOKUP($B44,'TH_MLG GRADE 10'!$B$7:$B$49,'TH_MLG GRADE 10'!P$7:P$49,"",0,1)="P",
   _xlfn.XLOOKUP($B44,'TH_MLG GRADE 10'!$B$7:$B$49,'TH_MLG GRADE 10'!$BL$7:$BL$49,"",0,1)&lt;=TODAY()-MOD(WEEKDAY(TODAY(),2)-5,7)),$D44,0)</f>
        <v>0</v>
      </c>
      <c r="M94" s="65">
        <f ca="1">IF(AND($D44&lt;&gt;0,_xlfn.XLOOKUP($B44,'TH_MLG GRADE 10'!$B$7:$B$49,'TH_MLG GRADE 10'!Q$7:Q$49,"",0,1)="P",
   _xlfn.XLOOKUP($B44,'TH_MLG GRADE 10'!$B$7:$B$49,'TH_MLG GRADE 10'!$BM$7:$BM$49,"",0,1)&lt;=TODAY()-MOD(WEEKDAY(TODAY(),2)-5,7)),$D44,0)</f>
        <v>0</v>
      </c>
      <c r="N94" s="65">
        <f ca="1">IF(AND($D44&lt;&gt;0,_xlfn.XLOOKUP($B44,'TH_MLG GRADE 10'!$B$7:$B$49,'TH_MLG GRADE 10'!AA$7:AA$49,"",0,1)="P",
   _xlfn.XLOOKUP($B44,'TH_MLG GRADE 10'!$B$7:$B$49,'TH_MLG GRADE 10'!$BK$7:$BK$49,"",0,1)&lt;=TODAY()-MOD(WEEKDAY(TODAY(),2)-5,7)),$D44,0)</f>
        <v>0</v>
      </c>
      <c r="O94" s="65">
        <f ca="1">IF(AND($D44&lt;&gt;0,_xlfn.XLOOKUP($B44,'TH_MLG GRADE 10'!$B$7:$B$49,'TH_MLG GRADE 10'!AB$7:AB$49,"",0,1)="P",
   _xlfn.XLOOKUP($B44,'TH_MLG GRADE 10'!$B$7:$B$49,'TH_MLG GRADE 10'!$BL$7:$BL$49,"",0,1)&lt;=TODAY()-MOD(WEEKDAY(TODAY(),2)-5,7)),$D44,0)</f>
        <v>0</v>
      </c>
      <c r="P94" s="65">
        <f ca="1">IF(AND($D44&lt;&gt;0,_xlfn.XLOOKUP($B44,'TH_MLG GRADE 10'!$B$7:$B$49,'TH_MLG GRADE 10'!AC$7:AC$49,"",0,1)="P",
   _xlfn.XLOOKUP($B44,'TH_MLG GRADE 10'!$B$7:$B$49,'TH_MLG GRADE 10'!$BM$7:$BM$49,"",0,1)&lt;=TODAY()-MOD(WEEKDAY(TODAY(),2)-5,7)),$D44,0)</f>
        <v>0</v>
      </c>
      <c r="Q94" s="65">
        <f ca="1">IF(AND($D44&lt;&gt;0,_xlfn.XLOOKUP($B44,'TH_MLG GRADE 10'!$B$7:$B$49,'TH_MLG GRADE 10'!AG$7:AG$49,"",0,1)="P",
   _xlfn.XLOOKUP($B44,'TH_MLG GRADE 10'!$B$7:$B$49,'TH_MLG GRADE 10'!$BK$7:$BK$49,"",0,1)&lt;=TODAY()-MOD(WEEKDAY(TODAY(),2)-5,7)),$D44,0)</f>
        <v>0</v>
      </c>
      <c r="R94" s="65">
        <f ca="1">IF(AND($D44&lt;&gt;0,_xlfn.XLOOKUP($B44,'TH_MLG GRADE 10'!$B$7:$B$49,'TH_MLG GRADE 10'!AH$7:AH$49,"",0,1)="P",
   _xlfn.XLOOKUP($B44,'TH_MLG GRADE 10'!$B$7:$B$49,'TH_MLG GRADE 10'!$BL$7:$BL$49,"",0,1)&lt;=TODAY()-MOD(WEEKDAY(TODAY(),2)-5,7)),$D44,0)</f>
        <v>0</v>
      </c>
      <c r="S94" s="65">
        <f ca="1">IF(AND($D44&lt;&gt;0,_xlfn.XLOOKUP($B44,'TH_MLG GRADE 10'!$B$7:$B$49,'TH_MLG GRADE 10'!AI$7:AI$49,"",0,1)="P",
   _xlfn.XLOOKUP($B44,'TH_MLG GRADE 10'!$B$7:$B$49,'TH_MLG GRADE 10'!$BM$7:$BM$49,"",0,1)&lt;=TODAY()-MOD(WEEKDAY(TODAY(),2)-5,7)),$D44,0)</f>
        <v>0</v>
      </c>
      <c r="T94" s="65">
        <f ca="1">IF(AND($D44&lt;&gt;0,_xlfn.XLOOKUP($B44,'TH_MLG GRADE 10'!$B$7:$B$49,'TH_MLG GRADE 10'!AM$7:AM$49,"",0,1)="P",
   _xlfn.XLOOKUP($B44,'TH_MLG GRADE 10'!$B$7:$B$49,'TH_MLG GRADE 10'!$BK$7:$BK$49,"",0,1)&lt;=TODAY()-MOD(WEEKDAY(TODAY(),2)-5,7)),$D44,0)</f>
        <v>2</v>
      </c>
      <c r="U94" s="65">
        <f ca="1">IF(AND($D44&lt;&gt;0,_xlfn.XLOOKUP($B44,'TH_MLG GRADE 10'!$B$7:$B$49,'TH_MLG GRADE 10'!AN$7:AN$49,"",0,1)="P",
   _xlfn.XLOOKUP($B44,'TH_MLG GRADE 10'!$B$7:$B$49,'TH_MLG GRADE 10'!$BL$7:$BL$49,"",0,1)&lt;=TODAY()-MOD(WEEKDAY(TODAY(),2)-5,7)),$D44,0)</f>
        <v>2</v>
      </c>
      <c r="V94" s="65">
        <f ca="1">IF(AND($D44&lt;&gt;0,_xlfn.XLOOKUP($B44,'TH_MLG GRADE 10'!$B$7:$B$49,'TH_MLG GRADE 10'!AO$7:AO$49,"",0,1)="P",
   _xlfn.XLOOKUP($B44,'TH_MLG GRADE 10'!$B$7:$B$49,'TH_MLG GRADE 10'!$BM$7:$BM$49,"",0,1)&lt;=TODAY()-MOD(WEEKDAY(TODAY(),2)-5,7)),$D44,0)</f>
        <v>2</v>
      </c>
      <c r="W94" s="65">
        <f ca="1">IF(AND($D44&lt;&gt;0,_xlfn.XLOOKUP($B44,'TH_MLG GRADE 10'!$B$7:$B$49,'TH_MLG GRADE 10'!AY$7:AY$49,"",0,1)="P",
   _xlfn.XLOOKUP($B44,'TH_MLG GRADE 10'!$B$7:$B$49,'TH_MLG GRADE 10'!$BK$7:$BK$49,"",0,1)&lt;=TODAY()-MOD(WEEKDAY(TODAY(),2)-5,7)),$D44,0)</f>
        <v>2</v>
      </c>
      <c r="X94" s="65">
        <f ca="1">IF(AND($D44&lt;&gt;0,_xlfn.XLOOKUP($B44,'TH_MLG GRADE 10'!$B$7:$B$49,'TH_MLG GRADE 10'!AZ$7:AZ$49,"",0,1)="P",
   _xlfn.XLOOKUP($B44,'TH_MLG GRADE 10'!$B$7:$B$49,'TH_MLG GRADE 10'!$BL$7:$BL$49,"",0,1)&lt;=TODAY()-MOD(WEEKDAY(TODAY(),2)-5,7)),$D44,0)</f>
        <v>2</v>
      </c>
      <c r="Y94" s="65">
        <f ca="1">IF(AND($D44&lt;&gt;0,_xlfn.XLOOKUP($B44,'TH_MLG GRADE 10'!$B$7:$B$49,'TH_MLG GRADE 10'!BA$7:BA$49,"",0,1)="P",
   _xlfn.XLOOKUP($B44,'TH_MLG GRADE 10'!$B$7:$B$49,'TH_MLG GRADE 10'!$BM$7:$BM$49,"",0,1)&lt;=TODAY()-MOD(WEEKDAY(TODAY(),2)-5,7)),$D44,0)</f>
        <v>2</v>
      </c>
      <c r="Z94" s="65">
        <f ca="1">IF(AND($D44&lt;&gt;0,_xlfn.XLOOKUP($B44,'TH_MLG GRADE 10'!$B$7:$B$49,'TH_MLG GRADE 10'!BE$7:BE$49,"",0,1)="P",
   _xlfn.XLOOKUP($B44,'TH_MLG GRADE 10'!$B$7:$B$49,'TH_MLG GRADE 10'!$BK$7:$BK$49,"",0,1)&lt;=TODAY()-MOD(WEEKDAY(TODAY(),2)-5,7)),$D44,0)</f>
        <v>0</v>
      </c>
      <c r="AA94" s="65">
        <f ca="1">IF(AND($D44&lt;&gt;0,_xlfn.XLOOKUP($B44,'TH_MLG GRADE 10'!$B$7:$B$49,'TH_MLG GRADE 10'!BF$7:BF$49,"",0,1)="P",
   _xlfn.XLOOKUP($B44,'TH_MLG GRADE 10'!$B$7:$B$49,'TH_MLG GRADE 10'!$BL$7:$BL$49,"",0,1)&lt;=TODAY()-MOD(WEEKDAY(TODAY(),2)-5,7)),$D44,0)</f>
        <v>0</v>
      </c>
      <c r="AB94" s="65">
        <f ca="1">IF(AND($D44&lt;&gt;0,_xlfn.XLOOKUP($B44,'TH_MLG GRADE 10'!$B$7:$B$49,'TH_MLG GRADE 10'!BG$7:BG$49,"",0,1)="P",
   _xlfn.XLOOKUP($B44,'TH_MLG GRADE 10'!$B$7:$B$49,'TH_MLG GRADE 10'!$BM$7:$BM$49,"",0,1)&lt;=TODAY()-MOD(WEEKDAY(TODAY(),2)-5,7)),$D44,0)</f>
        <v>0</v>
      </c>
      <c r="AC94" s="65" t="e">
        <f ca="1">IF(AND($D44&lt;&gt;0,_xlfn.XLOOKUP($B44,'TH_MLG GRADE 10'!$B$7:$B$49,'TH_MLG GRADE 10'!#REF!,"",0,1)="P",
   _xlfn.XLOOKUP($B44,'TH_MLG GRADE 10'!$B$7:$B$49,'TH_MLG GRADE 10'!$BK$7:$BK$49,"",0,1)&lt;=TODAY()-MOD(WEEKDAY(TODAY(),2)-5,7)),$D44,0)</f>
        <v>#REF!</v>
      </c>
      <c r="AD94" s="65" t="e">
        <f ca="1">IF(AND($D44&lt;&gt;0,_xlfn.XLOOKUP($B44,'TH_MLG GRADE 10'!$B$7:$B$49,'TH_MLG GRADE 10'!#REF!,"",0,1)="P",
   _xlfn.XLOOKUP($B44,'TH_MLG GRADE 10'!$B$7:$B$49,'TH_MLG GRADE 10'!$BL$7:$BL$49,"",0,1)&lt;=TODAY()-MOD(WEEKDAY(TODAY(),2)-5,7)),$D44,0)</f>
        <v>#REF!</v>
      </c>
      <c r="AE94" s="65" t="e">
        <f ca="1">IF(AND($D44&lt;&gt;0,_xlfn.XLOOKUP($B44,'TH_MLG GRADE 10'!$B$7:$B$49,'TH_MLG GRADE 10'!#REF!,"",0,1)="P",
   _xlfn.XLOOKUP($B44,'TH_MLG GRADE 10'!$B$7:$B$49,'TH_MLG GRADE 10'!$BM$7:$BM$49,"",0,1)&lt;=TODAY()-MOD(WEEKDAY(TODAY(),2)-5,7)),$D44,0)</f>
        <v>#REF!</v>
      </c>
      <c r="AF94" s="65" t="e">
        <f ca="1">IF(AND($D44&lt;&gt;0,_xlfn.XLOOKUP($B44,'TH_MLG GRADE 10'!$B$7:$B$49,'TH_MLG GRADE 10'!#REF!,"",0,1)="P",
   _xlfn.XLOOKUP($B44,'TH_MLG GRADE 10'!$B$7:$B$49,'TH_MLG GRADE 10'!$BK$7:$BK$49,"",0,1)&lt;=TODAY()-MOD(WEEKDAY(TODAY(),2)-5,7)),$D44,0)</f>
        <v>#REF!</v>
      </c>
      <c r="AG94" s="65" t="e">
        <f ca="1">IF(AND($D44&lt;&gt;0,_xlfn.XLOOKUP($B44,'TH_MLG GRADE 10'!$B$7:$B$49,'TH_MLG GRADE 10'!#REF!,"",0,1)="P",
   _xlfn.XLOOKUP($B44,'TH_MLG GRADE 10'!$B$7:$B$49,'TH_MLG GRADE 10'!$BL$7:$BL$49,"",0,1)&lt;=TODAY()-MOD(WEEKDAY(TODAY(),2)-5,7)),$D44,0)</f>
        <v>#REF!</v>
      </c>
      <c r="AH94" s="65" t="e">
        <f ca="1">IF(AND($D44&lt;&gt;0,_xlfn.XLOOKUP($B44,'TH_MLG GRADE 10'!$B$7:$B$49,'TH_MLG GRADE 10'!#REF!,"",0,1)="P",
   _xlfn.XLOOKUP($B44,'TH_MLG GRADE 10'!$B$7:$B$49,'TH_MLG GRADE 10'!$BM$7:$BM$49,"",0,1)&lt;=TODAY()-MOD(WEEKDAY(TODAY(),2)-5,7)),$D44,0)</f>
        <v>#REF!</v>
      </c>
      <c r="AI94" s="67">
        <f ca="1">IF(AND($D44&lt;&gt;0,_xlfn.XLOOKUP($B44,'TH_CMI GRADE 10'!$B$7:$B$49,'TH_CMI GRADE 10'!C$7:C$49,"",0,1)="P",
   _xlfn.XLOOKUP($B44,'TH_CMI GRADE 10'!$B$7:$B$49,'TH_CMI GRADE 10'!$AS$7:$AS$49,"",0,1)&lt;=TODAY()-MOD(WEEKDAY(TODAY(),2)-5,7)),$D44,0)</f>
        <v>2</v>
      </c>
      <c r="AJ94" s="67">
        <f ca="1">IF(AND($D44&lt;&gt;0,_xlfn.XLOOKUP($B44,'TH_CMI GRADE 10'!$B$7:$B$49,'TH_CMI GRADE 10'!D$7:D$49,"",0,1)="P",
   _xlfn.XLOOKUP($B44,'TH_CMI GRADE 10'!$B$7:$B$49,'TH_CMI GRADE 10'!$AT$7:$AT$49,"",0,1)&lt;=TODAY()-MOD(WEEKDAY(TODAY(),2)-5,7)),$D44,0)</f>
        <v>2</v>
      </c>
      <c r="AK94" s="67" t="e">
        <f ca="1">IF(AND($D44&lt;&gt;0,_xlfn.XLOOKUP($B44,'TH_CMI GRADE 10'!$B$7:$B$49,'TH_CMI GRADE 10'!H$7:H$49,"",0,1)="P",
   _xlfn.XLOOKUP($B44,'TH_CMI GRADE 10'!$B$7:$B$49,'TH_CMI GRADE 10'!#REF!,"",0,1)&lt;=TODAY()-MOD(WEEKDAY(TODAY(),2)-5,7)),$D44,0)</f>
        <v>#REF!</v>
      </c>
      <c r="AL94" s="67">
        <f ca="1">IF(AND($D44&lt;&gt;0,_xlfn.XLOOKUP($B44,'TH_CMI GRADE 10'!$B$7:$B$49,'TH_CMI GRADE 10'!I$7:I$49,"",0,1)="P",
   _xlfn.XLOOKUP($B44,'TH_CMI GRADE 10'!$B$7:$B$49,'TH_CMI GRADE 10'!$AS$7:$AS$49,"",0,1)&lt;=TODAY()-MOD(WEEKDAY(TODAY(),2)-5,7)),$D44,0)</f>
        <v>0</v>
      </c>
      <c r="AM94" s="67">
        <f ca="1">IF(AND($D44&lt;&gt;0,_xlfn.XLOOKUP($B44,'TH_CMI GRADE 10'!$B$7:$B$49,'TH_CMI GRADE 10'!J$7:J$49,"",0,1)="P",
   _xlfn.XLOOKUP($B44,'TH_CMI GRADE 10'!$B$7:$B$49,'TH_CMI GRADE 10'!$AT$7:$AT$49,"",0,1)&lt;=TODAY()-MOD(WEEKDAY(TODAY(),2)-5,7)),$D44,0)</f>
        <v>0</v>
      </c>
      <c r="AN94" s="67" t="e">
        <f ca="1">IF(AND($D44&lt;&gt;0,_xlfn.XLOOKUP($B44,'TH_CMI GRADE 10'!$B$7:$B$49,'TH_CMI GRADE 10'!K$7:K$49,"",0,1)="P",
   _xlfn.XLOOKUP($B44,'TH_CMI GRADE 10'!$B$7:$B$49,'TH_CMI GRADE 10'!#REF!,"",0,1)&lt;=TODAY()-MOD(WEEKDAY(TODAY(),2)-5,7)),$D44,0)</f>
        <v>#REF!</v>
      </c>
      <c r="AO94" s="67">
        <f ca="1">IF(AND($D44&lt;&gt;0,_xlfn.XLOOKUP($B44,'TH_CMI GRADE 10'!$B$7:$B$49,'TH_CMI GRADE 10'!O$7:O$49,"",0,1)="P",
   _xlfn.XLOOKUP($B44,'TH_CMI GRADE 10'!$B$7:$B$49,'TH_CMI GRADE 10'!$AS$7:$AS$49,"",0,1)&lt;=TODAY()-MOD(WEEKDAY(TODAY(),2)-5,7)),$D44,0)</f>
        <v>0</v>
      </c>
      <c r="AP94" s="67">
        <f ca="1">IF(AND($D44&lt;&gt;0,_xlfn.XLOOKUP($B44,'TH_CMI GRADE 10'!$B$7:$B$49,'TH_CMI GRADE 10'!P$7:P$49,"",0,1)="P",
   _xlfn.XLOOKUP($B44,'TH_CMI GRADE 10'!$B$7:$B$49,'TH_CMI GRADE 10'!$AT$7:$AT$49,"",0,1)&lt;=TODAY()-MOD(WEEKDAY(TODAY(),2)-5,7)),$D44,0)</f>
        <v>0</v>
      </c>
      <c r="AQ94" s="67" t="e">
        <f ca="1">IF(AND($D44&lt;&gt;0,_xlfn.XLOOKUP($B44,'TH_CMI GRADE 10'!$B$7:$B$49,'TH_CMI GRADE 10'!Q$7:Q$49,"",0,1)="P",
   _xlfn.XLOOKUP($B44,'TH_CMI GRADE 10'!$B$7:$B$49,'TH_CMI GRADE 10'!#REF!,"",0,1)&lt;=TODAY()-MOD(WEEKDAY(TODAY(),2)-5,7)),$D44,0)</f>
        <v>#REF!</v>
      </c>
      <c r="AR94" s="67">
        <f ca="1">IF(AND($D44&lt;&gt;0,_xlfn.XLOOKUP($B44,'TH_CMI GRADE 10'!$B$7:$B$49,'TH_CMI GRADE 10'!U$7:U$49,"",0,1)="P",
   _xlfn.XLOOKUP($B44,'TH_CMI GRADE 10'!$B$7:$B$49,'TH_CMI GRADE 10'!$AS$7:$AS$49,"",0,1)&lt;=TODAY()-MOD(WEEKDAY(TODAY(),2)-5,7)),$D44,0)</f>
        <v>2</v>
      </c>
      <c r="AS94" s="67">
        <f ca="1">IF(AND($D44&lt;&gt;0,_xlfn.XLOOKUP($B44,'TH_CMI GRADE 10'!$B$7:$B$49,'TH_CMI GRADE 10'!V$7:V$49,"",0,1)="P",
   _xlfn.XLOOKUP($B44,'TH_CMI GRADE 10'!$B$7:$B$49,'TH_CMI GRADE 10'!$AT$7:$AT$49,"",0,1)&lt;=TODAY()-MOD(WEEKDAY(TODAY(),2)-5,7)),$D44,0)</f>
        <v>2</v>
      </c>
      <c r="AT94" s="67" t="e">
        <f ca="1">IF(AND($D44&lt;&gt;0,_xlfn.XLOOKUP($B44,'TH_CMI GRADE 10'!$B$7:$B$49,'TH_CMI GRADE 10'!W$7:W$49,"",0,1)="P",
   _xlfn.XLOOKUP($B44,'TH_CMI GRADE 10'!$B$7:$B$49,'TH_CMI GRADE 10'!#REF!,"",0,1)&lt;=TODAY()-MOD(WEEKDAY(TODAY(),2)-5,7)),$D44,0)</f>
        <v>#REF!</v>
      </c>
      <c r="AU94" s="67">
        <f ca="1">IF(AND($D44&lt;&gt;0,_xlfn.XLOOKUP($B44,'TH_CMI GRADE 10'!$B$7:$B$49,'TH_CMI GRADE 10'!AA$7:AA$49,"",0,1)="P",
   _xlfn.XLOOKUP($B44,'TH_CMI GRADE 10'!$B$7:$B$49,'TH_CMI GRADE 10'!$AS$7:$AS$49,"",0,1)&lt;=TODAY()-MOD(WEEKDAY(TODAY(),2)-5,7)),$D44,0)</f>
        <v>0</v>
      </c>
      <c r="AV94" s="67">
        <f ca="1">IF(AND($D44&lt;&gt;0,_xlfn.XLOOKUP($B44,'TH_CMI GRADE 10'!$B$7:$B$49,'TH_CMI GRADE 10'!AB$7:AB$49,"",0,1)="P",
   _xlfn.XLOOKUP($B44,'TH_CMI GRADE 10'!$B$7:$B$49,'TH_CMI GRADE 10'!$AT$7:$AT$49,"",0,1)&lt;=TODAY()-MOD(WEEKDAY(TODAY(),2)-5,7)),$D44,0)</f>
        <v>0</v>
      </c>
      <c r="AW94" s="67" t="e">
        <f ca="1">IF(AND($D44&lt;&gt;0,_xlfn.XLOOKUP($B44,'TH_CMI GRADE 10'!$B$7:$B$49,'TH_CMI GRADE 10'!AC$7:AC$49,"",0,1)="P",
   _xlfn.XLOOKUP($B44,'TH_CMI GRADE 10'!$B$7:$B$49,'TH_CMI GRADE 10'!#REF!,"",0,1)&lt;=TODAY()-MOD(WEEKDAY(TODAY(),2)-5,7)),$D44,0)</f>
        <v>#REF!</v>
      </c>
      <c r="AX94" s="67">
        <f ca="1">IF(AND($D44&lt;&gt;0,_xlfn.XLOOKUP($B44,'TH_CMI GRADE 10'!$B$7:$B$49,'TH_CMI GRADE 10'!AG$7:AG$49,"",0,1)="P",
   _xlfn.XLOOKUP($B44,'TH_CMI GRADE 10'!$B$7:$B$49,'TH_CMI GRADE 10'!$AS$7:$AS$49,"",0,1)&lt;=TODAY()-MOD(WEEKDAY(TODAY(),2)-5,7)),$D44,0)</f>
        <v>0</v>
      </c>
      <c r="AY94" s="67">
        <f ca="1">IF(AND($D44&lt;&gt;0,_xlfn.XLOOKUP($B44,'TH_CMI GRADE 10'!$B$7:$B$49,'TH_CMI GRADE 10'!AH$7:AH$49,"",0,1)="P",
   _xlfn.XLOOKUP($B44,'TH_CMI GRADE 10'!$B$7:$B$49,'TH_CMI GRADE 10'!$AT$7:$AT$49,"",0,1)&lt;=TODAY()-MOD(WEEKDAY(TODAY(),2)-5,7)),$D44,0)</f>
        <v>0</v>
      </c>
      <c r="AZ94" s="67" t="e">
        <f ca="1">IF(AND($D44&lt;&gt;0,_xlfn.XLOOKUP($B44,'TH_CMI GRADE 10'!$B$7:$B$49,'TH_CMI GRADE 10'!AI$7:AI$49,"",0,1)="P",
   _xlfn.XLOOKUP($B44,'TH_CMI GRADE 10'!$B$7:$B$49,'TH_CMI GRADE 10'!#REF!,"",0,1)&lt;=TODAY()-MOD(WEEKDAY(TODAY(),2)-5,7)),$D44,0)</f>
        <v>#REF!</v>
      </c>
      <c r="BA94" s="65" t="e">
        <f ca="1">IF(AND($D44&lt;&gt;0,_xlfn.XLOOKUP($B44,'PW_MLG GRADE 10'!$B$7:$B$31,'PW_MLG GRADE 10'!R$7:R$31,"",0,1)="P",
   _xlfn.XLOOKUP($B44,'PW_MLG GRADE 10'!$B$7:$B$31,'PW_MLG GRADE 10'!#REF!,"",0,1)&lt;=TODAY()-MOD(WEEKDAY(TODAY(),2)-5,7)),$D44,0)</f>
        <v>#REF!</v>
      </c>
      <c r="BB94" s="65" t="e">
        <f ca="1">IF(AND($D44&lt;&gt;0,_xlfn.XLOOKUP($B44,'PW_MLG GRADE 10'!$B$7:$B$31,'PW_MLG GRADE 10'!S$7:S$31,"",0,1)="P",
   _xlfn.XLOOKUP($B44,'PW_MLG GRADE 10'!$B$7:$B$31,'PW_MLG GRADE 10'!#REF!,"",0,1)&lt;=TODAY()-MOD(WEEKDAY(TODAY(),2)-5,7)),$D44,0)</f>
        <v>#REF!</v>
      </c>
      <c r="BC94" s="65" t="e">
        <f ca="1">IF(AND($D44&lt;&gt;0,_xlfn.XLOOKUP($B44,'PW_MLG GRADE 10'!$B$7:$B$31,'PW_MLG GRADE 10'!T$7:T$31,"",0,1)="P",
   _xlfn.XLOOKUP($B44,'PW_MLG GRADE 10'!$B$7:$B$31,'PW_MLG GRADE 10'!#REF!,"",0,1)&lt;=TODAY()-MOD(WEEKDAY(TODAY(),2)-5,7)),$D44,0)</f>
        <v>#REF!</v>
      </c>
      <c r="BD94" s="65" t="e">
        <f ca="1">IF(AND($D44&lt;&gt;0,_xlfn.XLOOKUP($B44,'PW_MLG GRADE 10'!$B$7:$B$31,'PW_MLG GRADE 10'!AA$7:AA$31,"",0,1)="P",
   _xlfn.XLOOKUP($B44,'PW_MLG GRADE 10'!$B$7:$B$31,'PW_MLG GRADE 10'!#REF!,"",0,1)&lt;=TODAY()-MOD(WEEKDAY(TODAY(),2)-5,7)),$D44,0)</f>
        <v>#REF!</v>
      </c>
      <c r="BE94" s="65" t="e">
        <f ca="1">IF(AND($D44&lt;&gt;0,_xlfn.XLOOKUP($B44,'PW_MLG GRADE 10'!$B$7:$B$31,'PW_MLG GRADE 10'!AB$7:AB$31,"",0,1)="P",
   _xlfn.XLOOKUP($B44,'PW_MLG GRADE 10'!$B$7:$B$31,'PW_MLG GRADE 10'!#REF!,"",0,1)&lt;=TODAY()-MOD(WEEKDAY(TODAY(),2)-5,7)),$D44,0)</f>
        <v>#REF!</v>
      </c>
      <c r="BF94" s="65" t="e">
        <f ca="1">IF(AND($D44&lt;&gt;0,_xlfn.XLOOKUP($B44,'PW_MLG GRADE 10'!$B$7:$B$31,'PW_MLG GRADE 10'!AC$7:AC$31,"",0,1)="P",
   _xlfn.XLOOKUP($B44,'PW_MLG GRADE 10'!$B$7:$B$31,'PW_MLG GRADE 10'!#REF!,"",0,1)&lt;=TODAY()-MOD(WEEKDAY(TODAY(),2)-5,7)),$D44,0)</f>
        <v>#REF!</v>
      </c>
      <c r="BG94" s="65" t="e">
        <f ca="1">IF(AND($D44&lt;&gt;0,_xlfn.XLOOKUP($B44,'PW_MLG GRADE 10'!$B$7:$B$31,'PW_MLG GRADE 10'!AD$7:AD$31,"",0,1)="P",
   _xlfn.XLOOKUP($B44,'PW_MLG GRADE 10'!$B$7:$B$31,'PW_MLG GRADE 10'!#REF!,"",0,1)&lt;=TODAY()-MOD(WEEKDAY(TODAY(),2)-5,7)),$D44,0)</f>
        <v>#REF!</v>
      </c>
      <c r="BH94" s="65" t="e">
        <f ca="1">IF(AND($D44&lt;&gt;0,_xlfn.XLOOKUP($B44,'PW_MLG GRADE 10'!$B$7:$B$31,'PW_MLG GRADE 10'!AE$7:AE$31,"",0,1)="P",
   _xlfn.XLOOKUP($B44,'PW_MLG GRADE 10'!$B$7:$B$31,'PW_MLG GRADE 10'!#REF!,"",0,1)&lt;=TODAY()-MOD(WEEKDAY(TODAY(),2)-5,7)),$D44,0)</f>
        <v>#REF!</v>
      </c>
      <c r="BI94" s="65" t="e">
        <f ca="1">IF(AND($D44&lt;&gt;0,_xlfn.XLOOKUP($B44,'PW_MLG GRADE 10'!$B$7:$B$31,'PW_MLG GRADE 10'!AF$7:AF$31,"",0,1)="P",
   _xlfn.XLOOKUP($B44,'PW_MLG GRADE 10'!$B$7:$B$31,'PW_MLG GRADE 10'!#REF!,"",0,1)&lt;=TODAY()-MOD(WEEKDAY(TODAY(),2)-5,7)),$D44,0)</f>
        <v>#REF!</v>
      </c>
      <c r="BJ94" s="65" t="e">
        <f ca="1">IF(AND($D44&lt;&gt;0,_xlfn.XLOOKUP($B44,'PW_MLG GRADE 10'!$B$7:$B$31,'PW_MLG GRADE 10'!AG$7:AG$31,"",0,1)="P",
   _xlfn.XLOOKUP($B44,'PW_MLG GRADE 10'!$B$7:$B$31,'PW_MLG GRADE 10'!#REF!,"",0,1)&lt;=TODAY()-MOD(WEEKDAY(TODAY(),2)-5,7)),$D44,0)</f>
        <v>#REF!</v>
      </c>
      <c r="BK94" s="65" t="e">
        <f ca="1">IF(AND($D44&lt;&gt;0,_xlfn.XLOOKUP($B44,'PW_MLG GRADE 10'!$B$7:$B$31,'PW_MLG GRADE 10'!AH$7:AH$31,"",0,1)="P",
   _xlfn.XLOOKUP($B44,'PW_MLG GRADE 10'!$B$7:$B$31,'PW_MLG GRADE 10'!#REF!,"",0,1)&lt;=TODAY()-MOD(WEEKDAY(TODAY(),2)-5,7)),$D44,0)</f>
        <v>#REF!</v>
      </c>
      <c r="BL94" s="65" t="e">
        <f ca="1">IF(AND($D44&lt;&gt;0,_xlfn.XLOOKUP($B44,'PW_MLG GRADE 10'!$B$7:$B$31,'PW_MLG GRADE 10'!AI$7:AI$31,"",0,1)="P",
   _xlfn.XLOOKUP($B44,'PW_MLG GRADE 10'!$B$7:$B$31,'PW_MLG GRADE 10'!#REF!,"",0,1)&lt;=TODAY()-MOD(WEEKDAY(TODAY(),2)-5,7)),$D44,0)</f>
        <v>#REF!</v>
      </c>
      <c r="BM94" s="65" t="e">
        <f ca="1">IF(AND($D44&lt;&gt;0,_xlfn.XLOOKUP($B44,'PW_MLG GRADE 10'!$B$7:$B$31,'PW_MLG GRADE 10'!AJ$7:AJ$31,"",0,1)="P",
   _xlfn.XLOOKUP($B44,'PW_MLG GRADE 10'!$B$7:$B$31,'PW_MLG GRADE 10'!#REF!,"",0,1)&lt;=TODAY()-MOD(WEEKDAY(TODAY(),2)-5,7)),$D44,0)</f>
        <v>#REF!</v>
      </c>
      <c r="BN94" s="65" t="e">
        <f ca="1">IF(AND($D44&lt;&gt;0,_xlfn.XLOOKUP($B44,'PW_MLG GRADE 10'!$B$7:$B$31,'PW_MLG GRADE 10'!AK$7:AK$31,"",0,1)="P",
   _xlfn.XLOOKUP($B44,'PW_MLG GRADE 10'!$B$7:$B$31,'PW_MLG GRADE 10'!#REF!,"",0,1)&lt;=TODAY()-MOD(WEEKDAY(TODAY(),2)-5,7)),$D44,0)</f>
        <v>#REF!</v>
      </c>
      <c r="BO94" s="65" t="e">
        <f ca="1">IF(AND($D44&lt;&gt;0,_xlfn.XLOOKUP($B44,'PW_MLG GRADE 10'!$B$7:$B$31,'PW_MLG GRADE 10'!AL$7:AL$31,"",0,1)="P",
   _xlfn.XLOOKUP($B44,'PW_MLG GRADE 10'!$B$7:$B$31,'PW_MLG GRADE 10'!#REF!,"",0,1)&lt;=TODAY()-MOD(WEEKDAY(TODAY(),2)-5,7)),$D44,0)</f>
        <v>#REF!</v>
      </c>
      <c r="BP94" s="65" t="e">
        <f ca="1">IF(AND($D44&lt;&gt;0,_xlfn.XLOOKUP($B44,'PW_MLG GRADE 10'!$B$7:$B$31,'PW_MLG GRADE 10'!AM$7:AM$31,"",0,1)="P",
   _xlfn.XLOOKUP($B44,'PW_MLG GRADE 10'!$B$7:$B$31,'PW_MLG GRADE 10'!#REF!,"",0,1)&lt;=TODAY()-MOD(WEEKDAY(TODAY(),2)-5,7)),$D44,0)</f>
        <v>#REF!</v>
      </c>
      <c r="BQ94" s="65" t="e">
        <f ca="1">IF(AND($D44&lt;&gt;0,_xlfn.XLOOKUP($B44,'PW_MLG GRADE 10'!$B$7:$B$31,'PW_MLG GRADE 10'!AN$7:AN$31,"",0,1)="P",
   _xlfn.XLOOKUP($B44,'PW_MLG GRADE 10'!$B$7:$B$31,'PW_MLG GRADE 10'!#REF!,"",0,1)&lt;=TODAY()-MOD(WEEKDAY(TODAY(),2)-5,7)),$D44,0)</f>
        <v>#REF!</v>
      </c>
      <c r="BR94" s="65" t="e">
        <f ca="1">IF(AND($D44&lt;&gt;0,_xlfn.XLOOKUP($B44,'PW_MLG GRADE 10'!$B$7:$B$31,'PW_MLG GRADE 10'!AO$7:AO$31,"",0,1)="P",
   _xlfn.XLOOKUP($B44,'PW_MLG GRADE 10'!$B$7:$B$31,'PW_MLG GRADE 10'!#REF!,"",0,1)&lt;=TODAY()-MOD(WEEKDAY(TODAY(),2)-5,7)),$D44,0)</f>
        <v>#REF!</v>
      </c>
      <c r="BS94" s="65" t="e">
        <f ca="1">IF(AND($D44&lt;&gt;0,_xlfn.XLOOKUP($B44,'PW_MLG GRADE 10'!$B$7:$B$31,'PW_MLG GRADE 10'!AP$7:AP$31,"",0,1)="P",
   _xlfn.XLOOKUP($B44,'PW_MLG GRADE 10'!$B$7:$B$31,'PW_MLG GRADE 10'!#REF!,"",0,1)&lt;=TODAY()-MOD(WEEKDAY(TODAY(),2)-5,7)),$D44,0)</f>
        <v>#REF!</v>
      </c>
      <c r="BT94" s="65" t="e">
        <f ca="1">IF(AND($D44&lt;&gt;0,_xlfn.XLOOKUP($B44,'PW_MLG GRADE 10'!$B$7:$B$31,'PW_MLG GRADE 10'!AQ$7:AQ$31,"",0,1)="P",
   _xlfn.XLOOKUP($B44,'PW_MLG GRADE 10'!$B$7:$B$31,'PW_MLG GRADE 10'!#REF!,"",0,1)&lt;=TODAY()-MOD(WEEKDAY(TODAY(),2)-5,7)),$D44,0)</f>
        <v>#REF!</v>
      </c>
      <c r="BU94" s="65" t="e">
        <f ca="1">IF(AND($D44&lt;&gt;0,_xlfn.XLOOKUP($B44,'PW_MLG GRADE 10'!$B$7:$B$31,'PW_MLG GRADE 10'!AR$7:AR$31,"",0,1)="P",
   _xlfn.XLOOKUP($B44,'PW_MLG GRADE 10'!$B$7:$B$31,'PW_MLG GRADE 10'!#REF!,"",0,1)&lt;=TODAY()-MOD(WEEKDAY(TODAY(),2)-5,7)),$D44,0)</f>
        <v>#REF!</v>
      </c>
      <c r="BV94" s="65" t="e">
        <f ca="1">IF(AND($D44&lt;&gt;0,_xlfn.XLOOKUP($B44,'PW_MLG GRADE 10'!$B$7:$B$31,'PW_MLG GRADE 10'!AY$7:AY$31,"",0,1)="P",
   _xlfn.XLOOKUP($B44,'PW_MLG GRADE 10'!$B$7:$B$31,'PW_MLG GRADE 10'!#REF!,"",0,1)&lt;=TODAY()-MOD(WEEKDAY(TODAY(),2)-5,7)),$D44,0)</f>
        <v>#REF!</v>
      </c>
      <c r="BW94" s="65" t="e">
        <f ca="1">IF(AND($D44&lt;&gt;0,_xlfn.XLOOKUP($B44,'PW_MLG GRADE 10'!$B$7:$B$31,'PW_MLG GRADE 10'!AZ$7:AZ$31,"",0,1)="P",
   _xlfn.XLOOKUP($B44,'PW_MLG GRADE 10'!$B$7:$B$31,'PW_MLG GRADE 10'!#REF!,"",0,1)&lt;=TODAY()-MOD(WEEKDAY(TODAY(),2)-5,7)),$D44,0)</f>
        <v>#REF!</v>
      </c>
      <c r="BX94" s="65" t="e">
        <f ca="1">IF(AND($D44&lt;&gt;0,_xlfn.XLOOKUP($B44,'PW_MLG GRADE 10'!$B$7:$B$31,'PW_MLG GRADE 10'!BA$7:BA$31,"",0,1)="P",
   _xlfn.XLOOKUP($B44,'PW_MLG GRADE 10'!$B$7:$B$31,'PW_MLG GRADE 10'!#REF!,"",0,1)&lt;=TODAY()-MOD(WEEKDAY(TODAY(),2)-5,7)),$D44,0)</f>
        <v>#REF!</v>
      </c>
      <c r="BY94" s="65" t="e">
        <f ca="1">IF(AND($D44&lt;&gt;0,_xlfn.XLOOKUP($B44,'PW_MLG GRADE 10'!$B$7:$B$31,'PW_MLG GRADE 10'!BB$7:BB$31,"",0,1)="P",
   _xlfn.XLOOKUP($B44,'PW_MLG GRADE 10'!$B$7:$B$31,'PW_MLG GRADE 10'!#REF!,"",0,1)&lt;=TODAY()-MOD(WEEKDAY(TODAY(),2)-5,7)),$D44,0)</f>
        <v>#REF!</v>
      </c>
      <c r="BZ94" s="65" t="e">
        <f ca="1">IF(AND($D44&lt;&gt;0,_xlfn.XLOOKUP($B44,'PW_MLG GRADE 10'!$B$7:$B$31,'PW_MLG GRADE 10'!BC$7:BC$31,"",0,1)="P",
   _xlfn.XLOOKUP($B44,'PW_MLG GRADE 10'!$B$7:$B$31,'PW_MLG GRADE 10'!#REF!,"",0,1)&lt;=TODAY()-MOD(WEEKDAY(TODAY(),2)-5,7)),$D44,0)</f>
        <v>#REF!</v>
      </c>
      <c r="CA94" s="65" t="e">
        <f ca="1">IF(AND($D44&lt;&gt;0,_xlfn.XLOOKUP($B44,'PW_MLG GRADE 10'!$B$7:$B$31,'PW_MLG GRADE 10'!BD$7:BD$31,"",0,1)="P",
   _xlfn.XLOOKUP($B44,'PW_MLG GRADE 10'!$B$7:$B$31,'PW_MLG GRADE 10'!#REF!,"",0,1)&lt;=TODAY()-MOD(WEEKDAY(TODAY(),2)-5,7)),$D44,0)</f>
        <v>#REF!</v>
      </c>
      <c r="CB94" s="65" t="e">
        <f ca="1">IF(AND($D44&lt;&gt;0,_xlfn.XLOOKUP($B44,'PW_MLG GRADE 10'!$B$7:$B$31,'PW_MLG GRADE 10'!BE$7:BE$31,"",0,1)="P",
   _xlfn.XLOOKUP($B44,'PW_MLG GRADE 10'!$B$7:$B$31,'PW_MLG GRADE 10'!#REF!,"",0,1)&lt;=TODAY()-MOD(WEEKDAY(TODAY(),2)-5,7)),$D44,0)</f>
        <v>#REF!</v>
      </c>
      <c r="CC94" s="65" t="e">
        <f ca="1">IF(AND($D44&lt;&gt;0,_xlfn.XLOOKUP($B44,'PW_MLG GRADE 10'!$B$7:$B$31,'PW_MLG GRADE 10'!BF$7:BF$31,"",0,1)="P",
   _xlfn.XLOOKUP($B44,'PW_MLG GRADE 10'!$B$7:$B$31,'PW_MLG GRADE 10'!#REF!,"",0,1)&lt;=TODAY()-MOD(WEEKDAY(TODAY(),2)-5,7)),$D44,0)</f>
        <v>#REF!</v>
      </c>
      <c r="CD94" s="65" t="e">
        <f ca="1">IF(AND($D44&lt;&gt;0,_xlfn.XLOOKUP($B44,'PW_MLG GRADE 10'!$B$7:$B$31,'PW_MLG GRADE 10'!BG$7:BG$31,"",0,1)="P",
   _xlfn.XLOOKUP($B44,'PW_MLG GRADE 10'!$B$7:$B$31,'PW_MLG GRADE 10'!#REF!,"",0,1)&lt;=TODAY()-MOD(WEEKDAY(TODAY(),2)-5,7)),$D44,0)</f>
        <v>#REF!</v>
      </c>
      <c r="CE94" s="67">
        <f ca="1">IF(AND($D44&lt;&gt;0,_xlfn.XLOOKUP($B44,'PW_CMI GRADE 10'!$B$7:$B$31,'PW_CMI GRADE 10'!AY$7:AY$31,"",0,1)="P",
   _xlfn.XLOOKUP($B44,'PW_CMI GRADE 10'!$B$7:$B$31,'PW_CMI GRADE 10'!$U$7:$U$31,"",0,1)&lt;=TODAY()-MOD(WEEKDAY(TODAY(),2)-5,7)),$D44,0)</f>
        <v>0</v>
      </c>
      <c r="CF94" s="67">
        <f ca="1">IF(AND($D44&lt;&gt;0,_xlfn.XLOOKUP($B44,'PW_CMI GRADE 10'!$B$7:$B$31,'PW_CMI GRADE 10'!AZ$7:AZ$31,"",0,1)="P",
   _xlfn.XLOOKUP($B44,'PW_CMI GRADE 10'!$B$7:$B$31,'PW_CMI GRADE 10'!$V$7:$V$31,"",0,1)&lt;=TODAY()-MOD(WEEKDAY(TODAY(),2)-5,7)),$D44,0)</f>
        <v>0</v>
      </c>
      <c r="CG94" s="67">
        <f ca="1">IF(AND($D44&lt;&gt;0,_xlfn.XLOOKUP($B44,'PW_CMI GRADE 10'!$B$7:$B$31,'PW_CMI GRADE 10'!BA$7:BA$31,"",0,1)="P",
   _xlfn.XLOOKUP($B44,'PW_CMI GRADE 10'!$B$7:$B$31,'PW_CMI GRADE 10'!$W$7:$W$31,"",0,1)&lt;=TODAY()-MOD(WEEKDAY(TODAY(),2)-5,7)),$D44,0)</f>
        <v>0</v>
      </c>
      <c r="CH94" s="67">
        <f ca="1">IF(AND($D44&lt;&gt;0,_xlfn.XLOOKUP($B44,'PW_CMI GRADE 10'!$B$7:$B$31,'PW_CMI GRADE 10'!BB$7:BB$31,"",0,1)="P",
   _xlfn.XLOOKUP($B44,'PW_CMI GRADE 10'!$B$7:$B$31,'PW_CMI GRADE 10'!$U$7:$U$31,"",0,1)&lt;=TODAY()-MOD(WEEKDAY(TODAY(),2)-5,7)),$D44,0)</f>
        <v>0</v>
      </c>
      <c r="CI94" s="67">
        <f ca="1">IF(AND($D44&lt;&gt;0,_xlfn.XLOOKUP($B44,'PW_CMI GRADE 10'!$B$7:$B$31,'PW_CMI GRADE 10'!BC$7:BC$31,"",0,1)="P",
   _xlfn.XLOOKUP($B44,'PW_CMI GRADE 10'!$B$7:$B$31,'PW_CMI GRADE 10'!$V$7:$V$31,"",0,1)&lt;=TODAY()-MOD(WEEKDAY(TODAY(),2)-5,7)),$D44,0)</f>
        <v>0</v>
      </c>
      <c r="CJ94" s="67">
        <f ca="1">IF(AND($D44&lt;&gt;0,_xlfn.XLOOKUP($B44,'PW_CMI GRADE 10'!$B$7:$B$31,'PW_CMI GRADE 10'!BD$7:BD$31,"",0,1)="P",
   _xlfn.XLOOKUP($B44,'PW_CMI GRADE 10'!$B$7:$B$31,'PW_CMI GRADE 10'!$W$7:$W$31,"",0,1)&lt;=TODAY()-MOD(WEEKDAY(TODAY(),2)-5,7)),$D44,0)</f>
        <v>0</v>
      </c>
      <c r="CK94" s="67">
        <f ca="1">IF(AND($D44&lt;&gt;0,_xlfn.XLOOKUP($B44,'PW_CMI GRADE 10'!$B$7:$B$31,'PW_CMI GRADE 10'!BE$7:BE$31,"",0,1)="P",
   _xlfn.XLOOKUP($B44,'PW_CMI GRADE 10'!$B$7:$B$31,'PW_CMI GRADE 10'!$U$7:$U$31,"",0,1)&lt;=TODAY()-MOD(WEEKDAY(TODAY(),2)-5,7)),$D44,0)</f>
        <v>0</v>
      </c>
      <c r="CL94" s="67">
        <f ca="1">IF(AND($D44&lt;&gt;0,_xlfn.XLOOKUP($B44,'PW_CMI GRADE 10'!$B$7:$B$31,'PW_CMI GRADE 10'!BF$7:BF$31,"",0,1)="P",
   _xlfn.XLOOKUP($B44,'PW_CMI GRADE 10'!$B$7:$B$31,'PW_CMI GRADE 10'!$V$7:$V$31,"",0,1)&lt;=TODAY()-MOD(WEEKDAY(TODAY(),2)-5,7)),$D44,0)</f>
        <v>0</v>
      </c>
      <c r="CM94" s="67">
        <f ca="1">IF(AND($D44&lt;&gt;0,_xlfn.XLOOKUP($B44,'PW_CMI GRADE 10'!$B$7:$B$31,'PW_CMI GRADE 10'!BG$7:BG$31,"",0,1)="P",
   _xlfn.XLOOKUP($B44,'PW_CMI GRADE 10'!$B$7:$B$31,'PW_CMI GRADE 10'!$W$7:$W$31,"",0,1)&lt;=TODAY()-MOD(WEEKDAY(TODAY(),2)-5,7)),$D44,0)</f>
        <v>0</v>
      </c>
      <c r="CN94" s="67">
        <f ca="1">IF(AND($D44&lt;&gt;0,_xlfn.XLOOKUP($B44,'PW_CMI GRADE 10'!$B$7:$B$31,'PW_CMI GRADE 10'!BH$7:BH$31,"",0,1)="P",
   _xlfn.XLOOKUP($B44,'PW_CMI GRADE 10'!$B$7:$B$31,'PW_CMI GRADE 10'!$U$7:$U$31,"",0,1)&lt;=TODAY()-MOD(WEEKDAY(TODAY(),2)-5,7)),$D44,0)</f>
        <v>0</v>
      </c>
      <c r="CO94" s="67">
        <f ca="1">IF(AND($D44&lt;&gt;0,_xlfn.XLOOKUP($B44,'PW_CMI GRADE 10'!$B$7:$B$31,'PW_CMI GRADE 10'!BI$7:BI$31,"",0,1)="P",
   _xlfn.XLOOKUP($B44,'PW_CMI GRADE 10'!$B$7:$B$31,'PW_CMI GRADE 10'!$V$7:$V$31,"",0,1)&lt;=TODAY()-MOD(WEEKDAY(TODAY(),2)-5,7)),$D44,0)</f>
        <v>0</v>
      </c>
      <c r="CP94" s="67">
        <f ca="1">IF(AND($D44&lt;&gt;0,_xlfn.XLOOKUP($B44,'PW_CMI GRADE 10'!$B$7:$B$31,'PW_CMI GRADE 10'!BJ$7:BJ$31,"",0,1)="P",
   _xlfn.XLOOKUP($B44,'PW_CMI GRADE 10'!$B$7:$B$31,'PW_CMI GRADE 10'!$W$7:$W$31,"",0,1)&lt;=TODAY()-MOD(WEEKDAY(TODAY(),2)-5,7)),$D44,0)</f>
        <v>0</v>
      </c>
      <c r="CQ94" s="67">
        <f ca="1">IF(AND($D44&lt;&gt;0,_xlfn.XLOOKUP($B44,'PW_CMI GRADE 10'!$B$7:$B$31,'PW_CMI GRADE 10'!BK$7:BK$31,"",0,1)="P",
   _xlfn.XLOOKUP($B44,'PW_CMI GRADE 10'!$B$7:$B$31,'PW_CMI GRADE 10'!$U$7:$U$31,"",0,1)&lt;=TODAY()-MOD(WEEKDAY(TODAY(),2)-5,7)),$D44,0)</f>
        <v>0</v>
      </c>
      <c r="CR94" s="67">
        <f ca="1">IF(AND($D44&lt;&gt;0,_xlfn.XLOOKUP($B44,'PW_CMI GRADE 10'!$B$7:$B$31,'PW_CMI GRADE 10'!BL$7:BL$31,"",0,1)="P",
   _xlfn.XLOOKUP($B44,'PW_CMI GRADE 10'!$B$7:$B$31,'PW_CMI GRADE 10'!$V$7:$V$31,"",0,1)&lt;=TODAY()-MOD(WEEKDAY(TODAY(),2)-5,7)),$D44,0)</f>
        <v>0</v>
      </c>
      <c r="CS94" s="67">
        <f ca="1">IF(AND($D44&lt;&gt;0,_xlfn.XLOOKUP($B44,'PW_CMI GRADE 10'!$B$7:$B$31,'PW_CMI GRADE 10'!BM$7:BM$31,"",0,1)="P",
   _xlfn.XLOOKUP($B44,'PW_CMI GRADE 10'!$B$7:$B$31,'PW_CMI GRADE 10'!$W$7:$W$31,"",0,1)&lt;=TODAY()-MOD(WEEKDAY(TODAY(),2)-5,7)),$D44,0)</f>
        <v>0</v>
      </c>
      <c r="CT94" s="67">
        <f ca="1">IF(AND($D44&lt;&gt;0,_xlfn.XLOOKUP($B44,'PW_CMI GRADE 10'!$B$7:$B$31,'PW_CMI GRADE 10'!BN$7:BN$31,"",0,1)="P",
   _xlfn.XLOOKUP($B44,'PW_CMI GRADE 10'!$B$7:$B$31,'PW_CMI GRADE 10'!$U$7:$U$31,"",0,1)&lt;=TODAY()-MOD(WEEKDAY(TODAY(),2)-5,7)),$D44,0)</f>
        <v>0</v>
      </c>
      <c r="CU94" s="67">
        <f ca="1">IF(AND($D44&lt;&gt;0,_xlfn.XLOOKUP($B44,'PW_CMI GRADE 10'!$B$7:$B$31,'PW_CMI GRADE 10'!BO$7:BO$31,"",0,1)="P",
   _xlfn.XLOOKUP($B44,'PW_CMI GRADE 10'!$B$7:$B$31,'PW_CMI GRADE 10'!$V$7:$V$31,"",0,1)&lt;=TODAY()-MOD(WEEKDAY(TODAY(),2)-5,7)),$D44,0)</f>
        <v>0</v>
      </c>
      <c r="CV94" s="67">
        <f ca="1">IF(AND($D44&lt;&gt;0,_xlfn.XLOOKUP($B44,'PW_CMI GRADE 10'!$B$7:$B$31,'PW_CMI GRADE 10'!BP$7:BP$31,"",0,1)="P",
   _xlfn.XLOOKUP($B44,'PW_CMI GRADE 10'!$B$7:$B$31,'PW_CMI GRADE 10'!$W$7:$W$31,"",0,1)&lt;=TODAY()-MOD(WEEKDAY(TODAY(),2)-5,7)),$D44,0)</f>
        <v>0</v>
      </c>
      <c r="CW94" s="62" t="e">
        <f t="shared" ca="1" si="132"/>
        <v>#REF!</v>
      </c>
      <c r="CX94" s="62" t="e">
        <f t="shared" ca="1" si="69"/>
        <v>#REF!</v>
      </c>
      <c r="CY94" s="62" t="e">
        <f t="shared" ca="1" si="70"/>
        <v>#REF!</v>
      </c>
      <c r="CZ94" s="62" t="e">
        <f t="shared" ca="1" si="71"/>
        <v>#REF!</v>
      </c>
      <c r="DA94" s="62" t="e">
        <f t="shared" ca="1" si="72"/>
        <v>#REF!</v>
      </c>
      <c r="DB94" s="62" t="e">
        <f t="shared" ca="1" si="73"/>
        <v>#REF!</v>
      </c>
      <c r="DC94" s="62" t="e">
        <f t="shared" ca="1" si="74"/>
        <v>#REF!</v>
      </c>
      <c r="DD94" s="62" t="e">
        <f t="shared" ca="1" si="75"/>
        <v>#REF!</v>
      </c>
      <c r="DE94" s="62" t="e">
        <f t="shared" ca="1" si="76"/>
        <v>#REF!</v>
      </c>
      <c r="DF94" s="62" t="e">
        <f t="shared" ca="1" si="77"/>
        <v>#REF!</v>
      </c>
      <c r="DG94" s="62" t="e">
        <f t="shared" ca="1" si="78"/>
        <v>#REF!</v>
      </c>
      <c r="DH94" s="62" t="e">
        <f t="shared" ca="1" si="79"/>
        <v>#REF!</v>
      </c>
      <c r="DI94" s="62" t="e">
        <f t="shared" ca="1" si="80"/>
        <v>#REF!</v>
      </c>
      <c r="DJ94" s="62" t="e">
        <f t="shared" ca="1" si="81"/>
        <v>#REF!</v>
      </c>
      <c r="DK94" s="62" t="e">
        <f t="shared" ca="1" si="82"/>
        <v>#REF!</v>
      </c>
      <c r="DL94" s="62" t="e">
        <f t="shared" ca="1" si="83"/>
        <v>#REF!</v>
      </c>
      <c r="DM94" s="62" t="e">
        <f t="shared" ca="1" si="84"/>
        <v>#REF!</v>
      </c>
      <c r="DN94" s="62" t="e">
        <f t="shared" ca="1" si="85"/>
        <v>#REF!</v>
      </c>
      <c r="DO94" s="62" t="e">
        <f t="shared" ca="1" si="86"/>
        <v>#REF!</v>
      </c>
      <c r="DP94" s="62" t="e">
        <f t="shared" ca="1" si="87"/>
        <v>#REF!</v>
      </c>
      <c r="DQ94" s="62" t="e">
        <f t="shared" ca="1" si="88"/>
        <v>#REF!</v>
      </c>
      <c r="DR94" s="62" t="e">
        <f t="shared" ca="1" si="89"/>
        <v>#REF!</v>
      </c>
      <c r="DS94" s="62" t="e">
        <f t="shared" ca="1" si="90"/>
        <v>#REF!</v>
      </c>
      <c r="DT94" s="62" t="e">
        <f t="shared" ca="1" si="91"/>
        <v>#REF!</v>
      </c>
      <c r="DU94" s="62" t="e">
        <f t="shared" ca="1" si="92"/>
        <v>#REF!</v>
      </c>
      <c r="DV94" s="62" t="e">
        <f t="shared" ca="1" si="93"/>
        <v>#REF!</v>
      </c>
      <c r="DW94" s="62" t="e">
        <f t="shared" ca="1" si="94"/>
        <v>#REF!</v>
      </c>
      <c r="DX94" s="62" t="e">
        <f t="shared" ca="1" si="95"/>
        <v>#REF!</v>
      </c>
      <c r="DY94" s="62" t="e">
        <f t="shared" ca="1" si="96"/>
        <v>#REF!</v>
      </c>
      <c r="DZ94" s="62" t="e">
        <f t="shared" ca="1" si="97"/>
        <v>#REF!</v>
      </c>
      <c r="EA94" s="63" t="e">
        <f t="shared" ca="1" si="98"/>
        <v>#REF!</v>
      </c>
      <c r="EB94" s="63" t="e">
        <f t="shared" ca="1" si="99"/>
        <v>#REF!</v>
      </c>
      <c r="EC94" s="63" t="e">
        <f t="shared" ca="1" si="100"/>
        <v>#REF!</v>
      </c>
      <c r="ED94" s="63" t="e">
        <f t="shared" ca="1" si="101"/>
        <v>#REF!</v>
      </c>
      <c r="EE94" s="63" t="e">
        <f t="shared" ca="1" si="102"/>
        <v>#REF!</v>
      </c>
      <c r="EF94" s="63" t="e">
        <f t="shared" ca="1" si="103"/>
        <v>#REF!</v>
      </c>
      <c r="EG94" s="63" t="e">
        <f t="shared" ca="1" si="104"/>
        <v>#REF!</v>
      </c>
      <c r="EH94" s="63" t="e">
        <f t="shared" ca="1" si="105"/>
        <v>#REF!</v>
      </c>
      <c r="EI94" s="63" t="e">
        <f t="shared" ca="1" si="106"/>
        <v>#REF!</v>
      </c>
      <c r="EJ94" s="63" t="e">
        <f t="shared" ca="1" si="107"/>
        <v>#REF!</v>
      </c>
      <c r="EK94" s="63" t="e">
        <f t="shared" ca="1" si="108"/>
        <v>#REF!</v>
      </c>
      <c r="EL94" s="63" t="e">
        <f t="shared" ca="1" si="109"/>
        <v>#REF!</v>
      </c>
      <c r="EM94" s="63" t="e">
        <f t="shared" ca="1" si="110"/>
        <v>#REF!</v>
      </c>
      <c r="EN94" s="63" t="e">
        <f t="shared" ca="1" si="111"/>
        <v>#REF!</v>
      </c>
      <c r="EO94" s="63" t="e">
        <f t="shared" ca="1" si="112"/>
        <v>#REF!</v>
      </c>
      <c r="EP94" s="63" t="e">
        <f t="shared" ca="1" si="113"/>
        <v>#REF!</v>
      </c>
    </row>
    <row r="95" spans="1:146">
      <c r="A95" s="64" t="str">
        <f t="shared" si="131"/>
        <v>7A.1</v>
      </c>
      <c r="B95" s="64" t="s">
        <v>76</v>
      </c>
      <c r="C95" s="29"/>
      <c r="D95" s="29">
        <v>2</v>
      </c>
      <c r="E95" s="65">
        <f ca="1">IF(AND($D45&lt;&gt;0,_xlfn.XLOOKUP($B45,'TH_MLG GRADE 10'!$B$7:$B$49,'TH_MLG GRADE 10'!C$7:C$49,"",0,1)="P",
   _xlfn.XLOOKUP($B45,'TH_MLG GRADE 10'!$B$7:$B$49,'TH_MLG GRADE 10'!$BK$7:$BK$49,"",0,1)&lt;=TODAY()-MOD(WEEKDAY(TODAY(),2)-5,7)),$D45,0)</f>
        <v>0</v>
      </c>
      <c r="F95" s="65">
        <f ca="1">IF(AND($D45&lt;&gt;0,_xlfn.XLOOKUP($B45,'TH_MLG GRADE 10'!$B$7:$B$49,'TH_MLG GRADE 10'!D$7:D$49,"",0,1)="P",
   _xlfn.XLOOKUP($B45,'TH_MLG GRADE 10'!$B$7:$B$49,'TH_MLG GRADE 10'!$BL$7:$BL$49,"",0,1)&lt;=TODAY()-MOD(WEEKDAY(TODAY(),2)-5,7)),$D45,0)</f>
        <v>0</v>
      </c>
      <c r="G95" s="65">
        <f ca="1">IF(AND($D45&lt;&gt;0,_xlfn.XLOOKUP($B45,'TH_MLG GRADE 10'!$B$7:$B$49,'TH_MLG GRADE 10'!E$7:E$49,"",0,1)="P",
   _xlfn.XLOOKUP($B45,'TH_MLG GRADE 10'!$B$7:$B$49,'TH_MLG GRADE 10'!$BM$7:$BM$49,"",0,1)&lt;=TODAY()-MOD(WEEKDAY(TODAY(),2)-5,7)),$D45,0)</f>
        <v>0</v>
      </c>
      <c r="H95" s="65">
        <f ca="1">IF(AND($D45&lt;&gt;0,_xlfn.XLOOKUP($B45,'TH_MLG GRADE 10'!$B$7:$B$49,'TH_MLG GRADE 10'!I$7:I$49,"",0,1)="P",
   _xlfn.XLOOKUP($B45,'TH_MLG GRADE 10'!$B$7:$B$49,'TH_MLG GRADE 10'!$BK$7:$BK$49,"",0,1)&lt;=TODAY()-MOD(WEEKDAY(TODAY(),2)-5,7)),$D45,0)</f>
        <v>0</v>
      </c>
      <c r="I95" s="65">
        <f ca="1">IF(AND($D45&lt;&gt;0,_xlfn.XLOOKUP($B45,'TH_MLG GRADE 10'!$B$7:$B$49,'TH_MLG GRADE 10'!J$7:J$49,"",0,1)="P",
   _xlfn.XLOOKUP($B45,'TH_MLG GRADE 10'!$B$7:$B$49,'TH_MLG GRADE 10'!$BL$7:$BL$49,"",0,1)&lt;=TODAY()-MOD(WEEKDAY(TODAY(),2)-5,7)),$D45,0)</f>
        <v>0</v>
      </c>
      <c r="J95" s="65">
        <f ca="1">IF(AND($D45&lt;&gt;0,_xlfn.XLOOKUP($B45,'TH_MLG GRADE 10'!$B$7:$B$49,'TH_MLG GRADE 10'!K$7:K$49,"",0,1)="P",
   _xlfn.XLOOKUP($B45,'TH_MLG GRADE 10'!$B$7:$B$49,'TH_MLG GRADE 10'!$BM$7:$BM$49,"",0,1)&lt;=TODAY()-MOD(WEEKDAY(TODAY(),2)-5,7)),$D45,0)</f>
        <v>0</v>
      </c>
      <c r="K95" s="65">
        <f ca="1">IF(AND($D45&lt;&gt;0,_xlfn.XLOOKUP($B45,'TH_MLG GRADE 10'!$B$7:$B$49,'TH_MLG GRADE 10'!O$7:O$49,"",0,1)="P",
   _xlfn.XLOOKUP($B45,'TH_MLG GRADE 10'!$B$7:$B$49,'TH_MLG GRADE 10'!$BK$7:$BK$49,"",0,1)&lt;=TODAY()-MOD(WEEKDAY(TODAY(),2)-5,7)),$D45,0)</f>
        <v>0</v>
      </c>
      <c r="L95" s="65">
        <f ca="1">IF(AND($D45&lt;&gt;0,_xlfn.XLOOKUP($B45,'TH_MLG GRADE 10'!$B$7:$B$49,'TH_MLG GRADE 10'!P$7:P$49,"",0,1)="P",
   _xlfn.XLOOKUP($B45,'TH_MLG GRADE 10'!$B$7:$B$49,'TH_MLG GRADE 10'!$BL$7:$BL$49,"",0,1)&lt;=TODAY()-MOD(WEEKDAY(TODAY(),2)-5,7)),$D45,0)</f>
        <v>0</v>
      </c>
      <c r="M95" s="65">
        <f ca="1">IF(AND($D45&lt;&gt;0,_xlfn.XLOOKUP($B45,'TH_MLG GRADE 10'!$B$7:$B$49,'TH_MLG GRADE 10'!Q$7:Q$49,"",0,1)="P",
   _xlfn.XLOOKUP($B45,'TH_MLG GRADE 10'!$B$7:$B$49,'TH_MLG GRADE 10'!$BM$7:$BM$49,"",0,1)&lt;=TODAY()-MOD(WEEKDAY(TODAY(),2)-5,7)),$D45,0)</f>
        <v>0</v>
      </c>
      <c r="N95" s="65">
        <f ca="1">IF(AND($D45&lt;&gt;0,_xlfn.XLOOKUP($B45,'TH_MLG GRADE 10'!$B$7:$B$49,'TH_MLG GRADE 10'!AA$7:AA$49,"",0,1)="P",
   _xlfn.XLOOKUP($B45,'TH_MLG GRADE 10'!$B$7:$B$49,'TH_MLG GRADE 10'!$BK$7:$BK$49,"",0,1)&lt;=TODAY()-MOD(WEEKDAY(TODAY(),2)-5,7)),$D45,0)</f>
        <v>0</v>
      </c>
      <c r="O95" s="65">
        <f ca="1">IF(AND($D45&lt;&gt;0,_xlfn.XLOOKUP($B45,'TH_MLG GRADE 10'!$B$7:$B$49,'TH_MLG GRADE 10'!AB$7:AB$49,"",0,1)="P",
   _xlfn.XLOOKUP($B45,'TH_MLG GRADE 10'!$B$7:$B$49,'TH_MLG GRADE 10'!$BL$7:$BL$49,"",0,1)&lt;=TODAY()-MOD(WEEKDAY(TODAY(),2)-5,7)),$D45,0)</f>
        <v>0</v>
      </c>
      <c r="P95" s="65">
        <f ca="1">IF(AND($D45&lt;&gt;0,_xlfn.XLOOKUP($B45,'TH_MLG GRADE 10'!$B$7:$B$49,'TH_MLG GRADE 10'!AC$7:AC$49,"",0,1)="P",
   _xlfn.XLOOKUP($B45,'TH_MLG GRADE 10'!$B$7:$B$49,'TH_MLG GRADE 10'!$BM$7:$BM$49,"",0,1)&lt;=TODAY()-MOD(WEEKDAY(TODAY(),2)-5,7)),$D45,0)</f>
        <v>0</v>
      </c>
      <c r="Q95" s="65">
        <f ca="1">IF(AND($D45&lt;&gt;0,_xlfn.XLOOKUP($B45,'TH_MLG GRADE 10'!$B$7:$B$49,'TH_MLG GRADE 10'!AG$7:AG$49,"",0,1)="P",
   _xlfn.XLOOKUP($B45,'TH_MLG GRADE 10'!$B$7:$B$49,'TH_MLG GRADE 10'!$BK$7:$BK$49,"",0,1)&lt;=TODAY()-MOD(WEEKDAY(TODAY(),2)-5,7)),$D45,0)</f>
        <v>0</v>
      </c>
      <c r="R95" s="65">
        <f ca="1">IF(AND($D45&lt;&gt;0,_xlfn.XLOOKUP($B45,'TH_MLG GRADE 10'!$B$7:$B$49,'TH_MLG GRADE 10'!AH$7:AH$49,"",0,1)="P",
   _xlfn.XLOOKUP($B45,'TH_MLG GRADE 10'!$B$7:$B$49,'TH_MLG GRADE 10'!$BL$7:$BL$49,"",0,1)&lt;=TODAY()-MOD(WEEKDAY(TODAY(),2)-5,7)),$D45,0)</f>
        <v>0</v>
      </c>
      <c r="S95" s="65">
        <f ca="1">IF(AND($D45&lt;&gt;0,_xlfn.XLOOKUP($B45,'TH_MLG GRADE 10'!$B$7:$B$49,'TH_MLG GRADE 10'!AI$7:AI$49,"",0,1)="P",
   _xlfn.XLOOKUP($B45,'TH_MLG GRADE 10'!$B$7:$B$49,'TH_MLG GRADE 10'!$BM$7:$BM$49,"",0,1)&lt;=TODAY()-MOD(WEEKDAY(TODAY(),2)-5,7)),$D45,0)</f>
        <v>0</v>
      </c>
      <c r="T95" s="65">
        <f ca="1">IF(AND($D45&lt;&gt;0,_xlfn.XLOOKUP($B45,'TH_MLG GRADE 10'!$B$7:$B$49,'TH_MLG GRADE 10'!AM$7:AM$49,"",0,1)="P",
   _xlfn.XLOOKUP($B45,'TH_MLG GRADE 10'!$B$7:$B$49,'TH_MLG GRADE 10'!$BK$7:$BK$49,"",0,1)&lt;=TODAY()-MOD(WEEKDAY(TODAY(),2)-5,7)),$D45,0)</f>
        <v>2</v>
      </c>
      <c r="U95" s="65">
        <f ca="1">IF(AND($D45&lt;&gt;0,_xlfn.XLOOKUP($B45,'TH_MLG GRADE 10'!$B$7:$B$49,'TH_MLG GRADE 10'!AN$7:AN$49,"",0,1)="P",
   _xlfn.XLOOKUP($B45,'TH_MLG GRADE 10'!$B$7:$B$49,'TH_MLG GRADE 10'!$BL$7:$BL$49,"",0,1)&lt;=TODAY()-MOD(WEEKDAY(TODAY(),2)-5,7)),$D45,0)</f>
        <v>2</v>
      </c>
      <c r="V95" s="65">
        <f ca="1">IF(AND($D45&lt;&gt;0,_xlfn.XLOOKUP($B45,'TH_MLG GRADE 10'!$B$7:$B$49,'TH_MLG GRADE 10'!AO$7:AO$49,"",0,1)="P",
   _xlfn.XLOOKUP($B45,'TH_MLG GRADE 10'!$B$7:$B$49,'TH_MLG GRADE 10'!$BM$7:$BM$49,"",0,1)&lt;=TODAY()-MOD(WEEKDAY(TODAY(),2)-5,7)),$D45,0)</f>
        <v>2</v>
      </c>
      <c r="W95" s="65">
        <f ca="1">IF(AND($D45&lt;&gt;0,_xlfn.XLOOKUP($B45,'TH_MLG GRADE 10'!$B$7:$B$49,'TH_MLG GRADE 10'!AY$7:AY$49,"",0,1)="P",
   _xlfn.XLOOKUP($B45,'TH_MLG GRADE 10'!$B$7:$B$49,'TH_MLG GRADE 10'!$BK$7:$BK$49,"",0,1)&lt;=TODAY()-MOD(WEEKDAY(TODAY(),2)-5,7)),$D45,0)</f>
        <v>2</v>
      </c>
      <c r="X95" s="65">
        <f ca="1">IF(AND($D45&lt;&gt;0,_xlfn.XLOOKUP($B45,'TH_MLG GRADE 10'!$B$7:$B$49,'TH_MLG GRADE 10'!AZ$7:AZ$49,"",0,1)="P",
   _xlfn.XLOOKUP($B45,'TH_MLG GRADE 10'!$B$7:$B$49,'TH_MLG GRADE 10'!$BL$7:$BL$49,"",0,1)&lt;=TODAY()-MOD(WEEKDAY(TODAY(),2)-5,7)),$D45,0)</f>
        <v>2</v>
      </c>
      <c r="Y95" s="65">
        <f ca="1">IF(AND($D45&lt;&gt;0,_xlfn.XLOOKUP($B45,'TH_MLG GRADE 10'!$B$7:$B$49,'TH_MLG GRADE 10'!BA$7:BA$49,"",0,1)="P",
   _xlfn.XLOOKUP($B45,'TH_MLG GRADE 10'!$B$7:$B$49,'TH_MLG GRADE 10'!$BM$7:$BM$49,"",0,1)&lt;=TODAY()-MOD(WEEKDAY(TODAY(),2)-5,7)),$D45,0)</f>
        <v>2</v>
      </c>
      <c r="Z95" s="65">
        <f ca="1">IF(AND($D45&lt;&gt;0,_xlfn.XLOOKUP($B45,'TH_MLG GRADE 10'!$B$7:$B$49,'TH_MLG GRADE 10'!BE$7:BE$49,"",0,1)="P",
   _xlfn.XLOOKUP($B45,'TH_MLG GRADE 10'!$B$7:$B$49,'TH_MLG GRADE 10'!$BK$7:$BK$49,"",0,1)&lt;=TODAY()-MOD(WEEKDAY(TODAY(),2)-5,7)),$D45,0)</f>
        <v>0</v>
      </c>
      <c r="AA95" s="65">
        <f ca="1">IF(AND($D45&lt;&gt;0,_xlfn.XLOOKUP($B45,'TH_MLG GRADE 10'!$B$7:$B$49,'TH_MLG GRADE 10'!BF$7:BF$49,"",0,1)="P",
   _xlfn.XLOOKUP($B45,'TH_MLG GRADE 10'!$B$7:$B$49,'TH_MLG GRADE 10'!$BL$7:$BL$49,"",0,1)&lt;=TODAY()-MOD(WEEKDAY(TODAY(),2)-5,7)),$D45,0)</f>
        <v>0</v>
      </c>
      <c r="AB95" s="65">
        <f ca="1">IF(AND($D45&lt;&gt;0,_xlfn.XLOOKUP($B45,'TH_MLG GRADE 10'!$B$7:$B$49,'TH_MLG GRADE 10'!BG$7:BG$49,"",0,1)="P",
   _xlfn.XLOOKUP($B45,'TH_MLG GRADE 10'!$B$7:$B$49,'TH_MLG GRADE 10'!$BM$7:$BM$49,"",0,1)&lt;=TODAY()-MOD(WEEKDAY(TODAY(),2)-5,7)),$D45,0)</f>
        <v>0</v>
      </c>
      <c r="AC95" s="65" t="e">
        <f ca="1">IF(AND($D45&lt;&gt;0,_xlfn.XLOOKUP($B45,'TH_MLG GRADE 10'!$B$7:$B$49,'TH_MLG GRADE 10'!#REF!,"",0,1)="P",
   _xlfn.XLOOKUP($B45,'TH_MLG GRADE 10'!$B$7:$B$49,'TH_MLG GRADE 10'!$BK$7:$BK$49,"",0,1)&lt;=TODAY()-MOD(WEEKDAY(TODAY(),2)-5,7)),$D45,0)</f>
        <v>#REF!</v>
      </c>
      <c r="AD95" s="65" t="e">
        <f ca="1">IF(AND($D45&lt;&gt;0,_xlfn.XLOOKUP($B45,'TH_MLG GRADE 10'!$B$7:$B$49,'TH_MLG GRADE 10'!#REF!,"",0,1)="P",
   _xlfn.XLOOKUP($B45,'TH_MLG GRADE 10'!$B$7:$B$49,'TH_MLG GRADE 10'!$BL$7:$BL$49,"",0,1)&lt;=TODAY()-MOD(WEEKDAY(TODAY(),2)-5,7)),$D45,0)</f>
        <v>#REF!</v>
      </c>
      <c r="AE95" s="65" t="e">
        <f ca="1">IF(AND($D45&lt;&gt;0,_xlfn.XLOOKUP($B45,'TH_MLG GRADE 10'!$B$7:$B$49,'TH_MLG GRADE 10'!#REF!,"",0,1)="P",
   _xlfn.XLOOKUP($B45,'TH_MLG GRADE 10'!$B$7:$B$49,'TH_MLG GRADE 10'!$BM$7:$BM$49,"",0,1)&lt;=TODAY()-MOD(WEEKDAY(TODAY(),2)-5,7)),$D45,0)</f>
        <v>#REF!</v>
      </c>
      <c r="AF95" s="65" t="e">
        <f ca="1">IF(AND($D45&lt;&gt;0,_xlfn.XLOOKUP($B45,'TH_MLG GRADE 10'!$B$7:$B$49,'TH_MLG GRADE 10'!#REF!,"",0,1)="P",
   _xlfn.XLOOKUP($B45,'TH_MLG GRADE 10'!$B$7:$B$49,'TH_MLG GRADE 10'!$BK$7:$BK$49,"",0,1)&lt;=TODAY()-MOD(WEEKDAY(TODAY(),2)-5,7)),$D45,0)</f>
        <v>#REF!</v>
      </c>
      <c r="AG95" s="65" t="e">
        <f ca="1">IF(AND($D45&lt;&gt;0,_xlfn.XLOOKUP($B45,'TH_MLG GRADE 10'!$B$7:$B$49,'TH_MLG GRADE 10'!#REF!,"",0,1)="P",
   _xlfn.XLOOKUP($B45,'TH_MLG GRADE 10'!$B$7:$B$49,'TH_MLG GRADE 10'!$BL$7:$BL$49,"",0,1)&lt;=TODAY()-MOD(WEEKDAY(TODAY(),2)-5,7)),$D45,0)</f>
        <v>#REF!</v>
      </c>
      <c r="AH95" s="65" t="e">
        <f ca="1">IF(AND($D45&lt;&gt;0,_xlfn.XLOOKUP($B45,'TH_MLG GRADE 10'!$B$7:$B$49,'TH_MLG GRADE 10'!#REF!,"",0,1)="P",
   _xlfn.XLOOKUP($B45,'TH_MLG GRADE 10'!$B$7:$B$49,'TH_MLG GRADE 10'!$BM$7:$BM$49,"",0,1)&lt;=TODAY()-MOD(WEEKDAY(TODAY(),2)-5,7)),$D45,0)</f>
        <v>#REF!</v>
      </c>
      <c r="AI95" s="67">
        <f ca="1">IF(AND($D45&lt;&gt;0,_xlfn.XLOOKUP($B45,'TH_CMI GRADE 10'!$B$7:$B$49,'TH_CMI GRADE 10'!C$7:C$49,"",0,1)="P",
   _xlfn.XLOOKUP($B45,'TH_CMI GRADE 10'!$B$7:$B$49,'TH_CMI GRADE 10'!$AS$7:$AS$49,"",0,1)&lt;=TODAY()-MOD(WEEKDAY(TODAY(),2)-5,7)),$D45,0)</f>
        <v>2</v>
      </c>
      <c r="AJ95" s="67">
        <f ca="1">IF(AND($D45&lt;&gt;0,_xlfn.XLOOKUP($B45,'TH_CMI GRADE 10'!$B$7:$B$49,'TH_CMI GRADE 10'!D$7:D$49,"",0,1)="P",
   _xlfn.XLOOKUP($B45,'TH_CMI GRADE 10'!$B$7:$B$49,'TH_CMI GRADE 10'!$AT$7:$AT$49,"",0,1)&lt;=TODAY()-MOD(WEEKDAY(TODAY(),2)-5,7)),$D45,0)</f>
        <v>2</v>
      </c>
      <c r="AK95" s="67" t="e">
        <f ca="1">IF(AND($D45&lt;&gt;0,_xlfn.XLOOKUP($B45,'TH_CMI GRADE 10'!$B$7:$B$49,'TH_CMI GRADE 10'!H$7:H$49,"",0,1)="P",
   _xlfn.XLOOKUP($B45,'TH_CMI GRADE 10'!$B$7:$B$49,'TH_CMI GRADE 10'!#REF!,"",0,1)&lt;=TODAY()-MOD(WEEKDAY(TODAY(),2)-5,7)),$D45,0)</f>
        <v>#REF!</v>
      </c>
      <c r="AL95" s="67">
        <f ca="1">IF(AND($D45&lt;&gt;0,_xlfn.XLOOKUP($B45,'TH_CMI GRADE 10'!$B$7:$B$49,'TH_CMI GRADE 10'!I$7:I$49,"",0,1)="P",
   _xlfn.XLOOKUP($B45,'TH_CMI GRADE 10'!$B$7:$B$49,'TH_CMI GRADE 10'!$AS$7:$AS$49,"",0,1)&lt;=TODAY()-MOD(WEEKDAY(TODAY(),2)-5,7)),$D45,0)</f>
        <v>0</v>
      </c>
      <c r="AM95" s="67">
        <f ca="1">IF(AND($D45&lt;&gt;0,_xlfn.XLOOKUP($B45,'TH_CMI GRADE 10'!$B$7:$B$49,'TH_CMI GRADE 10'!J$7:J$49,"",0,1)="P",
   _xlfn.XLOOKUP($B45,'TH_CMI GRADE 10'!$B$7:$B$49,'TH_CMI GRADE 10'!$AT$7:$AT$49,"",0,1)&lt;=TODAY()-MOD(WEEKDAY(TODAY(),2)-5,7)),$D45,0)</f>
        <v>0</v>
      </c>
      <c r="AN95" s="67" t="e">
        <f ca="1">IF(AND($D45&lt;&gt;0,_xlfn.XLOOKUP($B45,'TH_CMI GRADE 10'!$B$7:$B$49,'TH_CMI GRADE 10'!K$7:K$49,"",0,1)="P",
   _xlfn.XLOOKUP($B45,'TH_CMI GRADE 10'!$B$7:$B$49,'TH_CMI GRADE 10'!#REF!,"",0,1)&lt;=TODAY()-MOD(WEEKDAY(TODAY(),2)-5,7)),$D45,0)</f>
        <v>#REF!</v>
      </c>
      <c r="AO95" s="67">
        <f ca="1">IF(AND($D45&lt;&gt;0,_xlfn.XLOOKUP($B45,'TH_CMI GRADE 10'!$B$7:$B$49,'TH_CMI GRADE 10'!O$7:O$49,"",0,1)="P",
   _xlfn.XLOOKUP($B45,'TH_CMI GRADE 10'!$B$7:$B$49,'TH_CMI GRADE 10'!$AS$7:$AS$49,"",0,1)&lt;=TODAY()-MOD(WEEKDAY(TODAY(),2)-5,7)),$D45,0)</f>
        <v>0</v>
      </c>
      <c r="AP95" s="67">
        <f ca="1">IF(AND($D45&lt;&gt;0,_xlfn.XLOOKUP($B45,'TH_CMI GRADE 10'!$B$7:$B$49,'TH_CMI GRADE 10'!P$7:P$49,"",0,1)="P",
   _xlfn.XLOOKUP($B45,'TH_CMI GRADE 10'!$B$7:$B$49,'TH_CMI GRADE 10'!$AT$7:$AT$49,"",0,1)&lt;=TODAY()-MOD(WEEKDAY(TODAY(),2)-5,7)),$D45,0)</f>
        <v>0</v>
      </c>
      <c r="AQ95" s="67" t="e">
        <f ca="1">IF(AND($D45&lt;&gt;0,_xlfn.XLOOKUP($B45,'TH_CMI GRADE 10'!$B$7:$B$49,'TH_CMI GRADE 10'!Q$7:Q$49,"",0,1)="P",
   _xlfn.XLOOKUP($B45,'TH_CMI GRADE 10'!$B$7:$B$49,'TH_CMI GRADE 10'!#REF!,"",0,1)&lt;=TODAY()-MOD(WEEKDAY(TODAY(),2)-5,7)),$D45,0)</f>
        <v>#REF!</v>
      </c>
      <c r="AR95" s="67">
        <f ca="1">IF(AND($D45&lt;&gt;0,_xlfn.XLOOKUP($B45,'TH_CMI GRADE 10'!$B$7:$B$49,'TH_CMI GRADE 10'!U$7:U$49,"",0,1)="P",
   _xlfn.XLOOKUP($B45,'TH_CMI GRADE 10'!$B$7:$B$49,'TH_CMI GRADE 10'!$AS$7:$AS$49,"",0,1)&lt;=TODAY()-MOD(WEEKDAY(TODAY(),2)-5,7)),$D45,0)</f>
        <v>2</v>
      </c>
      <c r="AS95" s="67">
        <f ca="1">IF(AND($D45&lt;&gt;0,_xlfn.XLOOKUP($B45,'TH_CMI GRADE 10'!$B$7:$B$49,'TH_CMI GRADE 10'!V$7:V$49,"",0,1)="P",
   _xlfn.XLOOKUP($B45,'TH_CMI GRADE 10'!$B$7:$B$49,'TH_CMI GRADE 10'!$AT$7:$AT$49,"",0,1)&lt;=TODAY()-MOD(WEEKDAY(TODAY(),2)-5,7)),$D45,0)</f>
        <v>2</v>
      </c>
      <c r="AT95" s="67" t="e">
        <f ca="1">IF(AND($D45&lt;&gt;0,_xlfn.XLOOKUP($B45,'TH_CMI GRADE 10'!$B$7:$B$49,'TH_CMI GRADE 10'!W$7:W$49,"",0,1)="P",
   _xlfn.XLOOKUP($B45,'TH_CMI GRADE 10'!$B$7:$B$49,'TH_CMI GRADE 10'!#REF!,"",0,1)&lt;=TODAY()-MOD(WEEKDAY(TODAY(),2)-5,7)),$D45,0)</f>
        <v>#REF!</v>
      </c>
      <c r="AU95" s="67">
        <f ca="1">IF(AND($D45&lt;&gt;0,_xlfn.XLOOKUP($B45,'TH_CMI GRADE 10'!$B$7:$B$49,'TH_CMI GRADE 10'!AA$7:AA$49,"",0,1)="P",
   _xlfn.XLOOKUP($B45,'TH_CMI GRADE 10'!$B$7:$B$49,'TH_CMI GRADE 10'!$AS$7:$AS$49,"",0,1)&lt;=TODAY()-MOD(WEEKDAY(TODAY(),2)-5,7)),$D45,0)</f>
        <v>0</v>
      </c>
      <c r="AV95" s="67">
        <f ca="1">IF(AND($D45&lt;&gt;0,_xlfn.XLOOKUP($B45,'TH_CMI GRADE 10'!$B$7:$B$49,'TH_CMI GRADE 10'!AB$7:AB$49,"",0,1)="P",
   _xlfn.XLOOKUP($B45,'TH_CMI GRADE 10'!$B$7:$B$49,'TH_CMI GRADE 10'!$AT$7:$AT$49,"",0,1)&lt;=TODAY()-MOD(WEEKDAY(TODAY(),2)-5,7)),$D45,0)</f>
        <v>0</v>
      </c>
      <c r="AW95" s="67" t="e">
        <f ca="1">IF(AND($D45&lt;&gt;0,_xlfn.XLOOKUP($B45,'TH_CMI GRADE 10'!$B$7:$B$49,'TH_CMI GRADE 10'!AC$7:AC$49,"",0,1)="P",
   _xlfn.XLOOKUP($B45,'TH_CMI GRADE 10'!$B$7:$B$49,'TH_CMI GRADE 10'!#REF!,"",0,1)&lt;=TODAY()-MOD(WEEKDAY(TODAY(),2)-5,7)),$D45,0)</f>
        <v>#REF!</v>
      </c>
      <c r="AX95" s="67">
        <f ca="1">IF(AND($D45&lt;&gt;0,_xlfn.XLOOKUP($B45,'TH_CMI GRADE 10'!$B$7:$B$49,'TH_CMI GRADE 10'!AG$7:AG$49,"",0,1)="P",
   _xlfn.XLOOKUP($B45,'TH_CMI GRADE 10'!$B$7:$B$49,'TH_CMI GRADE 10'!$AS$7:$AS$49,"",0,1)&lt;=TODAY()-MOD(WEEKDAY(TODAY(),2)-5,7)),$D45,0)</f>
        <v>0</v>
      </c>
      <c r="AY95" s="67">
        <f ca="1">IF(AND($D45&lt;&gt;0,_xlfn.XLOOKUP($B45,'TH_CMI GRADE 10'!$B$7:$B$49,'TH_CMI GRADE 10'!AH$7:AH$49,"",0,1)="P",
   _xlfn.XLOOKUP($B45,'TH_CMI GRADE 10'!$B$7:$B$49,'TH_CMI GRADE 10'!$AT$7:$AT$49,"",0,1)&lt;=TODAY()-MOD(WEEKDAY(TODAY(),2)-5,7)),$D45,0)</f>
        <v>0</v>
      </c>
      <c r="AZ95" s="67" t="e">
        <f ca="1">IF(AND($D45&lt;&gt;0,_xlfn.XLOOKUP($B45,'TH_CMI GRADE 10'!$B$7:$B$49,'TH_CMI GRADE 10'!AI$7:AI$49,"",0,1)="P",
   _xlfn.XLOOKUP($B45,'TH_CMI GRADE 10'!$B$7:$B$49,'TH_CMI GRADE 10'!#REF!,"",0,1)&lt;=TODAY()-MOD(WEEKDAY(TODAY(),2)-5,7)),$D45,0)</f>
        <v>#REF!</v>
      </c>
      <c r="BA95" s="65" t="e">
        <f ca="1">IF(AND($D45&lt;&gt;0,_xlfn.XLOOKUP($B45,'PW_MLG GRADE 10'!$B$7:$B$31,'PW_MLG GRADE 10'!R$7:R$31,"",0,1)="P",
   _xlfn.XLOOKUP($B45,'PW_MLG GRADE 10'!$B$7:$B$31,'PW_MLG GRADE 10'!#REF!,"",0,1)&lt;=TODAY()-MOD(WEEKDAY(TODAY(),2)-5,7)),$D45,0)</f>
        <v>#REF!</v>
      </c>
      <c r="BB95" s="65" t="e">
        <f ca="1">IF(AND($D45&lt;&gt;0,_xlfn.XLOOKUP($B45,'PW_MLG GRADE 10'!$B$7:$B$31,'PW_MLG GRADE 10'!S$7:S$31,"",0,1)="P",
   _xlfn.XLOOKUP($B45,'PW_MLG GRADE 10'!$B$7:$B$31,'PW_MLG GRADE 10'!#REF!,"",0,1)&lt;=TODAY()-MOD(WEEKDAY(TODAY(),2)-5,7)),$D45,0)</f>
        <v>#REF!</v>
      </c>
      <c r="BC95" s="65" t="e">
        <f ca="1">IF(AND($D45&lt;&gt;0,_xlfn.XLOOKUP($B45,'PW_MLG GRADE 10'!$B$7:$B$31,'PW_MLG GRADE 10'!T$7:T$31,"",0,1)="P",
   _xlfn.XLOOKUP($B45,'PW_MLG GRADE 10'!$B$7:$B$31,'PW_MLG GRADE 10'!#REF!,"",0,1)&lt;=TODAY()-MOD(WEEKDAY(TODAY(),2)-5,7)),$D45,0)</f>
        <v>#REF!</v>
      </c>
      <c r="BD95" s="65" t="e">
        <f ca="1">IF(AND($D45&lt;&gt;0,_xlfn.XLOOKUP($B45,'PW_MLG GRADE 10'!$B$7:$B$31,'PW_MLG GRADE 10'!AA$7:AA$31,"",0,1)="P",
   _xlfn.XLOOKUP($B45,'PW_MLG GRADE 10'!$B$7:$B$31,'PW_MLG GRADE 10'!#REF!,"",0,1)&lt;=TODAY()-MOD(WEEKDAY(TODAY(),2)-5,7)),$D45,0)</f>
        <v>#REF!</v>
      </c>
      <c r="BE95" s="65" t="e">
        <f ca="1">IF(AND($D45&lt;&gt;0,_xlfn.XLOOKUP($B45,'PW_MLG GRADE 10'!$B$7:$B$31,'PW_MLG GRADE 10'!AB$7:AB$31,"",0,1)="P",
   _xlfn.XLOOKUP($B45,'PW_MLG GRADE 10'!$B$7:$B$31,'PW_MLG GRADE 10'!#REF!,"",0,1)&lt;=TODAY()-MOD(WEEKDAY(TODAY(),2)-5,7)),$D45,0)</f>
        <v>#REF!</v>
      </c>
      <c r="BF95" s="65" t="e">
        <f ca="1">IF(AND($D45&lt;&gt;0,_xlfn.XLOOKUP($B45,'PW_MLG GRADE 10'!$B$7:$B$31,'PW_MLG GRADE 10'!AC$7:AC$31,"",0,1)="P",
   _xlfn.XLOOKUP($B45,'PW_MLG GRADE 10'!$B$7:$B$31,'PW_MLG GRADE 10'!#REF!,"",0,1)&lt;=TODAY()-MOD(WEEKDAY(TODAY(),2)-5,7)),$D45,0)</f>
        <v>#REF!</v>
      </c>
      <c r="BG95" s="65" t="e">
        <f ca="1">IF(AND($D45&lt;&gt;0,_xlfn.XLOOKUP($B45,'PW_MLG GRADE 10'!$B$7:$B$31,'PW_MLG GRADE 10'!AD$7:AD$31,"",0,1)="P",
   _xlfn.XLOOKUP($B45,'PW_MLG GRADE 10'!$B$7:$B$31,'PW_MLG GRADE 10'!#REF!,"",0,1)&lt;=TODAY()-MOD(WEEKDAY(TODAY(),2)-5,7)),$D45,0)</f>
        <v>#REF!</v>
      </c>
      <c r="BH95" s="65" t="e">
        <f ca="1">IF(AND($D45&lt;&gt;0,_xlfn.XLOOKUP($B45,'PW_MLG GRADE 10'!$B$7:$B$31,'PW_MLG GRADE 10'!AE$7:AE$31,"",0,1)="P",
   _xlfn.XLOOKUP($B45,'PW_MLG GRADE 10'!$B$7:$B$31,'PW_MLG GRADE 10'!#REF!,"",0,1)&lt;=TODAY()-MOD(WEEKDAY(TODAY(),2)-5,7)),$D45,0)</f>
        <v>#REF!</v>
      </c>
      <c r="BI95" s="65" t="e">
        <f ca="1">IF(AND($D45&lt;&gt;0,_xlfn.XLOOKUP($B45,'PW_MLG GRADE 10'!$B$7:$B$31,'PW_MLG GRADE 10'!AF$7:AF$31,"",0,1)="P",
   _xlfn.XLOOKUP($B45,'PW_MLG GRADE 10'!$B$7:$B$31,'PW_MLG GRADE 10'!#REF!,"",0,1)&lt;=TODAY()-MOD(WEEKDAY(TODAY(),2)-5,7)),$D45,0)</f>
        <v>#REF!</v>
      </c>
      <c r="BJ95" s="65" t="e">
        <f ca="1">IF(AND($D45&lt;&gt;0,_xlfn.XLOOKUP($B45,'PW_MLG GRADE 10'!$B$7:$B$31,'PW_MLG GRADE 10'!AG$7:AG$31,"",0,1)="P",
   _xlfn.XLOOKUP($B45,'PW_MLG GRADE 10'!$B$7:$B$31,'PW_MLG GRADE 10'!#REF!,"",0,1)&lt;=TODAY()-MOD(WEEKDAY(TODAY(),2)-5,7)),$D45,0)</f>
        <v>#REF!</v>
      </c>
      <c r="BK95" s="65" t="e">
        <f ca="1">IF(AND($D45&lt;&gt;0,_xlfn.XLOOKUP($B45,'PW_MLG GRADE 10'!$B$7:$B$31,'PW_MLG GRADE 10'!AH$7:AH$31,"",0,1)="P",
   _xlfn.XLOOKUP($B45,'PW_MLG GRADE 10'!$B$7:$B$31,'PW_MLG GRADE 10'!#REF!,"",0,1)&lt;=TODAY()-MOD(WEEKDAY(TODAY(),2)-5,7)),$D45,0)</f>
        <v>#REF!</v>
      </c>
      <c r="BL95" s="65" t="e">
        <f ca="1">IF(AND($D45&lt;&gt;0,_xlfn.XLOOKUP($B45,'PW_MLG GRADE 10'!$B$7:$B$31,'PW_MLG GRADE 10'!AI$7:AI$31,"",0,1)="P",
   _xlfn.XLOOKUP($B45,'PW_MLG GRADE 10'!$B$7:$B$31,'PW_MLG GRADE 10'!#REF!,"",0,1)&lt;=TODAY()-MOD(WEEKDAY(TODAY(),2)-5,7)),$D45,0)</f>
        <v>#REF!</v>
      </c>
      <c r="BM95" s="65" t="e">
        <f ca="1">IF(AND($D45&lt;&gt;0,_xlfn.XLOOKUP($B45,'PW_MLG GRADE 10'!$B$7:$B$31,'PW_MLG GRADE 10'!AJ$7:AJ$31,"",0,1)="P",
   _xlfn.XLOOKUP($B45,'PW_MLG GRADE 10'!$B$7:$B$31,'PW_MLG GRADE 10'!#REF!,"",0,1)&lt;=TODAY()-MOD(WEEKDAY(TODAY(),2)-5,7)),$D45,0)</f>
        <v>#REF!</v>
      </c>
      <c r="BN95" s="65" t="e">
        <f ca="1">IF(AND($D45&lt;&gt;0,_xlfn.XLOOKUP($B45,'PW_MLG GRADE 10'!$B$7:$B$31,'PW_MLG GRADE 10'!AK$7:AK$31,"",0,1)="P",
   _xlfn.XLOOKUP($B45,'PW_MLG GRADE 10'!$B$7:$B$31,'PW_MLG GRADE 10'!#REF!,"",0,1)&lt;=TODAY()-MOD(WEEKDAY(TODAY(),2)-5,7)),$D45,0)</f>
        <v>#REF!</v>
      </c>
      <c r="BO95" s="65" t="e">
        <f ca="1">IF(AND($D45&lt;&gt;0,_xlfn.XLOOKUP($B45,'PW_MLG GRADE 10'!$B$7:$B$31,'PW_MLG GRADE 10'!AL$7:AL$31,"",0,1)="P",
   _xlfn.XLOOKUP($B45,'PW_MLG GRADE 10'!$B$7:$B$31,'PW_MLG GRADE 10'!#REF!,"",0,1)&lt;=TODAY()-MOD(WEEKDAY(TODAY(),2)-5,7)),$D45,0)</f>
        <v>#REF!</v>
      </c>
      <c r="BP95" s="65" t="e">
        <f ca="1">IF(AND($D45&lt;&gt;0,_xlfn.XLOOKUP($B45,'PW_MLG GRADE 10'!$B$7:$B$31,'PW_MLG GRADE 10'!AM$7:AM$31,"",0,1)="P",
   _xlfn.XLOOKUP($B45,'PW_MLG GRADE 10'!$B$7:$B$31,'PW_MLG GRADE 10'!#REF!,"",0,1)&lt;=TODAY()-MOD(WEEKDAY(TODAY(),2)-5,7)),$D45,0)</f>
        <v>#REF!</v>
      </c>
      <c r="BQ95" s="65" t="e">
        <f ca="1">IF(AND($D45&lt;&gt;0,_xlfn.XLOOKUP($B45,'PW_MLG GRADE 10'!$B$7:$B$31,'PW_MLG GRADE 10'!AN$7:AN$31,"",0,1)="P",
   _xlfn.XLOOKUP($B45,'PW_MLG GRADE 10'!$B$7:$B$31,'PW_MLG GRADE 10'!#REF!,"",0,1)&lt;=TODAY()-MOD(WEEKDAY(TODAY(),2)-5,7)),$D45,0)</f>
        <v>#REF!</v>
      </c>
      <c r="BR95" s="65" t="e">
        <f ca="1">IF(AND($D45&lt;&gt;0,_xlfn.XLOOKUP($B45,'PW_MLG GRADE 10'!$B$7:$B$31,'PW_MLG GRADE 10'!AO$7:AO$31,"",0,1)="P",
   _xlfn.XLOOKUP($B45,'PW_MLG GRADE 10'!$B$7:$B$31,'PW_MLG GRADE 10'!#REF!,"",0,1)&lt;=TODAY()-MOD(WEEKDAY(TODAY(),2)-5,7)),$D45,0)</f>
        <v>#REF!</v>
      </c>
      <c r="BS95" s="65" t="e">
        <f ca="1">IF(AND($D45&lt;&gt;0,_xlfn.XLOOKUP($B45,'PW_MLG GRADE 10'!$B$7:$B$31,'PW_MLG GRADE 10'!AP$7:AP$31,"",0,1)="P",
   _xlfn.XLOOKUP($B45,'PW_MLG GRADE 10'!$B$7:$B$31,'PW_MLG GRADE 10'!#REF!,"",0,1)&lt;=TODAY()-MOD(WEEKDAY(TODAY(),2)-5,7)),$D45,0)</f>
        <v>#REF!</v>
      </c>
      <c r="BT95" s="65" t="e">
        <f ca="1">IF(AND($D45&lt;&gt;0,_xlfn.XLOOKUP($B45,'PW_MLG GRADE 10'!$B$7:$B$31,'PW_MLG GRADE 10'!AQ$7:AQ$31,"",0,1)="P",
   _xlfn.XLOOKUP($B45,'PW_MLG GRADE 10'!$B$7:$B$31,'PW_MLG GRADE 10'!#REF!,"",0,1)&lt;=TODAY()-MOD(WEEKDAY(TODAY(),2)-5,7)),$D45,0)</f>
        <v>#REF!</v>
      </c>
      <c r="BU95" s="65" t="e">
        <f ca="1">IF(AND($D45&lt;&gt;0,_xlfn.XLOOKUP($B45,'PW_MLG GRADE 10'!$B$7:$B$31,'PW_MLG GRADE 10'!AR$7:AR$31,"",0,1)="P",
   _xlfn.XLOOKUP($B45,'PW_MLG GRADE 10'!$B$7:$B$31,'PW_MLG GRADE 10'!#REF!,"",0,1)&lt;=TODAY()-MOD(WEEKDAY(TODAY(),2)-5,7)),$D45,0)</f>
        <v>#REF!</v>
      </c>
      <c r="BV95" s="65" t="e">
        <f ca="1">IF(AND($D45&lt;&gt;0,_xlfn.XLOOKUP($B45,'PW_MLG GRADE 10'!$B$7:$B$31,'PW_MLG GRADE 10'!AY$7:AY$31,"",0,1)="P",
   _xlfn.XLOOKUP($B45,'PW_MLG GRADE 10'!$B$7:$B$31,'PW_MLG GRADE 10'!#REF!,"",0,1)&lt;=TODAY()-MOD(WEEKDAY(TODAY(),2)-5,7)),$D45,0)</f>
        <v>#REF!</v>
      </c>
      <c r="BW95" s="65" t="e">
        <f ca="1">IF(AND($D45&lt;&gt;0,_xlfn.XLOOKUP($B45,'PW_MLG GRADE 10'!$B$7:$B$31,'PW_MLG GRADE 10'!AZ$7:AZ$31,"",0,1)="P",
   _xlfn.XLOOKUP($B45,'PW_MLG GRADE 10'!$B$7:$B$31,'PW_MLG GRADE 10'!#REF!,"",0,1)&lt;=TODAY()-MOD(WEEKDAY(TODAY(),2)-5,7)),$D45,0)</f>
        <v>#REF!</v>
      </c>
      <c r="BX95" s="65" t="e">
        <f ca="1">IF(AND($D45&lt;&gt;0,_xlfn.XLOOKUP($B45,'PW_MLG GRADE 10'!$B$7:$B$31,'PW_MLG GRADE 10'!BA$7:BA$31,"",0,1)="P",
   _xlfn.XLOOKUP($B45,'PW_MLG GRADE 10'!$B$7:$B$31,'PW_MLG GRADE 10'!#REF!,"",0,1)&lt;=TODAY()-MOD(WEEKDAY(TODAY(),2)-5,7)),$D45,0)</f>
        <v>#REF!</v>
      </c>
      <c r="BY95" s="65" t="e">
        <f ca="1">IF(AND($D45&lt;&gt;0,_xlfn.XLOOKUP($B45,'PW_MLG GRADE 10'!$B$7:$B$31,'PW_MLG GRADE 10'!BB$7:BB$31,"",0,1)="P",
   _xlfn.XLOOKUP($B45,'PW_MLG GRADE 10'!$B$7:$B$31,'PW_MLG GRADE 10'!#REF!,"",0,1)&lt;=TODAY()-MOD(WEEKDAY(TODAY(),2)-5,7)),$D45,0)</f>
        <v>#REF!</v>
      </c>
      <c r="BZ95" s="65" t="e">
        <f ca="1">IF(AND($D45&lt;&gt;0,_xlfn.XLOOKUP($B45,'PW_MLG GRADE 10'!$B$7:$B$31,'PW_MLG GRADE 10'!BC$7:BC$31,"",0,1)="P",
   _xlfn.XLOOKUP($B45,'PW_MLG GRADE 10'!$B$7:$B$31,'PW_MLG GRADE 10'!#REF!,"",0,1)&lt;=TODAY()-MOD(WEEKDAY(TODAY(),2)-5,7)),$D45,0)</f>
        <v>#REF!</v>
      </c>
      <c r="CA95" s="65" t="e">
        <f ca="1">IF(AND($D45&lt;&gt;0,_xlfn.XLOOKUP($B45,'PW_MLG GRADE 10'!$B$7:$B$31,'PW_MLG GRADE 10'!BD$7:BD$31,"",0,1)="P",
   _xlfn.XLOOKUP($B45,'PW_MLG GRADE 10'!$B$7:$B$31,'PW_MLG GRADE 10'!#REF!,"",0,1)&lt;=TODAY()-MOD(WEEKDAY(TODAY(),2)-5,7)),$D45,0)</f>
        <v>#REF!</v>
      </c>
      <c r="CB95" s="65" t="e">
        <f ca="1">IF(AND($D45&lt;&gt;0,_xlfn.XLOOKUP($B45,'PW_MLG GRADE 10'!$B$7:$B$31,'PW_MLG GRADE 10'!BE$7:BE$31,"",0,1)="P",
   _xlfn.XLOOKUP($B45,'PW_MLG GRADE 10'!$B$7:$B$31,'PW_MLG GRADE 10'!#REF!,"",0,1)&lt;=TODAY()-MOD(WEEKDAY(TODAY(),2)-5,7)),$D45,0)</f>
        <v>#REF!</v>
      </c>
      <c r="CC95" s="65" t="e">
        <f ca="1">IF(AND($D45&lt;&gt;0,_xlfn.XLOOKUP($B45,'PW_MLG GRADE 10'!$B$7:$B$31,'PW_MLG GRADE 10'!BF$7:BF$31,"",0,1)="P",
   _xlfn.XLOOKUP($B45,'PW_MLG GRADE 10'!$B$7:$B$31,'PW_MLG GRADE 10'!#REF!,"",0,1)&lt;=TODAY()-MOD(WEEKDAY(TODAY(),2)-5,7)),$D45,0)</f>
        <v>#REF!</v>
      </c>
      <c r="CD95" s="65" t="e">
        <f ca="1">IF(AND($D45&lt;&gt;0,_xlfn.XLOOKUP($B45,'PW_MLG GRADE 10'!$B$7:$B$31,'PW_MLG GRADE 10'!BG$7:BG$31,"",0,1)="P",
   _xlfn.XLOOKUP($B45,'PW_MLG GRADE 10'!$B$7:$B$31,'PW_MLG GRADE 10'!#REF!,"",0,1)&lt;=TODAY()-MOD(WEEKDAY(TODAY(),2)-5,7)),$D45,0)</f>
        <v>#REF!</v>
      </c>
      <c r="CE95" s="67">
        <f ca="1">IF(AND($D45&lt;&gt;0,_xlfn.XLOOKUP($B45,'PW_CMI GRADE 10'!$B$7:$B$31,'PW_CMI GRADE 10'!AY$7:AY$31,"",0,1)="P",
   _xlfn.XLOOKUP($B45,'PW_CMI GRADE 10'!$B$7:$B$31,'PW_CMI GRADE 10'!$U$7:$U$31,"",0,1)&lt;=TODAY()-MOD(WEEKDAY(TODAY(),2)-5,7)),$D45,0)</f>
        <v>0</v>
      </c>
      <c r="CF95" s="67">
        <f ca="1">IF(AND($D45&lt;&gt;0,_xlfn.XLOOKUP($B45,'PW_CMI GRADE 10'!$B$7:$B$31,'PW_CMI GRADE 10'!AZ$7:AZ$31,"",0,1)="P",
   _xlfn.XLOOKUP($B45,'PW_CMI GRADE 10'!$B$7:$B$31,'PW_CMI GRADE 10'!$V$7:$V$31,"",0,1)&lt;=TODAY()-MOD(WEEKDAY(TODAY(),2)-5,7)),$D45,0)</f>
        <v>0</v>
      </c>
      <c r="CG95" s="67">
        <f ca="1">IF(AND($D45&lt;&gt;0,_xlfn.XLOOKUP($B45,'PW_CMI GRADE 10'!$B$7:$B$31,'PW_CMI GRADE 10'!BA$7:BA$31,"",0,1)="P",
   _xlfn.XLOOKUP($B45,'PW_CMI GRADE 10'!$B$7:$B$31,'PW_CMI GRADE 10'!$W$7:$W$31,"",0,1)&lt;=TODAY()-MOD(WEEKDAY(TODAY(),2)-5,7)),$D45,0)</f>
        <v>0</v>
      </c>
      <c r="CH95" s="67">
        <f ca="1">IF(AND($D45&lt;&gt;0,_xlfn.XLOOKUP($B45,'PW_CMI GRADE 10'!$B$7:$B$31,'PW_CMI GRADE 10'!BB$7:BB$31,"",0,1)="P",
   _xlfn.XLOOKUP($B45,'PW_CMI GRADE 10'!$B$7:$B$31,'PW_CMI GRADE 10'!$U$7:$U$31,"",0,1)&lt;=TODAY()-MOD(WEEKDAY(TODAY(),2)-5,7)),$D45,0)</f>
        <v>0</v>
      </c>
      <c r="CI95" s="67">
        <f ca="1">IF(AND($D45&lt;&gt;0,_xlfn.XLOOKUP($B45,'PW_CMI GRADE 10'!$B$7:$B$31,'PW_CMI GRADE 10'!BC$7:BC$31,"",0,1)="P",
   _xlfn.XLOOKUP($B45,'PW_CMI GRADE 10'!$B$7:$B$31,'PW_CMI GRADE 10'!$V$7:$V$31,"",0,1)&lt;=TODAY()-MOD(WEEKDAY(TODAY(),2)-5,7)),$D45,0)</f>
        <v>0</v>
      </c>
      <c r="CJ95" s="67">
        <f ca="1">IF(AND($D45&lt;&gt;0,_xlfn.XLOOKUP($B45,'PW_CMI GRADE 10'!$B$7:$B$31,'PW_CMI GRADE 10'!BD$7:BD$31,"",0,1)="P",
   _xlfn.XLOOKUP($B45,'PW_CMI GRADE 10'!$B$7:$B$31,'PW_CMI GRADE 10'!$W$7:$W$31,"",0,1)&lt;=TODAY()-MOD(WEEKDAY(TODAY(),2)-5,7)),$D45,0)</f>
        <v>0</v>
      </c>
      <c r="CK95" s="67">
        <f ca="1">IF(AND($D45&lt;&gt;0,_xlfn.XLOOKUP($B45,'PW_CMI GRADE 10'!$B$7:$B$31,'PW_CMI GRADE 10'!BE$7:BE$31,"",0,1)="P",
   _xlfn.XLOOKUP($B45,'PW_CMI GRADE 10'!$B$7:$B$31,'PW_CMI GRADE 10'!$U$7:$U$31,"",0,1)&lt;=TODAY()-MOD(WEEKDAY(TODAY(),2)-5,7)),$D45,0)</f>
        <v>0</v>
      </c>
      <c r="CL95" s="67">
        <f ca="1">IF(AND($D45&lt;&gt;0,_xlfn.XLOOKUP($B45,'PW_CMI GRADE 10'!$B$7:$B$31,'PW_CMI GRADE 10'!BF$7:BF$31,"",0,1)="P",
   _xlfn.XLOOKUP($B45,'PW_CMI GRADE 10'!$B$7:$B$31,'PW_CMI GRADE 10'!$V$7:$V$31,"",0,1)&lt;=TODAY()-MOD(WEEKDAY(TODAY(),2)-5,7)),$D45,0)</f>
        <v>0</v>
      </c>
      <c r="CM95" s="67">
        <f ca="1">IF(AND($D45&lt;&gt;0,_xlfn.XLOOKUP($B45,'PW_CMI GRADE 10'!$B$7:$B$31,'PW_CMI GRADE 10'!BG$7:BG$31,"",0,1)="P",
   _xlfn.XLOOKUP($B45,'PW_CMI GRADE 10'!$B$7:$B$31,'PW_CMI GRADE 10'!$W$7:$W$31,"",0,1)&lt;=TODAY()-MOD(WEEKDAY(TODAY(),2)-5,7)),$D45,0)</f>
        <v>0</v>
      </c>
      <c r="CN95" s="67">
        <f ca="1">IF(AND($D45&lt;&gt;0,_xlfn.XLOOKUP($B45,'PW_CMI GRADE 10'!$B$7:$B$31,'PW_CMI GRADE 10'!BH$7:BH$31,"",0,1)="P",
   _xlfn.XLOOKUP($B45,'PW_CMI GRADE 10'!$B$7:$B$31,'PW_CMI GRADE 10'!$U$7:$U$31,"",0,1)&lt;=TODAY()-MOD(WEEKDAY(TODAY(),2)-5,7)),$D45,0)</f>
        <v>0</v>
      </c>
      <c r="CO95" s="67">
        <f ca="1">IF(AND($D45&lt;&gt;0,_xlfn.XLOOKUP($B45,'PW_CMI GRADE 10'!$B$7:$B$31,'PW_CMI GRADE 10'!BI$7:BI$31,"",0,1)="P",
   _xlfn.XLOOKUP($B45,'PW_CMI GRADE 10'!$B$7:$B$31,'PW_CMI GRADE 10'!$V$7:$V$31,"",0,1)&lt;=TODAY()-MOD(WEEKDAY(TODAY(),2)-5,7)),$D45,0)</f>
        <v>0</v>
      </c>
      <c r="CP95" s="67">
        <f ca="1">IF(AND($D45&lt;&gt;0,_xlfn.XLOOKUP($B45,'PW_CMI GRADE 10'!$B$7:$B$31,'PW_CMI GRADE 10'!BJ$7:BJ$31,"",0,1)="P",
   _xlfn.XLOOKUP($B45,'PW_CMI GRADE 10'!$B$7:$B$31,'PW_CMI GRADE 10'!$W$7:$W$31,"",0,1)&lt;=TODAY()-MOD(WEEKDAY(TODAY(),2)-5,7)),$D45,0)</f>
        <v>0</v>
      </c>
      <c r="CQ95" s="67">
        <f ca="1">IF(AND($D45&lt;&gt;0,_xlfn.XLOOKUP($B45,'PW_CMI GRADE 10'!$B$7:$B$31,'PW_CMI GRADE 10'!BK$7:BK$31,"",0,1)="P",
   _xlfn.XLOOKUP($B45,'PW_CMI GRADE 10'!$B$7:$B$31,'PW_CMI GRADE 10'!$U$7:$U$31,"",0,1)&lt;=TODAY()-MOD(WEEKDAY(TODAY(),2)-5,7)),$D45,0)</f>
        <v>0</v>
      </c>
      <c r="CR95" s="67">
        <f ca="1">IF(AND($D45&lt;&gt;0,_xlfn.XLOOKUP($B45,'PW_CMI GRADE 10'!$B$7:$B$31,'PW_CMI GRADE 10'!BL$7:BL$31,"",0,1)="P",
   _xlfn.XLOOKUP($B45,'PW_CMI GRADE 10'!$B$7:$B$31,'PW_CMI GRADE 10'!$V$7:$V$31,"",0,1)&lt;=TODAY()-MOD(WEEKDAY(TODAY(),2)-5,7)),$D45,0)</f>
        <v>0</v>
      </c>
      <c r="CS95" s="67">
        <f ca="1">IF(AND($D45&lt;&gt;0,_xlfn.XLOOKUP($B45,'PW_CMI GRADE 10'!$B$7:$B$31,'PW_CMI GRADE 10'!BM$7:BM$31,"",0,1)="P",
   _xlfn.XLOOKUP($B45,'PW_CMI GRADE 10'!$B$7:$B$31,'PW_CMI GRADE 10'!$W$7:$W$31,"",0,1)&lt;=TODAY()-MOD(WEEKDAY(TODAY(),2)-5,7)),$D45,0)</f>
        <v>0</v>
      </c>
      <c r="CT95" s="67">
        <f ca="1">IF(AND($D45&lt;&gt;0,_xlfn.XLOOKUP($B45,'PW_CMI GRADE 10'!$B$7:$B$31,'PW_CMI GRADE 10'!BN$7:BN$31,"",0,1)="P",
   _xlfn.XLOOKUP($B45,'PW_CMI GRADE 10'!$B$7:$B$31,'PW_CMI GRADE 10'!$U$7:$U$31,"",0,1)&lt;=TODAY()-MOD(WEEKDAY(TODAY(),2)-5,7)),$D45,0)</f>
        <v>0</v>
      </c>
      <c r="CU95" s="67">
        <f ca="1">IF(AND($D45&lt;&gt;0,_xlfn.XLOOKUP($B45,'PW_CMI GRADE 10'!$B$7:$B$31,'PW_CMI GRADE 10'!BO$7:BO$31,"",0,1)="P",
   _xlfn.XLOOKUP($B45,'PW_CMI GRADE 10'!$B$7:$B$31,'PW_CMI GRADE 10'!$V$7:$V$31,"",0,1)&lt;=TODAY()-MOD(WEEKDAY(TODAY(),2)-5,7)),$D45,0)</f>
        <v>0</v>
      </c>
      <c r="CV95" s="67">
        <f ca="1">IF(AND($D45&lt;&gt;0,_xlfn.XLOOKUP($B45,'PW_CMI GRADE 10'!$B$7:$B$31,'PW_CMI GRADE 10'!BP$7:BP$31,"",0,1)="P",
   _xlfn.XLOOKUP($B45,'PW_CMI GRADE 10'!$B$7:$B$31,'PW_CMI GRADE 10'!$W$7:$W$31,"",0,1)&lt;=TODAY()-MOD(WEEKDAY(TODAY(),2)-5,7)),$D45,0)</f>
        <v>0</v>
      </c>
      <c r="CW95" s="62" t="e">
        <f t="shared" ca="1" si="132"/>
        <v>#REF!</v>
      </c>
      <c r="CX95" s="62" t="e">
        <f t="shared" ca="1" si="69"/>
        <v>#REF!</v>
      </c>
      <c r="CY95" s="62" t="e">
        <f t="shared" ca="1" si="70"/>
        <v>#REF!</v>
      </c>
      <c r="CZ95" s="62" t="e">
        <f t="shared" ca="1" si="71"/>
        <v>#REF!</v>
      </c>
      <c r="DA95" s="62" t="e">
        <f t="shared" ca="1" si="72"/>
        <v>#REF!</v>
      </c>
      <c r="DB95" s="62" t="e">
        <f t="shared" ca="1" si="73"/>
        <v>#REF!</v>
      </c>
      <c r="DC95" s="62" t="e">
        <f t="shared" ca="1" si="74"/>
        <v>#REF!</v>
      </c>
      <c r="DD95" s="62" t="e">
        <f t="shared" ca="1" si="75"/>
        <v>#REF!</v>
      </c>
      <c r="DE95" s="62" t="e">
        <f t="shared" ca="1" si="76"/>
        <v>#REF!</v>
      </c>
      <c r="DF95" s="62" t="e">
        <f t="shared" ca="1" si="77"/>
        <v>#REF!</v>
      </c>
      <c r="DG95" s="62" t="e">
        <f t="shared" ca="1" si="78"/>
        <v>#REF!</v>
      </c>
      <c r="DH95" s="62" t="e">
        <f t="shared" ca="1" si="79"/>
        <v>#REF!</v>
      </c>
      <c r="DI95" s="62" t="e">
        <f t="shared" ca="1" si="80"/>
        <v>#REF!</v>
      </c>
      <c r="DJ95" s="62" t="e">
        <f t="shared" ca="1" si="81"/>
        <v>#REF!</v>
      </c>
      <c r="DK95" s="62" t="e">
        <f t="shared" ca="1" si="82"/>
        <v>#REF!</v>
      </c>
      <c r="DL95" s="62" t="e">
        <f t="shared" ca="1" si="83"/>
        <v>#REF!</v>
      </c>
      <c r="DM95" s="62" t="e">
        <f t="shared" ca="1" si="84"/>
        <v>#REF!</v>
      </c>
      <c r="DN95" s="62" t="e">
        <f t="shared" ca="1" si="85"/>
        <v>#REF!</v>
      </c>
      <c r="DO95" s="62" t="e">
        <f t="shared" ca="1" si="86"/>
        <v>#REF!</v>
      </c>
      <c r="DP95" s="62" t="e">
        <f t="shared" ca="1" si="87"/>
        <v>#REF!</v>
      </c>
      <c r="DQ95" s="62" t="e">
        <f t="shared" ca="1" si="88"/>
        <v>#REF!</v>
      </c>
      <c r="DR95" s="62" t="e">
        <f t="shared" ca="1" si="89"/>
        <v>#REF!</v>
      </c>
      <c r="DS95" s="62" t="e">
        <f t="shared" ca="1" si="90"/>
        <v>#REF!</v>
      </c>
      <c r="DT95" s="62" t="e">
        <f t="shared" ca="1" si="91"/>
        <v>#REF!</v>
      </c>
      <c r="DU95" s="62" t="e">
        <f t="shared" ca="1" si="92"/>
        <v>#REF!</v>
      </c>
      <c r="DV95" s="62" t="e">
        <f t="shared" ca="1" si="93"/>
        <v>#REF!</v>
      </c>
      <c r="DW95" s="62" t="e">
        <f t="shared" ca="1" si="94"/>
        <v>#REF!</v>
      </c>
      <c r="DX95" s="62" t="e">
        <f t="shared" ca="1" si="95"/>
        <v>#REF!</v>
      </c>
      <c r="DY95" s="62" t="e">
        <f t="shared" ca="1" si="96"/>
        <v>#REF!</v>
      </c>
      <c r="DZ95" s="62" t="e">
        <f t="shared" ca="1" si="97"/>
        <v>#REF!</v>
      </c>
      <c r="EA95" s="63" t="e">
        <f t="shared" ca="1" si="98"/>
        <v>#REF!</v>
      </c>
      <c r="EB95" s="63" t="e">
        <f t="shared" ca="1" si="99"/>
        <v>#REF!</v>
      </c>
      <c r="EC95" s="63" t="e">
        <f t="shared" ca="1" si="100"/>
        <v>#REF!</v>
      </c>
      <c r="ED95" s="63" t="e">
        <f t="shared" ca="1" si="101"/>
        <v>#REF!</v>
      </c>
      <c r="EE95" s="63" t="e">
        <f t="shared" ca="1" si="102"/>
        <v>#REF!</v>
      </c>
      <c r="EF95" s="63" t="e">
        <f t="shared" ca="1" si="103"/>
        <v>#REF!</v>
      </c>
      <c r="EG95" s="63" t="e">
        <f t="shared" ca="1" si="104"/>
        <v>#REF!</v>
      </c>
      <c r="EH95" s="63" t="e">
        <f t="shared" ca="1" si="105"/>
        <v>#REF!</v>
      </c>
      <c r="EI95" s="63" t="e">
        <f t="shared" ca="1" si="106"/>
        <v>#REF!</v>
      </c>
      <c r="EJ95" s="63" t="e">
        <f t="shared" ca="1" si="107"/>
        <v>#REF!</v>
      </c>
      <c r="EK95" s="63" t="e">
        <f t="shared" ca="1" si="108"/>
        <v>#REF!</v>
      </c>
      <c r="EL95" s="63" t="e">
        <f t="shared" ca="1" si="109"/>
        <v>#REF!</v>
      </c>
      <c r="EM95" s="63" t="e">
        <f t="shared" ca="1" si="110"/>
        <v>#REF!</v>
      </c>
      <c r="EN95" s="63" t="e">
        <f t="shared" ca="1" si="111"/>
        <v>#REF!</v>
      </c>
      <c r="EO95" s="63" t="e">
        <f t="shared" ca="1" si="112"/>
        <v>#REF!</v>
      </c>
      <c r="EP95" s="63" t="e">
        <f t="shared" ca="1" si="113"/>
        <v>#REF!</v>
      </c>
    </row>
    <row r="96" spans="1:146">
      <c r="A96" s="64" t="str">
        <f t="shared" si="131"/>
        <v>7A.1</v>
      </c>
      <c r="B96" s="64" t="s">
        <v>77</v>
      </c>
      <c r="C96" s="30"/>
      <c r="D96" s="30">
        <v>2</v>
      </c>
      <c r="E96" s="65">
        <f ca="1">IF(AND($D46&lt;&gt;0,_xlfn.XLOOKUP($B46,'TH_MLG GRADE 10'!$B$7:$B$49,'TH_MLG GRADE 10'!C$7:C$49,"",0,1)="P",
   _xlfn.XLOOKUP($B46,'TH_MLG GRADE 10'!$B$7:$B$49,'TH_MLG GRADE 10'!$BK$7:$BK$49,"",0,1)&lt;=TODAY()-MOD(WEEKDAY(TODAY(),2)-5,7)),$D46,0)</f>
        <v>0</v>
      </c>
      <c r="F96" s="65">
        <f ca="1">IF(AND($D46&lt;&gt;0,_xlfn.XLOOKUP($B46,'TH_MLG GRADE 10'!$B$7:$B$49,'TH_MLG GRADE 10'!D$7:D$49,"",0,1)="P",
   _xlfn.XLOOKUP($B46,'TH_MLG GRADE 10'!$B$7:$B$49,'TH_MLG GRADE 10'!$BL$7:$BL$49,"",0,1)&lt;=TODAY()-MOD(WEEKDAY(TODAY(),2)-5,7)),$D46,0)</f>
        <v>0</v>
      </c>
      <c r="G96" s="65">
        <f ca="1">IF(AND($D46&lt;&gt;0,_xlfn.XLOOKUP($B46,'TH_MLG GRADE 10'!$B$7:$B$49,'TH_MLG GRADE 10'!E$7:E$49,"",0,1)="P",
   _xlfn.XLOOKUP($B46,'TH_MLG GRADE 10'!$B$7:$B$49,'TH_MLG GRADE 10'!$BM$7:$BM$49,"",0,1)&lt;=TODAY()-MOD(WEEKDAY(TODAY(),2)-5,7)),$D46,0)</f>
        <v>0</v>
      </c>
      <c r="H96" s="65">
        <f ca="1">IF(AND($D46&lt;&gt;0,_xlfn.XLOOKUP($B46,'TH_MLG GRADE 10'!$B$7:$B$49,'TH_MLG GRADE 10'!I$7:I$49,"",0,1)="P",
   _xlfn.XLOOKUP($B46,'TH_MLG GRADE 10'!$B$7:$B$49,'TH_MLG GRADE 10'!$BK$7:$BK$49,"",0,1)&lt;=TODAY()-MOD(WEEKDAY(TODAY(),2)-5,7)),$D46,0)</f>
        <v>0</v>
      </c>
      <c r="I96" s="65">
        <f ca="1">IF(AND($D46&lt;&gt;0,_xlfn.XLOOKUP($B46,'TH_MLG GRADE 10'!$B$7:$B$49,'TH_MLG GRADE 10'!J$7:J$49,"",0,1)="P",
   _xlfn.XLOOKUP($B46,'TH_MLG GRADE 10'!$B$7:$B$49,'TH_MLG GRADE 10'!$BL$7:$BL$49,"",0,1)&lt;=TODAY()-MOD(WEEKDAY(TODAY(),2)-5,7)),$D46,0)</f>
        <v>0</v>
      </c>
      <c r="J96" s="65">
        <f ca="1">IF(AND($D46&lt;&gt;0,_xlfn.XLOOKUP($B46,'TH_MLG GRADE 10'!$B$7:$B$49,'TH_MLG GRADE 10'!K$7:K$49,"",0,1)="P",
   _xlfn.XLOOKUP($B46,'TH_MLG GRADE 10'!$B$7:$B$49,'TH_MLG GRADE 10'!$BM$7:$BM$49,"",0,1)&lt;=TODAY()-MOD(WEEKDAY(TODAY(),2)-5,7)),$D46,0)</f>
        <v>0</v>
      </c>
      <c r="K96" s="65">
        <f ca="1">IF(AND($D46&lt;&gt;0,_xlfn.XLOOKUP($B46,'TH_MLG GRADE 10'!$B$7:$B$49,'TH_MLG GRADE 10'!O$7:O$49,"",0,1)="P",
   _xlfn.XLOOKUP($B46,'TH_MLG GRADE 10'!$B$7:$B$49,'TH_MLG GRADE 10'!$BK$7:$BK$49,"",0,1)&lt;=TODAY()-MOD(WEEKDAY(TODAY(),2)-5,7)),$D46,0)</f>
        <v>0</v>
      </c>
      <c r="L96" s="65">
        <f ca="1">IF(AND($D46&lt;&gt;0,_xlfn.XLOOKUP($B46,'TH_MLG GRADE 10'!$B$7:$B$49,'TH_MLG GRADE 10'!P$7:P$49,"",0,1)="P",
   _xlfn.XLOOKUP($B46,'TH_MLG GRADE 10'!$B$7:$B$49,'TH_MLG GRADE 10'!$BL$7:$BL$49,"",0,1)&lt;=TODAY()-MOD(WEEKDAY(TODAY(),2)-5,7)),$D46,0)</f>
        <v>0</v>
      </c>
      <c r="M96" s="65">
        <f ca="1">IF(AND($D46&lt;&gt;0,_xlfn.XLOOKUP($B46,'TH_MLG GRADE 10'!$B$7:$B$49,'TH_MLG GRADE 10'!Q$7:Q$49,"",0,1)="P",
   _xlfn.XLOOKUP($B46,'TH_MLG GRADE 10'!$B$7:$B$49,'TH_MLG GRADE 10'!$BM$7:$BM$49,"",0,1)&lt;=TODAY()-MOD(WEEKDAY(TODAY(),2)-5,7)),$D46,0)</f>
        <v>0</v>
      </c>
      <c r="N96" s="65">
        <f ca="1">IF(AND($D46&lt;&gt;0,_xlfn.XLOOKUP($B46,'TH_MLG GRADE 10'!$B$7:$B$49,'TH_MLG GRADE 10'!AA$7:AA$49,"",0,1)="P",
   _xlfn.XLOOKUP($B46,'TH_MLG GRADE 10'!$B$7:$B$49,'TH_MLG GRADE 10'!$BK$7:$BK$49,"",0,1)&lt;=TODAY()-MOD(WEEKDAY(TODAY(),2)-5,7)),$D46,0)</f>
        <v>0</v>
      </c>
      <c r="O96" s="65">
        <f ca="1">IF(AND($D46&lt;&gt;0,_xlfn.XLOOKUP($B46,'TH_MLG GRADE 10'!$B$7:$B$49,'TH_MLG GRADE 10'!AB$7:AB$49,"",0,1)="P",
   _xlfn.XLOOKUP($B46,'TH_MLG GRADE 10'!$B$7:$B$49,'TH_MLG GRADE 10'!$BL$7:$BL$49,"",0,1)&lt;=TODAY()-MOD(WEEKDAY(TODAY(),2)-5,7)),$D46,0)</f>
        <v>0</v>
      </c>
      <c r="P96" s="65">
        <f ca="1">IF(AND($D46&lt;&gt;0,_xlfn.XLOOKUP($B46,'TH_MLG GRADE 10'!$B$7:$B$49,'TH_MLG GRADE 10'!AC$7:AC$49,"",0,1)="P",
   _xlfn.XLOOKUP($B46,'TH_MLG GRADE 10'!$B$7:$B$49,'TH_MLG GRADE 10'!$BM$7:$BM$49,"",0,1)&lt;=TODAY()-MOD(WEEKDAY(TODAY(),2)-5,7)),$D46,0)</f>
        <v>0</v>
      </c>
      <c r="Q96" s="65">
        <f ca="1">IF(AND($D46&lt;&gt;0,_xlfn.XLOOKUP($B46,'TH_MLG GRADE 10'!$B$7:$B$49,'TH_MLG GRADE 10'!AG$7:AG$49,"",0,1)="P",
   _xlfn.XLOOKUP($B46,'TH_MLG GRADE 10'!$B$7:$B$49,'TH_MLG GRADE 10'!$BK$7:$BK$49,"",0,1)&lt;=TODAY()-MOD(WEEKDAY(TODAY(),2)-5,7)),$D46,0)</f>
        <v>0</v>
      </c>
      <c r="R96" s="65">
        <f ca="1">IF(AND($D46&lt;&gt;0,_xlfn.XLOOKUP($B46,'TH_MLG GRADE 10'!$B$7:$B$49,'TH_MLG GRADE 10'!AH$7:AH$49,"",0,1)="P",
   _xlfn.XLOOKUP($B46,'TH_MLG GRADE 10'!$B$7:$B$49,'TH_MLG GRADE 10'!$BL$7:$BL$49,"",0,1)&lt;=TODAY()-MOD(WEEKDAY(TODAY(),2)-5,7)),$D46,0)</f>
        <v>0</v>
      </c>
      <c r="S96" s="65">
        <f ca="1">IF(AND($D46&lt;&gt;0,_xlfn.XLOOKUP($B46,'TH_MLG GRADE 10'!$B$7:$B$49,'TH_MLG GRADE 10'!AI$7:AI$49,"",0,1)="P",
   _xlfn.XLOOKUP($B46,'TH_MLG GRADE 10'!$B$7:$B$49,'TH_MLG GRADE 10'!$BM$7:$BM$49,"",0,1)&lt;=TODAY()-MOD(WEEKDAY(TODAY(),2)-5,7)),$D46,0)</f>
        <v>0</v>
      </c>
      <c r="T96" s="65">
        <f ca="1">IF(AND($D46&lt;&gt;0,_xlfn.XLOOKUP($B46,'TH_MLG GRADE 10'!$B$7:$B$49,'TH_MLG GRADE 10'!AM$7:AM$49,"",0,1)="P",
   _xlfn.XLOOKUP($B46,'TH_MLG GRADE 10'!$B$7:$B$49,'TH_MLG GRADE 10'!$BK$7:$BK$49,"",0,1)&lt;=TODAY()-MOD(WEEKDAY(TODAY(),2)-5,7)),$D46,0)</f>
        <v>2</v>
      </c>
      <c r="U96" s="65">
        <f ca="1">IF(AND($D46&lt;&gt;0,_xlfn.XLOOKUP($B46,'TH_MLG GRADE 10'!$B$7:$B$49,'TH_MLG GRADE 10'!AN$7:AN$49,"",0,1)="P",
   _xlfn.XLOOKUP($B46,'TH_MLG GRADE 10'!$B$7:$B$49,'TH_MLG GRADE 10'!$BL$7:$BL$49,"",0,1)&lt;=TODAY()-MOD(WEEKDAY(TODAY(),2)-5,7)),$D46,0)</f>
        <v>2</v>
      </c>
      <c r="V96" s="65">
        <f ca="1">IF(AND($D46&lt;&gt;0,_xlfn.XLOOKUP($B46,'TH_MLG GRADE 10'!$B$7:$B$49,'TH_MLG GRADE 10'!AO$7:AO$49,"",0,1)="P",
   _xlfn.XLOOKUP($B46,'TH_MLG GRADE 10'!$B$7:$B$49,'TH_MLG GRADE 10'!$BM$7:$BM$49,"",0,1)&lt;=TODAY()-MOD(WEEKDAY(TODAY(),2)-5,7)),$D46,0)</f>
        <v>2</v>
      </c>
      <c r="W96" s="65">
        <f ca="1">IF(AND($D46&lt;&gt;0,_xlfn.XLOOKUP($B46,'TH_MLG GRADE 10'!$B$7:$B$49,'TH_MLG GRADE 10'!AY$7:AY$49,"",0,1)="P",
   _xlfn.XLOOKUP($B46,'TH_MLG GRADE 10'!$B$7:$B$49,'TH_MLG GRADE 10'!$BK$7:$BK$49,"",0,1)&lt;=TODAY()-MOD(WEEKDAY(TODAY(),2)-5,7)),$D46,0)</f>
        <v>2</v>
      </c>
      <c r="X96" s="65">
        <f ca="1">IF(AND($D46&lt;&gt;0,_xlfn.XLOOKUP($B46,'TH_MLG GRADE 10'!$B$7:$B$49,'TH_MLG GRADE 10'!AZ$7:AZ$49,"",0,1)="P",
   _xlfn.XLOOKUP($B46,'TH_MLG GRADE 10'!$B$7:$B$49,'TH_MLG GRADE 10'!$BL$7:$BL$49,"",0,1)&lt;=TODAY()-MOD(WEEKDAY(TODAY(),2)-5,7)),$D46,0)</f>
        <v>2</v>
      </c>
      <c r="Y96" s="65">
        <f ca="1">IF(AND($D46&lt;&gt;0,_xlfn.XLOOKUP($B46,'TH_MLG GRADE 10'!$B$7:$B$49,'TH_MLG GRADE 10'!BA$7:BA$49,"",0,1)="P",
   _xlfn.XLOOKUP($B46,'TH_MLG GRADE 10'!$B$7:$B$49,'TH_MLG GRADE 10'!$BM$7:$BM$49,"",0,1)&lt;=TODAY()-MOD(WEEKDAY(TODAY(),2)-5,7)),$D46,0)</f>
        <v>2</v>
      </c>
      <c r="Z96" s="65">
        <f ca="1">IF(AND($D46&lt;&gt;0,_xlfn.XLOOKUP($B46,'TH_MLG GRADE 10'!$B$7:$B$49,'TH_MLG GRADE 10'!BE$7:BE$49,"",0,1)="P",
   _xlfn.XLOOKUP($B46,'TH_MLG GRADE 10'!$B$7:$B$49,'TH_MLG GRADE 10'!$BK$7:$BK$49,"",0,1)&lt;=TODAY()-MOD(WEEKDAY(TODAY(),2)-5,7)),$D46,0)</f>
        <v>0</v>
      </c>
      <c r="AA96" s="65">
        <f ca="1">IF(AND($D46&lt;&gt;0,_xlfn.XLOOKUP($B46,'TH_MLG GRADE 10'!$B$7:$B$49,'TH_MLG GRADE 10'!BF$7:BF$49,"",0,1)="P",
   _xlfn.XLOOKUP($B46,'TH_MLG GRADE 10'!$B$7:$B$49,'TH_MLG GRADE 10'!$BL$7:$BL$49,"",0,1)&lt;=TODAY()-MOD(WEEKDAY(TODAY(),2)-5,7)),$D46,0)</f>
        <v>0</v>
      </c>
      <c r="AB96" s="65">
        <f ca="1">IF(AND($D46&lt;&gt;0,_xlfn.XLOOKUP($B46,'TH_MLG GRADE 10'!$B$7:$B$49,'TH_MLG GRADE 10'!BG$7:BG$49,"",0,1)="P",
   _xlfn.XLOOKUP($B46,'TH_MLG GRADE 10'!$B$7:$B$49,'TH_MLG GRADE 10'!$BM$7:$BM$49,"",0,1)&lt;=TODAY()-MOD(WEEKDAY(TODAY(),2)-5,7)),$D46,0)</f>
        <v>0</v>
      </c>
      <c r="AC96" s="65" t="e">
        <f ca="1">IF(AND($D46&lt;&gt;0,_xlfn.XLOOKUP($B46,'TH_MLG GRADE 10'!$B$7:$B$49,'TH_MLG GRADE 10'!#REF!,"",0,1)="P",
   _xlfn.XLOOKUP($B46,'TH_MLG GRADE 10'!$B$7:$B$49,'TH_MLG GRADE 10'!$BK$7:$BK$49,"",0,1)&lt;=TODAY()-MOD(WEEKDAY(TODAY(),2)-5,7)),$D46,0)</f>
        <v>#REF!</v>
      </c>
      <c r="AD96" s="65" t="e">
        <f ca="1">IF(AND($D46&lt;&gt;0,_xlfn.XLOOKUP($B46,'TH_MLG GRADE 10'!$B$7:$B$49,'TH_MLG GRADE 10'!#REF!,"",0,1)="P",
   _xlfn.XLOOKUP($B46,'TH_MLG GRADE 10'!$B$7:$B$49,'TH_MLG GRADE 10'!$BL$7:$BL$49,"",0,1)&lt;=TODAY()-MOD(WEEKDAY(TODAY(),2)-5,7)),$D46,0)</f>
        <v>#REF!</v>
      </c>
      <c r="AE96" s="65" t="e">
        <f ca="1">IF(AND($D46&lt;&gt;0,_xlfn.XLOOKUP($B46,'TH_MLG GRADE 10'!$B$7:$B$49,'TH_MLG GRADE 10'!#REF!,"",0,1)="P",
   _xlfn.XLOOKUP($B46,'TH_MLG GRADE 10'!$B$7:$B$49,'TH_MLG GRADE 10'!$BM$7:$BM$49,"",0,1)&lt;=TODAY()-MOD(WEEKDAY(TODAY(),2)-5,7)),$D46,0)</f>
        <v>#REF!</v>
      </c>
      <c r="AF96" s="65" t="e">
        <f ca="1">IF(AND($D46&lt;&gt;0,_xlfn.XLOOKUP($B46,'TH_MLG GRADE 10'!$B$7:$B$49,'TH_MLG GRADE 10'!#REF!,"",0,1)="P",
   _xlfn.XLOOKUP($B46,'TH_MLG GRADE 10'!$B$7:$B$49,'TH_MLG GRADE 10'!$BK$7:$BK$49,"",0,1)&lt;=TODAY()-MOD(WEEKDAY(TODAY(),2)-5,7)),$D46,0)</f>
        <v>#REF!</v>
      </c>
      <c r="AG96" s="65" t="e">
        <f ca="1">IF(AND($D46&lt;&gt;0,_xlfn.XLOOKUP($B46,'TH_MLG GRADE 10'!$B$7:$B$49,'TH_MLG GRADE 10'!#REF!,"",0,1)="P",
   _xlfn.XLOOKUP($B46,'TH_MLG GRADE 10'!$B$7:$B$49,'TH_MLG GRADE 10'!$BL$7:$BL$49,"",0,1)&lt;=TODAY()-MOD(WEEKDAY(TODAY(),2)-5,7)),$D46,0)</f>
        <v>#REF!</v>
      </c>
      <c r="AH96" s="65" t="e">
        <f ca="1">IF(AND($D46&lt;&gt;0,_xlfn.XLOOKUP($B46,'TH_MLG GRADE 10'!$B$7:$B$49,'TH_MLG GRADE 10'!#REF!,"",0,1)="P",
   _xlfn.XLOOKUP($B46,'TH_MLG GRADE 10'!$B$7:$B$49,'TH_MLG GRADE 10'!$BM$7:$BM$49,"",0,1)&lt;=TODAY()-MOD(WEEKDAY(TODAY(),2)-5,7)),$D46,0)</f>
        <v>#REF!</v>
      </c>
      <c r="AI96" s="67">
        <f ca="1">IF(AND($D46&lt;&gt;0,_xlfn.XLOOKUP($B46,'TH_CMI GRADE 10'!$B$7:$B$49,'TH_CMI GRADE 10'!C$7:C$49,"",0,1)="P",
   _xlfn.XLOOKUP($B46,'TH_CMI GRADE 10'!$B$7:$B$49,'TH_CMI GRADE 10'!$AS$7:$AS$49,"",0,1)&lt;=TODAY()-MOD(WEEKDAY(TODAY(),2)-5,7)),$D46,0)</f>
        <v>2</v>
      </c>
      <c r="AJ96" s="67">
        <f ca="1">IF(AND($D46&lt;&gt;0,_xlfn.XLOOKUP($B46,'TH_CMI GRADE 10'!$B$7:$B$49,'TH_CMI GRADE 10'!D$7:D$49,"",0,1)="P",
   _xlfn.XLOOKUP($B46,'TH_CMI GRADE 10'!$B$7:$B$49,'TH_CMI GRADE 10'!$AT$7:$AT$49,"",0,1)&lt;=TODAY()-MOD(WEEKDAY(TODAY(),2)-5,7)),$D46,0)</f>
        <v>2</v>
      </c>
      <c r="AK96" s="67" t="e">
        <f ca="1">IF(AND($D46&lt;&gt;0,_xlfn.XLOOKUP($B46,'TH_CMI GRADE 10'!$B$7:$B$49,'TH_CMI GRADE 10'!H$7:H$49,"",0,1)="P",
   _xlfn.XLOOKUP($B46,'TH_CMI GRADE 10'!$B$7:$B$49,'TH_CMI GRADE 10'!#REF!,"",0,1)&lt;=TODAY()-MOD(WEEKDAY(TODAY(),2)-5,7)),$D46,0)</f>
        <v>#REF!</v>
      </c>
      <c r="AL96" s="67">
        <f ca="1">IF(AND($D46&lt;&gt;0,_xlfn.XLOOKUP($B46,'TH_CMI GRADE 10'!$B$7:$B$49,'TH_CMI GRADE 10'!I$7:I$49,"",0,1)="P",
   _xlfn.XLOOKUP($B46,'TH_CMI GRADE 10'!$B$7:$B$49,'TH_CMI GRADE 10'!$AS$7:$AS$49,"",0,1)&lt;=TODAY()-MOD(WEEKDAY(TODAY(),2)-5,7)),$D46,0)</f>
        <v>0</v>
      </c>
      <c r="AM96" s="67">
        <f ca="1">IF(AND($D46&lt;&gt;0,_xlfn.XLOOKUP($B46,'TH_CMI GRADE 10'!$B$7:$B$49,'TH_CMI GRADE 10'!J$7:J$49,"",0,1)="P",
   _xlfn.XLOOKUP($B46,'TH_CMI GRADE 10'!$B$7:$B$49,'TH_CMI GRADE 10'!$AT$7:$AT$49,"",0,1)&lt;=TODAY()-MOD(WEEKDAY(TODAY(),2)-5,7)),$D46,0)</f>
        <v>0</v>
      </c>
      <c r="AN96" s="67" t="e">
        <f ca="1">IF(AND($D46&lt;&gt;0,_xlfn.XLOOKUP($B46,'TH_CMI GRADE 10'!$B$7:$B$49,'TH_CMI GRADE 10'!K$7:K$49,"",0,1)="P",
   _xlfn.XLOOKUP($B46,'TH_CMI GRADE 10'!$B$7:$B$49,'TH_CMI GRADE 10'!#REF!,"",0,1)&lt;=TODAY()-MOD(WEEKDAY(TODAY(),2)-5,7)),$D46,0)</f>
        <v>#REF!</v>
      </c>
      <c r="AO96" s="67">
        <f ca="1">IF(AND($D46&lt;&gt;0,_xlfn.XLOOKUP($B46,'TH_CMI GRADE 10'!$B$7:$B$49,'TH_CMI GRADE 10'!O$7:O$49,"",0,1)="P",
   _xlfn.XLOOKUP($B46,'TH_CMI GRADE 10'!$B$7:$B$49,'TH_CMI GRADE 10'!$AS$7:$AS$49,"",0,1)&lt;=TODAY()-MOD(WEEKDAY(TODAY(),2)-5,7)),$D46,0)</f>
        <v>0</v>
      </c>
      <c r="AP96" s="67">
        <f ca="1">IF(AND($D46&lt;&gt;0,_xlfn.XLOOKUP($B46,'TH_CMI GRADE 10'!$B$7:$B$49,'TH_CMI GRADE 10'!P$7:P$49,"",0,1)="P",
   _xlfn.XLOOKUP($B46,'TH_CMI GRADE 10'!$B$7:$B$49,'TH_CMI GRADE 10'!$AT$7:$AT$49,"",0,1)&lt;=TODAY()-MOD(WEEKDAY(TODAY(),2)-5,7)),$D46,0)</f>
        <v>0</v>
      </c>
      <c r="AQ96" s="67" t="e">
        <f ca="1">IF(AND($D46&lt;&gt;0,_xlfn.XLOOKUP($B46,'TH_CMI GRADE 10'!$B$7:$B$49,'TH_CMI GRADE 10'!Q$7:Q$49,"",0,1)="P",
   _xlfn.XLOOKUP($B46,'TH_CMI GRADE 10'!$B$7:$B$49,'TH_CMI GRADE 10'!#REF!,"",0,1)&lt;=TODAY()-MOD(WEEKDAY(TODAY(),2)-5,7)),$D46,0)</f>
        <v>#REF!</v>
      </c>
      <c r="AR96" s="67">
        <f ca="1">IF(AND($D46&lt;&gt;0,_xlfn.XLOOKUP($B46,'TH_CMI GRADE 10'!$B$7:$B$49,'TH_CMI GRADE 10'!U$7:U$49,"",0,1)="P",
   _xlfn.XLOOKUP($B46,'TH_CMI GRADE 10'!$B$7:$B$49,'TH_CMI GRADE 10'!$AS$7:$AS$49,"",0,1)&lt;=TODAY()-MOD(WEEKDAY(TODAY(),2)-5,7)),$D46,0)</f>
        <v>2</v>
      </c>
      <c r="AS96" s="67">
        <f ca="1">IF(AND($D46&lt;&gt;0,_xlfn.XLOOKUP($B46,'TH_CMI GRADE 10'!$B$7:$B$49,'TH_CMI GRADE 10'!V$7:V$49,"",0,1)="P",
   _xlfn.XLOOKUP($B46,'TH_CMI GRADE 10'!$B$7:$B$49,'TH_CMI GRADE 10'!$AT$7:$AT$49,"",0,1)&lt;=TODAY()-MOD(WEEKDAY(TODAY(),2)-5,7)),$D46,0)</f>
        <v>2</v>
      </c>
      <c r="AT96" s="67" t="e">
        <f ca="1">IF(AND($D46&lt;&gt;0,_xlfn.XLOOKUP($B46,'TH_CMI GRADE 10'!$B$7:$B$49,'TH_CMI GRADE 10'!W$7:W$49,"",0,1)="P",
   _xlfn.XLOOKUP($B46,'TH_CMI GRADE 10'!$B$7:$B$49,'TH_CMI GRADE 10'!#REF!,"",0,1)&lt;=TODAY()-MOD(WEEKDAY(TODAY(),2)-5,7)),$D46,0)</f>
        <v>#REF!</v>
      </c>
      <c r="AU96" s="67">
        <f ca="1">IF(AND($D46&lt;&gt;0,_xlfn.XLOOKUP($B46,'TH_CMI GRADE 10'!$B$7:$B$49,'TH_CMI GRADE 10'!AA$7:AA$49,"",0,1)="P",
   _xlfn.XLOOKUP($B46,'TH_CMI GRADE 10'!$B$7:$B$49,'TH_CMI GRADE 10'!$AS$7:$AS$49,"",0,1)&lt;=TODAY()-MOD(WEEKDAY(TODAY(),2)-5,7)),$D46,0)</f>
        <v>0</v>
      </c>
      <c r="AV96" s="67">
        <f ca="1">IF(AND($D46&lt;&gt;0,_xlfn.XLOOKUP($B46,'TH_CMI GRADE 10'!$B$7:$B$49,'TH_CMI GRADE 10'!AB$7:AB$49,"",0,1)="P",
   _xlfn.XLOOKUP($B46,'TH_CMI GRADE 10'!$B$7:$B$49,'TH_CMI GRADE 10'!$AT$7:$AT$49,"",0,1)&lt;=TODAY()-MOD(WEEKDAY(TODAY(),2)-5,7)),$D46,0)</f>
        <v>0</v>
      </c>
      <c r="AW96" s="67" t="e">
        <f ca="1">IF(AND($D46&lt;&gt;0,_xlfn.XLOOKUP($B46,'TH_CMI GRADE 10'!$B$7:$B$49,'TH_CMI GRADE 10'!AC$7:AC$49,"",0,1)="P",
   _xlfn.XLOOKUP($B46,'TH_CMI GRADE 10'!$B$7:$B$49,'TH_CMI GRADE 10'!#REF!,"",0,1)&lt;=TODAY()-MOD(WEEKDAY(TODAY(),2)-5,7)),$D46,0)</f>
        <v>#REF!</v>
      </c>
      <c r="AX96" s="67">
        <f ca="1">IF(AND($D46&lt;&gt;0,_xlfn.XLOOKUP($B46,'TH_CMI GRADE 10'!$B$7:$B$49,'TH_CMI GRADE 10'!AG$7:AG$49,"",0,1)="P",
   _xlfn.XLOOKUP($B46,'TH_CMI GRADE 10'!$B$7:$B$49,'TH_CMI GRADE 10'!$AS$7:$AS$49,"",0,1)&lt;=TODAY()-MOD(WEEKDAY(TODAY(),2)-5,7)),$D46,0)</f>
        <v>0</v>
      </c>
      <c r="AY96" s="67">
        <f ca="1">IF(AND($D46&lt;&gt;0,_xlfn.XLOOKUP($B46,'TH_CMI GRADE 10'!$B$7:$B$49,'TH_CMI GRADE 10'!AH$7:AH$49,"",0,1)="P",
   _xlfn.XLOOKUP($B46,'TH_CMI GRADE 10'!$B$7:$B$49,'TH_CMI GRADE 10'!$AT$7:$AT$49,"",0,1)&lt;=TODAY()-MOD(WEEKDAY(TODAY(),2)-5,7)),$D46,0)</f>
        <v>0</v>
      </c>
      <c r="AZ96" s="67" t="e">
        <f ca="1">IF(AND($D46&lt;&gt;0,_xlfn.XLOOKUP($B46,'TH_CMI GRADE 10'!$B$7:$B$49,'TH_CMI GRADE 10'!AI$7:AI$49,"",0,1)="P",
   _xlfn.XLOOKUP($B46,'TH_CMI GRADE 10'!$B$7:$B$49,'TH_CMI GRADE 10'!#REF!,"",0,1)&lt;=TODAY()-MOD(WEEKDAY(TODAY(),2)-5,7)),$D46,0)</f>
        <v>#REF!</v>
      </c>
      <c r="BA96" s="65" t="e">
        <f ca="1">IF(AND($D46&lt;&gt;0,_xlfn.XLOOKUP($B46,'PW_MLG GRADE 10'!$B$7:$B$31,'PW_MLG GRADE 10'!R$7:R$31,"",0,1)="P",
   _xlfn.XLOOKUP($B46,'PW_MLG GRADE 10'!$B$7:$B$31,'PW_MLG GRADE 10'!#REF!,"",0,1)&lt;=TODAY()-MOD(WEEKDAY(TODAY(),2)-5,7)),$D46,0)</f>
        <v>#REF!</v>
      </c>
      <c r="BB96" s="65" t="e">
        <f ca="1">IF(AND($D46&lt;&gt;0,_xlfn.XLOOKUP($B46,'PW_MLG GRADE 10'!$B$7:$B$31,'PW_MLG GRADE 10'!S$7:S$31,"",0,1)="P",
   _xlfn.XLOOKUP($B46,'PW_MLG GRADE 10'!$B$7:$B$31,'PW_MLG GRADE 10'!#REF!,"",0,1)&lt;=TODAY()-MOD(WEEKDAY(TODAY(),2)-5,7)),$D46,0)</f>
        <v>#REF!</v>
      </c>
      <c r="BC96" s="65" t="e">
        <f ca="1">IF(AND($D46&lt;&gt;0,_xlfn.XLOOKUP($B46,'PW_MLG GRADE 10'!$B$7:$B$31,'PW_MLG GRADE 10'!T$7:T$31,"",0,1)="P",
   _xlfn.XLOOKUP($B46,'PW_MLG GRADE 10'!$B$7:$B$31,'PW_MLG GRADE 10'!#REF!,"",0,1)&lt;=TODAY()-MOD(WEEKDAY(TODAY(),2)-5,7)),$D46,0)</f>
        <v>#REF!</v>
      </c>
      <c r="BD96" s="65" t="e">
        <f ca="1">IF(AND($D46&lt;&gt;0,_xlfn.XLOOKUP($B46,'PW_MLG GRADE 10'!$B$7:$B$31,'PW_MLG GRADE 10'!AA$7:AA$31,"",0,1)="P",
   _xlfn.XLOOKUP($B46,'PW_MLG GRADE 10'!$B$7:$B$31,'PW_MLG GRADE 10'!#REF!,"",0,1)&lt;=TODAY()-MOD(WEEKDAY(TODAY(),2)-5,7)),$D46,0)</f>
        <v>#REF!</v>
      </c>
      <c r="BE96" s="65" t="e">
        <f ca="1">IF(AND($D46&lt;&gt;0,_xlfn.XLOOKUP($B46,'PW_MLG GRADE 10'!$B$7:$B$31,'PW_MLG GRADE 10'!AB$7:AB$31,"",0,1)="P",
   _xlfn.XLOOKUP($B46,'PW_MLG GRADE 10'!$B$7:$B$31,'PW_MLG GRADE 10'!#REF!,"",0,1)&lt;=TODAY()-MOD(WEEKDAY(TODAY(),2)-5,7)),$D46,0)</f>
        <v>#REF!</v>
      </c>
      <c r="BF96" s="65" t="e">
        <f ca="1">IF(AND($D46&lt;&gt;0,_xlfn.XLOOKUP($B46,'PW_MLG GRADE 10'!$B$7:$B$31,'PW_MLG GRADE 10'!AC$7:AC$31,"",0,1)="P",
   _xlfn.XLOOKUP($B46,'PW_MLG GRADE 10'!$B$7:$B$31,'PW_MLG GRADE 10'!#REF!,"",0,1)&lt;=TODAY()-MOD(WEEKDAY(TODAY(),2)-5,7)),$D46,0)</f>
        <v>#REF!</v>
      </c>
      <c r="BG96" s="65" t="e">
        <f ca="1">IF(AND($D46&lt;&gt;0,_xlfn.XLOOKUP($B46,'PW_MLG GRADE 10'!$B$7:$B$31,'PW_MLG GRADE 10'!AD$7:AD$31,"",0,1)="P",
   _xlfn.XLOOKUP($B46,'PW_MLG GRADE 10'!$B$7:$B$31,'PW_MLG GRADE 10'!#REF!,"",0,1)&lt;=TODAY()-MOD(WEEKDAY(TODAY(),2)-5,7)),$D46,0)</f>
        <v>#REF!</v>
      </c>
      <c r="BH96" s="65" t="e">
        <f ca="1">IF(AND($D46&lt;&gt;0,_xlfn.XLOOKUP($B46,'PW_MLG GRADE 10'!$B$7:$B$31,'PW_MLG GRADE 10'!AE$7:AE$31,"",0,1)="P",
   _xlfn.XLOOKUP($B46,'PW_MLG GRADE 10'!$B$7:$B$31,'PW_MLG GRADE 10'!#REF!,"",0,1)&lt;=TODAY()-MOD(WEEKDAY(TODAY(),2)-5,7)),$D46,0)</f>
        <v>#REF!</v>
      </c>
      <c r="BI96" s="65" t="e">
        <f ca="1">IF(AND($D46&lt;&gt;0,_xlfn.XLOOKUP($B46,'PW_MLG GRADE 10'!$B$7:$B$31,'PW_MLG GRADE 10'!AF$7:AF$31,"",0,1)="P",
   _xlfn.XLOOKUP($B46,'PW_MLG GRADE 10'!$B$7:$B$31,'PW_MLG GRADE 10'!#REF!,"",0,1)&lt;=TODAY()-MOD(WEEKDAY(TODAY(),2)-5,7)),$D46,0)</f>
        <v>#REF!</v>
      </c>
      <c r="BJ96" s="65" t="e">
        <f ca="1">IF(AND($D46&lt;&gt;0,_xlfn.XLOOKUP($B46,'PW_MLG GRADE 10'!$B$7:$B$31,'PW_MLG GRADE 10'!AG$7:AG$31,"",0,1)="P",
   _xlfn.XLOOKUP($B46,'PW_MLG GRADE 10'!$B$7:$B$31,'PW_MLG GRADE 10'!#REF!,"",0,1)&lt;=TODAY()-MOD(WEEKDAY(TODAY(),2)-5,7)),$D46,0)</f>
        <v>#REF!</v>
      </c>
      <c r="BK96" s="65" t="e">
        <f ca="1">IF(AND($D46&lt;&gt;0,_xlfn.XLOOKUP($B46,'PW_MLG GRADE 10'!$B$7:$B$31,'PW_MLG GRADE 10'!AH$7:AH$31,"",0,1)="P",
   _xlfn.XLOOKUP($B46,'PW_MLG GRADE 10'!$B$7:$B$31,'PW_MLG GRADE 10'!#REF!,"",0,1)&lt;=TODAY()-MOD(WEEKDAY(TODAY(),2)-5,7)),$D46,0)</f>
        <v>#REF!</v>
      </c>
      <c r="BL96" s="65" t="e">
        <f ca="1">IF(AND($D46&lt;&gt;0,_xlfn.XLOOKUP($B46,'PW_MLG GRADE 10'!$B$7:$B$31,'PW_MLG GRADE 10'!AI$7:AI$31,"",0,1)="P",
   _xlfn.XLOOKUP($B46,'PW_MLG GRADE 10'!$B$7:$B$31,'PW_MLG GRADE 10'!#REF!,"",0,1)&lt;=TODAY()-MOD(WEEKDAY(TODAY(),2)-5,7)),$D46,0)</f>
        <v>#REF!</v>
      </c>
      <c r="BM96" s="65" t="e">
        <f ca="1">IF(AND($D46&lt;&gt;0,_xlfn.XLOOKUP($B46,'PW_MLG GRADE 10'!$B$7:$B$31,'PW_MLG GRADE 10'!AJ$7:AJ$31,"",0,1)="P",
   _xlfn.XLOOKUP($B46,'PW_MLG GRADE 10'!$B$7:$B$31,'PW_MLG GRADE 10'!#REF!,"",0,1)&lt;=TODAY()-MOD(WEEKDAY(TODAY(),2)-5,7)),$D46,0)</f>
        <v>#REF!</v>
      </c>
      <c r="BN96" s="65" t="e">
        <f ca="1">IF(AND($D46&lt;&gt;0,_xlfn.XLOOKUP($B46,'PW_MLG GRADE 10'!$B$7:$B$31,'PW_MLG GRADE 10'!AK$7:AK$31,"",0,1)="P",
   _xlfn.XLOOKUP($B46,'PW_MLG GRADE 10'!$B$7:$B$31,'PW_MLG GRADE 10'!#REF!,"",0,1)&lt;=TODAY()-MOD(WEEKDAY(TODAY(),2)-5,7)),$D46,0)</f>
        <v>#REF!</v>
      </c>
      <c r="BO96" s="65" t="e">
        <f ca="1">IF(AND($D46&lt;&gt;0,_xlfn.XLOOKUP($B46,'PW_MLG GRADE 10'!$B$7:$B$31,'PW_MLG GRADE 10'!AL$7:AL$31,"",0,1)="P",
   _xlfn.XLOOKUP($B46,'PW_MLG GRADE 10'!$B$7:$B$31,'PW_MLG GRADE 10'!#REF!,"",0,1)&lt;=TODAY()-MOD(WEEKDAY(TODAY(),2)-5,7)),$D46,0)</f>
        <v>#REF!</v>
      </c>
      <c r="BP96" s="65" t="e">
        <f ca="1">IF(AND($D46&lt;&gt;0,_xlfn.XLOOKUP($B46,'PW_MLG GRADE 10'!$B$7:$B$31,'PW_MLG GRADE 10'!AM$7:AM$31,"",0,1)="P",
   _xlfn.XLOOKUP($B46,'PW_MLG GRADE 10'!$B$7:$B$31,'PW_MLG GRADE 10'!#REF!,"",0,1)&lt;=TODAY()-MOD(WEEKDAY(TODAY(),2)-5,7)),$D46,0)</f>
        <v>#REF!</v>
      </c>
      <c r="BQ96" s="65" t="e">
        <f ca="1">IF(AND($D46&lt;&gt;0,_xlfn.XLOOKUP($B46,'PW_MLG GRADE 10'!$B$7:$B$31,'PW_MLG GRADE 10'!AN$7:AN$31,"",0,1)="P",
   _xlfn.XLOOKUP($B46,'PW_MLG GRADE 10'!$B$7:$B$31,'PW_MLG GRADE 10'!#REF!,"",0,1)&lt;=TODAY()-MOD(WEEKDAY(TODAY(),2)-5,7)),$D46,0)</f>
        <v>#REF!</v>
      </c>
      <c r="BR96" s="65" t="e">
        <f ca="1">IF(AND($D46&lt;&gt;0,_xlfn.XLOOKUP($B46,'PW_MLG GRADE 10'!$B$7:$B$31,'PW_MLG GRADE 10'!AO$7:AO$31,"",0,1)="P",
   _xlfn.XLOOKUP($B46,'PW_MLG GRADE 10'!$B$7:$B$31,'PW_MLG GRADE 10'!#REF!,"",0,1)&lt;=TODAY()-MOD(WEEKDAY(TODAY(),2)-5,7)),$D46,0)</f>
        <v>#REF!</v>
      </c>
      <c r="BS96" s="65" t="e">
        <f ca="1">IF(AND($D46&lt;&gt;0,_xlfn.XLOOKUP($B46,'PW_MLG GRADE 10'!$B$7:$B$31,'PW_MLG GRADE 10'!AP$7:AP$31,"",0,1)="P",
   _xlfn.XLOOKUP($B46,'PW_MLG GRADE 10'!$B$7:$B$31,'PW_MLG GRADE 10'!#REF!,"",0,1)&lt;=TODAY()-MOD(WEEKDAY(TODAY(),2)-5,7)),$D46,0)</f>
        <v>#REF!</v>
      </c>
      <c r="BT96" s="65" t="e">
        <f ca="1">IF(AND($D46&lt;&gt;0,_xlfn.XLOOKUP($B46,'PW_MLG GRADE 10'!$B$7:$B$31,'PW_MLG GRADE 10'!AQ$7:AQ$31,"",0,1)="P",
   _xlfn.XLOOKUP($B46,'PW_MLG GRADE 10'!$B$7:$B$31,'PW_MLG GRADE 10'!#REF!,"",0,1)&lt;=TODAY()-MOD(WEEKDAY(TODAY(),2)-5,7)),$D46,0)</f>
        <v>#REF!</v>
      </c>
      <c r="BU96" s="65" t="e">
        <f ca="1">IF(AND($D46&lt;&gt;0,_xlfn.XLOOKUP($B46,'PW_MLG GRADE 10'!$B$7:$B$31,'PW_MLG GRADE 10'!AR$7:AR$31,"",0,1)="P",
   _xlfn.XLOOKUP($B46,'PW_MLG GRADE 10'!$B$7:$B$31,'PW_MLG GRADE 10'!#REF!,"",0,1)&lt;=TODAY()-MOD(WEEKDAY(TODAY(),2)-5,7)),$D46,0)</f>
        <v>#REF!</v>
      </c>
      <c r="BV96" s="65" t="e">
        <f ca="1">IF(AND($D46&lt;&gt;0,_xlfn.XLOOKUP($B46,'PW_MLG GRADE 10'!$B$7:$B$31,'PW_MLG GRADE 10'!AY$7:AY$31,"",0,1)="P",
   _xlfn.XLOOKUP($B46,'PW_MLG GRADE 10'!$B$7:$B$31,'PW_MLG GRADE 10'!#REF!,"",0,1)&lt;=TODAY()-MOD(WEEKDAY(TODAY(),2)-5,7)),$D46,0)</f>
        <v>#REF!</v>
      </c>
      <c r="BW96" s="65" t="e">
        <f ca="1">IF(AND($D46&lt;&gt;0,_xlfn.XLOOKUP($B46,'PW_MLG GRADE 10'!$B$7:$B$31,'PW_MLG GRADE 10'!AZ$7:AZ$31,"",0,1)="P",
   _xlfn.XLOOKUP($B46,'PW_MLG GRADE 10'!$B$7:$B$31,'PW_MLG GRADE 10'!#REF!,"",0,1)&lt;=TODAY()-MOD(WEEKDAY(TODAY(),2)-5,7)),$D46,0)</f>
        <v>#REF!</v>
      </c>
      <c r="BX96" s="65" t="e">
        <f ca="1">IF(AND($D46&lt;&gt;0,_xlfn.XLOOKUP($B46,'PW_MLG GRADE 10'!$B$7:$B$31,'PW_MLG GRADE 10'!BA$7:BA$31,"",0,1)="P",
   _xlfn.XLOOKUP($B46,'PW_MLG GRADE 10'!$B$7:$B$31,'PW_MLG GRADE 10'!#REF!,"",0,1)&lt;=TODAY()-MOD(WEEKDAY(TODAY(),2)-5,7)),$D46,0)</f>
        <v>#REF!</v>
      </c>
      <c r="BY96" s="65" t="e">
        <f ca="1">IF(AND($D46&lt;&gt;0,_xlfn.XLOOKUP($B46,'PW_MLG GRADE 10'!$B$7:$B$31,'PW_MLG GRADE 10'!BB$7:BB$31,"",0,1)="P",
   _xlfn.XLOOKUP($B46,'PW_MLG GRADE 10'!$B$7:$B$31,'PW_MLG GRADE 10'!#REF!,"",0,1)&lt;=TODAY()-MOD(WEEKDAY(TODAY(),2)-5,7)),$D46,0)</f>
        <v>#REF!</v>
      </c>
      <c r="BZ96" s="65" t="e">
        <f ca="1">IF(AND($D46&lt;&gt;0,_xlfn.XLOOKUP($B46,'PW_MLG GRADE 10'!$B$7:$B$31,'PW_MLG GRADE 10'!BC$7:BC$31,"",0,1)="P",
   _xlfn.XLOOKUP($B46,'PW_MLG GRADE 10'!$B$7:$B$31,'PW_MLG GRADE 10'!#REF!,"",0,1)&lt;=TODAY()-MOD(WEEKDAY(TODAY(),2)-5,7)),$D46,0)</f>
        <v>#REF!</v>
      </c>
      <c r="CA96" s="65" t="e">
        <f ca="1">IF(AND($D46&lt;&gt;0,_xlfn.XLOOKUP($B46,'PW_MLG GRADE 10'!$B$7:$B$31,'PW_MLG GRADE 10'!BD$7:BD$31,"",0,1)="P",
   _xlfn.XLOOKUP($B46,'PW_MLG GRADE 10'!$B$7:$B$31,'PW_MLG GRADE 10'!#REF!,"",0,1)&lt;=TODAY()-MOD(WEEKDAY(TODAY(),2)-5,7)),$D46,0)</f>
        <v>#REF!</v>
      </c>
      <c r="CB96" s="65" t="e">
        <f ca="1">IF(AND($D46&lt;&gt;0,_xlfn.XLOOKUP($B46,'PW_MLG GRADE 10'!$B$7:$B$31,'PW_MLG GRADE 10'!BE$7:BE$31,"",0,1)="P",
   _xlfn.XLOOKUP($B46,'PW_MLG GRADE 10'!$B$7:$B$31,'PW_MLG GRADE 10'!#REF!,"",0,1)&lt;=TODAY()-MOD(WEEKDAY(TODAY(),2)-5,7)),$D46,0)</f>
        <v>#REF!</v>
      </c>
      <c r="CC96" s="65" t="e">
        <f ca="1">IF(AND($D46&lt;&gt;0,_xlfn.XLOOKUP($B46,'PW_MLG GRADE 10'!$B$7:$B$31,'PW_MLG GRADE 10'!BF$7:BF$31,"",0,1)="P",
   _xlfn.XLOOKUP($B46,'PW_MLG GRADE 10'!$B$7:$B$31,'PW_MLG GRADE 10'!#REF!,"",0,1)&lt;=TODAY()-MOD(WEEKDAY(TODAY(),2)-5,7)),$D46,0)</f>
        <v>#REF!</v>
      </c>
      <c r="CD96" s="65" t="e">
        <f ca="1">IF(AND($D46&lt;&gt;0,_xlfn.XLOOKUP($B46,'PW_MLG GRADE 10'!$B$7:$B$31,'PW_MLG GRADE 10'!BG$7:BG$31,"",0,1)="P",
   _xlfn.XLOOKUP($B46,'PW_MLG GRADE 10'!$B$7:$B$31,'PW_MLG GRADE 10'!#REF!,"",0,1)&lt;=TODAY()-MOD(WEEKDAY(TODAY(),2)-5,7)),$D46,0)</f>
        <v>#REF!</v>
      </c>
      <c r="CE96" s="67">
        <f ca="1">IF(AND($D46&lt;&gt;0,_xlfn.XLOOKUP($B46,'PW_CMI GRADE 10'!$B$7:$B$31,'PW_CMI GRADE 10'!AY$7:AY$31,"",0,1)="P",
   _xlfn.XLOOKUP($B46,'PW_CMI GRADE 10'!$B$7:$B$31,'PW_CMI GRADE 10'!$U$7:$U$31,"",0,1)&lt;=TODAY()-MOD(WEEKDAY(TODAY(),2)-5,7)),$D46,0)</f>
        <v>0</v>
      </c>
      <c r="CF96" s="67">
        <f ca="1">IF(AND($D46&lt;&gt;0,_xlfn.XLOOKUP($B46,'PW_CMI GRADE 10'!$B$7:$B$31,'PW_CMI GRADE 10'!AZ$7:AZ$31,"",0,1)="P",
   _xlfn.XLOOKUP($B46,'PW_CMI GRADE 10'!$B$7:$B$31,'PW_CMI GRADE 10'!$V$7:$V$31,"",0,1)&lt;=TODAY()-MOD(WEEKDAY(TODAY(),2)-5,7)),$D46,0)</f>
        <v>0</v>
      </c>
      <c r="CG96" s="67">
        <f ca="1">IF(AND($D46&lt;&gt;0,_xlfn.XLOOKUP($B46,'PW_CMI GRADE 10'!$B$7:$B$31,'PW_CMI GRADE 10'!BA$7:BA$31,"",0,1)="P",
   _xlfn.XLOOKUP($B46,'PW_CMI GRADE 10'!$B$7:$B$31,'PW_CMI GRADE 10'!$W$7:$W$31,"",0,1)&lt;=TODAY()-MOD(WEEKDAY(TODAY(),2)-5,7)),$D46,0)</f>
        <v>0</v>
      </c>
      <c r="CH96" s="67">
        <f ca="1">IF(AND($D46&lt;&gt;0,_xlfn.XLOOKUP($B46,'PW_CMI GRADE 10'!$B$7:$B$31,'PW_CMI GRADE 10'!BB$7:BB$31,"",0,1)="P",
   _xlfn.XLOOKUP($B46,'PW_CMI GRADE 10'!$B$7:$B$31,'PW_CMI GRADE 10'!$U$7:$U$31,"",0,1)&lt;=TODAY()-MOD(WEEKDAY(TODAY(),2)-5,7)),$D46,0)</f>
        <v>0</v>
      </c>
      <c r="CI96" s="67">
        <f ca="1">IF(AND($D46&lt;&gt;0,_xlfn.XLOOKUP($B46,'PW_CMI GRADE 10'!$B$7:$B$31,'PW_CMI GRADE 10'!BC$7:BC$31,"",0,1)="P",
   _xlfn.XLOOKUP($B46,'PW_CMI GRADE 10'!$B$7:$B$31,'PW_CMI GRADE 10'!$V$7:$V$31,"",0,1)&lt;=TODAY()-MOD(WEEKDAY(TODAY(),2)-5,7)),$D46,0)</f>
        <v>0</v>
      </c>
      <c r="CJ96" s="67">
        <f ca="1">IF(AND($D46&lt;&gt;0,_xlfn.XLOOKUP($B46,'PW_CMI GRADE 10'!$B$7:$B$31,'PW_CMI GRADE 10'!BD$7:BD$31,"",0,1)="P",
   _xlfn.XLOOKUP($B46,'PW_CMI GRADE 10'!$B$7:$B$31,'PW_CMI GRADE 10'!$W$7:$W$31,"",0,1)&lt;=TODAY()-MOD(WEEKDAY(TODAY(),2)-5,7)),$D46,0)</f>
        <v>0</v>
      </c>
      <c r="CK96" s="67">
        <f ca="1">IF(AND($D46&lt;&gt;0,_xlfn.XLOOKUP($B46,'PW_CMI GRADE 10'!$B$7:$B$31,'PW_CMI GRADE 10'!BE$7:BE$31,"",0,1)="P",
   _xlfn.XLOOKUP($B46,'PW_CMI GRADE 10'!$B$7:$B$31,'PW_CMI GRADE 10'!$U$7:$U$31,"",0,1)&lt;=TODAY()-MOD(WEEKDAY(TODAY(),2)-5,7)),$D46,0)</f>
        <v>0</v>
      </c>
      <c r="CL96" s="67">
        <f ca="1">IF(AND($D46&lt;&gt;0,_xlfn.XLOOKUP($B46,'PW_CMI GRADE 10'!$B$7:$B$31,'PW_CMI GRADE 10'!BF$7:BF$31,"",0,1)="P",
   _xlfn.XLOOKUP($B46,'PW_CMI GRADE 10'!$B$7:$B$31,'PW_CMI GRADE 10'!$V$7:$V$31,"",0,1)&lt;=TODAY()-MOD(WEEKDAY(TODAY(),2)-5,7)),$D46,0)</f>
        <v>0</v>
      </c>
      <c r="CM96" s="67">
        <f ca="1">IF(AND($D46&lt;&gt;0,_xlfn.XLOOKUP($B46,'PW_CMI GRADE 10'!$B$7:$B$31,'PW_CMI GRADE 10'!BG$7:BG$31,"",0,1)="P",
   _xlfn.XLOOKUP($B46,'PW_CMI GRADE 10'!$B$7:$B$31,'PW_CMI GRADE 10'!$W$7:$W$31,"",0,1)&lt;=TODAY()-MOD(WEEKDAY(TODAY(),2)-5,7)),$D46,0)</f>
        <v>0</v>
      </c>
      <c r="CN96" s="67">
        <f ca="1">IF(AND($D46&lt;&gt;0,_xlfn.XLOOKUP($B46,'PW_CMI GRADE 10'!$B$7:$B$31,'PW_CMI GRADE 10'!BH$7:BH$31,"",0,1)="P",
   _xlfn.XLOOKUP($B46,'PW_CMI GRADE 10'!$B$7:$B$31,'PW_CMI GRADE 10'!$U$7:$U$31,"",0,1)&lt;=TODAY()-MOD(WEEKDAY(TODAY(),2)-5,7)),$D46,0)</f>
        <v>0</v>
      </c>
      <c r="CO96" s="67">
        <f ca="1">IF(AND($D46&lt;&gt;0,_xlfn.XLOOKUP($B46,'PW_CMI GRADE 10'!$B$7:$B$31,'PW_CMI GRADE 10'!BI$7:BI$31,"",0,1)="P",
   _xlfn.XLOOKUP($B46,'PW_CMI GRADE 10'!$B$7:$B$31,'PW_CMI GRADE 10'!$V$7:$V$31,"",0,1)&lt;=TODAY()-MOD(WEEKDAY(TODAY(),2)-5,7)),$D46,0)</f>
        <v>0</v>
      </c>
      <c r="CP96" s="67">
        <f ca="1">IF(AND($D46&lt;&gt;0,_xlfn.XLOOKUP($B46,'PW_CMI GRADE 10'!$B$7:$B$31,'PW_CMI GRADE 10'!BJ$7:BJ$31,"",0,1)="P",
   _xlfn.XLOOKUP($B46,'PW_CMI GRADE 10'!$B$7:$B$31,'PW_CMI GRADE 10'!$W$7:$W$31,"",0,1)&lt;=TODAY()-MOD(WEEKDAY(TODAY(),2)-5,7)),$D46,0)</f>
        <v>0</v>
      </c>
      <c r="CQ96" s="67">
        <f ca="1">IF(AND($D46&lt;&gt;0,_xlfn.XLOOKUP($B46,'PW_CMI GRADE 10'!$B$7:$B$31,'PW_CMI GRADE 10'!BK$7:BK$31,"",0,1)="P",
   _xlfn.XLOOKUP($B46,'PW_CMI GRADE 10'!$B$7:$B$31,'PW_CMI GRADE 10'!$U$7:$U$31,"",0,1)&lt;=TODAY()-MOD(WEEKDAY(TODAY(),2)-5,7)),$D46,0)</f>
        <v>0</v>
      </c>
      <c r="CR96" s="67">
        <f ca="1">IF(AND($D46&lt;&gt;0,_xlfn.XLOOKUP($B46,'PW_CMI GRADE 10'!$B$7:$B$31,'PW_CMI GRADE 10'!BL$7:BL$31,"",0,1)="P",
   _xlfn.XLOOKUP($B46,'PW_CMI GRADE 10'!$B$7:$B$31,'PW_CMI GRADE 10'!$V$7:$V$31,"",0,1)&lt;=TODAY()-MOD(WEEKDAY(TODAY(),2)-5,7)),$D46,0)</f>
        <v>0</v>
      </c>
      <c r="CS96" s="67">
        <f ca="1">IF(AND($D46&lt;&gt;0,_xlfn.XLOOKUP($B46,'PW_CMI GRADE 10'!$B$7:$B$31,'PW_CMI GRADE 10'!BM$7:BM$31,"",0,1)="P",
   _xlfn.XLOOKUP($B46,'PW_CMI GRADE 10'!$B$7:$B$31,'PW_CMI GRADE 10'!$W$7:$W$31,"",0,1)&lt;=TODAY()-MOD(WEEKDAY(TODAY(),2)-5,7)),$D46,0)</f>
        <v>0</v>
      </c>
      <c r="CT96" s="67">
        <f ca="1">IF(AND($D46&lt;&gt;0,_xlfn.XLOOKUP($B46,'PW_CMI GRADE 10'!$B$7:$B$31,'PW_CMI GRADE 10'!BN$7:BN$31,"",0,1)="P",
   _xlfn.XLOOKUP($B46,'PW_CMI GRADE 10'!$B$7:$B$31,'PW_CMI GRADE 10'!$U$7:$U$31,"",0,1)&lt;=TODAY()-MOD(WEEKDAY(TODAY(),2)-5,7)),$D46,0)</f>
        <v>0</v>
      </c>
      <c r="CU96" s="67">
        <f ca="1">IF(AND($D46&lt;&gt;0,_xlfn.XLOOKUP($B46,'PW_CMI GRADE 10'!$B$7:$B$31,'PW_CMI GRADE 10'!BO$7:BO$31,"",0,1)="P",
   _xlfn.XLOOKUP($B46,'PW_CMI GRADE 10'!$B$7:$B$31,'PW_CMI GRADE 10'!$V$7:$V$31,"",0,1)&lt;=TODAY()-MOD(WEEKDAY(TODAY(),2)-5,7)),$D46,0)</f>
        <v>0</v>
      </c>
      <c r="CV96" s="67">
        <f ca="1">IF(AND($D46&lt;&gt;0,_xlfn.XLOOKUP($B46,'PW_CMI GRADE 10'!$B$7:$B$31,'PW_CMI GRADE 10'!BP$7:BP$31,"",0,1)="P",
   _xlfn.XLOOKUP($B46,'PW_CMI GRADE 10'!$B$7:$B$31,'PW_CMI GRADE 10'!$W$7:$W$31,"",0,1)&lt;=TODAY()-MOD(WEEKDAY(TODAY(),2)-5,7)),$D46,0)</f>
        <v>0</v>
      </c>
      <c r="CW96" s="62" t="e">
        <f t="shared" ca="1" si="132"/>
        <v>#REF!</v>
      </c>
      <c r="CX96" s="62" t="e">
        <f t="shared" ca="1" si="69"/>
        <v>#REF!</v>
      </c>
      <c r="CY96" s="62" t="e">
        <f t="shared" ca="1" si="70"/>
        <v>#REF!</v>
      </c>
      <c r="CZ96" s="62" t="e">
        <f t="shared" ca="1" si="71"/>
        <v>#REF!</v>
      </c>
      <c r="DA96" s="62" t="e">
        <f t="shared" ca="1" si="72"/>
        <v>#REF!</v>
      </c>
      <c r="DB96" s="62" t="e">
        <f t="shared" ca="1" si="73"/>
        <v>#REF!</v>
      </c>
      <c r="DC96" s="62" t="e">
        <f t="shared" ca="1" si="74"/>
        <v>#REF!</v>
      </c>
      <c r="DD96" s="62" t="e">
        <f t="shared" ca="1" si="75"/>
        <v>#REF!</v>
      </c>
      <c r="DE96" s="62" t="e">
        <f t="shared" ca="1" si="76"/>
        <v>#REF!</v>
      </c>
      <c r="DF96" s="62" t="e">
        <f t="shared" ca="1" si="77"/>
        <v>#REF!</v>
      </c>
      <c r="DG96" s="62" t="e">
        <f t="shared" ca="1" si="78"/>
        <v>#REF!</v>
      </c>
      <c r="DH96" s="62" t="e">
        <f t="shared" ca="1" si="79"/>
        <v>#REF!</v>
      </c>
      <c r="DI96" s="62" t="e">
        <f t="shared" ca="1" si="80"/>
        <v>#REF!</v>
      </c>
      <c r="DJ96" s="62" t="e">
        <f t="shared" ca="1" si="81"/>
        <v>#REF!</v>
      </c>
      <c r="DK96" s="62" t="e">
        <f t="shared" ca="1" si="82"/>
        <v>#REF!</v>
      </c>
      <c r="DL96" s="62" t="e">
        <f t="shared" ca="1" si="83"/>
        <v>#REF!</v>
      </c>
      <c r="DM96" s="62" t="e">
        <f t="shared" ca="1" si="84"/>
        <v>#REF!</v>
      </c>
      <c r="DN96" s="62" t="e">
        <f t="shared" ca="1" si="85"/>
        <v>#REF!</v>
      </c>
      <c r="DO96" s="62" t="e">
        <f t="shared" ca="1" si="86"/>
        <v>#REF!</v>
      </c>
      <c r="DP96" s="62" t="e">
        <f t="shared" ca="1" si="87"/>
        <v>#REF!</v>
      </c>
      <c r="DQ96" s="62" t="e">
        <f t="shared" ca="1" si="88"/>
        <v>#REF!</v>
      </c>
      <c r="DR96" s="62" t="e">
        <f t="shared" ca="1" si="89"/>
        <v>#REF!</v>
      </c>
      <c r="DS96" s="62" t="e">
        <f t="shared" ca="1" si="90"/>
        <v>#REF!</v>
      </c>
      <c r="DT96" s="62" t="e">
        <f t="shared" ca="1" si="91"/>
        <v>#REF!</v>
      </c>
      <c r="DU96" s="62" t="e">
        <f t="shared" ca="1" si="92"/>
        <v>#REF!</v>
      </c>
      <c r="DV96" s="62" t="e">
        <f t="shared" ca="1" si="93"/>
        <v>#REF!</v>
      </c>
      <c r="DW96" s="62" t="e">
        <f t="shared" ca="1" si="94"/>
        <v>#REF!</v>
      </c>
      <c r="DX96" s="62" t="e">
        <f t="shared" ca="1" si="95"/>
        <v>#REF!</v>
      </c>
      <c r="DY96" s="62" t="e">
        <f t="shared" ca="1" si="96"/>
        <v>#REF!</v>
      </c>
      <c r="DZ96" s="62" t="e">
        <f t="shared" ca="1" si="97"/>
        <v>#REF!</v>
      </c>
      <c r="EA96" s="63" t="e">
        <f t="shared" ca="1" si="98"/>
        <v>#REF!</v>
      </c>
      <c r="EB96" s="63" t="e">
        <f t="shared" ca="1" si="99"/>
        <v>#REF!</v>
      </c>
      <c r="EC96" s="63" t="e">
        <f t="shared" ca="1" si="100"/>
        <v>#REF!</v>
      </c>
      <c r="ED96" s="63" t="e">
        <f t="shared" ca="1" si="101"/>
        <v>#REF!</v>
      </c>
      <c r="EE96" s="63" t="e">
        <f t="shared" ca="1" si="102"/>
        <v>#REF!</v>
      </c>
      <c r="EF96" s="63" t="e">
        <f t="shared" ca="1" si="103"/>
        <v>#REF!</v>
      </c>
      <c r="EG96" s="63" t="e">
        <f t="shared" ca="1" si="104"/>
        <v>#REF!</v>
      </c>
      <c r="EH96" s="63" t="e">
        <f t="shared" ca="1" si="105"/>
        <v>#REF!</v>
      </c>
      <c r="EI96" s="63" t="e">
        <f t="shared" ca="1" si="106"/>
        <v>#REF!</v>
      </c>
      <c r="EJ96" s="63" t="e">
        <f t="shared" ca="1" si="107"/>
        <v>#REF!</v>
      </c>
      <c r="EK96" s="63" t="e">
        <f t="shared" ca="1" si="108"/>
        <v>#REF!</v>
      </c>
      <c r="EL96" s="63" t="e">
        <f t="shared" ca="1" si="109"/>
        <v>#REF!</v>
      </c>
      <c r="EM96" s="63" t="e">
        <f t="shared" ca="1" si="110"/>
        <v>#REF!</v>
      </c>
      <c r="EN96" s="63" t="e">
        <f t="shared" ca="1" si="111"/>
        <v>#REF!</v>
      </c>
      <c r="EO96" s="63" t="e">
        <f t="shared" ca="1" si="112"/>
        <v>#REF!</v>
      </c>
      <c r="EP96" s="63" t="e">
        <f t="shared" ca="1" si="113"/>
        <v>#REF!</v>
      </c>
    </row>
    <row r="97" spans="1:146">
      <c r="A97" s="64" t="str">
        <f t="shared" si="131"/>
        <v>7A.1</v>
      </c>
      <c r="B97" s="64" t="s">
        <v>78</v>
      </c>
      <c r="C97" s="30"/>
      <c r="D97" s="30">
        <v>2</v>
      </c>
      <c r="E97" s="65">
        <f ca="1">IF(AND($D47&lt;&gt;0,_xlfn.XLOOKUP($B47,'TH_MLG GRADE 10'!$B$7:$B$49,'TH_MLG GRADE 10'!C$7:C$49,"",0,1)="P",
   _xlfn.XLOOKUP($B47,'TH_MLG GRADE 10'!$B$7:$B$49,'TH_MLG GRADE 10'!$BK$7:$BK$49,"",0,1)&lt;=TODAY()-MOD(WEEKDAY(TODAY(),2)-5,7)),$D47,0)</f>
        <v>0</v>
      </c>
      <c r="F97" s="65">
        <f ca="1">IF(AND($D47&lt;&gt;0,_xlfn.XLOOKUP($B47,'TH_MLG GRADE 10'!$B$7:$B$49,'TH_MLG GRADE 10'!D$7:D$49,"",0,1)="P",
   _xlfn.XLOOKUP($B47,'TH_MLG GRADE 10'!$B$7:$B$49,'TH_MLG GRADE 10'!$BL$7:$BL$49,"",0,1)&lt;=TODAY()-MOD(WEEKDAY(TODAY(),2)-5,7)),$D47,0)</f>
        <v>0</v>
      </c>
      <c r="G97" s="65">
        <f ca="1">IF(AND($D47&lt;&gt;0,_xlfn.XLOOKUP($B47,'TH_MLG GRADE 10'!$B$7:$B$49,'TH_MLG GRADE 10'!E$7:E$49,"",0,1)="P",
   _xlfn.XLOOKUP($B47,'TH_MLG GRADE 10'!$B$7:$B$49,'TH_MLG GRADE 10'!$BM$7:$BM$49,"",0,1)&lt;=TODAY()-MOD(WEEKDAY(TODAY(),2)-5,7)),$D47,0)</f>
        <v>0</v>
      </c>
      <c r="H97" s="65">
        <f ca="1">IF(AND($D47&lt;&gt;0,_xlfn.XLOOKUP($B47,'TH_MLG GRADE 10'!$B$7:$B$49,'TH_MLG GRADE 10'!I$7:I$49,"",0,1)="P",
   _xlfn.XLOOKUP($B47,'TH_MLG GRADE 10'!$B$7:$B$49,'TH_MLG GRADE 10'!$BK$7:$BK$49,"",0,1)&lt;=TODAY()-MOD(WEEKDAY(TODAY(),2)-5,7)),$D47,0)</f>
        <v>0</v>
      </c>
      <c r="I97" s="65">
        <f ca="1">IF(AND($D47&lt;&gt;0,_xlfn.XLOOKUP($B47,'TH_MLG GRADE 10'!$B$7:$B$49,'TH_MLG GRADE 10'!J$7:J$49,"",0,1)="P",
   _xlfn.XLOOKUP($B47,'TH_MLG GRADE 10'!$B$7:$B$49,'TH_MLG GRADE 10'!$BL$7:$BL$49,"",0,1)&lt;=TODAY()-MOD(WEEKDAY(TODAY(),2)-5,7)),$D47,0)</f>
        <v>0</v>
      </c>
      <c r="J97" s="65">
        <f ca="1">IF(AND($D47&lt;&gt;0,_xlfn.XLOOKUP($B47,'TH_MLG GRADE 10'!$B$7:$B$49,'TH_MLG GRADE 10'!K$7:K$49,"",0,1)="P",
   _xlfn.XLOOKUP($B47,'TH_MLG GRADE 10'!$B$7:$B$49,'TH_MLG GRADE 10'!$BM$7:$BM$49,"",0,1)&lt;=TODAY()-MOD(WEEKDAY(TODAY(),2)-5,7)),$D47,0)</f>
        <v>0</v>
      </c>
      <c r="K97" s="65">
        <f ca="1">IF(AND($D47&lt;&gt;0,_xlfn.XLOOKUP($B47,'TH_MLG GRADE 10'!$B$7:$B$49,'TH_MLG GRADE 10'!O$7:O$49,"",0,1)="P",
   _xlfn.XLOOKUP($B47,'TH_MLG GRADE 10'!$B$7:$B$49,'TH_MLG GRADE 10'!$BK$7:$BK$49,"",0,1)&lt;=TODAY()-MOD(WEEKDAY(TODAY(),2)-5,7)),$D47,0)</f>
        <v>0</v>
      </c>
      <c r="L97" s="65">
        <f ca="1">IF(AND($D47&lt;&gt;0,_xlfn.XLOOKUP($B47,'TH_MLG GRADE 10'!$B$7:$B$49,'TH_MLG GRADE 10'!P$7:P$49,"",0,1)="P",
   _xlfn.XLOOKUP($B47,'TH_MLG GRADE 10'!$B$7:$B$49,'TH_MLG GRADE 10'!$BL$7:$BL$49,"",0,1)&lt;=TODAY()-MOD(WEEKDAY(TODAY(),2)-5,7)),$D47,0)</f>
        <v>0</v>
      </c>
      <c r="M97" s="65">
        <f ca="1">IF(AND($D47&lt;&gt;0,_xlfn.XLOOKUP($B47,'TH_MLG GRADE 10'!$B$7:$B$49,'TH_MLG GRADE 10'!Q$7:Q$49,"",0,1)="P",
   _xlfn.XLOOKUP($B47,'TH_MLG GRADE 10'!$B$7:$B$49,'TH_MLG GRADE 10'!$BM$7:$BM$49,"",0,1)&lt;=TODAY()-MOD(WEEKDAY(TODAY(),2)-5,7)),$D47,0)</f>
        <v>0</v>
      </c>
      <c r="N97" s="65">
        <f ca="1">IF(AND($D47&lt;&gt;0,_xlfn.XLOOKUP($B47,'TH_MLG GRADE 10'!$B$7:$B$49,'TH_MLG GRADE 10'!AA$7:AA$49,"",0,1)="P",
   _xlfn.XLOOKUP($B47,'TH_MLG GRADE 10'!$B$7:$B$49,'TH_MLG GRADE 10'!$BK$7:$BK$49,"",0,1)&lt;=TODAY()-MOD(WEEKDAY(TODAY(),2)-5,7)),$D47,0)</f>
        <v>0</v>
      </c>
      <c r="O97" s="65">
        <f ca="1">IF(AND($D47&lt;&gt;0,_xlfn.XLOOKUP($B47,'TH_MLG GRADE 10'!$B$7:$B$49,'TH_MLG GRADE 10'!AB$7:AB$49,"",0,1)="P",
   _xlfn.XLOOKUP($B47,'TH_MLG GRADE 10'!$B$7:$B$49,'TH_MLG GRADE 10'!$BL$7:$BL$49,"",0,1)&lt;=TODAY()-MOD(WEEKDAY(TODAY(),2)-5,7)),$D47,0)</f>
        <v>0</v>
      </c>
      <c r="P97" s="65">
        <f ca="1">IF(AND($D47&lt;&gt;0,_xlfn.XLOOKUP($B47,'TH_MLG GRADE 10'!$B$7:$B$49,'TH_MLG GRADE 10'!AC$7:AC$49,"",0,1)="P",
   _xlfn.XLOOKUP($B47,'TH_MLG GRADE 10'!$B$7:$B$49,'TH_MLG GRADE 10'!$BM$7:$BM$49,"",0,1)&lt;=TODAY()-MOD(WEEKDAY(TODAY(),2)-5,7)),$D47,0)</f>
        <v>0</v>
      </c>
      <c r="Q97" s="65">
        <f ca="1">IF(AND($D47&lt;&gt;0,_xlfn.XLOOKUP($B47,'TH_MLG GRADE 10'!$B$7:$B$49,'TH_MLG GRADE 10'!AG$7:AG$49,"",0,1)="P",
   _xlfn.XLOOKUP($B47,'TH_MLG GRADE 10'!$B$7:$B$49,'TH_MLG GRADE 10'!$BK$7:$BK$49,"",0,1)&lt;=TODAY()-MOD(WEEKDAY(TODAY(),2)-5,7)),$D47,0)</f>
        <v>0</v>
      </c>
      <c r="R97" s="65">
        <f ca="1">IF(AND($D47&lt;&gt;0,_xlfn.XLOOKUP($B47,'TH_MLG GRADE 10'!$B$7:$B$49,'TH_MLG GRADE 10'!AH$7:AH$49,"",0,1)="P",
   _xlfn.XLOOKUP($B47,'TH_MLG GRADE 10'!$B$7:$B$49,'TH_MLG GRADE 10'!$BL$7:$BL$49,"",0,1)&lt;=TODAY()-MOD(WEEKDAY(TODAY(),2)-5,7)),$D47,0)</f>
        <v>0</v>
      </c>
      <c r="S97" s="65">
        <f ca="1">IF(AND($D47&lt;&gt;0,_xlfn.XLOOKUP($B47,'TH_MLG GRADE 10'!$B$7:$B$49,'TH_MLG GRADE 10'!AI$7:AI$49,"",0,1)="P",
   _xlfn.XLOOKUP($B47,'TH_MLG GRADE 10'!$B$7:$B$49,'TH_MLG GRADE 10'!$BM$7:$BM$49,"",0,1)&lt;=TODAY()-MOD(WEEKDAY(TODAY(),2)-5,7)),$D47,0)</f>
        <v>0</v>
      </c>
      <c r="T97" s="65">
        <f ca="1">IF(AND($D47&lt;&gt;0,_xlfn.XLOOKUP($B47,'TH_MLG GRADE 10'!$B$7:$B$49,'TH_MLG GRADE 10'!AM$7:AM$49,"",0,1)="P",
   _xlfn.XLOOKUP($B47,'TH_MLG GRADE 10'!$B$7:$B$49,'TH_MLG GRADE 10'!$BK$7:$BK$49,"",0,1)&lt;=TODAY()-MOD(WEEKDAY(TODAY(),2)-5,7)),$D47,0)</f>
        <v>2</v>
      </c>
      <c r="U97" s="65">
        <f ca="1">IF(AND($D47&lt;&gt;0,_xlfn.XLOOKUP($B47,'TH_MLG GRADE 10'!$B$7:$B$49,'TH_MLG GRADE 10'!AN$7:AN$49,"",0,1)="P",
   _xlfn.XLOOKUP($B47,'TH_MLG GRADE 10'!$B$7:$B$49,'TH_MLG GRADE 10'!$BL$7:$BL$49,"",0,1)&lt;=TODAY()-MOD(WEEKDAY(TODAY(),2)-5,7)),$D47,0)</f>
        <v>2</v>
      </c>
      <c r="V97" s="65">
        <f ca="1">IF(AND($D47&lt;&gt;0,_xlfn.XLOOKUP($B47,'TH_MLG GRADE 10'!$B$7:$B$49,'TH_MLG GRADE 10'!AO$7:AO$49,"",0,1)="P",
   _xlfn.XLOOKUP($B47,'TH_MLG GRADE 10'!$B$7:$B$49,'TH_MLG GRADE 10'!$BM$7:$BM$49,"",0,1)&lt;=TODAY()-MOD(WEEKDAY(TODAY(),2)-5,7)),$D47,0)</f>
        <v>2</v>
      </c>
      <c r="W97" s="65">
        <f ca="1">IF(AND($D47&lt;&gt;0,_xlfn.XLOOKUP($B47,'TH_MLG GRADE 10'!$B$7:$B$49,'TH_MLG GRADE 10'!AY$7:AY$49,"",0,1)="P",
   _xlfn.XLOOKUP($B47,'TH_MLG GRADE 10'!$B$7:$B$49,'TH_MLG GRADE 10'!$BK$7:$BK$49,"",0,1)&lt;=TODAY()-MOD(WEEKDAY(TODAY(),2)-5,7)),$D47,0)</f>
        <v>2</v>
      </c>
      <c r="X97" s="65">
        <f ca="1">IF(AND($D47&lt;&gt;0,_xlfn.XLOOKUP($B47,'TH_MLG GRADE 10'!$B$7:$B$49,'TH_MLG GRADE 10'!AZ$7:AZ$49,"",0,1)="P",
   _xlfn.XLOOKUP($B47,'TH_MLG GRADE 10'!$B$7:$B$49,'TH_MLG GRADE 10'!$BL$7:$BL$49,"",0,1)&lt;=TODAY()-MOD(WEEKDAY(TODAY(),2)-5,7)),$D47,0)</f>
        <v>2</v>
      </c>
      <c r="Y97" s="65">
        <f ca="1">IF(AND($D47&lt;&gt;0,_xlfn.XLOOKUP($B47,'TH_MLG GRADE 10'!$B$7:$B$49,'TH_MLG GRADE 10'!BA$7:BA$49,"",0,1)="P",
   _xlfn.XLOOKUP($B47,'TH_MLG GRADE 10'!$B$7:$B$49,'TH_MLG GRADE 10'!$BM$7:$BM$49,"",0,1)&lt;=TODAY()-MOD(WEEKDAY(TODAY(),2)-5,7)),$D47,0)</f>
        <v>2</v>
      </c>
      <c r="Z97" s="65">
        <f ca="1">IF(AND($D47&lt;&gt;0,_xlfn.XLOOKUP($B47,'TH_MLG GRADE 10'!$B$7:$B$49,'TH_MLG GRADE 10'!BE$7:BE$49,"",0,1)="P",
   _xlfn.XLOOKUP($B47,'TH_MLG GRADE 10'!$B$7:$B$49,'TH_MLG GRADE 10'!$BK$7:$BK$49,"",0,1)&lt;=TODAY()-MOD(WEEKDAY(TODAY(),2)-5,7)),$D47,0)</f>
        <v>0</v>
      </c>
      <c r="AA97" s="65">
        <f ca="1">IF(AND($D47&lt;&gt;0,_xlfn.XLOOKUP($B47,'TH_MLG GRADE 10'!$B$7:$B$49,'TH_MLG GRADE 10'!BF$7:BF$49,"",0,1)="P",
   _xlfn.XLOOKUP($B47,'TH_MLG GRADE 10'!$B$7:$B$49,'TH_MLG GRADE 10'!$BL$7:$BL$49,"",0,1)&lt;=TODAY()-MOD(WEEKDAY(TODAY(),2)-5,7)),$D47,0)</f>
        <v>0</v>
      </c>
      <c r="AB97" s="65">
        <f ca="1">IF(AND($D47&lt;&gt;0,_xlfn.XLOOKUP($B47,'TH_MLG GRADE 10'!$B$7:$B$49,'TH_MLG GRADE 10'!BG$7:BG$49,"",0,1)="P",
   _xlfn.XLOOKUP($B47,'TH_MLG GRADE 10'!$B$7:$B$49,'TH_MLG GRADE 10'!$BM$7:$BM$49,"",0,1)&lt;=TODAY()-MOD(WEEKDAY(TODAY(),2)-5,7)),$D47,0)</f>
        <v>0</v>
      </c>
      <c r="AC97" s="65" t="e">
        <f ca="1">IF(AND($D47&lt;&gt;0,_xlfn.XLOOKUP($B47,'TH_MLG GRADE 10'!$B$7:$B$49,'TH_MLG GRADE 10'!#REF!,"",0,1)="P",
   _xlfn.XLOOKUP($B47,'TH_MLG GRADE 10'!$B$7:$B$49,'TH_MLG GRADE 10'!$BK$7:$BK$49,"",0,1)&lt;=TODAY()-MOD(WEEKDAY(TODAY(),2)-5,7)),$D47,0)</f>
        <v>#REF!</v>
      </c>
      <c r="AD97" s="65" t="e">
        <f ca="1">IF(AND($D47&lt;&gt;0,_xlfn.XLOOKUP($B47,'TH_MLG GRADE 10'!$B$7:$B$49,'TH_MLG GRADE 10'!#REF!,"",0,1)="P",
   _xlfn.XLOOKUP($B47,'TH_MLG GRADE 10'!$B$7:$B$49,'TH_MLG GRADE 10'!$BL$7:$BL$49,"",0,1)&lt;=TODAY()-MOD(WEEKDAY(TODAY(),2)-5,7)),$D47,0)</f>
        <v>#REF!</v>
      </c>
      <c r="AE97" s="65" t="e">
        <f ca="1">IF(AND($D47&lt;&gt;0,_xlfn.XLOOKUP($B47,'TH_MLG GRADE 10'!$B$7:$B$49,'TH_MLG GRADE 10'!#REF!,"",0,1)="P",
   _xlfn.XLOOKUP($B47,'TH_MLG GRADE 10'!$B$7:$B$49,'TH_MLG GRADE 10'!$BM$7:$BM$49,"",0,1)&lt;=TODAY()-MOD(WEEKDAY(TODAY(),2)-5,7)),$D47,0)</f>
        <v>#REF!</v>
      </c>
      <c r="AF97" s="65" t="e">
        <f ca="1">IF(AND($D47&lt;&gt;0,_xlfn.XLOOKUP($B47,'TH_MLG GRADE 10'!$B$7:$B$49,'TH_MLG GRADE 10'!#REF!,"",0,1)="P",
   _xlfn.XLOOKUP($B47,'TH_MLG GRADE 10'!$B$7:$B$49,'TH_MLG GRADE 10'!$BK$7:$BK$49,"",0,1)&lt;=TODAY()-MOD(WEEKDAY(TODAY(),2)-5,7)),$D47,0)</f>
        <v>#REF!</v>
      </c>
      <c r="AG97" s="65" t="e">
        <f ca="1">IF(AND($D47&lt;&gt;0,_xlfn.XLOOKUP($B47,'TH_MLG GRADE 10'!$B$7:$B$49,'TH_MLG GRADE 10'!#REF!,"",0,1)="P",
   _xlfn.XLOOKUP($B47,'TH_MLG GRADE 10'!$B$7:$B$49,'TH_MLG GRADE 10'!$BL$7:$BL$49,"",0,1)&lt;=TODAY()-MOD(WEEKDAY(TODAY(),2)-5,7)),$D47,0)</f>
        <v>#REF!</v>
      </c>
      <c r="AH97" s="65" t="e">
        <f ca="1">IF(AND($D47&lt;&gt;0,_xlfn.XLOOKUP($B47,'TH_MLG GRADE 10'!$B$7:$B$49,'TH_MLG GRADE 10'!#REF!,"",0,1)="P",
   _xlfn.XLOOKUP($B47,'TH_MLG GRADE 10'!$B$7:$B$49,'TH_MLG GRADE 10'!$BM$7:$BM$49,"",0,1)&lt;=TODAY()-MOD(WEEKDAY(TODAY(),2)-5,7)),$D47,0)</f>
        <v>#REF!</v>
      </c>
      <c r="AI97" s="67">
        <f ca="1">IF(AND($D47&lt;&gt;0,_xlfn.XLOOKUP($B47,'TH_CMI GRADE 10'!$B$7:$B$49,'TH_CMI GRADE 10'!C$7:C$49,"",0,1)="P",
   _xlfn.XLOOKUP($B47,'TH_CMI GRADE 10'!$B$7:$B$49,'TH_CMI GRADE 10'!$AS$7:$AS$49,"",0,1)&lt;=TODAY()-MOD(WEEKDAY(TODAY(),2)-5,7)),$D47,0)</f>
        <v>2</v>
      </c>
      <c r="AJ97" s="67">
        <f ca="1">IF(AND($D47&lt;&gt;0,_xlfn.XLOOKUP($B47,'TH_CMI GRADE 10'!$B$7:$B$49,'TH_CMI GRADE 10'!D$7:D$49,"",0,1)="P",
   _xlfn.XLOOKUP($B47,'TH_CMI GRADE 10'!$B$7:$B$49,'TH_CMI GRADE 10'!$AT$7:$AT$49,"",0,1)&lt;=TODAY()-MOD(WEEKDAY(TODAY(),2)-5,7)),$D47,0)</f>
        <v>2</v>
      </c>
      <c r="AK97" s="67" t="e">
        <f ca="1">IF(AND($D47&lt;&gt;0,_xlfn.XLOOKUP($B47,'TH_CMI GRADE 10'!$B$7:$B$49,'TH_CMI GRADE 10'!H$7:H$49,"",0,1)="P",
   _xlfn.XLOOKUP($B47,'TH_CMI GRADE 10'!$B$7:$B$49,'TH_CMI GRADE 10'!#REF!,"",0,1)&lt;=TODAY()-MOD(WEEKDAY(TODAY(),2)-5,7)),$D47,0)</f>
        <v>#REF!</v>
      </c>
      <c r="AL97" s="67">
        <f ca="1">IF(AND($D47&lt;&gt;0,_xlfn.XLOOKUP($B47,'TH_CMI GRADE 10'!$B$7:$B$49,'TH_CMI GRADE 10'!I$7:I$49,"",0,1)="P",
   _xlfn.XLOOKUP($B47,'TH_CMI GRADE 10'!$B$7:$B$49,'TH_CMI GRADE 10'!$AS$7:$AS$49,"",0,1)&lt;=TODAY()-MOD(WEEKDAY(TODAY(),2)-5,7)),$D47,0)</f>
        <v>0</v>
      </c>
      <c r="AM97" s="67">
        <f ca="1">IF(AND($D47&lt;&gt;0,_xlfn.XLOOKUP($B47,'TH_CMI GRADE 10'!$B$7:$B$49,'TH_CMI GRADE 10'!J$7:J$49,"",0,1)="P",
   _xlfn.XLOOKUP($B47,'TH_CMI GRADE 10'!$B$7:$B$49,'TH_CMI GRADE 10'!$AT$7:$AT$49,"",0,1)&lt;=TODAY()-MOD(WEEKDAY(TODAY(),2)-5,7)),$D47,0)</f>
        <v>0</v>
      </c>
      <c r="AN97" s="67" t="e">
        <f ca="1">IF(AND($D47&lt;&gt;0,_xlfn.XLOOKUP($B47,'TH_CMI GRADE 10'!$B$7:$B$49,'TH_CMI GRADE 10'!K$7:K$49,"",0,1)="P",
   _xlfn.XLOOKUP($B47,'TH_CMI GRADE 10'!$B$7:$B$49,'TH_CMI GRADE 10'!#REF!,"",0,1)&lt;=TODAY()-MOD(WEEKDAY(TODAY(),2)-5,7)),$D47,0)</f>
        <v>#REF!</v>
      </c>
      <c r="AO97" s="67">
        <f ca="1">IF(AND($D47&lt;&gt;0,_xlfn.XLOOKUP($B47,'TH_CMI GRADE 10'!$B$7:$B$49,'TH_CMI GRADE 10'!O$7:O$49,"",0,1)="P",
   _xlfn.XLOOKUP($B47,'TH_CMI GRADE 10'!$B$7:$B$49,'TH_CMI GRADE 10'!$AS$7:$AS$49,"",0,1)&lt;=TODAY()-MOD(WEEKDAY(TODAY(),2)-5,7)),$D47,0)</f>
        <v>0</v>
      </c>
      <c r="AP97" s="67">
        <f ca="1">IF(AND($D47&lt;&gt;0,_xlfn.XLOOKUP($B47,'TH_CMI GRADE 10'!$B$7:$B$49,'TH_CMI GRADE 10'!P$7:P$49,"",0,1)="P",
   _xlfn.XLOOKUP($B47,'TH_CMI GRADE 10'!$B$7:$B$49,'TH_CMI GRADE 10'!$AT$7:$AT$49,"",0,1)&lt;=TODAY()-MOD(WEEKDAY(TODAY(),2)-5,7)),$D47,0)</f>
        <v>0</v>
      </c>
      <c r="AQ97" s="67" t="e">
        <f ca="1">IF(AND($D47&lt;&gt;0,_xlfn.XLOOKUP($B47,'TH_CMI GRADE 10'!$B$7:$B$49,'TH_CMI GRADE 10'!Q$7:Q$49,"",0,1)="P",
   _xlfn.XLOOKUP($B47,'TH_CMI GRADE 10'!$B$7:$B$49,'TH_CMI GRADE 10'!#REF!,"",0,1)&lt;=TODAY()-MOD(WEEKDAY(TODAY(),2)-5,7)),$D47,0)</f>
        <v>#REF!</v>
      </c>
      <c r="AR97" s="67">
        <f ca="1">IF(AND($D47&lt;&gt;0,_xlfn.XLOOKUP($B47,'TH_CMI GRADE 10'!$B$7:$B$49,'TH_CMI GRADE 10'!U$7:U$49,"",0,1)="P",
   _xlfn.XLOOKUP($B47,'TH_CMI GRADE 10'!$B$7:$B$49,'TH_CMI GRADE 10'!$AS$7:$AS$49,"",0,1)&lt;=TODAY()-MOD(WEEKDAY(TODAY(),2)-5,7)),$D47,0)</f>
        <v>2</v>
      </c>
      <c r="AS97" s="67">
        <f ca="1">IF(AND($D47&lt;&gt;0,_xlfn.XLOOKUP($B47,'TH_CMI GRADE 10'!$B$7:$B$49,'TH_CMI GRADE 10'!V$7:V$49,"",0,1)="P",
   _xlfn.XLOOKUP($B47,'TH_CMI GRADE 10'!$B$7:$B$49,'TH_CMI GRADE 10'!$AT$7:$AT$49,"",0,1)&lt;=TODAY()-MOD(WEEKDAY(TODAY(),2)-5,7)),$D47,0)</f>
        <v>2</v>
      </c>
      <c r="AT97" s="67" t="e">
        <f ca="1">IF(AND($D47&lt;&gt;0,_xlfn.XLOOKUP($B47,'TH_CMI GRADE 10'!$B$7:$B$49,'TH_CMI GRADE 10'!W$7:W$49,"",0,1)="P",
   _xlfn.XLOOKUP($B47,'TH_CMI GRADE 10'!$B$7:$B$49,'TH_CMI GRADE 10'!#REF!,"",0,1)&lt;=TODAY()-MOD(WEEKDAY(TODAY(),2)-5,7)),$D47,0)</f>
        <v>#REF!</v>
      </c>
      <c r="AU97" s="67">
        <f ca="1">IF(AND($D47&lt;&gt;0,_xlfn.XLOOKUP($B47,'TH_CMI GRADE 10'!$B$7:$B$49,'TH_CMI GRADE 10'!AA$7:AA$49,"",0,1)="P",
   _xlfn.XLOOKUP($B47,'TH_CMI GRADE 10'!$B$7:$B$49,'TH_CMI GRADE 10'!$AS$7:$AS$49,"",0,1)&lt;=TODAY()-MOD(WEEKDAY(TODAY(),2)-5,7)),$D47,0)</f>
        <v>0</v>
      </c>
      <c r="AV97" s="67">
        <f ca="1">IF(AND($D47&lt;&gt;0,_xlfn.XLOOKUP($B47,'TH_CMI GRADE 10'!$B$7:$B$49,'TH_CMI GRADE 10'!AB$7:AB$49,"",0,1)="P",
   _xlfn.XLOOKUP($B47,'TH_CMI GRADE 10'!$B$7:$B$49,'TH_CMI GRADE 10'!$AT$7:$AT$49,"",0,1)&lt;=TODAY()-MOD(WEEKDAY(TODAY(),2)-5,7)),$D47,0)</f>
        <v>0</v>
      </c>
      <c r="AW97" s="67" t="e">
        <f ca="1">IF(AND($D47&lt;&gt;0,_xlfn.XLOOKUP($B47,'TH_CMI GRADE 10'!$B$7:$B$49,'TH_CMI GRADE 10'!AC$7:AC$49,"",0,1)="P",
   _xlfn.XLOOKUP($B47,'TH_CMI GRADE 10'!$B$7:$B$49,'TH_CMI GRADE 10'!#REF!,"",0,1)&lt;=TODAY()-MOD(WEEKDAY(TODAY(),2)-5,7)),$D47,0)</f>
        <v>#REF!</v>
      </c>
      <c r="AX97" s="67">
        <f ca="1">IF(AND($D47&lt;&gt;0,_xlfn.XLOOKUP($B47,'TH_CMI GRADE 10'!$B$7:$B$49,'TH_CMI GRADE 10'!AG$7:AG$49,"",0,1)="P",
   _xlfn.XLOOKUP($B47,'TH_CMI GRADE 10'!$B$7:$B$49,'TH_CMI GRADE 10'!$AS$7:$AS$49,"",0,1)&lt;=TODAY()-MOD(WEEKDAY(TODAY(),2)-5,7)),$D47,0)</f>
        <v>0</v>
      </c>
      <c r="AY97" s="67">
        <f ca="1">IF(AND($D47&lt;&gt;0,_xlfn.XLOOKUP($B47,'TH_CMI GRADE 10'!$B$7:$B$49,'TH_CMI GRADE 10'!AH$7:AH$49,"",0,1)="P",
   _xlfn.XLOOKUP($B47,'TH_CMI GRADE 10'!$B$7:$B$49,'TH_CMI GRADE 10'!$AT$7:$AT$49,"",0,1)&lt;=TODAY()-MOD(WEEKDAY(TODAY(),2)-5,7)),$D47,0)</f>
        <v>0</v>
      </c>
      <c r="AZ97" s="67" t="e">
        <f ca="1">IF(AND($D47&lt;&gt;0,_xlfn.XLOOKUP($B47,'TH_CMI GRADE 10'!$B$7:$B$49,'TH_CMI GRADE 10'!AI$7:AI$49,"",0,1)="P",
   _xlfn.XLOOKUP($B47,'TH_CMI GRADE 10'!$B$7:$B$49,'TH_CMI GRADE 10'!#REF!,"",0,1)&lt;=TODAY()-MOD(WEEKDAY(TODAY(),2)-5,7)),$D47,0)</f>
        <v>#REF!</v>
      </c>
      <c r="BA97" s="65" t="e">
        <f ca="1">IF(AND($D47&lt;&gt;0,_xlfn.XLOOKUP($B47,'PW_MLG GRADE 10'!$B$7:$B$31,'PW_MLG GRADE 10'!R$7:R$31,"",0,1)="P",
   _xlfn.XLOOKUP($B47,'PW_MLG GRADE 10'!$B$7:$B$31,'PW_MLG GRADE 10'!#REF!,"",0,1)&lt;=TODAY()-MOD(WEEKDAY(TODAY(),2)-5,7)),$D47,0)</f>
        <v>#REF!</v>
      </c>
      <c r="BB97" s="65" t="e">
        <f ca="1">IF(AND($D47&lt;&gt;0,_xlfn.XLOOKUP($B47,'PW_MLG GRADE 10'!$B$7:$B$31,'PW_MLG GRADE 10'!S$7:S$31,"",0,1)="P",
   _xlfn.XLOOKUP($B47,'PW_MLG GRADE 10'!$B$7:$B$31,'PW_MLG GRADE 10'!#REF!,"",0,1)&lt;=TODAY()-MOD(WEEKDAY(TODAY(),2)-5,7)),$D47,0)</f>
        <v>#REF!</v>
      </c>
      <c r="BC97" s="65" t="e">
        <f ca="1">IF(AND($D47&lt;&gt;0,_xlfn.XLOOKUP($B47,'PW_MLG GRADE 10'!$B$7:$B$31,'PW_MLG GRADE 10'!T$7:T$31,"",0,1)="P",
   _xlfn.XLOOKUP($B47,'PW_MLG GRADE 10'!$B$7:$B$31,'PW_MLG GRADE 10'!#REF!,"",0,1)&lt;=TODAY()-MOD(WEEKDAY(TODAY(),2)-5,7)),$D47,0)</f>
        <v>#REF!</v>
      </c>
      <c r="BD97" s="65" t="e">
        <f ca="1">IF(AND($D47&lt;&gt;0,_xlfn.XLOOKUP($B47,'PW_MLG GRADE 10'!$B$7:$B$31,'PW_MLG GRADE 10'!AA$7:AA$31,"",0,1)="P",
   _xlfn.XLOOKUP($B47,'PW_MLG GRADE 10'!$B$7:$B$31,'PW_MLG GRADE 10'!#REF!,"",0,1)&lt;=TODAY()-MOD(WEEKDAY(TODAY(),2)-5,7)),$D47,0)</f>
        <v>#REF!</v>
      </c>
      <c r="BE97" s="65" t="e">
        <f ca="1">IF(AND($D47&lt;&gt;0,_xlfn.XLOOKUP($B47,'PW_MLG GRADE 10'!$B$7:$B$31,'PW_MLG GRADE 10'!AB$7:AB$31,"",0,1)="P",
   _xlfn.XLOOKUP($B47,'PW_MLG GRADE 10'!$B$7:$B$31,'PW_MLG GRADE 10'!#REF!,"",0,1)&lt;=TODAY()-MOD(WEEKDAY(TODAY(),2)-5,7)),$D47,0)</f>
        <v>#REF!</v>
      </c>
      <c r="BF97" s="65" t="e">
        <f ca="1">IF(AND($D47&lt;&gt;0,_xlfn.XLOOKUP($B47,'PW_MLG GRADE 10'!$B$7:$B$31,'PW_MLG GRADE 10'!AC$7:AC$31,"",0,1)="P",
   _xlfn.XLOOKUP($B47,'PW_MLG GRADE 10'!$B$7:$B$31,'PW_MLG GRADE 10'!#REF!,"",0,1)&lt;=TODAY()-MOD(WEEKDAY(TODAY(),2)-5,7)),$D47,0)</f>
        <v>#REF!</v>
      </c>
      <c r="BG97" s="65" t="e">
        <f ca="1">IF(AND($D47&lt;&gt;0,_xlfn.XLOOKUP($B47,'PW_MLG GRADE 10'!$B$7:$B$31,'PW_MLG GRADE 10'!AD$7:AD$31,"",0,1)="P",
   _xlfn.XLOOKUP($B47,'PW_MLG GRADE 10'!$B$7:$B$31,'PW_MLG GRADE 10'!#REF!,"",0,1)&lt;=TODAY()-MOD(WEEKDAY(TODAY(),2)-5,7)),$D47,0)</f>
        <v>#REF!</v>
      </c>
      <c r="BH97" s="65" t="e">
        <f ca="1">IF(AND($D47&lt;&gt;0,_xlfn.XLOOKUP($B47,'PW_MLG GRADE 10'!$B$7:$B$31,'PW_MLG GRADE 10'!AE$7:AE$31,"",0,1)="P",
   _xlfn.XLOOKUP($B47,'PW_MLG GRADE 10'!$B$7:$B$31,'PW_MLG GRADE 10'!#REF!,"",0,1)&lt;=TODAY()-MOD(WEEKDAY(TODAY(),2)-5,7)),$D47,0)</f>
        <v>#REF!</v>
      </c>
      <c r="BI97" s="65" t="e">
        <f ca="1">IF(AND($D47&lt;&gt;0,_xlfn.XLOOKUP($B47,'PW_MLG GRADE 10'!$B$7:$B$31,'PW_MLG GRADE 10'!AF$7:AF$31,"",0,1)="P",
   _xlfn.XLOOKUP($B47,'PW_MLG GRADE 10'!$B$7:$B$31,'PW_MLG GRADE 10'!#REF!,"",0,1)&lt;=TODAY()-MOD(WEEKDAY(TODAY(),2)-5,7)),$D47,0)</f>
        <v>#REF!</v>
      </c>
      <c r="BJ97" s="65" t="e">
        <f ca="1">IF(AND($D47&lt;&gt;0,_xlfn.XLOOKUP($B47,'PW_MLG GRADE 10'!$B$7:$B$31,'PW_MLG GRADE 10'!AG$7:AG$31,"",0,1)="P",
   _xlfn.XLOOKUP($B47,'PW_MLG GRADE 10'!$B$7:$B$31,'PW_MLG GRADE 10'!#REF!,"",0,1)&lt;=TODAY()-MOD(WEEKDAY(TODAY(),2)-5,7)),$D47,0)</f>
        <v>#REF!</v>
      </c>
      <c r="BK97" s="65" t="e">
        <f ca="1">IF(AND($D47&lt;&gt;0,_xlfn.XLOOKUP($B47,'PW_MLG GRADE 10'!$B$7:$B$31,'PW_MLG GRADE 10'!AH$7:AH$31,"",0,1)="P",
   _xlfn.XLOOKUP($B47,'PW_MLG GRADE 10'!$B$7:$B$31,'PW_MLG GRADE 10'!#REF!,"",0,1)&lt;=TODAY()-MOD(WEEKDAY(TODAY(),2)-5,7)),$D47,0)</f>
        <v>#REF!</v>
      </c>
      <c r="BL97" s="65" t="e">
        <f ca="1">IF(AND($D47&lt;&gt;0,_xlfn.XLOOKUP($B47,'PW_MLG GRADE 10'!$B$7:$B$31,'PW_MLG GRADE 10'!AI$7:AI$31,"",0,1)="P",
   _xlfn.XLOOKUP($B47,'PW_MLG GRADE 10'!$B$7:$B$31,'PW_MLG GRADE 10'!#REF!,"",0,1)&lt;=TODAY()-MOD(WEEKDAY(TODAY(),2)-5,7)),$D47,0)</f>
        <v>#REF!</v>
      </c>
      <c r="BM97" s="65" t="e">
        <f ca="1">IF(AND($D47&lt;&gt;0,_xlfn.XLOOKUP($B47,'PW_MLG GRADE 10'!$B$7:$B$31,'PW_MLG GRADE 10'!AJ$7:AJ$31,"",0,1)="P",
   _xlfn.XLOOKUP($B47,'PW_MLG GRADE 10'!$B$7:$B$31,'PW_MLG GRADE 10'!#REF!,"",0,1)&lt;=TODAY()-MOD(WEEKDAY(TODAY(),2)-5,7)),$D47,0)</f>
        <v>#REF!</v>
      </c>
      <c r="BN97" s="65" t="e">
        <f ca="1">IF(AND($D47&lt;&gt;0,_xlfn.XLOOKUP($B47,'PW_MLG GRADE 10'!$B$7:$B$31,'PW_MLG GRADE 10'!AK$7:AK$31,"",0,1)="P",
   _xlfn.XLOOKUP($B47,'PW_MLG GRADE 10'!$B$7:$B$31,'PW_MLG GRADE 10'!#REF!,"",0,1)&lt;=TODAY()-MOD(WEEKDAY(TODAY(),2)-5,7)),$D47,0)</f>
        <v>#REF!</v>
      </c>
      <c r="BO97" s="65" t="e">
        <f ca="1">IF(AND($D47&lt;&gt;0,_xlfn.XLOOKUP($B47,'PW_MLG GRADE 10'!$B$7:$B$31,'PW_MLG GRADE 10'!AL$7:AL$31,"",0,1)="P",
   _xlfn.XLOOKUP($B47,'PW_MLG GRADE 10'!$B$7:$B$31,'PW_MLG GRADE 10'!#REF!,"",0,1)&lt;=TODAY()-MOD(WEEKDAY(TODAY(),2)-5,7)),$D47,0)</f>
        <v>#REF!</v>
      </c>
      <c r="BP97" s="65" t="e">
        <f ca="1">IF(AND($D47&lt;&gt;0,_xlfn.XLOOKUP($B47,'PW_MLG GRADE 10'!$B$7:$B$31,'PW_MLG GRADE 10'!AM$7:AM$31,"",0,1)="P",
   _xlfn.XLOOKUP($B47,'PW_MLG GRADE 10'!$B$7:$B$31,'PW_MLG GRADE 10'!#REF!,"",0,1)&lt;=TODAY()-MOD(WEEKDAY(TODAY(),2)-5,7)),$D47,0)</f>
        <v>#REF!</v>
      </c>
      <c r="BQ97" s="65" t="e">
        <f ca="1">IF(AND($D47&lt;&gt;0,_xlfn.XLOOKUP($B47,'PW_MLG GRADE 10'!$B$7:$B$31,'PW_MLG GRADE 10'!AN$7:AN$31,"",0,1)="P",
   _xlfn.XLOOKUP($B47,'PW_MLG GRADE 10'!$B$7:$B$31,'PW_MLG GRADE 10'!#REF!,"",0,1)&lt;=TODAY()-MOD(WEEKDAY(TODAY(),2)-5,7)),$D47,0)</f>
        <v>#REF!</v>
      </c>
      <c r="BR97" s="65" t="e">
        <f ca="1">IF(AND($D47&lt;&gt;0,_xlfn.XLOOKUP($B47,'PW_MLG GRADE 10'!$B$7:$B$31,'PW_MLG GRADE 10'!AO$7:AO$31,"",0,1)="P",
   _xlfn.XLOOKUP($B47,'PW_MLG GRADE 10'!$B$7:$B$31,'PW_MLG GRADE 10'!#REF!,"",0,1)&lt;=TODAY()-MOD(WEEKDAY(TODAY(),2)-5,7)),$D47,0)</f>
        <v>#REF!</v>
      </c>
      <c r="BS97" s="65" t="e">
        <f ca="1">IF(AND($D47&lt;&gt;0,_xlfn.XLOOKUP($B47,'PW_MLG GRADE 10'!$B$7:$B$31,'PW_MLG GRADE 10'!AP$7:AP$31,"",0,1)="P",
   _xlfn.XLOOKUP($B47,'PW_MLG GRADE 10'!$B$7:$B$31,'PW_MLG GRADE 10'!#REF!,"",0,1)&lt;=TODAY()-MOD(WEEKDAY(TODAY(),2)-5,7)),$D47,0)</f>
        <v>#REF!</v>
      </c>
      <c r="BT97" s="65" t="e">
        <f ca="1">IF(AND($D47&lt;&gt;0,_xlfn.XLOOKUP($B47,'PW_MLG GRADE 10'!$B$7:$B$31,'PW_MLG GRADE 10'!AQ$7:AQ$31,"",0,1)="P",
   _xlfn.XLOOKUP($B47,'PW_MLG GRADE 10'!$B$7:$B$31,'PW_MLG GRADE 10'!#REF!,"",0,1)&lt;=TODAY()-MOD(WEEKDAY(TODAY(),2)-5,7)),$D47,0)</f>
        <v>#REF!</v>
      </c>
      <c r="BU97" s="65" t="e">
        <f ca="1">IF(AND($D47&lt;&gt;0,_xlfn.XLOOKUP($B47,'PW_MLG GRADE 10'!$B$7:$B$31,'PW_MLG GRADE 10'!AR$7:AR$31,"",0,1)="P",
   _xlfn.XLOOKUP($B47,'PW_MLG GRADE 10'!$B$7:$B$31,'PW_MLG GRADE 10'!#REF!,"",0,1)&lt;=TODAY()-MOD(WEEKDAY(TODAY(),2)-5,7)),$D47,0)</f>
        <v>#REF!</v>
      </c>
      <c r="BV97" s="65" t="e">
        <f ca="1">IF(AND($D47&lt;&gt;0,_xlfn.XLOOKUP($B47,'PW_MLG GRADE 10'!$B$7:$B$31,'PW_MLG GRADE 10'!AY$7:AY$31,"",0,1)="P",
   _xlfn.XLOOKUP($B47,'PW_MLG GRADE 10'!$B$7:$B$31,'PW_MLG GRADE 10'!#REF!,"",0,1)&lt;=TODAY()-MOD(WEEKDAY(TODAY(),2)-5,7)),$D47,0)</f>
        <v>#REF!</v>
      </c>
      <c r="BW97" s="65" t="e">
        <f ca="1">IF(AND($D47&lt;&gt;0,_xlfn.XLOOKUP($B47,'PW_MLG GRADE 10'!$B$7:$B$31,'PW_MLG GRADE 10'!AZ$7:AZ$31,"",0,1)="P",
   _xlfn.XLOOKUP($B47,'PW_MLG GRADE 10'!$B$7:$B$31,'PW_MLG GRADE 10'!#REF!,"",0,1)&lt;=TODAY()-MOD(WEEKDAY(TODAY(),2)-5,7)),$D47,0)</f>
        <v>#REF!</v>
      </c>
      <c r="BX97" s="65" t="e">
        <f ca="1">IF(AND($D47&lt;&gt;0,_xlfn.XLOOKUP($B47,'PW_MLG GRADE 10'!$B$7:$B$31,'PW_MLG GRADE 10'!BA$7:BA$31,"",0,1)="P",
   _xlfn.XLOOKUP($B47,'PW_MLG GRADE 10'!$B$7:$B$31,'PW_MLG GRADE 10'!#REF!,"",0,1)&lt;=TODAY()-MOD(WEEKDAY(TODAY(),2)-5,7)),$D47,0)</f>
        <v>#REF!</v>
      </c>
      <c r="BY97" s="65" t="e">
        <f ca="1">IF(AND($D47&lt;&gt;0,_xlfn.XLOOKUP($B47,'PW_MLG GRADE 10'!$B$7:$B$31,'PW_MLG GRADE 10'!BB$7:BB$31,"",0,1)="P",
   _xlfn.XLOOKUP($B47,'PW_MLG GRADE 10'!$B$7:$B$31,'PW_MLG GRADE 10'!#REF!,"",0,1)&lt;=TODAY()-MOD(WEEKDAY(TODAY(),2)-5,7)),$D47,0)</f>
        <v>#REF!</v>
      </c>
      <c r="BZ97" s="65" t="e">
        <f ca="1">IF(AND($D47&lt;&gt;0,_xlfn.XLOOKUP($B47,'PW_MLG GRADE 10'!$B$7:$B$31,'PW_MLG GRADE 10'!BC$7:BC$31,"",0,1)="P",
   _xlfn.XLOOKUP($B47,'PW_MLG GRADE 10'!$B$7:$B$31,'PW_MLG GRADE 10'!#REF!,"",0,1)&lt;=TODAY()-MOD(WEEKDAY(TODAY(),2)-5,7)),$D47,0)</f>
        <v>#REF!</v>
      </c>
      <c r="CA97" s="65" t="e">
        <f ca="1">IF(AND($D47&lt;&gt;0,_xlfn.XLOOKUP($B47,'PW_MLG GRADE 10'!$B$7:$B$31,'PW_MLG GRADE 10'!BD$7:BD$31,"",0,1)="P",
   _xlfn.XLOOKUP($B47,'PW_MLG GRADE 10'!$B$7:$B$31,'PW_MLG GRADE 10'!#REF!,"",0,1)&lt;=TODAY()-MOD(WEEKDAY(TODAY(),2)-5,7)),$D47,0)</f>
        <v>#REF!</v>
      </c>
      <c r="CB97" s="65" t="e">
        <f ca="1">IF(AND($D47&lt;&gt;0,_xlfn.XLOOKUP($B47,'PW_MLG GRADE 10'!$B$7:$B$31,'PW_MLG GRADE 10'!BE$7:BE$31,"",0,1)="P",
   _xlfn.XLOOKUP($B47,'PW_MLG GRADE 10'!$B$7:$B$31,'PW_MLG GRADE 10'!#REF!,"",0,1)&lt;=TODAY()-MOD(WEEKDAY(TODAY(),2)-5,7)),$D47,0)</f>
        <v>#REF!</v>
      </c>
      <c r="CC97" s="65" t="e">
        <f ca="1">IF(AND($D47&lt;&gt;0,_xlfn.XLOOKUP($B47,'PW_MLG GRADE 10'!$B$7:$B$31,'PW_MLG GRADE 10'!BF$7:BF$31,"",0,1)="P",
   _xlfn.XLOOKUP($B47,'PW_MLG GRADE 10'!$B$7:$B$31,'PW_MLG GRADE 10'!#REF!,"",0,1)&lt;=TODAY()-MOD(WEEKDAY(TODAY(),2)-5,7)),$D47,0)</f>
        <v>#REF!</v>
      </c>
      <c r="CD97" s="65" t="e">
        <f ca="1">IF(AND($D47&lt;&gt;0,_xlfn.XLOOKUP($B47,'PW_MLG GRADE 10'!$B$7:$B$31,'PW_MLG GRADE 10'!BG$7:BG$31,"",0,1)="P",
   _xlfn.XLOOKUP($B47,'PW_MLG GRADE 10'!$B$7:$B$31,'PW_MLG GRADE 10'!#REF!,"",0,1)&lt;=TODAY()-MOD(WEEKDAY(TODAY(),2)-5,7)),$D47,0)</f>
        <v>#REF!</v>
      </c>
      <c r="CE97" s="67">
        <f ca="1">IF(AND($D47&lt;&gt;0,_xlfn.XLOOKUP($B47,'PW_CMI GRADE 10'!$B$7:$B$31,'PW_CMI GRADE 10'!AY$7:AY$31,"",0,1)="P",
   _xlfn.XLOOKUP($B47,'PW_CMI GRADE 10'!$B$7:$B$31,'PW_CMI GRADE 10'!$U$7:$U$31,"",0,1)&lt;=TODAY()-MOD(WEEKDAY(TODAY(),2)-5,7)),$D47,0)</f>
        <v>0</v>
      </c>
      <c r="CF97" s="67">
        <f ca="1">IF(AND($D47&lt;&gt;0,_xlfn.XLOOKUP($B47,'PW_CMI GRADE 10'!$B$7:$B$31,'PW_CMI GRADE 10'!AZ$7:AZ$31,"",0,1)="P",
   _xlfn.XLOOKUP($B47,'PW_CMI GRADE 10'!$B$7:$B$31,'PW_CMI GRADE 10'!$V$7:$V$31,"",0,1)&lt;=TODAY()-MOD(WEEKDAY(TODAY(),2)-5,7)),$D47,0)</f>
        <v>0</v>
      </c>
      <c r="CG97" s="67">
        <f ca="1">IF(AND($D47&lt;&gt;0,_xlfn.XLOOKUP($B47,'PW_CMI GRADE 10'!$B$7:$B$31,'PW_CMI GRADE 10'!BA$7:BA$31,"",0,1)="P",
   _xlfn.XLOOKUP($B47,'PW_CMI GRADE 10'!$B$7:$B$31,'PW_CMI GRADE 10'!$W$7:$W$31,"",0,1)&lt;=TODAY()-MOD(WEEKDAY(TODAY(),2)-5,7)),$D47,0)</f>
        <v>0</v>
      </c>
      <c r="CH97" s="67">
        <f ca="1">IF(AND($D47&lt;&gt;0,_xlfn.XLOOKUP($B47,'PW_CMI GRADE 10'!$B$7:$B$31,'PW_CMI GRADE 10'!BB$7:BB$31,"",0,1)="P",
   _xlfn.XLOOKUP($B47,'PW_CMI GRADE 10'!$B$7:$B$31,'PW_CMI GRADE 10'!$U$7:$U$31,"",0,1)&lt;=TODAY()-MOD(WEEKDAY(TODAY(),2)-5,7)),$D47,0)</f>
        <v>0</v>
      </c>
      <c r="CI97" s="67">
        <f ca="1">IF(AND($D47&lt;&gt;0,_xlfn.XLOOKUP($B47,'PW_CMI GRADE 10'!$B$7:$B$31,'PW_CMI GRADE 10'!BC$7:BC$31,"",0,1)="P",
   _xlfn.XLOOKUP($B47,'PW_CMI GRADE 10'!$B$7:$B$31,'PW_CMI GRADE 10'!$V$7:$V$31,"",0,1)&lt;=TODAY()-MOD(WEEKDAY(TODAY(),2)-5,7)),$D47,0)</f>
        <v>0</v>
      </c>
      <c r="CJ97" s="67">
        <f ca="1">IF(AND($D47&lt;&gt;0,_xlfn.XLOOKUP($B47,'PW_CMI GRADE 10'!$B$7:$B$31,'PW_CMI GRADE 10'!BD$7:BD$31,"",0,1)="P",
   _xlfn.XLOOKUP($B47,'PW_CMI GRADE 10'!$B$7:$B$31,'PW_CMI GRADE 10'!$W$7:$W$31,"",0,1)&lt;=TODAY()-MOD(WEEKDAY(TODAY(),2)-5,7)),$D47,0)</f>
        <v>0</v>
      </c>
      <c r="CK97" s="67">
        <f ca="1">IF(AND($D47&lt;&gt;0,_xlfn.XLOOKUP($B47,'PW_CMI GRADE 10'!$B$7:$B$31,'PW_CMI GRADE 10'!BE$7:BE$31,"",0,1)="P",
   _xlfn.XLOOKUP($B47,'PW_CMI GRADE 10'!$B$7:$B$31,'PW_CMI GRADE 10'!$U$7:$U$31,"",0,1)&lt;=TODAY()-MOD(WEEKDAY(TODAY(),2)-5,7)),$D47,0)</f>
        <v>0</v>
      </c>
      <c r="CL97" s="67">
        <f ca="1">IF(AND($D47&lt;&gt;0,_xlfn.XLOOKUP($B47,'PW_CMI GRADE 10'!$B$7:$B$31,'PW_CMI GRADE 10'!BF$7:BF$31,"",0,1)="P",
   _xlfn.XLOOKUP($B47,'PW_CMI GRADE 10'!$B$7:$B$31,'PW_CMI GRADE 10'!$V$7:$V$31,"",0,1)&lt;=TODAY()-MOD(WEEKDAY(TODAY(),2)-5,7)),$D47,0)</f>
        <v>0</v>
      </c>
      <c r="CM97" s="67">
        <f ca="1">IF(AND($D47&lt;&gt;0,_xlfn.XLOOKUP($B47,'PW_CMI GRADE 10'!$B$7:$B$31,'PW_CMI GRADE 10'!BG$7:BG$31,"",0,1)="P",
   _xlfn.XLOOKUP($B47,'PW_CMI GRADE 10'!$B$7:$B$31,'PW_CMI GRADE 10'!$W$7:$W$31,"",0,1)&lt;=TODAY()-MOD(WEEKDAY(TODAY(),2)-5,7)),$D47,0)</f>
        <v>0</v>
      </c>
      <c r="CN97" s="67">
        <f ca="1">IF(AND($D47&lt;&gt;0,_xlfn.XLOOKUP($B47,'PW_CMI GRADE 10'!$B$7:$B$31,'PW_CMI GRADE 10'!BH$7:BH$31,"",0,1)="P",
   _xlfn.XLOOKUP($B47,'PW_CMI GRADE 10'!$B$7:$B$31,'PW_CMI GRADE 10'!$U$7:$U$31,"",0,1)&lt;=TODAY()-MOD(WEEKDAY(TODAY(),2)-5,7)),$D47,0)</f>
        <v>0</v>
      </c>
      <c r="CO97" s="67">
        <f ca="1">IF(AND($D47&lt;&gt;0,_xlfn.XLOOKUP($B47,'PW_CMI GRADE 10'!$B$7:$B$31,'PW_CMI GRADE 10'!BI$7:BI$31,"",0,1)="P",
   _xlfn.XLOOKUP($B47,'PW_CMI GRADE 10'!$B$7:$B$31,'PW_CMI GRADE 10'!$V$7:$V$31,"",0,1)&lt;=TODAY()-MOD(WEEKDAY(TODAY(),2)-5,7)),$D47,0)</f>
        <v>0</v>
      </c>
      <c r="CP97" s="67">
        <f ca="1">IF(AND($D47&lt;&gt;0,_xlfn.XLOOKUP($B47,'PW_CMI GRADE 10'!$B$7:$B$31,'PW_CMI GRADE 10'!BJ$7:BJ$31,"",0,1)="P",
   _xlfn.XLOOKUP($B47,'PW_CMI GRADE 10'!$B$7:$B$31,'PW_CMI GRADE 10'!$W$7:$W$31,"",0,1)&lt;=TODAY()-MOD(WEEKDAY(TODAY(),2)-5,7)),$D47,0)</f>
        <v>0</v>
      </c>
      <c r="CQ97" s="67">
        <f ca="1">IF(AND($D47&lt;&gt;0,_xlfn.XLOOKUP($B47,'PW_CMI GRADE 10'!$B$7:$B$31,'PW_CMI GRADE 10'!BK$7:BK$31,"",0,1)="P",
   _xlfn.XLOOKUP($B47,'PW_CMI GRADE 10'!$B$7:$B$31,'PW_CMI GRADE 10'!$U$7:$U$31,"",0,1)&lt;=TODAY()-MOD(WEEKDAY(TODAY(),2)-5,7)),$D47,0)</f>
        <v>0</v>
      </c>
      <c r="CR97" s="67">
        <f ca="1">IF(AND($D47&lt;&gt;0,_xlfn.XLOOKUP($B47,'PW_CMI GRADE 10'!$B$7:$B$31,'PW_CMI GRADE 10'!BL$7:BL$31,"",0,1)="P",
   _xlfn.XLOOKUP($B47,'PW_CMI GRADE 10'!$B$7:$B$31,'PW_CMI GRADE 10'!$V$7:$V$31,"",0,1)&lt;=TODAY()-MOD(WEEKDAY(TODAY(),2)-5,7)),$D47,0)</f>
        <v>0</v>
      </c>
      <c r="CS97" s="67">
        <f ca="1">IF(AND($D47&lt;&gt;0,_xlfn.XLOOKUP($B47,'PW_CMI GRADE 10'!$B$7:$B$31,'PW_CMI GRADE 10'!BM$7:BM$31,"",0,1)="P",
   _xlfn.XLOOKUP($B47,'PW_CMI GRADE 10'!$B$7:$B$31,'PW_CMI GRADE 10'!$W$7:$W$31,"",0,1)&lt;=TODAY()-MOD(WEEKDAY(TODAY(),2)-5,7)),$D47,0)</f>
        <v>0</v>
      </c>
      <c r="CT97" s="67">
        <f ca="1">IF(AND($D47&lt;&gt;0,_xlfn.XLOOKUP($B47,'PW_CMI GRADE 10'!$B$7:$B$31,'PW_CMI GRADE 10'!BN$7:BN$31,"",0,1)="P",
   _xlfn.XLOOKUP($B47,'PW_CMI GRADE 10'!$B$7:$B$31,'PW_CMI GRADE 10'!$U$7:$U$31,"",0,1)&lt;=TODAY()-MOD(WEEKDAY(TODAY(),2)-5,7)),$D47,0)</f>
        <v>0</v>
      </c>
      <c r="CU97" s="67">
        <f ca="1">IF(AND($D47&lt;&gt;0,_xlfn.XLOOKUP($B47,'PW_CMI GRADE 10'!$B$7:$B$31,'PW_CMI GRADE 10'!BO$7:BO$31,"",0,1)="P",
   _xlfn.XLOOKUP($B47,'PW_CMI GRADE 10'!$B$7:$B$31,'PW_CMI GRADE 10'!$V$7:$V$31,"",0,1)&lt;=TODAY()-MOD(WEEKDAY(TODAY(),2)-5,7)),$D47,0)</f>
        <v>0</v>
      </c>
      <c r="CV97" s="67">
        <f ca="1">IF(AND($D47&lt;&gt;0,_xlfn.XLOOKUP($B47,'PW_CMI GRADE 10'!$B$7:$B$31,'PW_CMI GRADE 10'!BP$7:BP$31,"",0,1)="P",
   _xlfn.XLOOKUP($B47,'PW_CMI GRADE 10'!$B$7:$B$31,'PW_CMI GRADE 10'!$W$7:$W$31,"",0,1)&lt;=TODAY()-MOD(WEEKDAY(TODAY(),2)-5,7)),$D47,0)</f>
        <v>0</v>
      </c>
      <c r="CW97" s="62" t="e">
        <f t="shared" ca="1" si="132"/>
        <v>#REF!</v>
      </c>
      <c r="CX97" s="62" t="e">
        <f t="shared" ca="1" si="69"/>
        <v>#REF!</v>
      </c>
      <c r="CY97" s="62" t="e">
        <f t="shared" ca="1" si="70"/>
        <v>#REF!</v>
      </c>
      <c r="CZ97" s="62" t="e">
        <f t="shared" ca="1" si="71"/>
        <v>#REF!</v>
      </c>
      <c r="DA97" s="62" t="e">
        <f t="shared" ca="1" si="72"/>
        <v>#REF!</v>
      </c>
      <c r="DB97" s="62" t="e">
        <f t="shared" ca="1" si="73"/>
        <v>#REF!</v>
      </c>
      <c r="DC97" s="62" t="e">
        <f t="shared" ca="1" si="74"/>
        <v>#REF!</v>
      </c>
      <c r="DD97" s="62" t="e">
        <f t="shared" ca="1" si="75"/>
        <v>#REF!</v>
      </c>
      <c r="DE97" s="62" t="e">
        <f t="shared" ca="1" si="76"/>
        <v>#REF!</v>
      </c>
      <c r="DF97" s="62" t="e">
        <f t="shared" ca="1" si="77"/>
        <v>#REF!</v>
      </c>
      <c r="DG97" s="62" t="e">
        <f t="shared" ca="1" si="78"/>
        <v>#REF!</v>
      </c>
      <c r="DH97" s="62" t="e">
        <f t="shared" ca="1" si="79"/>
        <v>#REF!</v>
      </c>
      <c r="DI97" s="62" t="e">
        <f t="shared" ca="1" si="80"/>
        <v>#REF!</v>
      </c>
      <c r="DJ97" s="62" t="e">
        <f t="shared" ca="1" si="81"/>
        <v>#REF!</v>
      </c>
      <c r="DK97" s="62" t="e">
        <f t="shared" ca="1" si="82"/>
        <v>#REF!</v>
      </c>
      <c r="DL97" s="62" t="e">
        <f t="shared" ca="1" si="83"/>
        <v>#REF!</v>
      </c>
      <c r="DM97" s="62" t="e">
        <f t="shared" ca="1" si="84"/>
        <v>#REF!</v>
      </c>
      <c r="DN97" s="62" t="e">
        <f t="shared" ca="1" si="85"/>
        <v>#REF!</v>
      </c>
      <c r="DO97" s="62" t="e">
        <f t="shared" ca="1" si="86"/>
        <v>#REF!</v>
      </c>
      <c r="DP97" s="62" t="e">
        <f t="shared" ca="1" si="87"/>
        <v>#REF!</v>
      </c>
      <c r="DQ97" s="62" t="e">
        <f t="shared" ca="1" si="88"/>
        <v>#REF!</v>
      </c>
      <c r="DR97" s="62" t="e">
        <f t="shared" ca="1" si="89"/>
        <v>#REF!</v>
      </c>
      <c r="DS97" s="62" t="e">
        <f t="shared" ca="1" si="90"/>
        <v>#REF!</v>
      </c>
      <c r="DT97" s="62" t="e">
        <f t="shared" ca="1" si="91"/>
        <v>#REF!</v>
      </c>
      <c r="DU97" s="62" t="e">
        <f t="shared" ca="1" si="92"/>
        <v>#REF!</v>
      </c>
      <c r="DV97" s="62" t="e">
        <f t="shared" ca="1" si="93"/>
        <v>#REF!</v>
      </c>
      <c r="DW97" s="62" t="e">
        <f t="shared" ca="1" si="94"/>
        <v>#REF!</v>
      </c>
      <c r="DX97" s="62" t="e">
        <f t="shared" ca="1" si="95"/>
        <v>#REF!</v>
      </c>
      <c r="DY97" s="62" t="e">
        <f t="shared" ca="1" si="96"/>
        <v>#REF!</v>
      </c>
      <c r="DZ97" s="62" t="e">
        <f t="shared" ca="1" si="97"/>
        <v>#REF!</v>
      </c>
      <c r="EA97" s="63" t="e">
        <f t="shared" ca="1" si="98"/>
        <v>#REF!</v>
      </c>
      <c r="EB97" s="63" t="e">
        <f t="shared" ca="1" si="99"/>
        <v>#REF!</v>
      </c>
      <c r="EC97" s="63" t="e">
        <f t="shared" ca="1" si="100"/>
        <v>#REF!</v>
      </c>
      <c r="ED97" s="63" t="e">
        <f t="shared" ca="1" si="101"/>
        <v>#REF!</v>
      </c>
      <c r="EE97" s="63" t="e">
        <f t="shared" ca="1" si="102"/>
        <v>#REF!</v>
      </c>
      <c r="EF97" s="63" t="e">
        <f t="shared" ca="1" si="103"/>
        <v>#REF!</v>
      </c>
      <c r="EG97" s="63" t="e">
        <f t="shared" ca="1" si="104"/>
        <v>#REF!</v>
      </c>
      <c r="EH97" s="63" t="e">
        <f t="shared" ca="1" si="105"/>
        <v>#REF!</v>
      </c>
      <c r="EI97" s="63" t="e">
        <f t="shared" ca="1" si="106"/>
        <v>#REF!</v>
      </c>
      <c r="EJ97" s="63" t="e">
        <f t="shared" ca="1" si="107"/>
        <v>#REF!</v>
      </c>
      <c r="EK97" s="63" t="e">
        <f t="shared" ca="1" si="108"/>
        <v>#REF!</v>
      </c>
      <c r="EL97" s="63" t="e">
        <f t="shared" ca="1" si="109"/>
        <v>#REF!</v>
      </c>
      <c r="EM97" s="63" t="e">
        <f t="shared" ca="1" si="110"/>
        <v>#REF!</v>
      </c>
      <c r="EN97" s="63" t="e">
        <f t="shared" ca="1" si="111"/>
        <v>#REF!</v>
      </c>
      <c r="EO97" s="63" t="e">
        <f t="shared" ca="1" si="112"/>
        <v>#REF!</v>
      </c>
      <c r="EP97" s="63" t="e">
        <f t="shared" ca="1" si="113"/>
        <v>#REF!</v>
      </c>
    </row>
    <row r="98" spans="1:146">
      <c r="A98" s="64" t="str">
        <f t="shared" si="131"/>
        <v>7A.1</v>
      </c>
      <c r="B98" s="64" t="s">
        <v>79</v>
      </c>
      <c r="C98" s="29"/>
      <c r="D98" s="29">
        <v>2</v>
      </c>
      <c r="E98" s="65">
        <f ca="1">IF(AND($D48&lt;&gt;0,_xlfn.XLOOKUP($B48,'TH_MLG GRADE 10'!$B$7:$B$49,'TH_MLG GRADE 10'!C$7:C$49,"",0,1)="P",
   _xlfn.XLOOKUP($B48,'TH_MLG GRADE 10'!$B$7:$B$49,'TH_MLG GRADE 10'!$BK$7:$BK$49,"",0,1)&lt;=TODAY()-MOD(WEEKDAY(TODAY(),2)-5,7)),$D48,0)</f>
        <v>0</v>
      </c>
      <c r="F98" s="65">
        <f ca="1">IF(AND($D48&lt;&gt;0,_xlfn.XLOOKUP($B48,'TH_MLG GRADE 10'!$B$7:$B$49,'TH_MLG GRADE 10'!D$7:D$49,"",0,1)="P",
   _xlfn.XLOOKUP($B48,'TH_MLG GRADE 10'!$B$7:$B$49,'TH_MLG GRADE 10'!$BL$7:$BL$49,"",0,1)&lt;=TODAY()-MOD(WEEKDAY(TODAY(),2)-5,7)),$D48,0)</f>
        <v>0</v>
      </c>
      <c r="G98" s="65">
        <f ca="1">IF(AND($D48&lt;&gt;0,_xlfn.XLOOKUP($B48,'TH_MLG GRADE 10'!$B$7:$B$49,'TH_MLG GRADE 10'!E$7:E$49,"",0,1)="P",
   _xlfn.XLOOKUP($B48,'TH_MLG GRADE 10'!$B$7:$B$49,'TH_MLG GRADE 10'!$BM$7:$BM$49,"",0,1)&lt;=TODAY()-MOD(WEEKDAY(TODAY(),2)-5,7)),$D48,0)</f>
        <v>0</v>
      </c>
      <c r="H98" s="65">
        <f ca="1">IF(AND($D48&lt;&gt;0,_xlfn.XLOOKUP($B48,'TH_MLG GRADE 10'!$B$7:$B$49,'TH_MLG GRADE 10'!I$7:I$49,"",0,1)="P",
   _xlfn.XLOOKUP($B48,'TH_MLG GRADE 10'!$B$7:$B$49,'TH_MLG GRADE 10'!$BK$7:$BK$49,"",0,1)&lt;=TODAY()-MOD(WEEKDAY(TODAY(),2)-5,7)),$D48,0)</f>
        <v>0</v>
      </c>
      <c r="I98" s="65">
        <f ca="1">IF(AND($D48&lt;&gt;0,_xlfn.XLOOKUP($B48,'TH_MLG GRADE 10'!$B$7:$B$49,'TH_MLG GRADE 10'!J$7:J$49,"",0,1)="P",
   _xlfn.XLOOKUP($B48,'TH_MLG GRADE 10'!$B$7:$B$49,'TH_MLG GRADE 10'!$BL$7:$BL$49,"",0,1)&lt;=TODAY()-MOD(WEEKDAY(TODAY(),2)-5,7)),$D48,0)</f>
        <v>0</v>
      </c>
      <c r="J98" s="65">
        <f ca="1">IF(AND($D48&lt;&gt;0,_xlfn.XLOOKUP($B48,'TH_MLG GRADE 10'!$B$7:$B$49,'TH_MLG GRADE 10'!K$7:K$49,"",0,1)="P",
   _xlfn.XLOOKUP($B48,'TH_MLG GRADE 10'!$B$7:$B$49,'TH_MLG GRADE 10'!$BM$7:$BM$49,"",0,1)&lt;=TODAY()-MOD(WEEKDAY(TODAY(),2)-5,7)),$D48,0)</f>
        <v>0</v>
      </c>
      <c r="K98" s="65">
        <f ca="1">IF(AND($D48&lt;&gt;0,_xlfn.XLOOKUP($B48,'TH_MLG GRADE 10'!$B$7:$B$49,'TH_MLG GRADE 10'!O$7:O$49,"",0,1)="P",
   _xlfn.XLOOKUP($B48,'TH_MLG GRADE 10'!$B$7:$B$49,'TH_MLG GRADE 10'!$BK$7:$BK$49,"",0,1)&lt;=TODAY()-MOD(WEEKDAY(TODAY(),2)-5,7)),$D48,0)</f>
        <v>0</v>
      </c>
      <c r="L98" s="65">
        <f ca="1">IF(AND($D48&lt;&gt;0,_xlfn.XLOOKUP($B48,'TH_MLG GRADE 10'!$B$7:$B$49,'TH_MLG GRADE 10'!P$7:P$49,"",0,1)="P",
   _xlfn.XLOOKUP($B48,'TH_MLG GRADE 10'!$B$7:$B$49,'TH_MLG GRADE 10'!$BL$7:$BL$49,"",0,1)&lt;=TODAY()-MOD(WEEKDAY(TODAY(),2)-5,7)),$D48,0)</f>
        <v>0</v>
      </c>
      <c r="M98" s="65">
        <f ca="1">IF(AND($D48&lt;&gt;0,_xlfn.XLOOKUP($B48,'TH_MLG GRADE 10'!$B$7:$B$49,'TH_MLG GRADE 10'!Q$7:Q$49,"",0,1)="P",
   _xlfn.XLOOKUP($B48,'TH_MLG GRADE 10'!$B$7:$B$49,'TH_MLG GRADE 10'!$BM$7:$BM$49,"",0,1)&lt;=TODAY()-MOD(WEEKDAY(TODAY(),2)-5,7)),$D48,0)</f>
        <v>0</v>
      </c>
      <c r="N98" s="65">
        <f ca="1">IF(AND($D48&lt;&gt;0,_xlfn.XLOOKUP($B48,'TH_MLG GRADE 10'!$B$7:$B$49,'TH_MLG GRADE 10'!AA$7:AA$49,"",0,1)="P",
   _xlfn.XLOOKUP($B48,'TH_MLG GRADE 10'!$B$7:$B$49,'TH_MLG GRADE 10'!$BK$7:$BK$49,"",0,1)&lt;=TODAY()-MOD(WEEKDAY(TODAY(),2)-5,7)),$D48,0)</f>
        <v>0</v>
      </c>
      <c r="O98" s="65">
        <f ca="1">IF(AND($D48&lt;&gt;0,_xlfn.XLOOKUP($B48,'TH_MLG GRADE 10'!$B$7:$B$49,'TH_MLG GRADE 10'!AB$7:AB$49,"",0,1)="P",
   _xlfn.XLOOKUP($B48,'TH_MLG GRADE 10'!$B$7:$B$49,'TH_MLG GRADE 10'!$BL$7:$BL$49,"",0,1)&lt;=TODAY()-MOD(WEEKDAY(TODAY(),2)-5,7)),$D48,0)</f>
        <v>0</v>
      </c>
      <c r="P98" s="65">
        <f ca="1">IF(AND($D48&lt;&gt;0,_xlfn.XLOOKUP($B48,'TH_MLG GRADE 10'!$B$7:$B$49,'TH_MLG GRADE 10'!AC$7:AC$49,"",0,1)="P",
   _xlfn.XLOOKUP($B48,'TH_MLG GRADE 10'!$B$7:$B$49,'TH_MLG GRADE 10'!$BM$7:$BM$49,"",0,1)&lt;=TODAY()-MOD(WEEKDAY(TODAY(),2)-5,7)),$D48,0)</f>
        <v>0</v>
      </c>
      <c r="Q98" s="65">
        <f ca="1">IF(AND($D48&lt;&gt;0,_xlfn.XLOOKUP($B48,'TH_MLG GRADE 10'!$B$7:$B$49,'TH_MLG GRADE 10'!AG$7:AG$49,"",0,1)="P",
   _xlfn.XLOOKUP($B48,'TH_MLG GRADE 10'!$B$7:$B$49,'TH_MLG GRADE 10'!$BK$7:$BK$49,"",0,1)&lt;=TODAY()-MOD(WEEKDAY(TODAY(),2)-5,7)),$D48,0)</f>
        <v>0</v>
      </c>
      <c r="R98" s="65">
        <f ca="1">IF(AND($D48&lt;&gt;0,_xlfn.XLOOKUP($B48,'TH_MLG GRADE 10'!$B$7:$B$49,'TH_MLG GRADE 10'!AH$7:AH$49,"",0,1)="P",
   _xlfn.XLOOKUP($B48,'TH_MLG GRADE 10'!$B$7:$B$49,'TH_MLG GRADE 10'!$BL$7:$BL$49,"",0,1)&lt;=TODAY()-MOD(WEEKDAY(TODAY(),2)-5,7)),$D48,0)</f>
        <v>0</v>
      </c>
      <c r="S98" s="65">
        <f ca="1">IF(AND($D48&lt;&gt;0,_xlfn.XLOOKUP($B48,'TH_MLG GRADE 10'!$B$7:$B$49,'TH_MLG GRADE 10'!AI$7:AI$49,"",0,1)="P",
   _xlfn.XLOOKUP($B48,'TH_MLG GRADE 10'!$B$7:$B$49,'TH_MLG GRADE 10'!$BM$7:$BM$49,"",0,1)&lt;=TODAY()-MOD(WEEKDAY(TODAY(),2)-5,7)),$D48,0)</f>
        <v>0</v>
      </c>
      <c r="T98" s="65">
        <f ca="1">IF(AND($D48&lt;&gt;0,_xlfn.XLOOKUP($B48,'TH_MLG GRADE 10'!$B$7:$B$49,'TH_MLG GRADE 10'!AM$7:AM$49,"",0,1)="P",
   _xlfn.XLOOKUP($B48,'TH_MLG GRADE 10'!$B$7:$B$49,'TH_MLG GRADE 10'!$BK$7:$BK$49,"",0,1)&lt;=TODAY()-MOD(WEEKDAY(TODAY(),2)-5,7)),$D48,0)</f>
        <v>2</v>
      </c>
      <c r="U98" s="65">
        <f ca="1">IF(AND($D48&lt;&gt;0,_xlfn.XLOOKUP($B48,'TH_MLG GRADE 10'!$B$7:$B$49,'TH_MLG GRADE 10'!AN$7:AN$49,"",0,1)="P",
   _xlfn.XLOOKUP($B48,'TH_MLG GRADE 10'!$B$7:$B$49,'TH_MLG GRADE 10'!$BL$7:$BL$49,"",0,1)&lt;=TODAY()-MOD(WEEKDAY(TODAY(),2)-5,7)),$D48,0)</f>
        <v>2</v>
      </c>
      <c r="V98" s="65">
        <f ca="1">IF(AND($D48&lt;&gt;0,_xlfn.XLOOKUP($B48,'TH_MLG GRADE 10'!$B$7:$B$49,'TH_MLG GRADE 10'!AO$7:AO$49,"",0,1)="P",
   _xlfn.XLOOKUP($B48,'TH_MLG GRADE 10'!$B$7:$B$49,'TH_MLG GRADE 10'!$BM$7:$BM$49,"",0,1)&lt;=TODAY()-MOD(WEEKDAY(TODAY(),2)-5,7)),$D48,0)</f>
        <v>2</v>
      </c>
      <c r="W98" s="65">
        <f ca="1">IF(AND($D48&lt;&gt;0,_xlfn.XLOOKUP($B48,'TH_MLG GRADE 10'!$B$7:$B$49,'TH_MLG GRADE 10'!AY$7:AY$49,"",0,1)="P",
   _xlfn.XLOOKUP($B48,'TH_MLG GRADE 10'!$B$7:$B$49,'TH_MLG GRADE 10'!$BK$7:$BK$49,"",0,1)&lt;=TODAY()-MOD(WEEKDAY(TODAY(),2)-5,7)),$D48,0)</f>
        <v>2</v>
      </c>
      <c r="X98" s="65">
        <f ca="1">IF(AND($D48&lt;&gt;0,_xlfn.XLOOKUP($B48,'TH_MLG GRADE 10'!$B$7:$B$49,'TH_MLG GRADE 10'!AZ$7:AZ$49,"",0,1)="P",
   _xlfn.XLOOKUP($B48,'TH_MLG GRADE 10'!$B$7:$B$49,'TH_MLG GRADE 10'!$BL$7:$BL$49,"",0,1)&lt;=TODAY()-MOD(WEEKDAY(TODAY(),2)-5,7)),$D48,0)</f>
        <v>2</v>
      </c>
      <c r="Y98" s="65">
        <f ca="1">IF(AND($D48&lt;&gt;0,_xlfn.XLOOKUP($B48,'TH_MLG GRADE 10'!$B$7:$B$49,'TH_MLG GRADE 10'!BA$7:BA$49,"",0,1)="P",
   _xlfn.XLOOKUP($B48,'TH_MLG GRADE 10'!$B$7:$B$49,'TH_MLG GRADE 10'!$BM$7:$BM$49,"",0,1)&lt;=TODAY()-MOD(WEEKDAY(TODAY(),2)-5,7)),$D48,0)</f>
        <v>2</v>
      </c>
      <c r="Z98" s="65">
        <f ca="1">IF(AND($D48&lt;&gt;0,_xlfn.XLOOKUP($B48,'TH_MLG GRADE 10'!$B$7:$B$49,'TH_MLG GRADE 10'!BE$7:BE$49,"",0,1)="P",
   _xlfn.XLOOKUP($B48,'TH_MLG GRADE 10'!$B$7:$B$49,'TH_MLG GRADE 10'!$BK$7:$BK$49,"",0,1)&lt;=TODAY()-MOD(WEEKDAY(TODAY(),2)-5,7)),$D48,0)</f>
        <v>0</v>
      </c>
      <c r="AA98" s="65">
        <f ca="1">IF(AND($D48&lt;&gt;0,_xlfn.XLOOKUP($B48,'TH_MLG GRADE 10'!$B$7:$B$49,'TH_MLG GRADE 10'!BF$7:BF$49,"",0,1)="P",
   _xlfn.XLOOKUP($B48,'TH_MLG GRADE 10'!$B$7:$B$49,'TH_MLG GRADE 10'!$BL$7:$BL$49,"",0,1)&lt;=TODAY()-MOD(WEEKDAY(TODAY(),2)-5,7)),$D48,0)</f>
        <v>0</v>
      </c>
      <c r="AB98" s="65">
        <f ca="1">IF(AND($D48&lt;&gt;0,_xlfn.XLOOKUP($B48,'TH_MLG GRADE 10'!$B$7:$B$49,'TH_MLG GRADE 10'!BG$7:BG$49,"",0,1)="P",
   _xlfn.XLOOKUP($B48,'TH_MLG GRADE 10'!$B$7:$B$49,'TH_MLG GRADE 10'!$BM$7:$BM$49,"",0,1)&lt;=TODAY()-MOD(WEEKDAY(TODAY(),2)-5,7)),$D48,0)</f>
        <v>0</v>
      </c>
      <c r="AC98" s="65" t="e">
        <f ca="1">IF(AND($D48&lt;&gt;0,_xlfn.XLOOKUP($B48,'TH_MLG GRADE 10'!$B$7:$B$49,'TH_MLG GRADE 10'!#REF!,"",0,1)="P",
   _xlfn.XLOOKUP($B48,'TH_MLG GRADE 10'!$B$7:$B$49,'TH_MLG GRADE 10'!$BK$7:$BK$49,"",0,1)&lt;=TODAY()-MOD(WEEKDAY(TODAY(),2)-5,7)),$D48,0)</f>
        <v>#REF!</v>
      </c>
      <c r="AD98" s="65" t="e">
        <f ca="1">IF(AND($D48&lt;&gt;0,_xlfn.XLOOKUP($B48,'TH_MLG GRADE 10'!$B$7:$B$49,'TH_MLG GRADE 10'!#REF!,"",0,1)="P",
   _xlfn.XLOOKUP($B48,'TH_MLG GRADE 10'!$B$7:$B$49,'TH_MLG GRADE 10'!$BL$7:$BL$49,"",0,1)&lt;=TODAY()-MOD(WEEKDAY(TODAY(),2)-5,7)),$D48,0)</f>
        <v>#REF!</v>
      </c>
      <c r="AE98" s="65" t="e">
        <f ca="1">IF(AND($D48&lt;&gt;0,_xlfn.XLOOKUP($B48,'TH_MLG GRADE 10'!$B$7:$B$49,'TH_MLG GRADE 10'!#REF!,"",0,1)="P",
   _xlfn.XLOOKUP($B48,'TH_MLG GRADE 10'!$B$7:$B$49,'TH_MLG GRADE 10'!$BM$7:$BM$49,"",0,1)&lt;=TODAY()-MOD(WEEKDAY(TODAY(),2)-5,7)),$D48,0)</f>
        <v>#REF!</v>
      </c>
      <c r="AF98" s="65" t="e">
        <f ca="1">IF(AND($D48&lt;&gt;0,_xlfn.XLOOKUP($B48,'TH_MLG GRADE 10'!$B$7:$B$49,'TH_MLG GRADE 10'!#REF!,"",0,1)="P",
   _xlfn.XLOOKUP($B48,'TH_MLG GRADE 10'!$B$7:$B$49,'TH_MLG GRADE 10'!$BK$7:$BK$49,"",0,1)&lt;=TODAY()-MOD(WEEKDAY(TODAY(),2)-5,7)),$D48,0)</f>
        <v>#REF!</v>
      </c>
      <c r="AG98" s="65" t="e">
        <f ca="1">IF(AND($D48&lt;&gt;0,_xlfn.XLOOKUP($B48,'TH_MLG GRADE 10'!$B$7:$B$49,'TH_MLG GRADE 10'!#REF!,"",0,1)="P",
   _xlfn.XLOOKUP($B48,'TH_MLG GRADE 10'!$B$7:$B$49,'TH_MLG GRADE 10'!$BL$7:$BL$49,"",0,1)&lt;=TODAY()-MOD(WEEKDAY(TODAY(),2)-5,7)),$D48,0)</f>
        <v>#REF!</v>
      </c>
      <c r="AH98" s="65" t="e">
        <f ca="1">IF(AND($D48&lt;&gt;0,_xlfn.XLOOKUP($B48,'TH_MLG GRADE 10'!$B$7:$B$49,'TH_MLG GRADE 10'!#REF!,"",0,1)="P",
   _xlfn.XLOOKUP($B48,'TH_MLG GRADE 10'!$B$7:$B$49,'TH_MLG GRADE 10'!$BM$7:$BM$49,"",0,1)&lt;=TODAY()-MOD(WEEKDAY(TODAY(),2)-5,7)),$D48,0)</f>
        <v>#REF!</v>
      </c>
      <c r="AI98" s="67">
        <f ca="1">IF(AND($D48&lt;&gt;0,_xlfn.XLOOKUP($B48,'TH_CMI GRADE 10'!$B$7:$B$49,'TH_CMI GRADE 10'!C$7:C$49,"",0,1)="P",
   _xlfn.XLOOKUP($B48,'TH_CMI GRADE 10'!$B$7:$B$49,'TH_CMI GRADE 10'!$AS$7:$AS$49,"",0,1)&lt;=TODAY()-MOD(WEEKDAY(TODAY(),2)-5,7)),$D48,0)</f>
        <v>2</v>
      </c>
      <c r="AJ98" s="67">
        <f ca="1">IF(AND($D48&lt;&gt;0,_xlfn.XLOOKUP($B48,'TH_CMI GRADE 10'!$B$7:$B$49,'TH_CMI GRADE 10'!D$7:D$49,"",0,1)="P",
   _xlfn.XLOOKUP($B48,'TH_CMI GRADE 10'!$B$7:$B$49,'TH_CMI GRADE 10'!$AT$7:$AT$49,"",0,1)&lt;=TODAY()-MOD(WEEKDAY(TODAY(),2)-5,7)),$D48,0)</f>
        <v>2</v>
      </c>
      <c r="AK98" s="67" t="e">
        <f ca="1">IF(AND($D48&lt;&gt;0,_xlfn.XLOOKUP($B48,'TH_CMI GRADE 10'!$B$7:$B$49,'TH_CMI GRADE 10'!H$7:H$49,"",0,1)="P",
   _xlfn.XLOOKUP($B48,'TH_CMI GRADE 10'!$B$7:$B$49,'TH_CMI GRADE 10'!#REF!,"",0,1)&lt;=TODAY()-MOD(WEEKDAY(TODAY(),2)-5,7)),$D48,0)</f>
        <v>#REF!</v>
      </c>
      <c r="AL98" s="67">
        <f ca="1">IF(AND($D48&lt;&gt;0,_xlfn.XLOOKUP($B48,'TH_CMI GRADE 10'!$B$7:$B$49,'TH_CMI GRADE 10'!I$7:I$49,"",0,1)="P",
   _xlfn.XLOOKUP($B48,'TH_CMI GRADE 10'!$B$7:$B$49,'TH_CMI GRADE 10'!$AS$7:$AS$49,"",0,1)&lt;=TODAY()-MOD(WEEKDAY(TODAY(),2)-5,7)),$D48,0)</f>
        <v>0</v>
      </c>
      <c r="AM98" s="67">
        <f ca="1">IF(AND($D48&lt;&gt;0,_xlfn.XLOOKUP($B48,'TH_CMI GRADE 10'!$B$7:$B$49,'TH_CMI GRADE 10'!J$7:J$49,"",0,1)="P",
   _xlfn.XLOOKUP($B48,'TH_CMI GRADE 10'!$B$7:$B$49,'TH_CMI GRADE 10'!$AT$7:$AT$49,"",0,1)&lt;=TODAY()-MOD(WEEKDAY(TODAY(),2)-5,7)),$D48,0)</f>
        <v>0</v>
      </c>
      <c r="AN98" s="67" t="e">
        <f ca="1">IF(AND($D48&lt;&gt;0,_xlfn.XLOOKUP($B48,'TH_CMI GRADE 10'!$B$7:$B$49,'TH_CMI GRADE 10'!K$7:K$49,"",0,1)="P",
   _xlfn.XLOOKUP($B48,'TH_CMI GRADE 10'!$B$7:$B$49,'TH_CMI GRADE 10'!#REF!,"",0,1)&lt;=TODAY()-MOD(WEEKDAY(TODAY(),2)-5,7)),$D48,0)</f>
        <v>#REF!</v>
      </c>
      <c r="AO98" s="67">
        <f ca="1">IF(AND($D48&lt;&gt;0,_xlfn.XLOOKUP($B48,'TH_CMI GRADE 10'!$B$7:$B$49,'TH_CMI GRADE 10'!O$7:O$49,"",0,1)="P",
   _xlfn.XLOOKUP($B48,'TH_CMI GRADE 10'!$B$7:$B$49,'TH_CMI GRADE 10'!$AS$7:$AS$49,"",0,1)&lt;=TODAY()-MOD(WEEKDAY(TODAY(),2)-5,7)),$D48,0)</f>
        <v>0</v>
      </c>
      <c r="AP98" s="67">
        <f ca="1">IF(AND($D48&lt;&gt;0,_xlfn.XLOOKUP($B48,'TH_CMI GRADE 10'!$B$7:$B$49,'TH_CMI GRADE 10'!P$7:P$49,"",0,1)="P",
   _xlfn.XLOOKUP($B48,'TH_CMI GRADE 10'!$B$7:$B$49,'TH_CMI GRADE 10'!$AT$7:$AT$49,"",0,1)&lt;=TODAY()-MOD(WEEKDAY(TODAY(),2)-5,7)),$D48,0)</f>
        <v>0</v>
      </c>
      <c r="AQ98" s="67" t="e">
        <f ca="1">IF(AND($D48&lt;&gt;0,_xlfn.XLOOKUP($B48,'TH_CMI GRADE 10'!$B$7:$B$49,'TH_CMI GRADE 10'!Q$7:Q$49,"",0,1)="P",
   _xlfn.XLOOKUP($B48,'TH_CMI GRADE 10'!$B$7:$B$49,'TH_CMI GRADE 10'!#REF!,"",0,1)&lt;=TODAY()-MOD(WEEKDAY(TODAY(),2)-5,7)),$D48,0)</f>
        <v>#REF!</v>
      </c>
      <c r="AR98" s="67">
        <f ca="1">IF(AND($D48&lt;&gt;0,_xlfn.XLOOKUP($B48,'TH_CMI GRADE 10'!$B$7:$B$49,'TH_CMI GRADE 10'!U$7:U$49,"",0,1)="P",
   _xlfn.XLOOKUP($B48,'TH_CMI GRADE 10'!$B$7:$B$49,'TH_CMI GRADE 10'!$AS$7:$AS$49,"",0,1)&lt;=TODAY()-MOD(WEEKDAY(TODAY(),2)-5,7)),$D48,0)</f>
        <v>2</v>
      </c>
      <c r="AS98" s="67">
        <f ca="1">IF(AND($D48&lt;&gt;0,_xlfn.XLOOKUP($B48,'TH_CMI GRADE 10'!$B$7:$B$49,'TH_CMI GRADE 10'!V$7:V$49,"",0,1)="P",
   _xlfn.XLOOKUP($B48,'TH_CMI GRADE 10'!$B$7:$B$49,'TH_CMI GRADE 10'!$AT$7:$AT$49,"",0,1)&lt;=TODAY()-MOD(WEEKDAY(TODAY(),2)-5,7)),$D48,0)</f>
        <v>2</v>
      </c>
      <c r="AT98" s="67" t="e">
        <f ca="1">IF(AND($D48&lt;&gt;0,_xlfn.XLOOKUP($B48,'TH_CMI GRADE 10'!$B$7:$B$49,'TH_CMI GRADE 10'!W$7:W$49,"",0,1)="P",
   _xlfn.XLOOKUP($B48,'TH_CMI GRADE 10'!$B$7:$B$49,'TH_CMI GRADE 10'!#REF!,"",0,1)&lt;=TODAY()-MOD(WEEKDAY(TODAY(),2)-5,7)),$D48,0)</f>
        <v>#REF!</v>
      </c>
      <c r="AU98" s="67">
        <f ca="1">IF(AND($D48&lt;&gt;0,_xlfn.XLOOKUP($B48,'TH_CMI GRADE 10'!$B$7:$B$49,'TH_CMI GRADE 10'!AA$7:AA$49,"",0,1)="P",
   _xlfn.XLOOKUP($B48,'TH_CMI GRADE 10'!$B$7:$B$49,'TH_CMI GRADE 10'!$AS$7:$AS$49,"",0,1)&lt;=TODAY()-MOD(WEEKDAY(TODAY(),2)-5,7)),$D48,0)</f>
        <v>0</v>
      </c>
      <c r="AV98" s="67">
        <f ca="1">IF(AND($D48&lt;&gt;0,_xlfn.XLOOKUP($B48,'TH_CMI GRADE 10'!$B$7:$B$49,'TH_CMI GRADE 10'!AB$7:AB$49,"",0,1)="P",
   _xlfn.XLOOKUP($B48,'TH_CMI GRADE 10'!$B$7:$B$49,'TH_CMI GRADE 10'!$AT$7:$AT$49,"",0,1)&lt;=TODAY()-MOD(WEEKDAY(TODAY(),2)-5,7)),$D48,0)</f>
        <v>0</v>
      </c>
      <c r="AW98" s="67" t="e">
        <f ca="1">IF(AND($D48&lt;&gt;0,_xlfn.XLOOKUP($B48,'TH_CMI GRADE 10'!$B$7:$B$49,'TH_CMI GRADE 10'!AC$7:AC$49,"",0,1)="P",
   _xlfn.XLOOKUP($B48,'TH_CMI GRADE 10'!$B$7:$B$49,'TH_CMI GRADE 10'!#REF!,"",0,1)&lt;=TODAY()-MOD(WEEKDAY(TODAY(),2)-5,7)),$D48,0)</f>
        <v>#REF!</v>
      </c>
      <c r="AX98" s="67">
        <f ca="1">IF(AND($D48&lt;&gt;0,_xlfn.XLOOKUP($B48,'TH_CMI GRADE 10'!$B$7:$B$49,'TH_CMI GRADE 10'!AG$7:AG$49,"",0,1)="P",
   _xlfn.XLOOKUP($B48,'TH_CMI GRADE 10'!$B$7:$B$49,'TH_CMI GRADE 10'!$AS$7:$AS$49,"",0,1)&lt;=TODAY()-MOD(WEEKDAY(TODAY(),2)-5,7)),$D48,0)</f>
        <v>0</v>
      </c>
      <c r="AY98" s="67">
        <f ca="1">IF(AND($D48&lt;&gt;0,_xlfn.XLOOKUP($B48,'TH_CMI GRADE 10'!$B$7:$B$49,'TH_CMI GRADE 10'!AH$7:AH$49,"",0,1)="P",
   _xlfn.XLOOKUP($B48,'TH_CMI GRADE 10'!$B$7:$B$49,'TH_CMI GRADE 10'!$AT$7:$AT$49,"",0,1)&lt;=TODAY()-MOD(WEEKDAY(TODAY(),2)-5,7)),$D48,0)</f>
        <v>0</v>
      </c>
      <c r="AZ98" s="67" t="e">
        <f ca="1">IF(AND($D48&lt;&gt;0,_xlfn.XLOOKUP($B48,'TH_CMI GRADE 10'!$B$7:$B$49,'TH_CMI GRADE 10'!AI$7:AI$49,"",0,1)="P",
   _xlfn.XLOOKUP($B48,'TH_CMI GRADE 10'!$B$7:$B$49,'TH_CMI GRADE 10'!#REF!,"",0,1)&lt;=TODAY()-MOD(WEEKDAY(TODAY(),2)-5,7)),$D48,0)</f>
        <v>#REF!</v>
      </c>
      <c r="BA98" s="65" t="e">
        <f ca="1">IF(AND($D48&lt;&gt;0,_xlfn.XLOOKUP($B48,'PW_MLG GRADE 10'!$B$7:$B$31,'PW_MLG GRADE 10'!R$7:R$31,"",0,1)="P",
   _xlfn.XLOOKUP($B48,'PW_MLG GRADE 10'!$B$7:$B$31,'PW_MLG GRADE 10'!#REF!,"",0,1)&lt;=TODAY()-MOD(WEEKDAY(TODAY(),2)-5,7)),$D48,0)</f>
        <v>#REF!</v>
      </c>
      <c r="BB98" s="65" t="e">
        <f ca="1">IF(AND($D48&lt;&gt;0,_xlfn.XLOOKUP($B48,'PW_MLG GRADE 10'!$B$7:$B$31,'PW_MLG GRADE 10'!S$7:S$31,"",0,1)="P",
   _xlfn.XLOOKUP($B48,'PW_MLG GRADE 10'!$B$7:$B$31,'PW_MLG GRADE 10'!#REF!,"",0,1)&lt;=TODAY()-MOD(WEEKDAY(TODAY(),2)-5,7)),$D48,0)</f>
        <v>#REF!</v>
      </c>
      <c r="BC98" s="65" t="e">
        <f ca="1">IF(AND($D48&lt;&gt;0,_xlfn.XLOOKUP($B48,'PW_MLG GRADE 10'!$B$7:$B$31,'PW_MLG GRADE 10'!T$7:T$31,"",0,1)="P",
   _xlfn.XLOOKUP($B48,'PW_MLG GRADE 10'!$B$7:$B$31,'PW_MLG GRADE 10'!#REF!,"",0,1)&lt;=TODAY()-MOD(WEEKDAY(TODAY(),2)-5,7)),$D48,0)</f>
        <v>#REF!</v>
      </c>
      <c r="BD98" s="65" t="e">
        <f ca="1">IF(AND($D48&lt;&gt;0,_xlfn.XLOOKUP($B48,'PW_MLG GRADE 10'!$B$7:$B$31,'PW_MLG GRADE 10'!AA$7:AA$31,"",0,1)="P",
   _xlfn.XLOOKUP($B48,'PW_MLG GRADE 10'!$B$7:$B$31,'PW_MLG GRADE 10'!#REF!,"",0,1)&lt;=TODAY()-MOD(WEEKDAY(TODAY(),2)-5,7)),$D48,0)</f>
        <v>#REF!</v>
      </c>
      <c r="BE98" s="65" t="e">
        <f ca="1">IF(AND($D48&lt;&gt;0,_xlfn.XLOOKUP($B48,'PW_MLG GRADE 10'!$B$7:$B$31,'PW_MLG GRADE 10'!AB$7:AB$31,"",0,1)="P",
   _xlfn.XLOOKUP($B48,'PW_MLG GRADE 10'!$B$7:$B$31,'PW_MLG GRADE 10'!#REF!,"",0,1)&lt;=TODAY()-MOD(WEEKDAY(TODAY(),2)-5,7)),$D48,0)</f>
        <v>#REF!</v>
      </c>
      <c r="BF98" s="65" t="e">
        <f ca="1">IF(AND($D48&lt;&gt;0,_xlfn.XLOOKUP($B48,'PW_MLG GRADE 10'!$B$7:$B$31,'PW_MLG GRADE 10'!AC$7:AC$31,"",0,1)="P",
   _xlfn.XLOOKUP($B48,'PW_MLG GRADE 10'!$B$7:$B$31,'PW_MLG GRADE 10'!#REF!,"",0,1)&lt;=TODAY()-MOD(WEEKDAY(TODAY(),2)-5,7)),$D48,0)</f>
        <v>#REF!</v>
      </c>
      <c r="BG98" s="65" t="e">
        <f ca="1">IF(AND($D48&lt;&gt;0,_xlfn.XLOOKUP($B48,'PW_MLG GRADE 10'!$B$7:$B$31,'PW_MLG GRADE 10'!AD$7:AD$31,"",0,1)="P",
   _xlfn.XLOOKUP($B48,'PW_MLG GRADE 10'!$B$7:$B$31,'PW_MLG GRADE 10'!#REF!,"",0,1)&lt;=TODAY()-MOD(WEEKDAY(TODAY(),2)-5,7)),$D48,0)</f>
        <v>#REF!</v>
      </c>
      <c r="BH98" s="65" t="e">
        <f ca="1">IF(AND($D48&lt;&gt;0,_xlfn.XLOOKUP($B48,'PW_MLG GRADE 10'!$B$7:$B$31,'PW_MLG GRADE 10'!AE$7:AE$31,"",0,1)="P",
   _xlfn.XLOOKUP($B48,'PW_MLG GRADE 10'!$B$7:$B$31,'PW_MLG GRADE 10'!#REF!,"",0,1)&lt;=TODAY()-MOD(WEEKDAY(TODAY(),2)-5,7)),$D48,0)</f>
        <v>#REF!</v>
      </c>
      <c r="BI98" s="65" t="e">
        <f ca="1">IF(AND($D48&lt;&gt;0,_xlfn.XLOOKUP($B48,'PW_MLG GRADE 10'!$B$7:$B$31,'PW_MLG GRADE 10'!AF$7:AF$31,"",0,1)="P",
   _xlfn.XLOOKUP($B48,'PW_MLG GRADE 10'!$B$7:$B$31,'PW_MLG GRADE 10'!#REF!,"",0,1)&lt;=TODAY()-MOD(WEEKDAY(TODAY(),2)-5,7)),$D48,0)</f>
        <v>#REF!</v>
      </c>
      <c r="BJ98" s="65" t="e">
        <f ca="1">IF(AND($D48&lt;&gt;0,_xlfn.XLOOKUP($B48,'PW_MLG GRADE 10'!$B$7:$B$31,'PW_MLG GRADE 10'!AG$7:AG$31,"",0,1)="P",
   _xlfn.XLOOKUP($B48,'PW_MLG GRADE 10'!$B$7:$B$31,'PW_MLG GRADE 10'!#REF!,"",0,1)&lt;=TODAY()-MOD(WEEKDAY(TODAY(),2)-5,7)),$D48,0)</f>
        <v>#REF!</v>
      </c>
      <c r="BK98" s="65" t="e">
        <f ca="1">IF(AND($D48&lt;&gt;0,_xlfn.XLOOKUP($B48,'PW_MLG GRADE 10'!$B$7:$B$31,'PW_MLG GRADE 10'!AH$7:AH$31,"",0,1)="P",
   _xlfn.XLOOKUP($B48,'PW_MLG GRADE 10'!$B$7:$B$31,'PW_MLG GRADE 10'!#REF!,"",0,1)&lt;=TODAY()-MOD(WEEKDAY(TODAY(),2)-5,7)),$D48,0)</f>
        <v>#REF!</v>
      </c>
      <c r="BL98" s="65" t="e">
        <f ca="1">IF(AND($D48&lt;&gt;0,_xlfn.XLOOKUP($B48,'PW_MLG GRADE 10'!$B$7:$B$31,'PW_MLG GRADE 10'!AI$7:AI$31,"",0,1)="P",
   _xlfn.XLOOKUP($B48,'PW_MLG GRADE 10'!$B$7:$B$31,'PW_MLG GRADE 10'!#REF!,"",0,1)&lt;=TODAY()-MOD(WEEKDAY(TODAY(),2)-5,7)),$D48,0)</f>
        <v>#REF!</v>
      </c>
      <c r="BM98" s="65" t="e">
        <f ca="1">IF(AND($D48&lt;&gt;0,_xlfn.XLOOKUP($B48,'PW_MLG GRADE 10'!$B$7:$B$31,'PW_MLG GRADE 10'!AJ$7:AJ$31,"",0,1)="P",
   _xlfn.XLOOKUP($B48,'PW_MLG GRADE 10'!$B$7:$B$31,'PW_MLG GRADE 10'!#REF!,"",0,1)&lt;=TODAY()-MOD(WEEKDAY(TODAY(),2)-5,7)),$D48,0)</f>
        <v>#REF!</v>
      </c>
      <c r="BN98" s="65" t="e">
        <f ca="1">IF(AND($D48&lt;&gt;0,_xlfn.XLOOKUP($B48,'PW_MLG GRADE 10'!$B$7:$B$31,'PW_MLG GRADE 10'!AK$7:AK$31,"",0,1)="P",
   _xlfn.XLOOKUP($B48,'PW_MLG GRADE 10'!$B$7:$B$31,'PW_MLG GRADE 10'!#REF!,"",0,1)&lt;=TODAY()-MOD(WEEKDAY(TODAY(),2)-5,7)),$D48,0)</f>
        <v>#REF!</v>
      </c>
      <c r="BO98" s="65" t="e">
        <f ca="1">IF(AND($D48&lt;&gt;0,_xlfn.XLOOKUP($B48,'PW_MLG GRADE 10'!$B$7:$B$31,'PW_MLG GRADE 10'!AL$7:AL$31,"",0,1)="P",
   _xlfn.XLOOKUP($B48,'PW_MLG GRADE 10'!$B$7:$B$31,'PW_MLG GRADE 10'!#REF!,"",0,1)&lt;=TODAY()-MOD(WEEKDAY(TODAY(),2)-5,7)),$D48,0)</f>
        <v>#REF!</v>
      </c>
      <c r="BP98" s="65" t="e">
        <f ca="1">IF(AND($D48&lt;&gt;0,_xlfn.XLOOKUP($B48,'PW_MLG GRADE 10'!$B$7:$B$31,'PW_MLG GRADE 10'!AM$7:AM$31,"",0,1)="P",
   _xlfn.XLOOKUP($B48,'PW_MLG GRADE 10'!$B$7:$B$31,'PW_MLG GRADE 10'!#REF!,"",0,1)&lt;=TODAY()-MOD(WEEKDAY(TODAY(),2)-5,7)),$D48,0)</f>
        <v>#REF!</v>
      </c>
      <c r="BQ98" s="65" t="e">
        <f ca="1">IF(AND($D48&lt;&gt;0,_xlfn.XLOOKUP($B48,'PW_MLG GRADE 10'!$B$7:$B$31,'PW_MLG GRADE 10'!AN$7:AN$31,"",0,1)="P",
   _xlfn.XLOOKUP($B48,'PW_MLG GRADE 10'!$B$7:$B$31,'PW_MLG GRADE 10'!#REF!,"",0,1)&lt;=TODAY()-MOD(WEEKDAY(TODAY(),2)-5,7)),$D48,0)</f>
        <v>#REF!</v>
      </c>
      <c r="BR98" s="65" t="e">
        <f ca="1">IF(AND($D48&lt;&gt;0,_xlfn.XLOOKUP($B48,'PW_MLG GRADE 10'!$B$7:$B$31,'PW_MLG GRADE 10'!AO$7:AO$31,"",0,1)="P",
   _xlfn.XLOOKUP($B48,'PW_MLG GRADE 10'!$B$7:$B$31,'PW_MLG GRADE 10'!#REF!,"",0,1)&lt;=TODAY()-MOD(WEEKDAY(TODAY(),2)-5,7)),$D48,0)</f>
        <v>#REF!</v>
      </c>
      <c r="BS98" s="65" t="e">
        <f ca="1">IF(AND($D48&lt;&gt;0,_xlfn.XLOOKUP($B48,'PW_MLG GRADE 10'!$B$7:$B$31,'PW_MLG GRADE 10'!AP$7:AP$31,"",0,1)="P",
   _xlfn.XLOOKUP($B48,'PW_MLG GRADE 10'!$B$7:$B$31,'PW_MLG GRADE 10'!#REF!,"",0,1)&lt;=TODAY()-MOD(WEEKDAY(TODAY(),2)-5,7)),$D48,0)</f>
        <v>#REF!</v>
      </c>
      <c r="BT98" s="65" t="e">
        <f ca="1">IF(AND($D48&lt;&gt;0,_xlfn.XLOOKUP($B48,'PW_MLG GRADE 10'!$B$7:$B$31,'PW_MLG GRADE 10'!AQ$7:AQ$31,"",0,1)="P",
   _xlfn.XLOOKUP($B48,'PW_MLG GRADE 10'!$B$7:$B$31,'PW_MLG GRADE 10'!#REF!,"",0,1)&lt;=TODAY()-MOD(WEEKDAY(TODAY(),2)-5,7)),$D48,0)</f>
        <v>#REF!</v>
      </c>
      <c r="BU98" s="65" t="e">
        <f ca="1">IF(AND($D48&lt;&gt;0,_xlfn.XLOOKUP($B48,'PW_MLG GRADE 10'!$B$7:$B$31,'PW_MLG GRADE 10'!AR$7:AR$31,"",0,1)="P",
   _xlfn.XLOOKUP($B48,'PW_MLG GRADE 10'!$B$7:$B$31,'PW_MLG GRADE 10'!#REF!,"",0,1)&lt;=TODAY()-MOD(WEEKDAY(TODAY(),2)-5,7)),$D48,0)</f>
        <v>#REF!</v>
      </c>
      <c r="BV98" s="65" t="e">
        <f ca="1">IF(AND($D48&lt;&gt;0,_xlfn.XLOOKUP($B48,'PW_MLG GRADE 10'!$B$7:$B$31,'PW_MLG GRADE 10'!AY$7:AY$31,"",0,1)="P",
   _xlfn.XLOOKUP($B48,'PW_MLG GRADE 10'!$B$7:$B$31,'PW_MLG GRADE 10'!#REF!,"",0,1)&lt;=TODAY()-MOD(WEEKDAY(TODAY(),2)-5,7)),$D48,0)</f>
        <v>#REF!</v>
      </c>
      <c r="BW98" s="65" t="e">
        <f ca="1">IF(AND($D48&lt;&gt;0,_xlfn.XLOOKUP($B48,'PW_MLG GRADE 10'!$B$7:$B$31,'PW_MLG GRADE 10'!AZ$7:AZ$31,"",0,1)="P",
   _xlfn.XLOOKUP($B48,'PW_MLG GRADE 10'!$B$7:$B$31,'PW_MLG GRADE 10'!#REF!,"",0,1)&lt;=TODAY()-MOD(WEEKDAY(TODAY(),2)-5,7)),$D48,0)</f>
        <v>#REF!</v>
      </c>
      <c r="BX98" s="65" t="e">
        <f ca="1">IF(AND($D48&lt;&gt;0,_xlfn.XLOOKUP($B48,'PW_MLG GRADE 10'!$B$7:$B$31,'PW_MLG GRADE 10'!BA$7:BA$31,"",0,1)="P",
   _xlfn.XLOOKUP($B48,'PW_MLG GRADE 10'!$B$7:$B$31,'PW_MLG GRADE 10'!#REF!,"",0,1)&lt;=TODAY()-MOD(WEEKDAY(TODAY(),2)-5,7)),$D48,0)</f>
        <v>#REF!</v>
      </c>
      <c r="BY98" s="65" t="e">
        <f ca="1">IF(AND($D48&lt;&gt;0,_xlfn.XLOOKUP($B48,'PW_MLG GRADE 10'!$B$7:$B$31,'PW_MLG GRADE 10'!BB$7:BB$31,"",0,1)="P",
   _xlfn.XLOOKUP($B48,'PW_MLG GRADE 10'!$B$7:$B$31,'PW_MLG GRADE 10'!#REF!,"",0,1)&lt;=TODAY()-MOD(WEEKDAY(TODAY(),2)-5,7)),$D48,0)</f>
        <v>#REF!</v>
      </c>
      <c r="BZ98" s="65" t="e">
        <f ca="1">IF(AND($D48&lt;&gt;0,_xlfn.XLOOKUP($B48,'PW_MLG GRADE 10'!$B$7:$B$31,'PW_MLG GRADE 10'!BC$7:BC$31,"",0,1)="P",
   _xlfn.XLOOKUP($B48,'PW_MLG GRADE 10'!$B$7:$B$31,'PW_MLG GRADE 10'!#REF!,"",0,1)&lt;=TODAY()-MOD(WEEKDAY(TODAY(),2)-5,7)),$D48,0)</f>
        <v>#REF!</v>
      </c>
      <c r="CA98" s="65" t="e">
        <f ca="1">IF(AND($D48&lt;&gt;0,_xlfn.XLOOKUP($B48,'PW_MLG GRADE 10'!$B$7:$B$31,'PW_MLG GRADE 10'!BD$7:BD$31,"",0,1)="P",
   _xlfn.XLOOKUP($B48,'PW_MLG GRADE 10'!$B$7:$B$31,'PW_MLG GRADE 10'!#REF!,"",0,1)&lt;=TODAY()-MOD(WEEKDAY(TODAY(),2)-5,7)),$D48,0)</f>
        <v>#REF!</v>
      </c>
      <c r="CB98" s="65" t="e">
        <f ca="1">IF(AND($D48&lt;&gt;0,_xlfn.XLOOKUP($B48,'PW_MLG GRADE 10'!$B$7:$B$31,'PW_MLG GRADE 10'!BE$7:BE$31,"",0,1)="P",
   _xlfn.XLOOKUP($B48,'PW_MLG GRADE 10'!$B$7:$B$31,'PW_MLG GRADE 10'!#REF!,"",0,1)&lt;=TODAY()-MOD(WEEKDAY(TODAY(),2)-5,7)),$D48,0)</f>
        <v>#REF!</v>
      </c>
      <c r="CC98" s="65" t="e">
        <f ca="1">IF(AND($D48&lt;&gt;0,_xlfn.XLOOKUP($B48,'PW_MLG GRADE 10'!$B$7:$B$31,'PW_MLG GRADE 10'!BF$7:BF$31,"",0,1)="P",
   _xlfn.XLOOKUP($B48,'PW_MLG GRADE 10'!$B$7:$B$31,'PW_MLG GRADE 10'!#REF!,"",0,1)&lt;=TODAY()-MOD(WEEKDAY(TODAY(),2)-5,7)),$D48,0)</f>
        <v>#REF!</v>
      </c>
      <c r="CD98" s="65" t="e">
        <f ca="1">IF(AND($D48&lt;&gt;0,_xlfn.XLOOKUP($B48,'PW_MLG GRADE 10'!$B$7:$B$31,'PW_MLG GRADE 10'!BG$7:BG$31,"",0,1)="P",
   _xlfn.XLOOKUP($B48,'PW_MLG GRADE 10'!$B$7:$B$31,'PW_MLG GRADE 10'!#REF!,"",0,1)&lt;=TODAY()-MOD(WEEKDAY(TODAY(),2)-5,7)),$D48,0)</f>
        <v>#REF!</v>
      </c>
      <c r="CE98" s="67">
        <f ca="1">IF(AND($D48&lt;&gt;0,_xlfn.XLOOKUP($B48,'PW_CMI GRADE 10'!$B$7:$B$31,'PW_CMI GRADE 10'!AY$7:AY$31,"",0,1)="P",
   _xlfn.XLOOKUP($B48,'PW_CMI GRADE 10'!$B$7:$B$31,'PW_CMI GRADE 10'!$U$7:$U$31,"",0,1)&lt;=TODAY()-MOD(WEEKDAY(TODAY(),2)-5,7)),$D48,0)</f>
        <v>0</v>
      </c>
      <c r="CF98" s="67">
        <f ca="1">IF(AND($D48&lt;&gt;0,_xlfn.XLOOKUP($B48,'PW_CMI GRADE 10'!$B$7:$B$31,'PW_CMI GRADE 10'!AZ$7:AZ$31,"",0,1)="P",
   _xlfn.XLOOKUP($B48,'PW_CMI GRADE 10'!$B$7:$B$31,'PW_CMI GRADE 10'!$V$7:$V$31,"",0,1)&lt;=TODAY()-MOD(WEEKDAY(TODAY(),2)-5,7)),$D48,0)</f>
        <v>0</v>
      </c>
      <c r="CG98" s="67">
        <f ca="1">IF(AND($D48&lt;&gt;0,_xlfn.XLOOKUP($B48,'PW_CMI GRADE 10'!$B$7:$B$31,'PW_CMI GRADE 10'!BA$7:BA$31,"",0,1)="P",
   _xlfn.XLOOKUP($B48,'PW_CMI GRADE 10'!$B$7:$B$31,'PW_CMI GRADE 10'!$W$7:$W$31,"",0,1)&lt;=TODAY()-MOD(WEEKDAY(TODAY(),2)-5,7)),$D48,0)</f>
        <v>0</v>
      </c>
      <c r="CH98" s="67">
        <f ca="1">IF(AND($D48&lt;&gt;0,_xlfn.XLOOKUP($B48,'PW_CMI GRADE 10'!$B$7:$B$31,'PW_CMI GRADE 10'!BB$7:BB$31,"",0,1)="P",
   _xlfn.XLOOKUP($B48,'PW_CMI GRADE 10'!$B$7:$B$31,'PW_CMI GRADE 10'!$U$7:$U$31,"",0,1)&lt;=TODAY()-MOD(WEEKDAY(TODAY(),2)-5,7)),$D48,0)</f>
        <v>0</v>
      </c>
      <c r="CI98" s="67">
        <f ca="1">IF(AND($D48&lt;&gt;0,_xlfn.XLOOKUP($B48,'PW_CMI GRADE 10'!$B$7:$B$31,'PW_CMI GRADE 10'!BC$7:BC$31,"",0,1)="P",
   _xlfn.XLOOKUP($B48,'PW_CMI GRADE 10'!$B$7:$B$31,'PW_CMI GRADE 10'!$V$7:$V$31,"",0,1)&lt;=TODAY()-MOD(WEEKDAY(TODAY(),2)-5,7)),$D48,0)</f>
        <v>0</v>
      </c>
      <c r="CJ98" s="67">
        <f ca="1">IF(AND($D48&lt;&gt;0,_xlfn.XLOOKUP($B48,'PW_CMI GRADE 10'!$B$7:$B$31,'PW_CMI GRADE 10'!BD$7:BD$31,"",0,1)="P",
   _xlfn.XLOOKUP($B48,'PW_CMI GRADE 10'!$B$7:$B$31,'PW_CMI GRADE 10'!$W$7:$W$31,"",0,1)&lt;=TODAY()-MOD(WEEKDAY(TODAY(),2)-5,7)),$D48,0)</f>
        <v>0</v>
      </c>
      <c r="CK98" s="67">
        <f ca="1">IF(AND($D48&lt;&gt;0,_xlfn.XLOOKUP($B48,'PW_CMI GRADE 10'!$B$7:$B$31,'PW_CMI GRADE 10'!BE$7:BE$31,"",0,1)="P",
   _xlfn.XLOOKUP($B48,'PW_CMI GRADE 10'!$B$7:$B$31,'PW_CMI GRADE 10'!$U$7:$U$31,"",0,1)&lt;=TODAY()-MOD(WEEKDAY(TODAY(),2)-5,7)),$D48,0)</f>
        <v>0</v>
      </c>
      <c r="CL98" s="67">
        <f ca="1">IF(AND($D48&lt;&gt;0,_xlfn.XLOOKUP($B48,'PW_CMI GRADE 10'!$B$7:$B$31,'PW_CMI GRADE 10'!BF$7:BF$31,"",0,1)="P",
   _xlfn.XLOOKUP($B48,'PW_CMI GRADE 10'!$B$7:$B$31,'PW_CMI GRADE 10'!$V$7:$V$31,"",0,1)&lt;=TODAY()-MOD(WEEKDAY(TODAY(),2)-5,7)),$D48,0)</f>
        <v>0</v>
      </c>
      <c r="CM98" s="67">
        <f ca="1">IF(AND($D48&lt;&gt;0,_xlfn.XLOOKUP($B48,'PW_CMI GRADE 10'!$B$7:$B$31,'PW_CMI GRADE 10'!BG$7:BG$31,"",0,1)="P",
   _xlfn.XLOOKUP($B48,'PW_CMI GRADE 10'!$B$7:$B$31,'PW_CMI GRADE 10'!$W$7:$W$31,"",0,1)&lt;=TODAY()-MOD(WEEKDAY(TODAY(),2)-5,7)),$D48,0)</f>
        <v>0</v>
      </c>
      <c r="CN98" s="67">
        <f ca="1">IF(AND($D48&lt;&gt;0,_xlfn.XLOOKUP($B48,'PW_CMI GRADE 10'!$B$7:$B$31,'PW_CMI GRADE 10'!BH$7:BH$31,"",0,1)="P",
   _xlfn.XLOOKUP($B48,'PW_CMI GRADE 10'!$B$7:$B$31,'PW_CMI GRADE 10'!$U$7:$U$31,"",0,1)&lt;=TODAY()-MOD(WEEKDAY(TODAY(),2)-5,7)),$D48,0)</f>
        <v>0</v>
      </c>
      <c r="CO98" s="67">
        <f ca="1">IF(AND($D48&lt;&gt;0,_xlfn.XLOOKUP($B48,'PW_CMI GRADE 10'!$B$7:$B$31,'PW_CMI GRADE 10'!BI$7:BI$31,"",0,1)="P",
   _xlfn.XLOOKUP($B48,'PW_CMI GRADE 10'!$B$7:$B$31,'PW_CMI GRADE 10'!$V$7:$V$31,"",0,1)&lt;=TODAY()-MOD(WEEKDAY(TODAY(),2)-5,7)),$D48,0)</f>
        <v>0</v>
      </c>
      <c r="CP98" s="67">
        <f ca="1">IF(AND($D48&lt;&gt;0,_xlfn.XLOOKUP($B48,'PW_CMI GRADE 10'!$B$7:$B$31,'PW_CMI GRADE 10'!BJ$7:BJ$31,"",0,1)="P",
   _xlfn.XLOOKUP($B48,'PW_CMI GRADE 10'!$B$7:$B$31,'PW_CMI GRADE 10'!$W$7:$W$31,"",0,1)&lt;=TODAY()-MOD(WEEKDAY(TODAY(),2)-5,7)),$D48,0)</f>
        <v>0</v>
      </c>
      <c r="CQ98" s="67">
        <f ca="1">IF(AND($D48&lt;&gt;0,_xlfn.XLOOKUP($B48,'PW_CMI GRADE 10'!$B$7:$B$31,'PW_CMI GRADE 10'!BK$7:BK$31,"",0,1)="P",
   _xlfn.XLOOKUP($B48,'PW_CMI GRADE 10'!$B$7:$B$31,'PW_CMI GRADE 10'!$U$7:$U$31,"",0,1)&lt;=TODAY()-MOD(WEEKDAY(TODAY(),2)-5,7)),$D48,0)</f>
        <v>0</v>
      </c>
      <c r="CR98" s="67">
        <f ca="1">IF(AND($D48&lt;&gt;0,_xlfn.XLOOKUP($B48,'PW_CMI GRADE 10'!$B$7:$B$31,'PW_CMI GRADE 10'!BL$7:BL$31,"",0,1)="P",
   _xlfn.XLOOKUP($B48,'PW_CMI GRADE 10'!$B$7:$B$31,'PW_CMI GRADE 10'!$V$7:$V$31,"",0,1)&lt;=TODAY()-MOD(WEEKDAY(TODAY(),2)-5,7)),$D48,0)</f>
        <v>0</v>
      </c>
      <c r="CS98" s="67">
        <f ca="1">IF(AND($D48&lt;&gt;0,_xlfn.XLOOKUP($B48,'PW_CMI GRADE 10'!$B$7:$B$31,'PW_CMI GRADE 10'!BM$7:BM$31,"",0,1)="P",
   _xlfn.XLOOKUP($B48,'PW_CMI GRADE 10'!$B$7:$B$31,'PW_CMI GRADE 10'!$W$7:$W$31,"",0,1)&lt;=TODAY()-MOD(WEEKDAY(TODAY(),2)-5,7)),$D48,0)</f>
        <v>0</v>
      </c>
      <c r="CT98" s="67">
        <f ca="1">IF(AND($D48&lt;&gt;0,_xlfn.XLOOKUP($B48,'PW_CMI GRADE 10'!$B$7:$B$31,'PW_CMI GRADE 10'!BN$7:BN$31,"",0,1)="P",
   _xlfn.XLOOKUP($B48,'PW_CMI GRADE 10'!$B$7:$B$31,'PW_CMI GRADE 10'!$U$7:$U$31,"",0,1)&lt;=TODAY()-MOD(WEEKDAY(TODAY(),2)-5,7)),$D48,0)</f>
        <v>0</v>
      </c>
      <c r="CU98" s="67">
        <f ca="1">IF(AND($D48&lt;&gt;0,_xlfn.XLOOKUP($B48,'PW_CMI GRADE 10'!$B$7:$B$31,'PW_CMI GRADE 10'!BO$7:BO$31,"",0,1)="P",
   _xlfn.XLOOKUP($B48,'PW_CMI GRADE 10'!$B$7:$B$31,'PW_CMI GRADE 10'!$V$7:$V$31,"",0,1)&lt;=TODAY()-MOD(WEEKDAY(TODAY(),2)-5,7)),$D48,0)</f>
        <v>0</v>
      </c>
      <c r="CV98" s="67">
        <f ca="1">IF(AND($D48&lt;&gt;0,_xlfn.XLOOKUP($B48,'PW_CMI GRADE 10'!$B$7:$B$31,'PW_CMI GRADE 10'!BP$7:BP$31,"",0,1)="P",
   _xlfn.XLOOKUP($B48,'PW_CMI GRADE 10'!$B$7:$B$31,'PW_CMI GRADE 10'!$W$7:$W$31,"",0,1)&lt;=TODAY()-MOD(WEEKDAY(TODAY(),2)-5,7)),$D48,0)</f>
        <v>0</v>
      </c>
      <c r="CW98" s="62" t="e">
        <f t="shared" ca="1" si="132"/>
        <v>#REF!</v>
      </c>
      <c r="CX98" s="62" t="e">
        <f t="shared" ca="1" si="69"/>
        <v>#REF!</v>
      </c>
      <c r="CY98" s="62" t="e">
        <f t="shared" ca="1" si="70"/>
        <v>#REF!</v>
      </c>
      <c r="CZ98" s="62" t="e">
        <f t="shared" ca="1" si="71"/>
        <v>#REF!</v>
      </c>
      <c r="DA98" s="62" t="e">
        <f t="shared" ca="1" si="72"/>
        <v>#REF!</v>
      </c>
      <c r="DB98" s="62" t="e">
        <f t="shared" ca="1" si="73"/>
        <v>#REF!</v>
      </c>
      <c r="DC98" s="62" t="e">
        <f t="shared" ca="1" si="74"/>
        <v>#REF!</v>
      </c>
      <c r="DD98" s="62" t="e">
        <f t="shared" ca="1" si="75"/>
        <v>#REF!</v>
      </c>
      <c r="DE98" s="62" t="e">
        <f t="shared" ca="1" si="76"/>
        <v>#REF!</v>
      </c>
      <c r="DF98" s="62" t="e">
        <f t="shared" ca="1" si="77"/>
        <v>#REF!</v>
      </c>
      <c r="DG98" s="62" t="e">
        <f t="shared" ca="1" si="78"/>
        <v>#REF!</v>
      </c>
      <c r="DH98" s="62" t="e">
        <f t="shared" ca="1" si="79"/>
        <v>#REF!</v>
      </c>
      <c r="DI98" s="62" t="e">
        <f t="shared" ca="1" si="80"/>
        <v>#REF!</v>
      </c>
      <c r="DJ98" s="62" t="e">
        <f t="shared" ca="1" si="81"/>
        <v>#REF!</v>
      </c>
      <c r="DK98" s="62" t="e">
        <f t="shared" ca="1" si="82"/>
        <v>#REF!</v>
      </c>
      <c r="DL98" s="62" t="e">
        <f t="shared" ca="1" si="83"/>
        <v>#REF!</v>
      </c>
      <c r="DM98" s="62" t="e">
        <f t="shared" ca="1" si="84"/>
        <v>#REF!</v>
      </c>
      <c r="DN98" s="62" t="e">
        <f t="shared" ca="1" si="85"/>
        <v>#REF!</v>
      </c>
      <c r="DO98" s="62" t="e">
        <f t="shared" ca="1" si="86"/>
        <v>#REF!</v>
      </c>
      <c r="DP98" s="62" t="e">
        <f t="shared" ca="1" si="87"/>
        <v>#REF!</v>
      </c>
      <c r="DQ98" s="62" t="e">
        <f t="shared" ca="1" si="88"/>
        <v>#REF!</v>
      </c>
      <c r="DR98" s="62" t="e">
        <f t="shared" ca="1" si="89"/>
        <v>#REF!</v>
      </c>
      <c r="DS98" s="62" t="e">
        <f t="shared" ca="1" si="90"/>
        <v>#REF!</v>
      </c>
      <c r="DT98" s="62" t="e">
        <f t="shared" ca="1" si="91"/>
        <v>#REF!</v>
      </c>
      <c r="DU98" s="62" t="e">
        <f t="shared" ca="1" si="92"/>
        <v>#REF!</v>
      </c>
      <c r="DV98" s="62" t="e">
        <f t="shared" ca="1" si="93"/>
        <v>#REF!</v>
      </c>
      <c r="DW98" s="62" t="e">
        <f t="shared" ca="1" si="94"/>
        <v>#REF!</v>
      </c>
      <c r="DX98" s="62" t="e">
        <f t="shared" ca="1" si="95"/>
        <v>#REF!</v>
      </c>
      <c r="DY98" s="62" t="e">
        <f t="shared" ca="1" si="96"/>
        <v>#REF!</v>
      </c>
      <c r="DZ98" s="62" t="e">
        <f t="shared" ca="1" si="97"/>
        <v>#REF!</v>
      </c>
      <c r="EA98" s="63" t="e">
        <f t="shared" ca="1" si="98"/>
        <v>#REF!</v>
      </c>
      <c r="EB98" s="63" t="e">
        <f t="shared" ca="1" si="99"/>
        <v>#REF!</v>
      </c>
      <c r="EC98" s="63" t="e">
        <f t="shared" ca="1" si="100"/>
        <v>#REF!</v>
      </c>
      <c r="ED98" s="63" t="e">
        <f t="shared" ca="1" si="101"/>
        <v>#REF!</v>
      </c>
      <c r="EE98" s="63" t="e">
        <f t="shared" ca="1" si="102"/>
        <v>#REF!</v>
      </c>
      <c r="EF98" s="63" t="e">
        <f t="shared" ca="1" si="103"/>
        <v>#REF!</v>
      </c>
      <c r="EG98" s="63" t="e">
        <f t="shared" ca="1" si="104"/>
        <v>#REF!</v>
      </c>
      <c r="EH98" s="63" t="e">
        <f t="shared" ca="1" si="105"/>
        <v>#REF!</v>
      </c>
      <c r="EI98" s="63" t="e">
        <f t="shared" ca="1" si="106"/>
        <v>#REF!</v>
      </c>
      <c r="EJ98" s="63" t="e">
        <f t="shared" ca="1" si="107"/>
        <v>#REF!</v>
      </c>
      <c r="EK98" s="63" t="e">
        <f t="shared" ca="1" si="108"/>
        <v>#REF!</v>
      </c>
      <c r="EL98" s="63" t="e">
        <f t="shared" ca="1" si="109"/>
        <v>#REF!</v>
      </c>
      <c r="EM98" s="63" t="e">
        <f t="shared" ca="1" si="110"/>
        <v>#REF!</v>
      </c>
      <c r="EN98" s="63" t="e">
        <f t="shared" ca="1" si="111"/>
        <v>#REF!</v>
      </c>
      <c r="EO98" s="63" t="e">
        <f t="shared" ca="1" si="112"/>
        <v>#REF!</v>
      </c>
      <c r="EP98" s="63" t="e">
        <f t="shared" ca="1" si="113"/>
        <v>#REF!</v>
      </c>
    </row>
    <row r="99" spans="1:146">
      <c r="A99" s="64"/>
      <c r="B99" s="64"/>
      <c r="C99" s="64"/>
      <c r="D99" s="64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6"/>
      <c r="AV99" s="66"/>
      <c r="AW99" s="66"/>
      <c r="AX99" s="66"/>
      <c r="AY99" s="66"/>
      <c r="AZ99" s="66"/>
      <c r="BA99" s="65"/>
      <c r="BB99" s="65"/>
      <c r="BC99" s="65"/>
      <c r="BD99" s="65"/>
      <c r="BE99" s="65"/>
      <c r="BF99" s="65"/>
      <c r="BG99" s="65"/>
      <c r="BH99" s="65"/>
      <c r="BI99" s="65"/>
      <c r="BJ99" s="65"/>
      <c r="BK99" s="65"/>
      <c r="BL99" s="65"/>
      <c r="BM99" s="65"/>
      <c r="BN99" s="65"/>
      <c r="BO99" s="65"/>
      <c r="BP99" s="65"/>
      <c r="BQ99" s="65"/>
      <c r="BR99" s="65"/>
      <c r="BS99" s="65"/>
      <c r="BT99" s="65"/>
      <c r="BU99" s="65"/>
      <c r="BV99" s="65"/>
      <c r="BW99" s="65"/>
      <c r="BX99" s="65"/>
      <c r="BY99" s="65"/>
      <c r="BZ99" s="65"/>
      <c r="CA99" s="65"/>
      <c r="CB99" s="65"/>
      <c r="CC99" s="65"/>
      <c r="CD99" s="65"/>
      <c r="CE99" s="66"/>
      <c r="CF99" s="66"/>
      <c r="CG99" s="66"/>
      <c r="CH99" s="66"/>
      <c r="CI99" s="66"/>
      <c r="CJ99" s="66"/>
      <c r="CK99" s="66"/>
      <c r="CL99" s="66"/>
      <c r="CM99" s="66"/>
      <c r="CN99" s="66"/>
      <c r="CO99" s="66"/>
      <c r="CP99" s="66"/>
      <c r="CQ99" s="66"/>
      <c r="CR99" s="66"/>
      <c r="CS99" s="66"/>
      <c r="CT99" s="66"/>
      <c r="CU99" s="66"/>
      <c r="CV99" s="66"/>
    </row>
    <row r="100" spans="1:146">
      <c r="A100" s="64"/>
      <c r="B100" s="64"/>
      <c r="C100" s="64"/>
      <c r="D100" s="64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6"/>
      <c r="AV100" s="66"/>
      <c r="AW100" s="66"/>
      <c r="AX100" s="66"/>
      <c r="AY100" s="66"/>
      <c r="AZ100" s="66"/>
      <c r="BA100" s="65"/>
      <c r="BB100" s="65"/>
      <c r="BC100" s="65"/>
      <c r="BD100" s="65"/>
      <c r="BE100" s="65"/>
      <c r="BF100" s="65"/>
      <c r="BG100" s="65"/>
      <c r="BH100" s="65"/>
      <c r="BI100" s="65"/>
      <c r="BJ100" s="65"/>
      <c r="BK100" s="65"/>
      <c r="BL100" s="65"/>
      <c r="BM100" s="65"/>
      <c r="BN100" s="65"/>
      <c r="BO100" s="65"/>
      <c r="BP100" s="65"/>
      <c r="BQ100" s="65"/>
      <c r="BR100" s="65"/>
      <c r="BS100" s="65"/>
      <c r="BT100" s="65"/>
      <c r="BU100" s="65"/>
      <c r="BV100" s="65"/>
      <c r="BW100" s="65"/>
      <c r="BX100" s="65"/>
      <c r="BY100" s="65"/>
      <c r="BZ100" s="65"/>
      <c r="CA100" s="65"/>
      <c r="CB100" s="65"/>
      <c r="CC100" s="65"/>
      <c r="CD100" s="65"/>
      <c r="CE100" s="66"/>
      <c r="CF100" s="66"/>
      <c r="CG100" s="66"/>
      <c r="CH100" s="66"/>
      <c r="CI100" s="66"/>
      <c r="CJ100" s="66"/>
      <c r="CK100" s="66"/>
      <c r="CL100" s="66"/>
      <c r="CM100" s="66"/>
      <c r="CN100" s="66"/>
      <c r="CO100" s="66"/>
      <c r="CP100" s="66"/>
      <c r="CQ100" s="66"/>
      <c r="CR100" s="66"/>
      <c r="CS100" s="66"/>
      <c r="CT100" s="66"/>
      <c r="CU100" s="66"/>
      <c r="CV100" s="66"/>
    </row>
    <row r="101" spans="1:146">
      <c r="A101" s="64"/>
      <c r="B101" s="64"/>
      <c r="C101" s="64"/>
      <c r="D101" s="64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6"/>
      <c r="AV101" s="66"/>
      <c r="AW101" s="66"/>
      <c r="AX101" s="66"/>
      <c r="AY101" s="66"/>
      <c r="AZ101" s="66"/>
      <c r="BA101" s="65"/>
      <c r="BB101" s="65"/>
      <c r="BC101" s="65"/>
      <c r="BD101" s="65"/>
      <c r="BE101" s="65"/>
      <c r="BF101" s="65"/>
      <c r="BG101" s="65"/>
      <c r="BH101" s="65"/>
      <c r="BI101" s="65"/>
      <c r="BJ101" s="65"/>
      <c r="BK101" s="65"/>
      <c r="BL101" s="65"/>
      <c r="BM101" s="65"/>
      <c r="BN101" s="65"/>
      <c r="BO101" s="65"/>
      <c r="BP101" s="65"/>
      <c r="BQ101" s="65"/>
      <c r="BR101" s="65"/>
      <c r="BS101" s="65"/>
      <c r="BT101" s="65"/>
      <c r="BU101" s="65"/>
      <c r="BV101" s="65"/>
      <c r="BW101" s="65"/>
      <c r="BX101" s="65"/>
      <c r="BY101" s="65"/>
      <c r="BZ101" s="65"/>
      <c r="CA101" s="65"/>
      <c r="CB101" s="65"/>
      <c r="CC101" s="65"/>
      <c r="CD101" s="65"/>
      <c r="CE101" s="66"/>
      <c r="CF101" s="66"/>
      <c r="CG101" s="66"/>
      <c r="CH101" s="66"/>
      <c r="CI101" s="66"/>
      <c r="CJ101" s="66"/>
      <c r="CK101" s="66"/>
      <c r="CL101" s="66"/>
      <c r="CM101" s="66"/>
      <c r="CN101" s="66"/>
      <c r="CO101" s="66"/>
      <c r="CP101" s="66"/>
      <c r="CQ101" s="66"/>
      <c r="CR101" s="66"/>
      <c r="CS101" s="66"/>
      <c r="CT101" s="66"/>
      <c r="CU101" s="66"/>
      <c r="CV101" s="66"/>
    </row>
    <row r="102" spans="1:146">
      <c r="A102" s="64"/>
      <c r="B102" s="64"/>
      <c r="C102" s="64"/>
      <c r="D102" s="64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6"/>
      <c r="AV102" s="66"/>
      <c r="AW102" s="66"/>
      <c r="AX102" s="66"/>
      <c r="AY102" s="66"/>
      <c r="AZ102" s="66"/>
      <c r="BA102" s="65"/>
      <c r="BB102" s="65"/>
      <c r="BC102" s="65"/>
      <c r="BD102" s="65"/>
      <c r="BE102" s="65"/>
      <c r="BF102" s="65"/>
      <c r="BG102" s="65"/>
      <c r="BH102" s="65"/>
      <c r="BI102" s="65"/>
      <c r="BJ102" s="65"/>
      <c r="BK102" s="65"/>
      <c r="BL102" s="65"/>
      <c r="BM102" s="65"/>
      <c r="BN102" s="65"/>
      <c r="BO102" s="65"/>
      <c r="BP102" s="65"/>
      <c r="BQ102" s="65"/>
      <c r="BR102" s="65"/>
      <c r="BS102" s="65"/>
      <c r="BT102" s="65"/>
      <c r="BU102" s="65"/>
      <c r="BV102" s="65"/>
      <c r="BW102" s="65"/>
      <c r="BX102" s="65"/>
      <c r="BY102" s="65"/>
      <c r="BZ102" s="65"/>
      <c r="CA102" s="65"/>
      <c r="CB102" s="65"/>
      <c r="CC102" s="65"/>
      <c r="CD102" s="65"/>
      <c r="CE102" s="66"/>
      <c r="CF102" s="66"/>
      <c r="CG102" s="66"/>
      <c r="CH102" s="66"/>
      <c r="CI102" s="66"/>
      <c r="CJ102" s="66"/>
      <c r="CK102" s="66"/>
      <c r="CL102" s="66"/>
      <c r="CM102" s="66"/>
      <c r="CN102" s="66"/>
      <c r="CO102" s="66"/>
      <c r="CP102" s="66"/>
      <c r="CQ102" s="66"/>
      <c r="CR102" s="66"/>
      <c r="CS102" s="66"/>
      <c r="CT102" s="66"/>
      <c r="CU102" s="66"/>
      <c r="CV102" s="66"/>
    </row>
    <row r="103" spans="1:146">
      <c r="A103" s="64"/>
      <c r="B103" s="64"/>
      <c r="C103" s="64"/>
      <c r="D103" s="64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6"/>
      <c r="AV103" s="66"/>
      <c r="AW103" s="66"/>
      <c r="AX103" s="66"/>
      <c r="AY103" s="66"/>
      <c r="AZ103" s="66"/>
      <c r="BA103" s="65"/>
      <c r="BB103" s="65"/>
      <c r="BC103" s="65"/>
      <c r="BD103" s="65"/>
      <c r="BE103" s="65"/>
      <c r="BF103" s="65"/>
      <c r="BG103" s="65"/>
      <c r="BH103" s="65"/>
      <c r="BI103" s="65"/>
      <c r="BJ103" s="65"/>
      <c r="BK103" s="65"/>
      <c r="BL103" s="65"/>
      <c r="BM103" s="65"/>
      <c r="BN103" s="65"/>
      <c r="BO103" s="65"/>
      <c r="BP103" s="65"/>
      <c r="BQ103" s="65"/>
      <c r="BR103" s="65"/>
      <c r="BS103" s="65"/>
      <c r="BT103" s="65"/>
      <c r="BU103" s="65"/>
      <c r="BV103" s="65"/>
      <c r="BW103" s="65"/>
      <c r="BX103" s="65"/>
      <c r="BY103" s="65"/>
      <c r="BZ103" s="65"/>
      <c r="CA103" s="65"/>
      <c r="CB103" s="65"/>
      <c r="CC103" s="65"/>
      <c r="CD103" s="65"/>
      <c r="CE103" s="66"/>
      <c r="CF103" s="66"/>
      <c r="CG103" s="66"/>
      <c r="CH103" s="66"/>
      <c r="CI103" s="66"/>
      <c r="CJ103" s="66"/>
      <c r="CK103" s="66"/>
      <c r="CL103" s="66"/>
      <c r="CM103" s="66"/>
      <c r="CN103" s="66"/>
      <c r="CO103" s="66"/>
      <c r="CP103" s="66"/>
      <c r="CQ103" s="66"/>
      <c r="CR103" s="66"/>
      <c r="CS103" s="66"/>
      <c r="CT103" s="66"/>
      <c r="CU103" s="66"/>
      <c r="CV103" s="66"/>
    </row>
    <row r="104" spans="1:146">
      <c r="A104" s="64"/>
      <c r="B104" s="64"/>
      <c r="C104" s="64"/>
      <c r="D104" s="64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5"/>
      <c r="BB104" s="65"/>
      <c r="BC104" s="65"/>
      <c r="BD104" s="65"/>
      <c r="BE104" s="65"/>
      <c r="BF104" s="65"/>
      <c r="BG104" s="65"/>
      <c r="BH104" s="65"/>
      <c r="BI104" s="65"/>
      <c r="BJ104" s="65"/>
      <c r="BK104" s="65"/>
      <c r="BL104" s="65"/>
      <c r="BM104" s="65"/>
      <c r="BN104" s="65"/>
      <c r="BO104" s="65"/>
      <c r="BP104" s="65"/>
      <c r="BQ104" s="65"/>
      <c r="BR104" s="65"/>
      <c r="BS104" s="65"/>
      <c r="BT104" s="65"/>
      <c r="BU104" s="65"/>
      <c r="BV104" s="65"/>
      <c r="BW104" s="65"/>
      <c r="BX104" s="65"/>
      <c r="BY104" s="65"/>
      <c r="BZ104" s="65"/>
      <c r="CA104" s="65"/>
      <c r="CB104" s="65"/>
      <c r="CC104" s="65"/>
      <c r="CD104" s="65"/>
      <c r="CE104" s="66"/>
      <c r="CF104" s="66"/>
      <c r="CG104" s="66"/>
      <c r="CH104" s="66"/>
      <c r="CI104" s="66"/>
      <c r="CJ104" s="66"/>
      <c r="CK104" s="66"/>
      <c r="CL104" s="66"/>
      <c r="CM104" s="66"/>
      <c r="CN104" s="66"/>
      <c r="CO104" s="66"/>
      <c r="CP104" s="66"/>
      <c r="CQ104" s="66"/>
      <c r="CR104" s="66"/>
      <c r="CS104" s="66"/>
      <c r="CT104" s="66"/>
      <c r="CU104" s="66"/>
      <c r="CV104" s="66"/>
    </row>
    <row r="105" spans="1:146">
      <c r="A105" s="64"/>
      <c r="B105" s="64"/>
      <c r="C105" s="64"/>
      <c r="D105" s="64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6"/>
      <c r="AV105" s="66"/>
      <c r="AW105" s="66"/>
      <c r="AX105" s="66"/>
      <c r="AY105" s="66"/>
      <c r="AZ105" s="66"/>
      <c r="BA105" s="65"/>
      <c r="BB105" s="65"/>
      <c r="BC105" s="65"/>
      <c r="BD105" s="65"/>
      <c r="BE105" s="65"/>
      <c r="BF105" s="65"/>
      <c r="BG105" s="65"/>
      <c r="BH105" s="65"/>
      <c r="BI105" s="65"/>
      <c r="BJ105" s="65"/>
      <c r="BK105" s="65"/>
      <c r="BL105" s="65"/>
      <c r="BM105" s="65"/>
      <c r="BN105" s="65"/>
      <c r="BO105" s="65"/>
      <c r="BP105" s="65"/>
      <c r="BQ105" s="65"/>
      <c r="BR105" s="65"/>
      <c r="BS105" s="65"/>
      <c r="BT105" s="65"/>
      <c r="BU105" s="65"/>
      <c r="BV105" s="65"/>
      <c r="BW105" s="65"/>
      <c r="BX105" s="65"/>
      <c r="BY105" s="65"/>
      <c r="BZ105" s="65"/>
      <c r="CA105" s="65"/>
      <c r="CB105" s="65"/>
      <c r="CC105" s="65"/>
      <c r="CD105" s="65"/>
      <c r="CE105" s="66"/>
      <c r="CF105" s="66"/>
      <c r="CG105" s="66"/>
      <c r="CH105" s="66"/>
      <c r="CI105" s="66"/>
      <c r="CJ105" s="66"/>
      <c r="CK105" s="66"/>
      <c r="CL105" s="66"/>
      <c r="CM105" s="66"/>
      <c r="CN105" s="66"/>
      <c r="CO105" s="66"/>
      <c r="CP105" s="66"/>
      <c r="CQ105" s="66"/>
      <c r="CR105" s="66"/>
      <c r="CS105" s="66"/>
      <c r="CT105" s="66"/>
      <c r="CU105" s="66"/>
      <c r="CV105" s="66"/>
    </row>
    <row r="106" spans="1:146">
      <c r="A106" s="64"/>
      <c r="B106" s="64"/>
      <c r="C106" s="64"/>
      <c r="D106" s="64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5"/>
      <c r="BB106" s="65"/>
      <c r="BC106" s="65"/>
      <c r="BD106" s="65"/>
      <c r="BE106" s="65"/>
      <c r="BF106" s="65"/>
      <c r="BG106" s="65"/>
      <c r="BH106" s="65"/>
      <c r="BI106" s="65"/>
      <c r="BJ106" s="65"/>
      <c r="BK106" s="65"/>
      <c r="BL106" s="65"/>
      <c r="BM106" s="65"/>
      <c r="BN106" s="65"/>
      <c r="BO106" s="65"/>
      <c r="BP106" s="65"/>
      <c r="BQ106" s="65"/>
      <c r="BR106" s="65"/>
      <c r="BS106" s="65"/>
      <c r="BT106" s="65"/>
      <c r="BU106" s="65"/>
      <c r="BV106" s="65"/>
      <c r="BW106" s="65"/>
      <c r="BX106" s="65"/>
      <c r="BY106" s="65"/>
      <c r="BZ106" s="65"/>
      <c r="CA106" s="65"/>
      <c r="CB106" s="65"/>
      <c r="CC106" s="65"/>
      <c r="CD106" s="65"/>
      <c r="CE106" s="66"/>
      <c r="CF106" s="66"/>
      <c r="CG106" s="66"/>
      <c r="CH106" s="66"/>
      <c r="CI106" s="66"/>
      <c r="CJ106" s="66"/>
      <c r="CK106" s="66"/>
      <c r="CL106" s="66"/>
      <c r="CM106" s="66"/>
      <c r="CN106" s="66"/>
      <c r="CO106" s="66"/>
      <c r="CP106" s="66"/>
      <c r="CQ106" s="66"/>
      <c r="CR106" s="66"/>
      <c r="CS106" s="66"/>
      <c r="CT106" s="66"/>
      <c r="CU106" s="66"/>
      <c r="CV106" s="66"/>
    </row>
    <row r="107" spans="1:146">
      <c r="A107" s="64"/>
      <c r="B107" s="64"/>
      <c r="C107" s="64"/>
      <c r="D107" s="64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5"/>
      <c r="BB107" s="65"/>
      <c r="BC107" s="65"/>
      <c r="BD107" s="65"/>
      <c r="BE107" s="65"/>
      <c r="BF107" s="65"/>
      <c r="BG107" s="65"/>
      <c r="BH107" s="65"/>
      <c r="BI107" s="65"/>
      <c r="BJ107" s="65"/>
      <c r="BK107" s="65"/>
      <c r="BL107" s="65"/>
      <c r="BM107" s="65"/>
      <c r="BN107" s="65"/>
      <c r="BO107" s="65"/>
      <c r="BP107" s="65"/>
      <c r="BQ107" s="65"/>
      <c r="BR107" s="65"/>
      <c r="BS107" s="65"/>
      <c r="BT107" s="65"/>
      <c r="BU107" s="65"/>
      <c r="BV107" s="65"/>
      <c r="BW107" s="65"/>
      <c r="BX107" s="65"/>
      <c r="BY107" s="65"/>
      <c r="BZ107" s="65"/>
      <c r="CA107" s="65"/>
      <c r="CB107" s="65"/>
      <c r="CC107" s="65"/>
      <c r="CD107" s="65"/>
      <c r="CE107" s="66"/>
      <c r="CF107" s="66"/>
      <c r="CG107" s="66"/>
      <c r="CH107" s="66"/>
      <c r="CI107" s="66"/>
      <c r="CJ107" s="66"/>
      <c r="CK107" s="66"/>
      <c r="CL107" s="66"/>
      <c r="CM107" s="66"/>
      <c r="CN107" s="66"/>
      <c r="CO107" s="66"/>
      <c r="CP107" s="66"/>
      <c r="CQ107" s="66"/>
      <c r="CR107" s="66"/>
      <c r="CS107" s="66"/>
      <c r="CT107" s="66"/>
      <c r="CU107" s="66"/>
      <c r="CV107" s="66"/>
    </row>
    <row r="108" spans="1:146">
      <c r="A108" s="64"/>
      <c r="B108" s="64"/>
      <c r="C108" s="64"/>
      <c r="D108" s="64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6"/>
      <c r="AJ108" s="66"/>
      <c r="AK108" s="66"/>
      <c r="AL108" s="66"/>
      <c r="AM108" s="66"/>
      <c r="AN108" s="66"/>
      <c r="AO108" s="66"/>
      <c r="AP108" s="66"/>
      <c r="AQ108" s="68">
        <f ca="1">TODAY()-MOD(WEEKDAY(TODAY(),2)-5,7)</f>
        <v>46255</v>
      </c>
      <c r="AR108" s="66"/>
      <c r="AS108" s="66"/>
      <c r="AT108" s="66"/>
      <c r="AU108" s="66"/>
      <c r="AV108" s="66"/>
      <c r="AW108" s="66"/>
      <c r="AX108" s="66"/>
      <c r="AY108" s="66"/>
      <c r="AZ108" s="66"/>
      <c r="BA108" s="65"/>
      <c r="BB108" s="65"/>
      <c r="BC108" s="65"/>
      <c r="BD108" s="65"/>
      <c r="BE108" s="65"/>
      <c r="BF108" s="65"/>
      <c r="BG108" s="65"/>
      <c r="BH108" s="65"/>
      <c r="BI108" s="65"/>
      <c r="BJ108" s="65"/>
      <c r="BK108" s="65"/>
      <c r="BL108" s="65"/>
      <c r="BM108" s="65"/>
      <c r="BN108" s="65"/>
      <c r="BO108" s="65"/>
      <c r="BP108" s="65"/>
      <c r="BQ108" s="65"/>
      <c r="BR108" s="65"/>
      <c r="BS108" s="65"/>
      <c r="BT108" s="65"/>
      <c r="BU108" s="65"/>
      <c r="BV108" s="65"/>
      <c r="BW108" s="65"/>
      <c r="BX108" s="65"/>
      <c r="BY108" s="65"/>
      <c r="BZ108" s="65"/>
      <c r="CA108" s="65"/>
      <c r="CB108" s="65"/>
      <c r="CC108" s="65"/>
      <c r="CD108" s="65"/>
      <c r="CE108" s="66"/>
      <c r="CF108" s="66"/>
      <c r="CG108" s="66"/>
      <c r="CH108" s="66"/>
      <c r="CI108" s="66"/>
      <c r="CJ108" s="66"/>
      <c r="CK108" s="66"/>
      <c r="CL108" s="66"/>
      <c r="CM108" s="66"/>
      <c r="CN108" s="66"/>
      <c r="CO108" s="66"/>
      <c r="CP108" s="66"/>
      <c r="CQ108" s="66"/>
      <c r="CR108" s="66"/>
      <c r="CS108" s="66"/>
      <c r="CT108" s="66"/>
      <c r="CU108" s="66"/>
      <c r="CV108" s="66"/>
    </row>
    <row r="109" spans="1:146">
      <c r="A109" s="64"/>
      <c r="B109" s="64"/>
      <c r="C109" s="64"/>
      <c r="D109" s="64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6"/>
      <c r="AV109" s="66"/>
      <c r="AW109" s="66"/>
      <c r="AX109" s="66"/>
      <c r="AY109" s="66"/>
      <c r="AZ109" s="66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5"/>
      <c r="CA109" s="65"/>
      <c r="CB109" s="65"/>
      <c r="CC109" s="65"/>
      <c r="CD109" s="65"/>
      <c r="CE109" s="66"/>
      <c r="CF109" s="66"/>
      <c r="CG109" s="66"/>
      <c r="CH109" s="66"/>
      <c r="CI109" s="66"/>
      <c r="CJ109" s="66"/>
      <c r="CK109" s="66"/>
      <c r="CL109" s="66"/>
      <c r="CM109" s="66"/>
      <c r="CN109" s="66"/>
      <c r="CO109" s="66"/>
      <c r="CP109" s="66"/>
      <c r="CQ109" s="66"/>
      <c r="CR109" s="66"/>
      <c r="CS109" s="66"/>
      <c r="CT109" s="66"/>
      <c r="CU109" s="66"/>
      <c r="CV109" s="66"/>
    </row>
    <row r="110" spans="1:146">
      <c r="A110" s="64"/>
      <c r="B110" s="64"/>
      <c r="C110" s="64"/>
      <c r="D110" s="64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6"/>
      <c r="AV110" s="66"/>
      <c r="AW110" s="66"/>
      <c r="AX110" s="66"/>
      <c r="AY110" s="66"/>
      <c r="AZ110" s="66"/>
      <c r="BA110" s="65"/>
      <c r="BB110" s="65"/>
      <c r="BC110" s="65"/>
      <c r="BD110" s="65"/>
      <c r="BE110" s="65"/>
      <c r="BF110" s="65"/>
      <c r="BG110" s="65"/>
      <c r="BH110" s="65"/>
      <c r="BI110" s="65"/>
      <c r="BJ110" s="65"/>
      <c r="BK110" s="65"/>
      <c r="BL110" s="65"/>
      <c r="BM110" s="65"/>
      <c r="BN110" s="65"/>
      <c r="BO110" s="65"/>
      <c r="BP110" s="65"/>
      <c r="BQ110" s="65"/>
      <c r="BR110" s="65"/>
      <c r="BS110" s="65"/>
      <c r="BT110" s="65"/>
      <c r="BU110" s="65"/>
      <c r="BV110" s="65"/>
      <c r="BW110" s="65"/>
      <c r="BX110" s="65"/>
      <c r="BY110" s="65"/>
      <c r="BZ110" s="65"/>
      <c r="CA110" s="65"/>
      <c r="CB110" s="65"/>
      <c r="CC110" s="65"/>
      <c r="CD110" s="65"/>
      <c r="CE110" s="66"/>
      <c r="CF110" s="66"/>
      <c r="CG110" s="66"/>
      <c r="CH110" s="66"/>
      <c r="CI110" s="66"/>
      <c r="CJ110" s="66"/>
      <c r="CK110" s="66"/>
      <c r="CL110" s="66"/>
      <c r="CM110" s="66"/>
      <c r="CN110" s="66"/>
      <c r="CO110" s="66"/>
      <c r="CP110" s="66"/>
      <c r="CQ110" s="66"/>
      <c r="CR110" s="66"/>
      <c r="CS110" s="66"/>
      <c r="CT110" s="66"/>
      <c r="CU110" s="66"/>
      <c r="CV110" s="66"/>
    </row>
    <row r="111" spans="1:146">
      <c r="A111" s="64"/>
      <c r="B111" s="64"/>
      <c r="C111" s="64"/>
      <c r="D111" s="64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5"/>
      <c r="BB111" s="65"/>
      <c r="BC111" s="65"/>
      <c r="BD111" s="65"/>
      <c r="BE111" s="65"/>
      <c r="BF111" s="65"/>
      <c r="BG111" s="65"/>
      <c r="BH111" s="65"/>
      <c r="BI111" s="65"/>
      <c r="BJ111" s="65"/>
      <c r="BK111" s="65"/>
      <c r="BL111" s="65"/>
      <c r="BM111" s="65"/>
      <c r="BN111" s="65"/>
      <c r="BO111" s="65"/>
      <c r="BP111" s="65"/>
      <c r="BQ111" s="65"/>
      <c r="BR111" s="65"/>
      <c r="BS111" s="65"/>
      <c r="BT111" s="65"/>
      <c r="BU111" s="65"/>
      <c r="BV111" s="65"/>
      <c r="BW111" s="65"/>
      <c r="BX111" s="65"/>
      <c r="BY111" s="65"/>
      <c r="BZ111" s="65"/>
      <c r="CA111" s="65"/>
      <c r="CB111" s="65"/>
      <c r="CC111" s="65"/>
      <c r="CD111" s="65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</row>
    <row r="112" spans="1:146">
      <c r="A112" s="64"/>
      <c r="B112" s="64"/>
      <c r="C112" s="64"/>
      <c r="D112" s="64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6"/>
      <c r="AV112" s="66"/>
      <c r="AW112" s="66"/>
      <c r="AX112" s="66"/>
      <c r="AY112" s="66"/>
      <c r="AZ112" s="66"/>
      <c r="BA112" s="65"/>
      <c r="BB112" s="65"/>
      <c r="BC112" s="65"/>
      <c r="BD112" s="65"/>
      <c r="BE112" s="65"/>
      <c r="BF112" s="65"/>
      <c r="BG112" s="65"/>
      <c r="BH112" s="65"/>
      <c r="BI112" s="65"/>
      <c r="BJ112" s="65"/>
      <c r="BK112" s="65"/>
      <c r="BL112" s="65"/>
      <c r="BM112" s="65"/>
      <c r="BN112" s="65"/>
      <c r="BO112" s="65"/>
      <c r="BP112" s="65"/>
      <c r="BQ112" s="65"/>
      <c r="BR112" s="65"/>
      <c r="BS112" s="65"/>
      <c r="BT112" s="65"/>
      <c r="BU112" s="65"/>
      <c r="BV112" s="65"/>
      <c r="BW112" s="65"/>
      <c r="BX112" s="65"/>
      <c r="BY112" s="65"/>
      <c r="BZ112" s="65"/>
      <c r="CA112" s="65"/>
      <c r="CB112" s="65"/>
      <c r="CC112" s="65"/>
      <c r="CD112" s="65"/>
      <c r="CE112" s="66"/>
      <c r="CF112" s="66"/>
      <c r="CG112" s="66"/>
      <c r="CH112" s="66"/>
      <c r="CI112" s="66"/>
      <c r="CJ112" s="66"/>
      <c r="CK112" s="66"/>
      <c r="CL112" s="66"/>
      <c r="CM112" s="66"/>
      <c r="CN112" s="66"/>
      <c r="CO112" s="66"/>
      <c r="CP112" s="66"/>
      <c r="CQ112" s="66"/>
      <c r="CR112" s="66"/>
      <c r="CS112" s="66"/>
      <c r="CT112" s="66"/>
      <c r="CU112" s="66"/>
      <c r="CV112" s="66"/>
    </row>
    <row r="113" spans="1:100">
      <c r="A113" s="64"/>
      <c r="B113" s="64"/>
      <c r="C113" s="64"/>
      <c r="D113" s="64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6"/>
      <c r="AV113" s="66"/>
      <c r="AW113" s="66"/>
      <c r="AX113" s="66"/>
      <c r="AY113" s="66"/>
      <c r="AZ113" s="66"/>
      <c r="BA113" s="65"/>
      <c r="BB113" s="65"/>
      <c r="BC113" s="65"/>
      <c r="BD113" s="65"/>
      <c r="BE113" s="65"/>
      <c r="BF113" s="65"/>
      <c r="BG113" s="65"/>
      <c r="BH113" s="65"/>
      <c r="BI113" s="65"/>
      <c r="BJ113" s="65"/>
      <c r="BK113" s="65"/>
      <c r="BL113" s="65"/>
      <c r="BM113" s="65"/>
      <c r="BN113" s="65"/>
      <c r="BO113" s="65"/>
      <c r="BP113" s="65"/>
      <c r="BQ113" s="65"/>
      <c r="BR113" s="65"/>
      <c r="BS113" s="65"/>
      <c r="BT113" s="65"/>
      <c r="BU113" s="65"/>
      <c r="BV113" s="65"/>
      <c r="BW113" s="65"/>
      <c r="BX113" s="65"/>
      <c r="BY113" s="65"/>
      <c r="BZ113" s="65"/>
      <c r="CA113" s="65"/>
      <c r="CB113" s="65"/>
      <c r="CC113" s="65"/>
      <c r="CD113" s="65"/>
      <c r="CE113" s="66"/>
      <c r="CF113" s="66"/>
      <c r="CG113" s="66"/>
      <c r="CH113" s="66"/>
      <c r="CI113" s="66"/>
      <c r="CJ113" s="66"/>
      <c r="CK113" s="66"/>
      <c r="CL113" s="66"/>
      <c r="CM113" s="66"/>
      <c r="CN113" s="66"/>
      <c r="CO113" s="66"/>
      <c r="CP113" s="66"/>
      <c r="CQ113" s="66"/>
      <c r="CR113" s="66"/>
      <c r="CS113" s="66"/>
      <c r="CT113" s="66"/>
      <c r="CU113" s="66"/>
      <c r="CV113" s="66"/>
    </row>
    <row r="114" spans="1:100">
      <c r="A114" s="64"/>
      <c r="B114" s="64"/>
      <c r="C114" s="64"/>
      <c r="D114" s="64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6"/>
      <c r="AV114" s="66"/>
      <c r="AW114" s="66"/>
      <c r="AX114" s="66"/>
      <c r="AY114" s="66"/>
      <c r="AZ114" s="66"/>
      <c r="BA114" s="65"/>
      <c r="BB114" s="65"/>
      <c r="BC114" s="65"/>
      <c r="BD114" s="65"/>
      <c r="BE114" s="65"/>
      <c r="BF114" s="65"/>
      <c r="BG114" s="65"/>
      <c r="BH114" s="65"/>
      <c r="BI114" s="65"/>
      <c r="BJ114" s="65"/>
      <c r="BK114" s="65"/>
      <c r="BL114" s="65"/>
      <c r="BM114" s="65"/>
      <c r="BN114" s="65"/>
      <c r="BO114" s="65"/>
      <c r="BP114" s="65"/>
      <c r="BQ114" s="65"/>
      <c r="BR114" s="65"/>
      <c r="BS114" s="65"/>
      <c r="BT114" s="65"/>
      <c r="BU114" s="65"/>
      <c r="BV114" s="65"/>
      <c r="BW114" s="65"/>
      <c r="BX114" s="65"/>
      <c r="BY114" s="65"/>
      <c r="BZ114" s="65"/>
      <c r="CA114" s="65"/>
      <c r="CB114" s="65"/>
      <c r="CC114" s="65"/>
      <c r="CD114" s="65"/>
      <c r="CE114" s="66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</row>
    <row r="115" spans="1:100">
      <c r="A115" s="64"/>
      <c r="B115" s="64"/>
      <c r="C115" s="64"/>
      <c r="D115" s="64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6"/>
      <c r="AV115" s="66"/>
      <c r="AW115" s="66"/>
      <c r="AX115" s="66"/>
      <c r="AY115" s="66"/>
      <c r="AZ115" s="66"/>
      <c r="BA115" s="65"/>
      <c r="BB115" s="65"/>
      <c r="BC115" s="65"/>
      <c r="BD115" s="65"/>
      <c r="BE115" s="65"/>
      <c r="BF115" s="65"/>
      <c r="BG115" s="65"/>
      <c r="BH115" s="65"/>
      <c r="BI115" s="65"/>
      <c r="BJ115" s="65"/>
      <c r="BK115" s="65"/>
      <c r="BL115" s="65"/>
      <c r="BM115" s="65"/>
      <c r="BN115" s="65"/>
      <c r="BO115" s="65"/>
      <c r="BP115" s="65"/>
      <c r="BQ115" s="65"/>
      <c r="BR115" s="65"/>
      <c r="BS115" s="65"/>
      <c r="BT115" s="65"/>
      <c r="BU115" s="65"/>
      <c r="BV115" s="65"/>
      <c r="BW115" s="65"/>
      <c r="BX115" s="65"/>
      <c r="BY115" s="65"/>
      <c r="BZ115" s="65"/>
      <c r="CA115" s="65"/>
      <c r="CB115" s="65"/>
      <c r="CC115" s="65"/>
      <c r="CD115" s="65"/>
      <c r="CE115" s="66"/>
      <c r="CF115" s="66"/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</row>
    <row r="116" spans="1:100">
      <c r="A116" s="64"/>
      <c r="B116" s="64"/>
      <c r="C116" s="64"/>
      <c r="D116" s="64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6"/>
      <c r="AV116" s="66"/>
      <c r="AW116" s="66"/>
      <c r="AX116" s="66"/>
      <c r="AY116" s="66"/>
      <c r="AZ116" s="66"/>
      <c r="BA116" s="65"/>
      <c r="BB116" s="65"/>
      <c r="BC116" s="65"/>
      <c r="BD116" s="65"/>
      <c r="BE116" s="65"/>
      <c r="BF116" s="65"/>
      <c r="BG116" s="65"/>
      <c r="BH116" s="65"/>
      <c r="BI116" s="65"/>
      <c r="BJ116" s="65"/>
      <c r="BK116" s="65"/>
      <c r="BL116" s="65"/>
      <c r="BM116" s="65"/>
      <c r="BN116" s="65"/>
      <c r="BO116" s="65"/>
      <c r="BP116" s="65"/>
      <c r="BQ116" s="65"/>
      <c r="BR116" s="65"/>
      <c r="BS116" s="65"/>
      <c r="BT116" s="65"/>
      <c r="BU116" s="65"/>
      <c r="BV116" s="65"/>
      <c r="BW116" s="65"/>
      <c r="BX116" s="65"/>
      <c r="BY116" s="65"/>
      <c r="BZ116" s="65"/>
      <c r="CA116" s="65"/>
      <c r="CB116" s="65"/>
      <c r="CC116" s="65"/>
      <c r="CD116" s="65"/>
      <c r="CE116" s="66"/>
      <c r="CF116" s="66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1C323-3074-4D0A-94A1-0E411125D1C8}">
  <sheetPr codeName="Feuil1">
    <tabColor rgb="FFFF0000"/>
  </sheetPr>
  <dimension ref="A1:FO104"/>
  <sheetViews>
    <sheetView showGridLines="0" topLeftCell="A5" zoomScale="55" zoomScaleNormal="55" workbookViewId="0">
      <selection activeCell="Q39" sqref="Q3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1" max="1" width="11.42578125" customWidth="1"/>
    <col min="2" max="2" width="6.5703125" bestFit="1" customWidth="1"/>
    <col min="3" max="62" width="3.5703125" customWidth="1"/>
    <col min="63" max="63" width="10.42578125" bestFit="1" customWidth="1"/>
    <col min="69" max="69" width="10.42578125" bestFit="1" customWidth="1"/>
    <col min="72" max="72" width="11.140625" bestFit="1" customWidth="1"/>
    <col min="75" max="75" width="11.140625" bestFit="1" customWidth="1"/>
  </cols>
  <sheetData>
    <row r="1" spans="1:171" ht="14.45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</row>
    <row r="2" spans="1:171" ht="14.45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171" ht="14.45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171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  <c r="FO4" t="e" cm="1">
        <f t="array" ref="FO4">_xlfn.XLOOKUP(FO3,'TH_MLG GRADE 10'!B7:B49,'TH_MLG GRADE 10'!BK7:BM49)</f>
        <v>#N/A</v>
      </c>
    </row>
    <row r="5" spans="1:171" ht="37.5" customHeight="1" thickBot="1">
      <c r="B5" s="9"/>
      <c r="C5" s="373" t="s">
        <v>34</v>
      </c>
      <c r="D5" s="374"/>
      <c r="E5" s="374"/>
      <c r="F5" s="374"/>
      <c r="G5" s="374"/>
      <c r="H5" s="375"/>
      <c r="I5" s="373" t="s">
        <v>164</v>
      </c>
      <c r="J5" s="374"/>
      <c r="K5" s="374"/>
      <c r="L5" s="374"/>
      <c r="M5" s="374"/>
      <c r="N5" s="375"/>
      <c r="O5" s="373" t="s">
        <v>406</v>
      </c>
      <c r="P5" s="374"/>
      <c r="Q5" s="374"/>
      <c r="R5" s="374"/>
      <c r="S5" s="374"/>
      <c r="T5" s="375"/>
      <c r="U5" s="373" t="s">
        <v>166</v>
      </c>
      <c r="V5" s="374"/>
      <c r="W5" s="374"/>
      <c r="X5" s="374"/>
      <c r="Y5" s="374"/>
      <c r="Z5" s="375"/>
      <c r="AA5" s="389" t="s">
        <v>407</v>
      </c>
      <c r="AB5" s="390"/>
      <c r="AC5" s="390"/>
      <c r="AD5" s="390"/>
      <c r="AE5" s="390"/>
      <c r="AF5" s="391"/>
      <c r="AG5" s="373" t="s">
        <v>168</v>
      </c>
      <c r="AH5" s="374"/>
      <c r="AI5" s="374"/>
      <c r="AJ5" s="374"/>
      <c r="AK5" s="374"/>
      <c r="AL5" s="375"/>
      <c r="AM5" s="373" t="s">
        <v>169</v>
      </c>
      <c r="AN5" s="374"/>
      <c r="AO5" s="374"/>
      <c r="AP5" s="374"/>
      <c r="AQ5" s="374"/>
      <c r="AR5" s="375"/>
      <c r="AS5" s="373" t="s">
        <v>170</v>
      </c>
      <c r="AT5" s="374"/>
      <c r="AU5" s="374"/>
      <c r="AV5" s="374"/>
      <c r="AW5" s="374"/>
      <c r="AX5" s="375"/>
      <c r="AY5" s="373" t="s">
        <v>171</v>
      </c>
      <c r="AZ5" s="374"/>
      <c r="BA5" s="374"/>
      <c r="BB5" s="374"/>
      <c r="BC5" s="374"/>
      <c r="BD5" s="375"/>
      <c r="BE5" s="373" t="s">
        <v>172</v>
      </c>
      <c r="BF5" s="374"/>
      <c r="BG5" s="374"/>
      <c r="BH5" s="374"/>
      <c r="BI5" s="374"/>
      <c r="BJ5" s="375"/>
      <c r="BK5" s="379" t="s">
        <v>193</v>
      </c>
      <c r="BL5" s="380"/>
      <c r="BM5" s="381"/>
      <c r="BN5" s="373" t="str">
        <f>C5</f>
        <v>TASYA</v>
      </c>
      <c r="BO5" s="374"/>
      <c r="BP5" s="375"/>
      <c r="BQ5" s="373" t="str">
        <f>I5</f>
        <v>FAIZ</v>
      </c>
      <c r="BR5" s="374"/>
      <c r="BS5" s="375"/>
      <c r="BT5" s="373" t="str">
        <f>O5</f>
        <v>ANNISA</v>
      </c>
      <c r="BU5" s="374"/>
      <c r="BV5" s="375"/>
      <c r="BW5" s="373" t="str">
        <f>U5</f>
        <v>BIMA</v>
      </c>
      <c r="BX5" s="374"/>
      <c r="BY5" s="375"/>
      <c r="BZ5" s="373" t="str">
        <f>AA5</f>
        <v>AKHMAD</v>
      </c>
      <c r="CA5" s="374"/>
      <c r="CB5" s="375"/>
      <c r="CC5" s="373" t="str">
        <f>AG5</f>
        <v>ARIFAH</v>
      </c>
      <c r="CD5" s="374"/>
      <c r="CE5" s="375"/>
      <c r="CF5" s="373" t="str">
        <f>AM5</f>
        <v>DEVI</v>
      </c>
      <c r="CG5" s="374"/>
      <c r="CH5" s="375"/>
      <c r="CI5" s="373" t="str">
        <f>AS5</f>
        <v>AINUR</v>
      </c>
      <c r="CJ5" s="374"/>
      <c r="CK5" s="375"/>
      <c r="CL5" s="373" t="str">
        <f>AY5</f>
        <v>FAJAR</v>
      </c>
      <c r="CM5" s="374"/>
      <c r="CN5" s="375"/>
      <c r="CO5" s="373" t="str">
        <f>BE5</f>
        <v>ALIF</v>
      </c>
      <c r="CP5" s="374"/>
      <c r="CQ5" s="375"/>
    </row>
    <row r="6" spans="1:171" ht="18" thickBot="1">
      <c r="A6" s="345" t="s">
        <v>194</v>
      </c>
      <c r="B6" s="271"/>
      <c r="C6" s="272" t="s">
        <v>29</v>
      </c>
      <c r="D6" s="268" t="s">
        <v>30</v>
      </c>
      <c r="E6" s="268" t="s">
        <v>195</v>
      </c>
      <c r="F6" s="268" t="s">
        <v>196</v>
      </c>
      <c r="G6" s="268" t="s">
        <v>197</v>
      </c>
      <c r="H6" s="273" t="s">
        <v>33</v>
      </c>
      <c r="I6" s="272" t="s">
        <v>29</v>
      </c>
      <c r="J6" s="268" t="s">
        <v>30</v>
      </c>
      <c r="K6" s="268" t="s">
        <v>195</v>
      </c>
      <c r="L6" s="268" t="s">
        <v>196</v>
      </c>
      <c r="M6" s="268" t="s">
        <v>197</v>
      </c>
      <c r="N6" s="273" t="s">
        <v>33</v>
      </c>
      <c r="O6" s="272" t="s">
        <v>29</v>
      </c>
      <c r="P6" s="268" t="s">
        <v>30</v>
      </c>
      <c r="Q6" s="268" t="s">
        <v>195</v>
      </c>
      <c r="R6" s="268" t="s">
        <v>196</v>
      </c>
      <c r="S6" s="268" t="s">
        <v>197</v>
      </c>
      <c r="T6" s="273" t="s">
        <v>33</v>
      </c>
      <c r="U6" s="272" t="s">
        <v>29</v>
      </c>
      <c r="V6" s="268" t="s">
        <v>30</v>
      </c>
      <c r="W6" s="268" t="s">
        <v>195</v>
      </c>
      <c r="X6" s="268" t="s">
        <v>196</v>
      </c>
      <c r="Y6" s="268" t="s">
        <v>197</v>
      </c>
      <c r="Z6" s="273" t="s">
        <v>33</v>
      </c>
      <c r="AA6" s="272" t="s">
        <v>29</v>
      </c>
      <c r="AB6" s="268" t="s">
        <v>30</v>
      </c>
      <c r="AC6" s="268" t="s">
        <v>195</v>
      </c>
      <c r="AD6" s="268" t="s">
        <v>196</v>
      </c>
      <c r="AE6" s="268" t="s">
        <v>197</v>
      </c>
      <c r="AF6" s="273" t="s">
        <v>33</v>
      </c>
      <c r="AG6" s="272" t="s">
        <v>29</v>
      </c>
      <c r="AH6" s="268" t="s">
        <v>30</v>
      </c>
      <c r="AI6" s="268" t="s">
        <v>195</v>
      </c>
      <c r="AJ6" s="268" t="s">
        <v>196</v>
      </c>
      <c r="AK6" s="268" t="s">
        <v>197</v>
      </c>
      <c r="AL6" s="273" t="s">
        <v>33</v>
      </c>
      <c r="AM6" s="272" t="s">
        <v>29</v>
      </c>
      <c r="AN6" s="268" t="s">
        <v>30</v>
      </c>
      <c r="AO6" s="268" t="s">
        <v>195</v>
      </c>
      <c r="AP6" s="268" t="s">
        <v>196</v>
      </c>
      <c r="AQ6" s="268" t="s">
        <v>197</v>
      </c>
      <c r="AR6" s="273" t="s">
        <v>33</v>
      </c>
      <c r="AS6" s="272" t="s">
        <v>29</v>
      </c>
      <c r="AT6" s="268" t="s">
        <v>30</v>
      </c>
      <c r="AU6" s="268" t="s">
        <v>195</v>
      </c>
      <c r="AV6" s="268" t="s">
        <v>196</v>
      </c>
      <c r="AW6" s="268" t="s">
        <v>197</v>
      </c>
      <c r="AX6" s="273" t="s">
        <v>33</v>
      </c>
      <c r="AY6" s="272" t="s">
        <v>29</v>
      </c>
      <c r="AZ6" s="268" t="s">
        <v>30</v>
      </c>
      <c r="BA6" s="268" t="s">
        <v>195</v>
      </c>
      <c r="BB6" s="268" t="s">
        <v>196</v>
      </c>
      <c r="BC6" s="268" t="s">
        <v>197</v>
      </c>
      <c r="BD6" s="273" t="s">
        <v>33</v>
      </c>
      <c r="BE6" s="272" t="s">
        <v>29</v>
      </c>
      <c r="BF6" s="268" t="s">
        <v>30</v>
      </c>
      <c r="BG6" s="268" t="s">
        <v>195</v>
      </c>
      <c r="BH6" s="268" t="s">
        <v>196</v>
      </c>
      <c r="BI6" s="268" t="s">
        <v>197</v>
      </c>
      <c r="BJ6" s="273" t="s">
        <v>33</v>
      </c>
      <c r="BK6" s="274" t="s">
        <v>29</v>
      </c>
      <c r="BL6" s="275" t="s">
        <v>30</v>
      </c>
      <c r="BM6" s="98" t="s">
        <v>33</v>
      </c>
      <c r="BN6" s="99" t="s">
        <v>195</v>
      </c>
      <c r="BO6" s="94" t="s">
        <v>196</v>
      </c>
      <c r="BP6" s="100" t="s">
        <v>197</v>
      </c>
      <c r="BQ6" s="99" t="s">
        <v>195</v>
      </c>
      <c r="BR6" s="94" t="s">
        <v>196</v>
      </c>
      <c r="BS6" s="100" t="s">
        <v>197</v>
      </c>
      <c r="BT6" s="99" t="s">
        <v>195</v>
      </c>
      <c r="BU6" s="94" t="s">
        <v>196</v>
      </c>
      <c r="BV6" s="100" t="s">
        <v>197</v>
      </c>
      <c r="BW6" s="99" t="s">
        <v>195</v>
      </c>
      <c r="BX6" s="94" t="s">
        <v>196</v>
      </c>
      <c r="BY6" s="100" t="s">
        <v>197</v>
      </c>
      <c r="BZ6" s="99" t="s">
        <v>195</v>
      </c>
      <c r="CA6" s="94" t="s">
        <v>196</v>
      </c>
      <c r="CB6" s="100" t="s">
        <v>197</v>
      </c>
      <c r="CC6" s="99" t="s">
        <v>195</v>
      </c>
      <c r="CD6" s="94" t="s">
        <v>196</v>
      </c>
      <c r="CE6" s="100" t="s">
        <v>197</v>
      </c>
      <c r="CF6" s="99" t="s">
        <v>195</v>
      </c>
      <c r="CG6" s="94" t="s">
        <v>196</v>
      </c>
      <c r="CH6" s="100" t="s">
        <v>197</v>
      </c>
      <c r="CI6" s="99" t="s">
        <v>195</v>
      </c>
      <c r="CJ6" s="94" t="s">
        <v>196</v>
      </c>
      <c r="CK6" s="100" t="s">
        <v>197</v>
      </c>
      <c r="CL6" s="99" t="s">
        <v>195</v>
      </c>
      <c r="CM6" s="94" t="s">
        <v>196</v>
      </c>
      <c r="CN6" s="100" t="s">
        <v>197</v>
      </c>
      <c r="CO6" s="99" t="s">
        <v>195</v>
      </c>
      <c r="CP6" s="94" t="s">
        <v>196</v>
      </c>
      <c r="CQ6" s="100" t="s">
        <v>197</v>
      </c>
      <c r="CS6" s="345" t="s">
        <v>198</v>
      </c>
    </row>
    <row r="7" spans="1:171" ht="14.25" customHeight="1">
      <c r="A7" s="71" t="b">
        <f>IF(OR(D7&lt;&gt;"",AB7&lt;&gt;"",J7&lt;&gt;"",P7&lt;&gt;"",AH7&lt;&gt;"",AN7&lt;&gt;"",AZ7&lt;&gt;"",BF7&lt;&gt;"",AT7&lt;&gt;"",V7&lt;&gt;""),TRUE,FALSE)</f>
        <v>1</v>
      </c>
      <c r="B7" s="284" t="s">
        <v>35</v>
      </c>
      <c r="C7" s="285" t="s">
        <v>176</v>
      </c>
      <c r="D7" s="286" t="s">
        <v>176</v>
      </c>
      <c r="E7" s="286"/>
      <c r="F7" s="286"/>
      <c r="G7" s="286"/>
      <c r="H7" s="287"/>
      <c r="I7" s="285" t="s">
        <v>176</v>
      </c>
      <c r="J7" s="286" t="s">
        <v>176</v>
      </c>
      <c r="K7" s="286" t="s">
        <v>176</v>
      </c>
      <c r="L7" s="286"/>
      <c r="M7" s="286"/>
      <c r="N7" s="287" t="s">
        <v>176</v>
      </c>
      <c r="O7" s="288" t="s">
        <v>176</v>
      </c>
      <c r="P7" s="289"/>
      <c r="Q7" s="289" t="s">
        <v>174</v>
      </c>
      <c r="R7" s="289"/>
      <c r="S7" s="289"/>
      <c r="T7" s="288"/>
      <c r="U7" s="290"/>
      <c r="V7" s="291"/>
      <c r="W7" s="291"/>
      <c r="X7" s="291"/>
      <c r="Y7" s="291"/>
      <c r="Z7" s="292"/>
      <c r="AA7" s="293"/>
      <c r="AB7" s="294"/>
      <c r="AC7" s="294"/>
      <c r="AD7" s="294"/>
      <c r="AE7" s="294"/>
      <c r="AF7" s="293"/>
      <c r="AG7" s="290"/>
      <c r="AH7" s="291"/>
      <c r="AI7" s="291"/>
      <c r="AJ7" s="291"/>
      <c r="AK7" s="291"/>
      <c r="AL7" s="292"/>
      <c r="AM7" s="290"/>
      <c r="AN7" s="291"/>
      <c r="AO7" s="291"/>
      <c r="AP7" s="291"/>
      <c r="AQ7" s="291"/>
      <c r="AR7" s="292"/>
      <c r="AS7" s="290"/>
      <c r="AT7" s="291"/>
      <c r="AU7" s="291"/>
      <c r="AV7" s="291"/>
      <c r="AW7" s="291"/>
      <c r="AX7" s="292"/>
      <c r="AY7" s="290"/>
      <c r="AZ7" s="291"/>
      <c r="BA7" s="291"/>
      <c r="BB7" s="291"/>
      <c r="BC7" s="291"/>
      <c r="BD7" s="292"/>
      <c r="BE7" s="295"/>
      <c r="BF7" s="296"/>
      <c r="BG7" s="296"/>
      <c r="BH7" s="296"/>
      <c r="BI7" s="296"/>
      <c r="BJ7" s="297"/>
      <c r="BK7" s="298">
        <v>45890</v>
      </c>
      <c r="BL7" s="299">
        <v>45973</v>
      </c>
      <c r="BM7" s="300">
        <v>46246</v>
      </c>
      <c r="BN7" s="301"/>
      <c r="BO7" s="302"/>
      <c r="BP7" s="303"/>
      <c r="BQ7" s="301">
        <v>45937</v>
      </c>
      <c r="BR7" s="302"/>
      <c r="BS7" s="303"/>
      <c r="BT7" s="301">
        <v>46232</v>
      </c>
      <c r="BU7" s="302"/>
      <c r="BV7" s="303"/>
      <c r="BW7" s="301"/>
      <c r="BX7" s="302"/>
      <c r="BY7" s="303"/>
      <c r="BZ7" s="301"/>
      <c r="CA7" s="302"/>
      <c r="CB7" s="303"/>
      <c r="CC7" s="301"/>
      <c r="CD7" s="302"/>
      <c r="CE7" s="303"/>
      <c r="CF7" s="301"/>
      <c r="CG7" s="302"/>
      <c r="CH7" s="303"/>
      <c r="CI7" s="301"/>
      <c r="CJ7" s="302"/>
      <c r="CK7" s="303"/>
      <c r="CL7" s="301"/>
      <c r="CM7" s="302"/>
      <c r="CN7" s="303"/>
      <c r="CO7" s="301"/>
      <c r="CP7" s="302"/>
      <c r="CQ7" s="303"/>
      <c r="CR7" s="90" t="str">
        <f t="shared" ref="CR7:CR49" si="0">_xlfn.TEXTBEFORE($B7,".",2)</f>
        <v>1.1</v>
      </c>
      <c r="CS7" s="71" t="b">
        <f>IF(OR(H7&lt;&gt;"",N7&lt;&gt;"",T7&lt;&gt;"",Z7&lt;&gt;"",AF7&lt;&gt;"",AL7&lt;&gt;"",AR7&lt;&gt;"",AX7&lt;&gt;"",BD7&lt;&gt;"",BJ7&lt;&gt;"",BM7&lt;&gt;""),TRUE,FALSE)</f>
        <v>1</v>
      </c>
    </row>
    <row r="8" spans="1:171" ht="14.25" customHeight="1">
      <c r="A8" s="71" t="b">
        <f t="shared" ref="A8:A49" si="1">IF(OR(D8&lt;&gt;"",AB8&lt;&gt;"",J8&lt;&gt;"",P8&lt;&gt;"",AH8&lt;&gt;"",AN8&lt;&gt;"",AZ8&lt;&gt;"",BF8&lt;&gt;"",AT8&lt;&gt;"",V8&lt;&gt;""),TRUE,FALSE)</f>
        <v>1</v>
      </c>
      <c r="B8" s="9" t="s">
        <v>36</v>
      </c>
      <c r="C8" s="12"/>
      <c r="D8" s="8"/>
      <c r="E8" s="8"/>
      <c r="F8" s="8"/>
      <c r="G8" s="8"/>
      <c r="H8" s="13"/>
      <c r="I8" s="12"/>
      <c r="J8" s="8"/>
      <c r="K8" s="8"/>
      <c r="L8" s="8"/>
      <c r="M8" s="8"/>
      <c r="N8" s="13"/>
      <c r="O8" s="249"/>
      <c r="P8" s="267"/>
      <c r="Q8" s="267"/>
      <c r="R8" s="267"/>
      <c r="S8" s="267"/>
      <c r="T8" s="249"/>
      <c r="U8" s="12"/>
      <c r="V8" s="8"/>
      <c r="W8" s="8"/>
      <c r="X8" s="8"/>
      <c r="Y8" s="8"/>
      <c r="Z8" s="13"/>
      <c r="AA8" s="249"/>
      <c r="AB8" s="267"/>
      <c r="AC8" s="267"/>
      <c r="AD8" s="267"/>
      <c r="AE8" s="267"/>
      <c r="AF8" s="249"/>
      <c r="AG8" s="12"/>
      <c r="AH8" s="8"/>
      <c r="AI8" s="8"/>
      <c r="AJ8" s="8"/>
      <c r="AK8" s="8"/>
      <c r="AL8" s="13"/>
      <c r="AM8" s="14" t="s">
        <v>176</v>
      </c>
      <c r="AN8" s="1" t="s">
        <v>176</v>
      </c>
      <c r="AO8" s="1" t="s">
        <v>174</v>
      </c>
      <c r="AP8" s="1" t="s">
        <v>176</v>
      </c>
      <c r="AQ8" s="1"/>
      <c r="AR8" s="15"/>
      <c r="AS8" s="14" t="s">
        <v>176</v>
      </c>
      <c r="AT8" s="1" t="s">
        <v>176</v>
      </c>
      <c r="AU8" s="1" t="s">
        <v>176</v>
      </c>
      <c r="AV8" s="1"/>
      <c r="AW8" s="1"/>
      <c r="AX8" s="15"/>
      <c r="AY8" s="14" t="s">
        <v>176</v>
      </c>
      <c r="AZ8" s="1" t="s">
        <v>176</v>
      </c>
      <c r="BA8" s="188" t="s">
        <v>176</v>
      </c>
      <c r="BB8" s="1"/>
      <c r="BC8" s="1"/>
      <c r="BD8" s="15"/>
      <c r="BE8" s="106"/>
      <c r="BF8" s="22"/>
      <c r="BG8" s="22"/>
      <c r="BH8" s="22"/>
      <c r="BI8" s="22"/>
      <c r="BJ8" s="105"/>
      <c r="BK8" s="223">
        <v>45901</v>
      </c>
      <c r="BL8" s="23">
        <v>46071</v>
      </c>
      <c r="BM8" s="225"/>
      <c r="BN8" s="223"/>
      <c r="BO8" s="7"/>
      <c r="BP8" s="147"/>
      <c r="BQ8" s="223"/>
      <c r="BR8" s="7"/>
      <c r="BS8" s="147"/>
      <c r="BT8" s="223"/>
      <c r="BU8" s="7"/>
      <c r="BV8" s="147"/>
      <c r="BW8" s="223"/>
      <c r="BX8" s="7"/>
      <c r="BY8" s="147"/>
      <c r="BZ8" s="223"/>
      <c r="CA8" s="7"/>
      <c r="CB8" s="147"/>
      <c r="CC8" s="223"/>
      <c r="CD8" s="7"/>
      <c r="CE8" s="147"/>
      <c r="CF8" s="223">
        <v>45939</v>
      </c>
      <c r="CG8" s="7">
        <v>46062</v>
      </c>
      <c r="CH8" s="147"/>
      <c r="CI8" s="223">
        <v>45939</v>
      </c>
      <c r="CJ8" s="7"/>
      <c r="CK8" s="147"/>
      <c r="CL8" s="223">
        <v>46248</v>
      </c>
      <c r="CM8" s="7"/>
      <c r="CN8" s="147"/>
      <c r="CO8" s="223"/>
      <c r="CP8" s="7"/>
      <c r="CQ8" s="147"/>
      <c r="CR8" s="90" t="str">
        <f t="shared" si="0"/>
        <v>2.1</v>
      </c>
      <c r="CS8" s="71" t="b">
        <f t="shared" ref="CS8:CS49" si="2">IF(OR(H8&lt;&gt;"",N8&lt;&gt;"",T8&lt;&gt;"",Z8&lt;&gt;"",AF8&lt;&gt;"",AL8&lt;&gt;"",AR8&lt;&gt;"",AX8&lt;&gt;"",BD8&lt;&gt;"",BJ8&lt;&gt;"",BM8&lt;&gt;""),TRUE,FALSE)</f>
        <v>0</v>
      </c>
    </row>
    <row r="9" spans="1:171" ht="14.25" customHeight="1">
      <c r="A9" s="71" t="b">
        <f t="shared" si="1"/>
        <v>1</v>
      </c>
      <c r="B9" s="9" t="s">
        <v>37</v>
      </c>
      <c r="C9" s="12"/>
      <c r="D9" s="8"/>
      <c r="E9" s="8"/>
      <c r="F9" s="8"/>
      <c r="G9" s="8"/>
      <c r="H9" s="13"/>
      <c r="I9" s="12"/>
      <c r="J9" s="8"/>
      <c r="K9" s="8"/>
      <c r="L9" s="8"/>
      <c r="M9" s="8"/>
      <c r="N9" s="13"/>
      <c r="O9" s="249"/>
      <c r="P9" s="267"/>
      <c r="Q9" s="267"/>
      <c r="R9" s="267"/>
      <c r="S9" s="267"/>
      <c r="T9" s="249"/>
      <c r="U9" s="12"/>
      <c r="V9" s="8"/>
      <c r="W9" s="8" t="s">
        <v>180</v>
      </c>
      <c r="X9" s="8"/>
      <c r="Y9" s="8"/>
      <c r="Z9" s="13"/>
      <c r="AA9" s="249"/>
      <c r="AB9" s="267"/>
      <c r="AC9" s="267"/>
      <c r="AD9" s="267"/>
      <c r="AE9" s="267"/>
      <c r="AF9" s="249"/>
      <c r="AG9" s="12"/>
      <c r="AH9" s="8"/>
      <c r="AI9" s="8"/>
      <c r="AJ9" s="8"/>
      <c r="AK9" s="8"/>
      <c r="AL9" s="13"/>
      <c r="AM9" s="14" t="s">
        <v>176</v>
      </c>
      <c r="AN9" s="1" t="s">
        <v>176</v>
      </c>
      <c r="AO9" s="1" t="s">
        <v>176</v>
      </c>
      <c r="AP9" s="1"/>
      <c r="AQ9" s="1"/>
      <c r="AR9" s="15"/>
      <c r="AS9" s="14" t="s">
        <v>176</v>
      </c>
      <c r="AT9" s="1" t="s">
        <v>176</v>
      </c>
      <c r="AU9" s="1" t="s">
        <v>176</v>
      </c>
      <c r="AV9" s="1"/>
      <c r="AW9" s="1"/>
      <c r="AX9" s="15"/>
      <c r="AY9" s="14" t="s">
        <v>176</v>
      </c>
      <c r="AZ9" s="1" t="s">
        <v>176</v>
      </c>
      <c r="BA9" s="188"/>
      <c r="BB9" s="1"/>
      <c r="BC9" s="1"/>
      <c r="BD9" s="15"/>
      <c r="BE9" s="106"/>
      <c r="BF9" s="22"/>
      <c r="BG9" s="22"/>
      <c r="BH9" s="22"/>
      <c r="BI9" s="22"/>
      <c r="BJ9" s="105"/>
      <c r="BK9" s="223">
        <v>45902</v>
      </c>
      <c r="BL9" s="23">
        <v>46072</v>
      </c>
      <c r="BM9" s="225"/>
      <c r="BN9" s="223"/>
      <c r="BO9" s="146"/>
      <c r="BP9" s="147"/>
      <c r="BQ9" s="223"/>
      <c r="BR9" s="146"/>
      <c r="BS9" s="147"/>
      <c r="BT9" s="223"/>
      <c r="BU9" s="146"/>
      <c r="BV9" s="147"/>
      <c r="BW9" s="223"/>
      <c r="BX9" s="146"/>
      <c r="BY9" s="147"/>
      <c r="BZ9" s="223"/>
      <c r="CA9" s="146"/>
      <c r="CB9" s="147"/>
      <c r="CC9" s="223"/>
      <c r="CD9" s="146"/>
      <c r="CE9" s="147"/>
      <c r="CF9" s="223">
        <v>45952</v>
      </c>
      <c r="CG9" s="146"/>
      <c r="CH9" s="147"/>
      <c r="CI9" s="223">
        <v>45952</v>
      </c>
      <c r="CJ9" s="146"/>
      <c r="CK9" s="147"/>
      <c r="CL9" s="223"/>
      <c r="CM9" s="146"/>
      <c r="CN9" s="147"/>
      <c r="CO9" s="223"/>
      <c r="CP9" s="146"/>
      <c r="CQ9" s="147"/>
      <c r="CR9" s="90" t="str">
        <f t="shared" si="0"/>
        <v>2.1</v>
      </c>
      <c r="CS9" s="71" t="b">
        <f t="shared" si="2"/>
        <v>0</v>
      </c>
    </row>
    <row r="10" spans="1:171" ht="14.25" customHeight="1">
      <c r="A10" s="71" t="b">
        <f t="shared" si="1"/>
        <v>1</v>
      </c>
      <c r="B10" s="9" t="s">
        <v>38</v>
      </c>
      <c r="C10" s="12"/>
      <c r="D10" s="8"/>
      <c r="E10" s="8"/>
      <c r="F10" s="8"/>
      <c r="G10" s="8"/>
      <c r="H10" s="13"/>
      <c r="I10" s="12"/>
      <c r="J10" s="8"/>
      <c r="K10" s="8"/>
      <c r="L10" s="8"/>
      <c r="M10" s="8"/>
      <c r="N10" s="13"/>
      <c r="O10" s="249"/>
      <c r="P10" s="267"/>
      <c r="Q10" s="267"/>
      <c r="R10" s="267"/>
      <c r="S10" s="267"/>
      <c r="T10" s="249"/>
      <c r="U10" s="12"/>
      <c r="V10" s="8"/>
      <c r="W10" s="8"/>
      <c r="X10" s="8"/>
      <c r="Y10" s="8"/>
      <c r="Z10" s="13"/>
      <c r="AA10" s="249"/>
      <c r="AB10" s="267"/>
      <c r="AC10" s="267"/>
      <c r="AD10" s="267"/>
      <c r="AE10" s="267"/>
      <c r="AF10" s="249"/>
      <c r="AG10" s="12"/>
      <c r="AH10" s="8"/>
      <c r="AI10" s="8"/>
      <c r="AJ10" s="8"/>
      <c r="AK10" s="8"/>
      <c r="AL10" s="13"/>
      <c r="AM10" s="14" t="s">
        <v>176</v>
      </c>
      <c r="AN10" s="1" t="s">
        <v>176</v>
      </c>
      <c r="AO10" s="1" t="s">
        <v>176</v>
      </c>
      <c r="AP10" s="1"/>
      <c r="AQ10" s="1"/>
      <c r="AR10" s="15"/>
      <c r="AS10" s="14" t="s">
        <v>176</v>
      </c>
      <c r="AT10" s="1" t="s">
        <v>176</v>
      </c>
      <c r="AU10" s="1" t="s">
        <v>176</v>
      </c>
      <c r="AV10" s="1"/>
      <c r="AW10" s="1"/>
      <c r="AX10" s="15"/>
      <c r="AY10" s="14" t="s">
        <v>176</v>
      </c>
      <c r="AZ10" s="1" t="s">
        <v>176</v>
      </c>
      <c r="BA10" s="188"/>
      <c r="BB10" s="1"/>
      <c r="BC10" s="1"/>
      <c r="BD10" s="15"/>
      <c r="BE10" s="106"/>
      <c r="BF10" s="22"/>
      <c r="BG10" s="22"/>
      <c r="BH10" s="22"/>
      <c r="BI10" s="22"/>
      <c r="BJ10" s="105"/>
      <c r="BK10" s="223">
        <v>45903</v>
      </c>
      <c r="BL10" s="23">
        <v>46020</v>
      </c>
      <c r="BM10" s="225"/>
      <c r="BN10" s="223"/>
      <c r="BO10" s="146"/>
      <c r="BP10" s="147"/>
      <c r="BQ10" s="223"/>
      <c r="BR10" s="146"/>
      <c r="BS10" s="147"/>
      <c r="BT10" s="223"/>
      <c r="BU10" s="146"/>
      <c r="BV10" s="147"/>
      <c r="BW10" s="223"/>
      <c r="BX10" s="146"/>
      <c r="BY10" s="147"/>
      <c r="BZ10" s="223"/>
      <c r="CA10" s="146"/>
      <c r="CB10" s="147"/>
      <c r="CC10" s="223"/>
      <c r="CD10" s="146"/>
      <c r="CE10" s="147"/>
      <c r="CF10" s="223">
        <v>45953</v>
      </c>
      <c r="CG10" s="146"/>
      <c r="CH10" s="147"/>
      <c r="CI10" s="223">
        <v>45953</v>
      </c>
      <c r="CJ10" s="146"/>
      <c r="CK10" s="147"/>
      <c r="CL10" s="223"/>
      <c r="CM10" s="146"/>
      <c r="CN10" s="147"/>
      <c r="CO10" s="223"/>
      <c r="CP10" s="146"/>
      <c r="CQ10" s="147"/>
      <c r="CR10" s="90" t="str">
        <f t="shared" si="0"/>
        <v>2.1</v>
      </c>
      <c r="CS10" s="71" t="b">
        <f t="shared" si="2"/>
        <v>0</v>
      </c>
    </row>
    <row r="11" spans="1:171" ht="14.25" customHeight="1">
      <c r="A11" s="71" t="b">
        <f t="shared" si="1"/>
        <v>1</v>
      </c>
      <c r="B11" s="9" t="s">
        <v>39</v>
      </c>
      <c r="C11" s="12"/>
      <c r="D11" s="8"/>
      <c r="E11" s="8"/>
      <c r="F11" s="8"/>
      <c r="G11" s="8"/>
      <c r="H11" s="13"/>
      <c r="I11" s="12"/>
      <c r="J11" s="8"/>
      <c r="K11" s="8"/>
      <c r="L11" s="8"/>
      <c r="M11" s="8"/>
      <c r="N11" s="13"/>
      <c r="O11" s="249"/>
      <c r="P11" s="267"/>
      <c r="Q11" s="267"/>
      <c r="R11" s="267"/>
      <c r="S11" s="267"/>
      <c r="T11" s="249"/>
      <c r="U11" s="12"/>
      <c r="V11" s="8"/>
      <c r="W11" s="8"/>
      <c r="X11" s="8"/>
      <c r="Y11" s="8"/>
      <c r="Z11" s="13"/>
      <c r="AA11" s="249"/>
      <c r="AB11" s="267"/>
      <c r="AC11" s="267"/>
      <c r="AD11" s="267"/>
      <c r="AE11" s="267"/>
      <c r="AF11" s="249"/>
      <c r="AG11" s="12"/>
      <c r="AH11" s="8"/>
      <c r="AI11" s="8"/>
      <c r="AJ11" s="8"/>
      <c r="AK11" s="8"/>
      <c r="AL11" s="13"/>
      <c r="AM11" s="14" t="s">
        <v>176</v>
      </c>
      <c r="AN11" s="1" t="s">
        <v>176</v>
      </c>
      <c r="AO11" s="1" t="s">
        <v>176</v>
      </c>
      <c r="AP11" s="1"/>
      <c r="AQ11" s="1"/>
      <c r="AR11" s="15"/>
      <c r="AS11" s="14" t="s">
        <v>176</v>
      </c>
      <c r="AT11" s="1" t="s">
        <v>176</v>
      </c>
      <c r="AU11" s="1" t="s">
        <v>176</v>
      </c>
      <c r="AV11" s="1"/>
      <c r="AW11" s="1"/>
      <c r="AX11" s="15"/>
      <c r="AY11" s="14" t="s">
        <v>176</v>
      </c>
      <c r="AZ11" s="1" t="s">
        <v>176</v>
      </c>
      <c r="BA11" s="1"/>
      <c r="BB11" s="1"/>
      <c r="BC11" s="1"/>
      <c r="BD11" s="15"/>
      <c r="BE11" s="106"/>
      <c r="BF11" s="22"/>
      <c r="BG11" s="22"/>
      <c r="BH11" s="22"/>
      <c r="BI11" s="22"/>
      <c r="BJ11" s="105"/>
      <c r="BK11" s="223">
        <v>45909</v>
      </c>
      <c r="BL11" s="23">
        <v>46036</v>
      </c>
      <c r="BM11" s="225"/>
      <c r="BN11" s="223"/>
      <c r="BO11" s="146"/>
      <c r="BP11" s="147"/>
      <c r="BQ11" s="223"/>
      <c r="BR11" s="146"/>
      <c r="BS11" s="147"/>
      <c r="BT11" s="223"/>
      <c r="BU11" s="146"/>
      <c r="BV11" s="147"/>
      <c r="BW11" s="223"/>
      <c r="BX11" s="146"/>
      <c r="BY11" s="147"/>
      <c r="BZ11" s="223"/>
      <c r="CA11" s="146"/>
      <c r="CB11" s="147"/>
      <c r="CC11" s="223"/>
      <c r="CD11" s="146"/>
      <c r="CE11" s="147"/>
      <c r="CF11" s="223">
        <v>45957</v>
      </c>
      <c r="CG11" s="146"/>
      <c r="CH11" s="147"/>
      <c r="CI11" s="223">
        <v>45957</v>
      </c>
      <c r="CJ11" s="146"/>
      <c r="CK11" s="147"/>
      <c r="CL11" s="223"/>
      <c r="CM11" s="146"/>
      <c r="CN11" s="147"/>
      <c r="CO11" s="223"/>
      <c r="CP11" s="146"/>
      <c r="CQ11" s="147"/>
      <c r="CR11" s="90" t="str">
        <f t="shared" si="0"/>
        <v>2.1</v>
      </c>
      <c r="CS11" s="71" t="b">
        <f t="shared" si="2"/>
        <v>0</v>
      </c>
    </row>
    <row r="12" spans="1:171" ht="14.25" customHeight="1">
      <c r="A12" s="71" t="b">
        <f t="shared" si="1"/>
        <v>1</v>
      </c>
      <c r="B12" s="9" t="s">
        <v>40</v>
      </c>
      <c r="C12" s="12"/>
      <c r="D12" s="8"/>
      <c r="E12" s="8"/>
      <c r="F12" s="8"/>
      <c r="G12" s="8"/>
      <c r="H12" s="13"/>
      <c r="I12" s="12"/>
      <c r="J12" s="8"/>
      <c r="K12" s="8"/>
      <c r="L12" s="8"/>
      <c r="M12" s="8"/>
      <c r="N12" s="13"/>
      <c r="O12" s="249"/>
      <c r="P12" s="267"/>
      <c r="Q12" s="267"/>
      <c r="R12" s="267"/>
      <c r="S12" s="267"/>
      <c r="T12" s="249"/>
      <c r="U12" s="12"/>
      <c r="V12" s="8"/>
      <c r="W12" s="8"/>
      <c r="X12" s="8"/>
      <c r="Y12" s="8"/>
      <c r="Z12" s="13"/>
      <c r="AA12" s="249"/>
      <c r="AB12" s="267"/>
      <c r="AC12" s="267"/>
      <c r="AD12" s="267"/>
      <c r="AE12" s="267"/>
      <c r="AF12" s="249"/>
      <c r="AG12" s="12"/>
      <c r="AH12" s="8"/>
      <c r="AI12" s="8"/>
      <c r="AJ12" s="8"/>
      <c r="AK12" s="8"/>
      <c r="AL12" s="13"/>
      <c r="AM12" s="14" t="s">
        <v>176</v>
      </c>
      <c r="AN12" s="1" t="s">
        <v>176</v>
      </c>
      <c r="AO12" s="1" t="s">
        <v>176</v>
      </c>
      <c r="AP12" s="1"/>
      <c r="AQ12" s="1"/>
      <c r="AR12" s="15"/>
      <c r="AS12" s="14" t="s">
        <v>176</v>
      </c>
      <c r="AT12" s="1" t="s">
        <v>176</v>
      </c>
      <c r="AU12" s="1" t="s">
        <v>176</v>
      </c>
      <c r="AV12" s="1"/>
      <c r="AW12" s="1"/>
      <c r="AX12" s="15"/>
      <c r="AY12" s="14" t="s">
        <v>176</v>
      </c>
      <c r="AZ12" s="1" t="s">
        <v>176</v>
      </c>
      <c r="BA12" s="1"/>
      <c r="BB12" s="1"/>
      <c r="BC12" s="1"/>
      <c r="BD12" s="15"/>
      <c r="BE12" s="106"/>
      <c r="BF12" s="22"/>
      <c r="BG12" s="22"/>
      <c r="BH12" s="22"/>
      <c r="BI12" s="22"/>
      <c r="BJ12" s="105"/>
      <c r="BK12" s="223">
        <v>45910</v>
      </c>
      <c r="BL12" s="23">
        <v>46037</v>
      </c>
      <c r="BM12" s="225"/>
      <c r="BN12" s="223"/>
      <c r="BO12" s="146"/>
      <c r="BP12" s="147"/>
      <c r="BQ12" s="223"/>
      <c r="BR12" s="146"/>
      <c r="BS12" s="147"/>
      <c r="BT12" s="223"/>
      <c r="BU12" s="146"/>
      <c r="BV12" s="147"/>
      <c r="BW12" s="223"/>
      <c r="BX12" s="146"/>
      <c r="BY12" s="147"/>
      <c r="BZ12" s="223"/>
      <c r="CA12" s="146"/>
      <c r="CB12" s="147"/>
      <c r="CC12" s="223"/>
      <c r="CD12" s="146"/>
      <c r="CE12" s="147"/>
      <c r="CF12" s="223">
        <v>45994</v>
      </c>
      <c r="CG12" s="146"/>
      <c r="CH12" s="147"/>
      <c r="CI12" s="223">
        <v>45994</v>
      </c>
      <c r="CJ12" s="146"/>
      <c r="CK12" s="147"/>
      <c r="CL12" s="223"/>
      <c r="CM12" s="146"/>
      <c r="CN12" s="147"/>
      <c r="CO12" s="223"/>
      <c r="CP12" s="146"/>
      <c r="CQ12" s="147"/>
      <c r="CR12" s="90" t="str">
        <f t="shared" si="0"/>
        <v>2.1</v>
      </c>
      <c r="CS12" s="71" t="b">
        <f t="shared" si="2"/>
        <v>0</v>
      </c>
    </row>
    <row r="13" spans="1:171" ht="14.25" customHeight="1">
      <c r="A13" s="71" t="b">
        <f t="shared" si="1"/>
        <v>1</v>
      </c>
      <c r="B13" s="9" t="s">
        <v>41</v>
      </c>
      <c r="C13" s="12"/>
      <c r="D13" s="8"/>
      <c r="E13" s="8"/>
      <c r="F13" s="8"/>
      <c r="G13" s="8"/>
      <c r="H13" s="13"/>
      <c r="I13" s="12"/>
      <c r="J13" s="8"/>
      <c r="K13" s="8"/>
      <c r="L13" s="8"/>
      <c r="M13" s="8"/>
      <c r="N13" s="13"/>
      <c r="O13" s="249"/>
      <c r="P13" s="267"/>
      <c r="Q13" s="267"/>
      <c r="R13" s="267"/>
      <c r="S13" s="267"/>
      <c r="T13" s="249"/>
      <c r="U13" s="12"/>
      <c r="V13" s="8"/>
      <c r="W13" s="8"/>
      <c r="X13" s="8"/>
      <c r="Y13" s="8"/>
      <c r="Z13" s="13"/>
      <c r="AA13" s="249"/>
      <c r="AB13" s="267"/>
      <c r="AC13" s="267"/>
      <c r="AD13" s="267"/>
      <c r="AE13" s="267"/>
      <c r="AF13" s="249"/>
      <c r="AG13" s="12"/>
      <c r="AH13" s="8"/>
      <c r="AI13" s="8"/>
      <c r="AJ13" s="8"/>
      <c r="AK13" s="8"/>
      <c r="AL13" s="13"/>
      <c r="AM13" s="14" t="s">
        <v>176</v>
      </c>
      <c r="AN13" s="1" t="s">
        <v>176</v>
      </c>
      <c r="AO13" s="1" t="s">
        <v>176</v>
      </c>
      <c r="AP13" s="1"/>
      <c r="AQ13" s="1"/>
      <c r="AR13" s="15"/>
      <c r="AS13" s="14" t="s">
        <v>178</v>
      </c>
      <c r="AT13" s="1" t="s">
        <v>176</v>
      </c>
      <c r="AU13" s="1" t="s">
        <v>176</v>
      </c>
      <c r="AV13" s="1"/>
      <c r="AW13" s="1"/>
      <c r="AX13" s="15"/>
      <c r="AY13" s="14" t="s">
        <v>176</v>
      </c>
      <c r="AZ13" s="1" t="s">
        <v>176</v>
      </c>
      <c r="BA13" s="1"/>
      <c r="BB13" s="1"/>
      <c r="BC13" s="1"/>
      <c r="BD13" s="15"/>
      <c r="BE13" s="106"/>
      <c r="BF13" s="22"/>
      <c r="BG13" s="22"/>
      <c r="BH13" s="22"/>
      <c r="BI13" s="22"/>
      <c r="BJ13" s="105"/>
      <c r="BK13" s="223">
        <v>45918</v>
      </c>
      <c r="BL13" s="23">
        <v>46020</v>
      </c>
      <c r="BM13" s="225"/>
      <c r="BN13" s="223"/>
      <c r="BO13" s="146"/>
      <c r="BP13" s="147"/>
      <c r="BQ13" s="223"/>
      <c r="BR13" s="146"/>
      <c r="BS13" s="147"/>
      <c r="BT13" s="223"/>
      <c r="BU13" s="146"/>
      <c r="BV13" s="147"/>
      <c r="BW13" s="223"/>
      <c r="BX13" s="146"/>
      <c r="BY13" s="147"/>
      <c r="BZ13" s="223"/>
      <c r="CA13" s="146"/>
      <c r="CB13" s="147"/>
      <c r="CC13" s="223"/>
      <c r="CD13" s="146"/>
      <c r="CE13" s="147"/>
      <c r="CF13" s="223">
        <v>45966</v>
      </c>
      <c r="CG13" s="146"/>
      <c r="CH13" s="147"/>
      <c r="CI13" s="223">
        <v>45966</v>
      </c>
      <c r="CJ13" s="146"/>
      <c r="CK13" s="147"/>
      <c r="CL13" s="223"/>
      <c r="CM13" s="146"/>
      <c r="CN13" s="147"/>
      <c r="CO13" s="223"/>
      <c r="CP13" s="146"/>
      <c r="CQ13" s="147"/>
      <c r="CR13" s="90" t="str">
        <f t="shared" si="0"/>
        <v>2.1</v>
      </c>
      <c r="CS13" s="71" t="b">
        <f t="shared" si="2"/>
        <v>0</v>
      </c>
    </row>
    <row r="14" spans="1:171" ht="14.25" customHeight="1">
      <c r="A14" s="71" t="b">
        <f t="shared" si="1"/>
        <v>1</v>
      </c>
      <c r="B14" s="9" t="s">
        <v>42</v>
      </c>
      <c r="C14" s="12"/>
      <c r="D14" s="8"/>
      <c r="E14" s="8"/>
      <c r="F14" s="8"/>
      <c r="G14" s="8"/>
      <c r="H14" s="13"/>
      <c r="I14" s="12"/>
      <c r="J14" s="8"/>
      <c r="K14" s="8"/>
      <c r="L14" s="8"/>
      <c r="M14" s="8"/>
      <c r="N14" s="13"/>
      <c r="O14" s="249"/>
      <c r="P14" s="267"/>
      <c r="Q14" s="267"/>
      <c r="R14" s="267"/>
      <c r="S14" s="267"/>
      <c r="T14" s="249"/>
      <c r="U14" s="12"/>
      <c r="V14" s="8"/>
      <c r="W14" s="8"/>
      <c r="X14" s="8"/>
      <c r="Y14" s="8"/>
      <c r="Z14" s="13"/>
      <c r="AA14" s="249"/>
      <c r="AB14" s="267"/>
      <c r="AC14" s="267"/>
      <c r="AD14" s="267"/>
      <c r="AE14" s="267"/>
      <c r="AF14" s="249"/>
      <c r="AG14" s="12"/>
      <c r="AH14" s="8"/>
      <c r="AI14" s="8"/>
      <c r="AJ14" s="8"/>
      <c r="AK14" s="8"/>
      <c r="AL14" s="13"/>
      <c r="AM14" s="14" t="s">
        <v>176</v>
      </c>
      <c r="AN14" s="1" t="s">
        <v>176</v>
      </c>
      <c r="AO14" s="1" t="s">
        <v>176</v>
      </c>
      <c r="AP14" s="1"/>
      <c r="AQ14" s="1"/>
      <c r="AR14" s="15"/>
      <c r="AS14" s="14" t="s">
        <v>176</v>
      </c>
      <c r="AT14" s="1" t="s">
        <v>176</v>
      </c>
      <c r="AU14" s="1" t="s">
        <v>176</v>
      </c>
      <c r="AV14" s="1"/>
      <c r="AW14" s="1"/>
      <c r="AX14" s="15"/>
      <c r="AY14" s="14" t="s">
        <v>176</v>
      </c>
      <c r="AZ14" s="1" t="s">
        <v>176</v>
      </c>
      <c r="BA14" s="1"/>
      <c r="BB14" s="1"/>
      <c r="BC14" s="1"/>
      <c r="BD14" s="15"/>
      <c r="BE14" s="106"/>
      <c r="BF14" s="22"/>
      <c r="BG14" s="22"/>
      <c r="BH14" s="22"/>
      <c r="BI14" s="22"/>
      <c r="BJ14" s="105"/>
      <c r="BK14" s="223">
        <v>45911</v>
      </c>
      <c r="BL14" s="23">
        <v>46036</v>
      </c>
      <c r="BM14" s="225"/>
      <c r="BN14" s="223"/>
      <c r="BO14" s="146"/>
      <c r="BP14" s="147"/>
      <c r="BQ14" s="223"/>
      <c r="BR14" s="146"/>
      <c r="BS14" s="147"/>
      <c r="BT14" s="223"/>
      <c r="BU14" s="146"/>
      <c r="BV14" s="147"/>
      <c r="BW14" s="223"/>
      <c r="BX14" s="146"/>
      <c r="BY14" s="147"/>
      <c r="BZ14" s="223"/>
      <c r="CA14" s="146"/>
      <c r="CB14" s="147"/>
      <c r="CC14" s="223"/>
      <c r="CD14" s="146"/>
      <c r="CE14" s="147"/>
      <c r="CF14" s="223">
        <v>45992</v>
      </c>
      <c r="CG14" s="146"/>
      <c r="CH14" s="147"/>
      <c r="CI14" s="223">
        <v>45972</v>
      </c>
      <c r="CJ14" s="146"/>
      <c r="CK14" s="147"/>
      <c r="CL14" s="223"/>
      <c r="CM14" s="146"/>
      <c r="CN14" s="147"/>
      <c r="CO14" s="223"/>
      <c r="CP14" s="146"/>
      <c r="CQ14" s="147"/>
      <c r="CR14" s="90" t="str">
        <f t="shared" si="0"/>
        <v>2.2</v>
      </c>
      <c r="CS14" s="71" t="b">
        <f t="shared" si="2"/>
        <v>0</v>
      </c>
    </row>
    <row r="15" spans="1:171" ht="14.25" customHeight="1">
      <c r="A15" s="71" t="b">
        <f t="shared" si="1"/>
        <v>1</v>
      </c>
      <c r="B15" s="9" t="s">
        <v>43</v>
      </c>
      <c r="C15" s="12"/>
      <c r="D15" s="8"/>
      <c r="E15" s="8"/>
      <c r="F15" s="8"/>
      <c r="G15" s="8"/>
      <c r="H15" s="13"/>
      <c r="I15" s="12"/>
      <c r="J15" s="8"/>
      <c r="K15" s="8"/>
      <c r="L15" s="8"/>
      <c r="M15" s="8"/>
      <c r="N15" s="13"/>
      <c r="O15" s="249"/>
      <c r="P15" s="267"/>
      <c r="Q15" s="267"/>
      <c r="R15" s="267"/>
      <c r="S15" s="267"/>
      <c r="T15" s="249"/>
      <c r="U15" s="12"/>
      <c r="V15" s="8"/>
      <c r="W15" s="8"/>
      <c r="X15" s="8"/>
      <c r="Y15" s="8"/>
      <c r="Z15" s="13"/>
      <c r="AA15" s="249"/>
      <c r="AB15" s="267"/>
      <c r="AC15" s="267"/>
      <c r="AD15" s="267"/>
      <c r="AE15" s="267"/>
      <c r="AF15" s="249"/>
      <c r="AG15" s="12"/>
      <c r="AH15" s="8"/>
      <c r="AI15" s="8"/>
      <c r="AJ15" s="8"/>
      <c r="AK15" s="8"/>
      <c r="AL15" s="13"/>
      <c r="AM15" s="14" t="s">
        <v>176</v>
      </c>
      <c r="AN15" s="1" t="s">
        <v>176</v>
      </c>
      <c r="AO15" s="1" t="s">
        <v>176</v>
      </c>
      <c r="AP15" s="1"/>
      <c r="AQ15" s="1"/>
      <c r="AR15" s="15"/>
      <c r="AS15" s="14" t="s">
        <v>176</v>
      </c>
      <c r="AT15" s="1" t="s">
        <v>176</v>
      </c>
      <c r="AU15" s="1" t="s">
        <v>176</v>
      </c>
      <c r="AV15" s="1"/>
      <c r="AW15" s="1"/>
      <c r="AX15" s="15"/>
      <c r="AY15" s="14" t="s">
        <v>176</v>
      </c>
      <c r="AZ15" s="1" t="s">
        <v>176</v>
      </c>
      <c r="BA15" s="1"/>
      <c r="BB15" s="1"/>
      <c r="BC15" s="1"/>
      <c r="BD15" s="15"/>
      <c r="BE15" s="106"/>
      <c r="BF15" s="22"/>
      <c r="BG15" s="22"/>
      <c r="BH15" s="22"/>
      <c r="BI15" s="22"/>
      <c r="BJ15" s="105"/>
      <c r="BK15" s="223">
        <v>45912</v>
      </c>
      <c r="BL15" s="23">
        <v>46037</v>
      </c>
      <c r="BM15" s="225"/>
      <c r="BN15" s="223"/>
      <c r="BO15" s="146"/>
      <c r="BP15" s="147"/>
      <c r="BQ15" s="223"/>
      <c r="BR15" s="146"/>
      <c r="BS15" s="147"/>
      <c r="BT15" s="223"/>
      <c r="BU15" s="146"/>
      <c r="BV15" s="147"/>
      <c r="BW15" s="223"/>
      <c r="BX15" s="146"/>
      <c r="BY15" s="147"/>
      <c r="BZ15" s="223"/>
      <c r="CA15" s="146"/>
      <c r="CB15" s="147"/>
      <c r="CC15" s="223"/>
      <c r="CD15" s="146"/>
      <c r="CE15" s="147"/>
      <c r="CF15" s="223">
        <v>45992</v>
      </c>
      <c r="CG15" s="146"/>
      <c r="CH15" s="147"/>
      <c r="CI15" s="223">
        <v>45972</v>
      </c>
      <c r="CJ15" s="146"/>
      <c r="CK15" s="147"/>
      <c r="CL15" s="223"/>
      <c r="CM15" s="146"/>
      <c r="CN15" s="147"/>
      <c r="CO15" s="223"/>
      <c r="CP15" s="146"/>
      <c r="CQ15" s="147"/>
      <c r="CR15" s="90" t="str">
        <f t="shared" si="0"/>
        <v>2.3</v>
      </c>
      <c r="CS15" s="71" t="b">
        <f t="shared" si="2"/>
        <v>0</v>
      </c>
    </row>
    <row r="16" spans="1:171" ht="14.25" customHeight="1">
      <c r="A16" s="71" t="b">
        <f t="shared" si="1"/>
        <v>1</v>
      </c>
      <c r="B16" s="9" t="s">
        <v>44</v>
      </c>
      <c r="C16" s="12"/>
      <c r="D16" s="8"/>
      <c r="E16" s="8"/>
      <c r="F16" s="8"/>
      <c r="G16" s="8"/>
      <c r="H16" s="13"/>
      <c r="I16" s="12"/>
      <c r="J16" s="8"/>
      <c r="K16" s="8"/>
      <c r="L16" s="8"/>
      <c r="M16" s="8"/>
      <c r="N16" s="13"/>
      <c r="O16" s="249"/>
      <c r="P16" s="267"/>
      <c r="Q16" s="267"/>
      <c r="R16" s="267"/>
      <c r="S16" s="267"/>
      <c r="T16" s="249"/>
      <c r="U16" s="12"/>
      <c r="V16" s="8"/>
      <c r="W16" s="8"/>
      <c r="X16" s="8"/>
      <c r="Y16" s="8"/>
      <c r="Z16" s="13"/>
      <c r="AA16" s="249"/>
      <c r="AB16" s="267"/>
      <c r="AC16" s="267"/>
      <c r="AD16" s="267"/>
      <c r="AE16" s="267"/>
      <c r="AF16" s="249"/>
      <c r="AG16" s="12"/>
      <c r="AH16" s="8"/>
      <c r="AI16" s="8"/>
      <c r="AJ16" s="8"/>
      <c r="AK16" s="8"/>
      <c r="AL16" s="13"/>
      <c r="AM16" s="14" t="s">
        <v>178</v>
      </c>
      <c r="AN16" s="1" t="s">
        <v>176</v>
      </c>
      <c r="AO16" s="1" t="s">
        <v>176</v>
      </c>
      <c r="AP16" s="1"/>
      <c r="AQ16" s="1"/>
      <c r="AR16" s="15"/>
      <c r="AS16" s="14" t="s">
        <v>176</v>
      </c>
      <c r="AT16" s="1" t="s">
        <v>176</v>
      </c>
      <c r="AU16" s="1" t="s">
        <v>176</v>
      </c>
      <c r="AV16" s="1"/>
      <c r="AW16" s="1"/>
      <c r="AX16" s="15"/>
      <c r="AY16" s="14" t="s">
        <v>176</v>
      </c>
      <c r="AZ16" s="1" t="s">
        <v>176</v>
      </c>
      <c r="BA16" s="1"/>
      <c r="BB16" s="1"/>
      <c r="BC16" s="1"/>
      <c r="BD16" s="15"/>
      <c r="BE16" s="106"/>
      <c r="BF16" s="22"/>
      <c r="BG16" s="22"/>
      <c r="BH16" s="22"/>
      <c r="BI16" s="22"/>
      <c r="BJ16" s="105"/>
      <c r="BK16" s="223">
        <v>45915</v>
      </c>
      <c r="BL16" s="23">
        <v>46083</v>
      </c>
      <c r="BM16" s="225"/>
      <c r="BN16" s="223"/>
      <c r="BO16" s="146"/>
      <c r="BP16" s="147"/>
      <c r="BQ16" s="223"/>
      <c r="BR16" s="146"/>
      <c r="BS16" s="147"/>
      <c r="BT16" s="223"/>
      <c r="BU16" s="146"/>
      <c r="BV16" s="147"/>
      <c r="BW16" s="223"/>
      <c r="BX16" s="146"/>
      <c r="BY16" s="147"/>
      <c r="BZ16" s="223"/>
      <c r="CA16" s="146"/>
      <c r="CB16" s="147"/>
      <c r="CC16" s="223"/>
      <c r="CD16" s="146"/>
      <c r="CE16" s="147"/>
      <c r="CF16" s="223">
        <v>45973</v>
      </c>
      <c r="CG16" s="146"/>
      <c r="CH16" s="147"/>
      <c r="CI16" s="223">
        <v>45973</v>
      </c>
      <c r="CJ16" s="146"/>
      <c r="CK16" s="147"/>
      <c r="CL16" s="223"/>
      <c r="CM16" s="146"/>
      <c r="CN16" s="147"/>
      <c r="CO16" s="223"/>
      <c r="CP16" s="146"/>
      <c r="CQ16" s="147"/>
      <c r="CR16" s="90" t="str">
        <f t="shared" si="0"/>
        <v>2.3</v>
      </c>
      <c r="CS16" s="71" t="b">
        <f t="shared" si="2"/>
        <v>0</v>
      </c>
    </row>
    <row r="17" spans="1:97" ht="14.25" customHeight="1">
      <c r="A17" s="71" t="b">
        <f t="shared" si="1"/>
        <v>1</v>
      </c>
      <c r="B17" s="9" t="s">
        <v>45</v>
      </c>
      <c r="C17" s="12"/>
      <c r="D17" s="8"/>
      <c r="E17" s="8"/>
      <c r="F17" s="8"/>
      <c r="G17" s="8"/>
      <c r="H17" s="13"/>
      <c r="I17" s="12"/>
      <c r="J17" s="8"/>
      <c r="K17" s="8"/>
      <c r="L17" s="8"/>
      <c r="M17" s="8"/>
      <c r="N17" s="13"/>
      <c r="O17" s="249"/>
      <c r="P17" s="267"/>
      <c r="Q17" s="267"/>
      <c r="R17" s="267"/>
      <c r="S17" s="267"/>
      <c r="T17" s="249"/>
      <c r="U17" s="12"/>
      <c r="V17" s="8"/>
      <c r="W17" s="8"/>
      <c r="X17" s="8"/>
      <c r="Y17" s="8"/>
      <c r="Z17" s="13"/>
      <c r="AA17" s="249"/>
      <c r="AB17" s="267"/>
      <c r="AC17" s="267"/>
      <c r="AD17" s="267"/>
      <c r="AE17" s="267"/>
      <c r="AF17" s="249"/>
      <c r="AG17" s="12"/>
      <c r="AH17" s="8"/>
      <c r="AI17" s="8"/>
      <c r="AJ17" s="8"/>
      <c r="AK17" s="8"/>
      <c r="AL17" s="13"/>
      <c r="AM17" s="14" t="s">
        <v>176</v>
      </c>
      <c r="AN17" s="1" t="s">
        <v>176</v>
      </c>
      <c r="AO17" s="1" t="s">
        <v>176</v>
      </c>
      <c r="AP17" s="1"/>
      <c r="AQ17" s="1"/>
      <c r="AR17" s="15"/>
      <c r="AS17" s="14" t="s">
        <v>176</v>
      </c>
      <c r="AT17" s="1" t="s">
        <v>176</v>
      </c>
      <c r="AU17" s="1" t="s">
        <v>176</v>
      </c>
      <c r="AV17" s="1"/>
      <c r="AW17" s="1"/>
      <c r="AX17" s="15"/>
      <c r="AY17" s="14" t="s">
        <v>176</v>
      </c>
      <c r="AZ17" s="1" t="s">
        <v>176</v>
      </c>
      <c r="BA17" s="1"/>
      <c r="BB17" s="1"/>
      <c r="BC17" s="1"/>
      <c r="BD17" s="15"/>
      <c r="BE17" s="106"/>
      <c r="BF17" s="22"/>
      <c r="BG17" s="22"/>
      <c r="BH17" s="22"/>
      <c r="BI17" s="22"/>
      <c r="BJ17" s="105"/>
      <c r="BK17" s="223">
        <v>45916</v>
      </c>
      <c r="BL17" s="23">
        <v>46083</v>
      </c>
      <c r="BM17" s="225"/>
      <c r="BN17" s="223"/>
      <c r="BO17" s="146"/>
      <c r="BP17" s="147"/>
      <c r="BQ17" s="223"/>
      <c r="BR17" s="146"/>
      <c r="BS17" s="147"/>
      <c r="BT17" s="223"/>
      <c r="BU17" s="146"/>
      <c r="BV17" s="147"/>
      <c r="BW17" s="223"/>
      <c r="BX17" s="146"/>
      <c r="BY17" s="147"/>
      <c r="BZ17" s="223"/>
      <c r="CA17" s="146"/>
      <c r="CB17" s="147"/>
      <c r="CC17" s="223"/>
      <c r="CD17" s="146"/>
      <c r="CE17" s="147"/>
      <c r="CF17" s="223">
        <v>45973</v>
      </c>
      <c r="CG17" s="146"/>
      <c r="CH17" s="147"/>
      <c r="CI17" s="223">
        <v>45973</v>
      </c>
      <c r="CJ17" s="146"/>
      <c r="CK17" s="147"/>
      <c r="CL17" s="223"/>
      <c r="CM17" s="146"/>
      <c r="CN17" s="147"/>
      <c r="CO17" s="223"/>
      <c r="CP17" s="146"/>
      <c r="CQ17" s="147"/>
      <c r="CR17" s="90" t="str">
        <f t="shared" si="0"/>
        <v>2.3</v>
      </c>
      <c r="CS17" s="71" t="b">
        <f t="shared" si="2"/>
        <v>0</v>
      </c>
    </row>
    <row r="18" spans="1:97" ht="14.25" customHeight="1">
      <c r="A18" s="71" t="b">
        <f t="shared" si="1"/>
        <v>1</v>
      </c>
      <c r="B18" s="9" t="s">
        <v>46</v>
      </c>
      <c r="C18" s="12"/>
      <c r="D18" s="8"/>
      <c r="E18" s="8"/>
      <c r="F18" s="8"/>
      <c r="G18" s="8"/>
      <c r="H18" s="13"/>
      <c r="I18" s="12"/>
      <c r="J18" s="8"/>
      <c r="K18" s="8"/>
      <c r="L18" s="8"/>
      <c r="M18" s="8"/>
      <c r="N18" s="13"/>
      <c r="O18" s="249"/>
      <c r="P18" s="267"/>
      <c r="Q18" s="267"/>
      <c r="R18" s="267"/>
      <c r="S18" s="267"/>
      <c r="T18" s="249"/>
      <c r="U18" s="12"/>
      <c r="V18" s="8"/>
      <c r="W18" s="8"/>
      <c r="X18" s="8"/>
      <c r="Y18" s="8"/>
      <c r="Z18" s="13"/>
      <c r="AA18" s="249"/>
      <c r="AB18" s="267"/>
      <c r="AC18" s="267"/>
      <c r="AD18" s="267"/>
      <c r="AE18" s="267"/>
      <c r="AF18" s="249"/>
      <c r="AG18" s="12"/>
      <c r="AH18" s="8"/>
      <c r="AI18" s="8"/>
      <c r="AJ18" s="8"/>
      <c r="AK18" s="8"/>
      <c r="AL18" s="13"/>
      <c r="AM18" s="14" t="s">
        <v>176</v>
      </c>
      <c r="AN18" s="1" t="s">
        <v>176</v>
      </c>
      <c r="AO18" s="1" t="s">
        <v>176</v>
      </c>
      <c r="AP18" s="1"/>
      <c r="AQ18" s="1"/>
      <c r="AR18" s="15"/>
      <c r="AS18" s="14" t="s">
        <v>176</v>
      </c>
      <c r="AT18" s="1" t="s">
        <v>176</v>
      </c>
      <c r="AU18" s="1" t="s">
        <v>176</v>
      </c>
      <c r="AV18" s="1"/>
      <c r="AW18" s="1"/>
      <c r="AX18" s="15"/>
      <c r="AY18" s="14" t="s">
        <v>176</v>
      </c>
      <c r="AZ18" s="1" t="s">
        <v>176</v>
      </c>
      <c r="BA18" s="1"/>
      <c r="BB18" s="1"/>
      <c r="BC18" s="1"/>
      <c r="BD18" s="15"/>
      <c r="BE18" s="106"/>
      <c r="BF18" s="22"/>
      <c r="BG18" s="22"/>
      <c r="BH18" s="22"/>
      <c r="BI18" s="22"/>
      <c r="BJ18" s="105"/>
      <c r="BK18" s="223">
        <v>45917</v>
      </c>
      <c r="BL18" s="23">
        <v>46083</v>
      </c>
      <c r="BM18" s="225"/>
      <c r="BN18" s="223"/>
      <c r="BO18" s="146"/>
      <c r="BP18" s="147"/>
      <c r="BQ18" s="223"/>
      <c r="BR18" s="146"/>
      <c r="BS18" s="147"/>
      <c r="BT18" s="223"/>
      <c r="BU18" s="146"/>
      <c r="BV18" s="147"/>
      <c r="BW18" s="223"/>
      <c r="BX18" s="146"/>
      <c r="BY18" s="147"/>
      <c r="BZ18" s="223"/>
      <c r="CA18" s="146"/>
      <c r="CB18" s="147"/>
      <c r="CC18" s="223"/>
      <c r="CD18" s="146"/>
      <c r="CE18" s="147"/>
      <c r="CF18" s="223">
        <v>45994</v>
      </c>
      <c r="CG18" s="146"/>
      <c r="CH18" s="147"/>
      <c r="CI18" s="223">
        <v>45973</v>
      </c>
      <c r="CJ18" s="146"/>
      <c r="CK18" s="147"/>
      <c r="CL18" s="223"/>
      <c r="CM18" s="146"/>
      <c r="CN18" s="147"/>
      <c r="CO18" s="223"/>
      <c r="CP18" s="146"/>
      <c r="CQ18" s="147"/>
      <c r="CR18" s="90" t="str">
        <f t="shared" si="0"/>
        <v>2.3</v>
      </c>
      <c r="CS18" s="71" t="b">
        <f t="shared" si="2"/>
        <v>0</v>
      </c>
    </row>
    <row r="19" spans="1:97" ht="14.25" customHeight="1">
      <c r="A19" s="71" t="b">
        <f t="shared" si="1"/>
        <v>1</v>
      </c>
      <c r="B19" s="9" t="s">
        <v>47</v>
      </c>
      <c r="C19" s="89" t="s">
        <v>176</v>
      </c>
      <c r="D19" s="73" t="s">
        <v>176</v>
      </c>
      <c r="E19" s="73" t="s">
        <v>176</v>
      </c>
      <c r="F19" s="73"/>
      <c r="G19" s="73"/>
      <c r="H19" s="164"/>
      <c r="I19" s="89" t="s">
        <v>176</v>
      </c>
      <c r="J19" s="73" t="s">
        <v>176</v>
      </c>
      <c r="K19" s="73" t="s">
        <v>176</v>
      </c>
      <c r="L19" s="73"/>
      <c r="M19" s="73"/>
      <c r="N19" s="164"/>
      <c r="O19" s="254" t="s">
        <v>176</v>
      </c>
      <c r="P19" s="263"/>
      <c r="Q19" s="263" t="s">
        <v>176</v>
      </c>
      <c r="R19" s="263"/>
      <c r="S19" s="263"/>
      <c r="T19" s="254"/>
      <c r="U19" s="12"/>
      <c r="V19" s="8"/>
      <c r="W19" s="8"/>
      <c r="X19" s="8"/>
      <c r="Y19" s="8"/>
      <c r="Z19" s="13"/>
      <c r="AA19" s="249"/>
      <c r="AB19" s="267"/>
      <c r="AC19" s="267"/>
      <c r="AD19" s="267"/>
      <c r="AE19" s="267"/>
      <c r="AF19" s="249"/>
      <c r="AG19" s="12"/>
      <c r="AH19" s="8"/>
      <c r="AI19" s="8"/>
      <c r="AJ19" s="8"/>
      <c r="AK19" s="8"/>
      <c r="AL19" s="13"/>
      <c r="AM19" s="14" t="s">
        <v>176</v>
      </c>
      <c r="AN19" s="1" t="s">
        <v>176</v>
      </c>
      <c r="AO19" s="1" t="s">
        <v>176</v>
      </c>
      <c r="AP19" s="1"/>
      <c r="AQ19" s="1"/>
      <c r="AR19" s="15"/>
      <c r="AS19" s="14" t="s">
        <v>176</v>
      </c>
      <c r="AT19" s="1" t="s">
        <v>176</v>
      </c>
      <c r="AU19" s="1" t="s">
        <v>176</v>
      </c>
      <c r="AV19" s="1"/>
      <c r="AW19" s="1"/>
      <c r="AX19" s="15"/>
      <c r="AY19" s="14" t="s">
        <v>176</v>
      </c>
      <c r="AZ19" s="1" t="s">
        <v>176</v>
      </c>
      <c r="BA19" s="1"/>
      <c r="BB19" s="1"/>
      <c r="BC19" s="1"/>
      <c r="BD19" s="15"/>
      <c r="BE19" s="106" t="s">
        <v>180</v>
      </c>
      <c r="BF19" s="22"/>
      <c r="BG19" s="22"/>
      <c r="BH19" s="22"/>
      <c r="BI19" s="22"/>
      <c r="BJ19" s="105"/>
      <c r="BK19" s="223">
        <v>45894</v>
      </c>
      <c r="BL19" s="23">
        <v>45974</v>
      </c>
      <c r="BM19" s="225"/>
      <c r="BN19" s="223">
        <v>46218</v>
      </c>
      <c r="BO19" s="146"/>
      <c r="BP19" s="225"/>
      <c r="BQ19" s="223">
        <v>46220</v>
      </c>
      <c r="BR19" s="146"/>
      <c r="BS19" s="147"/>
      <c r="BT19" s="223">
        <v>46233</v>
      </c>
      <c r="BU19" s="146"/>
      <c r="BV19" s="147"/>
      <c r="BW19" s="223"/>
      <c r="BX19" s="146"/>
      <c r="BY19" s="147"/>
      <c r="BZ19" s="223"/>
      <c r="CA19" s="146"/>
      <c r="CB19" s="147"/>
      <c r="CC19" s="223"/>
      <c r="CD19" s="146"/>
      <c r="CE19" s="147"/>
      <c r="CF19" s="223">
        <v>45956</v>
      </c>
      <c r="CG19" s="146"/>
      <c r="CH19" s="147"/>
      <c r="CI19" s="223">
        <v>45956</v>
      </c>
      <c r="CJ19" s="146"/>
      <c r="CK19" s="147"/>
      <c r="CL19" s="223"/>
      <c r="CM19" s="146"/>
      <c r="CN19" s="147"/>
      <c r="CO19" s="223"/>
      <c r="CP19" s="146"/>
      <c r="CQ19" s="147"/>
      <c r="CR19" s="90" t="str">
        <f t="shared" si="0"/>
        <v>2.4</v>
      </c>
      <c r="CS19" s="71" t="b">
        <f t="shared" si="2"/>
        <v>0</v>
      </c>
    </row>
    <row r="20" spans="1:97" ht="14.25" customHeight="1">
      <c r="A20" s="71" t="b">
        <f t="shared" si="1"/>
        <v>1</v>
      </c>
      <c r="B20" s="9" t="s">
        <v>48</v>
      </c>
      <c r="C20" s="12"/>
      <c r="D20" s="8"/>
      <c r="E20" s="8"/>
      <c r="F20" s="8"/>
      <c r="G20" s="8"/>
      <c r="H20" s="13"/>
      <c r="I20" s="12"/>
      <c r="J20" s="8"/>
      <c r="K20" s="8"/>
      <c r="L20" s="8"/>
      <c r="M20" s="8"/>
      <c r="N20" s="13"/>
      <c r="O20" s="249"/>
      <c r="P20" s="267"/>
      <c r="Q20" s="267"/>
      <c r="R20" s="267"/>
      <c r="S20" s="267"/>
      <c r="T20" s="249"/>
      <c r="U20" s="12"/>
      <c r="V20" s="8"/>
      <c r="W20" s="8"/>
      <c r="X20" s="8"/>
      <c r="Y20" s="8"/>
      <c r="Z20" s="13"/>
      <c r="AA20" s="249"/>
      <c r="AB20" s="267"/>
      <c r="AC20" s="267"/>
      <c r="AD20" s="267"/>
      <c r="AE20" s="267"/>
      <c r="AF20" s="249"/>
      <c r="AG20" s="12"/>
      <c r="AH20" s="8"/>
      <c r="AI20" s="8"/>
      <c r="AJ20" s="8"/>
      <c r="AK20" s="8"/>
      <c r="AL20" s="13"/>
      <c r="AM20" s="14" t="s">
        <v>176</v>
      </c>
      <c r="AN20" s="1" t="s">
        <v>176</v>
      </c>
      <c r="AO20" s="1" t="s">
        <v>176</v>
      </c>
      <c r="AP20" s="1"/>
      <c r="AQ20" s="1"/>
      <c r="AR20" s="15"/>
      <c r="AS20" s="14" t="s">
        <v>176</v>
      </c>
      <c r="AT20" s="1" t="s">
        <v>176</v>
      </c>
      <c r="AU20" s="1" t="s">
        <v>176</v>
      </c>
      <c r="AV20" s="1"/>
      <c r="AW20" s="1"/>
      <c r="AX20" s="15"/>
      <c r="AY20" s="14" t="s">
        <v>176</v>
      </c>
      <c r="AZ20" s="1" t="s">
        <v>176</v>
      </c>
      <c r="BA20" s="1"/>
      <c r="BB20" s="1"/>
      <c r="BC20" s="1"/>
      <c r="BD20" s="15"/>
      <c r="BE20" s="106"/>
      <c r="BF20" s="22"/>
      <c r="BG20" s="22"/>
      <c r="BH20" s="22"/>
      <c r="BI20" s="22"/>
      <c r="BJ20" s="105"/>
      <c r="BK20" s="223">
        <v>45921</v>
      </c>
      <c r="BL20" s="23">
        <v>46042</v>
      </c>
      <c r="BM20" s="225"/>
      <c r="BN20" s="223"/>
      <c r="BO20" s="146"/>
      <c r="BP20" s="147"/>
      <c r="BQ20" s="223"/>
      <c r="BR20" s="146"/>
      <c r="BS20" s="147"/>
      <c r="BT20" s="223"/>
      <c r="BU20" s="146"/>
      <c r="BV20" s="147"/>
      <c r="BW20" s="223"/>
      <c r="BX20" s="146"/>
      <c r="BY20" s="147"/>
      <c r="BZ20" s="223"/>
      <c r="CA20" s="146"/>
      <c r="CB20" s="147"/>
      <c r="CC20" s="223"/>
      <c r="CD20" s="146"/>
      <c r="CE20" s="147"/>
      <c r="CF20" s="223">
        <v>45965</v>
      </c>
      <c r="CG20" s="146"/>
      <c r="CH20" s="147"/>
      <c r="CI20" s="223">
        <v>45965</v>
      </c>
      <c r="CJ20" s="146"/>
      <c r="CK20" s="147"/>
      <c r="CL20" s="223"/>
      <c r="CM20" s="146"/>
      <c r="CN20" s="147"/>
      <c r="CO20" s="223"/>
      <c r="CP20" s="146"/>
      <c r="CQ20" s="147"/>
      <c r="CR20" s="90" t="str">
        <f t="shared" si="0"/>
        <v>2.5</v>
      </c>
      <c r="CS20" s="71" t="b">
        <f t="shared" si="2"/>
        <v>0</v>
      </c>
    </row>
    <row r="21" spans="1:97" ht="13.9" customHeight="1">
      <c r="A21" s="71" t="b">
        <f t="shared" si="1"/>
        <v>1</v>
      </c>
      <c r="B21" s="9" t="s">
        <v>49</v>
      </c>
      <c r="C21" s="12"/>
      <c r="D21" s="8"/>
      <c r="E21" s="8"/>
      <c r="F21" s="8"/>
      <c r="G21" s="8"/>
      <c r="H21" s="13"/>
      <c r="I21" s="12"/>
      <c r="J21" s="8"/>
      <c r="K21" s="8"/>
      <c r="L21" s="8"/>
      <c r="M21" s="8"/>
      <c r="N21" s="13"/>
      <c r="O21" s="249"/>
      <c r="P21" s="267"/>
      <c r="Q21" s="267"/>
      <c r="R21" s="267"/>
      <c r="S21" s="267"/>
      <c r="T21" s="249"/>
      <c r="U21" s="89" t="s">
        <v>176</v>
      </c>
      <c r="V21" s="73" t="s">
        <v>176</v>
      </c>
      <c r="W21" s="73" t="s">
        <v>176</v>
      </c>
      <c r="X21" s="73"/>
      <c r="Y21" s="73"/>
      <c r="Z21" s="164"/>
      <c r="AA21" s="254" t="s">
        <v>176</v>
      </c>
      <c r="AB21" s="263" t="s">
        <v>176</v>
      </c>
      <c r="AC21" s="263"/>
      <c r="AD21" s="263"/>
      <c r="AE21" s="263"/>
      <c r="AF21" s="254"/>
      <c r="AG21" s="89" t="s">
        <v>176</v>
      </c>
      <c r="AH21" s="73" t="s">
        <v>176</v>
      </c>
      <c r="AI21" s="73" t="s">
        <v>176</v>
      </c>
      <c r="AJ21" s="73"/>
      <c r="AK21" s="73"/>
      <c r="AL21" s="164"/>
      <c r="AM21" s="14" t="s">
        <v>176</v>
      </c>
      <c r="AN21" s="1" t="s">
        <v>176</v>
      </c>
      <c r="AO21" s="1" t="s">
        <v>174</v>
      </c>
      <c r="AP21" s="1" t="s">
        <v>176</v>
      </c>
      <c r="AQ21" s="1"/>
      <c r="AR21" s="15"/>
      <c r="AS21" s="14" t="s">
        <v>176</v>
      </c>
      <c r="AT21" s="1" t="s">
        <v>176</v>
      </c>
      <c r="AU21" s="1" t="s">
        <v>176</v>
      </c>
      <c r="AV21" s="1"/>
      <c r="AW21" s="1"/>
      <c r="AX21" s="15"/>
      <c r="AY21" s="14" t="s">
        <v>176</v>
      </c>
      <c r="AZ21" s="1" t="s">
        <v>176</v>
      </c>
      <c r="BA21" s="1"/>
      <c r="BB21" s="1"/>
      <c r="BC21" s="1"/>
      <c r="BD21" s="15"/>
      <c r="BE21" s="106"/>
      <c r="BF21" s="22"/>
      <c r="BG21" s="22"/>
      <c r="BH21" s="22"/>
      <c r="BI21" s="22"/>
      <c r="BJ21" s="105"/>
      <c r="BK21" s="223">
        <v>45896</v>
      </c>
      <c r="BL21" s="23">
        <v>45979</v>
      </c>
      <c r="BM21" s="225"/>
      <c r="BN21" s="223"/>
      <c r="BO21" s="146"/>
      <c r="BP21" s="147"/>
      <c r="BQ21" s="223"/>
      <c r="BR21" s="146"/>
      <c r="BS21" s="147"/>
      <c r="BT21" s="223"/>
      <c r="BU21" s="146"/>
      <c r="BV21" s="147"/>
      <c r="BW21" s="223">
        <v>46219</v>
      </c>
      <c r="BX21" s="146"/>
      <c r="BY21" s="147"/>
      <c r="BZ21" s="223"/>
      <c r="CA21" s="146"/>
      <c r="CB21" s="147"/>
      <c r="CC21" s="223">
        <v>46220</v>
      </c>
      <c r="CD21" s="146"/>
      <c r="CE21" s="147"/>
      <c r="CF21" s="223">
        <v>45978</v>
      </c>
      <c r="CG21" s="146">
        <v>46065</v>
      </c>
      <c r="CH21" s="147"/>
      <c r="CI21" s="223">
        <v>45978</v>
      </c>
      <c r="CJ21" s="146"/>
      <c r="CK21" s="147"/>
      <c r="CL21" s="223"/>
      <c r="CM21" s="146"/>
      <c r="CN21" s="147"/>
      <c r="CO21" s="223"/>
      <c r="CP21" s="146"/>
      <c r="CQ21" s="147"/>
      <c r="CR21" s="90" t="str">
        <f t="shared" si="0"/>
        <v>3A.1</v>
      </c>
      <c r="CS21" s="71" t="b">
        <f t="shared" si="2"/>
        <v>0</v>
      </c>
    </row>
    <row r="22" spans="1:97" ht="14.25" customHeight="1">
      <c r="A22" s="71" t="b">
        <f t="shared" si="1"/>
        <v>1</v>
      </c>
      <c r="B22" s="9" t="s">
        <v>50</v>
      </c>
      <c r="C22" s="12"/>
      <c r="D22" s="8"/>
      <c r="E22" s="8"/>
      <c r="F22" s="8"/>
      <c r="G22" s="8"/>
      <c r="H22" s="13"/>
      <c r="I22" s="12"/>
      <c r="J22" s="8"/>
      <c r="K22" s="8"/>
      <c r="L22" s="8"/>
      <c r="M22" s="8"/>
      <c r="N22" s="13"/>
      <c r="O22" s="249"/>
      <c r="P22" s="267"/>
      <c r="Q22" s="267"/>
      <c r="R22" s="267"/>
      <c r="S22" s="267"/>
      <c r="T22" s="249"/>
      <c r="U22" s="14" t="s">
        <v>176</v>
      </c>
      <c r="V22" s="1" t="s">
        <v>176</v>
      </c>
      <c r="W22" s="1" t="s">
        <v>176</v>
      </c>
      <c r="X22" s="1"/>
      <c r="Y22" s="1"/>
      <c r="Z22" s="15"/>
      <c r="AA22" s="250"/>
      <c r="AB22" s="194"/>
      <c r="AC22" s="194"/>
      <c r="AD22" s="194"/>
      <c r="AE22" s="194"/>
      <c r="AF22" s="250"/>
      <c r="AG22" s="14" t="s">
        <v>176</v>
      </c>
      <c r="AH22" s="1" t="s">
        <v>176</v>
      </c>
      <c r="AI22" s="1" t="s">
        <v>176</v>
      </c>
      <c r="AJ22" s="1"/>
      <c r="AK22" s="1"/>
      <c r="AL22" s="15"/>
      <c r="AM22" s="12"/>
      <c r="AN22" s="8"/>
      <c r="AO22" s="8"/>
      <c r="AP22" s="8"/>
      <c r="AQ22" s="8"/>
      <c r="AR22" s="13"/>
      <c r="AS22" s="12"/>
      <c r="AT22" s="8"/>
      <c r="AU22" s="8"/>
      <c r="AV22" s="8"/>
      <c r="AW22" s="8"/>
      <c r="AX22" s="13"/>
      <c r="AY22" s="12"/>
      <c r="AZ22" s="8"/>
      <c r="BA22" s="8"/>
      <c r="BB22" s="8"/>
      <c r="BC22" s="8"/>
      <c r="BD22" s="13"/>
      <c r="BE22" s="106"/>
      <c r="BF22" s="22"/>
      <c r="BG22" s="22"/>
      <c r="BH22" s="22"/>
      <c r="BI22" s="22"/>
      <c r="BJ22" s="105"/>
      <c r="BK22" s="223">
        <v>45915</v>
      </c>
      <c r="BL22" s="23">
        <v>46057</v>
      </c>
      <c r="BM22" s="225"/>
      <c r="BN22" s="223"/>
      <c r="BO22" s="146"/>
      <c r="BP22" s="147"/>
      <c r="BQ22" s="223"/>
      <c r="BR22" s="146"/>
      <c r="BS22" s="147"/>
      <c r="BT22" s="223"/>
      <c r="BU22" s="146"/>
      <c r="BV22" s="147"/>
      <c r="BW22" s="223">
        <v>45967</v>
      </c>
      <c r="BX22" s="146"/>
      <c r="BY22" s="147"/>
      <c r="BZ22" s="223"/>
      <c r="CA22" s="146"/>
      <c r="CB22" s="147"/>
      <c r="CC22" s="223">
        <v>45967</v>
      </c>
      <c r="CD22" s="146"/>
      <c r="CE22" s="147"/>
      <c r="CF22" s="223"/>
      <c r="CG22" s="146"/>
      <c r="CH22" s="147"/>
      <c r="CI22" s="223"/>
      <c r="CJ22" s="146"/>
      <c r="CK22" s="147"/>
      <c r="CL22" s="223"/>
      <c r="CM22" s="146"/>
      <c r="CN22" s="147"/>
      <c r="CO22" s="223"/>
      <c r="CP22" s="146"/>
      <c r="CQ22" s="147"/>
      <c r="CR22" s="90" t="str">
        <f t="shared" si="0"/>
        <v>3A.2</v>
      </c>
      <c r="CS22" s="71" t="b">
        <f t="shared" si="2"/>
        <v>0</v>
      </c>
    </row>
    <row r="23" spans="1:97" ht="14.25" customHeight="1">
      <c r="A23" s="71" t="b">
        <f t="shared" si="1"/>
        <v>1</v>
      </c>
      <c r="B23" s="9" t="s">
        <v>53</v>
      </c>
      <c r="C23" s="12"/>
      <c r="D23" s="8"/>
      <c r="E23" s="8"/>
      <c r="F23" s="8"/>
      <c r="G23" s="8"/>
      <c r="H23" s="13"/>
      <c r="I23" s="12"/>
      <c r="J23" s="8"/>
      <c r="K23" s="8"/>
      <c r="L23" s="8"/>
      <c r="M23" s="8"/>
      <c r="N23" s="13"/>
      <c r="O23" s="249"/>
      <c r="P23" s="267"/>
      <c r="Q23" s="267"/>
      <c r="R23" s="267"/>
      <c r="S23" s="267"/>
      <c r="T23" s="249"/>
      <c r="U23" s="14" t="s">
        <v>176</v>
      </c>
      <c r="V23" s="1" t="s">
        <v>176</v>
      </c>
      <c r="W23" s="1" t="s">
        <v>176</v>
      </c>
      <c r="X23" s="1"/>
      <c r="Y23" s="1"/>
      <c r="Z23" s="15"/>
      <c r="AA23" s="250" t="s">
        <v>176</v>
      </c>
      <c r="AB23" s="194"/>
      <c r="AC23" s="194" t="s">
        <v>176</v>
      </c>
      <c r="AD23" s="194"/>
      <c r="AE23" s="194"/>
      <c r="AF23" s="250"/>
      <c r="AG23" s="14" t="s">
        <v>176</v>
      </c>
      <c r="AH23" s="1" t="s">
        <v>176</v>
      </c>
      <c r="AI23" s="1" t="s">
        <v>176</v>
      </c>
      <c r="AJ23" s="1"/>
      <c r="AK23" s="1"/>
      <c r="AL23" s="15"/>
      <c r="AM23" s="12"/>
      <c r="AN23" s="8"/>
      <c r="AO23" s="8"/>
      <c r="AP23" s="8"/>
      <c r="AQ23" s="8"/>
      <c r="AR23" s="13"/>
      <c r="AS23" s="12"/>
      <c r="AT23" s="8"/>
      <c r="AU23" s="8"/>
      <c r="AV23" s="8"/>
      <c r="AW23" s="8"/>
      <c r="AX23" s="13"/>
      <c r="AY23" s="12"/>
      <c r="AZ23" s="8"/>
      <c r="BA23" s="8"/>
      <c r="BB23" s="8"/>
      <c r="BC23" s="8"/>
      <c r="BD23" s="13"/>
      <c r="BE23" s="106"/>
      <c r="BF23" s="22"/>
      <c r="BG23" s="22"/>
      <c r="BH23" s="22"/>
      <c r="BI23" s="22"/>
      <c r="BJ23" s="105"/>
      <c r="BK23" s="223">
        <v>45895</v>
      </c>
      <c r="BL23" s="23">
        <v>45980</v>
      </c>
      <c r="BM23" s="225"/>
      <c r="BN23" s="223"/>
      <c r="BO23" s="146"/>
      <c r="BP23" s="147"/>
      <c r="BQ23" s="223"/>
      <c r="BR23" s="146"/>
      <c r="BS23" s="147"/>
      <c r="BT23" s="223"/>
      <c r="BU23" s="146"/>
      <c r="BV23" s="147"/>
      <c r="BW23" s="223">
        <v>45938</v>
      </c>
      <c r="BX23" s="146"/>
      <c r="BY23" s="147"/>
      <c r="BZ23" s="223">
        <v>46232</v>
      </c>
      <c r="CA23" s="146"/>
      <c r="CB23" s="147"/>
      <c r="CC23" s="223">
        <v>45938</v>
      </c>
      <c r="CD23" s="146"/>
      <c r="CE23" s="147"/>
      <c r="CF23" s="223"/>
      <c r="CG23" s="146"/>
      <c r="CH23" s="147"/>
      <c r="CI23" s="223"/>
      <c r="CJ23" s="146"/>
      <c r="CK23" s="147"/>
      <c r="CL23" s="223"/>
      <c r="CM23" s="146"/>
      <c r="CN23" s="147"/>
      <c r="CO23" s="223"/>
      <c r="CP23" s="146"/>
      <c r="CQ23" s="147"/>
      <c r="CR23" s="90" t="str">
        <f t="shared" si="0"/>
        <v>4A.1</v>
      </c>
      <c r="CS23" s="71" t="b">
        <f t="shared" si="2"/>
        <v>0</v>
      </c>
    </row>
    <row r="24" spans="1:97" ht="14.25" customHeight="1">
      <c r="A24" s="71" t="b">
        <f t="shared" si="1"/>
        <v>1</v>
      </c>
      <c r="B24" s="9" t="s">
        <v>54</v>
      </c>
      <c r="C24" s="12"/>
      <c r="D24" s="8"/>
      <c r="E24" s="8"/>
      <c r="F24" s="8"/>
      <c r="G24" s="8"/>
      <c r="H24" s="13"/>
      <c r="I24" s="12" t="s">
        <v>180</v>
      </c>
      <c r="J24" s="8"/>
      <c r="K24" s="8"/>
      <c r="L24" s="8"/>
      <c r="M24" s="8"/>
      <c r="N24" s="13"/>
      <c r="O24" s="249"/>
      <c r="P24" s="267"/>
      <c r="Q24" s="267"/>
      <c r="R24" s="267"/>
      <c r="S24" s="267"/>
      <c r="T24" s="249"/>
      <c r="U24" s="14" t="s">
        <v>176</v>
      </c>
      <c r="V24" s="1" t="s">
        <v>176</v>
      </c>
      <c r="W24" s="1" t="s">
        <v>176</v>
      </c>
      <c r="X24" s="1"/>
      <c r="Y24" s="1"/>
      <c r="Z24" s="15"/>
      <c r="AA24" s="250"/>
      <c r="AB24" s="194"/>
      <c r="AC24" s="194"/>
      <c r="AD24" s="194"/>
      <c r="AE24" s="194"/>
      <c r="AF24" s="250"/>
      <c r="AG24" s="14" t="s">
        <v>176</v>
      </c>
      <c r="AH24" s="1" t="s">
        <v>176</v>
      </c>
      <c r="AI24" s="1" t="s">
        <v>176</v>
      </c>
      <c r="AJ24" s="1"/>
      <c r="AK24" s="1"/>
      <c r="AL24" s="15"/>
      <c r="AM24" s="12"/>
      <c r="AN24" s="8"/>
      <c r="AO24" s="8"/>
      <c r="AP24" s="8"/>
      <c r="AQ24" s="8"/>
      <c r="AR24" s="13"/>
      <c r="AS24" s="12"/>
      <c r="AT24" s="8"/>
      <c r="AU24" s="8"/>
      <c r="AV24" s="8"/>
      <c r="AW24" s="8"/>
      <c r="AX24" s="13"/>
      <c r="AY24" s="12"/>
      <c r="AZ24" s="8"/>
      <c r="BA24" s="8"/>
      <c r="BB24" s="8"/>
      <c r="BC24" s="8"/>
      <c r="BD24" s="13"/>
      <c r="BE24" s="106"/>
      <c r="BF24" s="22"/>
      <c r="BG24" s="22"/>
      <c r="BH24" s="22"/>
      <c r="BI24" s="22"/>
      <c r="BJ24" s="105"/>
      <c r="BK24" s="223">
        <v>45897</v>
      </c>
      <c r="BL24" s="23">
        <v>46084</v>
      </c>
      <c r="BM24" s="225"/>
      <c r="BN24" s="223"/>
      <c r="BO24" s="146"/>
      <c r="BP24" s="147"/>
      <c r="BQ24" s="223"/>
      <c r="BR24" s="146"/>
      <c r="BS24" s="147"/>
      <c r="BT24" s="223"/>
      <c r="BU24" s="146"/>
      <c r="BV24" s="147"/>
      <c r="BW24" s="223">
        <v>45939</v>
      </c>
      <c r="BX24" s="146"/>
      <c r="BY24" s="147"/>
      <c r="BZ24" s="223"/>
      <c r="CA24" s="146"/>
      <c r="CB24" s="147"/>
      <c r="CC24" s="223">
        <v>45939</v>
      </c>
      <c r="CD24" s="146"/>
      <c r="CE24" s="147"/>
      <c r="CF24" s="223"/>
      <c r="CG24" s="146"/>
      <c r="CH24" s="147"/>
      <c r="CI24" s="223"/>
      <c r="CJ24" s="146"/>
      <c r="CK24" s="147"/>
      <c r="CL24" s="223"/>
      <c r="CM24" s="146"/>
      <c r="CN24" s="147"/>
      <c r="CO24" s="223"/>
      <c r="CP24" s="146"/>
      <c r="CQ24" s="147"/>
      <c r="CR24" s="90" t="str">
        <f t="shared" si="0"/>
        <v>4A.1</v>
      </c>
      <c r="CS24" s="71" t="b">
        <f t="shared" si="2"/>
        <v>0</v>
      </c>
    </row>
    <row r="25" spans="1:97" ht="14.25" customHeight="1">
      <c r="A25" s="71" t="b">
        <f t="shared" si="1"/>
        <v>1</v>
      </c>
      <c r="B25" s="9" t="s">
        <v>55</v>
      </c>
      <c r="C25" s="12"/>
      <c r="D25" s="8"/>
      <c r="E25" s="8"/>
      <c r="F25" s="8"/>
      <c r="G25" s="8"/>
      <c r="H25" s="13"/>
      <c r="I25" s="12"/>
      <c r="J25" s="8"/>
      <c r="K25" s="8"/>
      <c r="L25" s="8"/>
      <c r="M25" s="8"/>
      <c r="N25" s="13"/>
      <c r="O25" s="249" t="s">
        <v>176</v>
      </c>
      <c r="P25" s="267"/>
      <c r="Q25" s="267" t="s">
        <v>176</v>
      </c>
      <c r="R25" s="267"/>
      <c r="S25" s="267"/>
      <c r="T25" s="249"/>
      <c r="U25" s="14" t="s">
        <v>176</v>
      </c>
      <c r="V25" s="1" t="s">
        <v>176</v>
      </c>
      <c r="W25" s="1" t="s">
        <v>176</v>
      </c>
      <c r="X25" s="1"/>
      <c r="Y25" s="1"/>
      <c r="Z25" s="15"/>
      <c r="AA25" s="250" t="s">
        <v>176</v>
      </c>
      <c r="AB25" s="194"/>
      <c r="AC25" s="194" t="s">
        <v>176</v>
      </c>
      <c r="AD25" s="194"/>
      <c r="AE25" s="194"/>
      <c r="AF25" s="250"/>
      <c r="AG25" s="14" t="s">
        <v>176</v>
      </c>
      <c r="AH25" s="1" t="s">
        <v>176</v>
      </c>
      <c r="AI25" s="1" t="s">
        <v>176</v>
      </c>
      <c r="AJ25" s="1"/>
      <c r="AK25" s="1"/>
      <c r="AL25" s="15"/>
      <c r="AM25" s="12"/>
      <c r="AN25" s="8"/>
      <c r="AO25" s="8"/>
      <c r="AP25" s="8"/>
      <c r="AQ25" s="8"/>
      <c r="AR25" s="13"/>
      <c r="AS25" s="12"/>
      <c r="AT25" s="8"/>
      <c r="AU25" s="8"/>
      <c r="AV25" s="8"/>
      <c r="AW25" s="8"/>
      <c r="AX25" s="13"/>
      <c r="AY25" s="12"/>
      <c r="AZ25" s="8"/>
      <c r="BA25" s="8"/>
      <c r="BB25" s="8"/>
      <c r="BC25" s="8"/>
      <c r="BD25" s="13"/>
      <c r="BE25" s="106"/>
      <c r="BF25" s="22"/>
      <c r="BG25" s="22"/>
      <c r="BH25" s="22"/>
      <c r="BI25" s="22"/>
      <c r="BJ25" s="105"/>
      <c r="BK25" s="223">
        <v>45901</v>
      </c>
      <c r="BL25" s="23">
        <v>46062</v>
      </c>
      <c r="BM25" s="225"/>
      <c r="BN25" s="223"/>
      <c r="BO25" s="146"/>
      <c r="BP25" s="147"/>
      <c r="BQ25" s="223"/>
      <c r="BR25" s="146"/>
      <c r="BS25" s="147"/>
      <c r="BT25" s="223">
        <v>46240</v>
      </c>
      <c r="BU25" s="146"/>
      <c r="BV25" s="147"/>
      <c r="BW25" s="223">
        <v>45939</v>
      </c>
      <c r="BX25" s="146"/>
      <c r="BY25" s="147"/>
      <c r="BZ25" s="223">
        <v>46239</v>
      </c>
      <c r="CA25" s="146"/>
      <c r="CB25" s="147"/>
      <c r="CC25" s="223">
        <v>45939</v>
      </c>
      <c r="CD25" s="146"/>
      <c r="CE25" s="147"/>
      <c r="CF25" s="223"/>
      <c r="CG25" s="146"/>
      <c r="CH25" s="147"/>
      <c r="CI25" s="223"/>
      <c r="CJ25" s="146"/>
      <c r="CK25" s="147"/>
      <c r="CL25" s="223"/>
      <c r="CM25" s="146"/>
      <c r="CN25" s="147"/>
      <c r="CO25" s="223"/>
      <c r="CP25" s="146"/>
      <c r="CQ25" s="147"/>
      <c r="CR25" s="90" t="str">
        <f t="shared" si="0"/>
        <v>4A.1</v>
      </c>
      <c r="CS25" s="71" t="b">
        <f t="shared" si="2"/>
        <v>0</v>
      </c>
    </row>
    <row r="26" spans="1:97" ht="14.25" customHeight="1">
      <c r="A26" s="71" t="b">
        <f t="shared" si="1"/>
        <v>1</v>
      </c>
      <c r="B26" s="9" t="s">
        <v>56</v>
      </c>
      <c r="C26" s="12"/>
      <c r="D26" s="8"/>
      <c r="E26" s="8"/>
      <c r="F26" s="8"/>
      <c r="G26" s="8"/>
      <c r="H26" s="13"/>
      <c r="I26" s="12"/>
      <c r="J26" s="8"/>
      <c r="K26" s="8"/>
      <c r="L26" s="8"/>
      <c r="M26" s="8"/>
      <c r="N26" s="13"/>
      <c r="O26" s="249" t="s">
        <v>176</v>
      </c>
      <c r="P26" s="267"/>
      <c r="Q26" s="267"/>
      <c r="R26" s="267"/>
      <c r="S26" s="267"/>
      <c r="T26" s="249"/>
      <c r="U26" s="14" t="s">
        <v>176</v>
      </c>
      <c r="V26" s="1" t="s">
        <v>176</v>
      </c>
      <c r="W26" s="1" t="s">
        <v>176</v>
      </c>
      <c r="X26" s="1"/>
      <c r="Y26" s="1"/>
      <c r="Z26" s="15"/>
      <c r="AA26" s="250" t="s">
        <v>176</v>
      </c>
      <c r="AB26" s="194"/>
      <c r="AC26" s="194" t="s">
        <v>176</v>
      </c>
      <c r="AD26" s="194"/>
      <c r="AE26" s="194"/>
      <c r="AF26" s="250"/>
      <c r="AG26" s="14" t="s">
        <v>178</v>
      </c>
      <c r="AH26" s="1" t="s">
        <v>176</v>
      </c>
      <c r="AI26" s="1" t="s">
        <v>176</v>
      </c>
      <c r="AJ26" s="1"/>
      <c r="AK26" s="1"/>
      <c r="AL26" s="15"/>
      <c r="AM26" s="12"/>
      <c r="AN26" s="8"/>
      <c r="AO26" s="8"/>
      <c r="AP26" s="8"/>
      <c r="AQ26" s="8"/>
      <c r="AR26" s="13"/>
      <c r="AS26" s="12"/>
      <c r="AT26" s="8"/>
      <c r="AU26" s="8"/>
      <c r="AV26" s="8"/>
      <c r="AW26" s="8"/>
      <c r="AX26" s="13"/>
      <c r="AY26" s="12"/>
      <c r="AZ26" s="8"/>
      <c r="BA26" s="8"/>
      <c r="BB26" s="8"/>
      <c r="BC26" s="8"/>
      <c r="BD26" s="13"/>
      <c r="BE26" s="106"/>
      <c r="BF26" s="22"/>
      <c r="BG26" s="22"/>
      <c r="BH26" s="22"/>
      <c r="BI26" s="22"/>
      <c r="BJ26" s="105"/>
      <c r="BK26" s="223">
        <v>45902</v>
      </c>
      <c r="BL26" s="23">
        <v>46063</v>
      </c>
      <c r="BM26" s="225"/>
      <c r="BN26" s="223"/>
      <c r="BO26" s="146"/>
      <c r="BP26" s="147"/>
      <c r="BQ26" s="223"/>
      <c r="BR26" s="146"/>
      <c r="BS26" s="147"/>
      <c r="BT26" s="223"/>
      <c r="BU26" s="146"/>
      <c r="BV26" s="147"/>
      <c r="BW26" s="223">
        <v>45972</v>
      </c>
      <c r="BX26" s="146"/>
      <c r="BY26" s="147"/>
      <c r="BZ26" s="223">
        <v>46240</v>
      </c>
      <c r="CA26" s="146"/>
      <c r="CB26" s="147"/>
      <c r="CC26" s="223">
        <v>45972</v>
      </c>
      <c r="CD26" s="146"/>
      <c r="CE26" s="147"/>
      <c r="CF26" s="223"/>
      <c r="CG26" s="146"/>
      <c r="CH26" s="147"/>
      <c r="CI26" s="223"/>
      <c r="CJ26" s="146"/>
      <c r="CK26" s="147"/>
      <c r="CL26" s="223"/>
      <c r="CM26" s="146"/>
      <c r="CN26" s="147"/>
      <c r="CO26" s="223"/>
      <c r="CP26" s="146"/>
      <c r="CQ26" s="147"/>
      <c r="CR26" s="90" t="str">
        <f t="shared" si="0"/>
        <v>4A.1</v>
      </c>
      <c r="CS26" s="71" t="b">
        <f t="shared" si="2"/>
        <v>0</v>
      </c>
    </row>
    <row r="27" spans="1:97" ht="14.25" customHeight="1">
      <c r="A27" s="71" t="b">
        <f t="shared" si="1"/>
        <v>1</v>
      </c>
      <c r="B27" s="9" t="s">
        <v>57</v>
      </c>
      <c r="C27" s="12"/>
      <c r="D27" s="8"/>
      <c r="E27" s="8"/>
      <c r="F27" s="8"/>
      <c r="G27" s="8"/>
      <c r="H27" s="13"/>
      <c r="I27" s="12"/>
      <c r="J27" s="8"/>
      <c r="K27" s="8"/>
      <c r="L27" s="8"/>
      <c r="M27" s="8"/>
      <c r="N27" s="13"/>
      <c r="O27" s="249"/>
      <c r="P27" s="267"/>
      <c r="Q27" s="267"/>
      <c r="R27" s="267"/>
      <c r="S27" s="267"/>
      <c r="T27" s="249"/>
      <c r="U27" s="14" t="s">
        <v>176</v>
      </c>
      <c r="V27" s="1" t="s">
        <v>176</v>
      </c>
      <c r="W27" s="1" t="s">
        <v>176</v>
      </c>
      <c r="X27" s="1"/>
      <c r="Y27" s="1"/>
      <c r="Z27" s="15"/>
      <c r="AA27" s="352" t="s">
        <v>176</v>
      </c>
      <c r="AB27" s="194"/>
      <c r="AC27" s="194" t="s">
        <v>176</v>
      </c>
      <c r="AD27" s="194"/>
      <c r="AE27" s="194"/>
      <c r="AF27" s="250"/>
      <c r="AG27" s="14" t="s">
        <v>176</v>
      </c>
      <c r="AH27" s="1" t="s">
        <v>176</v>
      </c>
      <c r="AI27" s="1" t="s">
        <v>176</v>
      </c>
      <c r="AJ27" s="1"/>
      <c r="AK27" s="1"/>
      <c r="AL27" s="15"/>
      <c r="AM27" s="12"/>
      <c r="AN27" s="8"/>
      <c r="AO27" s="8"/>
      <c r="AP27" s="8"/>
      <c r="AQ27" s="8"/>
      <c r="AR27" s="13"/>
      <c r="AS27" s="12"/>
      <c r="AT27" s="8"/>
      <c r="AU27" s="8"/>
      <c r="AV27" s="8"/>
      <c r="AW27" s="8"/>
      <c r="AX27" s="13"/>
      <c r="AY27" s="12"/>
      <c r="AZ27" s="8"/>
      <c r="BA27" s="8"/>
      <c r="BB27" s="8"/>
      <c r="BC27" s="8"/>
      <c r="BD27" s="13"/>
      <c r="BE27" s="106"/>
      <c r="BF27" s="22"/>
      <c r="BG27" s="22"/>
      <c r="BH27" s="22"/>
      <c r="BI27" s="22"/>
      <c r="BJ27" s="105"/>
      <c r="BK27" s="223">
        <v>45903</v>
      </c>
      <c r="BL27" s="23">
        <v>46063</v>
      </c>
      <c r="BM27" s="225"/>
      <c r="BN27" s="223"/>
      <c r="BO27" s="146"/>
      <c r="BP27" s="147"/>
      <c r="BQ27" s="223"/>
      <c r="BR27" s="146"/>
      <c r="BS27" s="147"/>
      <c r="BT27" s="223"/>
      <c r="BU27" s="146"/>
      <c r="BV27" s="147"/>
      <c r="BW27" s="223">
        <v>45971</v>
      </c>
      <c r="BX27" s="146"/>
      <c r="BY27" s="147"/>
      <c r="BZ27" s="223">
        <v>46246</v>
      </c>
      <c r="CA27" s="146"/>
      <c r="CB27" s="147"/>
      <c r="CC27" s="223">
        <v>45971</v>
      </c>
      <c r="CD27" s="146"/>
      <c r="CE27" s="147"/>
      <c r="CF27" s="223"/>
      <c r="CG27" s="146"/>
      <c r="CH27" s="147"/>
      <c r="CI27" s="223"/>
      <c r="CJ27" s="146"/>
      <c r="CK27" s="147"/>
      <c r="CL27" s="223"/>
      <c r="CM27" s="146"/>
      <c r="CN27" s="147"/>
      <c r="CO27" s="223"/>
      <c r="CP27" s="146"/>
      <c r="CQ27" s="147"/>
      <c r="CR27" s="90" t="str">
        <f t="shared" si="0"/>
        <v>4A.1</v>
      </c>
      <c r="CS27" s="71" t="b">
        <f t="shared" si="2"/>
        <v>0</v>
      </c>
    </row>
    <row r="28" spans="1:97" ht="14.25" customHeight="1">
      <c r="A28" s="71" t="b">
        <f t="shared" si="1"/>
        <v>1</v>
      </c>
      <c r="B28" s="9" t="s">
        <v>58</v>
      </c>
      <c r="C28" s="12"/>
      <c r="D28" s="8"/>
      <c r="E28" s="8"/>
      <c r="F28" s="8"/>
      <c r="G28" s="8"/>
      <c r="H28" s="13"/>
      <c r="I28" s="12"/>
      <c r="J28" s="8"/>
      <c r="K28" s="8"/>
      <c r="L28" s="8"/>
      <c r="M28" s="8"/>
      <c r="N28" s="13"/>
      <c r="O28" s="249"/>
      <c r="P28" s="267"/>
      <c r="Q28" s="267"/>
      <c r="R28" s="267"/>
      <c r="S28" s="267"/>
      <c r="T28" s="249"/>
      <c r="U28" s="14" t="s">
        <v>176</v>
      </c>
      <c r="V28" s="1" t="s">
        <v>176</v>
      </c>
      <c r="W28" s="1" t="s">
        <v>176</v>
      </c>
      <c r="X28" s="1"/>
      <c r="Y28" s="1"/>
      <c r="Z28" s="15"/>
      <c r="AA28" s="250" t="s">
        <v>176</v>
      </c>
      <c r="AB28" s="194"/>
      <c r="AC28" s="194"/>
      <c r="AD28" s="194"/>
      <c r="AE28" s="194"/>
      <c r="AF28" s="250"/>
      <c r="AG28" s="14" t="s">
        <v>176</v>
      </c>
      <c r="AH28" s="1" t="s">
        <v>176</v>
      </c>
      <c r="AI28" s="1" t="s">
        <v>176</v>
      </c>
      <c r="AJ28" s="1"/>
      <c r="AK28" s="1"/>
      <c r="AL28" s="15"/>
      <c r="AM28" s="12"/>
      <c r="AN28" s="8"/>
      <c r="AO28" s="8"/>
      <c r="AP28" s="8"/>
      <c r="AQ28" s="8"/>
      <c r="AR28" s="13"/>
      <c r="AS28" s="12"/>
      <c r="AT28" s="8"/>
      <c r="AU28" s="8"/>
      <c r="AV28" s="8"/>
      <c r="AW28" s="8"/>
      <c r="AX28" s="13"/>
      <c r="AY28" s="12"/>
      <c r="AZ28" s="8"/>
      <c r="BA28" s="8"/>
      <c r="BB28" s="8"/>
      <c r="BC28" s="8"/>
      <c r="BD28" s="13"/>
      <c r="BE28" s="106"/>
      <c r="BF28" s="22"/>
      <c r="BG28" s="22"/>
      <c r="BH28" s="22"/>
      <c r="BI28" s="22"/>
      <c r="BJ28" s="105"/>
      <c r="BK28" s="223">
        <v>45904</v>
      </c>
      <c r="BL28" s="23">
        <v>46062</v>
      </c>
      <c r="BM28" s="225"/>
      <c r="BN28" s="223"/>
      <c r="BO28" s="146"/>
      <c r="BP28" s="147"/>
      <c r="BQ28" s="223"/>
      <c r="BR28" s="146"/>
      <c r="BS28" s="147"/>
      <c r="BT28" s="223"/>
      <c r="BU28" s="146"/>
      <c r="BV28" s="147"/>
      <c r="BW28" s="223">
        <v>45970</v>
      </c>
      <c r="BX28" s="146"/>
      <c r="BY28" s="147"/>
      <c r="BZ28" s="223"/>
      <c r="CA28" s="146"/>
      <c r="CB28" s="147"/>
      <c r="CC28" s="223">
        <v>45970</v>
      </c>
      <c r="CD28" s="146"/>
      <c r="CE28" s="147"/>
      <c r="CF28" s="223"/>
      <c r="CG28" s="146"/>
      <c r="CH28" s="147"/>
      <c r="CI28" s="223"/>
      <c r="CJ28" s="146"/>
      <c r="CK28" s="147"/>
      <c r="CL28" s="223"/>
      <c r="CM28" s="146"/>
      <c r="CN28" s="147"/>
      <c r="CO28" s="223"/>
      <c r="CP28" s="146"/>
      <c r="CQ28" s="147"/>
      <c r="CR28" s="90" t="str">
        <f t="shared" si="0"/>
        <v>4A.1</v>
      </c>
      <c r="CS28" s="71" t="b">
        <f t="shared" si="2"/>
        <v>0</v>
      </c>
    </row>
    <row r="29" spans="1:97" ht="14.25" customHeight="1">
      <c r="A29" s="71" t="b">
        <f t="shared" si="1"/>
        <v>1</v>
      </c>
      <c r="B29" s="9" t="s">
        <v>59</v>
      </c>
      <c r="C29" s="12"/>
      <c r="D29" s="8"/>
      <c r="E29" s="8"/>
      <c r="F29" s="8"/>
      <c r="G29" s="8"/>
      <c r="H29" s="13"/>
      <c r="I29" s="12"/>
      <c r="J29" s="8"/>
      <c r="K29" s="8"/>
      <c r="L29" s="8"/>
      <c r="M29" s="8"/>
      <c r="N29" s="13"/>
      <c r="O29" s="249"/>
      <c r="P29" s="267"/>
      <c r="Q29" s="267"/>
      <c r="R29" s="267"/>
      <c r="S29" s="267"/>
      <c r="T29" s="249"/>
      <c r="U29" s="14" t="s">
        <v>176</v>
      </c>
      <c r="V29" s="1" t="s">
        <v>176</v>
      </c>
      <c r="W29" s="1" t="s">
        <v>176</v>
      </c>
      <c r="X29" s="1"/>
      <c r="Y29" s="1"/>
      <c r="Z29" s="15"/>
      <c r="AA29" s="352" t="s">
        <v>176</v>
      </c>
      <c r="AB29" s="194"/>
      <c r="AC29" s="351"/>
      <c r="AD29" s="194"/>
      <c r="AE29" s="194"/>
      <c r="AF29" s="250"/>
      <c r="AG29" s="14" t="s">
        <v>176</v>
      </c>
      <c r="AH29" s="1" t="s">
        <v>176</v>
      </c>
      <c r="AI29" s="1" t="s">
        <v>176</v>
      </c>
      <c r="AJ29" s="1"/>
      <c r="AK29" s="1"/>
      <c r="AL29" s="15"/>
      <c r="AM29" s="12"/>
      <c r="AN29" s="8"/>
      <c r="AO29" s="8"/>
      <c r="AP29" s="8"/>
      <c r="AQ29" s="8"/>
      <c r="AR29" s="13"/>
      <c r="AS29" s="12"/>
      <c r="AT29" s="8"/>
      <c r="AU29" s="8"/>
      <c r="AV29" s="8"/>
      <c r="AW29" s="8"/>
      <c r="AX29" s="13"/>
      <c r="AY29" s="12"/>
      <c r="AZ29" s="8"/>
      <c r="BA29" s="8"/>
      <c r="BB29" s="8"/>
      <c r="BC29" s="8"/>
      <c r="BD29" s="13"/>
      <c r="BE29" s="106"/>
      <c r="BF29" s="22"/>
      <c r="BG29" s="22"/>
      <c r="BH29" s="22"/>
      <c r="BI29" s="22"/>
      <c r="BJ29" s="105"/>
      <c r="BK29" s="223">
        <v>45882</v>
      </c>
      <c r="BL29" s="23">
        <v>46050</v>
      </c>
      <c r="BM29" s="225"/>
      <c r="BN29" s="223"/>
      <c r="BO29" s="146"/>
      <c r="BP29" s="147"/>
      <c r="BQ29" s="223"/>
      <c r="BR29" s="146"/>
      <c r="BS29" s="147"/>
      <c r="BT29" s="223"/>
      <c r="BU29" s="146"/>
      <c r="BV29" s="147"/>
      <c r="BW29" s="223">
        <v>45930</v>
      </c>
      <c r="BX29" s="146"/>
      <c r="BY29" s="147"/>
      <c r="BZ29" s="223"/>
      <c r="CA29" s="146"/>
      <c r="CB29" s="147"/>
      <c r="CC29" s="223">
        <v>45930</v>
      </c>
      <c r="CD29" s="146"/>
      <c r="CE29" s="147"/>
      <c r="CF29" s="223"/>
      <c r="CG29" s="146"/>
      <c r="CH29" s="147"/>
      <c r="CI29" s="223"/>
      <c r="CJ29" s="146"/>
      <c r="CK29" s="147"/>
      <c r="CL29" s="223"/>
      <c r="CM29" s="146"/>
      <c r="CN29" s="147"/>
      <c r="CO29" s="223"/>
      <c r="CP29" s="146"/>
      <c r="CQ29" s="147"/>
      <c r="CR29" s="90" t="str">
        <f t="shared" si="0"/>
        <v>4A.2</v>
      </c>
      <c r="CS29" s="71" t="b">
        <f t="shared" si="2"/>
        <v>0</v>
      </c>
    </row>
    <row r="30" spans="1:97" ht="14.25" customHeight="1">
      <c r="A30" s="71" t="b">
        <f t="shared" si="1"/>
        <v>1</v>
      </c>
      <c r="B30" s="9" t="s">
        <v>60</v>
      </c>
      <c r="C30" s="12"/>
      <c r="D30" s="8"/>
      <c r="E30" s="8"/>
      <c r="F30" s="8"/>
      <c r="G30" s="8"/>
      <c r="H30" s="13"/>
      <c r="I30" s="12"/>
      <c r="J30" s="8"/>
      <c r="K30" s="8"/>
      <c r="L30" s="8"/>
      <c r="M30" s="8"/>
      <c r="N30" s="13"/>
      <c r="O30" s="249"/>
      <c r="P30" s="267"/>
      <c r="Q30" s="267"/>
      <c r="R30" s="267"/>
      <c r="S30" s="267"/>
      <c r="T30" s="249"/>
      <c r="U30" s="14" t="s">
        <v>176</v>
      </c>
      <c r="V30" s="1" t="s">
        <v>176</v>
      </c>
      <c r="W30" s="1" t="s">
        <v>176</v>
      </c>
      <c r="X30" s="1"/>
      <c r="Y30" s="1"/>
      <c r="Z30" s="15"/>
      <c r="AA30" s="352" t="s">
        <v>176</v>
      </c>
      <c r="AB30" s="194"/>
      <c r="AC30" s="351" t="s">
        <v>176</v>
      </c>
      <c r="AD30" s="194"/>
      <c r="AE30" s="194"/>
      <c r="AF30" s="250"/>
      <c r="AG30" s="14" t="s">
        <v>176</v>
      </c>
      <c r="AH30" s="1" t="s">
        <v>176</v>
      </c>
      <c r="AI30" s="1" t="s">
        <v>176</v>
      </c>
      <c r="AJ30" s="1"/>
      <c r="AK30" s="1"/>
      <c r="AL30" s="15"/>
      <c r="AM30" s="12"/>
      <c r="AN30" s="8"/>
      <c r="AO30" s="8"/>
      <c r="AP30" s="8"/>
      <c r="AQ30" s="8"/>
      <c r="AR30" s="13"/>
      <c r="AS30" s="12"/>
      <c r="AT30" s="8"/>
      <c r="AU30" s="8"/>
      <c r="AV30" s="8"/>
      <c r="AW30" s="8"/>
      <c r="AX30" s="13"/>
      <c r="AY30" s="12"/>
      <c r="AZ30" s="8"/>
      <c r="BA30" s="8"/>
      <c r="BB30" s="8"/>
      <c r="BC30" s="8"/>
      <c r="BD30" s="13"/>
      <c r="BE30" s="106"/>
      <c r="BF30" s="22"/>
      <c r="BG30" s="22"/>
      <c r="BH30" s="22"/>
      <c r="BI30" s="22"/>
      <c r="BJ30" s="105"/>
      <c r="BK30" s="223">
        <v>45883</v>
      </c>
      <c r="BL30" s="23">
        <v>46050</v>
      </c>
      <c r="BM30" s="225"/>
      <c r="BN30" s="223"/>
      <c r="BO30" s="146"/>
      <c r="BP30" s="147"/>
      <c r="BQ30" s="223"/>
      <c r="BR30" s="146"/>
      <c r="BS30" s="147"/>
      <c r="BT30" s="223"/>
      <c r="BU30" s="146"/>
      <c r="BV30" s="147"/>
      <c r="BW30" s="223">
        <v>45931</v>
      </c>
      <c r="BX30" s="146"/>
      <c r="BY30" s="147"/>
      <c r="BZ30" s="223">
        <v>46254</v>
      </c>
      <c r="CA30" s="146"/>
      <c r="CB30" s="147"/>
      <c r="CC30" s="223">
        <v>45931</v>
      </c>
      <c r="CD30" s="146"/>
      <c r="CE30" s="147"/>
      <c r="CF30" s="223"/>
      <c r="CG30" s="146"/>
      <c r="CH30" s="147"/>
      <c r="CI30" s="223"/>
      <c r="CJ30" s="146"/>
      <c r="CK30" s="147"/>
      <c r="CL30" s="223"/>
      <c r="CM30" s="146"/>
      <c r="CN30" s="147"/>
      <c r="CO30" s="223"/>
      <c r="CP30" s="146"/>
      <c r="CQ30" s="147"/>
      <c r="CR30" s="90" t="str">
        <f t="shared" si="0"/>
        <v>4A.2</v>
      </c>
      <c r="CS30" s="71" t="b">
        <f t="shared" si="2"/>
        <v>0</v>
      </c>
    </row>
    <row r="31" spans="1:97" ht="14.25" customHeight="1">
      <c r="A31" s="71" t="b">
        <f t="shared" si="1"/>
        <v>1</v>
      </c>
      <c r="B31" s="9" t="s">
        <v>61</v>
      </c>
      <c r="C31" s="12"/>
      <c r="D31" s="8"/>
      <c r="E31" s="8"/>
      <c r="F31" s="8"/>
      <c r="G31" s="8"/>
      <c r="H31" s="13"/>
      <c r="I31" s="12"/>
      <c r="J31" s="8"/>
      <c r="K31" s="8"/>
      <c r="L31" s="8"/>
      <c r="M31" s="8"/>
      <c r="N31" s="13"/>
      <c r="O31" s="249"/>
      <c r="P31" s="267"/>
      <c r="Q31" s="267"/>
      <c r="R31" s="267"/>
      <c r="S31" s="267"/>
      <c r="T31" s="249"/>
      <c r="U31" s="14" t="s">
        <v>176</v>
      </c>
      <c r="V31" s="1" t="s">
        <v>176</v>
      </c>
      <c r="W31" s="1" t="s">
        <v>176</v>
      </c>
      <c r="X31" s="1"/>
      <c r="Y31" s="1"/>
      <c r="Z31" s="15"/>
      <c r="AA31" s="352" t="s">
        <v>176</v>
      </c>
      <c r="AB31" s="194"/>
      <c r="AC31" s="194"/>
      <c r="AD31" s="194"/>
      <c r="AE31" s="194"/>
      <c r="AF31" s="250"/>
      <c r="AG31" s="14" t="s">
        <v>176</v>
      </c>
      <c r="AH31" s="1" t="s">
        <v>176</v>
      </c>
      <c r="AI31" s="1" t="s">
        <v>176</v>
      </c>
      <c r="AJ31" s="1"/>
      <c r="AK31" s="1"/>
      <c r="AL31" s="15"/>
      <c r="AM31" s="12"/>
      <c r="AN31" s="8"/>
      <c r="AO31" s="8"/>
      <c r="AP31" s="8"/>
      <c r="AQ31" s="8"/>
      <c r="AR31" s="13"/>
      <c r="AS31" s="12"/>
      <c r="AT31" s="8"/>
      <c r="AU31" s="8"/>
      <c r="AV31" s="8"/>
      <c r="AW31" s="8"/>
      <c r="AX31" s="13"/>
      <c r="AY31" s="12"/>
      <c r="AZ31" s="8"/>
      <c r="BA31" s="8"/>
      <c r="BB31" s="8"/>
      <c r="BC31" s="8"/>
      <c r="BD31" s="13"/>
      <c r="BE31" s="106"/>
      <c r="BF31" s="22"/>
      <c r="BG31" s="22"/>
      <c r="BH31" s="22"/>
      <c r="BI31" s="22"/>
      <c r="BJ31" s="105"/>
      <c r="BK31" s="223">
        <v>45888</v>
      </c>
      <c r="BL31" s="23">
        <v>46076</v>
      </c>
      <c r="BM31" s="225"/>
      <c r="BN31" s="223"/>
      <c r="BO31" s="146"/>
      <c r="BP31" s="147"/>
      <c r="BQ31" s="223"/>
      <c r="BR31" s="146"/>
      <c r="BS31" s="147"/>
      <c r="BT31" s="223"/>
      <c r="BU31" s="146"/>
      <c r="BV31" s="147"/>
      <c r="BW31" s="223">
        <v>45932</v>
      </c>
      <c r="BX31" s="146"/>
      <c r="BY31" s="147"/>
      <c r="BZ31" s="223"/>
      <c r="CA31" s="146"/>
      <c r="CB31" s="147"/>
      <c r="CC31" s="223">
        <v>45932</v>
      </c>
      <c r="CD31" s="146"/>
      <c r="CE31" s="147"/>
      <c r="CF31" s="223"/>
      <c r="CG31" s="146"/>
      <c r="CH31" s="147"/>
      <c r="CI31" s="223"/>
      <c r="CJ31" s="146"/>
      <c r="CK31" s="147"/>
      <c r="CL31" s="223"/>
      <c r="CM31" s="146"/>
      <c r="CN31" s="147"/>
      <c r="CO31" s="223"/>
      <c r="CP31" s="146"/>
      <c r="CQ31" s="147"/>
      <c r="CR31" s="90" t="str">
        <f t="shared" si="0"/>
        <v>4A.2</v>
      </c>
      <c r="CS31" s="71" t="b">
        <f t="shared" si="2"/>
        <v>0</v>
      </c>
    </row>
    <row r="32" spans="1:97" ht="14.25" customHeight="1">
      <c r="A32" s="71" t="b">
        <f t="shared" si="1"/>
        <v>1</v>
      </c>
      <c r="B32" s="9" t="s">
        <v>62</v>
      </c>
      <c r="C32" s="12"/>
      <c r="D32" s="8"/>
      <c r="E32" s="8"/>
      <c r="F32" s="8"/>
      <c r="G32" s="8"/>
      <c r="H32" s="13"/>
      <c r="I32" s="12"/>
      <c r="J32" s="8"/>
      <c r="K32" s="8"/>
      <c r="L32" s="8"/>
      <c r="M32" s="8"/>
      <c r="N32" s="13"/>
      <c r="O32" s="249"/>
      <c r="P32" s="267"/>
      <c r="Q32" s="267"/>
      <c r="R32" s="267"/>
      <c r="S32" s="267"/>
      <c r="T32" s="249"/>
      <c r="U32" s="14" t="s">
        <v>176</v>
      </c>
      <c r="V32" s="1" t="s">
        <v>176</v>
      </c>
      <c r="W32" s="1" t="s">
        <v>176</v>
      </c>
      <c r="X32" s="1"/>
      <c r="Y32" s="1"/>
      <c r="Z32" s="15"/>
      <c r="AA32" s="250"/>
      <c r="AB32" s="194"/>
      <c r="AC32" s="194"/>
      <c r="AD32" s="194"/>
      <c r="AE32" s="194"/>
      <c r="AF32" s="250"/>
      <c r="AG32" s="14" t="s">
        <v>176</v>
      </c>
      <c r="AH32" s="1" t="s">
        <v>176</v>
      </c>
      <c r="AI32" s="1" t="s">
        <v>176</v>
      </c>
      <c r="AJ32" s="1"/>
      <c r="AK32" s="1"/>
      <c r="AL32" s="15"/>
      <c r="AM32" s="12"/>
      <c r="AN32" s="8"/>
      <c r="AO32" s="8"/>
      <c r="AP32" s="8"/>
      <c r="AQ32" s="8"/>
      <c r="AR32" s="13"/>
      <c r="AS32" s="12"/>
      <c r="AT32" s="8"/>
      <c r="AU32" s="8"/>
      <c r="AV32" s="8"/>
      <c r="AW32" s="8"/>
      <c r="AX32" s="13"/>
      <c r="AY32" s="12"/>
      <c r="AZ32" s="8"/>
      <c r="BA32" s="8"/>
      <c r="BB32" s="8"/>
      <c r="BC32" s="8"/>
      <c r="BD32" s="13"/>
      <c r="BE32" s="106"/>
      <c r="BF32" s="22"/>
      <c r="BG32" s="22"/>
      <c r="BH32" s="22"/>
      <c r="BI32" s="22"/>
      <c r="BJ32" s="105"/>
      <c r="BK32" s="223">
        <v>45918</v>
      </c>
      <c r="BL32" s="23">
        <v>46043</v>
      </c>
      <c r="BM32" s="225"/>
      <c r="BN32" s="223"/>
      <c r="BO32" s="146"/>
      <c r="BP32" s="147"/>
      <c r="BQ32" s="223"/>
      <c r="BR32" s="146"/>
      <c r="BS32" s="147"/>
      <c r="BT32" s="223"/>
      <c r="BU32" s="146"/>
      <c r="BV32" s="147"/>
      <c r="BW32" s="223">
        <v>45937</v>
      </c>
      <c r="BX32" s="146"/>
      <c r="BY32" s="147"/>
      <c r="BZ32" s="223"/>
      <c r="CA32" s="146"/>
      <c r="CB32" s="147"/>
      <c r="CC32" s="223">
        <v>45937</v>
      </c>
      <c r="CD32" s="146"/>
      <c r="CE32" s="147"/>
      <c r="CF32" s="223"/>
      <c r="CG32" s="146"/>
      <c r="CH32" s="147"/>
      <c r="CI32" s="223"/>
      <c r="CJ32" s="146"/>
      <c r="CK32" s="147"/>
      <c r="CL32" s="223"/>
      <c r="CM32" s="146"/>
      <c r="CN32" s="147"/>
      <c r="CO32" s="223"/>
      <c r="CP32" s="146"/>
      <c r="CQ32" s="147"/>
      <c r="CR32" s="90" t="str">
        <f t="shared" si="0"/>
        <v>4A.3</v>
      </c>
      <c r="CS32" s="71" t="b">
        <f t="shared" si="2"/>
        <v>0</v>
      </c>
    </row>
    <row r="33" spans="1:97" ht="14.25" customHeight="1">
      <c r="A33" s="71" t="b">
        <f t="shared" si="1"/>
        <v>1</v>
      </c>
      <c r="B33" s="9" t="s">
        <v>63</v>
      </c>
      <c r="C33" s="12"/>
      <c r="D33" s="8"/>
      <c r="E33" s="8"/>
      <c r="F33" s="8"/>
      <c r="G33" s="8"/>
      <c r="H33" s="13"/>
      <c r="I33" s="12"/>
      <c r="J33" s="8"/>
      <c r="K33" s="8"/>
      <c r="L33" s="8"/>
      <c r="M33" s="8"/>
      <c r="N33" s="13"/>
      <c r="O33" s="249"/>
      <c r="P33" s="267"/>
      <c r="Q33" s="267"/>
      <c r="R33" s="267"/>
      <c r="S33" s="267"/>
      <c r="T33" s="249"/>
      <c r="U33" s="14" t="s">
        <v>176</v>
      </c>
      <c r="V33" s="1" t="s">
        <v>176</v>
      </c>
      <c r="W33" s="1" t="s">
        <v>176</v>
      </c>
      <c r="X33" s="1"/>
      <c r="Y33" s="1"/>
      <c r="Z33" s="15"/>
      <c r="AA33" s="250"/>
      <c r="AB33" s="194"/>
      <c r="AC33" s="194"/>
      <c r="AD33" s="194"/>
      <c r="AE33" s="194"/>
      <c r="AF33" s="250"/>
      <c r="AG33" s="14" t="s">
        <v>176</v>
      </c>
      <c r="AH33" s="1" t="s">
        <v>176</v>
      </c>
      <c r="AI33" s="1" t="s">
        <v>176</v>
      </c>
      <c r="AJ33" s="1"/>
      <c r="AK33" s="1"/>
      <c r="AL33" s="15"/>
      <c r="AM33" s="12"/>
      <c r="AN33" s="8"/>
      <c r="AO33" s="8"/>
      <c r="AP33" s="8"/>
      <c r="AQ33" s="8"/>
      <c r="AR33" s="13"/>
      <c r="AS33" s="12"/>
      <c r="AT33" s="8"/>
      <c r="AU33" s="8"/>
      <c r="AV33" s="8"/>
      <c r="AW33" s="8"/>
      <c r="AX33" s="13"/>
      <c r="AY33" s="12"/>
      <c r="AZ33" s="8"/>
      <c r="BA33" s="8"/>
      <c r="BB33" s="8"/>
      <c r="BC33" s="8"/>
      <c r="BD33" s="13"/>
      <c r="BE33" s="106"/>
      <c r="BF33" s="22"/>
      <c r="BG33" s="22"/>
      <c r="BH33" s="22"/>
      <c r="BI33" s="22"/>
      <c r="BJ33" s="105"/>
      <c r="BK33" s="223">
        <v>45923</v>
      </c>
      <c r="BL33" s="23">
        <v>46043</v>
      </c>
      <c r="BM33" s="225"/>
      <c r="BN33" s="223"/>
      <c r="BO33" s="146"/>
      <c r="BP33" s="147"/>
      <c r="BQ33" s="223"/>
      <c r="BR33" s="146"/>
      <c r="BS33" s="147"/>
      <c r="BT33" s="223"/>
      <c r="BU33" s="146"/>
      <c r="BV33" s="147"/>
      <c r="BW33" s="223">
        <v>45973</v>
      </c>
      <c r="BX33" s="146"/>
      <c r="BY33" s="147"/>
      <c r="BZ33" s="223"/>
      <c r="CA33" s="146"/>
      <c r="CB33" s="147"/>
      <c r="CC33" s="223">
        <v>45973</v>
      </c>
      <c r="CD33" s="146"/>
      <c r="CE33" s="147"/>
      <c r="CF33" s="223"/>
      <c r="CG33" s="146"/>
      <c r="CH33" s="147"/>
      <c r="CI33" s="223"/>
      <c r="CJ33" s="146"/>
      <c r="CK33" s="147"/>
      <c r="CL33" s="223"/>
      <c r="CM33" s="146"/>
      <c r="CN33" s="147"/>
      <c r="CO33" s="223"/>
      <c r="CP33" s="146"/>
      <c r="CQ33" s="147"/>
      <c r="CR33" s="90" t="str">
        <f t="shared" si="0"/>
        <v>4A.3</v>
      </c>
      <c r="CS33" s="71" t="b">
        <f t="shared" si="2"/>
        <v>0</v>
      </c>
    </row>
    <row r="34" spans="1:97" ht="14.25" customHeight="1">
      <c r="A34" s="71" t="b">
        <f t="shared" si="1"/>
        <v>1</v>
      </c>
      <c r="B34" s="9" t="s">
        <v>64</v>
      </c>
      <c r="C34" s="12"/>
      <c r="D34" s="8"/>
      <c r="E34" s="8"/>
      <c r="F34" s="8"/>
      <c r="G34" s="8"/>
      <c r="H34" s="13"/>
      <c r="I34" s="12"/>
      <c r="J34" s="8"/>
      <c r="K34" s="8"/>
      <c r="L34" s="8"/>
      <c r="M34" s="8"/>
      <c r="N34" s="13"/>
      <c r="O34" s="249"/>
      <c r="P34" s="267"/>
      <c r="Q34" s="267"/>
      <c r="R34" s="267"/>
      <c r="S34" s="267"/>
      <c r="T34" s="249"/>
      <c r="U34" s="14" t="s">
        <v>176</v>
      </c>
      <c r="V34" s="1" t="s">
        <v>176</v>
      </c>
      <c r="W34" s="1" t="s">
        <v>176</v>
      </c>
      <c r="X34" s="1"/>
      <c r="Y34" s="1"/>
      <c r="Z34" s="15"/>
      <c r="AA34" s="250"/>
      <c r="AB34" s="194"/>
      <c r="AC34" s="194"/>
      <c r="AD34" s="194"/>
      <c r="AE34" s="194"/>
      <c r="AF34" s="250"/>
      <c r="AG34" s="14" t="s">
        <v>176</v>
      </c>
      <c r="AH34" s="1" t="s">
        <v>176</v>
      </c>
      <c r="AI34" s="1" t="s">
        <v>176</v>
      </c>
      <c r="AJ34" s="1"/>
      <c r="AK34" s="1"/>
      <c r="AL34" s="15"/>
      <c r="AM34" s="12"/>
      <c r="AN34" s="8"/>
      <c r="AO34" s="8"/>
      <c r="AP34" s="8"/>
      <c r="AQ34" s="8"/>
      <c r="AR34" s="13"/>
      <c r="AS34" s="12"/>
      <c r="AT34" s="8"/>
      <c r="AU34" s="8"/>
      <c r="AV34" s="8"/>
      <c r="AW34" s="8"/>
      <c r="AX34" s="13"/>
      <c r="AY34" s="12"/>
      <c r="AZ34" s="8"/>
      <c r="BA34" s="8"/>
      <c r="BB34" s="8"/>
      <c r="BC34" s="8"/>
      <c r="BD34" s="13"/>
      <c r="BE34" s="106"/>
      <c r="BF34" s="22"/>
      <c r="BG34" s="22"/>
      <c r="BH34" s="22"/>
      <c r="BI34" s="22"/>
      <c r="BJ34" s="105"/>
      <c r="BK34" s="223">
        <v>45923</v>
      </c>
      <c r="BL34" s="23">
        <v>46076</v>
      </c>
      <c r="BM34" s="225"/>
      <c r="BN34" s="223"/>
      <c r="BO34" s="146"/>
      <c r="BP34" s="147"/>
      <c r="BQ34" s="223"/>
      <c r="BR34" s="146"/>
      <c r="BS34" s="147"/>
      <c r="BT34" s="223"/>
      <c r="BU34" s="146"/>
      <c r="BV34" s="147"/>
      <c r="BW34" s="223">
        <v>45974</v>
      </c>
      <c r="BX34" s="146"/>
      <c r="BY34" s="147"/>
      <c r="BZ34" s="223"/>
      <c r="CA34" s="146"/>
      <c r="CB34" s="147"/>
      <c r="CC34" s="223">
        <v>45974</v>
      </c>
      <c r="CD34" s="146"/>
      <c r="CE34" s="147"/>
      <c r="CF34" s="223"/>
      <c r="CG34" s="146"/>
      <c r="CH34" s="147"/>
      <c r="CI34" s="223"/>
      <c r="CJ34" s="146"/>
      <c r="CK34" s="147"/>
      <c r="CL34" s="223"/>
      <c r="CM34" s="146"/>
      <c r="CN34" s="147"/>
      <c r="CO34" s="223"/>
      <c r="CP34" s="146"/>
      <c r="CQ34" s="147"/>
      <c r="CR34" s="90" t="str">
        <f t="shared" si="0"/>
        <v>4A.3</v>
      </c>
      <c r="CS34" s="71" t="b">
        <f t="shared" si="2"/>
        <v>0</v>
      </c>
    </row>
    <row r="35" spans="1:97" ht="14.25" customHeight="1">
      <c r="A35" s="71" t="b">
        <f t="shared" si="1"/>
        <v>1</v>
      </c>
      <c r="B35" s="9" t="s">
        <v>65</v>
      </c>
      <c r="C35" s="14" t="s">
        <v>176</v>
      </c>
      <c r="D35" s="1" t="s">
        <v>176</v>
      </c>
      <c r="E35" s="1"/>
      <c r="F35" s="1"/>
      <c r="G35" s="1"/>
      <c r="H35" s="15"/>
      <c r="I35" s="14" t="s">
        <v>176</v>
      </c>
      <c r="J35" s="1" t="s">
        <v>176</v>
      </c>
      <c r="K35" s="1" t="s">
        <v>176</v>
      </c>
      <c r="L35" s="1"/>
      <c r="M35" s="1"/>
      <c r="N35" s="15"/>
      <c r="O35" s="352" t="s">
        <v>176</v>
      </c>
      <c r="P35" s="194"/>
      <c r="Q35" s="194"/>
      <c r="R35" s="194"/>
      <c r="S35" s="194"/>
      <c r="T35" s="250"/>
      <c r="U35" s="12"/>
      <c r="V35" s="8"/>
      <c r="W35" s="8" t="s">
        <v>180</v>
      </c>
      <c r="X35" s="8"/>
      <c r="Y35" s="8"/>
      <c r="Z35" s="13"/>
      <c r="AA35" s="352" t="s">
        <v>176</v>
      </c>
      <c r="AB35" s="267"/>
      <c r="AC35" s="267"/>
      <c r="AD35" s="267"/>
      <c r="AE35" s="267"/>
      <c r="AF35" s="249"/>
      <c r="AG35" s="12"/>
      <c r="AH35" s="8"/>
      <c r="AI35" s="8" t="s">
        <v>180</v>
      </c>
      <c r="AJ35" s="8"/>
      <c r="AK35" s="8"/>
      <c r="AL35" s="13"/>
      <c r="AM35" s="12"/>
      <c r="AN35" s="8"/>
      <c r="AO35" s="8" t="s">
        <v>180</v>
      </c>
      <c r="AP35" s="8"/>
      <c r="AQ35" s="8"/>
      <c r="AR35" s="13"/>
      <c r="AS35" s="12"/>
      <c r="AT35" s="8"/>
      <c r="AU35" s="8" t="s">
        <v>180</v>
      </c>
      <c r="AV35" s="8"/>
      <c r="AW35" s="8"/>
      <c r="AX35" s="13"/>
      <c r="AY35" s="12"/>
      <c r="AZ35" s="8"/>
      <c r="BA35" s="8"/>
      <c r="BB35" s="8"/>
      <c r="BC35" s="8"/>
      <c r="BD35" s="13"/>
      <c r="BE35" s="106"/>
      <c r="BF35" s="22"/>
      <c r="BG35" s="22"/>
      <c r="BH35" s="22"/>
      <c r="BI35" s="22"/>
      <c r="BJ35" s="105"/>
      <c r="BK35" s="223">
        <v>45910</v>
      </c>
      <c r="BL35" s="23">
        <v>46044</v>
      </c>
      <c r="BM35" s="225"/>
      <c r="BN35" s="223"/>
      <c r="BO35" s="146"/>
      <c r="BP35" s="147"/>
      <c r="BQ35" s="223">
        <v>45925</v>
      </c>
      <c r="BR35" s="146"/>
      <c r="BS35" s="147"/>
      <c r="BU35" s="146"/>
      <c r="BV35" s="147"/>
      <c r="BW35" s="223"/>
      <c r="BX35" s="146"/>
      <c r="BY35" s="147"/>
      <c r="BZ35" s="223"/>
      <c r="CA35" s="146"/>
      <c r="CB35" s="147"/>
      <c r="CC35" s="223"/>
      <c r="CD35" s="146"/>
      <c r="CE35" s="147"/>
      <c r="CF35" s="223"/>
      <c r="CG35" s="146"/>
      <c r="CH35" s="147"/>
      <c r="CI35" s="223"/>
      <c r="CJ35" s="146"/>
      <c r="CK35" s="147"/>
      <c r="CL35" s="223"/>
      <c r="CM35" s="146"/>
      <c r="CN35" s="147"/>
      <c r="CO35" s="223"/>
      <c r="CP35" s="146"/>
      <c r="CQ35" s="147"/>
      <c r="CR35" s="90" t="str">
        <f t="shared" si="0"/>
        <v>5A.1</v>
      </c>
      <c r="CS35" s="71" t="b">
        <f t="shared" si="2"/>
        <v>0</v>
      </c>
    </row>
    <row r="36" spans="1:97" ht="14.25" customHeight="1">
      <c r="A36" s="71" t="b">
        <f t="shared" si="1"/>
        <v>1</v>
      </c>
      <c r="B36" s="9" t="s">
        <v>66</v>
      </c>
      <c r="C36" s="14" t="s">
        <v>176</v>
      </c>
      <c r="D36" s="1" t="s">
        <v>176</v>
      </c>
      <c r="E36" s="1"/>
      <c r="F36" s="1"/>
      <c r="G36" s="1"/>
      <c r="H36" s="15"/>
      <c r="I36" s="14" t="s">
        <v>176</v>
      </c>
      <c r="J36" s="1" t="s">
        <v>176</v>
      </c>
      <c r="K36" s="1" t="s">
        <v>176</v>
      </c>
      <c r="L36" s="1"/>
      <c r="M36" s="1"/>
      <c r="N36" s="15"/>
      <c r="O36" s="250"/>
      <c r="P36" s="194"/>
      <c r="Q36" s="194"/>
      <c r="R36" s="194"/>
      <c r="S36" s="194"/>
      <c r="T36" s="250"/>
      <c r="U36" s="12"/>
      <c r="V36" s="8"/>
      <c r="W36" s="8" t="s">
        <v>180</v>
      </c>
      <c r="X36" s="8"/>
      <c r="Y36" s="8"/>
      <c r="Z36" s="13"/>
      <c r="AA36" s="249"/>
      <c r="AB36" s="267"/>
      <c r="AC36" s="267"/>
      <c r="AD36" s="267"/>
      <c r="AE36" s="267"/>
      <c r="AF36" s="249"/>
      <c r="AG36" s="12"/>
      <c r="AH36" s="8"/>
      <c r="AI36" s="8" t="s">
        <v>180</v>
      </c>
      <c r="AJ36" s="8"/>
      <c r="AK36" s="8"/>
      <c r="AL36" s="13"/>
      <c r="AM36" s="12"/>
      <c r="AN36" s="8"/>
      <c r="AO36" s="8" t="s">
        <v>180</v>
      </c>
      <c r="AP36" s="8"/>
      <c r="AQ36" s="8"/>
      <c r="AR36" s="13"/>
      <c r="AS36" s="12"/>
      <c r="AT36" s="8"/>
      <c r="AU36" s="8" t="s">
        <v>180</v>
      </c>
      <c r="AV36" s="8"/>
      <c r="AW36" s="8"/>
      <c r="AX36" s="13"/>
      <c r="AY36" s="12"/>
      <c r="AZ36" s="8"/>
      <c r="BA36" s="8"/>
      <c r="BB36" s="8"/>
      <c r="BC36" s="8"/>
      <c r="BD36" s="13"/>
      <c r="BE36" s="106"/>
      <c r="BF36" s="22"/>
      <c r="BG36" s="22"/>
      <c r="BH36" s="22"/>
      <c r="BI36" s="22"/>
      <c r="BJ36" s="105"/>
      <c r="BK36" s="223">
        <v>45915</v>
      </c>
      <c r="BL36" s="23">
        <v>46048</v>
      </c>
      <c r="BM36" s="225"/>
      <c r="BN36" s="223"/>
      <c r="BO36" s="146"/>
      <c r="BP36" s="147"/>
      <c r="BQ36" s="223">
        <v>45931</v>
      </c>
      <c r="BR36" s="146"/>
      <c r="BS36" s="147"/>
      <c r="BT36" s="223"/>
      <c r="BU36" s="146"/>
      <c r="BV36" s="147"/>
      <c r="BW36" s="223"/>
      <c r="BX36" s="146"/>
      <c r="BY36" s="147"/>
      <c r="BZ36" s="223"/>
      <c r="CA36" s="146"/>
      <c r="CB36" s="147"/>
      <c r="CC36" s="223"/>
      <c r="CD36" s="146"/>
      <c r="CE36" s="147"/>
      <c r="CF36" s="223"/>
      <c r="CG36" s="146"/>
      <c r="CH36" s="147"/>
      <c r="CI36" s="223"/>
      <c r="CJ36" s="146"/>
      <c r="CK36" s="147"/>
      <c r="CL36" s="223"/>
      <c r="CM36" s="146"/>
      <c r="CN36" s="147"/>
      <c r="CO36" s="223"/>
      <c r="CP36" s="146"/>
      <c r="CQ36" s="147"/>
      <c r="CR36" s="90" t="str">
        <f t="shared" si="0"/>
        <v>5A.1</v>
      </c>
      <c r="CS36" s="71" t="b">
        <f t="shared" si="2"/>
        <v>0</v>
      </c>
    </row>
    <row r="37" spans="1:97" ht="14.25" customHeight="1">
      <c r="A37" s="71" t="b">
        <f t="shared" si="1"/>
        <v>1</v>
      </c>
      <c r="B37" s="9" t="s">
        <v>67</v>
      </c>
      <c r="C37" s="14" t="s">
        <v>176</v>
      </c>
      <c r="D37" s="1" t="s">
        <v>176</v>
      </c>
      <c r="E37" s="1"/>
      <c r="F37" s="1"/>
      <c r="G37" s="1"/>
      <c r="H37" s="15"/>
      <c r="I37" s="14" t="s">
        <v>176</v>
      </c>
      <c r="J37" s="1" t="s">
        <v>176</v>
      </c>
      <c r="K37" s="1" t="s">
        <v>176</v>
      </c>
      <c r="L37" s="1"/>
      <c r="M37" s="1"/>
      <c r="N37" s="15"/>
      <c r="O37" s="250" t="s">
        <v>176</v>
      </c>
      <c r="P37" s="194"/>
      <c r="Q37" s="351" t="s">
        <v>174</v>
      </c>
      <c r="R37" s="194" t="s">
        <v>174</v>
      </c>
      <c r="S37" s="194"/>
      <c r="T37" s="250"/>
      <c r="U37" s="12"/>
      <c r="V37" s="8"/>
      <c r="W37" s="8" t="s">
        <v>180</v>
      </c>
      <c r="X37" s="8"/>
      <c r="Y37" s="8"/>
      <c r="Z37" s="13"/>
      <c r="AA37" s="249"/>
      <c r="AB37" s="267"/>
      <c r="AC37" s="267"/>
      <c r="AD37" s="267"/>
      <c r="AE37" s="267"/>
      <c r="AF37" s="249"/>
      <c r="AG37" s="12"/>
      <c r="AH37" s="8"/>
      <c r="AI37" s="8" t="s">
        <v>180</v>
      </c>
      <c r="AJ37" s="8"/>
      <c r="AK37" s="8"/>
      <c r="AL37" s="13"/>
      <c r="AM37" s="12"/>
      <c r="AN37" s="8"/>
      <c r="AO37" s="8"/>
      <c r="AP37" s="8"/>
      <c r="AQ37" s="8"/>
      <c r="AR37" s="13"/>
      <c r="AS37" s="12"/>
      <c r="AT37" s="8"/>
      <c r="AU37" s="8" t="s">
        <v>180</v>
      </c>
      <c r="AV37" s="8"/>
      <c r="AW37" s="8"/>
      <c r="AX37" s="13"/>
      <c r="AY37" s="12"/>
      <c r="AZ37" s="8"/>
      <c r="BA37" s="8"/>
      <c r="BB37" s="8"/>
      <c r="BC37" s="8"/>
      <c r="BD37" s="13"/>
      <c r="BE37" s="106"/>
      <c r="BF37" s="22"/>
      <c r="BG37" s="22"/>
      <c r="BH37" s="22"/>
      <c r="BI37" s="22"/>
      <c r="BJ37" s="105"/>
      <c r="BK37" s="223">
        <v>45917</v>
      </c>
      <c r="BL37" s="23">
        <v>46053</v>
      </c>
      <c r="BM37" s="225"/>
      <c r="BN37" s="223"/>
      <c r="BO37" s="146"/>
      <c r="BP37" s="147"/>
      <c r="BQ37" s="223">
        <v>45951</v>
      </c>
      <c r="BR37" s="146"/>
      <c r="BS37" s="147"/>
      <c r="BT37" s="223">
        <v>46246</v>
      </c>
      <c r="BU37" s="223">
        <v>46254</v>
      </c>
      <c r="BV37" s="147"/>
      <c r="BW37" s="223"/>
      <c r="BX37" s="146"/>
      <c r="BY37" s="147"/>
      <c r="BZ37" s="223"/>
      <c r="CA37" s="146"/>
      <c r="CB37" s="147"/>
      <c r="CC37" s="223"/>
      <c r="CD37" s="146"/>
      <c r="CE37" s="147"/>
      <c r="CF37" s="223"/>
      <c r="CG37" s="146"/>
      <c r="CH37" s="147"/>
      <c r="CI37" s="223"/>
      <c r="CJ37" s="146"/>
      <c r="CK37" s="147"/>
      <c r="CL37" s="223"/>
      <c r="CM37" s="146"/>
      <c r="CN37" s="147"/>
      <c r="CO37" s="223"/>
      <c r="CP37" s="146"/>
      <c r="CQ37" s="147"/>
      <c r="CR37" s="90" t="str">
        <f t="shared" si="0"/>
        <v>5A.2</v>
      </c>
      <c r="CS37" s="71" t="b">
        <f t="shared" si="2"/>
        <v>0</v>
      </c>
    </row>
    <row r="38" spans="1:97" ht="14.25" customHeight="1">
      <c r="A38" s="71" t="b">
        <f t="shared" si="1"/>
        <v>1</v>
      </c>
      <c r="B38" s="9" t="s">
        <v>68</v>
      </c>
      <c r="C38" s="14" t="s">
        <v>176</v>
      </c>
      <c r="D38" s="1" t="s">
        <v>176</v>
      </c>
      <c r="E38" s="1"/>
      <c r="F38" s="1"/>
      <c r="G38" s="1"/>
      <c r="H38" s="15"/>
      <c r="I38" s="14" t="s">
        <v>176</v>
      </c>
      <c r="J38" s="1" t="s">
        <v>176</v>
      </c>
      <c r="K38" s="1" t="s">
        <v>176</v>
      </c>
      <c r="L38" s="1"/>
      <c r="M38" s="1"/>
      <c r="N38" s="15"/>
      <c r="O38" s="250"/>
      <c r="P38" s="194"/>
      <c r="Q38" s="194"/>
      <c r="R38" s="194"/>
      <c r="S38" s="194"/>
      <c r="T38" s="250"/>
      <c r="U38" s="12"/>
      <c r="V38" s="8"/>
      <c r="W38" s="8"/>
      <c r="X38" s="8"/>
      <c r="Y38" s="8"/>
      <c r="Z38" s="13"/>
      <c r="AA38" s="249"/>
      <c r="AB38" s="267"/>
      <c r="AC38" s="267"/>
      <c r="AD38" s="267"/>
      <c r="AE38" s="267"/>
      <c r="AF38" s="249"/>
      <c r="AG38" s="12"/>
      <c r="AH38" s="8"/>
      <c r="AI38" s="8"/>
      <c r="AJ38" s="8"/>
      <c r="AK38" s="8"/>
      <c r="AL38" s="13"/>
      <c r="AM38" s="12"/>
      <c r="AN38" s="8"/>
      <c r="AO38" s="8"/>
      <c r="AP38" s="8"/>
      <c r="AQ38" s="8"/>
      <c r="AR38" s="13"/>
      <c r="AS38" s="12"/>
      <c r="AT38" s="8"/>
      <c r="AU38" s="8"/>
      <c r="AV38" s="8"/>
      <c r="AW38" s="8"/>
      <c r="AX38" s="13"/>
      <c r="AY38" s="12"/>
      <c r="AZ38" s="8"/>
      <c r="BA38" s="8"/>
      <c r="BB38" s="8"/>
      <c r="BC38" s="8"/>
      <c r="BD38" s="13"/>
      <c r="BE38" s="106"/>
      <c r="BF38" s="22"/>
      <c r="BG38" s="22"/>
      <c r="BH38" s="22"/>
      <c r="BI38" s="22"/>
      <c r="BJ38" s="105"/>
      <c r="BK38" s="223">
        <v>45922</v>
      </c>
      <c r="BL38" s="23">
        <v>46055</v>
      </c>
      <c r="BM38" s="225"/>
      <c r="BN38" s="223"/>
      <c r="BO38" s="146"/>
      <c r="BP38" s="147"/>
      <c r="BQ38" s="223">
        <v>45959</v>
      </c>
      <c r="BR38" s="146"/>
      <c r="BS38" s="147"/>
      <c r="BT38" s="223"/>
      <c r="BU38" s="146"/>
      <c r="BV38" s="147"/>
      <c r="BW38" s="223"/>
      <c r="BX38" s="146"/>
      <c r="BY38" s="147"/>
      <c r="BZ38" s="223"/>
      <c r="CA38" s="146"/>
      <c r="CB38" s="147"/>
      <c r="CC38" s="223"/>
      <c r="CD38" s="146"/>
      <c r="CE38" s="147"/>
      <c r="CF38" s="223"/>
      <c r="CG38" s="146"/>
      <c r="CH38" s="147"/>
      <c r="CI38" s="223"/>
      <c r="CJ38" s="146"/>
      <c r="CK38" s="147"/>
      <c r="CL38" s="223"/>
      <c r="CM38" s="146"/>
      <c r="CN38" s="147"/>
      <c r="CO38" s="223"/>
      <c r="CP38" s="146"/>
      <c r="CQ38" s="147"/>
      <c r="CR38" s="90" t="str">
        <f t="shared" si="0"/>
        <v>5A.2</v>
      </c>
      <c r="CS38" s="71" t="b">
        <f t="shared" si="2"/>
        <v>0</v>
      </c>
    </row>
    <row r="39" spans="1:97" ht="14.25" customHeight="1">
      <c r="A39" s="71" t="b">
        <f t="shared" si="1"/>
        <v>1</v>
      </c>
      <c r="B39" s="9" t="s">
        <v>69</v>
      </c>
      <c r="C39" s="14" t="s">
        <v>178</v>
      </c>
      <c r="D39" s="1" t="s">
        <v>176</v>
      </c>
      <c r="E39" s="1"/>
      <c r="F39" s="1"/>
      <c r="G39" s="1"/>
      <c r="H39" s="15"/>
      <c r="I39" s="14" t="s">
        <v>176</v>
      </c>
      <c r="J39" s="1" t="s">
        <v>176</v>
      </c>
      <c r="K39" s="1" t="s">
        <v>176</v>
      </c>
      <c r="L39" s="1"/>
      <c r="M39" s="1"/>
      <c r="N39" s="15"/>
      <c r="O39" s="250"/>
      <c r="P39" s="194"/>
      <c r="Q39" s="194"/>
      <c r="R39" s="194"/>
      <c r="S39" s="194"/>
      <c r="T39" s="250"/>
      <c r="U39" s="12"/>
      <c r="V39" s="8"/>
      <c r="W39" s="8"/>
      <c r="X39" s="8"/>
      <c r="Y39" s="8"/>
      <c r="Z39" s="13"/>
      <c r="AA39" s="249"/>
      <c r="AB39" s="267"/>
      <c r="AC39" s="267"/>
      <c r="AD39" s="267"/>
      <c r="AE39" s="267"/>
      <c r="AF39" s="249"/>
      <c r="AG39" s="12"/>
      <c r="AH39" s="8"/>
      <c r="AI39" s="8"/>
      <c r="AJ39" s="8"/>
      <c r="AK39" s="8"/>
      <c r="AL39" s="13"/>
      <c r="AM39" s="12"/>
      <c r="AN39" s="8"/>
      <c r="AO39" s="8"/>
      <c r="AP39" s="8"/>
      <c r="AQ39" s="8"/>
      <c r="AR39" s="13"/>
      <c r="AS39" s="12"/>
      <c r="AT39" s="8"/>
      <c r="AU39" s="8"/>
      <c r="AV39" s="8"/>
      <c r="AW39" s="8"/>
      <c r="AX39" s="13"/>
      <c r="AY39" s="12"/>
      <c r="AZ39" s="8"/>
      <c r="BA39" s="8"/>
      <c r="BB39" s="8"/>
      <c r="BC39" s="8"/>
      <c r="BD39" s="13"/>
      <c r="BE39" s="106"/>
      <c r="BF39" s="22"/>
      <c r="BG39" s="22"/>
      <c r="BH39" s="22"/>
      <c r="BI39" s="22"/>
      <c r="BJ39" s="105"/>
      <c r="BK39" s="223">
        <v>45880</v>
      </c>
      <c r="BL39" s="23">
        <v>46041</v>
      </c>
      <c r="BM39" s="225"/>
      <c r="BN39" s="223"/>
      <c r="BO39" s="146"/>
      <c r="BP39" s="147"/>
      <c r="BQ39" s="223">
        <v>45965</v>
      </c>
      <c r="BR39" s="146"/>
      <c r="BS39" s="147"/>
      <c r="BT39" s="223"/>
      <c r="BU39" s="146"/>
      <c r="BV39" s="147"/>
      <c r="BW39" s="223"/>
      <c r="BX39" s="146"/>
      <c r="BY39" s="147"/>
      <c r="BZ39" s="223"/>
      <c r="CA39" s="146"/>
      <c r="CB39" s="147"/>
      <c r="CC39" s="223"/>
      <c r="CD39" s="146"/>
      <c r="CE39" s="147"/>
      <c r="CF39" s="223"/>
      <c r="CG39" s="146"/>
      <c r="CH39" s="147"/>
      <c r="CI39" s="223"/>
      <c r="CJ39" s="146"/>
      <c r="CK39" s="147"/>
      <c r="CL39" s="223"/>
      <c r="CM39" s="146"/>
      <c r="CN39" s="147"/>
      <c r="CO39" s="223"/>
      <c r="CP39" s="146"/>
      <c r="CQ39" s="147"/>
      <c r="CR39" s="90" t="str">
        <f t="shared" si="0"/>
        <v>6A.1</v>
      </c>
      <c r="CS39" s="71" t="b">
        <f t="shared" si="2"/>
        <v>0</v>
      </c>
    </row>
    <row r="40" spans="1:97" ht="14.25" customHeight="1">
      <c r="A40" s="71" t="b">
        <f t="shared" si="1"/>
        <v>1</v>
      </c>
      <c r="B40" s="9" t="s">
        <v>70</v>
      </c>
      <c r="C40" s="14" t="s">
        <v>176</v>
      </c>
      <c r="D40" s="1" t="s">
        <v>176</v>
      </c>
      <c r="E40" s="1"/>
      <c r="F40" s="1"/>
      <c r="G40" s="1"/>
      <c r="H40" s="15"/>
      <c r="I40" s="14" t="s">
        <v>176</v>
      </c>
      <c r="J40" s="1" t="s">
        <v>176</v>
      </c>
      <c r="K40" s="1" t="s">
        <v>176</v>
      </c>
      <c r="L40" s="1"/>
      <c r="M40" s="1"/>
      <c r="N40" s="15"/>
      <c r="O40" s="250"/>
      <c r="P40" s="194"/>
      <c r="Q40" s="194"/>
      <c r="R40" s="194"/>
      <c r="S40" s="194"/>
      <c r="T40" s="250"/>
      <c r="U40" s="12"/>
      <c r="V40" s="8"/>
      <c r="W40" s="8"/>
      <c r="X40" s="8"/>
      <c r="Y40" s="8"/>
      <c r="Z40" s="13"/>
      <c r="AA40" s="249"/>
      <c r="AB40" s="267"/>
      <c r="AC40" s="267"/>
      <c r="AD40" s="267"/>
      <c r="AE40" s="267"/>
      <c r="AF40" s="249"/>
      <c r="AG40" s="12"/>
      <c r="AH40" s="8"/>
      <c r="AI40" s="8"/>
      <c r="AJ40" s="8"/>
      <c r="AK40" s="8"/>
      <c r="AL40" s="13"/>
      <c r="AM40" s="12"/>
      <c r="AN40" s="8"/>
      <c r="AO40" s="8"/>
      <c r="AP40" s="8"/>
      <c r="AQ40" s="8"/>
      <c r="AR40" s="13"/>
      <c r="AS40" s="12"/>
      <c r="AT40" s="8"/>
      <c r="AU40" s="8"/>
      <c r="AV40" s="8"/>
      <c r="AW40" s="8"/>
      <c r="AX40" s="13"/>
      <c r="AY40" s="12"/>
      <c r="AZ40" s="8"/>
      <c r="BA40" s="8"/>
      <c r="BB40" s="8"/>
      <c r="BC40" s="8"/>
      <c r="BD40" s="13"/>
      <c r="BE40" s="106"/>
      <c r="BF40" s="22"/>
      <c r="BG40" s="22"/>
      <c r="BH40" s="22"/>
      <c r="BI40" s="22"/>
      <c r="BJ40" s="105"/>
      <c r="BK40" s="223">
        <v>45881</v>
      </c>
      <c r="BL40" s="23">
        <v>46064</v>
      </c>
      <c r="BM40" s="225"/>
      <c r="BN40" s="223"/>
      <c r="BO40" s="146"/>
      <c r="BP40" s="147"/>
      <c r="BQ40" s="223">
        <v>45980</v>
      </c>
      <c r="BR40" s="146"/>
      <c r="BS40" s="147"/>
      <c r="BT40" s="223"/>
      <c r="BU40" s="146"/>
      <c r="BV40" s="147"/>
      <c r="BW40" s="223"/>
      <c r="BX40" s="146"/>
      <c r="BY40" s="147"/>
      <c r="BZ40" s="223"/>
      <c r="CA40" s="146"/>
      <c r="CB40" s="147"/>
      <c r="CC40" s="223"/>
      <c r="CD40" s="146"/>
      <c r="CE40" s="147"/>
      <c r="CF40" s="223"/>
      <c r="CG40" s="146"/>
      <c r="CH40" s="147"/>
      <c r="CI40" s="223"/>
      <c r="CJ40" s="146"/>
      <c r="CK40" s="147"/>
      <c r="CL40" s="223"/>
      <c r="CM40" s="146"/>
      <c r="CN40" s="147"/>
      <c r="CO40" s="223"/>
      <c r="CP40" s="146"/>
      <c r="CQ40" s="147"/>
      <c r="CR40" s="90" t="str">
        <f t="shared" si="0"/>
        <v>6A.1</v>
      </c>
      <c r="CS40" s="71" t="b">
        <f t="shared" si="2"/>
        <v>0</v>
      </c>
    </row>
    <row r="41" spans="1:97" ht="14.25" customHeight="1">
      <c r="A41" s="71" t="b">
        <f t="shared" si="1"/>
        <v>1</v>
      </c>
      <c r="B41" s="9" t="s">
        <v>71</v>
      </c>
      <c r="C41" s="14" t="s">
        <v>176</v>
      </c>
      <c r="D41" s="1" t="s">
        <v>176</v>
      </c>
      <c r="E41" s="1"/>
      <c r="F41" s="1"/>
      <c r="G41" s="1"/>
      <c r="H41" s="15"/>
      <c r="I41" s="14" t="s">
        <v>176</v>
      </c>
      <c r="J41" s="1" t="s">
        <v>176</v>
      </c>
      <c r="K41" s="1" t="s">
        <v>176</v>
      </c>
      <c r="L41" s="1"/>
      <c r="M41" s="1"/>
      <c r="N41" s="15"/>
      <c r="O41" s="250"/>
      <c r="P41" s="194"/>
      <c r="Q41" s="194"/>
      <c r="R41" s="194"/>
      <c r="S41" s="194"/>
      <c r="T41" s="250"/>
      <c r="U41" s="12"/>
      <c r="V41" s="8"/>
      <c r="W41" s="8"/>
      <c r="X41" s="8"/>
      <c r="Y41" s="8"/>
      <c r="Z41" s="13"/>
      <c r="AA41" s="249"/>
      <c r="AB41" s="267"/>
      <c r="AC41" s="267"/>
      <c r="AD41" s="267"/>
      <c r="AE41" s="267"/>
      <c r="AF41" s="249"/>
      <c r="AG41" s="12"/>
      <c r="AH41" s="8"/>
      <c r="AI41" s="8"/>
      <c r="AJ41" s="8"/>
      <c r="AK41" s="8"/>
      <c r="AL41" s="13"/>
      <c r="AM41" s="12"/>
      <c r="AN41" s="8"/>
      <c r="AO41" s="8"/>
      <c r="AP41" s="8"/>
      <c r="AQ41" s="8"/>
      <c r="AR41" s="13"/>
      <c r="AS41" s="12"/>
      <c r="AT41" s="8"/>
      <c r="AU41" s="8"/>
      <c r="AV41" s="8"/>
      <c r="AW41" s="8"/>
      <c r="AX41" s="13"/>
      <c r="AY41" s="12"/>
      <c r="AZ41" s="8"/>
      <c r="BA41" s="8"/>
      <c r="BB41" s="8"/>
      <c r="BC41" s="8"/>
      <c r="BD41" s="13"/>
      <c r="BE41" s="106"/>
      <c r="BF41" s="22"/>
      <c r="BG41" s="22"/>
      <c r="BH41" s="22"/>
      <c r="BI41" s="22"/>
      <c r="BJ41" s="105"/>
      <c r="BK41" s="223">
        <v>45889</v>
      </c>
      <c r="BL41" s="23">
        <v>46065</v>
      </c>
      <c r="BM41" s="225"/>
      <c r="BN41" s="223"/>
      <c r="BO41" s="146"/>
      <c r="BP41" s="147"/>
      <c r="BQ41" s="223">
        <v>45978</v>
      </c>
      <c r="BR41" s="146"/>
      <c r="BS41" s="147"/>
      <c r="BT41" s="223"/>
      <c r="BU41" s="146"/>
      <c r="BV41" s="147"/>
      <c r="BW41" s="223"/>
      <c r="BX41" s="146"/>
      <c r="BY41" s="147"/>
      <c r="BZ41" s="223"/>
      <c r="CA41" s="146"/>
      <c r="CB41" s="147"/>
      <c r="CC41" s="223"/>
      <c r="CD41" s="146"/>
      <c r="CE41" s="147"/>
      <c r="CF41" s="223"/>
      <c r="CG41" s="146"/>
      <c r="CH41" s="147"/>
      <c r="CI41" s="223"/>
      <c r="CJ41" s="146"/>
      <c r="CK41" s="147"/>
      <c r="CL41" s="223"/>
      <c r="CM41" s="146"/>
      <c r="CN41" s="147"/>
      <c r="CO41" s="223"/>
      <c r="CP41" s="146"/>
      <c r="CQ41" s="147"/>
      <c r="CR41" s="90" t="str">
        <f t="shared" si="0"/>
        <v>6A.2</v>
      </c>
      <c r="CS41" s="71" t="b">
        <f t="shared" si="2"/>
        <v>0</v>
      </c>
    </row>
    <row r="42" spans="1:97" ht="14.25" customHeight="1">
      <c r="A42" s="71" t="b">
        <f t="shared" si="1"/>
        <v>1</v>
      </c>
      <c r="B42" s="9" t="s">
        <v>72</v>
      </c>
      <c r="C42" s="14" t="s">
        <v>176</v>
      </c>
      <c r="D42" s="1" t="s">
        <v>176</v>
      </c>
      <c r="E42" s="1"/>
      <c r="F42" s="1"/>
      <c r="G42" s="1"/>
      <c r="H42" s="15"/>
      <c r="I42" s="14" t="s">
        <v>176</v>
      </c>
      <c r="J42" s="1" t="s">
        <v>176</v>
      </c>
      <c r="K42" s="1" t="s">
        <v>176</v>
      </c>
      <c r="L42" s="1"/>
      <c r="M42" s="1"/>
      <c r="N42" s="15"/>
      <c r="O42" s="250"/>
      <c r="P42" s="194"/>
      <c r="Q42" s="194"/>
      <c r="R42" s="194"/>
      <c r="S42" s="194"/>
      <c r="T42" s="250"/>
      <c r="U42" s="12"/>
      <c r="V42" s="8"/>
      <c r="W42" s="8"/>
      <c r="X42" s="8"/>
      <c r="Y42" s="8"/>
      <c r="Z42" s="13"/>
      <c r="AA42" s="249"/>
      <c r="AB42" s="267"/>
      <c r="AC42" s="267"/>
      <c r="AD42" s="267"/>
      <c r="AE42" s="267"/>
      <c r="AF42" s="249"/>
      <c r="AG42" s="12"/>
      <c r="AH42" s="8"/>
      <c r="AI42" s="8"/>
      <c r="AJ42" s="8"/>
      <c r="AK42" s="8"/>
      <c r="AL42" s="13"/>
      <c r="AM42" s="12"/>
      <c r="AN42" s="8"/>
      <c r="AO42" s="8"/>
      <c r="AP42" s="8"/>
      <c r="AQ42" s="8"/>
      <c r="AR42" s="13"/>
      <c r="AS42" s="12"/>
      <c r="AT42" s="8"/>
      <c r="AU42" s="8"/>
      <c r="AV42" s="8"/>
      <c r="AW42" s="8"/>
      <c r="AX42" s="13"/>
      <c r="AY42" s="12"/>
      <c r="AZ42" s="8"/>
      <c r="BA42" s="8"/>
      <c r="BB42" s="8"/>
      <c r="BC42" s="8"/>
      <c r="BD42" s="13"/>
      <c r="BE42" s="106"/>
      <c r="BF42" s="22"/>
      <c r="BG42" s="22"/>
      <c r="BH42" s="22"/>
      <c r="BI42" s="22"/>
      <c r="BJ42" s="105"/>
      <c r="BK42" s="223">
        <v>45896</v>
      </c>
      <c r="BL42" s="23">
        <v>46069</v>
      </c>
      <c r="BM42" s="225"/>
      <c r="BN42" s="223"/>
      <c r="BO42" s="146"/>
      <c r="BP42" s="147"/>
      <c r="BQ42" s="223">
        <v>45979</v>
      </c>
      <c r="BR42" s="146"/>
      <c r="BS42" s="147"/>
      <c r="BT42" s="223"/>
      <c r="BU42" s="146"/>
      <c r="BV42" s="147"/>
      <c r="BW42" s="223"/>
      <c r="BX42" s="146"/>
      <c r="BY42" s="147"/>
      <c r="BZ42" s="223"/>
      <c r="CA42" s="146"/>
      <c r="CB42" s="147"/>
      <c r="CC42" s="223"/>
      <c r="CD42" s="146"/>
      <c r="CE42" s="147"/>
      <c r="CF42" s="223"/>
      <c r="CG42" s="146"/>
      <c r="CH42" s="147"/>
      <c r="CI42" s="223"/>
      <c r="CJ42" s="146"/>
      <c r="CK42" s="147"/>
      <c r="CL42" s="223"/>
      <c r="CM42" s="146"/>
      <c r="CN42" s="147"/>
      <c r="CO42" s="223"/>
      <c r="CP42" s="146"/>
      <c r="CQ42" s="147"/>
      <c r="CR42" s="90" t="str">
        <f t="shared" si="0"/>
        <v>6A.2</v>
      </c>
      <c r="CS42" s="71" t="b">
        <f t="shared" si="2"/>
        <v>0</v>
      </c>
    </row>
    <row r="43" spans="1:97" ht="14.25" customHeight="1">
      <c r="A43" s="71" t="b">
        <f t="shared" si="1"/>
        <v>1</v>
      </c>
      <c r="B43" s="9" t="s">
        <v>73</v>
      </c>
      <c r="C43" s="14" t="s">
        <v>176</v>
      </c>
      <c r="D43" s="1" t="s">
        <v>176</v>
      </c>
      <c r="E43" s="1"/>
      <c r="F43" s="1"/>
      <c r="G43" s="1"/>
      <c r="H43" s="15"/>
      <c r="I43" s="14" t="s">
        <v>176</v>
      </c>
      <c r="J43" s="1" t="s">
        <v>176</v>
      </c>
      <c r="K43" s="1" t="s">
        <v>176</v>
      </c>
      <c r="L43" s="1"/>
      <c r="M43" s="1"/>
      <c r="N43" s="15"/>
      <c r="O43" s="250"/>
      <c r="P43" s="194"/>
      <c r="Q43" s="194"/>
      <c r="R43" s="194"/>
      <c r="S43" s="194"/>
      <c r="T43" s="250"/>
      <c r="U43" s="12"/>
      <c r="V43" s="8"/>
      <c r="W43" s="8"/>
      <c r="X43" s="8"/>
      <c r="Y43" s="8"/>
      <c r="Z43" s="13"/>
      <c r="AA43" s="249"/>
      <c r="AB43" s="267"/>
      <c r="AC43" s="267"/>
      <c r="AD43" s="267"/>
      <c r="AE43" s="267"/>
      <c r="AF43" s="249"/>
      <c r="AG43" s="12"/>
      <c r="AH43" s="8"/>
      <c r="AI43" s="8"/>
      <c r="AJ43" s="8"/>
      <c r="AK43" s="8"/>
      <c r="AL43" s="13"/>
      <c r="AM43" s="12"/>
      <c r="AN43" s="8"/>
      <c r="AO43" s="8"/>
      <c r="AP43" s="8"/>
      <c r="AQ43" s="8"/>
      <c r="AR43" s="13"/>
      <c r="AS43" s="12"/>
      <c r="AT43" s="8"/>
      <c r="AU43" s="8"/>
      <c r="AV43" s="8"/>
      <c r="AW43" s="8"/>
      <c r="AX43" s="13"/>
      <c r="AY43" s="12"/>
      <c r="AZ43" s="8"/>
      <c r="BA43" s="8"/>
      <c r="BB43" s="8"/>
      <c r="BC43" s="8"/>
      <c r="BD43" s="13"/>
      <c r="BE43" s="106"/>
      <c r="BF43" s="22"/>
      <c r="BG43" s="22"/>
      <c r="BH43" s="22"/>
      <c r="BI43" s="22"/>
      <c r="BJ43" s="105"/>
      <c r="BK43" s="223">
        <v>45904</v>
      </c>
      <c r="BL43" s="23">
        <v>46058</v>
      </c>
      <c r="BM43" s="225"/>
      <c r="BN43" s="223"/>
      <c r="BO43" s="146"/>
      <c r="BP43" s="147"/>
      <c r="BQ43" s="223">
        <v>45952</v>
      </c>
      <c r="BR43" s="146"/>
      <c r="BS43" s="147"/>
      <c r="BT43" s="223"/>
      <c r="BU43" s="146"/>
      <c r="BV43" s="147"/>
      <c r="BW43" s="223"/>
      <c r="BX43" s="146"/>
      <c r="BY43" s="147"/>
      <c r="BZ43" s="223"/>
      <c r="CA43" s="146"/>
      <c r="CB43" s="147"/>
      <c r="CC43" s="223"/>
      <c r="CD43" s="146"/>
      <c r="CE43" s="147"/>
      <c r="CF43" s="223"/>
      <c r="CG43" s="146"/>
      <c r="CH43" s="147"/>
      <c r="CI43" s="223"/>
      <c r="CJ43" s="146"/>
      <c r="CK43" s="147"/>
      <c r="CL43" s="223"/>
      <c r="CM43" s="146"/>
      <c r="CN43" s="147"/>
      <c r="CO43" s="223"/>
      <c r="CP43" s="146"/>
      <c r="CQ43" s="147"/>
      <c r="CR43" s="90" t="str">
        <f t="shared" si="0"/>
        <v>6A.2</v>
      </c>
      <c r="CS43" s="71" t="b">
        <f t="shared" si="2"/>
        <v>0</v>
      </c>
    </row>
    <row r="44" spans="1:97" ht="14.25" customHeight="1">
      <c r="A44" s="71" t="b">
        <f t="shared" si="1"/>
        <v>1</v>
      </c>
      <c r="B44" s="9" t="s">
        <v>74</v>
      </c>
      <c r="C44" s="12"/>
      <c r="D44" s="8"/>
      <c r="E44" s="8"/>
      <c r="F44" s="8"/>
      <c r="G44" s="8"/>
      <c r="H44" s="13"/>
      <c r="I44" s="12"/>
      <c r="J44" s="8"/>
      <c r="K44" s="8"/>
      <c r="L44" s="8"/>
      <c r="M44" s="8"/>
      <c r="N44" s="13"/>
      <c r="O44" s="249"/>
      <c r="P44" s="267"/>
      <c r="Q44" s="267"/>
      <c r="R44" s="267"/>
      <c r="S44" s="267"/>
      <c r="T44" s="249"/>
      <c r="U44" s="12"/>
      <c r="V44" s="8"/>
      <c r="W44" s="8"/>
      <c r="X44" s="8"/>
      <c r="Y44" s="8"/>
      <c r="Z44" s="13"/>
      <c r="AA44" s="249"/>
      <c r="AB44" s="267"/>
      <c r="AC44" s="267"/>
      <c r="AD44" s="267"/>
      <c r="AE44" s="267"/>
      <c r="AF44" s="249"/>
      <c r="AG44" s="12"/>
      <c r="AH44" s="8"/>
      <c r="AI44" s="8"/>
      <c r="AJ44" s="8"/>
      <c r="AK44" s="8"/>
      <c r="AL44" s="13"/>
      <c r="AM44" s="14" t="s">
        <v>176</v>
      </c>
      <c r="AN44" s="1" t="s">
        <v>176</v>
      </c>
      <c r="AO44" s="1" t="s">
        <v>176</v>
      </c>
      <c r="AP44" s="1"/>
      <c r="AQ44" s="1"/>
      <c r="AR44" s="15" t="s">
        <v>176</v>
      </c>
      <c r="AS44" s="14" t="s">
        <v>176</v>
      </c>
      <c r="AT44" s="1" t="s">
        <v>176</v>
      </c>
      <c r="AU44" s="1" t="s">
        <v>176</v>
      </c>
      <c r="AV44" s="1"/>
      <c r="AW44" s="1"/>
      <c r="AX44" s="15"/>
      <c r="AY44" s="14" t="s">
        <v>176</v>
      </c>
      <c r="AZ44" s="1" t="s">
        <v>176</v>
      </c>
      <c r="BA44" s="1" t="s">
        <v>176</v>
      </c>
      <c r="BB44" s="1"/>
      <c r="BC44" s="1"/>
      <c r="BD44" s="15"/>
      <c r="BE44" s="106"/>
      <c r="BF44" s="22"/>
      <c r="BG44" s="22"/>
      <c r="BH44" s="22"/>
      <c r="BI44" s="22"/>
      <c r="BJ44" s="105"/>
      <c r="BK44" s="223">
        <v>45880</v>
      </c>
      <c r="BL44" s="23">
        <v>45951</v>
      </c>
      <c r="BM44" s="225">
        <v>46239</v>
      </c>
      <c r="BN44" s="223"/>
      <c r="BO44" s="146"/>
      <c r="BP44" s="147"/>
      <c r="BQ44" s="223"/>
      <c r="BR44" s="146"/>
      <c r="BS44" s="147"/>
      <c r="BT44" s="223"/>
      <c r="BU44" s="146"/>
      <c r="BV44" s="147"/>
      <c r="BW44" s="223"/>
      <c r="BX44" s="146"/>
      <c r="BY44" s="147"/>
      <c r="BZ44" s="223"/>
      <c r="CA44" s="146"/>
      <c r="CB44" s="147"/>
      <c r="CC44" s="223"/>
      <c r="CD44" s="146"/>
      <c r="CE44" s="147"/>
      <c r="CF44" s="223">
        <v>45925</v>
      </c>
      <c r="CG44" s="146"/>
      <c r="CH44" s="147"/>
      <c r="CI44" s="223">
        <v>45925</v>
      </c>
      <c r="CJ44" s="146"/>
      <c r="CK44" s="147"/>
      <c r="CL44" s="223">
        <v>46239</v>
      </c>
      <c r="CM44" s="146"/>
      <c r="CN44" s="147"/>
      <c r="CO44" s="223"/>
      <c r="CP44" s="146"/>
      <c r="CQ44" s="147"/>
      <c r="CR44" s="90" t="str">
        <f t="shared" si="0"/>
        <v>7A.1</v>
      </c>
      <c r="CS44" s="71" t="b">
        <f t="shared" si="2"/>
        <v>1</v>
      </c>
    </row>
    <row r="45" spans="1:97" ht="14.25" customHeight="1">
      <c r="A45" s="71" t="b">
        <f t="shared" si="1"/>
        <v>1</v>
      </c>
      <c r="B45" s="9" t="s">
        <v>75</v>
      </c>
      <c r="C45" s="12"/>
      <c r="D45" s="8"/>
      <c r="E45" s="8"/>
      <c r="F45" s="8"/>
      <c r="G45" s="8"/>
      <c r="H45" s="13"/>
      <c r="I45" s="12"/>
      <c r="J45" s="8"/>
      <c r="K45" s="8"/>
      <c r="L45" s="8"/>
      <c r="M45" s="8"/>
      <c r="N45" s="13"/>
      <c r="O45" s="249"/>
      <c r="P45" s="267"/>
      <c r="Q45" s="267"/>
      <c r="R45" s="267"/>
      <c r="S45" s="267"/>
      <c r="T45" s="249"/>
      <c r="U45" s="12"/>
      <c r="V45" s="8"/>
      <c r="W45" s="8"/>
      <c r="X45" s="8"/>
      <c r="Y45" s="8"/>
      <c r="Z45" s="13"/>
      <c r="AA45" s="249"/>
      <c r="AB45" s="267"/>
      <c r="AC45" s="267"/>
      <c r="AD45" s="267"/>
      <c r="AE45" s="267"/>
      <c r="AF45" s="249"/>
      <c r="AG45" s="12"/>
      <c r="AH45" s="8"/>
      <c r="AI45" s="8"/>
      <c r="AJ45" s="8"/>
      <c r="AK45" s="8"/>
      <c r="AL45" s="13"/>
      <c r="AM45" s="14" t="s">
        <v>176</v>
      </c>
      <c r="AN45" s="1" t="s">
        <v>176</v>
      </c>
      <c r="AO45" s="1" t="s">
        <v>176</v>
      </c>
      <c r="AP45" s="1"/>
      <c r="AQ45" s="1"/>
      <c r="AR45" s="15"/>
      <c r="AS45" s="14" t="s">
        <v>176</v>
      </c>
      <c r="AT45" s="1" t="s">
        <v>176</v>
      </c>
      <c r="AU45" s="1" t="s">
        <v>176</v>
      </c>
      <c r="AV45" s="1"/>
      <c r="AW45" s="1"/>
      <c r="AX45" s="15" t="s">
        <v>176</v>
      </c>
      <c r="AY45" s="14" t="s">
        <v>176</v>
      </c>
      <c r="AZ45" s="1" t="s">
        <v>176</v>
      </c>
      <c r="BA45" s="1" t="s">
        <v>176</v>
      </c>
      <c r="BB45" s="1"/>
      <c r="BC45" s="1"/>
      <c r="BD45" s="15"/>
      <c r="BE45" s="106"/>
      <c r="BF45" s="22"/>
      <c r="BG45" s="22"/>
      <c r="BH45" s="22"/>
      <c r="BI45" s="22"/>
      <c r="BJ45" s="105"/>
      <c r="BK45" s="223">
        <v>45881</v>
      </c>
      <c r="BL45" s="23">
        <v>45953</v>
      </c>
      <c r="BM45" s="225">
        <v>46245</v>
      </c>
      <c r="BN45" s="223"/>
      <c r="BO45" s="146"/>
      <c r="BP45" s="147"/>
      <c r="BQ45" s="223"/>
      <c r="BR45" s="146"/>
      <c r="BS45" s="147"/>
      <c r="BT45" s="223"/>
      <c r="BU45" s="146"/>
      <c r="BV45" s="147"/>
      <c r="BW45" s="223"/>
      <c r="BX45" s="146"/>
      <c r="BY45" s="147"/>
      <c r="BZ45" s="223"/>
      <c r="CA45" s="146"/>
      <c r="CB45" s="147"/>
      <c r="CC45" s="223"/>
      <c r="CD45" s="146"/>
      <c r="CE45" s="147"/>
      <c r="CF45" s="223">
        <v>45929</v>
      </c>
      <c r="CG45" s="146"/>
      <c r="CH45" s="147"/>
      <c r="CI45" s="223">
        <v>45929</v>
      </c>
      <c r="CJ45" s="146"/>
      <c r="CK45" s="147"/>
      <c r="CL45" s="223">
        <v>46233</v>
      </c>
      <c r="CM45" s="146"/>
      <c r="CN45" s="147"/>
      <c r="CO45" s="223"/>
      <c r="CP45" s="146"/>
      <c r="CQ45" s="147"/>
      <c r="CR45" s="90" t="str">
        <f t="shared" si="0"/>
        <v>7A.1</v>
      </c>
      <c r="CS45" s="71" t="b">
        <f t="shared" si="2"/>
        <v>1</v>
      </c>
    </row>
    <row r="46" spans="1:97" ht="14.25" customHeight="1">
      <c r="A46" s="71" t="b">
        <f t="shared" si="1"/>
        <v>1</v>
      </c>
      <c r="B46" s="9" t="s">
        <v>76</v>
      </c>
      <c r="C46" s="12"/>
      <c r="D46" s="8"/>
      <c r="E46" s="8"/>
      <c r="F46" s="8"/>
      <c r="G46" s="8"/>
      <c r="H46" s="13"/>
      <c r="I46" s="12"/>
      <c r="J46" s="8"/>
      <c r="K46" s="8" t="s">
        <v>180</v>
      </c>
      <c r="L46" s="8"/>
      <c r="M46" s="8"/>
      <c r="N46" s="13"/>
      <c r="O46" s="249"/>
      <c r="P46" s="267"/>
      <c r="Q46" s="267"/>
      <c r="R46" s="267"/>
      <c r="S46" s="267"/>
      <c r="T46" s="249"/>
      <c r="U46" s="12"/>
      <c r="V46" s="8"/>
      <c r="W46" s="8" t="s">
        <v>180</v>
      </c>
      <c r="X46" s="8"/>
      <c r="Y46" s="8"/>
      <c r="Z46" s="13"/>
      <c r="AA46" s="249"/>
      <c r="AB46" s="267"/>
      <c r="AC46" s="267"/>
      <c r="AD46" s="267"/>
      <c r="AE46" s="267"/>
      <c r="AF46" s="249"/>
      <c r="AG46" s="12"/>
      <c r="AH46" s="8"/>
      <c r="AI46" s="8" t="s">
        <v>180</v>
      </c>
      <c r="AJ46" s="8"/>
      <c r="AK46" s="8"/>
      <c r="AL46" s="13"/>
      <c r="AM46" s="14" t="s">
        <v>176</v>
      </c>
      <c r="AN46" s="1" t="s">
        <v>176</v>
      </c>
      <c r="AO46" s="1" t="s">
        <v>176</v>
      </c>
      <c r="AP46" s="1"/>
      <c r="AQ46" s="1"/>
      <c r="AR46" s="354" t="s">
        <v>176</v>
      </c>
      <c r="AS46" s="14" t="s">
        <v>176</v>
      </c>
      <c r="AT46" s="1" t="s">
        <v>176</v>
      </c>
      <c r="AU46" s="1" t="s">
        <v>176</v>
      </c>
      <c r="AV46" s="1"/>
      <c r="AW46" s="1"/>
      <c r="AX46" s="15"/>
      <c r="AY46" s="14" t="s">
        <v>176</v>
      </c>
      <c r="AZ46" s="1" t="s">
        <v>176</v>
      </c>
      <c r="BA46" s="188" t="s">
        <v>176</v>
      </c>
      <c r="BB46" s="1"/>
      <c r="BC46" s="1"/>
      <c r="BD46" s="15"/>
      <c r="BE46" s="106"/>
      <c r="BF46" s="22"/>
      <c r="BG46" s="22"/>
      <c r="BH46" s="22"/>
      <c r="BI46" s="22"/>
      <c r="BJ46" s="105"/>
      <c r="BK46" s="223">
        <v>45882</v>
      </c>
      <c r="BL46" s="23">
        <v>45957</v>
      </c>
      <c r="BM46" s="225">
        <v>46252</v>
      </c>
      <c r="BN46" s="223"/>
      <c r="BO46" s="146"/>
      <c r="BP46" s="147"/>
      <c r="BQ46" s="223"/>
      <c r="BR46" s="146"/>
      <c r="BS46" s="147"/>
      <c r="BT46" s="223"/>
      <c r="BU46" s="146"/>
      <c r="BV46" s="147"/>
      <c r="BW46" s="223"/>
      <c r="BX46" s="146"/>
      <c r="BY46" s="147"/>
      <c r="BZ46" s="223"/>
      <c r="CA46" s="146"/>
      <c r="CB46" s="147"/>
      <c r="CC46" s="223"/>
      <c r="CD46" s="146"/>
      <c r="CE46" s="147"/>
      <c r="CF46" s="223">
        <v>45930</v>
      </c>
      <c r="CG46" s="146"/>
      <c r="CH46" s="147"/>
      <c r="CI46" s="223">
        <v>45930</v>
      </c>
      <c r="CJ46" s="146"/>
      <c r="CK46" s="147"/>
      <c r="CL46" s="223">
        <v>46240</v>
      </c>
      <c r="CM46" s="146"/>
      <c r="CN46" s="147"/>
      <c r="CO46" s="223"/>
      <c r="CP46" s="146"/>
      <c r="CQ46" s="147"/>
      <c r="CR46" s="90" t="str">
        <f t="shared" si="0"/>
        <v>7A.1</v>
      </c>
      <c r="CS46" s="71" t="b">
        <f t="shared" si="2"/>
        <v>1</v>
      </c>
    </row>
    <row r="47" spans="1:97" ht="14.25" customHeight="1">
      <c r="A47" s="71" t="b">
        <f t="shared" si="1"/>
        <v>1</v>
      </c>
      <c r="B47" s="9" t="s">
        <v>77</v>
      </c>
      <c r="C47" s="12"/>
      <c r="D47" s="8"/>
      <c r="E47" s="8"/>
      <c r="F47" s="8"/>
      <c r="G47" s="8"/>
      <c r="H47" s="13"/>
      <c r="I47" s="12"/>
      <c r="J47" s="8"/>
      <c r="K47" s="8" t="s">
        <v>180</v>
      </c>
      <c r="L47" s="8"/>
      <c r="M47" s="8"/>
      <c r="N47" s="13"/>
      <c r="O47" s="249"/>
      <c r="P47" s="267"/>
      <c r="Q47" s="267"/>
      <c r="R47" s="267"/>
      <c r="S47" s="267"/>
      <c r="T47" s="249"/>
      <c r="U47" s="12"/>
      <c r="V47" s="8"/>
      <c r="W47" s="8" t="s">
        <v>180</v>
      </c>
      <c r="X47" s="8"/>
      <c r="Y47" s="8"/>
      <c r="Z47" s="13"/>
      <c r="AA47" s="249"/>
      <c r="AB47" s="267"/>
      <c r="AC47" s="267"/>
      <c r="AD47" s="267"/>
      <c r="AE47" s="267"/>
      <c r="AF47" s="249"/>
      <c r="AG47" s="12"/>
      <c r="AH47" s="8"/>
      <c r="AI47" s="8" t="s">
        <v>180</v>
      </c>
      <c r="AJ47" s="8"/>
      <c r="AK47" s="8"/>
      <c r="AL47" s="13"/>
      <c r="AM47" s="14" t="s">
        <v>176</v>
      </c>
      <c r="AN47" s="1" t="s">
        <v>176</v>
      </c>
      <c r="AO47" s="1" t="s">
        <v>176</v>
      </c>
      <c r="AP47" s="1"/>
      <c r="AQ47" s="1"/>
      <c r="AR47" s="15"/>
      <c r="AS47" s="14" t="s">
        <v>176</v>
      </c>
      <c r="AT47" s="1" t="s">
        <v>176</v>
      </c>
      <c r="AU47" s="1" t="s">
        <v>176</v>
      </c>
      <c r="AV47" s="1"/>
      <c r="AW47" s="1"/>
      <c r="AX47" s="354" t="s">
        <v>176</v>
      </c>
      <c r="AY47" s="14" t="s">
        <v>176</v>
      </c>
      <c r="AZ47" s="1" t="s">
        <v>176</v>
      </c>
      <c r="BA47" s="188" t="s">
        <v>176</v>
      </c>
      <c r="BB47" s="1"/>
      <c r="BC47" s="1"/>
      <c r="BD47" s="15"/>
      <c r="BE47" s="106"/>
      <c r="BF47" s="22"/>
      <c r="BG47" s="22"/>
      <c r="BH47" s="22"/>
      <c r="BI47" s="22"/>
      <c r="BJ47" s="105"/>
      <c r="BK47" s="223">
        <v>45883</v>
      </c>
      <c r="BL47" s="23">
        <v>45960</v>
      </c>
      <c r="BM47" s="225">
        <v>46253</v>
      </c>
      <c r="BN47" s="223"/>
      <c r="BO47" s="146"/>
      <c r="BP47" s="147"/>
      <c r="BQ47" s="223"/>
      <c r="BR47" s="146"/>
      <c r="BS47" s="147"/>
      <c r="BT47" s="223"/>
      <c r="BU47" s="146"/>
      <c r="BV47" s="147"/>
      <c r="BW47" s="223"/>
      <c r="BX47" s="146"/>
      <c r="BY47" s="147"/>
      <c r="BZ47" s="223"/>
      <c r="CA47" s="146"/>
      <c r="CB47" s="147"/>
      <c r="CC47" s="223"/>
      <c r="CD47" s="146"/>
      <c r="CE47" s="147"/>
      <c r="CF47" s="223">
        <v>45936</v>
      </c>
      <c r="CG47" s="146"/>
      <c r="CH47" s="147"/>
      <c r="CI47" s="223">
        <v>45936</v>
      </c>
      <c r="CJ47" s="146"/>
      <c r="CK47" s="147"/>
      <c r="CL47" s="223">
        <v>46246</v>
      </c>
      <c r="CM47" s="146"/>
      <c r="CN47" s="147"/>
      <c r="CO47" s="223"/>
      <c r="CP47" s="146"/>
      <c r="CQ47" s="147"/>
      <c r="CR47" s="90" t="str">
        <f t="shared" si="0"/>
        <v>7A.1</v>
      </c>
      <c r="CS47" s="71" t="b">
        <f t="shared" si="2"/>
        <v>1</v>
      </c>
    </row>
    <row r="48" spans="1:97" ht="14.25" customHeight="1">
      <c r="A48" s="71" t="b">
        <f t="shared" si="1"/>
        <v>1</v>
      </c>
      <c r="B48" s="9" t="s">
        <v>78</v>
      </c>
      <c r="C48" s="12"/>
      <c r="D48" s="8"/>
      <c r="E48" s="8"/>
      <c r="F48" s="8"/>
      <c r="G48" s="8"/>
      <c r="H48" s="13"/>
      <c r="I48" s="12"/>
      <c r="J48" s="8"/>
      <c r="K48" s="8" t="s">
        <v>180</v>
      </c>
      <c r="L48" s="8"/>
      <c r="M48" s="8"/>
      <c r="N48" s="13"/>
      <c r="O48" s="249"/>
      <c r="P48" s="267"/>
      <c r="Q48" s="267"/>
      <c r="R48" s="267"/>
      <c r="S48" s="267"/>
      <c r="T48" s="249"/>
      <c r="U48" s="12"/>
      <c r="V48" s="8"/>
      <c r="W48" s="8" t="s">
        <v>180</v>
      </c>
      <c r="X48" s="8"/>
      <c r="Y48" s="8"/>
      <c r="Z48" s="13"/>
      <c r="AA48" s="249"/>
      <c r="AB48" s="267"/>
      <c r="AC48" s="267"/>
      <c r="AD48" s="267"/>
      <c r="AE48" s="267"/>
      <c r="AF48" s="249"/>
      <c r="AG48" s="12"/>
      <c r="AH48" s="8"/>
      <c r="AI48" s="8" t="s">
        <v>180</v>
      </c>
      <c r="AJ48" s="8"/>
      <c r="AK48" s="8"/>
      <c r="AL48" s="13"/>
      <c r="AM48" s="14" t="s">
        <v>176</v>
      </c>
      <c r="AN48" s="1" t="s">
        <v>176</v>
      </c>
      <c r="AO48" s="1" t="s">
        <v>176</v>
      </c>
      <c r="AP48" s="1"/>
      <c r="AQ48" s="1"/>
      <c r="AR48" s="15"/>
      <c r="AS48" s="14" t="s">
        <v>176</v>
      </c>
      <c r="AT48" s="1" t="s">
        <v>176</v>
      </c>
      <c r="AU48" s="1" t="s">
        <v>176</v>
      </c>
      <c r="AV48" s="1"/>
      <c r="AW48" s="1"/>
      <c r="AX48" s="354"/>
      <c r="AY48" s="14" t="s">
        <v>176</v>
      </c>
      <c r="AZ48" s="1" t="s">
        <v>176</v>
      </c>
      <c r="BA48" s="188" t="s">
        <v>176</v>
      </c>
      <c r="BB48" s="1"/>
      <c r="BC48" s="1"/>
      <c r="BD48" s="15"/>
      <c r="BE48" s="106"/>
      <c r="BF48" s="22"/>
      <c r="BG48" s="22"/>
      <c r="BH48" s="22"/>
      <c r="BI48" s="22"/>
      <c r="BJ48" s="105"/>
      <c r="BK48" s="223">
        <v>45890</v>
      </c>
      <c r="BL48" s="23">
        <v>45965</v>
      </c>
      <c r="BM48" s="225"/>
      <c r="BN48" s="223"/>
      <c r="BO48" s="146"/>
      <c r="BP48" s="147"/>
      <c r="BQ48" s="223"/>
      <c r="BR48" s="146"/>
      <c r="BS48" s="147"/>
      <c r="BT48" s="223"/>
      <c r="BU48" s="146"/>
      <c r="BV48" s="147"/>
      <c r="BW48" s="223"/>
      <c r="BX48" s="146"/>
      <c r="BY48" s="147"/>
      <c r="BZ48" s="223"/>
      <c r="CA48" s="146"/>
      <c r="CB48" s="147"/>
      <c r="CC48" s="223"/>
      <c r="CD48" s="146"/>
      <c r="CE48" s="147"/>
      <c r="CF48" s="223">
        <v>45937</v>
      </c>
      <c r="CG48" s="146"/>
      <c r="CH48" s="147"/>
      <c r="CI48" s="223">
        <v>45937</v>
      </c>
      <c r="CJ48" s="146"/>
      <c r="CK48" s="147"/>
      <c r="CL48" s="223">
        <v>46247</v>
      </c>
      <c r="CM48" s="146"/>
      <c r="CN48" s="147"/>
      <c r="CO48" s="223"/>
      <c r="CP48" s="146"/>
      <c r="CQ48" s="147"/>
      <c r="CR48" s="90" t="str">
        <f t="shared" si="0"/>
        <v>7A.1</v>
      </c>
      <c r="CS48" s="71" t="b">
        <f t="shared" si="2"/>
        <v>0</v>
      </c>
    </row>
    <row r="49" spans="1:97" ht="14.25" customHeight="1" thickBot="1">
      <c r="A49" s="71" t="b">
        <f t="shared" si="1"/>
        <v>1</v>
      </c>
      <c r="B49" s="9" t="s">
        <v>79</v>
      </c>
      <c r="C49" s="16"/>
      <c r="D49" s="17"/>
      <c r="E49" s="17"/>
      <c r="F49" s="17"/>
      <c r="G49" s="17"/>
      <c r="H49" s="18"/>
      <c r="I49" s="16"/>
      <c r="J49" s="17"/>
      <c r="K49" s="17"/>
      <c r="L49" s="17"/>
      <c r="M49" s="17"/>
      <c r="N49" s="18"/>
      <c r="O49" s="251"/>
      <c r="P49" s="267"/>
      <c r="Q49" s="267"/>
      <c r="R49" s="267"/>
      <c r="S49" s="267"/>
      <c r="T49" s="251"/>
      <c r="U49" s="16"/>
      <c r="V49" s="17"/>
      <c r="W49" s="17"/>
      <c r="X49" s="17"/>
      <c r="Y49" s="17"/>
      <c r="Z49" s="18"/>
      <c r="AA49" s="252"/>
      <c r="AB49" s="267"/>
      <c r="AC49" s="267"/>
      <c r="AD49" s="267"/>
      <c r="AE49" s="267"/>
      <c r="AF49" s="252"/>
      <c r="AG49" s="16"/>
      <c r="AH49" s="17"/>
      <c r="AI49" s="17"/>
      <c r="AJ49" s="17"/>
      <c r="AK49" s="17"/>
      <c r="AL49" s="18"/>
      <c r="AM49" s="14" t="s">
        <v>176</v>
      </c>
      <c r="AN49" s="1" t="s">
        <v>176</v>
      </c>
      <c r="AO49" s="1" t="s">
        <v>176</v>
      </c>
      <c r="AP49" s="20"/>
      <c r="AQ49" s="20"/>
      <c r="AR49" s="358"/>
      <c r="AS49" s="14" t="s">
        <v>176</v>
      </c>
      <c r="AT49" s="1" t="s">
        <v>176</v>
      </c>
      <c r="AU49" s="1" t="s">
        <v>176</v>
      </c>
      <c r="AV49" s="20"/>
      <c r="AW49" s="20"/>
      <c r="AX49" s="21"/>
      <c r="AY49" s="14" t="s">
        <v>176</v>
      </c>
      <c r="AZ49" s="1" t="s">
        <v>176</v>
      </c>
      <c r="BA49" s="355" t="s">
        <v>176</v>
      </c>
      <c r="BB49" s="20"/>
      <c r="BC49" s="20"/>
      <c r="BD49" s="21"/>
      <c r="BE49" s="107"/>
      <c r="BF49" s="108"/>
      <c r="BG49" s="108"/>
      <c r="BH49" s="108"/>
      <c r="BI49" s="108"/>
      <c r="BJ49" s="109"/>
      <c r="BK49" s="224">
        <v>45908</v>
      </c>
      <c r="BL49" s="226">
        <v>45967</v>
      </c>
      <c r="BM49" s="227"/>
      <c r="BN49" s="224"/>
      <c r="BO49" s="148"/>
      <c r="BP49" s="149"/>
      <c r="BQ49" s="224"/>
      <c r="BR49" s="148"/>
      <c r="BS49" s="149"/>
      <c r="BT49" s="224"/>
      <c r="BU49" s="148"/>
      <c r="BV49" s="149"/>
      <c r="BW49" s="224"/>
      <c r="BX49" s="148"/>
      <c r="BY49" s="149"/>
      <c r="BZ49" s="224"/>
      <c r="CA49" s="148"/>
      <c r="CB49" s="149"/>
      <c r="CC49" s="224"/>
      <c r="CD49" s="148"/>
      <c r="CE49" s="149"/>
      <c r="CF49" s="224">
        <v>45964</v>
      </c>
      <c r="CG49" s="148"/>
      <c r="CH49" s="149"/>
      <c r="CI49" s="224">
        <v>45964</v>
      </c>
      <c r="CJ49" s="148"/>
      <c r="CK49" s="149"/>
      <c r="CL49" s="224">
        <v>46254</v>
      </c>
      <c r="CM49" s="148"/>
      <c r="CN49" s="149"/>
      <c r="CO49" s="224"/>
      <c r="CP49" s="148"/>
      <c r="CQ49" s="149"/>
      <c r="CR49" s="90" t="str">
        <f t="shared" si="0"/>
        <v>7A.1</v>
      </c>
      <c r="CS49" s="71" t="b">
        <f t="shared" si="2"/>
        <v>0</v>
      </c>
    </row>
    <row r="50" spans="1:97" ht="14.25" customHeight="1">
      <c r="A50" s="25">
        <f>COUNTIF(A7:A49,TRUE)/COUNTA(B7:B49)</f>
        <v>1</v>
      </c>
      <c r="CS50" s="25">
        <f>COUNTIF(CS7:CS49,TRUE)/COUNTA(B7:B49)</f>
        <v>0.11627906976744186</v>
      </c>
    </row>
    <row r="51" spans="1:97" ht="14.25" customHeight="1"/>
    <row r="52" spans="1:97" ht="14.25" customHeight="1"/>
    <row r="53" spans="1:97" ht="14.25" customHeight="1"/>
    <row r="54" spans="1:97" ht="14.25" customHeight="1"/>
    <row r="55" spans="1:97" ht="14.25" customHeight="1"/>
    <row r="56" spans="1:97" ht="14.25" customHeight="1"/>
    <row r="57" spans="1:97" ht="14.25" customHeight="1"/>
    <row r="58" spans="1:97" ht="14.25" customHeight="1"/>
    <row r="59" spans="1:97" ht="14.25" customHeight="1"/>
    <row r="60" spans="1:97" ht="14.25" customHeight="1"/>
    <row r="61" spans="1:97" ht="14.25" customHeight="1"/>
    <row r="62" spans="1:97" ht="14.25" customHeight="1"/>
    <row r="63" spans="1:97" ht="14.25" customHeight="1"/>
    <row r="64" spans="1:97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</sheetData>
  <sheetProtection selectLockedCells="1"/>
  <mergeCells count="21">
    <mergeCell ref="C5:H5"/>
    <mergeCell ref="I5:N5"/>
    <mergeCell ref="O5:T5"/>
    <mergeCell ref="AM5:AR5"/>
    <mergeCell ref="AG5:AL5"/>
    <mergeCell ref="AA5:AF5"/>
    <mergeCell ref="U5:Z5"/>
    <mergeCell ref="CO5:CQ5"/>
    <mergeCell ref="BN5:BP5"/>
    <mergeCell ref="BQ5:BS5"/>
    <mergeCell ref="BT5:BV5"/>
    <mergeCell ref="BW5:BY5"/>
    <mergeCell ref="BZ5:CB5"/>
    <mergeCell ref="AS5:AX5"/>
    <mergeCell ref="CC5:CE5"/>
    <mergeCell ref="CF5:CH5"/>
    <mergeCell ref="CI5:CK5"/>
    <mergeCell ref="CL5:CN5"/>
    <mergeCell ref="BK5:BM5"/>
    <mergeCell ref="BE5:BJ5"/>
    <mergeCell ref="AY5:BD5"/>
  </mergeCells>
  <conditionalFormatting sqref="C7:BJ49">
    <cfRule type="expression" dxfId="70" priority="1">
      <formula>C7=$P$2</formula>
    </cfRule>
    <cfRule type="expression" dxfId="69" priority="2">
      <formula>C7=$P$1</formula>
    </cfRule>
    <cfRule type="expression" dxfId="68" priority="3">
      <formula>C7=$C$2</formula>
    </cfRule>
    <cfRule type="expression" dxfId="67" priority="4">
      <formula>C7=$C$3</formula>
    </cfRule>
    <cfRule type="expression" dxfId="66" priority="5">
      <formula>C7=$C$4</formula>
    </cfRule>
    <cfRule type="expression" dxfId="65" priority="7">
      <formula>C7=$C$1</formula>
    </cfRule>
  </conditionalFormatting>
  <dataValidations count="4">
    <dataValidation type="list" allowBlank="1" showInputMessage="1" showErrorMessage="1" sqref="I7:I49 K7:K49" xr:uid="{D16E2BF4-886D-468B-B754-F0E9774703F2}">
      <formula1>$C$1:$C$4</formula1>
    </dataValidation>
    <dataValidation type="list" allowBlank="1" showInputMessage="1" showErrorMessage="1" sqref="E7:H49 W7:AF49 AI7:AL49 BA7:BD49 AU7:AX49 L7:T49 AO7:AR49 BG7:BJ49" xr:uid="{8EB2235D-5680-4C6C-9A82-89691E27E07A}">
      <formula1>"A,P,O,X,F"</formula1>
    </dataValidation>
    <dataValidation type="list" allowBlank="1" showInputMessage="1" showErrorMessage="1" sqref="J7:J1048576 AG7:AH1048576 C7:D1048576 AY7:AZ49 AA50:AB1048576 U7:V1048576 Z53 O50:P1048576 AM7:AN1048576 AS7:AT1048576 AY71:AZ1048576 BE71:BF1048576 BE7:BF49" xr:uid="{382BA200-9EB4-40EE-8C11-724D47ACE356}">
      <formula1>"A,P,O,X,R"</formula1>
    </dataValidation>
    <dataValidation type="date" allowBlank="1" showInputMessage="1" showErrorMessage="1" sqref="BK7:CQ34 BK35:BS35 BU35:CQ35 BK36:CQ49" xr:uid="{FAC5622B-4715-4739-A057-1FD81EEC9C5C}">
      <formula1>45880</formula1>
      <formula2>47848</formula2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2F07-5F04-46F7-9B80-E5B2536ED285}">
  <sheetPr codeName="Feuil2">
    <tabColor rgb="FFFF0000"/>
  </sheetPr>
  <dimension ref="A1:CS32"/>
  <sheetViews>
    <sheetView showGridLines="0" zoomScale="55" zoomScaleNormal="55" workbookViewId="0">
      <pane xSplit="2" ySplit="6" topLeftCell="CM7" activePane="bottomRight" state="frozen"/>
      <selection pane="bottomRight" activeCell="BX24" sqref="BX24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4.45"/>
  <cols>
    <col min="3" max="62" width="3.5703125" customWidth="1"/>
  </cols>
  <sheetData>
    <row r="1" spans="1:97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</row>
    <row r="2" spans="1:97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97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97" ht="15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97" ht="37.5" customHeight="1" thickBot="1">
      <c r="B5" s="2"/>
      <c r="C5" s="373" t="s">
        <v>34</v>
      </c>
      <c r="D5" s="374"/>
      <c r="E5" s="374"/>
      <c r="F5" s="374"/>
      <c r="G5" s="374"/>
      <c r="H5" s="375"/>
      <c r="I5" s="373" t="s">
        <v>164</v>
      </c>
      <c r="J5" s="374"/>
      <c r="K5" s="374"/>
      <c r="L5" s="374"/>
      <c r="M5" s="374"/>
      <c r="N5" s="375"/>
      <c r="O5" s="389" t="s">
        <v>406</v>
      </c>
      <c r="P5" s="390"/>
      <c r="Q5" s="390"/>
      <c r="R5" s="390"/>
      <c r="S5" s="390"/>
      <c r="T5" s="391"/>
      <c r="U5" s="373" t="s">
        <v>166</v>
      </c>
      <c r="V5" s="374"/>
      <c r="W5" s="374"/>
      <c r="X5" s="374"/>
      <c r="Y5" s="374"/>
      <c r="Z5" s="375"/>
      <c r="AA5" s="389" t="s">
        <v>407</v>
      </c>
      <c r="AB5" s="390"/>
      <c r="AC5" s="390"/>
      <c r="AD5" s="390"/>
      <c r="AE5" s="390"/>
      <c r="AF5" s="391"/>
      <c r="AG5" s="373" t="s">
        <v>168</v>
      </c>
      <c r="AH5" s="374"/>
      <c r="AI5" s="374"/>
      <c r="AJ5" s="374"/>
      <c r="AK5" s="374"/>
      <c r="AL5" s="375"/>
      <c r="AM5" s="373" t="s">
        <v>169</v>
      </c>
      <c r="AN5" s="374"/>
      <c r="AO5" s="374"/>
      <c r="AP5" s="374"/>
      <c r="AQ5" s="374"/>
      <c r="AR5" s="375"/>
      <c r="AS5" s="373" t="s">
        <v>170</v>
      </c>
      <c r="AT5" s="374"/>
      <c r="AU5" s="374"/>
      <c r="AV5" s="374"/>
      <c r="AW5" s="374"/>
      <c r="AX5" s="375"/>
      <c r="AY5" s="373" t="s">
        <v>171</v>
      </c>
      <c r="AZ5" s="374"/>
      <c r="BA5" s="374"/>
      <c r="BB5" s="374"/>
      <c r="BC5" s="374"/>
      <c r="BD5" s="375"/>
      <c r="BE5" s="373" t="s">
        <v>172</v>
      </c>
      <c r="BF5" s="374"/>
      <c r="BG5" s="374"/>
      <c r="BH5" s="374"/>
      <c r="BI5" s="374"/>
      <c r="BJ5" s="375"/>
      <c r="BK5" s="379" t="s">
        <v>193</v>
      </c>
      <c r="BL5" s="380"/>
      <c r="BM5" s="381"/>
      <c r="BN5" s="379" t="str">
        <f>C5</f>
        <v>TASYA</v>
      </c>
      <c r="BO5" s="380"/>
      <c r="BP5" s="381"/>
      <c r="BQ5" s="379" t="str">
        <f>I5</f>
        <v>FAIZ</v>
      </c>
      <c r="BR5" s="380"/>
      <c r="BS5" s="381"/>
      <c r="BT5" s="379" t="str">
        <f>O5</f>
        <v>ANNISA</v>
      </c>
      <c r="BU5" s="380"/>
      <c r="BV5" s="381"/>
      <c r="BW5" s="379" t="str">
        <f>U5</f>
        <v>BIMA</v>
      </c>
      <c r="BX5" s="380"/>
      <c r="BY5" s="381"/>
      <c r="BZ5" s="379" t="str">
        <f>AA5</f>
        <v>AKHMAD</v>
      </c>
      <c r="CA5" s="380"/>
      <c r="CB5" s="381"/>
      <c r="CC5" s="379" t="str">
        <f>AG5</f>
        <v>ARIFAH</v>
      </c>
      <c r="CD5" s="380"/>
      <c r="CE5" s="381"/>
      <c r="CF5" s="379" t="str">
        <f>AM5</f>
        <v>DEVI</v>
      </c>
      <c r="CG5" s="380"/>
      <c r="CH5" s="381"/>
      <c r="CI5" s="379" t="str">
        <f>AS5</f>
        <v>AINUR</v>
      </c>
      <c r="CJ5" s="380"/>
      <c r="CK5" s="381"/>
      <c r="CL5" s="379" t="str">
        <f>AY5</f>
        <v>FAJAR</v>
      </c>
      <c r="CM5" s="380"/>
      <c r="CN5" s="381"/>
      <c r="CO5" s="379" t="str">
        <f>BE5</f>
        <v>ALIF</v>
      </c>
      <c r="CP5" s="380"/>
      <c r="CQ5" s="381"/>
    </row>
    <row r="6" spans="1:97" ht="18" thickBot="1">
      <c r="A6" s="346" t="s">
        <v>194</v>
      </c>
      <c r="B6" s="283"/>
      <c r="C6" s="272" t="s">
        <v>29</v>
      </c>
      <c r="D6" s="268" t="s">
        <v>30</v>
      </c>
      <c r="E6" s="268" t="s">
        <v>195</v>
      </c>
      <c r="F6" s="268" t="s">
        <v>196</v>
      </c>
      <c r="G6" s="268" t="s">
        <v>197</v>
      </c>
      <c r="H6" s="273" t="s">
        <v>33</v>
      </c>
      <c r="I6" s="272" t="s">
        <v>29</v>
      </c>
      <c r="J6" s="268" t="s">
        <v>30</v>
      </c>
      <c r="K6" s="268" t="s">
        <v>195</v>
      </c>
      <c r="L6" s="268" t="s">
        <v>196</v>
      </c>
      <c r="M6" s="268" t="s">
        <v>197</v>
      </c>
      <c r="N6" s="273" t="s">
        <v>33</v>
      </c>
      <c r="O6" s="272" t="s">
        <v>29</v>
      </c>
      <c r="P6" s="268" t="s">
        <v>30</v>
      </c>
      <c r="Q6" s="268" t="s">
        <v>195</v>
      </c>
      <c r="R6" s="268" t="s">
        <v>196</v>
      </c>
      <c r="S6" s="268" t="s">
        <v>197</v>
      </c>
      <c r="T6" s="273" t="s">
        <v>33</v>
      </c>
      <c r="U6" s="272" t="s">
        <v>29</v>
      </c>
      <c r="V6" s="268" t="s">
        <v>30</v>
      </c>
      <c r="W6" s="268" t="s">
        <v>195</v>
      </c>
      <c r="X6" s="268" t="s">
        <v>196</v>
      </c>
      <c r="Y6" s="268" t="s">
        <v>197</v>
      </c>
      <c r="Z6" s="273" t="s">
        <v>33</v>
      </c>
      <c r="AA6" s="272" t="s">
        <v>29</v>
      </c>
      <c r="AB6" s="268" t="s">
        <v>30</v>
      </c>
      <c r="AC6" s="268" t="s">
        <v>195</v>
      </c>
      <c r="AD6" s="268" t="s">
        <v>196</v>
      </c>
      <c r="AE6" s="268" t="s">
        <v>197</v>
      </c>
      <c r="AF6" s="273" t="s">
        <v>33</v>
      </c>
      <c r="AG6" s="272" t="s">
        <v>29</v>
      </c>
      <c r="AH6" s="268" t="s">
        <v>30</v>
      </c>
      <c r="AI6" s="268" t="s">
        <v>195</v>
      </c>
      <c r="AJ6" s="268" t="s">
        <v>196</v>
      </c>
      <c r="AK6" s="268" t="s">
        <v>197</v>
      </c>
      <c r="AL6" s="273" t="s">
        <v>33</v>
      </c>
      <c r="AM6" s="272" t="s">
        <v>29</v>
      </c>
      <c r="AN6" s="268" t="s">
        <v>30</v>
      </c>
      <c r="AO6" s="268" t="s">
        <v>195</v>
      </c>
      <c r="AP6" s="268" t="s">
        <v>196</v>
      </c>
      <c r="AQ6" s="268" t="s">
        <v>197</v>
      </c>
      <c r="AR6" s="273" t="s">
        <v>33</v>
      </c>
      <c r="AS6" s="272" t="s">
        <v>29</v>
      </c>
      <c r="AT6" s="268" t="s">
        <v>30</v>
      </c>
      <c r="AU6" s="268" t="s">
        <v>195</v>
      </c>
      <c r="AV6" s="268" t="s">
        <v>196</v>
      </c>
      <c r="AW6" s="268" t="s">
        <v>197</v>
      </c>
      <c r="AX6" s="273" t="s">
        <v>33</v>
      </c>
      <c r="AY6" s="272" t="s">
        <v>29</v>
      </c>
      <c r="AZ6" s="268" t="s">
        <v>30</v>
      </c>
      <c r="BA6" s="268" t="s">
        <v>195</v>
      </c>
      <c r="BB6" s="268" t="s">
        <v>196</v>
      </c>
      <c r="BC6" s="268" t="s">
        <v>197</v>
      </c>
      <c r="BD6" s="273" t="s">
        <v>33</v>
      </c>
      <c r="BE6" s="272" t="s">
        <v>29</v>
      </c>
      <c r="BF6" s="268" t="s">
        <v>30</v>
      </c>
      <c r="BG6" s="268" t="s">
        <v>195</v>
      </c>
      <c r="BH6" s="268" t="s">
        <v>196</v>
      </c>
      <c r="BI6" s="268" t="s">
        <v>197</v>
      </c>
      <c r="BJ6" s="273" t="s">
        <v>33</v>
      </c>
      <c r="BK6" s="99" t="s">
        <v>29</v>
      </c>
      <c r="BL6" s="94" t="s">
        <v>30</v>
      </c>
      <c r="BM6" s="100" t="s">
        <v>33</v>
      </c>
      <c r="BN6" s="99" t="s">
        <v>195</v>
      </c>
      <c r="BO6" s="94" t="s">
        <v>196</v>
      </c>
      <c r="BP6" s="100" t="s">
        <v>197</v>
      </c>
      <c r="BQ6" s="99" t="s">
        <v>195</v>
      </c>
      <c r="BR6" s="94" t="s">
        <v>196</v>
      </c>
      <c r="BS6" s="100" t="s">
        <v>197</v>
      </c>
      <c r="BT6" s="99" t="s">
        <v>195</v>
      </c>
      <c r="BU6" s="94" t="s">
        <v>196</v>
      </c>
      <c r="BV6" s="100" t="s">
        <v>197</v>
      </c>
      <c r="BW6" s="99" t="s">
        <v>195</v>
      </c>
      <c r="BX6" s="94" t="s">
        <v>196</v>
      </c>
      <c r="BY6" s="100" t="s">
        <v>197</v>
      </c>
      <c r="BZ6" s="99" t="s">
        <v>195</v>
      </c>
      <c r="CA6" s="94" t="s">
        <v>196</v>
      </c>
      <c r="CB6" s="100" t="s">
        <v>197</v>
      </c>
      <c r="CC6" s="99" t="s">
        <v>195</v>
      </c>
      <c r="CD6" s="94" t="s">
        <v>196</v>
      </c>
      <c r="CE6" s="100" t="s">
        <v>197</v>
      </c>
      <c r="CF6" s="99" t="s">
        <v>195</v>
      </c>
      <c r="CG6" s="94" t="s">
        <v>196</v>
      </c>
      <c r="CH6" s="100" t="s">
        <v>197</v>
      </c>
      <c r="CI6" s="99" t="s">
        <v>195</v>
      </c>
      <c r="CJ6" s="94" t="s">
        <v>196</v>
      </c>
      <c r="CK6" s="100" t="s">
        <v>197</v>
      </c>
      <c r="CL6" s="99" t="s">
        <v>195</v>
      </c>
      <c r="CM6" s="94" t="s">
        <v>196</v>
      </c>
      <c r="CN6" s="100" t="s">
        <v>197</v>
      </c>
      <c r="CO6" s="99" t="s">
        <v>195</v>
      </c>
      <c r="CP6" s="94" t="s">
        <v>196</v>
      </c>
      <c r="CQ6" s="100" t="s">
        <v>197</v>
      </c>
      <c r="CS6" s="346" t="s">
        <v>198</v>
      </c>
    </row>
    <row r="7" spans="1:97">
      <c r="A7" s="71" t="b">
        <f>IF(OR(D7&lt;&gt;"",AB7&lt;&gt;"",J7&lt;&gt;"",P7&lt;&gt;"",AH7&lt;&gt;"",AN7&lt;&gt;"",AZ7&lt;&gt;"",BF7&lt;&gt;"",AT7&lt;&gt;"",V7&lt;&gt;""),TRUE,FALSE)</f>
        <v>0</v>
      </c>
      <c r="B7" s="334" t="s">
        <v>36</v>
      </c>
      <c r="C7" s="335"/>
      <c r="D7" s="336"/>
      <c r="E7" s="336"/>
      <c r="F7" s="336"/>
      <c r="G7" s="336"/>
      <c r="H7" s="337"/>
      <c r="I7" s="335"/>
      <c r="J7" s="336"/>
      <c r="K7" s="336"/>
      <c r="L7" s="336"/>
      <c r="M7" s="336"/>
      <c r="N7" s="337"/>
      <c r="O7" s="338"/>
      <c r="P7" s="339"/>
      <c r="Q7" s="339"/>
      <c r="R7" s="339"/>
      <c r="S7" s="339"/>
      <c r="T7" s="338"/>
      <c r="U7" s="335"/>
      <c r="V7" s="336"/>
      <c r="W7" s="336"/>
      <c r="X7" s="336"/>
      <c r="Y7" s="336"/>
      <c r="Z7" s="337"/>
      <c r="AA7" s="338"/>
      <c r="AB7" s="339"/>
      <c r="AC7" s="339"/>
      <c r="AD7" s="339"/>
      <c r="AE7" s="339"/>
      <c r="AF7" s="338"/>
      <c r="AG7" s="335"/>
      <c r="AH7" s="336"/>
      <c r="AI7" s="336"/>
      <c r="AJ7" s="336"/>
      <c r="AK7" s="336"/>
      <c r="AL7" s="337"/>
      <c r="AM7" s="340"/>
      <c r="AN7" s="341"/>
      <c r="AO7" s="341"/>
      <c r="AP7" s="341"/>
      <c r="AQ7" s="341"/>
      <c r="AR7" s="342"/>
      <c r="AS7" s="340"/>
      <c r="AT7" s="341"/>
      <c r="AU7" s="341"/>
      <c r="AV7" s="341"/>
      <c r="AW7" s="341"/>
      <c r="AX7" s="342"/>
      <c r="AY7" s="340"/>
      <c r="AZ7" s="341"/>
      <c r="BA7" s="341"/>
      <c r="BB7" s="341"/>
      <c r="BC7" s="341"/>
      <c r="BD7" s="342"/>
      <c r="BE7" s="343"/>
      <c r="BF7" s="296"/>
      <c r="BG7" s="296"/>
      <c r="BH7" s="296"/>
      <c r="BI7" s="296"/>
      <c r="BJ7" s="297"/>
      <c r="BK7" s="301"/>
      <c r="BL7" s="299"/>
      <c r="BM7" s="300"/>
      <c r="BN7" s="301"/>
      <c r="BO7" s="299"/>
      <c r="BP7" s="300"/>
      <c r="BQ7" s="301"/>
      <c r="BR7" s="299"/>
      <c r="BS7" s="300"/>
      <c r="BT7" s="301"/>
      <c r="BU7" s="299"/>
      <c r="BV7" s="300"/>
      <c r="BW7" s="301"/>
      <c r="BX7" s="299"/>
      <c r="BY7" s="300"/>
      <c r="BZ7" s="301"/>
      <c r="CA7" s="299"/>
      <c r="CB7" s="300"/>
      <c r="CC7" s="301"/>
      <c r="CD7" s="299"/>
      <c r="CE7" s="300"/>
      <c r="CF7" s="301"/>
      <c r="CG7" s="299"/>
      <c r="CH7" s="300"/>
      <c r="CI7" s="301"/>
      <c r="CJ7" s="299"/>
      <c r="CK7" s="300"/>
      <c r="CL7" s="301"/>
      <c r="CM7" s="299"/>
      <c r="CN7" s="300"/>
      <c r="CO7" s="301"/>
      <c r="CP7" s="299"/>
      <c r="CQ7" s="300"/>
      <c r="CR7" s="90" t="str">
        <f t="shared" ref="CR7:CR31" si="0">_xlfn.TEXTBEFORE($B7,".",2)</f>
        <v>2.1</v>
      </c>
      <c r="CS7" s="71" t="b">
        <f>IF(OR(H7&lt;&gt;"",N7&lt;&gt;"",T7&lt;&gt;"",Z7&lt;&gt;"",AF7&lt;&gt;"",AL7&lt;&gt;"",AR7&lt;&gt;"",AX7&lt;&gt;"",BD7&lt;&gt;"",BJ7&lt;&gt;"",BM7&lt;&gt;""),TRUE,FALSE)</f>
        <v>0</v>
      </c>
    </row>
    <row r="8" spans="1:97">
      <c r="A8" s="71" t="b">
        <f t="shared" ref="A8:A31" si="1">IF(OR(D8&lt;&gt;"",AB8&lt;&gt;"",J8&lt;&gt;"",P8&lt;&gt;"",AH8&lt;&gt;"",AN8&lt;&gt;"",AZ8&lt;&gt;"",BF8&lt;&gt;"",AT8&lt;&gt;"",V8&lt;&gt;""),TRUE,FALSE)</f>
        <v>0</v>
      </c>
      <c r="B8" s="2" t="s">
        <v>37</v>
      </c>
      <c r="C8" s="12"/>
      <c r="D8" s="8"/>
      <c r="E8" s="8"/>
      <c r="F8" s="8"/>
      <c r="G8" s="8"/>
      <c r="H8" s="13"/>
      <c r="I8" s="12"/>
      <c r="J8" s="8"/>
      <c r="K8" s="8"/>
      <c r="L8" s="8"/>
      <c r="M8" s="8"/>
      <c r="N8" s="13"/>
      <c r="O8" s="249"/>
      <c r="P8" s="267"/>
      <c r="Q8" s="267"/>
      <c r="R8" s="267"/>
      <c r="S8" s="267"/>
      <c r="T8" s="249"/>
      <c r="U8" s="12"/>
      <c r="V8" s="8"/>
      <c r="W8" s="8"/>
      <c r="X8" s="8"/>
      <c r="Y8" s="8"/>
      <c r="Z8" s="13"/>
      <c r="AA8" s="249"/>
      <c r="AB8" s="267"/>
      <c r="AC8" s="267"/>
      <c r="AD8" s="267"/>
      <c r="AE8" s="267"/>
      <c r="AF8" s="249"/>
      <c r="AG8" s="12"/>
      <c r="AH8" s="8"/>
      <c r="AI8" s="8"/>
      <c r="AJ8" s="8"/>
      <c r="AK8" s="8"/>
      <c r="AL8" s="13"/>
      <c r="AM8" s="14"/>
      <c r="AN8" s="1"/>
      <c r="AO8" s="1"/>
      <c r="AP8" s="1"/>
      <c r="AQ8" s="1"/>
      <c r="AR8" s="15"/>
      <c r="AS8" s="14"/>
      <c r="AT8" s="1"/>
      <c r="AU8" s="1"/>
      <c r="AV8" s="1"/>
      <c r="AW8" s="1"/>
      <c r="AX8" s="15"/>
      <c r="AY8" s="14"/>
      <c r="AZ8" s="1"/>
      <c r="BA8" s="1"/>
      <c r="BB8" s="1"/>
      <c r="BC8" s="1"/>
      <c r="BD8" s="15"/>
      <c r="BE8" s="106"/>
      <c r="BF8" s="22"/>
      <c r="BG8" s="22"/>
      <c r="BH8" s="22"/>
      <c r="BI8" s="22"/>
      <c r="BJ8" s="105"/>
      <c r="BK8" s="223"/>
      <c r="BL8" s="23"/>
      <c r="BM8" s="225"/>
      <c r="BN8" s="223"/>
      <c r="BO8" s="23"/>
      <c r="BP8" s="225"/>
      <c r="BQ8" s="223"/>
      <c r="BR8" s="23"/>
      <c r="BS8" s="225"/>
      <c r="BT8" s="223"/>
      <c r="BU8" s="23"/>
      <c r="BV8" s="225"/>
      <c r="BW8" s="223"/>
      <c r="BX8" s="23"/>
      <c r="BY8" s="225"/>
      <c r="BZ8" s="223"/>
      <c r="CA8" s="23"/>
      <c r="CB8" s="225"/>
      <c r="CC8" s="223"/>
      <c r="CD8" s="23"/>
      <c r="CE8" s="225"/>
      <c r="CF8" s="223"/>
      <c r="CG8" s="23"/>
      <c r="CH8" s="225"/>
      <c r="CI8" s="223"/>
      <c r="CJ8" s="23"/>
      <c r="CK8" s="225"/>
      <c r="CL8" s="223"/>
      <c r="CM8" s="23"/>
      <c r="CN8" s="225"/>
      <c r="CO8" s="223"/>
      <c r="CP8" s="23"/>
      <c r="CQ8" s="225"/>
      <c r="CR8" s="90" t="str">
        <f t="shared" si="0"/>
        <v>2.1</v>
      </c>
      <c r="CS8" s="71" t="b">
        <f t="shared" ref="CS8:CS31" si="2">IF(OR(H8&lt;&gt;"",N8&lt;&gt;"",T8&lt;&gt;"",Z8&lt;&gt;"",AF8&lt;&gt;"",AL8&lt;&gt;"",AR8&lt;&gt;"",AX8&lt;&gt;"",BD8&lt;&gt;"",BJ8&lt;&gt;"",BM8&lt;&gt;""),TRUE,FALSE)</f>
        <v>0</v>
      </c>
    </row>
    <row r="9" spans="1:97">
      <c r="A9" s="71" t="b">
        <f t="shared" si="1"/>
        <v>1</v>
      </c>
      <c r="B9" s="2" t="s">
        <v>39</v>
      </c>
      <c r="C9" s="12"/>
      <c r="D9" s="8"/>
      <c r="E9" s="8"/>
      <c r="F9" s="8"/>
      <c r="G9" s="8"/>
      <c r="H9" s="13"/>
      <c r="I9" s="12"/>
      <c r="J9" s="8"/>
      <c r="K9" s="8"/>
      <c r="L9" s="8"/>
      <c r="M9" s="8"/>
      <c r="N9" s="13"/>
      <c r="O9" s="249"/>
      <c r="P9" s="267"/>
      <c r="Q9" s="267"/>
      <c r="R9" s="267"/>
      <c r="S9" s="267"/>
      <c r="T9" s="249"/>
      <c r="U9" s="12"/>
      <c r="V9" s="8"/>
      <c r="W9" s="8"/>
      <c r="X9" s="8"/>
      <c r="Y9" s="8"/>
      <c r="Z9" s="13"/>
      <c r="AA9" s="249"/>
      <c r="AB9" s="267"/>
      <c r="AC9" s="267"/>
      <c r="AD9" s="267"/>
      <c r="AE9" s="267"/>
      <c r="AF9" s="249"/>
      <c r="AG9" s="12"/>
      <c r="AH9" s="8"/>
      <c r="AI9" s="8"/>
      <c r="AJ9" s="8"/>
      <c r="AK9" s="8"/>
      <c r="AL9" s="13"/>
      <c r="AM9" s="14" t="s">
        <v>176</v>
      </c>
      <c r="AN9" s="1" t="s">
        <v>176</v>
      </c>
      <c r="AO9" s="1" t="s">
        <v>176</v>
      </c>
      <c r="AP9" s="1"/>
      <c r="AQ9" s="1"/>
      <c r="AR9" s="15"/>
      <c r="AS9" s="14" t="s">
        <v>176</v>
      </c>
      <c r="AT9" s="1" t="s">
        <v>176</v>
      </c>
      <c r="AU9" s="1" t="s">
        <v>176</v>
      </c>
      <c r="AV9" s="1"/>
      <c r="AW9" s="1"/>
      <c r="AX9" s="15"/>
      <c r="AY9" s="14" t="s">
        <v>176</v>
      </c>
      <c r="AZ9" s="1" t="s">
        <v>29</v>
      </c>
      <c r="BA9" s="1"/>
      <c r="BB9" s="1"/>
      <c r="BC9" s="1"/>
      <c r="BD9" s="15"/>
      <c r="BE9" s="106"/>
      <c r="BF9" s="22"/>
      <c r="BG9" s="22"/>
      <c r="BH9" s="22"/>
      <c r="BI9" s="22"/>
      <c r="BJ9" s="105"/>
      <c r="BK9" s="223">
        <v>46120</v>
      </c>
      <c r="BL9" s="23">
        <v>46121</v>
      </c>
      <c r="BM9" s="225"/>
      <c r="BN9" s="223"/>
      <c r="BO9" s="23"/>
      <c r="BP9" s="225"/>
      <c r="BQ9" s="223"/>
      <c r="BR9" s="23"/>
      <c r="BS9" s="225"/>
      <c r="BT9" s="223"/>
      <c r="BU9" s="23"/>
      <c r="BV9" s="225"/>
      <c r="BW9" s="223"/>
      <c r="BX9" s="23"/>
      <c r="BY9" s="225"/>
      <c r="BZ9" s="223"/>
      <c r="CA9" s="23"/>
      <c r="CB9" s="225"/>
      <c r="CC9" s="223"/>
      <c r="CD9" s="23"/>
      <c r="CE9" s="225"/>
      <c r="CF9" s="223">
        <v>46147</v>
      </c>
      <c r="CG9" s="23"/>
      <c r="CH9" s="225"/>
      <c r="CI9" s="223">
        <v>46149</v>
      </c>
      <c r="CJ9" s="23"/>
      <c r="CK9" s="225"/>
      <c r="CL9" s="223"/>
      <c r="CM9" s="23"/>
      <c r="CN9" s="225"/>
      <c r="CO9" s="223"/>
      <c r="CP9" s="23"/>
      <c r="CQ9" s="225"/>
      <c r="CR9" s="90" t="str">
        <f t="shared" si="0"/>
        <v>2.1</v>
      </c>
      <c r="CS9" s="71" t="b">
        <f t="shared" si="2"/>
        <v>0</v>
      </c>
    </row>
    <row r="10" spans="1:97">
      <c r="A10" s="71" t="b">
        <f t="shared" si="1"/>
        <v>1</v>
      </c>
      <c r="B10" s="2" t="s">
        <v>40</v>
      </c>
      <c r="C10" s="12" t="s">
        <v>180</v>
      </c>
      <c r="D10" s="8" t="s">
        <v>180</v>
      </c>
      <c r="E10" s="8"/>
      <c r="F10" s="8"/>
      <c r="G10" s="8"/>
      <c r="H10" s="13"/>
      <c r="I10" s="12"/>
      <c r="J10" s="8"/>
      <c r="K10" s="8"/>
      <c r="L10" s="8"/>
      <c r="M10" s="8"/>
      <c r="N10" s="13"/>
      <c r="O10" s="249"/>
      <c r="P10" s="267"/>
      <c r="Q10" s="267"/>
      <c r="R10" s="267"/>
      <c r="S10" s="267"/>
      <c r="T10" s="249"/>
      <c r="U10" s="12"/>
      <c r="V10" s="8"/>
      <c r="W10" s="8" t="s">
        <v>180</v>
      </c>
      <c r="X10" s="8"/>
      <c r="Y10" s="8"/>
      <c r="Z10" s="13"/>
      <c r="AA10" s="249"/>
      <c r="AB10" s="267"/>
      <c r="AC10" s="267"/>
      <c r="AD10" s="267"/>
      <c r="AE10" s="267"/>
      <c r="AF10" s="249"/>
      <c r="AG10" s="12"/>
      <c r="AH10" s="8"/>
      <c r="AI10" s="8"/>
      <c r="AJ10" s="8"/>
      <c r="AK10" s="8"/>
      <c r="AL10" s="13"/>
      <c r="AM10" s="14" t="s">
        <v>176</v>
      </c>
      <c r="AN10" s="1" t="s">
        <v>176</v>
      </c>
      <c r="AO10" s="1" t="s">
        <v>176</v>
      </c>
      <c r="AP10" s="1"/>
      <c r="AQ10" s="1"/>
      <c r="AR10" s="15"/>
      <c r="AS10" s="14" t="s">
        <v>176</v>
      </c>
      <c r="AT10" s="1" t="s">
        <v>176</v>
      </c>
      <c r="AU10" s="1" t="s">
        <v>176</v>
      </c>
      <c r="AV10" s="1"/>
      <c r="AW10" s="1"/>
      <c r="AX10" s="15"/>
      <c r="AY10" s="14" t="s">
        <v>29</v>
      </c>
      <c r="AZ10" s="1" t="s">
        <v>29</v>
      </c>
      <c r="BA10" s="1"/>
      <c r="BB10" s="1"/>
      <c r="BC10" s="1"/>
      <c r="BD10" s="15"/>
      <c r="BE10" s="106"/>
      <c r="BF10" s="22"/>
      <c r="BG10" s="22"/>
      <c r="BH10" s="22"/>
      <c r="BI10" s="22"/>
      <c r="BJ10" s="105"/>
      <c r="BK10" s="223">
        <v>46121</v>
      </c>
      <c r="BL10" s="23">
        <v>46125</v>
      </c>
      <c r="BM10" s="225"/>
      <c r="BN10" s="223"/>
      <c r="BO10" s="23"/>
      <c r="BP10" s="225"/>
      <c r="BQ10" s="223"/>
      <c r="BR10" s="23"/>
      <c r="BS10" s="225"/>
      <c r="BT10" s="223"/>
      <c r="BU10" s="23"/>
      <c r="BV10" s="225"/>
      <c r="BW10" s="223"/>
      <c r="BX10" s="23"/>
      <c r="BY10" s="225"/>
      <c r="BZ10" s="223"/>
      <c r="CA10" s="23"/>
      <c r="CB10" s="225"/>
      <c r="CC10" s="223"/>
      <c r="CD10" s="23"/>
      <c r="CE10" s="225"/>
      <c r="CF10" s="223">
        <v>46161</v>
      </c>
      <c r="CG10" s="23"/>
      <c r="CH10" s="225"/>
      <c r="CI10" s="223">
        <v>46162</v>
      </c>
      <c r="CJ10" s="23"/>
      <c r="CK10" s="225"/>
      <c r="CL10" s="223"/>
      <c r="CM10" s="23"/>
      <c r="CN10" s="225"/>
      <c r="CO10" s="223"/>
      <c r="CP10" s="23"/>
      <c r="CQ10" s="225"/>
      <c r="CR10" s="90" t="str">
        <f t="shared" si="0"/>
        <v>2.1</v>
      </c>
      <c r="CS10" s="71" t="b">
        <f t="shared" si="2"/>
        <v>0</v>
      </c>
    </row>
    <row r="11" spans="1:97">
      <c r="A11" s="71" t="b">
        <f t="shared" si="1"/>
        <v>0</v>
      </c>
      <c r="B11" s="2" t="s">
        <v>41</v>
      </c>
      <c r="C11" s="12"/>
      <c r="D11" s="8"/>
      <c r="E11" s="8"/>
      <c r="F11" s="8"/>
      <c r="G11" s="8"/>
      <c r="H11" s="13"/>
      <c r="I11" s="12"/>
      <c r="J11" s="8"/>
      <c r="K11" s="8"/>
      <c r="L11" s="8"/>
      <c r="M11" s="8"/>
      <c r="N11" s="13"/>
      <c r="O11" s="249"/>
      <c r="P11" s="267"/>
      <c r="Q11" s="267"/>
      <c r="R11" s="267"/>
      <c r="S11" s="267"/>
      <c r="T11" s="249"/>
      <c r="U11" s="12"/>
      <c r="V11" s="8"/>
      <c r="W11" s="8"/>
      <c r="X11" s="8"/>
      <c r="Y11" s="8"/>
      <c r="Z11" s="13"/>
      <c r="AA11" s="249"/>
      <c r="AB11" s="267"/>
      <c r="AC11" s="267"/>
      <c r="AD11" s="267"/>
      <c r="AE11" s="267"/>
      <c r="AF11" s="249"/>
      <c r="AG11" s="12"/>
      <c r="AH11" s="8"/>
      <c r="AI11" s="8"/>
      <c r="AJ11" s="8"/>
      <c r="AK11" s="8"/>
      <c r="AL11" s="13"/>
      <c r="AM11" s="14"/>
      <c r="AN11" s="1"/>
      <c r="AO11" s="1"/>
      <c r="AP11" s="1"/>
      <c r="AQ11" s="1"/>
      <c r="AR11" s="15"/>
      <c r="AS11" s="14"/>
      <c r="AT11" s="1"/>
      <c r="AU11" s="1"/>
      <c r="AV11" s="1"/>
      <c r="AW11" s="1"/>
      <c r="AX11" s="15"/>
      <c r="AY11" s="14"/>
      <c r="AZ11" s="1"/>
      <c r="BA11" s="1"/>
      <c r="BB11" s="1"/>
      <c r="BC11" s="1"/>
      <c r="BD11" s="15"/>
      <c r="BE11" s="106"/>
      <c r="BF11" s="22"/>
      <c r="BG11" s="22"/>
      <c r="BH11" s="22"/>
      <c r="BI11" s="22"/>
      <c r="BJ11" s="105"/>
      <c r="BK11" s="223"/>
      <c r="BL11" s="23"/>
      <c r="BM11" s="225"/>
      <c r="BN11" s="223"/>
      <c r="BO11" s="23"/>
      <c r="BP11" s="225"/>
      <c r="BQ11" s="223"/>
      <c r="BR11" s="23"/>
      <c r="BS11" s="225"/>
      <c r="BT11" s="223"/>
      <c r="BU11" s="23"/>
      <c r="BV11" s="225"/>
      <c r="BW11" s="223"/>
      <c r="BX11" s="23"/>
      <c r="BY11" s="225"/>
      <c r="BZ11" s="223"/>
      <c r="CA11" s="23"/>
      <c r="CB11" s="225"/>
      <c r="CC11" s="223"/>
      <c r="CD11" s="23"/>
      <c r="CE11" s="225"/>
      <c r="CF11" s="223"/>
      <c r="CG11" s="23"/>
      <c r="CH11" s="225"/>
      <c r="CI11" s="223"/>
      <c r="CJ11" s="23"/>
      <c r="CK11" s="225"/>
      <c r="CL11" s="223"/>
      <c r="CM11" s="23"/>
      <c r="CN11" s="225"/>
      <c r="CO11" s="223"/>
      <c r="CP11" s="23"/>
      <c r="CQ11" s="225"/>
      <c r="CR11" s="90" t="str">
        <f t="shared" si="0"/>
        <v>2.1</v>
      </c>
      <c r="CS11" s="71" t="b">
        <f t="shared" si="2"/>
        <v>0</v>
      </c>
    </row>
    <row r="12" spans="1:97">
      <c r="A12" s="71" t="b">
        <f t="shared" si="1"/>
        <v>0</v>
      </c>
      <c r="B12" s="2" t="s">
        <v>44</v>
      </c>
      <c r="C12" s="12"/>
      <c r="D12" s="8"/>
      <c r="E12" s="8"/>
      <c r="F12" s="8"/>
      <c r="G12" s="8"/>
      <c r="H12" s="13"/>
      <c r="I12" s="12"/>
      <c r="J12" s="8"/>
      <c r="K12" s="8"/>
      <c r="L12" s="8"/>
      <c r="M12" s="8"/>
      <c r="N12" s="13"/>
      <c r="O12" s="249"/>
      <c r="P12" s="267"/>
      <c r="Q12" s="267"/>
      <c r="R12" s="267"/>
      <c r="S12" s="267"/>
      <c r="T12" s="249"/>
      <c r="U12" s="12"/>
      <c r="V12" s="8"/>
      <c r="W12" s="8"/>
      <c r="X12" s="8"/>
      <c r="Y12" s="8"/>
      <c r="Z12" s="13"/>
      <c r="AA12" s="249"/>
      <c r="AB12" s="267"/>
      <c r="AC12" s="267"/>
      <c r="AD12" s="267"/>
      <c r="AE12" s="267"/>
      <c r="AF12" s="249"/>
      <c r="AG12" s="12"/>
      <c r="AH12" s="8"/>
      <c r="AI12" s="8"/>
      <c r="AJ12" s="8"/>
      <c r="AK12" s="8"/>
      <c r="AL12" s="13"/>
      <c r="AM12" s="14"/>
      <c r="AN12" s="1"/>
      <c r="AO12" s="1"/>
      <c r="AP12" s="1"/>
      <c r="AQ12" s="1"/>
      <c r="AR12" s="15"/>
      <c r="AS12" s="14"/>
      <c r="AT12" s="1"/>
      <c r="AU12" s="1"/>
      <c r="AV12" s="1"/>
      <c r="AW12" s="1"/>
      <c r="AX12" s="15"/>
      <c r="AY12" s="14"/>
      <c r="AZ12" s="1"/>
      <c r="BA12" s="1"/>
      <c r="BB12" s="1"/>
      <c r="BC12" s="1"/>
      <c r="BD12" s="15"/>
      <c r="BE12" s="106"/>
      <c r="BF12" s="22"/>
      <c r="BG12" s="22"/>
      <c r="BH12" s="22"/>
      <c r="BI12" s="22"/>
      <c r="BJ12" s="105"/>
      <c r="BK12" s="223"/>
      <c r="BL12" s="23"/>
      <c r="BM12" s="225"/>
      <c r="BN12" s="223"/>
      <c r="BO12" s="23"/>
      <c r="BP12" s="225"/>
      <c r="BQ12" s="223"/>
      <c r="BR12" s="23"/>
      <c r="BS12" s="225"/>
      <c r="BT12" s="223"/>
      <c r="BU12" s="23"/>
      <c r="BV12" s="225"/>
      <c r="BW12" s="223"/>
      <c r="BX12" s="23"/>
      <c r="BY12" s="225"/>
      <c r="BZ12" s="223"/>
      <c r="CA12" s="23"/>
      <c r="CB12" s="225"/>
      <c r="CC12" s="223"/>
      <c r="CD12" s="23"/>
      <c r="CE12" s="225"/>
      <c r="CF12" s="223"/>
      <c r="CG12" s="23"/>
      <c r="CH12" s="225"/>
      <c r="CI12" s="223"/>
      <c r="CJ12" s="23"/>
      <c r="CK12" s="225"/>
      <c r="CL12" s="223"/>
      <c r="CM12" s="23"/>
      <c r="CN12" s="225"/>
      <c r="CO12" s="223"/>
      <c r="CP12" s="23"/>
      <c r="CQ12" s="225"/>
      <c r="CR12" s="90" t="str">
        <f t="shared" si="0"/>
        <v>2.3</v>
      </c>
      <c r="CS12" s="71" t="b">
        <f t="shared" si="2"/>
        <v>0</v>
      </c>
    </row>
    <row r="13" spans="1:97">
      <c r="A13" s="71" t="b">
        <f t="shared" si="1"/>
        <v>0</v>
      </c>
      <c r="B13" s="2" t="s">
        <v>45</v>
      </c>
      <c r="C13" s="12"/>
      <c r="D13" s="8"/>
      <c r="E13" s="8"/>
      <c r="F13" s="8"/>
      <c r="G13" s="8"/>
      <c r="H13" s="13"/>
      <c r="I13" s="12"/>
      <c r="J13" s="8"/>
      <c r="K13" s="8"/>
      <c r="L13" s="8"/>
      <c r="M13" s="8"/>
      <c r="N13" s="13"/>
      <c r="O13" s="249"/>
      <c r="P13" s="267"/>
      <c r="Q13" s="267"/>
      <c r="R13" s="267"/>
      <c r="S13" s="267"/>
      <c r="T13" s="249"/>
      <c r="U13" s="12"/>
      <c r="V13" s="8"/>
      <c r="W13" s="8"/>
      <c r="X13" s="8"/>
      <c r="Y13" s="8"/>
      <c r="Z13" s="13"/>
      <c r="AA13" s="249"/>
      <c r="AB13" s="267"/>
      <c r="AC13" s="267"/>
      <c r="AD13" s="267"/>
      <c r="AE13" s="267"/>
      <c r="AF13" s="249"/>
      <c r="AG13" s="12"/>
      <c r="AH13" s="8"/>
      <c r="AI13" s="8"/>
      <c r="AJ13" s="8"/>
      <c r="AK13" s="8"/>
      <c r="AL13" s="13"/>
      <c r="AM13" s="14"/>
      <c r="AN13" s="1"/>
      <c r="AO13" s="1"/>
      <c r="AP13" s="1"/>
      <c r="AQ13" s="1"/>
      <c r="AR13" s="15"/>
      <c r="AS13" s="14"/>
      <c r="AT13" s="1"/>
      <c r="AU13" s="1"/>
      <c r="AV13" s="1"/>
      <c r="AW13" s="1"/>
      <c r="AX13" s="15"/>
      <c r="AY13" s="14"/>
      <c r="AZ13" s="1"/>
      <c r="BA13" s="1"/>
      <c r="BB13" s="1"/>
      <c r="BC13" s="1"/>
      <c r="BD13" s="15"/>
      <c r="BE13" s="106"/>
      <c r="BF13" s="22"/>
      <c r="BG13" s="22"/>
      <c r="BH13" s="22"/>
      <c r="BI13" s="22"/>
      <c r="BJ13" s="105"/>
      <c r="BK13" s="223"/>
      <c r="BL13" s="23"/>
      <c r="BM13" s="225"/>
      <c r="BN13" s="223"/>
      <c r="BO13" s="23"/>
      <c r="BP13" s="225"/>
      <c r="BQ13" s="223"/>
      <c r="BR13" s="23"/>
      <c r="BS13" s="225"/>
      <c r="BT13" s="223"/>
      <c r="BU13" s="23"/>
      <c r="BV13" s="225"/>
      <c r="BW13" s="223"/>
      <c r="BX13" s="23"/>
      <c r="BY13" s="225"/>
      <c r="BZ13" s="223"/>
      <c r="CA13" s="23"/>
      <c r="CB13" s="225"/>
      <c r="CC13" s="223"/>
      <c r="CD13" s="23"/>
      <c r="CE13" s="225"/>
      <c r="CF13" s="223"/>
      <c r="CG13" s="23"/>
      <c r="CH13" s="225"/>
      <c r="CI13" s="223"/>
      <c r="CJ13" s="23"/>
      <c r="CK13" s="225"/>
      <c r="CL13" s="223"/>
      <c r="CM13" s="23"/>
      <c r="CN13" s="225"/>
      <c r="CO13" s="223"/>
      <c r="CP13" s="23"/>
      <c r="CQ13" s="225"/>
      <c r="CR13" s="90" t="str">
        <f t="shared" si="0"/>
        <v>2.3</v>
      </c>
      <c r="CS13" s="71" t="b">
        <f t="shared" si="2"/>
        <v>0</v>
      </c>
    </row>
    <row r="14" spans="1:97">
      <c r="A14" s="71" t="b">
        <f t="shared" si="1"/>
        <v>0</v>
      </c>
      <c r="B14" s="2" t="s">
        <v>46</v>
      </c>
      <c r="C14" s="12"/>
      <c r="D14" s="8"/>
      <c r="E14" s="8"/>
      <c r="F14" s="8"/>
      <c r="G14" s="8"/>
      <c r="H14" s="13"/>
      <c r="I14" s="12"/>
      <c r="J14" s="8"/>
      <c r="K14" s="8"/>
      <c r="L14" s="8"/>
      <c r="M14" s="8"/>
      <c r="N14" s="13"/>
      <c r="O14" s="249"/>
      <c r="P14" s="267"/>
      <c r="Q14" s="267"/>
      <c r="R14" s="267"/>
      <c r="S14" s="267"/>
      <c r="T14" s="249"/>
      <c r="U14" s="12"/>
      <c r="V14" s="8"/>
      <c r="W14" s="8"/>
      <c r="X14" s="8"/>
      <c r="Y14" s="8"/>
      <c r="Z14" s="13"/>
      <c r="AA14" s="249"/>
      <c r="AB14" s="267"/>
      <c r="AC14" s="267"/>
      <c r="AD14" s="267"/>
      <c r="AE14" s="267"/>
      <c r="AF14" s="249"/>
      <c r="AG14" s="12"/>
      <c r="AH14" s="8"/>
      <c r="AI14" s="8"/>
      <c r="AJ14" s="8"/>
      <c r="AK14" s="8"/>
      <c r="AL14" s="13"/>
      <c r="AM14" s="14"/>
      <c r="AN14" s="1"/>
      <c r="AO14" s="1"/>
      <c r="AP14" s="1"/>
      <c r="AQ14" s="1"/>
      <c r="AR14" s="15"/>
      <c r="AS14" s="14"/>
      <c r="AT14" s="1"/>
      <c r="AU14" s="1"/>
      <c r="AV14" s="1"/>
      <c r="AW14" s="1"/>
      <c r="AX14" s="15"/>
      <c r="AY14" s="14"/>
      <c r="AZ14" s="1"/>
      <c r="BA14" s="1"/>
      <c r="BB14" s="1"/>
      <c r="BC14" s="1"/>
      <c r="BD14" s="15"/>
      <c r="BE14" s="106"/>
      <c r="BF14" s="22"/>
      <c r="BG14" s="22"/>
      <c r="BH14" s="22"/>
      <c r="BI14" s="22"/>
      <c r="BJ14" s="105"/>
      <c r="BK14" s="223"/>
      <c r="BL14" s="23"/>
      <c r="BM14" s="225"/>
      <c r="BN14" s="223"/>
      <c r="BO14" s="23"/>
      <c r="BP14" s="225"/>
      <c r="BQ14" s="223"/>
      <c r="BR14" s="23"/>
      <c r="BS14" s="225"/>
      <c r="BT14" s="223"/>
      <c r="BU14" s="23"/>
      <c r="BV14" s="225"/>
      <c r="BW14" s="223"/>
      <c r="BX14" s="23"/>
      <c r="BY14" s="225"/>
      <c r="BZ14" s="223"/>
      <c r="CA14" s="23"/>
      <c r="CB14" s="225"/>
      <c r="CC14" s="223"/>
      <c r="CD14" s="23"/>
      <c r="CE14" s="225"/>
      <c r="CF14" s="223"/>
      <c r="CG14" s="23"/>
      <c r="CH14" s="225"/>
      <c r="CI14" s="223"/>
      <c r="CJ14" s="23"/>
      <c r="CK14" s="225"/>
      <c r="CL14" s="223"/>
      <c r="CM14" s="23"/>
      <c r="CN14" s="225"/>
      <c r="CO14" s="223"/>
      <c r="CP14" s="23"/>
      <c r="CQ14" s="225"/>
      <c r="CR14" s="90" t="str">
        <f t="shared" si="0"/>
        <v>2.3</v>
      </c>
      <c r="CS14" s="71" t="b">
        <f t="shared" si="2"/>
        <v>0</v>
      </c>
    </row>
    <row r="15" spans="1:97">
      <c r="A15" s="71" t="b">
        <f t="shared" si="1"/>
        <v>0</v>
      </c>
      <c r="B15" s="2" t="s">
        <v>48</v>
      </c>
      <c r="C15" s="12"/>
      <c r="D15" s="8"/>
      <c r="E15" s="8"/>
      <c r="F15" s="8"/>
      <c r="G15" s="8"/>
      <c r="H15" s="13"/>
      <c r="I15" s="12"/>
      <c r="J15" s="8"/>
      <c r="K15" s="8"/>
      <c r="L15" s="8"/>
      <c r="M15" s="8"/>
      <c r="N15" s="13"/>
      <c r="O15" s="249"/>
      <c r="P15" s="267"/>
      <c r="Q15" s="267"/>
      <c r="R15" s="267"/>
      <c r="S15" s="267"/>
      <c r="T15" s="249"/>
      <c r="U15" s="12"/>
      <c r="V15" s="8"/>
      <c r="W15" s="8"/>
      <c r="X15" s="8"/>
      <c r="Y15" s="8"/>
      <c r="Z15" s="13"/>
      <c r="AA15" s="249"/>
      <c r="AB15" s="267"/>
      <c r="AC15" s="267"/>
      <c r="AD15" s="267"/>
      <c r="AE15" s="267"/>
      <c r="AF15" s="249"/>
      <c r="AG15" s="12"/>
      <c r="AH15" s="8"/>
      <c r="AI15" s="8"/>
      <c r="AJ15" s="8"/>
      <c r="AK15" s="8"/>
      <c r="AL15" s="13"/>
      <c r="AM15" s="14"/>
      <c r="AN15" s="1"/>
      <c r="AO15" s="1"/>
      <c r="AP15" s="1"/>
      <c r="AQ15" s="1"/>
      <c r="AR15" s="15"/>
      <c r="AS15" s="14"/>
      <c r="AT15" s="1"/>
      <c r="AU15" s="1"/>
      <c r="AV15" s="1"/>
      <c r="AW15" s="1"/>
      <c r="AX15" s="15"/>
      <c r="AY15" s="14"/>
      <c r="AZ15" s="1"/>
      <c r="BA15" s="1"/>
      <c r="BB15" s="1"/>
      <c r="BC15" s="1"/>
      <c r="BD15" s="15"/>
      <c r="BE15" s="106"/>
      <c r="BF15" s="22"/>
      <c r="BG15" s="22"/>
      <c r="BH15" s="22"/>
      <c r="BI15" s="22"/>
      <c r="BJ15" s="105"/>
      <c r="BK15" s="223"/>
      <c r="BL15" s="23"/>
      <c r="BM15" s="225"/>
      <c r="BN15" s="223"/>
      <c r="BO15" s="23"/>
      <c r="BP15" s="225"/>
      <c r="BQ15" s="223"/>
      <c r="BR15" s="23"/>
      <c r="BS15" s="225"/>
      <c r="BT15" s="223"/>
      <c r="BU15" s="23"/>
      <c r="BV15" s="225"/>
      <c r="BW15" s="223"/>
      <c r="BX15" s="23"/>
      <c r="BY15" s="225"/>
      <c r="BZ15" s="223"/>
      <c r="CA15" s="23"/>
      <c r="CB15" s="225"/>
      <c r="CC15" s="223"/>
      <c r="CD15" s="23"/>
      <c r="CE15" s="225"/>
      <c r="CF15" s="223"/>
      <c r="CG15" s="23"/>
      <c r="CH15" s="225"/>
      <c r="CI15" s="223"/>
      <c r="CJ15" s="23"/>
      <c r="CK15" s="225"/>
      <c r="CL15" s="223"/>
      <c r="CM15" s="23"/>
      <c r="CN15" s="225"/>
      <c r="CO15" s="223"/>
      <c r="CP15" s="23"/>
      <c r="CQ15" s="225"/>
      <c r="CR15" s="90" t="str">
        <f t="shared" si="0"/>
        <v>2.5</v>
      </c>
      <c r="CS15" s="71" t="b">
        <f t="shared" si="2"/>
        <v>0</v>
      </c>
    </row>
    <row r="16" spans="1:97">
      <c r="A16" s="71" t="b">
        <f t="shared" si="1"/>
        <v>1</v>
      </c>
      <c r="B16" s="2" t="s">
        <v>51</v>
      </c>
      <c r="C16" s="12"/>
      <c r="D16" s="8"/>
      <c r="E16" s="8" t="s">
        <v>180</v>
      </c>
      <c r="F16" s="8"/>
      <c r="G16" s="8"/>
      <c r="H16" s="13"/>
      <c r="I16" s="12"/>
      <c r="J16" s="8"/>
      <c r="K16" s="8" t="s">
        <v>180</v>
      </c>
      <c r="L16" s="8"/>
      <c r="M16" s="8"/>
      <c r="N16" s="13"/>
      <c r="O16" s="249"/>
      <c r="P16" s="267"/>
      <c r="Q16" s="267"/>
      <c r="R16" s="267"/>
      <c r="S16" s="267"/>
      <c r="T16" s="249"/>
      <c r="U16" s="14" t="s">
        <v>176</v>
      </c>
      <c r="V16" s="1" t="s">
        <v>176</v>
      </c>
      <c r="W16" s="1" t="s">
        <v>176</v>
      </c>
      <c r="X16" s="1"/>
      <c r="Y16" s="1"/>
      <c r="Z16" s="15"/>
      <c r="AA16" s="250"/>
      <c r="AB16" s="194"/>
      <c r="AC16" s="194"/>
      <c r="AD16" s="194"/>
      <c r="AE16" s="194"/>
      <c r="AF16" s="250"/>
      <c r="AG16" s="14" t="s">
        <v>176</v>
      </c>
      <c r="AH16" s="1" t="s">
        <v>176</v>
      </c>
      <c r="AI16" s="1" t="s">
        <v>174</v>
      </c>
      <c r="AJ16" s="1" t="s">
        <v>176</v>
      </c>
      <c r="AK16" s="1"/>
      <c r="AL16" s="15"/>
      <c r="AM16" s="12"/>
      <c r="AN16" s="8"/>
      <c r="AO16" s="8"/>
      <c r="AP16" s="8"/>
      <c r="AQ16" s="8"/>
      <c r="AR16" s="13"/>
      <c r="AS16" s="12"/>
      <c r="AT16" s="8"/>
      <c r="AU16" s="8"/>
      <c r="AV16" s="8"/>
      <c r="AW16" s="8"/>
      <c r="AX16" s="13"/>
      <c r="AY16" s="12"/>
      <c r="AZ16" s="8"/>
      <c r="BA16" s="8"/>
      <c r="BB16" s="8"/>
      <c r="BC16" s="8"/>
      <c r="BD16" s="13"/>
      <c r="BE16" s="106"/>
      <c r="BF16" s="22"/>
      <c r="BG16" s="22"/>
      <c r="BH16" s="22"/>
      <c r="BI16" s="22"/>
      <c r="BJ16" s="105"/>
      <c r="BK16" s="223">
        <v>46044</v>
      </c>
      <c r="BL16" s="23">
        <v>46085</v>
      </c>
      <c r="BM16" s="225"/>
      <c r="BN16" s="223"/>
      <c r="BO16" s="23"/>
      <c r="BP16" s="225"/>
      <c r="BQ16" s="223"/>
      <c r="BR16" s="23"/>
      <c r="BS16" s="225"/>
      <c r="BT16" s="223"/>
      <c r="BU16" s="23"/>
      <c r="BV16" s="225"/>
      <c r="BW16" s="223">
        <v>46139</v>
      </c>
      <c r="BX16" s="23"/>
      <c r="BY16" s="225"/>
      <c r="BZ16" s="223"/>
      <c r="CA16" s="23"/>
      <c r="CB16" s="225"/>
      <c r="CC16" s="223">
        <v>46163</v>
      </c>
      <c r="CD16" s="23">
        <v>46182</v>
      </c>
      <c r="CE16" s="225"/>
      <c r="CF16" s="223"/>
      <c r="CG16" s="23"/>
      <c r="CH16" s="225"/>
      <c r="CI16" s="223"/>
      <c r="CJ16" s="23"/>
      <c r="CK16" s="225"/>
      <c r="CL16" s="223"/>
      <c r="CM16" s="23"/>
      <c r="CN16" s="225"/>
      <c r="CO16" s="223"/>
      <c r="CP16" s="23"/>
      <c r="CQ16" s="225"/>
      <c r="CR16" s="90" t="str">
        <f t="shared" si="0"/>
        <v>3A.3</v>
      </c>
      <c r="CS16" s="71" t="b">
        <f t="shared" si="2"/>
        <v>0</v>
      </c>
    </row>
    <row r="17" spans="1:97">
      <c r="A17" s="71" t="b">
        <f t="shared" si="1"/>
        <v>1</v>
      </c>
      <c r="B17" s="2" t="s">
        <v>52</v>
      </c>
      <c r="C17" s="12"/>
      <c r="D17" s="8"/>
      <c r="E17" s="8"/>
      <c r="F17" s="8"/>
      <c r="G17" s="8"/>
      <c r="H17" s="13"/>
      <c r="I17" s="12"/>
      <c r="J17" s="8"/>
      <c r="K17" s="8"/>
      <c r="L17" s="8"/>
      <c r="M17" s="8"/>
      <c r="N17" s="13"/>
      <c r="O17" s="249"/>
      <c r="P17" s="267"/>
      <c r="Q17" s="267"/>
      <c r="R17" s="267"/>
      <c r="S17" s="267"/>
      <c r="T17" s="249"/>
      <c r="U17" s="14" t="s">
        <v>176</v>
      </c>
      <c r="V17" s="1" t="s">
        <v>176</v>
      </c>
      <c r="W17" s="1" t="s">
        <v>176</v>
      </c>
      <c r="X17" s="1"/>
      <c r="Y17" s="1"/>
      <c r="Z17" s="15"/>
      <c r="AA17" s="250"/>
      <c r="AB17" s="194"/>
      <c r="AC17" s="194"/>
      <c r="AD17" s="194"/>
      <c r="AE17" s="194"/>
      <c r="AF17" s="250"/>
      <c r="AG17" s="14" t="s">
        <v>176</v>
      </c>
      <c r="AH17" s="1" t="s">
        <v>176</v>
      </c>
      <c r="AI17" s="1" t="s">
        <v>176</v>
      </c>
      <c r="AJ17" s="1"/>
      <c r="AK17" s="1"/>
      <c r="AL17" s="15"/>
      <c r="AM17" s="12"/>
      <c r="AN17" s="8"/>
      <c r="AO17" s="8"/>
      <c r="AP17" s="8"/>
      <c r="AQ17" s="8"/>
      <c r="AR17" s="13"/>
      <c r="AS17" s="12"/>
      <c r="AT17" s="8"/>
      <c r="AU17" s="8"/>
      <c r="AV17" s="8"/>
      <c r="AW17" s="8"/>
      <c r="AX17" s="13"/>
      <c r="AY17" s="12"/>
      <c r="AZ17" s="8"/>
      <c r="BA17" s="8"/>
      <c r="BB17" s="8"/>
      <c r="BC17" s="8"/>
      <c r="BD17" s="13"/>
      <c r="BE17" s="106"/>
      <c r="BF17" s="22"/>
      <c r="BG17" s="22"/>
      <c r="BH17" s="22"/>
      <c r="BI17" s="22"/>
      <c r="BJ17" s="105"/>
      <c r="BK17" s="223">
        <v>46049</v>
      </c>
      <c r="BL17" s="23">
        <v>46092</v>
      </c>
      <c r="BM17" s="225"/>
      <c r="BN17" s="223"/>
      <c r="BO17" s="23"/>
      <c r="BP17" s="225"/>
      <c r="BQ17" s="223"/>
      <c r="BR17" s="23"/>
      <c r="BS17" s="225"/>
      <c r="BT17" s="223"/>
      <c r="BU17" s="23"/>
      <c r="BV17" s="225"/>
      <c r="BW17" s="223">
        <v>46177</v>
      </c>
      <c r="BX17" s="23"/>
      <c r="BY17" s="225"/>
      <c r="BZ17" s="223"/>
      <c r="CA17" s="23"/>
      <c r="CB17" s="225"/>
      <c r="CC17" s="223">
        <v>46183</v>
      </c>
      <c r="CD17" s="23"/>
      <c r="CE17" s="225"/>
      <c r="CF17" s="223"/>
      <c r="CG17" s="23"/>
      <c r="CH17" s="225"/>
      <c r="CI17" s="223"/>
      <c r="CJ17" s="23"/>
      <c r="CK17" s="225"/>
      <c r="CL17" s="223"/>
      <c r="CM17" s="23"/>
      <c r="CN17" s="225"/>
      <c r="CO17" s="223"/>
      <c r="CP17" s="23"/>
      <c r="CQ17" s="225"/>
      <c r="CR17" s="90" t="str">
        <f t="shared" si="0"/>
        <v>3A.3</v>
      </c>
      <c r="CS17" s="71" t="b">
        <f t="shared" si="2"/>
        <v>0</v>
      </c>
    </row>
    <row r="18" spans="1:97">
      <c r="A18" s="71" t="b">
        <f t="shared" si="1"/>
        <v>0</v>
      </c>
      <c r="B18" s="2" t="s">
        <v>54</v>
      </c>
      <c r="C18" s="12"/>
      <c r="D18" s="8"/>
      <c r="E18" s="8"/>
      <c r="F18" s="8"/>
      <c r="G18" s="8"/>
      <c r="H18" s="13"/>
      <c r="I18" s="12"/>
      <c r="J18" s="8"/>
      <c r="K18" s="8"/>
      <c r="L18" s="8"/>
      <c r="M18" s="8"/>
      <c r="N18" s="13"/>
      <c r="O18" s="249"/>
      <c r="P18" s="267"/>
      <c r="Q18" s="267"/>
      <c r="R18" s="267"/>
      <c r="S18" s="267"/>
      <c r="T18" s="249"/>
      <c r="U18" s="14"/>
      <c r="V18" s="1"/>
      <c r="W18" s="1"/>
      <c r="X18" s="1"/>
      <c r="Y18" s="1"/>
      <c r="Z18" s="15"/>
      <c r="AA18" s="250"/>
      <c r="AB18" s="194"/>
      <c r="AC18" s="194"/>
      <c r="AD18" s="194"/>
      <c r="AE18" s="194"/>
      <c r="AF18" s="250"/>
      <c r="AG18" s="14"/>
      <c r="AH18" s="1"/>
      <c r="AI18" s="1"/>
      <c r="AJ18" s="1"/>
      <c r="AK18" s="1"/>
      <c r="AL18" s="15"/>
      <c r="AM18" s="12"/>
      <c r="AN18" s="8"/>
      <c r="AO18" s="8"/>
      <c r="AP18" s="8"/>
      <c r="AQ18" s="8"/>
      <c r="AR18" s="13"/>
      <c r="AS18" s="12"/>
      <c r="AT18" s="8"/>
      <c r="AU18" s="8"/>
      <c r="AV18" s="8"/>
      <c r="AW18" s="8"/>
      <c r="AX18" s="13"/>
      <c r="AY18" s="12"/>
      <c r="AZ18" s="8"/>
      <c r="BA18" s="8"/>
      <c r="BB18" s="8"/>
      <c r="BC18" s="8"/>
      <c r="BD18" s="13"/>
      <c r="BE18" s="106"/>
      <c r="BF18" s="22"/>
      <c r="BG18" s="22"/>
      <c r="BH18" s="22"/>
      <c r="BI18" s="22"/>
      <c r="BJ18" s="105"/>
      <c r="BK18" s="223"/>
      <c r="BL18" s="23"/>
      <c r="BM18" s="225"/>
      <c r="BN18" s="223"/>
      <c r="BO18" s="23"/>
      <c r="BP18" s="225"/>
      <c r="BQ18" s="223"/>
      <c r="BR18" s="23"/>
      <c r="BS18" s="225"/>
      <c r="BT18" s="223"/>
      <c r="BU18" s="23"/>
      <c r="BV18" s="225"/>
      <c r="BW18" s="223"/>
      <c r="BX18" s="23"/>
      <c r="BY18" s="225"/>
      <c r="BZ18" s="223"/>
      <c r="CA18" s="23"/>
      <c r="CB18" s="225"/>
      <c r="CC18" s="223"/>
      <c r="CD18" s="23"/>
      <c r="CE18" s="225"/>
      <c r="CF18" s="223"/>
      <c r="CG18" s="23"/>
      <c r="CH18" s="225"/>
      <c r="CI18" s="223"/>
      <c r="CJ18" s="23"/>
      <c r="CK18" s="225"/>
      <c r="CL18" s="223"/>
      <c r="CM18" s="23"/>
      <c r="CN18" s="225"/>
      <c r="CO18" s="223"/>
      <c r="CP18" s="23"/>
      <c r="CQ18" s="225"/>
      <c r="CR18" s="90" t="str">
        <f t="shared" si="0"/>
        <v>4A.1</v>
      </c>
      <c r="CS18" s="71" t="b">
        <f t="shared" si="2"/>
        <v>0</v>
      </c>
    </row>
    <row r="19" spans="1:97">
      <c r="A19" s="71" t="b">
        <f t="shared" si="1"/>
        <v>0</v>
      </c>
      <c r="B19" s="2" t="s">
        <v>55</v>
      </c>
      <c r="C19" s="12"/>
      <c r="D19" s="8"/>
      <c r="E19" s="8"/>
      <c r="F19" s="8"/>
      <c r="G19" s="8"/>
      <c r="H19" s="13"/>
      <c r="I19" s="12"/>
      <c r="J19" s="8"/>
      <c r="K19" s="8"/>
      <c r="L19" s="8"/>
      <c r="M19" s="8"/>
      <c r="N19" s="13"/>
      <c r="O19" s="249"/>
      <c r="P19" s="267"/>
      <c r="Q19" s="267"/>
      <c r="R19" s="267"/>
      <c r="S19" s="267"/>
      <c r="T19" s="249"/>
      <c r="U19" s="14"/>
      <c r="V19" s="1"/>
      <c r="W19" s="1"/>
      <c r="X19" s="1"/>
      <c r="Y19" s="1"/>
      <c r="Z19" s="15"/>
      <c r="AA19" s="250"/>
      <c r="AB19" s="194"/>
      <c r="AC19" s="194"/>
      <c r="AD19" s="194"/>
      <c r="AE19" s="194"/>
      <c r="AF19" s="250"/>
      <c r="AG19" s="14"/>
      <c r="AH19" s="1"/>
      <c r="AI19" s="1"/>
      <c r="AJ19" s="1"/>
      <c r="AK19" s="1"/>
      <c r="AL19" s="15"/>
      <c r="AM19" s="12"/>
      <c r="AN19" s="8"/>
      <c r="AO19" s="8"/>
      <c r="AP19" s="8"/>
      <c r="AQ19" s="8"/>
      <c r="AR19" s="13"/>
      <c r="AS19" s="12"/>
      <c r="AT19" s="8"/>
      <c r="AU19" s="8"/>
      <c r="AV19" s="8"/>
      <c r="AW19" s="8"/>
      <c r="AX19" s="13"/>
      <c r="AY19" s="12"/>
      <c r="AZ19" s="8"/>
      <c r="BA19" s="8"/>
      <c r="BB19" s="8"/>
      <c r="BC19" s="8"/>
      <c r="BD19" s="13"/>
      <c r="BE19" s="106"/>
      <c r="BF19" s="22"/>
      <c r="BG19" s="22"/>
      <c r="BH19" s="22"/>
      <c r="BI19" s="22"/>
      <c r="BJ19" s="105"/>
      <c r="BK19" s="223"/>
      <c r="BL19" s="23"/>
      <c r="BM19" s="225"/>
      <c r="BN19" s="223"/>
      <c r="BO19" s="23"/>
      <c r="BP19" s="225"/>
      <c r="BQ19" s="223"/>
      <c r="BR19" s="23"/>
      <c r="BS19" s="225"/>
      <c r="BT19" s="223"/>
      <c r="BU19" s="23"/>
      <c r="BV19" s="225"/>
      <c r="BW19" s="223"/>
      <c r="BX19" s="23"/>
      <c r="BY19" s="225"/>
      <c r="BZ19" s="223"/>
      <c r="CA19" s="23"/>
      <c r="CB19" s="225"/>
      <c r="CC19" s="223"/>
      <c r="CD19" s="23"/>
      <c r="CE19" s="225"/>
      <c r="CF19" s="223"/>
      <c r="CG19" s="23"/>
      <c r="CH19" s="225"/>
      <c r="CI19" s="223"/>
      <c r="CJ19" s="23"/>
      <c r="CK19" s="225"/>
      <c r="CL19" s="223"/>
      <c r="CM19" s="23"/>
      <c r="CN19" s="225"/>
      <c r="CO19" s="223"/>
      <c r="CP19" s="23"/>
      <c r="CQ19" s="225"/>
      <c r="CR19" s="90" t="str">
        <f t="shared" si="0"/>
        <v>4A.1</v>
      </c>
      <c r="CS19" s="71" t="b">
        <f t="shared" si="2"/>
        <v>0</v>
      </c>
    </row>
    <row r="20" spans="1:97">
      <c r="A20" s="71" t="b">
        <f t="shared" si="1"/>
        <v>0</v>
      </c>
      <c r="B20" s="2" t="s">
        <v>58</v>
      </c>
      <c r="C20" s="12"/>
      <c r="D20" s="8"/>
      <c r="E20" s="8"/>
      <c r="F20" s="8"/>
      <c r="G20" s="8"/>
      <c r="H20" s="13"/>
      <c r="I20" s="12"/>
      <c r="J20" s="8"/>
      <c r="K20" s="8"/>
      <c r="L20" s="8"/>
      <c r="M20" s="8"/>
      <c r="N20" s="13"/>
      <c r="O20" s="249"/>
      <c r="P20" s="267"/>
      <c r="Q20" s="267"/>
      <c r="R20" s="267"/>
      <c r="S20" s="267"/>
      <c r="T20" s="249"/>
      <c r="U20" s="14" t="s">
        <v>176</v>
      </c>
      <c r="V20" s="1"/>
      <c r="W20" s="1"/>
      <c r="X20" s="1"/>
      <c r="Y20" s="1"/>
      <c r="Z20" s="15"/>
      <c r="AA20" s="250"/>
      <c r="AB20" s="194"/>
      <c r="AC20" s="194"/>
      <c r="AD20" s="194"/>
      <c r="AE20" s="194"/>
      <c r="AF20" s="250"/>
      <c r="AG20" s="14" t="s">
        <v>176</v>
      </c>
      <c r="AH20" s="1"/>
      <c r="AI20" s="1"/>
      <c r="AJ20" s="1"/>
      <c r="AK20" s="1"/>
      <c r="AL20" s="15"/>
      <c r="AM20" s="12"/>
      <c r="AN20" s="8"/>
      <c r="AO20" s="8"/>
      <c r="AP20" s="8"/>
      <c r="AQ20" s="8"/>
      <c r="AR20" s="13"/>
      <c r="AS20" s="12"/>
      <c r="AT20" s="8"/>
      <c r="AU20" s="8"/>
      <c r="AV20" s="8"/>
      <c r="AW20" s="8"/>
      <c r="AX20" s="13"/>
      <c r="AY20" s="12"/>
      <c r="AZ20" s="8"/>
      <c r="BA20" s="8"/>
      <c r="BB20" s="8"/>
      <c r="BC20" s="8"/>
      <c r="BD20" s="13"/>
      <c r="BE20" s="106"/>
      <c r="BF20" s="22"/>
      <c r="BG20" s="22"/>
      <c r="BH20" s="22"/>
      <c r="BI20" s="22"/>
      <c r="BJ20" s="105"/>
      <c r="BK20" s="223">
        <v>46057</v>
      </c>
      <c r="BL20" s="23"/>
      <c r="BM20" s="225"/>
      <c r="BN20" s="223"/>
      <c r="BO20" s="23"/>
      <c r="BP20" s="225"/>
      <c r="BQ20" s="223"/>
      <c r="BR20" s="23"/>
      <c r="BS20" s="225"/>
      <c r="BT20" s="223"/>
      <c r="BU20" s="23"/>
      <c r="BV20" s="225"/>
      <c r="BW20" s="223"/>
      <c r="BX20" s="23"/>
      <c r="BY20" s="225"/>
      <c r="BZ20" s="223"/>
      <c r="CA20" s="23"/>
      <c r="CB20" s="225"/>
      <c r="CC20" s="223"/>
      <c r="CD20" s="23"/>
      <c r="CE20" s="225"/>
      <c r="CF20" s="223"/>
      <c r="CG20" s="23"/>
      <c r="CH20" s="225"/>
      <c r="CI20" s="223"/>
      <c r="CJ20" s="23"/>
      <c r="CK20" s="225"/>
      <c r="CL20" s="223"/>
      <c r="CM20" s="23"/>
      <c r="CN20" s="225"/>
      <c r="CO20" s="223"/>
      <c r="CP20" s="23"/>
      <c r="CQ20" s="225"/>
      <c r="CR20" s="90" t="str">
        <f t="shared" si="0"/>
        <v>4A.1</v>
      </c>
      <c r="CS20" s="71" t="b">
        <f t="shared" si="2"/>
        <v>0</v>
      </c>
    </row>
    <row r="21" spans="1:97">
      <c r="A21" s="71" t="b">
        <f t="shared" si="1"/>
        <v>1</v>
      </c>
      <c r="B21" s="2" t="s">
        <v>60</v>
      </c>
      <c r="C21" s="12"/>
      <c r="D21" s="8"/>
      <c r="E21" s="8"/>
      <c r="F21" s="8"/>
      <c r="G21" s="8"/>
      <c r="H21" s="13"/>
      <c r="I21" s="12"/>
      <c r="J21" s="8"/>
      <c r="K21" s="8"/>
      <c r="L21" s="8"/>
      <c r="M21" s="8"/>
      <c r="N21" s="13"/>
      <c r="O21" s="249"/>
      <c r="P21" s="267"/>
      <c r="Q21" s="267"/>
      <c r="R21" s="267"/>
      <c r="S21" s="267"/>
      <c r="T21" s="249"/>
      <c r="U21" s="14" t="s">
        <v>176</v>
      </c>
      <c r="V21" s="1" t="s">
        <v>176</v>
      </c>
      <c r="W21" s="1"/>
      <c r="X21" s="1"/>
      <c r="Y21" s="1"/>
      <c r="Z21" s="15"/>
      <c r="AA21" s="250"/>
      <c r="AB21" s="194"/>
      <c r="AC21" s="194"/>
      <c r="AD21" s="194"/>
      <c r="AE21" s="194"/>
      <c r="AF21" s="250"/>
      <c r="AG21" s="14" t="s">
        <v>176</v>
      </c>
      <c r="AH21" s="1" t="s">
        <v>176</v>
      </c>
      <c r="AI21" s="1"/>
      <c r="AJ21" s="1"/>
      <c r="AK21" s="1"/>
      <c r="AL21" s="15"/>
      <c r="AM21" s="12"/>
      <c r="AN21" s="8"/>
      <c r="AO21" s="8"/>
      <c r="AP21" s="8"/>
      <c r="AQ21" s="8"/>
      <c r="AR21" s="13"/>
      <c r="AS21" s="12"/>
      <c r="AT21" s="8"/>
      <c r="AU21" s="8"/>
      <c r="AV21" s="8"/>
      <c r="AW21" s="8"/>
      <c r="AX21" s="13"/>
      <c r="AY21" s="12"/>
      <c r="AZ21" s="8"/>
      <c r="BA21" s="8"/>
      <c r="BB21" s="8"/>
      <c r="BC21" s="8"/>
      <c r="BD21" s="13"/>
      <c r="BE21" s="106"/>
      <c r="BF21" s="22"/>
      <c r="BG21" s="22"/>
      <c r="BH21" s="22"/>
      <c r="BI21" s="22"/>
      <c r="BJ21" s="105"/>
      <c r="BK21" s="223">
        <v>46141</v>
      </c>
      <c r="BL21" s="23">
        <v>46147</v>
      </c>
      <c r="BM21" s="225"/>
      <c r="BN21" s="223"/>
      <c r="BO21" s="23"/>
      <c r="BP21" s="225"/>
      <c r="BQ21" s="223"/>
      <c r="BR21" s="23"/>
      <c r="BS21" s="225"/>
      <c r="BT21" s="223"/>
      <c r="BU21" s="23"/>
      <c r="BV21" s="225"/>
      <c r="BW21" s="223"/>
      <c r="BX21" s="23"/>
      <c r="BY21" s="225"/>
      <c r="BZ21" s="223"/>
      <c r="CA21" s="23"/>
      <c r="CB21" s="225"/>
      <c r="CC21" s="223"/>
      <c r="CD21" s="23"/>
      <c r="CE21" s="225"/>
      <c r="CF21" s="223"/>
      <c r="CG21" s="23"/>
      <c r="CH21" s="225"/>
      <c r="CI21" s="223"/>
      <c r="CJ21" s="23"/>
      <c r="CK21" s="225"/>
      <c r="CL21" s="223"/>
      <c r="CM21" s="23"/>
      <c r="CN21" s="225"/>
      <c r="CO21" s="223"/>
      <c r="CP21" s="23"/>
      <c r="CQ21" s="225"/>
      <c r="CR21" s="90" t="str">
        <f t="shared" si="0"/>
        <v>4A.2</v>
      </c>
      <c r="CS21" s="71" t="b">
        <f t="shared" si="2"/>
        <v>0</v>
      </c>
    </row>
    <row r="22" spans="1:97">
      <c r="A22" s="71" t="b">
        <f t="shared" si="1"/>
        <v>0</v>
      </c>
      <c r="B22" s="2" t="s">
        <v>61</v>
      </c>
      <c r="C22" s="12"/>
      <c r="D22" s="8"/>
      <c r="E22" s="8"/>
      <c r="F22" s="8"/>
      <c r="G22" s="8"/>
      <c r="H22" s="13"/>
      <c r="I22" s="12"/>
      <c r="J22" s="8"/>
      <c r="K22" s="8"/>
      <c r="L22" s="8"/>
      <c r="M22" s="8"/>
      <c r="N22" s="13"/>
      <c r="O22" s="249"/>
      <c r="P22" s="267"/>
      <c r="Q22" s="267"/>
      <c r="R22" s="267"/>
      <c r="S22" s="267"/>
      <c r="T22" s="249"/>
      <c r="U22" s="14"/>
      <c r="V22" s="1"/>
      <c r="W22" s="1"/>
      <c r="X22" s="1"/>
      <c r="Y22" s="1"/>
      <c r="Z22" s="15"/>
      <c r="AA22" s="250"/>
      <c r="AB22" s="194"/>
      <c r="AC22" s="194"/>
      <c r="AD22" s="194"/>
      <c r="AE22" s="194"/>
      <c r="AF22" s="250"/>
      <c r="AG22" s="14"/>
      <c r="AH22" s="1"/>
      <c r="AI22" s="1"/>
      <c r="AJ22" s="1"/>
      <c r="AK22" s="1"/>
      <c r="AL22" s="15"/>
      <c r="AM22" s="12"/>
      <c r="AN22" s="8"/>
      <c r="AO22" s="8"/>
      <c r="AP22" s="8"/>
      <c r="AQ22" s="8"/>
      <c r="AR22" s="13"/>
      <c r="AS22" s="12"/>
      <c r="AT22" s="8"/>
      <c r="AU22" s="8"/>
      <c r="AV22" s="8"/>
      <c r="AW22" s="8"/>
      <c r="AX22" s="13"/>
      <c r="AY22" s="12"/>
      <c r="AZ22" s="8"/>
      <c r="BA22" s="8"/>
      <c r="BB22" s="8"/>
      <c r="BC22" s="8"/>
      <c r="BD22" s="13"/>
      <c r="BE22" s="106"/>
      <c r="BF22" s="22"/>
      <c r="BG22" s="22"/>
      <c r="BH22" s="22"/>
      <c r="BI22" s="22"/>
      <c r="BJ22" s="105"/>
      <c r="BK22" s="223"/>
      <c r="BL22" s="23"/>
      <c r="BM22" s="225"/>
      <c r="BN22" s="223"/>
      <c r="BO22" s="23"/>
      <c r="BP22" s="225"/>
      <c r="BQ22" s="223"/>
      <c r="BR22" s="23"/>
      <c r="BS22" s="225"/>
      <c r="BT22" s="223"/>
      <c r="BU22" s="23"/>
      <c r="BV22" s="225"/>
      <c r="BW22" s="223"/>
      <c r="BX22" s="23"/>
      <c r="BY22" s="225"/>
      <c r="BZ22" s="223"/>
      <c r="CA22" s="23"/>
      <c r="CB22" s="225"/>
      <c r="CC22" s="223"/>
      <c r="CD22" s="23"/>
      <c r="CE22" s="225"/>
      <c r="CF22" s="223"/>
      <c r="CG22" s="23"/>
      <c r="CH22" s="225"/>
      <c r="CI22" s="223"/>
      <c r="CJ22" s="23"/>
      <c r="CK22" s="225"/>
      <c r="CL22" s="223"/>
      <c r="CM22" s="23"/>
      <c r="CN22" s="225"/>
      <c r="CO22" s="223"/>
      <c r="CP22" s="23"/>
      <c r="CQ22" s="225"/>
      <c r="CR22" s="90" t="str">
        <f t="shared" si="0"/>
        <v>4A.2</v>
      </c>
      <c r="CS22" s="71" t="b">
        <f t="shared" si="2"/>
        <v>0</v>
      </c>
    </row>
    <row r="23" spans="1:97">
      <c r="A23" s="71" t="b">
        <f t="shared" si="1"/>
        <v>0</v>
      </c>
      <c r="B23" s="2" t="s">
        <v>62</v>
      </c>
      <c r="C23" s="12"/>
      <c r="D23" s="8"/>
      <c r="E23" s="8"/>
      <c r="F23" s="8"/>
      <c r="G23" s="8"/>
      <c r="H23" s="13"/>
      <c r="I23" s="12"/>
      <c r="J23" s="8"/>
      <c r="K23" s="8"/>
      <c r="L23" s="8"/>
      <c r="M23" s="8"/>
      <c r="N23" s="13"/>
      <c r="O23" s="249"/>
      <c r="P23" s="267"/>
      <c r="Q23" s="267"/>
      <c r="R23" s="267"/>
      <c r="S23" s="267"/>
      <c r="T23" s="249"/>
      <c r="U23" s="14"/>
      <c r="V23" s="1"/>
      <c r="W23" s="1"/>
      <c r="X23" s="1"/>
      <c r="Y23" s="1"/>
      <c r="Z23" s="15"/>
      <c r="AA23" s="250"/>
      <c r="AB23" s="194"/>
      <c r="AC23" s="194"/>
      <c r="AD23" s="194"/>
      <c r="AE23" s="194"/>
      <c r="AF23" s="250"/>
      <c r="AG23" s="14"/>
      <c r="AH23" s="1"/>
      <c r="AI23" s="1"/>
      <c r="AJ23" s="1"/>
      <c r="AK23" s="1"/>
      <c r="AL23" s="15"/>
      <c r="AM23" s="12"/>
      <c r="AN23" s="8"/>
      <c r="AO23" s="8"/>
      <c r="AP23" s="8"/>
      <c r="AQ23" s="8"/>
      <c r="AR23" s="13"/>
      <c r="AS23" s="12"/>
      <c r="AT23" s="8"/>
      <c r="AU23" s="8"/>
      <c r="AV23" s="8"/>
      <c r="AW23" s="8"/>
      <c r="AX23" s="13"/>
      <c r="AY23" s="12"/>
      <c r="AZ23" s="8"/>
      <c r="BA23" s="8"/>
      <c r="BB23" s="8"/>
      <c r="BC23" s="8"/>
      <c r="BD23" s="13"/>
      <c r="BE23" s="106"/>
      <c r="BF23" s="22"/>
      <c r="BG23" s="22"/>
      <c r="BH23" s="22"/>
      <c r="BI23" s="22"/>
      <c r="BJ23" s="105"/>
      <c r="BK23" s="223"/>
      <c r="BL23" s="23"/>
      <c r="BM23" s="225"/>
      <c r="BN23" s="223"/>
      <c r="BO23" s="23"/>
      <c r="BP23" s="225"/>
      <c r="BQ23" s="223"/>
      <c r="BR23" s="23"/>
      <c r="BS23" s="225"/>
      <c r="BT23" s="223"/>
      <c r="BU23" s="23"/>
      <c r="BV23" s="225"/>
      <c r="BW23" s="223"/>
      <c r="BX23" s="23"/>
      <c r="BY23" s="225"/>
      <c r="BZ23" s="223"/>
      <c r="CA23" s="23"/>
      <c r="CB23" s="225"/>
      <c r="CC23" s="223"/>
      <c r="CD23" s="23"/>
      <c r="CE23" s="225"/>
      <c r="CF23" s="223"/>
      <c r="CG23" s="23"/>
      <c r="CH23" s="225"/>
      <c r="CI23" s="223"/>
      <c r="CJ23" s="23"/>
      <c r="CK23" s="225"/>
      <c r="CL23" s="223"/>
      <c r="CM23" s="23"/>
      <c r="CN23" s="225"/>
      <c r="CO23" s="223"/>
      <c r="CP23" s="23"/>
      <c r="CQ23" s="225"/>
      <c r="CR23" s="90" t="str">
        <f t="shared" si="0"/>
        <v>4A.3</v>
      </c>
      <c r="CS23" s="71" t="b">
        <f t="shared" si="2"/>
        <v>0</v>
      </c>
    </row>
    <row r="24" spans="1:97">
      <c r="A24" s="71" t="b">
        <f t="shared" si="1"/>
        <v>0</v>
      </c>
      <c r="B24" s="2" t="s">
        <v>64</v>
      </c>
      <c r="C24" s="12"/>
      <c r="D24" s="8"/>
      <c r="E24" s="8"/>
      <c r="F24" s="8"/>
      <c r="G24" s="8"/>
      <c r="H24" s="13"/>
      <c r="I24" s="12"/>
      <c r="J24" s="8"/>
      <c r="K24" s="8"/>
      <c r="L24" s="8"/>
      <c r="M24" s="8"/>
      <c r="N24" s="13"/>
      <c r="O24" s="249"/>
      <c r="P24" s="267"/>
      <c r="Q24" s="267"/>
      <c r="R24" s="267"/>
      <c r="S24" s="267"/>
      <c r="T24" s="249"/>
      <c r="U24" s="14"/>
      <c r="V24" s="1"/>
      <c r="W24" s="1"/>
      <c r="X24" s="1"/>
      <c r="Y24" s="1"/>
      <c r="Z24" s="15"/>
      <c r="AA24" s="250"/>
      <c r="AB24" s="194"/>
      <c r="AC24" s="194"/>
      <c r="AD24" s="194"/>
      <c r="AE24" s="194"/>
      <c r="AF24" s="250"/>
      <c r="AG24" s="14"/>
      <c r="AH24" s="1"/>
      <c r="AI24" s="1"/>
      <c r="AJ24" s="1"/>
      <c r="AK24" s="1"/>
      <c r="AL24" s="15"/>
      <c r="AM24" s="12"/>
      <c r="AN24" s="8"/>
      <c r="AO24" s="8"/>
      <c r="AP24" s="8"/>
      <c r="AQ24" s="8"/>
      <c r="AR24" s="13"/>
      <c r="AS24" s="12"/>
      <c r="AT24" s="8"/>
      <c r="AU24" s="8"/>
      <c r="AV24" s="8"/>
      <c r="AW24" s="8"/>
      <c r="AX24" s="13"/>
      <c r="AY24" s="12"/>
      <c r="AZ24" s="8"/>
      <c r="BA24" s="8"/>
      <c r="BB24" s="8"/>
      <c r="BC24" s="8"/>
      <c r="BD24" s="13"/>
      <c r="BE24" s="106"/>
      <c r="BF24" s="22"/>
      <c r="BG24" s="22"/>
      <c r="BH24" s="22"/>
      <c r="BI24" s="22"/>
      <c r="BJ24" s="105"/>
      <c r="BK24" s="223"/>
      <c r="BL24" s="23"/>
      <c r="BM24" s="225"/>
      <c r="BN24" s="223"/>
      <c r="BO24" s="23"/>
      <c r="BP24" s="225"/>
      <c r="BQ24" s="223"/>
      <c r="BR24" s="23"/>
      <c r="BS24" s="225"/>
      <c r="BT24" s="223"/>
      <c r="BU24" s="23"/>
      <c r="BV24" s="225"/>
      <c r="BW24" s="223"/>
      <c r="BX24" s="23"/>
      <c r="BY24" s="225"/>
      <c r="BZ24" s="223"/>
      <c r="CA24" s="23"/>
      <c r="CB24" s="225"/>
      <c r="CC24" s="223"/>
      <c r="CD24" s="23"/>
      <c r="CE24" s="225"/>
      <c r="CF24" s="223"/>
      <c r="CG24" s="23"/>
      <c r="CH24" s="225"/>
      <c r="CI24" s="223"/>
      <c r="CJ24" s="23"/>
      <c r="CK24" s="225"/>
      <c r="CL24" s="223"/>
      <c r="CM24" s="23"/>
      <c r="CN24" s="225"/>
      <c r="CO24" s="223"/>
      <c r="CP24" s="23"/>
      <c r="CQ24" s="225"/>
      <c r="CR24" s="90" t="str">
        <f t="shared" si="0"/>
        <v>4A.3</v>
      </c>
      <c r="CS24" s="71" t="b">
        <f t="shared" si="2"/>
        <v>0</v>
      </c>
    </row>
    <row r="25" spans="1:97">
      <c r="A25" s="71" t="b">
        <f t="shared" si="1"/>
        <v>0</v>
      </c>
      <c r="B25" s="2" t="s">
        <v>65</v>
      </c>
      <c r="C25" s="14" t="s">
        <v>176</v>
      </c>
      <c r="D25" s="1"/>
      <c r="E25" s="1" t="s">
        <v>176</v>
      </c>
      <c r="F25" s="1"/>
      <c r="G25" s="1"/>
      <c r="H25" s="15"/>
      <c r="I25" s="14" t="s">
        <v>176</v>
      </c>
      <c r="J25" s="1"/>
      <c r="K25" s="1" t="s">
        <v>176</v>
      </c>
      <c r="L25" s="1"/>
      <c r="M25" s="1"/>
      <c r="N25" s="15"/>
      <c r="O25" s="250" t="s">
        <v>176</v>
      </c>
      <c r="P25" s="194"/>
      <c r="Q25" s="194"/>
      <c r="R25" s="194"/>
      <c r="S25" s="194"/>
      <c r="T25" s="250"/>
      <c r="U25" s="12"/>
      <c r="V25" s="8"/>
      <c r="W25" s="8"/>
      <c r="X25" s="8"/>
      <c r="Y25" s="8"/>
      <c r="Z25" s="13"/>
      <c r="AA25" s="249"/>
      <c r="AB25" s="267"/>
      <c r="AC25" s="267"/>
      <c r="AD25" s="267"/>
      <c r="AE25" s="267"/>
      <c r="AF25" s="249"/>
      <c r="AG25" s="12"/>
      <c r="AH25" s="8"/>
      <c r="AI25" s="8"/>
      <c r="AJ25" s="8"/>
      <c r="AK25" s="8"/>
      <c r="AL25" s="13"/>
      <c r="AM25" s="12"/>
      <c r="AN25" s="8"/>
      <c r="AO25" s="8"/>
      <c r="AP25" s="8"/>
      <c r="AQ25" s="8"/>
      <c r="AR25" s="13"/>
      <c r="AS25" s="12"/>
      <c r="AT25" s="8"/>
      <c r="AU25" s="8"/>
      <c r="AV25" s="8"/>
      <c r="AW25" s="8"/>
      <c r="AX25" s="13"/>
      <c r="AY25" s="12"/>
      <c r="AZ25" s="8"/>
      <c r="BA25" s="8"/>
      <c r="BB25" s="8"/>
      <c r="BC25" s="8"/>
      <c r="BD25" s="13"/>
      <c r="BE25" s="106"/>
      <c r="BF25" s="22"/>
      <c r="BG25" s="22"/>
      <c r="BH25" s="22"/>
      <c r="BI25" s="22"/>
      <c r="BJ25" s="105"/>
      <c r="BK25" s="223">
        <v>46048</v>
      </c>
      <c r="BL25" s="23"/>
      <c r="BM25" s="225"/>
      <c r="BN25" s="223">
        <v>46153</v>
      </c>
      <c r="BO25" s="23"/>
      <c r="BP25" s="225"/>
      <c r="BQ25" s="223">
        <v>46162</v>
      </c>
      <c r="BR25" s="23"/>
      <c r="BS25" s="225"/>
      <c r="BT25" s="223"/>
      <c r="BU25" s="23"/>
      <c r="BV25" s="225"/>
      <c r="BW25" s="223"/>
      <c r="BX25" s="23"/>
      <c r="BY25" s="225"/>
      <c r="BZ25" s="223"/>
      <c r="CA25" s="23"/>
      <c r="CB25" s="225"/>
      <c r="CC25" s="223"/>
      <c r="CD25" s="23"/>
      <c r="CE25" s="225"/>
      <c r="CF25" s="223"/>
      <c r="CG25" s="23"/>
      <c r="CH25" s="225"/>
      <c r="CI25" s="223"/>
      <c r="CJ25" s="23"/>
      <c r="CK25" s="225"/>
      <c r="CL25" s="223"/>
      <c r="CM25" s="23"/>
      <c r="CN25" s="225"/>
      <c r="CO25" s="223"/>
      <c r="CP25" s="23"/>
      <c r="CQ25" s="225"/>
      <c r="CR25" s="90" t="str">
        <f t="shared" si="0"/>
        <v>5A.1</v>
      </c>
      <c r="CS25" s="71" t="b">
        <f t="shared" si="2"/>
        <v>0</v>
      </c>
    </row>
    <row r="26" spans="1:97">
      <c r="A26" s="71" t="b">
        <f t="shared" si="1"/>
        <v>0</v>
      </c>
      <c r="B26" s="2" t="s">
        <v>67</v>
      </c>
      <c r="C26" s="14" t="s">
        <v>176</v>
      </c>
      <c r="D26" s="1"/>
      <c r="E26" s="1" t="s">
        <v>176</v>
      </c>
      <c r="F26" s="1"/>
      <c r="G26" s="1"/>
      <c r="H26" s="15"/>
      <c r="I26" s="14" t="s">
        <v>176</v>
      </c>
      <c r="J26" s="1"/>
      <c r="K26" s="1" t="s">
        <v>176</v>
      </c>
      <c r="L26" s="1"/>
      <c r="M26" s="1"/>
      <c r="N26" s="15"/>
      <c r="O26" s="250"/>
      <c r="P26" s="194"/>
      <c r="Q26" s="194"/>
      <c r="R26" s="194"/>
      <c r="S26" s="194"/>
      <c r="T26" s="250"/>
      <c r="U26" s="12"/>
      <c r="V26" s="8"/>
      <c r="W26" s="8"/>
      <c r="X26" s="8"/>
      <c r="Y26" s="8"/>
      <c r="Z26" s="13"/>
      <c r="AA26" s="249"/>
      <c r="AB26" s="267"/>
      <c r="AC26" s="267"/>
      <c r="AD26" s="267"/>
      <c r="AE26" s="267"/>
      <c r="AF26" s="249"/>
      <c r="AG26" s="12"/>
      <c r="AH26" s="8"/>
      <c r="AI26" s="8"/>
      <c r="AJ26" s="8"/>
      <c r="AK26" s="8"/>
      <c r="AL26" s="13"/>
      <c r="AM26" s="12"/>
      <c r="AN26" s="8"/>
      <c r="AO26" s="8"/>
      <c r="AP26" s="8"/>
      <c r="AQ26" s="8"/>
      <c r="AR26" s="13"/>
      <c r="AS26" s="12"/>
      <c r="AT26" s="8"/>
      <c r="AU26" s="8"/>
      <c r="AV26" s="8"/>
      <c r="AW26" s="8"/>
      <c r="AX26" s="13"/>
      <c r="AY26" s="12"/>
      <c r="AZ26" s="8"/>
      <c r="BA26" s="8"/>
      <c r="BB26" s="8"/>
      <c r="BC26" s="8"/>
      <c r="BD26" s="13"/>
      <c r="BE26" s="106"/>
      <c r="BF26" s="22"/>
      <c r="BG26" s="22"/>
      <c r="BH26" s="22"/>
      <c r="BI26" s="22"/>
      <c r="BJ26" s="105"/>
      <c r="BK26" s="223">
        <v>46050</v>
      </c>
      <c r="BL26" s="23"/>
      <c r="BM26" s="225"/>
      <c r="BN26" s="223">
        <v>46181</v>
      </c>
      <c r="BO26" s="23"/>
      <c r="BP26" s="225"/>
      <c r="BQ26" s="223">
        <v>46167</v>
      </c>
      <c r="BR26" s="23"/>
      <c r="BS26" s="225"/>
      <c r="BT26" s="223"/>
      <c r="BU26" s="23"/>
      <c r="BV26" s="225"/>
      <c r="BW26" s="223"/>
      <c r="BX26" s="23"/>
      <c r="BY26" s="225"/>
      <c r="BZ26" s="223"/>
      <c r="CA26" s="23"/>
      <c r="CB26" s="225"/>
      <c r="CC26" s="223"/>
      <c r="CD26" s="23"/>
      <c r="CE26" s="225"/>
      <c r="CF26" s="223"/>
      <c r="CG26" s="23"/>
      <c r="CH26" s="225"/>
      <c r="CI26" s="223"/>
      <c r="CJ26" s="23"/>
      <c r="CK26" s="225"/>
      <c r="CL26" s="223"/>
      <c r="CM26" s="23"/>
      <c r="CN26" s="225"/>
      <c r="CO26" s="223"/>
      <c r="CP26" s="23"/>
      <c r="CQ26" s="225"/>
      <c r="CR26" s="90" t="str">
        <f t="shared" si="0"/>
        <v>5A.2</v>
      </c>
      <c r="CS26" s="71" t="b">
        <f t="shared" si="2"/>
        <v>0</v>
      </c>
    </row>
    <row r="27" spans="1:97">
      <c r="A27" s="71" t="b">
        <f t="shared" si="1"/>
        <v>0</v>
      </c>
      <c r="B27" s="2" t="s">
        <v>68</v>
      </c>
      <c r="C27" s="14" t="s">
        <v>176</v>
      </c>
      <c r="D27" s="1"/>
      <c r="E27" s="188"/>
      <c r="F27" s="1"/>
      <c r="G27" s="1"/>
      <c r="H27" s="15"/>
      <c r="I27" s="14" t="s">
        <v>176</v>
      </c>
      <c r="J27" s="1"/>
      <c r="K27" s="188" t="s">
        <v>176</v>
      </c>
      <c r="L27" s="1"/>
      <c r="M27" s="1"/>
      <c r="N27" s="15"/>
      <c r="O27" s="352" t="s">
        <v>176</v>
      </c>
      <c r="P27" s="194"/>
      <c r="Q27" s="194"/>
      <c r="R27" s="194"/>
      <c r="S27" s="194"/>
      <c r="T27" s="250"/>
      <c r="U27" s="12"/>
      <c r="V27" s="8"/>
      <c r="W27" s="8"/>
      <c r="X27" s="8"/>
      <c r="Y27" s="8"/>
      <c r="Z27" s="13"/>
      <c r="AA27" s="249"/>
      <c r="AB27" s="267"/>
      <c r="AC27" s="267"/>
      <c r="AD27" s="267"/>
      <c r="AE27" s="267"/>
      <c r="AF27" s="249"/>
      <c r="AG27" s="12"/>
      <c r="AH27" s="8"/>
      <c r="AI27" s="8"/>
      <c r="AJ27" s="8"/>
      <c r="AK27" s="8"/>
      <c r="AL27" s="13"/>
      <c r="AM27" s="12"/>
      <c r="AN27" s="8"/>
      <c r="AO27" s="8"/>
      <c r="AP27" s="8"/>
      <c r="AQ27" s="8"/>
      <c r="AR27" s="13"/>
      <c r="AS27" s="12"/>
      <c r="AT27" s="8"/>
      <c r="AU27" s="8"/>
      <c r="AV27" s="8"/>
      <c r="AW27" s="8"/>
      <c r="AX27" s="13"/>
      <c r="AY27" s="12"/>
      <c r="AZ27" s="8"/>
      <c r="BA27" s="8"/>
      <c r="BB27" s="8"/>
      <c r="BC27" s="8"/>
      <c r="BD27" s="13"/>
      <c r="BE27" s="106"/>
      <c r="BF27" s="22"/>
      <c r="BG27" s="22"/>
      <c r="BH27" s="22"/>
      <c r="BI27" s="22"/>
      <c r="BJ27" s="105"/>
      <c r="BK27" s="223">
        <v>46049</v>
      </c>
      <c r="BL27" s="23"/>
      <c r="BM27" s="225"/>
      <c r="BN27" s="223"/>
      <c r="BO27" s="23"/>
      <c r="BP27" s="225"/>
      <c r="BQ27" s="223">
        <v>46254</v>
      </c>
      <c r="BR27" s="23"/>
      <c r="BS27" s="225"/>
      <c r="BT27" s="223"/>
      <c r="BU27" s="23"/>
      <c r="BV27" s="225"/>
      <c r="BW27" s="223"/>
      <c r="BX27" s="23"/>
      <c r="BY27" s="225"/>
      <c r="BZ27" s="223"/>
      <c r="CA27" s="23"/>
      <c r="CB27" s="225"/>
      <c r="CC27" s="223"/>
      <c r="CD27" s="23"/>
      <c r="CE27" s="225"/>
      <c r="CF27" s="223"/>
      <c r="CG27" s="23"/>
      <c r="CH27" s="225"/>
      <c r="CI27" s="223"/>
      <c r="CJ27" s="23"/>
      <c r="CK27" s="225"/>
      <c r="CL27" s="223"/>
      <c r="CM27" s="23"/>
      <c r="CN27" s="225"/>
      <c r="CO27" s="223"/>
      <c r="CP27" s="23"/>
      <c r="CQ27" s="225"/>
      <c r="CR27" s="90" t="str">
        <f t="shared" si="0"/>
        <v>5A.2</v>
      </c>
      <c r="CS27" s="71" t="b">
        <f t="shared" si="2"/>
        <v>0</v>
      </c>
    </row>
    <row r="28" spans="1:97">
      <c r="A28" s="71" t="b">
        <f t="shared" si="1"/>
        <v>1</v>
      </c>
      <c r="B28" s="2" t="s">
        <v>69</v>
      </c>
      <c r="C28" s="14" t="s">
        <v>176</v>
      </c>
      <c r="D28" s="1" t="s">
        <v>29</v>
      </c>
      <c r="E28" s="1" t="s">
        <v>176</v>
      </c>
      <c r="F28" s="1"/>
      <c r="G28" s="1"/>
      <c r="H28" s="15"/>
      <c r="I28" s="14" t="s">
        <v>176</v>
      </c>
      <c r="J28" s="1" t="s">
        <v>176</v>
      </c>
      <c r="K28" s="1" t="s">
        <v>176</v>
      </c>
      <c r="L28" s="1"/>
      <c r="M28" s="1"/>
      <c r="N28" s="15"/>
      <c r="O28" s="250"/>
      <c r="P28" s="194"/>
      <c r="Q28" s="194"/>
      <c r="R28" s="194"/>
      <c r="S28" s="194"/>
      <c r="T28" s="250"/>
      <c r="U28" s="12"/>
      <c r="V28" s="8"/>
      <c r="W28" s="8"/>
      <c r="X28" s="8"/>
      <c r="Y28" s="8"/>
      <c r="Z28" s="13"/>
      <c r="AA28" s="249"/>
      <c r="AB28" s="267"/>
      <c r="AC28" s="267"/>
      <c r="AD28" s="267"/>
      <c r="AE28" s="267"/>
      <c r="AF28" s="249"/>
      <c r="AG28" s="12"/>
      <c r="AH28" s="8"/>
      <c r="AI28" s="8"/>
      <c r="AJ28" s="8"/>
      <c r="AK28" s="8"/>
      <c r="AL28" s="13"/>
      <c r="AM28" s="12"/>
      <c r="AN28" s="8"/>
      <c r="AO28" s="8"/>
      <c r="AP28" s="8"/>
      <c r="AQ28" s="8"/>
      <c r="AR28" s="13"/>
      <c r="AS28" s="12"/>
      <c r="AT28" s="8"/>
      <c r="AU28" s="8"/>
      <c r="AV28" s="8"/>
      <c r="AW28" s="8"/>
      <c r="AX28" s="13"/>
      <c r="AY28" s="12"/>
      <c r="AZ28" s="8"/>
      <c r="BA28" s="8"/>
      <c r="BB28" s="8"/>
      <c r="BC28" s="8"/>
      <c r="BD28" s="13"/>
      <c r="BE28" s="106"/>
      <c r="BF28" s="22"/>
      <c r="BG28" s="22"/>
      <c r="BH28" s="22"/>
      <c r="BI28" s="22"/>
      <c r="BJ28" s="105"/>
      <c r="BK28" s="223">
        <v>46125</v>
      </c>
      <c r="BL28" s="23">
        <v>46127</v>
      </c>
      <c r="BM28" s="225"/>
      <c r="BN28" s="223">
        <v>46148</v>
      </c>
      <c r="BO28" s="23"/>
      <c r="BP28" s="225"/>
      <c r="BQ28" s="223">
        <v>46148</v>
      </c>
      <c r="BR28" s="23"/>
      <c r="BS28" s="225"/>
      <c r="BT28" s="223"/>
      <c r="BU28" s="23"/>
      <c r="BV28" s="225"/>
      <c r="BW28" s="223"/>
      <c r="BX28" s="23"/>
      <c r="BY28" s="225"/>
      <c r="BZ28" s="223"/>
      <c r="CA28" s="23"/>
      <c r="CB28" s="225"/>
      <c r="CC28" s="223"/>
      <c r="CD28" s="23"/>
      <c r="CE28" s="225"/>
      <c r="CF28" s="223"/>
      <c r="CG28" s="23"/>
      <c r="CH28" s="225"/>
      <c r="CI28" s="223"/>
      <c r="CJ28" s="23"/>
      <c r="CK28" s="225"/>
      <c r="CL28" s="223"/>
      <c r="CM28" s="23"/>
      <c r="CN28" s="225"/>
      <c r="CO28" s="223"/>
      <c r="CP28" s="23"/>
      <c r="CQ28" s="225"/>
      <c r="CR28" s="90" t="str">
        <f t="shared" si="0"/>
        <v>6A.1</v>
      </c>
      <c r="CS28" s="71" t="b">
        <f t="shared" si="2"/>
        <v>0</v>
      </c>
    </row>
    <row r="29" spans="1:97">
      <c r="A29" s="71" t="b">
        <f t="shared" si="1"/>
        <v>0</v>
      </c>
      <c r="B29" s="2" t="s">
        <v>70</v>
      </c>
      <c r="C29" s="14"/>
      <c r="D29" s="1"/>
      <c r="E29" s="1"/>
      <c r="F29" s="1"/>
      <c r="G29" s="1"/>
      <c r="H29" s="15"/>
      <c r="I29" s="14"/>
      <c r="J29" s="1"/>
      <c r="K29" s="1"/>
      <c r="L29" s="1"/>
      <c r="M29" s="1"/>
      <c r="N29" s="15"/>
      <c r="O29" s="250"/>
      <c r="P29" s="194"/>
      <c r="Q29" s="194"/>
      <c r="R29" s="194"/>
      <c r="S29" s="194"/>
      <c r="T29" s="250"/>
      <c r="U29" s="12"/>
      <c r="V29" s="8"/>
      <c r="W29" s="8"/>
      <c r="X29" s="8"/>
      <c r="Y29" s="8"/>
      <c r="Z29" s="13"/>
      <c r="AA29" s="249"/>
      <c r="AB29" s="267"/>
      <c r="AC29" s="267"/>
      <c r="AD29" s="267"/>
      <c r="AE29" s="267"/>
      <c r="AF29" s="249"/>
      <c r="AG29" s="12"/>
      <c r="AH29" s="8"/>
      <c r="AI29" s="8"/>
      <c r="AJ29" s="8"/>
      <c r="AK29" s="8"/>
      <c r="AL29" s="13"/>
      <c r="AM29" s="12"/>
      <c r="AN29" s="8"/>
      <c r="AO29" s="8"/>
      <c r="AP29" s="8"/>
      <c r="AQ29" s="8"/>
      <c r="AR29" s="13"/>
      <c r="AS29" s="12"/>
      <c r="AT29" s="8"/>
      <c r="AU29" s="8"/>
      <c r="AV29" s="8"/>
      <c r="AW29" s="8"/>
      <c r="AX29" s="13"/>
      <c r="AY29" s="12"/>
      <c r="AZ29" s="8"/>
      <c r="BA29" s="8"/>
      <c r="BB29" s="8"/>
      <c r="BC29" s="8"/>
      <c r="BD29" s="13"/>
      <c r="BE29" s="106"/>
      <c r="BF29" s="22"/>
      <c r="BG29" s="22"/>
      <c r="BH29" s="22"/>
      <c r="BI29" s="22"/>
      <c r="BJ29" s="105"/>
      <c r="BK29" s="223"/>
      <c r="BL29" s="23"/>
      <c r="BM29" s="225"/>
      <c r="BN29" s="223"/>
      <c r="BO29" s="23"/>
      <c r="BP29" s="225"/>
      <c r="BQ29" s="223"/>
      <c r="BR29" s="23"/>
      <c r="BS29" s="225"/>
      <c r="BT29" s="223"/>
      <c r="BU29" s="23"/>
      <c r="BV29" s="225"/>
      <c r="BW29" s="223"/>
      <c r="BX29" s="23"/>
      <c r="BY29" s="225"/>
      <c r="BZ29" s="223"/>
      <c r="CA29" s="23"/>
      <c r="CB29" s="225"/>
      <c r="CC29" s="223"/>
      <c r="CD29" s="23"/>
      <c r="CE29" s="225"/>
      <c r="CF29" s="223"/>
      <c r="CG29" s="23"/>
      <c r="CH29" s="225"/>
      <c r="CI29" s="223"/>
      <c r="CJ29" s="23"/>
      <c r="CK29" s="225"/>
      <c r="CL29" s="223"/>
      <c r="CM29" s="23"/>
      <c r="CN29" s="225"/>
      <c r="CO29" s="223"/>
      <c r="CP29" s="23"/>
      <c r="CQ29" s="225"/>
      <c r="CR29" s="90" t="str">
        <f t="shared" si="0"/>
        <v>6A.1</v>
      </c>
      <c r="CS29" s="71" t="b">
        <f t="shared" si="2"/>
        <v>0</v>
      </c>
    </row>
    <row r="30" spans="1:97">
      <c r="A30" s="71" t="b">
        <f t="shared" si="1"/>
        <v>0</v>
      </c>
      <c r="B30" s="2" t="s">
        <v>72</v>
      </c>
      <c r="C30" s="14" t="s">
        <v>176</v>
      </c>
      <c r="D30" s="1"/>
      <c r="E30" s="1"/>
      <c r="F30" s="1"/>
      <c r="G30" s="1"/>
      <c r="H30" s="15"/>
      <c r="I30" s="14" t="s">
        <v>176</v>
      </c>
      <c r="J30" s="1"/>
      <c r="K30" s="1"/>
      <c r="L30" s="1"/>
      <c r="M30" s="1"/>
      <c r="N30" s="15"/>
      <c r="O30" s="250"/>
      <c r="P30" s="194"/>
      <c r="Q30" s="194"/>
      <c r="R30" s="194"/>
      <c r="S30" s="194"/>
      <c r="T30" s="250"/>
      <c r="U30" s="12"/>
      <c r="V30" s="8"/>
      <c r="W30" s="8"/>
      <c r="X30" s="8"/>
      <c r="Y30" s="8"/>
      <c r="Z30" s="13"/>
      <c r="AA30" s="249"/>
      <c r="AB30" s="267"/>
      <c r="AC30" s="267"/>
      <c r="AD30" s="267"/>
      <c r="AE30" s="267"/>
      <c r="AF30" s="249"/>
      <c r="AG30" s="12"/>
      <c r="AH30" s="8"/>
      <c r="AI30" s="8"/>
      <c r="AJ30" s="8"/>
      <c r="AK30" s="8"/>
      <c r="AL30" s="13"/>
      <c r="AM30" s="12"/>
      <c r="AN30" s="8"/>
      <c r="AO30" s="8"/>
      <c r="AP30" s="8"/>
      <c r="AQ30" s="8"/>
      <c r="AR30" s="13"/>
      <c r="AS30" s="12"/>
      <c r="AT30" s="8"/>
      <c r="AU30" s="8"/>
      <c r="AV30" s="8"/>
      <c r="AW30" s="8"/>
      <c r="AX30" s="13"/>
      <c r="AY30" s="12"/>
      <c r="AZ30" s="8"/>
      <c r="BA30" s="8"/>
      <c r="BB30" s="8"/>
      <c r="BC30" s="8"/>
      <c r="BD30" s="13"/>
      <c r="BE30" s="106"/>
      <c r="BF30" s="22"/>
      <c r="BG30" s="22"/>
      <c r="BH30" s="22"/>
      <c r="BI30" s="22"/>
      <c r="BJ30" s="105"/>
      <c r="BK30" s="223">
        <v>46070</v>
      </c>
      <c r="BL30" s="23"/>
      <c r="BM30" s="225"/>
      <c r="BN30" s="223"/>
      <c r="BO30" s="23"/>
      <c r="BP30" s="225"/>
      <c r="BQ30" s="223"/>
      <c r="BR30" s="23"/>
      <c r="BS30" s="225"/>
      <c r="BT30" s="223"/>
      <c r="BU30" s="23"/>
      <c r="BV30" s="225"/>
      <c r="BW30" s="223"/>
      <c r="BX30" s="23"/>
      <c r="BY30" s="225"/>
      <c r="BZ30" s="223"/>
      <c r="CA30" s="23"/>
      <c r="CB30" s="225"/>
      <c r="CC30" s="223"/>
      <c r="CD30" s="23"/>
      <c r="CE30" s="225"/>
      <c r="CF30" s="223"/>
      <c r="CG30" s="23"/>
      <c r="CH30" s="225"/>
      <c r="CI30" s="223"/>
      <c r="CJ30" s="23"/>
      <c r="CK30" s="225"/>
      <c r="CL30" s="223"/>
      <c r="CM30" s="23"/>
      <c r="CN30" s="225"/>
      <c r="CO30" s="223"/>
      <c r="CP30" s="23"/>
      <c r="CQ30" s="225"/>
      <c r="CR30" s="90" t="str">
        <f t="shared" si="0"/>
        <v>6A.2</v>
      </c>
      <c r="CS30" s="71" t="b">
        <f t="shared" si="2"/>
        <v>0</v>
      </c>
    </row>
    <row r="31" spans="1:97" ht="15" thickBot="1">
      <c r="A31" s="71" t="b">
        <f t="shared" si="1"/>
        <v>0</v>
      </c>
      <c r="B31" s="2" t="s">
        <v>73</v>
      </c>
      <c r="C31" s="14"/>
      <c r="D31" s="1"/>
      <c r="E31" s="1"/>
      <c r="F31" s="1"/>
      <c r="G31" s="1"/>
      <c r="H31" s="15"/>
      <c r="I31" s="14"/>
      <c r="J31" s="1"/>
      <c r="K31" s="1"/>
      <c r="L31" s="1"/>
      <c r="M31" s="1"/>
      <c r="N31" s="15"/>
      <c r="O31" s="250"/>
      <c r="P31" s="194"/>
      <c r="Q31" s="194"/>
      <c r="R31" s="194"/>
      <c r="S31" s="194"/>
      <c r="T31" s="250"/>
      <c r="U31" s="12"/>
      <c r="V31" s="8"/>
      <c r="W31" s="8"/>
      <c r="X31" s="8"/>
      <c r="Y31" s="8"/>
      <c r="Z31" s="13"/>
      <c r="AA31" s="249"/>
      <c r="AB31" s="267"/>
      <c r="AC31" s="267"/>
      <c r="AD31" s="267"/>
      <c r="AE31" s="267"/>
      <c r="AF31" s="249"/>
      <c r="AG31" s="12"/>
      <c r="AH31" s="8"/>
      <c r="AI31" s="8"/>
      <c r="AJ31" s="8"/>
      <c r="AK31" s="8"/>
      <c r="AL31" s="13"/>
      <c r="AM31" s="12"/>
      <c r="AN31" s="8"/>
      <c r="AO31" s="8"/>
      <c r="AP31" s="8"/>
      <c r="AQ31" s="8"/>
      <c r="AR31" s="13"/>
      <c r="AS31" s="12"/>
      <c r="AT31" s="8"/>
      <c r="AU31" s="8"/>
      <c r="AV31" s="8"/>
      <c r="AW31" s="8"/>
      <c r="AX31" s="13"/>
      <c r="AY31" s="12"/>
      <c r="AZ31" s="8"/>
      <c r="BA31" s="8"/>
      <c r="BB31" s="8"/>
      <c r="BC31" s="8"/>
      <c r="BD31" s="13"/>
      <c r="BE31" s="106"/>
      <c r="BF31" s="22"/>
      <c r="BG31" s="22"/>
      <c r="BH31" s="22"/>
      <c r="BI31" s="22"/>
      <c r="BJ31" s="105"/>
      <c r="BK31" s="224"/>
      <c r="BL31" s="226"/>
      <c r="BM31" s="227"/>
      <c r="BN31" s="224"/>
      <c r="BO31" s="226"/>
      <c r="BP31" s="227"/>
      <c r="BQ31" s="224"/>
      <c r="BR31" s="226"/>
      <c r="BS31" s="227"/>
      <c r="BT31" s="224"/>
      <c r="BU31" s="226"/>
      <c r="BV31" s="227"/>
      <c r="BW31" s="224"/>
      <c r="BX31" s="226"/>
      <c r="BY31" s="227"/>
      <c r="BZ31" s="224"/>
      <c r="CA31" s="226"/>
      <c r="CB31" s="227"/>
      <c r="CC31" s="224"/>
      <c r="CD31" s="226"/>
      <c r="CE31" s="227"/>
      <c r="CF31" s="224"/>
      <c r="CG31" s="226"/>
      <c r="CH31" s="227"/>
      <c r="CI31" s="224"/>
      <c r="CJ31" s="226"/>
      <c r="CK31" s="227"/>
      <c r="CL31" s="224"/>
      <c r="CM31" s="226"/>
      <c r="CN31" s="227"/>
      <c r="CO31" s="224"/>
      <c r="CP31" s="226"/>
      <c r="CQ31" s="227"/>
      <c r="CR31" s="90" t="str">
        <f t="shared" si="0"/>
        <v>6A.2</v>
      </c>
      <c r="CS31" s="71" t="b">
        <f t="shared" si="2"/>
        <v>0</v>
      </c>
    </row>
    <row r="32" spans="1:97">
      <c r="A32" s="25">
        <f>COUNTIF(A7:A31,TRUE)/COUNTA(B7:B31)</f>
        <v>0.24</v>
      </c>
      <c r="CS32" s="25">
        <f>COUNTIF(CS7:CS31,TRUE)/COUNTA(B7:B31)</f>
        <v>0</v>
      </c>
    </row>
  </sheetData>
  <sheetProtection selectLockedCells="1"/>
  <mergeCells count="21">
    <mergeCell ref="BN5:BP5"/>
    <mergeCell ref="BQ5:BS5"/>
    <mergeCell ref="BT5:BV5"/>
    <mergeCell ref="BW5:BY5"/>
    <mergeCell ref="CO5:CQ5"/>
    <mergeCell ref="BZ5:CB5"/>
    <mergeCell ref="CC5:CE5"/>
    <mergeCell ref="CF5:CH5"/>
    <mergeCell ref="CI5:CK5"/>
    <mergeCell ref="CL5:CN5"/>
    <mergeCell ref="AM5:AR5"/>
    <mergeCell ref="AY5:BD5"/>
    <mergeCell ref="BE5:BJ5"/>
    <mergeCell ref="AS5:AX5"/>
    <mergeCell ref="BK5:BM5"/>
    <mergeCell ref="C5:H5"/>
    <mergeCell ref="I5:N5"/>
    <mergeCell ref="O5:T5"/>
    <mergeCell ref="AA5:AF5"/>
    <mergeCell ref="AG5:AL5"/>
    <mergeCell ref="U5:Z5"/>
  </mergeCells>
  <conditionalFormatting sqref="C7:BJ31">
    <cfRule type="expression" dxfId="64" priority="1">
      <formula>C7=$P$2</formula>
    </cfRule>
    <cfRule type="expression" dxfId="63" priority="2">
      <formula>C7=$P$1</formula>
    </cfRule>
    <cfRule type="expression" dxfId="62" priority="51">
      <formula>C7=$C$3</formula>
    </cfRule>
    <cfRule type="expression" dxfId="61" priority="52">
      <formula>C7=$C$4</formula>
    </cfRule>
    <cfRule type="expression" dxfId="60" priority="53">
      <formula>C7=$C$2</formula>
    </cfRule>
    <cfRule type="expression" dxfId="59" priority="54">
      <formula>C7=$C$1</formula>
    </cfRule>
  </conditionalFormatting>
  <dataValidations count="4">
    <dataValidation type="list" allowBlank="1" showInputMessage="1" showErrorMessage="1" sqref="I7:I31" xr:uid="{B1385120-20BA-4E4C-952B-8F37CEEC8834}">
      <formula1>$C$1:$C$4</formula1>
    </dataValidation>
    <dataValidation type="date" allowBlank="1" showInputMessage="1" showErrorMessage="1" sqref="BK7:CQ31" xr:uid="{3E9B6BA4-0BDB-48F9-8EAD-5C122D6C86B7}">
      <formula1>45880</formula1>
      <formula2>47848</formula2>
    </dataValidation>
    <dataValidation type="list" allowBlank="1" showInputMessage="1" showErrorMessage="1" sqref="E7:H31 W7:AF31 AI7:AL31 AU7:AX31 BA7:BD31 K7:T31 AO7:AR31 BG7:BJ31" xr:uid="{056D6ED8-4B7B-42E1-B6B1-6AB6AD7B2D9D}">
      <formula1>"A,P,O,X,F"</formula1>
    </dataValidation>
    <dataValidation type="list" allowBlank="1" showInputMessage="1" showErrorMessage="1" sqref="J7:J1048576 AG7:AH1048576 C7:D1048576 AY7:AZ31 AA32:AB1048576 U7:V1048576 Z53 O32:P1048576 AM7:AN1048576 AS7:AT1048576 AY71:AZ1048576 BE71:BF1048576 BE7:BF31" xr:uid="{FC6061DF-0622-4D70-A89B-0E81AAC0B275}">
      <formula1>"A,P,O,X,R"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4109-C437-45CC-85EF-58DD23118F1C}">
  <sheetPr codeName="Feuil12"/>
  <dimension ref="A1:M139"/>
  <sheetViews>
    <sheetView workbookViewId="0">
      <selection activeCell="P20" sqref="P20"/>
    </sheetView>
  </sheetViews>
  <sheetFormatPr defaultColWidth="8.5703125" defaultRowHeight="14.45"/>
  <cols>
    <col min="1" max="1" width="10.5703125" bestFit="1" customWidth="1"/>
    <col min="4" max="4" width="9.140625" customWidth="1"/>
    <col min="5" max="5" width="9.140625" style="25"/>
    <col min="12" max="12" width="10.42578125" bestFit="1" customWidth="1"/>
  </cols>
  <sheetData>
    <row r="1" spans="1:10">
      <c r="B1" t="s">
        <v>202</v>
      </c>
      <c r="F1" t="s">
        <v>203</v>
      </c>
    </row>
    <row r="2" spans="1:10">
      <c r="A2" t="s">
        <v>28</v>
      </c>
      <c r="B2" s="140" t="s">
        <v>204</v>
      </c>
      <c r="C2" s="140" t="s">
        <v>205</v>
      </c>
      <c r="D2" s="140"/>
      <c r="E2" s="143" t="s">
        <v>206</v>
      </c>
      <c r="F2" s="138" t="s">
        <v>28</v>
      </c>
      <c r="G2" s="138" t="s">
        <v>204</v>
      </c>
      <c r="H2" s="138" t="s">
        <v>205</v>
      </c>
      <c r="I2" s="138"/>
      <c r="J2" s="142" t="s">
        <v>206</v>
      </c>
    </row>
    <row r="3" spans="1:10">
      <c r="A3" s="24" t="s">
        <v>207</v>
      </c>
      <c r="B3">
        <v>3</v>
      </c>
      <c r="C3">
        <f>IFERROR(
 --(INDEX('TH_MLG GRADE 10'!$C$7:$C$49,MATCH(LEFT($A3,LEN($A3)-2),'TH_MLG GRADE 10'!$B$7:$B$49,0))="P")+
 --(INDEX('TH_MLG GRADE 10'!$I$7:$I$49,MATCH(LEFT($A3,LEN($A3)-2),'TH_MLG GRADE 10'!$B$7:$B$49,0))="P")+
 --(INDEX('TH_MLG GRADE 10'!$O$7:$O$49,MATCH(LEFT($A3,LEN($A3)-2),'TH_MLG GRADE 10'!$B$7:$B$49,0))="P")+
 --(INDEX('TH_MLG GRADE 10'!$AA$7:$AA$49,MATCH(LEFT($A3,LEN($A3)-2),'TH_MLG GRADE 10'!$B$7:$B$49,0))="P")+
 --(INDEX('TH_MLG GRADE 10'!$AG$7:$AG$49,MATCH(LEFT($A3,LEN($A3)-2),'TH_MLG GRADE 10'!$B$7:$B$49,0))="P")+
 --(INDEX('TH_MLG GRADE 10'!$AM$7:$AM$49,MATCH(LEFT($A3,LEN($A3)-2),'TH_MLG GRADE 10'!$B$7:$B$49,0))="P")+
 --(INDEX('TH_MLG GRADE 10'!$AY$7:$AY$49,MATCH(LEFT($A3,LEN($A3)-2),'TH_MLG GRADE 10'!$B$7:$B$49,0))="P")+
 --(INDEX('TH_MLG GRADE 10'!$BE$7:$BE$49,MATCH(LEFT($A3,LEN($A3)-2),'TH_MLG GRADE 10'!$B$7:$B$49,0))="P")+
 --(INDEX('TH_MLG GRADE 10'!#REF!,MATCH(LEFT($A3,LEN($A3)-2),'TH_MLG GRADE 10'!$B$7:$B$49,0))="P")+
 --(INDEX('TH_MLG GRADE 10'!#REF!,MATCH(LEFT($A3,LEN($A3)-2),'TH_MLG GRADE 10'!$B$7:$B$49,0))="P"),
0)</f>
        <v>0</v>
      </c>
      <c r="D3" s="24" t="b">
        <f ca="1">IF(IF(_xlfn.XLOOKUP(LEFT(A3,LEN(A3)-2),'TH_MLG GRADE 10'!$B$7:$B$49,'TH_MLG GRADE 10'!$BK$7:$BK$49,"",0,1)=0,"",_xlfn.XLOOKUP(LEFT(A3,LEN(A3)-2),'TH_MLG GRADE 10'!$B$7:$B$49,'TH_MLG GRADE 10'!$BK$7:$BK$49,"",0,1))&lt;=TODAY(),TRUE,FALSE)</f>
        <v>1</v>
      </c>
      <c r="E3" s="25">
        <f ca="1">IFERROR(IF(D3=TRUE(),C3/B3,""),0)</f>
        <v>0</v>
      </c>
      <c r="F3" t="s">
        <v>207</v>
      </c>
      <c r="G3">
        <v>3</v>
      </c>
      <c r="H3">
        <f>IFERROR(
 --(INDEX('PW_MLG GRADE 10'!$D$7:$D$31,MATCH(LEFT($A3,LEN($A3)-2),'PW_MLG GRADE 10'!$C$7:$C$31,0))="P")+
 --(INDEX('PW_MLG GRADE 10'!$J$7:$J$31,MATCH(LEFT($A3,LEN($A3)-2),'PW_MLG GRADE 10'!$C$7:$C$31,0))="P")+
 --(INDEX('PW_MLG GRADE 10'!$P$7:$P$31,MATCH(LEFT($A3,LEN($A3)-2),'PW_MLG GRADE 10'!$C$7:$C$31,0))="P")+
 --(INDEX('PW_MLG GRADE 10'!$AB$7:$AB$31,MATCH(LEFT($A3,LEN($A3)-2),'PW_MLG GRADE 10'!$C$7:$C$31,0))="P")+
 --(INDEX('PW_MLG GRADE 10'!$AH$7:$AH$31,MATCH(LEFT($A3,LEN($A3)-2),'PW_MLG GRADE 10'!$C$7:$C$31,0))="P")+
 --(INDEX('PW_MLG GRADE 10'!$AN$7:$AN$31,MATCH(LEFT($A3,LEN($A3)-2),'PW_MLG GRADE 10'!$C$7:$C$31,0))="P")+
 --(INDEX('PW_MLG GRADE 10'!$AZ$7:$AZ$31,MATCH(LEFT($A3,LEN($A3)-2),'PW_MLG GRADE 10'!$C$7:$C$31,0))="P")+
 --(INDEX('PW_MLG GRADE 10'!$BF$7:$BF$31,MATCH(LEFT($A3,LEN($A3)-2),'PW_MLG GRADE 10'!$C$7:$C$31,0))="P")+
 --(INDEX('PW_MLG GRADE 10'!#REF!,MATCH(LEFT($A3,LEN($A3)-2),'PW_MLG GRADE 10'!$C$7:$C$31,0))="P")+
 --(INDEX('PW_MLG GRADE 10'!#REF!,MATCH(LEFT($A3,LEN($A3)-2),'PW_MLG GRADE 10'!$C$7:$C$31,0))="P"),
0)</f>
        <v>0</v>
      </c>
      <c r="I3" t="b">
        <v>0</v>
      </c>
      <c r="J3" t="str">
        <f>IFERROR(IF(I3=TRUE(),H3/G3,""),0)</f>
        <v/>
      </c>
    </row>
    <row r="4" spans="1:10">
      <c r="A4" s="24" t="s">
        <v>208</v>
      </c>
      <c r="B4">
        <v>3</v>
      </c>
      <c r="C4">
        <f>IFERROR(
 --(INDEX('TH_MLG GRADE 10'!$C$7:$C$49,MATCH(LEFT($A4,LEN($A4)-2),'TH_MLG GRADE 10'!$B$7:$B$49,0))="P")+
 --(INDEX('TH_MLG GRADE 10'!$I$7:$I$49,MATCH(LEFT($A4,LEN($A4)-2),'TH_MLG GRADE 10'!$B$7:$B$49,0))="P")+
 --(INDEX('TH_MLG GRADE 10'!$O$7:$O$49,MATCH(LEFT($A4,LEN($A4)-2),'TH_MLG GRADE 10'!$B$7:$B$49,0))="P")+
 --(INDEX('TH_MLG GRADE 10'!$AA$7:$AA$49,MATCH(LEFT($A4,LEN($A4)-2),'TH_MLG GRADE 10'!$B$7:$B$49,0))="P")+
 --(INDEX('TH_MLG GRADE 10'!$AG$7:$AG$49,MATCH(LEFT($A4,LEN($A4)-2),'TH_MLG GRADE 10'!$B$7:$B$49,0))="P")+
 --(INDEX('TH_MLG GRADE 10'!$AM$7:$AM$49,MATCH(LEFT($A4,LEN($A4)-2),'TH_MLG GRADE 10'!$B$7:$B$49,0))="P")+
 --(INDEX('TH_MLG GRADE 10'!$AY$7:$AY$49,MATCH(LEFT($A4,LEN($A4)-2),'TH_MLG GRADE 10'!$B$7:$B$49,0))="P")+
 --(INDEX('TH_MLG GRADE 10'!$BE$7:$BE$49,MATCH(LEFT($A4,LEN($A4)-2),'TH_MLG GRADE 10'!$B$7:$B$49,0))="P")+
 --(INDEX('TH_MLG GRADE 10'!#REF!,MATCH(LEFT($A4,LEN($A4)-2),'TH_MLG GRADE 10'!$B$7:$B$49,0))="P")+
 --(INDEX('TH_MLG GRADE 10'!#REF!,MATCH(LEFT($A4,LEN($A4)-2),'TH_MLG GRADE 10'!$B$7:$B$49,0))="P"),
0)</f>
        <v>0</v>
      </c>
      <c r="D4" s="24" t="b">
        <f ca="1">IF(IF(_xlfn.XLOOKUP(LEFT(A4,LEN(A4)-2),'TH_MLG GRADE 10'!$B$7:$B$49,'TH_MLG GRADE 10'!$BK$7:$BK$49,"",0,1)=0,"",_xlfn.XLOOKUP(LEFT(A4,LEN(A4)-2),'TH_MLG GRADE 10'!$B$7:$B$49,'TH_MLG GRADE 10'!$BK$7:$BK$49,"",0,1))&lt;=TODAY(),TRUE,FALSE)</f>
        <v>1</v>
      </c>
      <c r="E4" s="25">
        <f t="shared" ref="E4:E67" ca="1" si="0">IFERROR(IF(D4=TRUE(),C4/B4,""),0)</f>
        <v>0</v>
      </c>
      <c r="F4" t="s">
        <v>208</v>
      </c>
      <c r="G4">
        <v>3</v>
      </c>
      <c r="H4">
        <f>IFERROR(
 --(INDEX('PW_MLG GRADE 10'!$D$7:$D$31,MATCH(LEFT($A4,LEN($A4)-2),'PW_MLG GRADE 10'!$C$7:$C$31,0))="P")+
 --(INDEX('PW_MLG GRADE 10'!$J$7:$J$31,MATCH(LEFT($A4,LEN($A4)-2),'PW_MLG GRADE 10'!$C$7:$C$31,0))="P")+
 --(INDEX('PW_MLG GRADE 10'!$P$7:$P$31,MATCH(LEFT($A4,LEN($A4)-2),'PW_MLG GRADE 10'!$C$7:$C$31,0))="P")+
 --(INDEX('PW_MLG GRADE 10'!$AB$7:$AB$31,MATCH(LEFT($A4,LEN($A4)-2),'PW_MLG GRADE 10'!$C$7:$C$31,0))="P")+
 --(INDEX('PW_MLG GRADE 10'!$AH$7:$AH$31,MATCH(LEFT($A4,LEN($A4)-2),'PW_MLG GRADE 10'!$C$7:$C$31,0))="P")+
 --(INDEX('PW_MLG GRADE 10'!$AN$7:$AN$31,MATCH(LEFT($A4,LEN($A4)-2),'PW_MLG GRADE 10'!$C$7:$C$31,0))="P")+
 --(INDEX('PW_MLG GRADE 10'!$AZ$7:$AZ$31,MATCH(LEFT($A4,LEN($A4)-2),'PW_MLG GRADE 10'!$C$7:$C$31,0))="P")+
 --(INDEX('PW_MLG GRADE 10'!$BF$7:$BF$31,MATCH(LEFT($A4,LEN($A4)-2),'PW_MLG GRADE 10'!$C$7:$C$31,0))="P")+
 --(INDEX('PW_MLG GRADE 10'!#REF!,MATCH(LEFT($A4,LEN($A4)-2),'PW_MLG GRADE 10'!$C$7:$C$31,0))="P")+
 --(INDEX('PW_MLG GRADE 10'!#REF!,MATCH(LEFT($A4,LEN($A4)-2),'PW_MLG GRADE 10'!$C$7:$C$31,0))="P"),
0)</f>
        <v>0</v>
      </c>
      <c r="I4" t="b">
        <v>0</v>
      </c>
      <c r="J4" t="str">
        <f t="shared" ref="J4:J67" si="1">IFERROR(IF(I4=TRUE(),H4/G4,""),0)</f>
        <v/>
      </c>
    </row>
    <row r="5" spans="1:10">
      <c r="A5" s="24" t="s">
        <v>209</v>
      </c>
      <c r="B5">
        <v>3</v>
      </c>
      <c r="C5">
        <f>IFERROR(
 --(INDEX('TH_MLG GRADE 10'!$C$7:$C$49,MATCH(LEFT($A5,LEN($A5)-2),'TH_MLG GRADE 10'!$B$7:$B$49,0))="P")+
 --(INDEX('TH_MLG GRADE 10'!$I$7:$I$49,MATCH(LEFT($A5,LEN($A5)-2),'TH_MLG GRADE 10'!$B$7:$B$49,0))="P")+
 --(INDEX('TH_MLG GRADE 10'!$O$7:$O$49,MATCH(LEFT($A5,LEN($A5)-2),'TH_MLG GRADE 10'!$B$7:$B$49,0))="P")+
 --(INDEX('TH_MLG GRADE 10'!$AA$7:$AA$49,MATCH(LEFT($A5,LEN($A5)-2),'TH_MLG GRADE 10'!$B$7:$B$49,0))="P")+
 --(INDEX('TH_MLG GRADE 10'!$AG$7:$AG$49,MATCH(LEFT($A5,LEN($A5)-2),'TH_MLG GRADE 10'!$B$7:$B$49,0))="P")+
 --(INDEX('TH_MLG GRADE 10'!$AM$7:$AM$49,MATCH(LEFT($A5,LEN($A5)-2),'TH_MLG GRADE 10'!$B$7:$B$49,0))="P")+
 --(INDEX('TH_MLG GRADE 10'!$AY$7:$AY$49,MATCH(LEFT($A5,LEN($A5)-2),'TH_MLG GRADE 10'!$B$7:$B$49,0))="P")+
 --(INDEX('TH_MLG GRADE 10'!$BE$7:$BE$49,MATCH(LEFT($A5,LEN($A5)-2),'TH_MLG GRADE 10'!$B$7:$B$49,0))="P")+
 --(INDEX('TH_MLG GRADE 10'!#REF!,MATCH(LEFT($A5,LEN($A5)-2),'TH_MLG GRADE 10'!$B$7:$B$49,0))="P")+
 --(INDEX('TH_MLG GRADE 10'!#REF!,MATCH(LEFT($A5,LEN($A5)-2),'TH_MLG GRADE 10'!$B$7:$B$49,0))="P"),
0)</f>
        <v>0</v>
      </c>
      <c r="D5" s="24" t="b">
        <f ca="1">IF(IF(_xlfn.XLOOKUP(LEFT(A5,LEN(A5)-2),'TH_MLG GRADE 10'!$B$7:$B$49,'TH_MLG GRADE 10'!$BK$7:$BK$49,"",0,1)=0,"",_xlfn.XLOOKUP(LEFT(A5,LEN(A5)-2),'TH_MLG GRADE 10'!$B$7:$B$49,'TH_MLG GRADE 10'!$BK$7:$BK$49,"",0,1))&lt;=TODAY(),TRUE,FALSE)</f>
        <v>1</v>
      </c>
      <c r="E5" s="25">
        <f t="shared" ca="1" si="0"/>
        <v>0</v>
      </c>
      <c r="F5" t="s">
        <v>209</v>
      </c>
      <c r="G5">
        <v>3</v>
      </c>
      <c r="H5">
        <f>IFERROR(
 --(INDEX('PW_MLG GRADE 10'!$D$7:$D$31,MATCH(LEFT($A5,LEN($A5)-2),'PW_MLG GRADE 10'!$C$7:$C$31,0))="P")+
 --(INDEX('PW_MLG GRADE 10'!$J$7:$J$31,MATCH(LEFT($A5,LEN($A5)-2),'PW_MLG GRADE 10'!$C$7:$C$31,0))="P")+
 --(INDEX('PW_MLG GRADE 10'!$P$7:$P$31,MATCH(LEFT($A5,LEN($A5)-2),'PW_MLG GRADE 10'!$C$7:$C$31,0))="P")+
 --(INDEX('PW_MLG GRADE 10'!$AB$7:$AB$31,MATCH(LEFT($A5,LEN($A5)-2),'PW_MLG GRADE 10'!$C$7:$C$31,0))="P")+
 --(INDEX('PW_MLG GRADE 10'!$AH$7:$AH$31,MATCH(LEFT($A5,LEN($A5)-2),'PW_MLG GRADE 10'!$C$7:$C$31,0))="P")+
 --(INDEX('PW_MLG GRADE 10'!$AN$7:$AN$31,MATCH(LEFT($A5,LEN($A5)-2),'PW_MLG GRADE 10'!$C$7:$C$31,0))="P")+
 --(INDEX('PW_MLG GRADE 10'!$AZ$7:$AZ$31,MATCH(LEFT($A5,LEN($A5)-2),'PW_MLG GRADE 10'!$C$7:$C$31,0))="P")+
 --(INDEX('PW_MLG GRADE 10'!$BF$7:$BF$31,MATCH(LEFT($A5,LEN($A5)-2),'PW_MLG GRADE 10'!$C$7:$C$31,0))="P")+
 --(INDEX('PW_MLG GRADE 10'!#REF!,MATCH(LEFT($A5,LEN($A5)-2),'PW_MLG GRADE 10'!$C$7:$C$31,0))="P")+
 --(INDEX('PW_MLG GRADE 10'!#REF!,MATCH(LEFT($A5,LEN($A5)-2),'PW_MLG GRADE 10'!$C$7:$C$31,0))="P"),
0)</f>
        <v>0</v>
      </c>
      <c r="I5" t="b">
        <v>0</v>
      </c>
      <c r="J5" t="str">
        <f t="shared" si="1"/>
        <v/>
      </c>
    </row>
    <row r="6" spans="1:10">
      <c r="A6" s="24" t="s">
        <v>210</v>
      </c>
      <c r="B6">
        <v>3</v>
      </c>
      <c r="C6">
        <f>IFERROR(
 --(INDEX('TH_MLG GRADE 10'!$C$7:$C$49,MATCH(LEFT($A6,LEN($A6)-2),'TH_MLG GRADE 10'!$B$7:$B$49,0))="P")+
 --(INDEX('TH_MLG GRADE 10'!$I$7:$I$49,MATCH(LEFT($A6,LEN($A6)-2),'TH_MLG GRADE 10'!$B$7:$B$49,0))="P")+
 --(INDEX('TH_MLG GRADE 10'!$O$7:$O$49,MATCH(LEFT($A6,LEN($A6)-2),'TH_MLG GRADE 10'!$B$7:$B$49,0))="P")+
 --(INDEX('TH_MLG GRADE 10'!$AA$7:$AA$49,MATCH(LEFT($A6,LEN($A6)-2),'TH_MLG GRADE 10'!$B$7:$B$49,0))="P")+
 --(INDEX('TH_MLG GRADE 10'!$AG$7:$AG$49,MATCH(LEFT($A6,LEN($A6)-2),'TH_MLG GRADE 10'!$B$7:$B$49,0))="P")+
 --(INDEX('TH_MLG GRADE 10'!$AM$7:$AM$49,MATCH(LEFT($A6,LEN($A6)-2),'TH_MLG GRADE 10'!$B$7:$B$49,0))="P")+
 --(INDEX('TH_MLG GRADE 10'!$AY$7:$AY$49,MATCH(LEFT($A6,LEN($A6)-2),'TH_MLG GRADE 10'!$B$7:$B$49,0))="P")+
 --(INDEX('TH_MLG GRADE 10'!$BE$7:$BE$49,MATCH(LEFT($A6,LEN($A6)-2),'TH_MLG GRADE 10'!$B$7:$B$49,0))="P")+
 --(INDEX('TH_MLG GRADE 10'!#REF!,MATCH(LEFT($A6,LEN($A6)-2),'TH_MLG GRADE 10'!$B$7:$B$49,0))="P")+
 --(INDEX('TH_MLG GRADE 10'!#REF!,MATCH(LEFT($A6,LEN($A6)-2),'TH_MLG GRADE 10'!$B$7:$B$49,0))="P"),
0)</f>
        <v>0</v>
      </c>
      <c r="D6" s="24" t="b">
        <f ca="1">IF(IF(_xlfn.XLOOKUP(LEFT(A6,LEN(A6)-2),'TH_MLG GRADE 10'!$B$7:$B$49,'TH_MLG GRADE 10'!$BK$7:$BK$49,"",0,1)=0,"",_xlfn.XLOOKUP(LEFT(A6,LEN(A6)-2),'TH_MLG GRADE 10'!$B$7:$B$49,'TH_MLG GRADE 10'!$BK$7:$BK$49,"",0,1))&lt;=TODAY(),TRUE,FALSE)</f>
        <v>1</v>
      </c>
      <c r="E6" s="25">
        <f t="shared" ca="1" si="0"/>
        <v>0</v>
      </c>
      <c r="F6" t="s">
        <v>210</v>
      </c>
      <c r="G6">
        <v>3</v>
      </c>
      <c r="H6">
        <f>IFERROR(
 --(INDEX('PW_MLG GRADE 10'!$D$7:$D$31,MATCH(LEFT($A6,LEN($A6)-2),'PW_MLG GRADE 10'!$C$7:$C$31,0))="P")+
 --(INDEX('PW_MLG GRADE 10'!$J$7:$J$31,MATCH(LEFT($A6,LEN($A6)-2),'PW_MLG GRADE 10'!$C$7:$C$31,0))="P")+
 --(INDEX('PW_MLG GRADE 10'!$P$7:$P$31,MATCH(LEFT($A6,LEN($A6)-2),'PW_MLG GRADE 10'!$C$7:$C$31,0))="P")+
 --(INDEX('PW_MLG GRADE 10'!$AB$7:$AB$31,MATCH(LEFT($A6,LEN($A6)-2),'PW_MLG GRADE 10'!$C$7:$C$31,0))="P")+
 --(INDEX('PW_MLG GRADE 10'!$AH$7:$AH$31,MATCH(LEFT($A6,LEN($A6)-2),'PW_MLG GRADE 10'!$C$7:$C$31,0))="P")+
 --(INDEX('PW_MLG GRADE 10'!$AN$7:$AN$31,MATCH(LEFT($A6,LEN($A6)-2),'PW_MLG GRADE 10'!$C$7:$C$31,0))="P")+
 --(INDEX('PW_MLG GRADE 10'!$AZ$7:$AZ$31,MATCH(LEFT($A6,LEN($A6)-2),'PW_MLG GRADE 10'!$C$7:$C$31,0))="P")+
 --(INDEX('PW_MLG GRADE 10'!$BF$7:$BF$31,MATCH(LEFT($A6,LEN($A6)-2),'PW_MLG GRADE 10'!$C$7:$C$31,0))="P")+
 --(INDEX('PW_MLG GRADE 10'!#REF!,MATCH(LEFT($A6,LEN($A6)-2),'PW_MLG GRADE 10'!$C$7:$C$31,0))="P")+
 --(INDEX('PW_MLG GRADE 10'!#REF!,MATCH(LEFT($A6,LEN($A6)-2),'PW_MLG GRADE 10'!$C$7:$C$31,0))="P"),
0)</f>
        <v>0</v>
      </c>
      <c r="I6" t="e">
        <f ca="1">IF(IF(_xlfn.XLOOKUP(LEFT(F6,LEN(F6)-2),'PW_MLG GRADE 10'!$B$7:$B$31,'PW_MLG GRADE 10'!#REF!,"",0,1)=0,"",_xlfn.XLOOKUP(LEFT(F6,LEN(F6)-2),'PW_MLG GRADE 10'!$B$7:$B$31,'PW_MLG GRADE 10'!#REF!,"",0,1))&lt;=TODAY(),TRUE,FALSE)</f>
        <v>#REF!</v>
      </c>
      <c r="J6">
        <f t="shared" ca="1" si="1"/>
        <v>0</v>
      </c>
    </row>
    <row r="7" spans="1:10">
      <c r="A7" s="24" t="s">
        <v>211</v>
      </c>
      <c r="B7">
        <v>3</v>
      </c>
      <c r="C7">
        <f>IFERROR(
 --(INDEX('TH_MLG GRADE 10'!$C$7:$C$49,MATCH(LEFT($A7,LEN($A7)-2),'TH_MLG GRADE 10'!$B$7:$B$49,0))="P")+
 --(INDEX('TH_MLG GRADE 10'!$I$7:$I$49,MATCH(LEFT($A7,LEN($A7)-2),'TH_MLG GRADE 10'!$B$7:$B$49,0))="P")+
 --(INDEX('TH_MLG GRADE 10'!$O$7:$O$49,MATCH(LEFT($A7,LEN($A7)-2),'TH_MLG GRADE 10'!$B$7:$B$49,0))="P")+
 --(INDEX('TH_MLG GRADE 10'!$AA$7:$AA$49,MATCH(LEFT($A7,LEN($A7)-2),'TH_MLG GRADE 10'!$B$7:$B$49,0))="P")+
 --(INDEX('TH_MLG GRADE 10'!$AG$7:$AG$49,MATCH(LEFT($A7,LEN($A7)-2),'TH_MLG GRADE 10'!$B$7:$B$49,0))="P")+
 --(INDEX('TH_MLG GRADE 10'!$AM$7:$AM$49,MATCH(LEFT($A7,LEN($A7)-2),'TH_MLG GRADE 10'!$B$7:$B$49,0))="P")+
 --(INDEX('TH_MLG GRADE 10'!$AY$7:$AY$49,MATCH(LEFT($A7,LEN($A7)-2),'TH_MLG GRADE 10'!$B$7:$B$49,0))="P")+
 --(INDEX('TH_MLG GRADE 10'!$BE$7:$BE$49,MATCH(LEFT($A7,LEN($A7)-2),'TH_MLG GRADE 10'!$B$7:$B$49,0))="P")+
 --(INDEX('TH_MLG GRADE 10'!#REF!,MATCH(LEFT($A7,LEN($A7)-2),'TH_MLG GRADE 10'!$B$7:$B$49,0))="P")+
 --(INDEX('TH_MLG GRADE 10'!#REF!,MATCH(LEFT($A7,LEN($A7)-2),'TH_MLG GRADE 10'!$B$7:$B$49,0))="P"),
0)</f>
        <v>0</v>
      </c>
      <c r="D7" s="24" t="b">
        <f ca="1">IF(IF(_xlfn.XLOOKUP(LEFT(A7,LEN(A7)-2),'TH_MLG GRADE 10'!$B$7:$B$49,'TH_MLG GRADE 10'!$BK$7:$BK$49,"",0,1)=0,"",_xlfn.XLOOKUP(LEFT(A7,LEN(A7)-2),'TH_MLG GRADE 10'!$B$7:$B$49,'TH_MLG GRADE 10'!$BK$7:$BK$49,"",0,1))&lt;=TODAY(),TRUE,FALSE)</f>
        <v>1</v>
      </c>
      <c r="E7" s="25">
        <f t="shared" ca="1" si="0"/>
        <v>0</v>
      </c>
      <c r="F7" t="s">
        <v>211</v>
      </c>
      <c r="G7">
        <v>3</v>
      </c>
      <c r="H7">
        <f>IFERROR(
 --(INDEX('PW_MLG GRADE 10'!$D$7:$D$31,MATCH(LEFT($A7,LEN($A7)-2),'PW_MLG GRADE 10'!$C$7:$C$31,0))="P")+
 --(INDEX('PW_MLG GRADE 10'!$J$7:$J$31,MATCH(LEFT($A7,LEN($A7)-2),'PW_MLG GRADE 10'!$C$7:$C$31,0))="P")+
 --(INDEX('PW_MLG GRADE 10'!$P$7:$P$31,MATCH(LEFT($A7,LEN($A7)-2),'PW_MLG GRADE 10'!$C$7:$C$31,0))="P")+
 --(INDEX('PW_MLG GRADE 10'!$AB$7:$AB$31,MATCH(LEFT($A7,LEN($A7)-2),'PW_MLG GRADE 10'!$C$7:$C$31,0))="P")+
 --(INDEX('PW_MLG GRADE 10'!$AH$7:$AH$31,MATCH(LEFT($A7,LEN($A7)-2),'PW_MLG GRADE 10'!$C$7:$C$31,0))="P")+
 --(INDEX('PW_MLG GRADE 10'!$AN$7:$AN$31,MATCH(LEFT($A7,LEN($A7)-2),'PW_MLG GRADE 10'!$C$7:$C$31,0))="P")+
 --(INDEX('PW_MLG GRADE 10'!$AZ$7:$AZ$31,MATCH(LEFT($A7,LEN($A7)-2),'PW_MLG GRADE 10'!$C$7:$C$31,0))="P")+
 --(INDEX('PW_MLG GRADE 10'!$BF$7:$BF$31,MATCH(LEFT($A7,LEN($A7)-2),'PW_MLG GRADE 10'!$C$7:$C$31,0))="P")+
 --(INDEX('PW_MLG GRADE 10'!#REF!,MATCH(LEFT($A7,LEN($A7)-2),'PW_MLG GRADE 10'!$C$7:$C$31,0))="P")+
 --(INDEX('PW_MLG GRADE 10'!#REF!,MATCH(LEFT($A7,LEN($A7)-2),'PW_MLG GRADE 10'!$C$7:$C$31,0))="P"),
0)</f>
        <v>0</v>
      </c>
      <c r="I7" t="e">
        <f ca="1">IF(IF(_xlfn.XLOOKUP(LEFT(F7,LEN(F7)-2),'PW_MLG GRADE 10'!$B$7:$B$31,'PW_MLG GRADE 10'!#REF!,"",0,1)=0,"",_xlfn.XLOOKUP(LEFT(F7,LEN(F7)-2),'PW_MLG GRADE 10'!$B$7:$B$31,'PW_MLG GRADE 10'!#REF!,"",0,1))&lt;=TODAY(),TRUE,FALSE)</f>
        <v>#REF!</v>
      </c>
      <c r="J7">
        <f t="shared" ca="1" si="1"/>
        <v>0</v>
      </c>
    </row>
    <row r="8" spans="1:10">
      <c r="A8" s="24" t="s">
        <v>212</v>
      </c>
      <c r="B8">
        <v>3</v>
      </c>
      <c r="C8">
        <f>IFERROR(
 --(INDEX('TH_MLG GRADE 10'!$C$7:$C$49,MATCH(LEFT($A8,LEN($A8)-2),'TH_MLG GRADE 10'!$B$7:$B$49,0))="P")+
 --(INDEX('TH_MLG GRADE 10'!$I$7:$I$49,MATCH(LEFT($A8,LEN($A8)-2),'TH_MLG GRADE 10'!$B$7:$B$49,0))="P")+
 --(INDEX('TH_MLG GRADE 10'!$O$7:$O$49,MATCH(LEFT($A8,LEN($A8)-2),'TH_MLG GRADE 10'!$B$7:$B$49,0))="P")+
 --(INDEX('TH_MLG GRADE 10'!$AA$7:$AA$49,MATCH(LEFT($A8,LEN($A8)-2),'TH_MLG GRADE 10'!$B$7:$B$49,0))="P")+
 --(INDEX('TH_MLG GRADE 10'!$AG$7:$AG$49,MATCH(LEFT($A8,LEN($A8)-2),'TH_MLG GRADE 10'!$B$7:$B$49,0))="P")+
 --(INDEX('TH_MLG GRADE 10'!$AM$7:$AM$49,MATCH(LEFT($A8,LEN($A8)-2),'TH_MLG GRADE 10'!$B$7:$B$49,0))="P")+
 --(INDEX('TH_MLG GRADE 10'!$AY$7:$AY$49,MATCH(LEFT($A8,LEN($A8)-2),'TH_MLG GRADE 10'!$B$7:$B$49,0))="P")+
 --(INDEX('TH_MLG GRADE 10'!$BE$7:$BE$49,MATCH(LEFT($A8,LEN($A8)-2),'TH_MLG GRADE 10'!$B$7:$B$49,0))="P")+
 --(INDEX('TH_MLG GRADE 10'!#REF!,MATCH(LEFT($A8,LEN($A8)-2),'TH_MLG GRADE 10'!$B$7:$B$49,0))="P")+
 --(INDEX('TH_MLG GRADE 10'!#REF!,MATCH(LEFT($A8,LEN($A8)-2),'TH_MLG GRADE 10'!$B$7:$B$49,0))="P"),
0)</f>
        <v>0</v>
      </c>
      <c r="D8" s="24" t="b">
        <f ca="1">IF(IF(_xlfn.XLOOKUP(LEFT(A8,LEN(A8)-2),'TH_MLG GRADE 10'!$B$7:$B$49,'TH_MLG GRADE 10'!$BK$7:$BK$49,"",0,1)=0,"",_xlfn.XLOOKUP(LEFT(A8,LEN(A8)-2),'TH_MLG GRADE 10'!$B$7:$B$49,'TH_MLG GRADE 10'!$BK$7:$BK$49,"",0,1))&lt;=TODAY(),TRUE,FALSE)</f>
        <v>1</v>
      </c>
      <c r="E8" s="25">
        <f t="shared" ca="1" si="0"/>
        <v>0</v>
      </c>
      <c r="F8" t="s">
        <v>212</v>
      </c>
      <c r="G8">
        <v>3</v>
      </c>
      <c r="H8">
        <f>IFERROR(
 --(INDEX('PW_MLG GRADE 10'!$D$7:$D$31,MATCH(LEFT($A8,LEN($A8)-2),'PW_MLG GRADE 10'!$C$7:$C$31,0))="P")+
 --(INDEX('PW_MLG GRADE 10'!$J$7:$J$31,MATCH(LEFT($A8,LEN($A8)-2),'PW_MLG GRADE 10'!$C$7:$C$31,0))="P")+
 --(INDEX('PW_MLG GRADE 10'!$P$7:$P$31,MATCH(LEFT($A8,LEN($A8)-2),'PW_MLG GRADE 10'!$C$7:$C$31,0))="P")+
 --(INDEX('PW_MLG GRADE 10'!$AB$7:$AB$31,MATCH(LEFT($A8,LEN($A8)-2),'PW_MLG GRADE 10'!$C$7:$C$31,0))="P")+
 --(INDEX('PW_MLG GRADE 10'!$AH$7:$AH$31,MATCH(LEFT($A8,LEN($A8)-2),'PW_MLG GRADE 10'!$C$7:$C$31,0))="P")+
 --(INDEX('PW_MLG GRADE 10'!$AN$7:$AN$31,MATCH(LEFT($A8,LEN($A8)-2),'PW_MLG GRADE 10'!$C$7:$C$31,0))="P")+
 --(INDEX('PW_MLG GRADE 10'!$AZ$7:$AZ$31,MATCH(LEFT($A8,LEN($A8)-2),'PW_MLG GRADE 10'!$C$7:$C$31,0))="P")+
 --(INDEX('PW_MLG GRADE 10'!$BF$7:$BF$31,MATCH(LEFT($A8,LEN($A8)-2),'PW_MLG GRADE 10'!$C$7:$C$31,0))="P")+
 --(INDEX('PW_MLG GRADE 10'!#REF!,MATCH(LEFT($A8,LEN($A8)-2),'PW_MLG GRADE 10'!$C$7:$C$31,0))="P")+
 --(INDEX('PW_MLG GRADE 10'!#REF!,MATCH(LEFT($A8,LEN($A8)-2),'PW_MLG GRADE 10'!$C$7:$C$31,0))="P"),
0)</f>
        <v>0</v>
      </c>
      <c r="I8" t="e">
        <f ca="1">IF(IF(_xlfn.XLOOKUP(LEFT(F8,LEN(F8)-2),'PW_MLG GRADE 10'!$B$7:$B$31,'PW_MLG GRADE 10'!#REF!,"",0,1)=0,"",_xlfn.XLOOKUP(LEFT(F8,LEN(F8)-2),'PW_MLG GRADE 10'!$B$7:$B$31,'PW_MLG GRADE 10'!#REF!,"",0,1))&lt;=TODAY(),TRUE,FALSE)</f>
        <v>#REF!</v>
      </c>
      <c r="J8">
        <f t="shared" ca="1" si="1"/>
        <v>0</v>
      </c>
    </row>
    <row r="9" spans="1:10">
      <c r="A9" s="24" t="s">
        <v>213</v>
      </c>
      <c r="B9">
        <v>3</v>
      </c>
      <c r="C9">
        <f>IFERROR(
 --(INDEX('TH_MLG GRADE 10'!$C$7:$C$49,MATCH(LEFT($A9,LEN($A9)-2),'TH_MLG GRADE 10'!$B$7:$B$49,0))="P")+
 --(INDEX('TH_MLG GRADE 10'!$I$7:$I$49,MATCH(LEFT($A9,LEN($A9)-2),'TH_MLG GRADE 10'!$B$7:$B$49,0))="P")+
 --(INDEX('TH_MLG GRADE 10'!$O$7:$O$49,MATCH(LEFT($A9,LEN($A9)-2),'TH_MLG GRADE 10'!$B$7:$B$49,0))="P")+
 --(INDEX('TH_MLG GRADE 10'!$AA$7:$AA$49,MATCH(LEFT($A9,LEN($A9)-2),'TH_MLG GRADE 10'!$B$7:$B$49,0))="P")+
 --(INDEX('TH_MLG GRADE 10'!$AG$7:$AG$49,MATCH(LEFT($A9,LEN($A9)-2),'TH_MLG GRADE 10'!$B$7:$B$49,0))="P")+
 --(INDEX('TH_MLG GRADE 10'!$AM$7:$AM$49,MATCH(LEFT($A9,LEN($A9)-2),'TH_MLG GRADE 10'!$B$7:$B$49,0))="P")+
 --(INDEX('TH_MLG GRADE 10'!$AY$7:$AY$49,MATCH(LEFT($A9,LEN($A9)-2),'TH_MLG GRADE 10'!$B$7:$B$49,0))="P")+
 --(INDEX('TH_MLG GRADE 10'!$BE$7:$BE$49,MATCH(LEFT($A9,LEN($A9)-2),'TH_MLG GRADE 10'!$B$7:$B$49,0))="P")+
 --(INDEX('TH_MLG GRADE 10'!#REF!,MATCH(LEFT($A9,LEN($A9)-2),'TH_MLG GRADE 10'!$B$7:$B$49,0))="P")+
 --(INDEX('TH_MLG GRADE 10'!#REF!,MATCH(LEFT($A9,LEN($A9)-2),'TH_MLG GRADE 10'!$B$7:$B$49,0))="P"),
0)</f>
        <v>0</v>
      </c>
      <c r="D9" s="24" t="b">
        <f ca="1">IF(IF(_xlfn.XLOOKUP(LEFT(A9,LEN(A9)-2),'TH_MLG GRADE 10'!$B$7:$B$49,'TH_MLG GRADE 10'!$BK$7:$BK$49,"",0,1)=0,"",_xlfn.XLOOKUP(LEFT(A9,LEN(A9)-2),'TH_MLG GRADE 10'!$B$7:$B$49,'TH_MLG GRADE 10'!$BK$7:$BK$49,"",0,1))&lt;=TODAY(),TRUE,FALSE)</f>
        <v>1</v>
      </c>
      <c r="E9" s="25">
        <f t="shared" ca="1" si="0"/>
        <v>0</v>
      </c>
      <c r="F9" t="s">
        <v>213</v>
      </c>
      <c r="G9">
        <v>3</v>
      </c>
      <c r="H9">
        <f>IFERROR(
 --(INDEX('PW_MLG GRADE 10'!$D$7:$D$31,MATCH(LEFT($A9,LEN($A9)-2),'PW_MLG GRADE 10'!$C$7:$C$31,0))="P")+
 --(INDEX('PW_MLG GRADE 10'!$J$7:$J$31,MATCH(LEFT($A9,LEN($A9)-2),'PW_MLG GRADE 10'!$C$7:$C$31,0))="P")+
 --(INDEX('PW_MLG GRADE 10'!$P$7:$P$31,MATCH(LEFT($A9,LEN($A9)-2),'PW_MLG GRADE 10'!$C$7:$C$31,0))="P")+
 --(INDEX('PW_MLG GRADE 10'!$AB$7:$AB$31,MATCH(LEFT($A9,LEN($A9)-2),'PW_MLG GRADE 10'!$C$7:$C$31,0))="P")+
 --(INDEX('PW_MLG GRADE 10'!$AH$7:$AH$31,MATCH(LEFT($A9,LEN($A9)-2),'PW_MLG GRADE 10'!$C$7:$C$31,0))="P")+
 --(INDEX('PW_MLG GRADE 10'!$AN$7:$AN$31,MATCH(LEFT($A9,LEN($A9)-2),'PW_MLG GRADE 10'!$C$7:$C$31,0))="P")+
 --(INDEX('PW_MLG GRADE 10'!$AZ$7:$AZ$31,MATCH(LEFT($A9,LEN($A9)-2),'PW_MLG GRADE 10'!$C$7:$C$31,0))="P")+
 --(INDEX('PW_MLG GRADE 10'!$BF$7:$BF$31,MATCH(LEFT($A9,LEN($A9)-2),'PW_MLG GRADE 10'!$C$7:$C$31,0))="P")+
 --(INDEX('PW_MLG GRADE 10'!#REF!,MATCH(LEFT($A9,LEN($A9)-2),'PW_MLG GRADE 10'!$C$7:$C$31,0))="P")+
 --(INDEX('PW_MLG GRADE 10'!#REF!,MATCH(LEFT($A9,LEN($A9)-2),'PW_MLG GRADE 10'!$C$7:$C$31,0))="P"),
0)</f>
        <v>0</v>
      </c>
      <c r="I9" t="e">
        <f ca="1">IF(IF(_xlfn.XLOOKUP(LEFT(F9,LEN(F9)-2),'PW_MLG GRADE 10'!$B$7:$B$31,'PW_MLG GRADE 10'!#REF!,"",0,1)=0,"",_xlfn.XLOOKUP(LEFT(F9,LEN(F9)-2),'PW_MLG GRADE 10'!$B$7:$B$31,'PW_MLG GRADE 10'!#REF!,"",0,1))&lt;=TODAY(),TRUE,FALSE)</f>
        <v>#REF!</v>
      </c>
      <c r="J9">
        <f t="shared" ca="1" si="1"/>
        <v>0</v>
      </c>
    </row>
    <row r="10" spans="1:10">
      <c r="A10" s="24" t="s">
        <v>214</v>
      </c>
      <c r="B10">
        <v>3</v>
      </c>
      <c r="C10">
        <f>IFERROR(
 --(INDEX('TH_MLG GRADE 10'!$C$7:$C$49,MATCH(LEFT($A10,LEN($A10)-2),'TH_MLG GRADE 10'!$B$7:$B$49,0))="P")+
 --(INDEX('TH_MLG GRADE 10'!$I$7:$I$49,MATCH(LEFT($A10,LEN($A10)-2),'TH_MLG GRADE 10'!$B$7:$B$49,0))="P")+
 --(INDEX('TH_MLG GRADE 10'!$O$7:$O$49,MATCH(LEFT($A10,LEN($A10)-2),'TH_MLG GRADE 10'!$B$7:$B$49,0))="P")+
 --(INDEX('TH_MLG GRADE 10'!$AA$7:$AA$49,MATCH(LEFT($A10,LEN($A10)-2),'TH_MLG GRADE 10'!$B$7:$B$49,0))="P")+
 --(INDEX('TH_MLG GRADE 10'!$AG$7:$AG$49,MATCH(LEFT($A10,LEN($A10)-2),'TH_MLG GRADE 10'!$B$7:$B$49,0))="P")+
 --(INDEX('TH_MLG GRADE 10'!$AM$7:$AM$49,MATCH(LEFT($A10,LEN($A10)-2),'TH_MLG GRADE 10'!$B$7:$B$49,0))="P")+
 --(INDEX('TH_MLG GRADE 10'!$AY$7:$AY$49,MATCH(LEFT($A10,LEN($A10)-2),'TH_MLG GRADE 10'!$B$7:$B$49,0))="P")+
 --(INDEX('TH_MLG GRADE 10'!$BE$7:$BE$49,MATCH(LEFT($A10,LEN($A10)-2),'TH_MLG GRADE 10'!$B$7:$B$49,0))="P")+
 --(INDEX('TH_MLG GRADE 10'!#REF!,MATCH(LEFT($A10,LEN($A10)-2),'TH_MLG GRADE 10'!$B$7:$B$49,0))="P")+
 --(INDEX('TH_MLG GRADE 10'!#REF!,MATCH(LEFT($A10,LEN($A10)-2),'TH_MLG GRADE 10'!$B$7:$B$49,0))="P"),
0)</f>
        <v>0</v>
      </c>
      <c r="D10" s="24" t="b">
        <f ca="1">IF(IF(_xlfn.XLOOKUP(LEFT(A10,LEN(A10)-2),'TH_MLG GRADE 10'!$B$7:$B$49,'TH_MLG GRADE 10'!$BK$7:$BK$49,"",0,1)=0,"",_xlfn.XLOOKUP(LEFT(A10,LEN(A10)-2),'TH_MLG GRADE 10'!$B$7:$B$49,'TH_MLG GRADE 10'!$BK$7:$BK$49,"",0,1))&lt;=TODAY(),TRUE,FALSE)</f>
        <v>1</v>
      </c>
      <c r="E10" s="25">
        <f t="shared" ca="1" si="0"/>
        <v>0</v>
      </c>
      <c r="F10" t="s">
        <v>214</v>
      </c>
      <c r="G10">
        <v>3</v>
      </c>
      <c r="H10">
        <f>IFERROR(
 --(INDEX('PW_MLG GRADE 10'!$D$7:$D$31,MATCH(LEFT($A10,LEN($A10)-2),'PW_MLG GRADE 10'!$C$7:$C$31,0))="P")+
 --(INDEX('PW_MLG GRADE 10'!$J$7:$J$31,MATCH(LEFT($A10,LEN($A10)-2),'PW_MLG GRADE 10'!$C$7:$C$31,0))="P")+
 --(INDEX('PW_MLG GRADE 10'!$P$7:$P$31,MATCH(LEFT($A10,LEN($A10)-2),'PW_MLG GRADE 10'!$C$7:$C$31,0))="P")+
 --(INDEX('PW_MLG GRADE 10'!$AB$7:$AB$31,MATCH(LEFT($A10,LEN($A10)-2),'PW_MLG GRADE 10'!$C$7:$C$31,0))="P")+
 --(INDEX('PW_MLG GRADE 10'!$AH$7:$AH$31,MATCH(LEFT($A10,LEN($A10)-2),'PW_MLG GRADE 10'!$C$7:$C$31,0))="P")+
 --(INDEX('PW_MLG GRADE 10'!$AN$7:$AN$31,MATCH(LEFT($A10,LEN($A10)-2),'PW_MLG GRADE 10'!$C$7:$C$31,0))="P")+
 --(INDEX('PW_MLG GRADE 10'!$AZ$7:$AZ$31,MATCH(LEFT($A10,LEN($A10)-2),'PW_MLG GRADE 10'!$C$7:$C$31,0))="P")+
 --(INDEX('PW_MLG GRADE 10'!$BF$7:$BF$31,MATCH(LEFT($A10,LEN($A10)-2),'PW_MLG GRADE 10'!$C$7:$C$31,0))="P")+
 --(INDEX('PW_MLG GRADE 10'!#REF!,MATCH(LEFT($A10,LEN($A10)-2),'PW_MLG GRADE 10'!$C$7:$C$31,0))="P")+
 --(INDEX('PW_MLG GRADE 10'!#REF!,MATCH(LEFT($A10,LEN($A10)-2),'PW_MLG GRADE 10'!$C$7:$C$31,0))="P"),
0)</f>
        <v>0</v>
      </c>
      <c r="I10" t="e">
        <f ca="1">IF(IF(_xlfn.XLOOKUP(LEFT(F10,LEN(F10)-2),'PW_MLG GRADE 10'!$B$7:$B$31,'PW_MLG GRADE 10'!#REF!,"",0,1)=0,"",_xlfn.XLOOKUP(LEFT(F10,LEN(F10)-2),'PW_MLG GRADE 10'!$B$7:$B$31,'PW_MLG GRADE 10'!#REF!,"",0,1))&lt;=TODAY(),TRUE,FALSE)</f>
        <v>#REF!</v>
      </c>
      <c r="J10">
        <f t="shared" ca="1" si="1"/>
        <v>0</v>
      </c>
    </row>
    <row r="11" spans="1:10">
      <c r="A11" s="24" t="s">
        <v>215</v>
      </c>
      <c r="B11">
        <v>3</v>
      </c>
      <c r="C11">
        <f>IFERROR(
 --(INDEX('TH_MLG GRADE 10'!$C$7:$C$49,MATCH(LEFT($A11,LEN($A11)-2),'TH_MLG GRADE 10'!$B$7:$B$49,0))="P")+
 --(INDEX('TH_MLG GRADE 10'!$I$7:$I$49,MATCH(LEFT($A11,LEN($A11)-2),'TH_MLG GRADE 10'!$B$7:$B$49,0))="P")+
 --(INDEX('TH_MLG GRADE 10'!$O$7:$O$49,MATCH(LEFT($A11,LEN($A11)-2),'TH_MLG GRADE 10'!$B$7:$B$49,0))="P")+
 --(INDEX('TH_MLG GRADE 10'!$AA$7:$AA$49,MATCH(LEFT($A11,LEN($A11)-2),'TH_MLG GRADE 10'!$B$7:$B$49,0))="P")+
 --(INDEX('TH_MLG GRADE 10'!$AG$7:$AG$49,MATCH(LEFT($A11,LEN($A11)-2),'TH_MLG GRADE 10'!$B$7:$B$49,0))="P")+
 --(INDEX('TH_MLG GRADE 10'!$AM$7:$AM$49,MATCH(LEFT($A11,LEN($A11)-2),'TH_MLG GRADE 10'!$B$7:$B$49,0))="P")+
 --(INDEX('TH_MLG GRADE 10'!$AY$7:$AY$49,MATCH(LEFT($A11,LEN($A11)-2),'TH_MLG GRADE 10'!$B$7:$B$49,0))="P")+
 --(INDEX('TH_MLG GRADE 10'!$BE$7:$BE$49,MATCH(LEFT($A11,LEN($A11)-2),'TH_MLG GRADE 10'!$B$7:$B$49,0))="P")+
 --(INDEX('TH_MLG GRADE 10'!#REF!,MATCH(LEFT($A11,LEN($A11)-2),'TH_MLG GRADE 10'!$B$7:$B$49,0))="P")+
 --(INDEX('TH_MLG GRADE 10'!#REF!,MATCH(LEFT($A11,LEN($A11)-2),'TH_MLG GRADE 10'!$B$7:$B$49,0))="P"),
0)</f>
        <v>0</v>
      </c>
      <c r="D11" s="24" t="b">
        <f ca="1">IF(IF(_xlfn.XLOOKUP(LEFT(A11,LEN(A11)-2),'TH_MLG GRADE 10'!$B$7:$B$49,'TH_MLG GRADE 10'!$BK$7:$BK$49,"",0,1)=0,"",_xlfn.XLOOKUP(LEFT(A11,LEN(A11)-2),'TH_MLG GRADE 10'!$B$7:$B$49,'TH_MLG GRADE 10'!$BK$7:$BK$49,"",0,1))&lt;=TODAY(),TRUE,FALSE)</f>
        <v>1</v>
      </c>
      <c r="E11" s="25">
        <f t="shared" ca="1" si="0"/>
        <v>0</v>
      </c>
      <c r="F11" t="s">
        <v>215</v>
      </c>
      <c r="G11">
        <v>3</v>
      </c>
      <c r="H11">
        <f>IFERROR(
 --(INDEX('PW_MLG GRADE 10'!$D$7:$D$31,MATCH(LEFT($A11,LEN($A11)-2),'PW_MLG GRADE 10'!$C$7:$C$31,0))="P")+
 --(INDEX('PW_MLG GRADE 10'!$J$7:$J$31,MATCH(LEFT($A11,LEN($A11)-2),'PW_MLG GRADE 10'!$C$7:$C$31,0))="P")+
 --(INDEX('PW_MLG GRADE 10'!$P$7:$P$31,MATCH(LEFT($A11,LEN($A11)-2),'PW_MLG GRADE 10'!$C$7:$C$31,0))="P")+
 --(INDEX('PW_MLG GRADE 10'!$AB$7:$AB$31,MATCH(LEFT($A11,LEN($A11)-2),'PW_MLG GRADE 10'!$C$7:$C$31,0))="P")+
 --(INDEX('PW_MLG GRADE 10'!$AH$7:$AH$31,MATCH(LEFT($A11,LEN($A11)-2),'PW_MLG GRADE 10'!$C$7:$C$31,0))="P")+
 --(INDEX('PW_MLG GRADE 10'!$AN$7:$AN$31,MATCH(LEFT($A11,LEN($A11)-2),'PW_MLG GRADE 10'!$C$7:$C$31,0))="P")+
 --(INDEX('PW_MLG GRADE 10'!$AZ$7:$AZ$31,MATCH(LEFT($A11,LEN($A11)-2),'PW_MLG GRADE 10'!$C$7:$C$31,0))="P")+
 --(INDEX('PW_MLG GRADE 10'!$BF$7:$BF$31,MATCH(LEFT($A11,LEN($A11)-2),'PW_MLG GRADE 10'!$C$7:$C$31,0))="P")+
 --(INDEX('PW_MLG GRADE 10'!#REF!,MATCH(LEFT($A11,LEN($A11)-2),'PW_MLG GRADE 10'!$C$7:$C$31,0))="P")+
 --(INDEX('PW_MLG GRADE 10'!#REF!,MATCH(LEFT($A11,LEN($A11)-2),'PW_MLG GRADE 10'!$C$7:$C$31,0))="P"),
0)</f>
        <v>0</v>
      </c>
      <c r="I11" t="e">
        <f ca="1">IF(IF(_xlfn.XLOOKUP(LEFT(F11,LEN(F11)-2),'PW_MLG GRADE 10'!$B$7:$B$31,'PW_MLG GRADE 10'!#REF!,"",0,1)=0,"",_xlfn.XLOOKUP(LEFT(F11,LEN(F11)-2),'PW_MLG GRADE 10'!$B$7:$B$31,'PW_MLG GRADE 10'!#REF!,"",0,1))&lt;=TODAY(),TRUE,FALSE)</f>
        <v>#REF!</v>
      </c>
      <c r="J11">
        <f t="shared" ca="1" si="1"/>
        <v>0</v>
      </c>
    </row>
    <row r="12" spans="1:10">
      <c r="A12" s="24" t="s">
        <v>216</v>
      </c>
      <c r="B12">
        <v>3</v>
      </c>
      <c r="C12">
        <f>IFERROR(
 --(INDEX('TH_MLG GRADE 10'!$C$7:$C$49,MATCH(LEFT($A12,LEN($A12)-2),'TH_MLG GRADE 10'!$B$7:$B$49,0))="P")+
 --(INDEX('TH_MLG GRADE 10'!$I$7:$I$49,MATCH(LEFT($A12,LEN($A12)-2),'TH_MLG GRADE 10'!$B$7:$B$49,0))="P")+
 --(INDEX('TH_MLG GRADE 10'!$O$7:$O$49,MATCH(LEFT($A12,LEN($A12)-2),'TH_MLG GRADE 10'!$B$7:$B$49,0))="P")+
 --(INDEX('TH_MLG GRADE 10'!$AA$7:$AA$49,MATCH(LEFT($A12,LEN($A12)-2),'TH_MLG GRADE 10'!$B$7:$B$49,0))="P")+
 --(INDEX('TH_MLG GRADE 10'!$AG$7:$AG$49,MATCH(LEFT($A12,LEN($A12)-2),'TH_MLG GRADE 10'!$B$7:$B$49,0))="P")+
 --(INDEX('TH_MLG GRADE 10'!$AM$7:$AM$49,MATCH(LEFT($A12,LEN($A12)-2),'TH_MLG GRADE 10'!$B$7:$B$49,0))="P")+
 --(INDEX('TH_MLG GRADE 10'!$AY$7:$AY$49,MATCH(LEFT($A12,LEN($A12)-2),'TH_MLG GRADE 10'!$B$7:$B$49,0))="P")+
 --(INDEX('TH_MLG GRADE 10'!$BE$7:$BE$49,MATCH(LEFT($A12,LEN($A12)-2),'TH_MLG GRADE 10'!$B$7:$B$49,0))="P")+
 --(INDEX('TH_MLG GRADE 10'!#REF!,MATCH(LEFT($A12,LEN($A12)-2),'TH_MLG GRADE 10'!$B$7:$B$49,0))="P")+
 --(INDEX('TH_MLG GRADE 10'!#REF!,MATCH(LEFT($A12,LEN($A12)-2),'TH_MLG GRADE 10'!$B$7:$B$49,0))="P"),
0)</f>
        <v>0</v>
      </c>
      <c r="D12" s="24" t="b">
        <f ca="1">IF(IF(_xlfn.XLOOKUP(LEFT(A12,LEN(A12)-2),'TH_MLG GRADE 10'!$B$7:$B$49,'TH_MLG GRADE 10'!$BK$7:$BK$49,"",0,1)=0,"",_xlfn.XLOOKUP(LEFT(A12,LEN(A12)-2),'TH_MLG GRADE 10'!$B$7:$B$49,'TH_MLG GRADE 10'!$BK$7:$BK$49,"",0,1))&lt;=TODAY(),TRUE,FALSE)</f>
        <v>1</v>
      </c>
      <c r="E12" s="25">
        <f t="shared" ca="1" si="0"/>
        <v>0</v>
      </c>
      <c r="F12" t="s">
        <v>216</v>
      </c>
      <c r="G12">
        <v>3</v>
      </c>
      <c r="H12">
        <f>IFERROR(
 --(INDEX('PW_MLG GRADE 10'!$D$7:$D$31,MATCH(LEFT($A12,LEN($A12)-2),'PW_MLG GRADE 10'!$C$7:$C$31,0))="P")+
 --(INDEX('PW_MLG GRADE 10'!$J$7:$J$31,MATCH(LEFT($A12,LEN($A12)-2),'PW_MLG GRADE 10'!$C$7:$C$31,0))="P")+
 --(INDEX('PW_MLG GRADE 10'!$P$7:$P$31,MATCH(LEFT($A12,LEN($A12)-2),'PW_MLG GRADE 10'!$C$7:$C$31,0))="P")+
 --(INDEX('PW_MLG GRADE 10'!$AB$7:$AB$31,MATCH(LEFT($A12,LEN($A12)-2),'PW_MLG GRADE 10'!$C$7:$C$31,0))="P")+
 --(INDEX('PW_MLG GRADE 10'!$AH$7:$AH$31,MATCH(LEFT($A12,LEN($A12)-2),'PW_MLG GRADE 10'!$C$7:$C$31,0))="P")+
 --(INDEX('PW_MLG GRADE 10'!$AN$7:$AN$31,MATCH(LEFT($A12,LEN($A12)-2),'PW_MLG GRADE 10'!$C$7:$C$31,0))="P")+
 --(INDEX('PW_MLG GRADE 10'!$AZ$7:$AZ$31,MATCH(LEFT($A12,LEN($A12)-2),'PW_MLG GRADE 10'!$C$7:$C$31,0))="P")+
 --(INDEX('PW_MLG GRADE 10'!$BF$7:$BF$31,MATCH(LEFT($A12,LEN($A12)-2),'PW_MLG GRADE 10'!$C$7:$C$31,0))="P")+
 --(INDEX('PW_MLG GRADE 10'!#REF!,MATCH(LEFT($A12,LEN($A12)-2),'PW_MLG GRADE 10'!$C$7:$C$31,0))="P")+
 --(INDEX('PW_MLG GRADE 10'!#REF!,MATCH(LEFT($A12,LEN($A12)-2),'PW_MLG GRADE 10'!$C$7:$C$31,0))="P"),
0)</f>
        <v>0</v>
      </c>
      <c r="I12" t="e">
        <f ca="1">IF(IF(_xlfn.XLOOKUP(LEFT(F12,LEN(F12)-2),'PW_MLG GRADE 10'!$B$7:$B$31,'PW_MLG GRADE 10'!#REF!,"",0,1)=0,"",_xlfn.XLOOKUP(LEFT(F12,LEN(F12)-2),'PW_MLG GRADE 10'!$B$7:$B$31,'PW_MLG GRADE 10'!#REF!,"",0,1))&lt;=TODAY(),TRUE,FALSE)</f>
        <v>#REF!</v>
      </c>
      <c r="J12">
        <f t="shared" ca="1" si="1"/>
        <v>0</v>
      </c>
    </row>
    <row r="13" spans="1:10">
      <c r="A13" s="24" t="s">
        <v>217</v>
      </c>
      <c r="B13">
        <v>3</v>
      </c>
      <c r="C13">
        <f>IFERROR(
 --(INDEX('TH_MLG GRADE 10'!$C$7:$C$49,MATCH(LEFT($A13,LEN($A13)-2),'TH_MLG GRADE 10'!$B$7:$B$49,0))="P")+
 --(INDEX('TH_MLG GRADE 10'!$I$7:$I$49,MATCH(LEFT($A13,LEN($A13)-2),'TH_MLG GRADE 10'!$B$7:$B$49,0))="P")+
 --(INDEX('TH_MLG GRADE 10'!$O$7:$O$49,MATCH(LEFT($A13,LEN($A13)-2),'TH_MLG GRADE 10'!$B$7:$B$49,0))="P")+
 --(INDEX('TH_MLG GRADE 10'!$AA$7:$AA$49,MATCH(LEFT($A13,LEN($A13)-2),'TH_MLG GRADE 10'!$B$7:$B$49,0))="P")+
 --(INDEX('TH_MLG GRADE 10'!$AG$7:$AG$49,MATCH(LEFT($A13,LEN($A13)-2),'TH_MLG GRADE 10'!$B$7:$B$49,0))="P")+
 --(INDEX('TH_MLG GRADE 10'!$AM$7:$AM$49,MATCH(LEFT($A13,LEN($A13)-2),'TH_MLG GRADE 10'!$B$7:$B$49,0))="P")+
 --(INDEX('TH_MLG GRADE 10'!$AY$7:$AY$49,MATCH(LEFT($A13,LEN($A13)-2),'TH_MLG GRADE 10'!$B$7:$B$49,0))="P")+
 --(INDEX('TH_MLG GRADE 10'!$BE$7:$BE$49,MATCH(LEFT($A13,LEN($A13)-2),'TH_MLG GRADE 10'!$B$7:$B$49,0))="P")+
 --(INDEX('TH_MLG GRADE 10'!#REF!,MATCH(LEFT($A13,LEN($A13)-2),'TH_MLG GRADE 10'!$B$7:$B$49,0))="P")+
 --(INDEX('TH_MLG GRADE 10'!#REF!,MATCH(LEFT($A13,LEN($A13)-2),'TH_MLG GRADE 10'!$B$7:$B$49,0))="P"),
0)</f>
        <v>0</v>
      </c>
      <c r="D13" s="24" t="b">
        <f ca="1">IF(IF(_xlfn.XLOOKUP(LEFT(A13,LEN(A13)-2),'TH_MLG GRADE 10'!$B$7:$B$49,'TH_MLG GRADE 10'!$BK$7:$BK$49,"",0,1)=0,"",_xlfn.XLOOKUP(LEFT(A13,LEN(A13)-2),'TH_MLG GRADE 10'!$B$7:$B$49,'TH_MLG GRADE 10'!$BK$7:$BK$49,"",0,1))&lt;=TODAY(),TRUE,FALSE)</f>
        <v>1</v>
      </c>
      <c r="E13" s="25">
        <f t="shared" ca="1" si="0"/>
        <v>0</v>
      </c>
      <c r="F13" t="s">
        <v>217</v>
      </c>
      <c r="G13">
        <v>3</v>
      </c>
      <c r="H13">
        <f>IFERROR(
 --(INDEX('PW_MLG GRADE 10'!$D$7:$D$31,MATCH(LEFT($A13,LEN($A13)-2),'PW_MLG GRADE 10'!$C$7:$C$31,0))="P")+
 --(INDEX('PW_MLG GRADE 10'!$J$7:$J$31,MATCH(LEFT($A13,LEN($A13)-2),'PW_MLG GRADE 10'!$C$7:$C$31,0))="P")+
 --(INDEX('PW_MLG GRADE 10'!$P$7:$P$31,MATCH(LEFT($A13,LEN($A13)-2),'PW_MLG GRADE 10'!$C$7:$C$31,0))="P")+
 --(INDEX('PW_MLG GRADE 10'!$AB$7:$AB$31,MATCH(LEFT($A13,LEN($A13)-2),'PW_MLG GRADE 10'!$C$7:$C$31,0))="P")+
 --(INDEX('PW_MLG GRADE 10'!$AH$7:$AH$31,MATCH(LEFT($A13,LEN($A13)-2),'PW_MLG GRADE 10'!$C$7:$C$31,0))="P")+
 --(INDEX('PW_MLG GRADE 10'!$AN$7:$AN$31,MATCH(LEFT($A13,LEN($A13)-2),'PW_MLG GRADE 10'!$C$7:$C$31,0))="P")+
 --(INDEX('PW_MLG GRADE 10'!$AZ$7:$AZ$31,MATCH(LEFT($A13,LEN($A13)-2),'PW_MLG GRADE 10'!$C$7:$C$31,0))="P")+
 --(INDEX('PW_MLG GRADE 10'!$BF$7:$BF$31,MATCH(LEFT($A13,LEN($A13)-2),'PW_MLG GRADE 10'!$C$7:$C$31,0))="P")+
 --(INDEX('PW_MLG GRADE 10'!#REF!,MATCH(LEFT($A13,LEN($A13)-2),'PW_MLG GRADE 10'!$C$7:$C$31,0))="P")+
 --(INDEX('PW_MLG GRADE 10'!#REF!,MATCH(LEFT($A13,LEN($A13)-2),'PW_MLG GRADE 10'!$C$7:$C$31,0))="P"),
0)</f>
        <v>0</v>
      </c>
      <c r="I13" t="e">
        <f ca="1">IF(IF(_xlfn.XLOOKUP(LEFT(F13,LEN(F13)-2),'PW_MLG GRADE 10'!$B$7:$B$31,'PW_MLG GRADE 10'!#REF!,"",0,1)=0,"",_xlfn.XLOOKUP(LEFT(F13,LEN(F13)-2),'PW_MLG GRADE 10'!$B$7:$B$31,'PW_MLG GRADE 10'!#REF!,"",0,1))&lt;=TODAY(),TRUE,FALSE)</f>
        <v>#REF!</v>
      </c>
      <c r="J13">
        <f t="shared" ca="1" si="1"/>
        <v>0</v>
      </c>
    </row>
    <row r="14" spans="1:10">
      <c r="A14" s="24" t="s">
        <v>218</v>
      </c>
      <c r="B14">
        <v>3</v>
      </c>
      <c r="C14">
        <f>IFERROR(
 --(INDEX('TH_MLG GRADE 10'!$C$7:$C$49,MATCH(LEFT($A14,LEN($A14)-2),'TH_MLG GRADE 10'!$B$7:$B$49,0))="P")+
 --(INDEX('TH_MLG GRADE 10'!$I$7:$I$49,MATCH(LEFT($A14,LEN($A14)-2),'TH_MLG GRADE 10'!$B$7:$B$49,0))="P")+
 --(INDEX('TH_MLG GRADE 10'!$O$7:$O$49,MATCH(LEFT($A14,LEN($A14)-2),'TH_MLG GRADE 10'!$B$7:$B$49,0))="P")+
 --(INDEX('TH_MLG GRADE 10'!$AA$7:$AA$49,MATCH(LEFT($A14,LEN($A14)-2),'TH_MLG GRADE 10'!$B$7:$B$49,0))="P")+
 --(INDEX('TH_MLG GRADE 10'!$AG$7:$AG$49,MATCH(LEFT($A14,LEN($A14)-2),'TH_MLG GRADE 10'!$B$7:$B$49,0))="P")+
 --(INDEX('TH_MLG GRADE 10'!$AM$7:$AM$49,MATCH(LEFT($A14,LEN($A14)-2),'TH_MLG GRADE 10'!$B$7:$B$49,0))="P")+
 --(INDEX('TH_MLG GRADE 10'!$AY$7:$AY$49,MATCH(LEFT($A14,LEN($A14)-2),'TH_MLG GRADE 10'!$B$7:$B$49,0))="P")+
 --(INDEX('TH_MLG GRADE 10'!$BE$7:$BE$49,MATCH(LEFT($A14,LEN($A14)-2),'TH_MLG GRADE 10'!$B$7:$B$49,0))="P")+
 --(INDEX('TH_MLG GRADE 10'!#REF!,MATCH(LEFT($A14,LEN($A14)-2),'TH_MLG GRADE 10'!$B$7:$B$49,0))="P")+
 --(INDEX('TH_MLG GRADE 10'!#REF!,MATCH(LEFT($A14,LEN($A14)-2),'TH_MLG GRADE 10'!$B$7:$B$49,0))="P"),
0)</f>
        <v>0</v>
      </c>
      <c r="D14" s="24" t="b">
        <f ca="1">IF(IF(_xlfn.XLOOKUP(LEFT(A14,LEN(A14)-2),'TH_MLG GRADE 10'!$B$7:$B$49,'TH_MLG GRADE 10'!$BK$7:$BK$49,"",0,1)=0,"",_xlfn.XLOOKUP(LEFT(A14,LEN(A14)-2),'TH_MLG GRADE 10'!$B$7:$B$49,'TH_MLG GRADE 10'!$BK$7:$BK$49,"",0,1))&lt;=TODAY(),TRUE,FALSE)</f>
        <v>1</v>
      </c>
      <c r="E14" s="25">
        <f t="shared" ca="1" si="0"/>
        <v>0</v>
      </c>
      <c r="F14" t="s">
        <v>218</v>
      </c>
      <c r="G14">
        <v>3</v>
      </c>
      <c r="H14">
        <f>IFERROR(
 --(INDEX('PW_MLG GRADE 10'!$D$7:$D$31,MATCH(LEFT($A14,LEN($A14)-2),'PW_MLG GRADE 10'!$C$7:$C$31,0))="P")+
 --(INDEX('PW_MLG GRADE 10'!$J$7:$J$31,MATCH(LEFT($A14,LEN($A14)-2),'PW_MLG GRADE 10'!$C$7:$C$31,0))="P")+
 --(INDEX('PW_MLG GRADE 10'!$P$7:$P$31,MATCH(LEFT($A14,LEN($A14)-2),'PW_MLG GRADE 10'!$C$7:$C$31,0))="P")+
 --(INDEX('PW_MLG GRADE 10'!$AB$7:$AB$31,MATCH(LEFT($A14,LEN($A14)-2),'PW_MLG GRADE 10'!$C$7:$C$31,0))="P")+
 --(INDEX('PW_MLG GRADE 10'!$AH$7:$AH$31,MATCH(LEFT($A14,LEN($A14)-2),'PW_MLG GRADE 10'!$C$7:$C$31,0))="P")+
 --(INDEX('PW_MLG GRADE 10'!$AN$7:$AN$31,MATCH(LEFT($A14,LEN($A14)-2),'PW_MLG GRADE 10'!$C$7:$C$31,0))="P")+
 --(INDEX('PW_MLG GRADE 10'!$AZ$7:$AZ$31,MATCH(LEFT($A14,LEN($A14)-2),'PW_MLG GRADE 10'!$C$7:$C$31,0))="P")+
 --(INDEX('PW_MLG GRADE 10'!$BF$7:$BF$31,MATCH(LEFT($A14,LEN($A14)-2),'PW_MLG GRADE 10'!$C$7:$C$31,0))="P")+
 --(INDEX('PW_MLG GRADE 10'!#REF!,MATCH(LEFT($A14,LEN($A14)-2),'PW_MLG GRADE 10'!$C$7:$C$31,0))="P")+
 --(INDEX('PW_MLG GRADE 10'!#REF!,MATCH(LEFT($A14,LEN($A14)-2),'PW_MLG GRADE 10'!$C$7:$C$31,0))="P"),
0)</f>
        <v>0</v>
      </c>
      <c r="I14" t="e">
        <f ca="1">IF(IF(_xlfn.XLOOKUP(LEFT(F14,LEN(F14)-2),'PW_MLG GRADE 10'!$B$7:$B$31,'PW_MLG GRADE 10'!#REF!,"",0,1)=0,"",_xlfn.XLOOKUP(LEFT(F14,LEN(F14)-2),'PW_MLG GRADE 10'!$B$7:$B$31,'PW_MLG GRADE 10'!#REF!,"",0,1))&lt;=TODAY(),TRUE,FALSE)</f>
        <v>#REF!</v>
      </c>
      <c r="J14">
        <f t="shared" ca="1" si="1"/>
        <v>0</v>
      </c>
    </row>
    <row r="15" spans="1:10">
      <c r="A15" s="24" t="s">
        <v>219</v>
      </c>
      <c r="B15">
        <v>3</v>
      </c>
      <c r="C15">
        <f>IFERROR(
 --(INDEX('TH_MLG GRADE 10'!$C$7:$C$49,MATCH(LEFT($A15,LEN($A15)-2),'TH_MLG GRADE 10'!$B$7:$B$49,0))="P")+
 --(INDEX('TH_MLG GRADE 10'!$I$7:$I$49,MATCH(LEFT($A15,LEN($A15)-2),'TH_MLG GRADE 10'!$B$7:$B$49,0))="P")+
 --(INDEX('TH_MLG GRADE 10'!$O$7:$O$49,MATCH(LEFT($A15,LEN($A15)-2),'TH_MLG GRADE 10'!$B$7:$B$49,0))="P")+
 --(INDEX('TH_MLG GRADE 10'!$AA$7:$AA$49,MATCH(LEFT($A15,LEN($A15)-2),'TH_MLG GRADE 10'!$B$7:$B$49,0))="P")+
 --(INDEX('TH_MLG GRADE 10'!$AG$7:$AG$49,MATCH(LEFT($A15,LEN($A15)-2),'TH_MLG GRADE 10'!$B$7:$B$49,0))="P")+
 --(INDEX('TH_MLG GRADE 10'!$AM$7:$AM$49,MATCH(LEFT($A15,LEN($A15)-2),'TH_MLG GRADE 10'!$B$7:$B$49,0))="P")+
 --(INDEX('TH_MLG GRADE 10'!$AY$7:$AY$49,MATCH(LEFT($A15,LEN($A15)-2),'TH_MLG GRADE 10'!$B$7:$B$49,0))="P")+
 --(INDEX('TH_MLG GRADE 10'!$BE$7:$BE$49,MATCH(LEFT($A15,LEN($A15)-2),'TH_MLG GRADE 10'!$B$7:$B$49,0))="P")+
 --(INDEX('TH_MLG GRADE 10'!#REF!,MATCH(LEFT($A15,LEN($A15)-2),'TH_MLG GRADE 10'!$B$7:$B$49,0))="P")+
 --(INDEX('TH_MLG GRADE 10'!#REF!,MATCH(LEFT($A15,LEN($A15)-2),'TH_MLG GRADE 10'!$B$7:$B$49,0))="P"),
0)</f>
        <v>0</v>
      </c>
      <c r="D15" s="24" t="b">
        <f ca="1">IF(IF(_xlfn.XLOOKUP(LEFT(A15,LEN(A15)-2),'TH_MLG GRADE 10'!$B$7:$B$49,'TH_MLG GRADE 10'!$BK$7:$BK$49,"",0,1)=0,"",_xlfn.XLOOKUP(LEFT(A15,LEN(A15)-2),'TH_MLG GRADE 10'!$B$7:$B$49,'TH_MLG GRADE 10'!$BK$7:$BK$49,"",0,1))&lt;=TODAY(),TRUE,FALSE)</f>
        <v>1</v>
      </c>
      <c r="E15" s="25">
        <f t="shared" ca="1" si="0"/>
        <v>0</v>
      </c>
      <c r="F15" t="s">
        <v>219</v>
      </c>
      <c r="G15">
        <v>3</v>
      </c>
      <c r="H15">
        <f>IFERROR(
 --(INDEX('PW_MLG GRADE 10'!$D$7:$D$31,MATCH(LEFT($A15,LEN($A15)-2),'PW_MLG GRADE 10'!$C$7:$C$31,0))="P")+
 --(INDEX('PW_MLG GRADE 10'!$J$7:$J$31,MATCH(LEFT($A15,LEN($A15)-2),'PW_MLG GRADE 10'!$C$7:$C$31,0))="P")+
 --(INDEX('PW_MLG GRADE 10'!$P$7:$P$31,MATCH(LEFT($A15,LEN($A15)-2),'PW_MLG GRADE 10'!$C$7:$C$31,0))="P")+
 --(INDEX('PW_MLG GRADE 10'!$AB$7:$AB$31,MATCH(LEFT($A15,LEN($A15)-2),'PW_MLG GRADE 10'!$C$7:$C$31,0))="P")+
 --(INDEX('PW_MLG GRADE 10'!$AH$7:$AH$31,MATCH(LEFT($A15,LEN($A15)-2),'PW_MLG GRADE 10'!$C$7:$C$31,0))="P")+
 --(INDEX('PW_MLG GRADE 10'!$AN$7:$AN$31,MATCH(LEFT($A15,LEN($A15)-2),'PW_MLG GRADE 10'!$C$7:$C$31,0))="P")+
 --(INDEX('PW_MLG GRADE 10'!$AZ$7:$AZ$31,MATCH(LEFT($A15,LEN($A15)-2),'PW_MLG GRADE 10'!$C$7:$C$31,0))="P")+
 --(INDEX('PW_MLG GRADE 10'!$BF$7:$BF$31,MATCH(LEFT($A15,LEN($A15)-2),'PW_MLG GRADE 10'!$C$7:$C$31,0))="P")+
 --(INDEX('PW_MLG GRADE 10'!#REF!,MATCH(LEFT($A15,LEN($A15)-2),'PW_MLG GRADE 10'!$C$7:$C$31,0))="P")+
 --(INDEX('PW_MLG GRADE 10'!#REF!,MATCH(LEFT($A15,LEN($A15)-2),'PW_MLG GRADE 10'!$C$7:$C$31,0))="P"),
0)</f>
        <v>0</v>
      </c>
      <c r="I15" t="e">
        <f ca="1">IF(IF(_xlfn.XLOOKUP(LEFT(F15,LEN(F15)-2),'PW_MLG GRADE 10'!$B$7:$B$31,'PW_MLG GRADE 10'!#REF!,"",0,1)=0,"",_xlfn.XLOOKUP(LEFT(F15,LEN(F15)-2),'PW_MLG GRADE 10'!$B$7:$B$31,'PW_MLG GRADE 10'!#REF!,"",0,1))&lt;=TODAY(),TRUE,FALSE)</f>
        <v>#REF!</v>
      </c>
      <c r="J15">
        <f t="shared" ca="1" si="1"/>
        <v>0</v>
      </c>
    </row>
    <row r="16" spans="1:10">
      <c r="A16" s="24" t="s">
        <v>220</v>
      </c>
      <c r="B16">
        <v>3</v>
      </c>
      <c r="C16">
        <f>IFERROR(
 --(INDEX('TH_MLG GRADE 10'!$C$7:$C$49,MATCH(LEFT($A16,LEN($A16)-2),'TH_MLG GRADE 10'!$B$7:$B$49,0))="P")+
 --(INDEX('TH_MLG GRADE 10'!$I$7:$I$49,MATCH(LEFT($A16,LEN($A16)-2),'TH_MLG GRADE 10'!$B$7:$B$49,0))="P")+
 --(INDEX('TH_MLG GRADE 10'!$O$7:$O$49,MATCH(LEFT($A16,LEN($A16)-2),'TH_MLG GRADE 10'!$B$7:$B$49,0))="P")+
 --(INDEX('TH_MLG GRADE 10'!$AA$7:$AA$49,MATCH(LEFT($A16,LEN($A16)-2),'TH_MLG GRADE 10'!$B$7:$B$49,0))="P")+
 --(INDEX('TH_MLG GRADE 10'!$AG$7:$AG$49,MATCH(LEFT($A16,LEN($A16)-2),'TH_MLG GRADE 10'!$B$7:$B$49,0))="P")+
 --(INDEX('TH_MLG GRADE 10'!$AM$7:$AM$49,MATCH(LEFT($A16,LEN($A16)-2),'TH_MLG GRADE 10'!$B$7:$B$49,0))="P")+
 --(INDEX('TH_MLG GRADE 10'!$AY$7:$AY$49,MATCH(LEFT($A16,LEN($A16)-2),'TH_MLG GRADE 10'!$B$7:$B$49,0))="P")+
 --(INDEX('TH_MLG GRADE 10'!$BE$7:$BE$49,MATCH(LEFT($A16,LEN($A16)-2),'TH_MLG GRADE 10'!$B$7:$B$49,0))="P")+
 --(INDEX('TH_MLG GRADE 10'!#REF!,MATCH(LEFT($A16,LEN($A16)-2),'TH_MLG GRADE 10'!$B$7:$B$49,0))="P")+
 --(INDEX('TH_MLG GRADE 10'!#REF!,MATCH(LEFT($A16,LEN($A16)-2),'TH_MLG GRADE 10'!$B$7:$B$49,0))="P"),
0)</f>
        <v>0</v>
      </c>
      <c r="D16" s="24" t="b">
        <f ca="1">IF(IF(_xlfn.XLOOKUP(LEFT(A16,LEN(A16)-2),'TH_MLG GRADE 10'!$B$7:$B$49,'TH_MLG GRADE 10'!$BK$7:$BK$49,"",0,1)=0,"",_xlfn.XLOOKUP(LEFT(A16,LEN(A16)-2),'TH_MLG GRADE 10'!$B$7:$B$49,'TH_MLG GRADE 10'!$BK$7:$BK$49,"",0,1))&lt;=TODAY(),TRUE,FALSE)</f>
        <v>1</v>
      </c>
      <c r="E16" s="25">
        <f t="shared" ca="1" si="0"/>
        <v>0</v>
      </c>
      <c r="F16" t="s">
        <v>220</v>
      </c>
      <c r="G16">
        <v>3</v>
      </c>
      <c r="H16">
        <f>IFERROR(
 --(INDEX('PW_MLG GRADE 10'!$D$7:$D$31,MATCH(LEFT($A16,LEN($A16)-2),'PW_MLG GRADE 10'!$C$7:$C$31,0))="P")+
 --(INDEX('PW_MLG GRADE 10'!$J$7:$J$31,MATCH(LEFT($A16,LEN($A16)-2),'PW_MLG GRADE 10'!$C$7:$C$31,0))="P")+
 --(INDEX('PW_MLG GRADE 10'!$P$7:$P$31,MATCH(LEFT($A16,LEN($A16)-2),'PW_MLG GRADE 10'!$C$7:$C$31,0))="P")+
 --(INDEX('PW_MLG GRADE 10'!$AB$7:$AB$31,MATCH(LEFT($A16,LEN($A16)-2),'PW_MLG GRADE 10'!$C$7:$C$31,0))="P")+
 --(INDEX('PW_MLG GRADE 10'!$AH$7:$AH$31,MATCH(LEFT($A16,LEN($A16)-2),'PW_MLG GRADE 10'!$C$7:$C$31,0))="P")+
 --(INDEX('PW_MLG GRADE 10'!$AN$7:$AN$31,MATCH(LEFT($A16,LEN($A16)-2),'PW_MLG GRADE 10'!$C$7:$C$31,0))="P")+
 --(INDEX('PW_MLG GRADE 10'!$AZ$7:$AZ$31,MATCH(LEFT($A16,LEN($A16)-2),'PW_MLG GRADE 10'!$C$7:$C$31,0))="P")+
 --(INDEX('PW_MLG GRADE 10'!$BF$7:$BF$31,MATCH(LEFT($A16,LEN($A16)-2),'PW_MLG GRADE 10'!$C$7:$C$31,0))="P")+
 --(INDEX('PW_MLG GRADE 10'!#REF!,MATCH(LEFT($A16,LEN($A16)-2),'PW_MLG GRADE 10'!$C$7:$C$31,0))="P")+
 --(INDEX('PW_MLG GRADE 10'!#REF!,MATCH(LEFT($A16,LEN($A16)-2),'PW_MLG GRADE 10'!$C$7:$C$31,0))="P"),
0)</f>
        <v>0</v>
      </c>
      <c r="I16" t="e">
        <f ca="1">IF(IF(_xlfn.XLOOKUP(LEFT(F16,LEN(F16)-2),'PW_MLG GRADE 10'!$B$7:$B$31,'PW_MLG GRADE 10'!#REF!,"",0,1)=0,"",_xlfn.XLOOKUP(LEFT(F16,LEN(F16)-2),'PW_MLG GRADE 10'!$B$7:$B$31,'PW_MLG GRADE 10'!#REF!,"",0,1))&lt;=TODAY(),TRUE,FALSE)</f>
        <v>#REF!</v>
      </c>
      <c r="J16">
        <f t="shared" ca="1" si="1"/>
        <v>0</v>
      </c>
    </row>
    <row r="17" spans="1:10">
      <c r="A17" s="24" t="s">
        <v>221</v>
      </c>
      <c r="B17">
        <v>3</v>
      </c>
      <c r="C17">
        <f>IFERROR(
 --(INDEX('TH_MLG GRADE 10'!$C$7:$C$49,MATCH(LEFT($A17,LEN($A17)-2),'TH_MLG GRADE 10'!$B$7:$B$49,0))="P")+
 --(INDEX('TH_MLG GRADE 10'!$I$7:$I$49,MATCH(LEFT($A17,LEN($A17)-2),'TH_MLG GRADE 10'!$B$7:$B$49,0))="P")+
 --(INDEX('TH_MLG GRADE 10'!$O$7:$O$49,MATCH(LEFT($A17,LEN($A17)-2),'TH_MLG GRADE 10'!$B$7:$B$49,0))="P")+
 --(INDEX('TH_MLG GRADE 10'!$AA$7:$AA$49,MATCH(LEFT($A17,LEN($A17)-2),'TH_MLG GRADE 10'!$B$7:$B$49,0))="P")+
 --(INDEX('TH_MLG GRADE 10'!$AG$7:$AG$49,MATCH(LEFT($A17,LEN($A17)-2),'TH_MLG GRADE 10'!$B$7:$B$49,0))="P")+
 --(INDEX('TH_MLG GRADE 10'!$AM$7:$AM$49,MATCH(LEFT($A17,LEN($A17)-2),'TH_MLG GRADE 10'!$B$7:$B$49,0))="P")+
 --(INDEX('TH_MLG GRADE 10'!$AY$7:$AY$49,MATCH(LEFT($A17,LEN($A17)-2),'TH_MLG GRADE 10'!$B$7:$B$49,0))="P")+
 --(INDEX('TH_MLG GRADE 10'!$BE$7:$BE$49,MATCH(LEFT($A17,LEN($A17)-2),'TH_MLG GRADE 10'!$B$7:$B$49,0))="P")+
 --(INDEX('TH_MLG GRADE 10'!#REF!,MATCH(LEFT($A17,LEN($A17)-2),'TH_MLG GRADE 10'!$B$7:$B$49,0))="P")+
 --(INDEX('TH_MLG GRADE 10'!#REF!,MATCH(LEFT($A17,LEN($A17)-2),'TH_MLG GRADE 10'!$B$7:$B$49,0))="P"),
0)</f>
        <v>0</v>
      </c>
      <c r="D17" s="24" t="b">
        <f ca="1">IF(IF(_xlfn.XLOOKUP(LEFT(A17,LEN(A17)-2),'TH_MLG GRADE 10'!$B$7:$B$49,'TH_MLG GRADE 10'!$BK$7:$BK$49,"",0,1)=0,"",_xlfn.XLOOKUP(LEFT(A17,LEN(A17)-2),'TH_MLG GRADE 10'!$B$7:$B$49,'TH_MLG GRADE 10'!$BK$7:$BK$49,"",0,1))&lt;=TODAY(),TRUE,FALSE)</f>
        <v>1</v>
      </c>
      <c r="E17" s="25">
        <f t="shared" ca="1" si="0"/>
        <v>0</v>
      </c>
      <c r="F17" t="s">
        <v>221</v>
      </c>
      <c r="G17">
        <v>3</v>
      </c>
      <c r="H17">
        <f>IFERROR(
 --(INDEX('PW_MLG GRADE 10'!$D$7:$D$31,MATCH(LEFT($A17,LEN($A17)-2),'PW_MLG GRADE 10'!$C$7:$C$31,0))="P")+
 --(INDEX('PW_MLG GRADE 10'!$J$7:$J$31,MATCH(LEFT($A17,LEN($A17)-2),'PW_MLG GRADE 10'!$C$7:$C$31,0))="P")+
 --(INDEX('PW_MLG GRADE 10'!$P$7:$P$31,MATCH(LEFT($A17,LEN($A17)-2),'PW_MLG GRADE 10'!$C$7:$C$31,0))="P")+
 --(INDEX('PW_MLG GRADE 10'!$AB$7:$AB$31,MATCH(LEFT($A17,LEN($A17)-2),'PW_MLG GRADE 10'!$C$7:$C$31,0))="P")+
 --(INDEX('PW_MLG GRADE 10'!$AH$7:$AH$31,MATCH(LEFT($A17,LEN($A17)-2),'PW_MLG GRADE 10'!$C$7:$C$31,0))="P")+
 --(INDEX('PW_MLG GRADE 10'!$AN$7:$AN$31,MATCH(LEFT($A17,LEN($A17)-2),'PW_MLG GRADE 10'!$C$7:$C$31,0))="P")+
 --(INDEX('PW_MLG GRADE 10'!$AZ$7:$AZ$31,MATCH(LEFT($A17,LEN($A17)-2),'PW_MLG GRADE 10'!$C$7:$C$31,0))="P")+
 --(INDEX('PW_MLG GRADE 10'!$BF$7:$BF$31,MATCH(LEFT($A17,LEN($A17)-2),'PW_MLG GRADE 10'!$C$7:$C$31,0))="P")+
 --(INDEX('PW_MLG GRADE 10'!#REF!,MATCH(LEFT($A17,LEN($A17)-2),'PW_MLG GRADE 10'!$C$7:$C$31,0))="P")+
 --(INDEX('PW_MLG GRADE 10'!#REF!,MATCH(LEFT($A17,LEN($A17)-2),'PW_MLG GRADE 10'!$C$7:$C$31,0))="P"),
0)</f>
        <v>0</v>
      </c>
      <c r="I17" t="e">
        <f ca="1">IF(IF(_xlfn.XLOOKUP(LEFT(F17,LEN(F17)-2),'PW_MLG GRADE 10'!$B$7:$B$31,'PW_MLG GRADE 10'!#REF!,"",0,1)=0,"",_xlfn.XLOOKUP(LEFT(F17,LEN(F17)-2),'PW_MLG GRADE 10'!$B$7:$B$31,'PW_MLG GRADE 10'!#REF!,"",0,1))&lt;=TODAY(),TRUE,FALSE)</f>
        <v>#REF!</v>
      </c>
      <c r="J17">
        <f t="shared" ca="1" si="1"/>
        <v>0</v>
      </c>
    </row>
    <row r="18" spans="1:10">
      <c r="A18" s="24" t="s">
        <v>222</v>
      </c>
      <c r="B18">
        <v>3</v>
      </c>
      <c r="C18">
        <f>IFERROR(
 --(INDEX('TH_MLG GRADE 10'!$C$7:$C$49,MATCH(LEFT($A18,LEN($A18)-2),'TH_MLG GRADE 10'!$B$7:$B$49,0))="P")+
 --(INDEX('TH_MLG GRADE 10'!$I$7:$I$49,MATCH(LEFT($A18,LEN($A18)-2),'TH_MLG GRADE 10'!$B$7:$B$49,0))="P")+
 --(INDEX('TH_MLG GRADE 10'!$O$7:$O$49,MATCH(LEFT($A18,LEN($A18)-2),'TH_MLG GRADE 10'!$B$7:$B$49,0))="P")+
 --(INDEX('TH_MLG GRADE 10'!$AA$7:$AA$49,MATCH(LEFT($A18,LEN($A18)-2),'TH_MLG GRADE 10'!$B$7:$B$49,0))="P")+
 --(INDEX('TH_MLG GRADE 10'!$AG$7:$AG$49,MATCH(LEFT($A18,LEN($A18)-2),'TH_MLG GRADE 10'!$B$7:$B$49,0))="P")+
 --(INDEX('TH_MLG GRADE 10'!$AM$7:$AM$49,MATCH(LEFT($A18,LEN($A18)-2),'TH_MLG GRADE 10'!$B$7:$B$49,0))="P")+
 --(INDEX('TH_MLG GRADE 10'!$AY$7:$AY$49,MATCH(LEFT($A18,LEN($A18)-2),'TH_MLG GRADE 10'!$B$7:$B$49,0))="P")+
 --(INDEX('TH_MLG GRADE 10'!$BE$7:$BE$49,MATCH(LEFT($A18,LEN($A18)-2),'TH_MLG GRADE 10'!$B$7:$B$49,0))="P")+
 --(INDEX('TH_MLG GRADE 10'!#REF!,MATCH(LEFT($A18,LEN($A18)-2),'TH_MLG GRADE 10'!$B$7:$B$49,0))="P")+
 --(INDEX('TH_MLG GRADE 10'!#REF!,MATCH(LEFT($A18,LEN($A18)-2),'TH_MLG GRADE 10'!$B$7:$B$49,0))="P"),
0)</f>
        <v>0</v>
      </c>
      <c r="D18" s="24" t="b">
        <f ca="1">IF(IF(_xlfn.XLOOKUP(LEFT(A18,LEN(A18)-2),'TH_MLG GRADE 10'!$B$7:$B$49,'TH_MLG GRADE 10'!$BK$7:$BK$49,"",0,1)=0,"",_xlfn.XLOOKUP(LEFT(A18,LEN(A18)-2),'TH_MLG GRADE 10'!$B$7:$B$49,'TH_MLG GRADE 10'!$BK$7:$BK$49,"",0,1))&lt;=TODAY(),TRUE,FALSE)</f>
        <v>1</v>
      </c>
      <c r="E18" s="25">
        <f t="shared" ca="1" si="0"/>
        <v>0</v>
      </c>
      <c r="F18" t="s">
        <v>222</v>
      </c>
      <c r="G18">
        <v>3</v>
      </c>
      <c r="H18">
        <f>IFERROR(
 --(INDEX('PW_MLG GRADE 10'!$D$7:$D$31,MATCH(LEFT($A18,LEN($A18)-2),'PW_MLG GRADE 10'!$C$7:$C$31,0))="P")+
 --(INDEX('PW_MLG GRADE 10'!$J$7:$J$31,MATCH(LEFT($A18,LEN($A18)-2),'PW_MLG GRADE 10'!$C$7:$C$31,0))="P")+
 --(INDEX('PW_MLG GRADE 10'!$P$7:$P$31,MATCH(LEFT($A18,LEN($A18)-2),'PW_MLG GRADE 10'!$C$7:$C$31,0))="P")+
 --(INDEX('PW_MLG GRADE 10'!$AB$7:$AB$31,MATCH(LEFT($A18,LEN($A18)-2),'PW_MLG GRADE 10'!$C$7:$C$31,0))="P")+
 --(INDEX('PW_MLG GRADE 10'!$AH$7:$AH$31,MATCH(LEFT($A18,LEN($A18)-2),'PW_MLG GRADE 10'!$C$7:$C$31,0))="P")+
 --(INDEX('PW_MLG GRADE 10'!$AN$7:$AN$31,MATCH(LEFT($A18,LEN($A18)-2),'PW_MLG GRADE 10'!$C$7:$C$31,0))="P")+
 --(INDEX('PW_MLG GRADE 10'!$AZ$7:$AZ$31,MATCH(LEFT($A18,LEN($A18)-2),'PW_MLG GRADE 10'!$C$7:$C$31,0))="P")+
 --(INDEX('PW_MLG GRADE 10'!$BF$7:$BF$31,MATCH(LEFT($A18,LEN($A18)-2),'PW_MLG GRADE 10'!$C$7:$C$31,0))="P")+
 --(INDEX('PW_MLG GRADE 10'!#REF!,MATCH(LEFT($A18,LEN($A18)-2),'PW_MLG GRADE 10'!$C$7:$C$31,0))="P")+
 --(INDEX('PW_MLG GRADE 10'!#REF!,MATCH(LEFT($A18,LEN($A18)-2),'PW_MLG GRADE 10'!$C$7:$C$31,0))="P"),
0)</f>
        <v>0</v>
      </c>
      <c r="I18" t="e">
        <f ca="1">IF(IF(_xlfn.XLOOKUP(LEFT(F18,LEN(F18)-2),'PW_MLG GRADE 10'!$B$7:$B$31,'PW_MLG GRADE 10'!#REF!,"",0,1)=0,"",_xlfn.XLOOKUP(LEFT(F18,LEN(F18)-2),'PW_MLG GRADE 10'!$B$7:$B$31,'PW_MLG GRADE 10'!#REF!,"",0,1))&lt;=TODAY(),TRUE,FALSE)</f>
        <v>#REF!</v>
      </c>
      <c r="J18">
        <f t="shared" ca="1" si="1"/>
        <v>0</v>
      </c>
    </row>
    <row r="19" spans="1:10">
      <c r="A19" s="24" t="s">
        <v>223</v>
      </c>
      <c r="B19">
        <v>3</v>
      </c>
      <c r="C19">
        <f>IFERROR(
 --(INDEX('TH_MLG GRADE 10'!$C$7:$C$49,MATCH(LEFT($A19,LEN($A19)-2),'TH_MLG GRADE 10'!$B$7:$B$49,0))="P")+
 --(INDEX('TH_MLG GRADE 10'!$I$7:$I$49,MATCH(LEFT($A19,LEN($A19)-2),'TH_MLG GRADE 10'!$B$7:$B$49,0))="P")+
 --(INDEX('TH_MLG GRADE 10'!$O$7:$O$49,MATCH(LEFT($A19,LEN($A19)-2),'TH_MLG GRADE 10'!$B$7:$B$49,0))="P")+
 --(INDEX('TH_MLG GRADE 10'!$AA$7:$AA$49,MATCH(LEFT($A19,LEN($A19)-2),'TH_MLG GRADE 10'!$B$7:$B$49,0))="P")+
 --(INDEX('TH_MLG GRADE 10'!$AG$7:$AG$49,MATCH(LEFT($A19,LEN($A19)-2),'TH_MLG GRADE 10'!$B$7:$B$49,0))="P")+
 --(INDEX('TH_MLG GRADE 10'!$AM$7:$AM$49,MATCH(LEFT($A19,LEN($A19)-2),'TH_MLG GRADE 10'!$B$7:$B$49,0))="P")+
 --(INDEX('TH_MLG GRADE 10'!$AY$7:$AY$49,MATCH(LEFT($A19,LEN($A19)-2),'TH_MLG GRADE 10'!$B$7:$B$49,0))="P")+
 --(INDEX('TH_MLG GRADE 10'!$BE$7:$BE$49,MATCH(LEFT($A19,LEN($A19)-2),'TH_MLG GRADE 10'!$B$7:$B$49,0))="P")+
 --(INDEX('TH_MLG GRADE 10'!#REF!,MATCH(LEFT($A19,LEN($A19)-2),'TH_MLG GRADE 10'!$B$7:$B$49,0))="P")+
 --(INDEX('TH_MLG GRADE 10'!#REF!,MATCH(LEFT($A19,LEN($A19)-2),'TH_MLG GRADE 10'!$B$7:$B$49,0))="P"),
0)</f>
        <v>0</v>
      </c>
      <c r="D19" s="24" t="b">
        <f ca="1">IF(IF(_xlfn.XLOOKUP(LEFT(A19,LEN(A19)-2),'TH_MLG GRADE 10'!$B$7:$B$49,'TH_MLG GRADE 10'!$BK$7:$BK$49,"",0,1)=0,"",_xlfn.XLOOKUP(LEFT(A19,LEN(A19)-2),'TH_MLG GRADE 10'!$B$7:$B$49,'TH_MLG GRADE 10'!$BK$7:$BK$49,"",0,1))&lt;=TODAY(),TRUE,FALSE)</f>
        <v>0</v>
      </c>
      <c r="E19" s="25" t="str">
        <f t="shared" ca="1" si="0"/>
        <v/>
      </c>
      <c r="F19" t="s">
        <v>223</v>
      </c>
      <c r="G19">
        <v>3</v>
      </c>
      <c r="H19">
        <f>IFERROR(
 --(INDEX('PW_MLG GRADE 10'!$D$7:$D$31,MATCH(LEFT($A19,LEN($A19)-2),'PW_MLG GRADE 10'!$C$7:$C$31,0))="P")+
 --(INDEX('PW_MLG GRADE 10'!$J$7:$J$31,MATCH(LEFT($A19,LEN($A19)-2),'PW_MLG GRADE 10'!$C$7:$C$31,0))="P")+
 --(INDEX('PW_MLG GRADE 10'!$P$7:$P$31,MATCH(LEFT($A19,LEN($A19)-2),'PW_MLG GRADE 10'!$C$7:$C$31,0))="P")+
 --(INDEX('PW_MLG GRADE 10'!$AB$7:$AB$31,MATCH(LEFT($A19,LEN($A19)-2),'PW_MLG GRADE 10'!$C$7:$C$31,0))="P")+
 --(INDEX('PW_MLG GRADE 10'!$AH$7:$AH$31,MATCH(LEFT($A19,LEN($A19)-2),'PW_MLG GRADE 10'!$C$7:$C$31,0))="P")+
 --(INDEX('PW_MLG GRADE 10'!$AN$7:$AN$31,MATCH(LEFT($A19,LEN($A19)-2),'PW_MLG GRADE 10'!$C$7:$C$31,0))="P")+
 --(INDEX('PW_MLG GRADE 10'!$AZ$7:$AZ$31,MATCH(LEFT($A19,LEN($A19)-2),'PW_MLG GRADE 10'!$C$7:$C$31,0))="P")+
 --(INDEX('PW_MLG GRADE 10'!$BF$7:$BF$31,MATCH(LEFT($A19,LEN($A19)-2),'PW_MLG GRADE 10'!$C$7:$C$31,0))="P")+
 --(INDEX('PW_MLG GRADE 10'!#REF!,MATCH(LEFT($A19,LEN($A19)-2),'PW_MLG GRADE 10'!$C$7:$C$31,0))="P")+
 --(INDEX('PW_MLG GRADE 10'!#REF!,MATCH(LEFT($A19,LEN($A19)-2),'PW_MLG GRADE 10'!$C$7:$C$31,0))="P"),
0)</f>
        <v>0</v>
      </c>
      <c r="I19" t="e">
        <f ca="1">IF(IF(_xlfn.XLOOKUP(LEFT(F19,LEN(F19)-2),'PW_MLG GRADE 10'!$B$7:$B$31,'PW_MLG GRADE 10'!#REF!,"",0,1)=0,"",_xlfn.XLOOKUP(LEFT(F19,LEN(F19)-2),'PW_MLG GRADE 10'!$B$7:$B$31,'PW_MLG GRADE 10'!#REF!,"",0,1))&lt;=TODAY(),TRUE,FALSE)</f>
        <v>#REF!</v>
      </c>
      <c r="J19">
        <f t="shared" ca="1" si="1"/>
        <v>0</v>
      </c>
    </row>
    <row r="20" spans="1:10">
      <c r="A20" s="24" t="s">
        <v>224</v>
      </c>
      <c r="B20">
        <v>3</v>
      </c>
      <c r="C20">
        <f>IFERROR(
 --(INDEX('TH_MLG GRADE 10'!$C$7:$C$49,MATCH(LEFT($A20,LEN($A20)-2),'TH_MLG GRADE 10'!$B$7:$B$49,0))="P")+
 --(INDEX('TH_MLG GRADE 10'!$I$7:$I$49,MATCH(LEFT($A20,LEN($A20)-2),'TH_MLG GRADE 10'!$B$7:$B$49,0))="P")+
 --(INDEX('TH_MLG GRADE 10'!$O$7:$O$49,MATCH(LEFT($A20,LEN($A20)-2),'TH_MLG GRADE 10'!$B$7:$B$49,0))="P")+
 --(INDEX('TH_MLG GRADE 10'!$AA$7:$AA$49,MATCH(LEFT($A20,LEN($A20)-2),'TH_MLG GRADE 10'!$B$7:$B$49,0))="P")+
 --(INDEX('TH_MLG GRADE 10'!$AG$7:$AG$49,MATCH(LEFT($A20,LEN($A20)-2),'TH_MLG GRADE 10'!$B$7:$B$49,0))="P")+
 --(INDEX('TH_MLG GRADE 10'!$AM$7:$AM$49,MATCH(LEFT($A20,LEN($A20)-2),'TH_MLG GRADE 10'!$B$7:$B$49,0))="P")+
 --(INDEX('TH_MLG GRADE 10'!$AY$7:$AY$49,MATCH(LEFT($A20,LEN($A20)-2),'TH_MLG GRADE 10'!$B$7:$B$49,0))="P")+
 --(INDEX('TH_MLG GRADE 10'!$BE$7:$BE$49,MATCH(LEFT($A20,LEN($A20)-2),'TH_MLG GRADE 10'!$B$7:$B$49,0))="P")+
 --(INDEX('TH_MLG GRADE 10'!#REF!,MATCH(LEFT($A20,LEN($A20)-2),'TH_MLG GRADE 10'!$B$7:$B$49,0))="P")+
 --(INDEX('TH_MLG GRADE 10'!#REF!,MATCH(LEFT($A20,LEN($A20)-2),'TH_MLG GRADE 10'!$B$7:$B$49,0))="P"),
0)</f>
        <v>0</v>
      </c>
      <c r="D20" s="24" t="b">
        <f ca="1">IF(IF(_xlfn.XLOOKUP(LEFT(A20,LEN(A20)-2),'TH_MLG GRADE 10'!$B$7:$B$49,'TH_MLG GRADE 10'!$BK$7:$BK$49,"",0,1)=0,"",_xlfn.XLOOKUP(LEFT(A20,LEN(A20)-2),'TH_MLG GRADE 10'!$B$7:$B$49,'TH_MLG GRADE 10'!$BK$7:$BK$49,"",0,1))&lt;=TODAY(),TRUE,FALSE)</f>
        <v>0</v>
      </c>
      <c r="E20" s="25" t="str">
        <f t="shared" ca="1" si="0"/>
        <v/>
      </c>
      <c r="F20" t="s">
        <v>224</v>
      </c>
      <c r="G20">
        <v>3</v>
      </c>
      <c r="H20">
        <f>IFERROR(
 --(INDEX('PW_MLG GRADE 10'!$D$7:$D$31,MATCH(LEFT($A20,LEN($A20)-2),'PW_MLG GRADE 10'!$C$7:$C$31,0))="P")+
 --(INDEX('PW_MLG GRADE 10'!$J$7:$J$31,MATCH(LEFT($A20,LEN($A20)-2),'PW_MLG GRADE 10'!$C$7:$C$31,0))="P")+
 --(INDEX('PW_MLG GRADE 10'!$P$7:$P$31,MATCH(LEFT($A20,LEN($A20)-2),'PW_MLG GRADE 10'!$C$7:$C$31,0))="P")+
 --(INDEX('PW_MLG GRADE 10'!$AB$7:$AB$31,MATCH(LEFT($A20,LEN($A20)-2),'PW_MLG GRADE 10'!$C$7:$C$31,0))="P")+
 --(INDEX('PW_MLG GRADE 10'!$AH$7:$AH$31,MATCH(LEFT($A20,LEN($A20)-2),'PW_MLG GRADE 10'!$C$7:$C$31,0))="P")+
 --(INDEX('PW_MLG GRADE 10'!$AN$7:$AN$31,MATCH(LEFT($A20,LEN($A20)-2),'PW_MLG GRADE 10'!$C$7:$C$31,0))="P")+
 --(INDEX('PW_MLG GRADE 10'!$AZ$7:$AZ$31,MATCH(LEFT($A20,LEN($A20)-2),'PW_MLG GRADE 10'!$C$7:$C$31,0))="P")+
 --(INDEX('PW_MLG GRADE 10'!$BF$7:$BF$31,MATCH(LEFT($A20,LEN($A20)-2),'PW_MLG GRADE 10'!$C$7:$C$31,0))="P")+
 --(INDEX('PW_MLG GRADE 10'!#REF!,MATCH(LEFT($A20,LEN($A20)-2),'PW_MLG GRADE 10'!$C$7:$C$31,0))="P")+
 --(INDEX('PW_MLG GRADE 10'!#REF!,MATCH(LEFT($A20,LEN($A20)-2),'PW_MLG GRADE 10'!$C$7:$C$31,0))="P"),
0)</f>
        <v>0</v>
      </c>
      <c r="I20" t="e">
        <f ca="1">IF(IF(_xlfn.XLOOKUP(LEFT(F20,LEN(F20)-2),'PW_MLG GRADE 10'!$B$7:$B$31,'PW_MLG GRADE 10'!#REF!,"",0,1)=0,"",_xlfn.XLOOKUP(LEFT(F20,LEN(F20)-2),'PW_MLG GRADE 10'!$B$7:$B$31,'PW_MLG GRADE 10'!#REF!,"",0,1))&lt;=TODAY(),TRUE,FALSE)</f>
        <v>#REF!</v>
      </c>
      <c r="J20">
        <f t="shared" ca="1" si="1"/>
        <v>0</v>
      </c>
    </row>
    <row r="21" spans="1:10">
      <c r="A21" s="24" t="s">
        <v>225</v>
      </c>
      <c r="B21">
        <v>3</v>
      </c>
      <c r="C21">
        <f>IFERROR(
 --(INDEX('TH_MLG GRADE 10'!$C$7:$C$49,MATCH(LEFT($A21,LEN($A21)-2),'TH_MLG GRADE 10'!$B$7:$B$49,0))="P")+
 --(INDEX('TH_MLG GRADE 10'!$I$7:$I$49,MATCH(LEFT($A21,LEN($A21)-2),'TH_MLG GRADE 10'!$B$7:$B$49,0))="P")+
 --(INDEX('TH_MLG GRADE 10'!$O$7:$O$49,MATCH(LEFT($A21,LEN($A21)-2),'TH_MLG GRADE 10'!$B$7:$B$49,0))="P")+
 --(INDEX('TH_MLG GRADE 10'!$AA$7:$AA$49,MATCH(LEFT($A21,LEN($A21)-2),'TH_MLG GRADE 10'!$B$7:$B$49,0))="P")+
 --(INDEX('TH_MLG GRADE 10'!$AG$7:$AG$49,MATCH(LEFT($A21,LEN($A21)-2),'TH_MLG GRADE 10'!$B$7:$B$49,0))="P")+
 --(INDEX('TH_MLG GRADE 10'!$AM$7:$AM$49,MATCH(LEFT($A21,LEN($A21)-2),'TH_MLG GRADE 10'!$B$7:$B$49,0))="P")+
 --(INDEX('TH_MLG GRADE 10'!$AY$7:$AY$49,MATCH(LEFT($A21,LEN($A21)-2),'TH_MLG GRADE 10'!$B$7:$B$49,0))="P")+
 --(INDEX('TH_MLG GRADE 10'!$BE$7:$BE$49,MATCH(LEFT($A21,LEN($A21)-2),'TH_MLG GRADE 10'!$B$7:$B$49,0))="P")+
 --(INDEX('TH_MLG GRADE 10'!#REF!,MATCH(LEFT($A21,LEN($A21)-2),'TH_MLG GRADE 10'!$B$7:$B$49,0))="P")+
 --(INDEX('TH_MLG GRADE 10'!#REF!,MATCH(LEFT($A21,LEN($A21)-2),'TH_MLG GRADE 10'!$B$7:$B$49,0))="P"),
0)</f>
        <v>0</v>
      </c>
      <c r="D21" s="24" t="b">
        <f ca="1">IF(IF(_xlfn.XLOOKUP(LEFT(A21,LEN(A21)-2),'TH_MLG GRADE 10'!$B$7:$B$49,'TH_MLG GRADE 10'!$BK$7:$BK$49,"",0,1)=0,"",_xlfn.XLOOKUP(LEFT(A21,LEN(A21)-2),'TH_MLG GRADE 10'!$B$7:$B$49,'TH_MLG GRADE 10'!$BK$7:$BK$49,"",0,1))&lt;=TODAY(),TRUE,FALSE)</f>
        <v>1</v>
      </c>
      <c r="E21" s="25">
        <f t="shared" ca="1" si="0"/>
        <v>0</v>
      </c>
      <c r="F21" t="s">
        <v>225</v>
      </c>
      <c r="G21">
        <v>3</v>
      </c>
      <c r="H21">
        <f>IFERROR(
 --(INDEX('PW_MLG GRADE 10'!$D$7:$D$31,MATCH(LEFT($A21,LEN($A21)-2),'PW_MLG GRADE 10'!$C$7:$C$31,0))="P")+
 --(INDEX('PW_MLG GRADE 10'!$J$7:$J$31,MATCH(LEFT($A21,LEN($A21)-2),'PW_MLG GRADE 10'!$C$7:$C$31,0))="P")+
 --(INDEX('PW_MLG GRADE 10'!$P$7:$P$31,MATCH(LEFT($A21,LEN($A21)-2),'PW_MLG GRADE 10'!$C$7:$C$31,0))="P")+
 --(INDEX('PW_MLG GRADE 10'!$AB$7:$AB$31,MATCH(LEFT($A21,LEN($A21)-2),'PW_MLG GRADE 10'!$C$7:$C$31,0))="P")+
 --(INDEX('PW_MLG GRADE 10'!$AH$7:$AH$31,MATCH(LEFT($A21,LEN($A21)-2),'PW_MLG GRADE 10'!$C$7:$C$31,0))="P")+
 --(INDEX('PW_MLG GRADE 10'!$AN$7:$AN$31,MATCH(LEFT($A21,LEN($A21)-2),'PW_MLG GRADE 10'!$C$7:$C$31,0))="P")+
 --(INDEX('PW_MLG GRADE 10'!$AZ$7:$AZ$31,MATCH(LEFT($A21,LEN($A21)-2),'PW_MLG GRADE 10'!$C$7:$C$31,0))="P")+
 --(INDEX('PW_MLG GRADE 10'!$BF$7:$BF$31,MATCH(LEFT($A21,LEN($A21)-2),'PW_MLG GRADE 10'!$C$7:$C$31,0))="P")+
 --(INDEX('PW_MLG GRADE 10'!#REF!,MATCH(LEFT($A21,LEN($A21)-2),'PW_MLG GRADE 10'!$C$7:$C$31,0))="P")+
 --(INDEX('PW_MLG GRADE 10'!#REF!,MATCH(LEFT($A21,LEN($A21)-2),'PW_MLG GRADE 10'!$C$7:$C$31,0))="P"),
0)</f>
        <v>0</v>
      </c>
      <c r="I21" t="e">
        <f ca="1">IF(IF(_xlfn.XLOOKUP(LEFT(F21,LEN(F21)-2),'PW_MLG GRADE 10'!$B$7:$B$31,'PW_MLG GRADE 10'!#REF!,"",0,1)=0,"",_xlfn.XLOOKUP(LEFT(F21,LEN(F21)-2),'PW_MLG GRADE 10'!$B$7:$B$31,'PW_MLG GRADE 10'!#REF!,"",0,1))&lt;=TODAY(),TRUE,FALSE)</f>
        <v>#REF!</v>
      </c>
      <c r="J21">
        <f t="shared" ca="1" si="1"/>
        <v>0</v>
      </c>
    </row>
    <row r="22" spans="1:10">
      <c r="A22" s="24" t="s">
        <v>226</v>
      </c>
      <c r="B22">
        <v>3</v>
      </c>
      <c r="C22">
        <f>IFERROR(
 --(INDEX('TH_MLG GRADE 10'!$C$7:$C$49,MATCH(LEFT($A22,LEN($A22)-2),'TH_MLG GRADE 10'!$B$7:$B$49,0))="P")+
 --(INDEX('TH_MLG GRADE 10'!$I$7:$I$49,MATCH(LEFT($A22,LEN($A22)-2),'TH_MLG GRADE 10'!$B$7:$B$49,0))="P")+
 --(INDEX('TH_MLG GRADE 10'!$O$7:$O$49,MATCH(LEFT($A22,LEN($A22)-2),'TH_MLG GRADE 10'!$B$7:$B$49,0))="P")+
 --(INDEX('TH_MLG GRADE 10'!$AA$7:$AA$49,MATCH(LEFT($A22,LEN($A22)-2),'TH_MLG GRADE 10'!$B$7:$B$49,0))="P")+
 --(INDEX('TH_MLG GRADE 10'!$AG$7:$AG$49,MATCH(LEFT($A22,LEN($A22)-2),'TH_MLG GRADE 10'!$B$7:$B$49,0))="P")+
 --(INDEX('TH_MLG GRADE 10'!$AM$7:$AM$49,MATCH(LEFT($A22,LEN($A22)-2),'TH_MLG GRADE 10'!$B$7:$B$49,0))="P")+
 --(INDEX('TH_MLG GRADE 10'!$AY$7:$AY$49,MATCH(LEFT($A22,LEN($A22)-2),'TH_MLG GRADE 10'!$B$7:$B$49,0))="P")+
 --(INDEX('TH_MLG GRADE 10'!$BE$7:$BE$49,MATCH(LEFT($A22,LEN($A22)-2),'TH_MLG GRADE 10'!$B$7:$B$49,0))="P")+
 --(INDEX('TH_MLG GRADE 10'!#REF!,MATCH(LEFT($A22,LEN($A22)-2),'TH_MLG GRADE 10'!$B$7:$B$49,0))="P")+
 --(INDEX('TH_MLG GRADE 10'!#REF!,MATCH(LEFT($A22,LEN($A22)-2),'TH_MLG GRADE 10'!$B$7:$B$49,0))="P"),
0)</f>
        <v>0</v>
      </c>
      <c r="D22" s="24" t="b">
        <f ca="1">IF(IF(_xlfn.XLOOKUP(LEFT(A22,LEN(A22)-2),'TH_MLG GRADE 10'!$B$7:$B$49,'TH_MLG GRADE 10'!$BK$7:$BK$49,"",0,1)=0,"",_xlfn.XLOOKUP(LEFT(A22,LEN(A22)-2),'TH_MLG GRADE 10'!$B$7:$B$49,'TH_MLG GRADE 10'!$BK$7:$BK$49,"",0,1))&lt;=TODAY(),TRUE,FALSE)</f>
        <v>1</v>
      </c>
      <c r="E22" s="25">
        <f t="shared" ca="1" si="0"/>
        <v>0</v>
      </c>
      <c r="F22" t="s">
        <v>226</v>
      </c>
      <c r="G22">
        <v>3</v>
      </c>
      <c r="H22">
        <f>IFERROR(
 --(INDEX('PW_MLG GRADE 10'!$D$7:$D$31,MATCH(LEFT($A22,LEN($A22)-2),'PW_MLG GRADE 10'!$C$7:$C$31,0))="P")+
 --(INDEX('PW_MLG GRADE 10'!$J$7:$J$31,MATCH(LEFT($A22,LEN($A22)-2),'PW_MLG GRADE 10'!$C$7:$C$31,0))="P")+
 --(INDEX('PW_MLG GRADE 10'!$P$7:$P$31,MATCH(LEFT($A22,LEN($A22)-2),'PW_MLG GRADE 10'!$C$7:$C$31,0))="P")+
 --(INDEX('PW_MLG GRADE 10'!$AB$7:$AB$31,MATCH(LEFT($A22,LEN($A22)-2),'PW_MLG GRADE 10'!$C$7:$C$31,0))="P")+
 --(INDEX('PW_MLG GRADE 10'!$AH$7:$AH$31,MATCH(LEFT($A22,LEN($A22)-2),'PW_MLG GRADE 10'!$C$7:$C$31,0))="P")+
 --(INDEX('PW_MLG GRADE 10'!$AN$7:$AN$31,MATCH(LEFT($A22,LEN($A22)-2),'PW_MLG GRADE 10'!$C$7:$C$31,0))="P")+
 --(INDEX('PW_MLG GRADE 10'!$AZ$7:$AZ$31,MATCH(LEFT($A22,LEN($A22)-2),'PW_MLG GRADE 10'!$C$7:$C$31,0))="P")+
 --(INDEX('PW_MLG GRADE 10'!$BF$7:$BF$31,MATCH(LEFT($A22,LEN($A22)-2),'PW_MLG GRADE 10'!$C$7:$C$31,0))="P")+
 --(INDEX('PW_MLG GRADE 10'!#REF!,MATCH(LEFT($A22,LEN($A22)-2),'PW_MLG GRADE 10'!$C$7:$C$31,0))="P")+
 --(INDEX('PW_MLG GRADE 10'!#REF!,MATCH(LEFT($A22,LEN($A22)-2),'PW_MLG GRADE 10'!$C$7:$C$31,0))="P"),
0)</f>
        <v>0</v>
      </c>
      <c r="I22" t="e">
        <f ca="1">IF(IF(_xlfn.XLOOKUP(LEFT(F22,LEN(F22)-2),'PW_MLG GRADE 10'!$B$7:$B$31,'PW_MLG GRADE 10'!#REF!,"",0,1)=0,"",_xlfn.XLOOKUP(LEFT(F22,LEN(F22)-2),'PW_MLG GRADE 10'!$B$7:$B$31,'PW_MLG GRADE 10'!#REF!,"",0,1))&lt;=TODAY(),TRUE,FALSE)</f>
        <v>#REF!</v>
      </c>
      <c r="J22">
        <f t="shared" ca="1" si="1"/>
        <v>0</v>
      </c>
    </row>
    <row r="23" spans="1:10">
      <c r="A23" s="24" t="s">
        <v>227</v>
      </c>
      <c r="B23">
        <v>3</v>
      </c>
      <c r="C23">
        <f>IFERROR(
 --(INDEX('TH_MLG GRADE 10'!$C$7:$C$49,MATCH(LEFT($A23,LEN($A23)-2),'TH_MLG GRADE 10'!$B$7:$B$49,0))="P")+
 --(INDEX('TH_MLG GRADE 10'!$I$7:$I$49,MATCH(LEFT($A23,LEN($A23)-2),'TH_MLG GRADE 10'!$B$7:$B$49,0))="P")+
 --(INDEX('TH_MLG GRADE 10'!$O$7:$O$49,MATCH(LEFT($A23,LEN($A23)-2),'TH_MLG GRADE 10'!$B$7:$B$49,0))="P")+
 --(INDEX('TH_MLG GRADE 10'!$AA$7:$AA$49,MATCH(LEFT($A23,LEN($A23)-2),'TH_MLG GRADE 10'!$B$7:$B$49,0))="P")+
 --(INDEX('TH_MLG GRADE 10'!$AG$7:$AG$49,MATCH(LEFT($A23,LEN($A23)-2),'TH_MLG GRADE 10'!$B$7:$B$49,0))="P")+
 --(INDEX('TH_MLG GRADE 10'!$AM$7:$AM$49,MATCH(LEFT($A23,LEN($A23)-2),'TH_MLG GRADE 10'!$B$7:$B$49,0))="P")+
 --(INDEX('TH_MLG GRADE 10'!$AY$7:$AY$49,MATCH(LEFT($A23,LEN($A23)-2),'TH_MLG GRADE 10'!$B$7:$B$49,0))="P")+
 --(INDEX('TH_MLG GRADE 10'!$BE$7:$BE$49,MATCH(LEFT($A23,LEN($A23)-2),'TH_MLG GRADE 10'!$B$7:$B$49,0))="P")+
 --(INDEX('TH_MLG GRADE 10'!#REF!,MATCH(LEFT($A23,LEN($A23)-2),'TH_MLG GRADE 10'!$B$7:$B$49,0))="P")+
 --(INDEX('TH_MLG GRADE 10'!#REF!,MATCH(LEFT($A23,LEN($A23)-2),'TH_MLG GRADE 10'!$B$7:$B$49,0))="P"),
0)</f>
        <v>0</v>
      </c>
      <c r="D23" s="24" t="b">
        <f ca="1">IF(IF(_xlfn.XLOOKUP(LEFT(A23,LEN(A23)-2),'TH_MLG GRADE 10'!$B$7:$B$49,'TH_MLG GRADE 10'!$BK$7:$BK$49,"",0,1)=0,"",_xlfn.XLOOKUP(LEFT(A23,LEN(A23)-2),'TH_MLG GRADE 10'!$B$7:$B$49,'TH_MLG GRADE 10'!$BK$7:$BK$49,"",0,1))&lt;=TODAY(),TRUE,FALSE)</f>
        <v>1</v>
      </c>
      <c r="E23" s="25">
        <f t="shared" ca="1" si="0"/>
        <v>0</v>
      </c>
      <c r="F23" t="s">
        <v>227</v>
      </c>
      <c r="G23">
        <v>3</v>
      </c>
      <c r="H23">
        <f>IFERROR(
 --(INDEX('PW_MLG GRADE 10'!$D$7:$D$31,MATCH(LEFT($A23,LEN($A23)-2),'PW_MLG GRADE 10'!$C$7:$C$31,0))="P")+
 --(INDEX('PW_MLG GRADE 10'!$J$7:$J$31,MATCH(LEFT($A23,LEN($A23)-2),'PW_MLG GRADE 10'!$C$7:$C$31,0))="P")+
 --(INDEX('PW_MLG GRADE 10'!$P$7:$P$31,MATCH(LEFT($A23,LEN($A23)-2),'PW_MLG GRADE 10'!$C$7:$C$31,0))="P")+
 --(INDEX('PW_MLG GRADE 10'!$AB$7:$AB$31,MATCH(LEFT($A23,LEN($A23)-2),'PW_MLG GRADE 10'!$C$7:$C$31,0))="P")+
 --(INDEX('PW_MLG GRADE 10'!$AH$7:$AH$31,MATCH(LEFT($A23,LEN($A23)-2),'PW_MLG GRADE 10'!$C$7:$C$31,0))="P")+
 --(INDEX('PW_MLG GRADE 10'!$AN$7:$AN$31,MATCH(LEFT($A23,LEN($A23)-2),'PW_MLG GRADE 10'!$C$7:$C$31,0))="P")+
 --(INDEX('PW_MLG GRADE 10'!$AZ$7:$AZ$31,MATCH(LEFT($A23,LEN($A23)-2),'PW_MLG GRADE 10'!$C$7:$C$31,0))="P")+
 --(INDEX('PW_MLG GRADE 10'!$BF$7:$BF$31,MATCH(LEFT($A23,LEN($A23)-2),'PW_MLG GRADE 10'!$C$7:$C$31,0))="P")+
 --(INDEX('PW_MLG GRADE 10'!#REF!,MATCH(LEFT($A23,LEN($A23)-2),'PW_MLG GRADE 10'!$C$7:$C$31,0))="P")+
 --(INDEX('PW_MLG GRADE 10'!#REF!,MATCH(LEFT($A23,LEN($A23)-2),'PW_MLG GRADE 10'!$C$7:$C$31,0))="P"),
0)</f>
        <v>0</v>
      </c>
      <c r="I23" t="e">
        <f ca="1">IF(IF(_xlfn.XLOOKUP(LEFT(F23,LEN(F23)-2),'PW_MLG GRADE 10'!$B$7:$B$31,'PW_MLG GRADE 10'!#REF!,"",0,1)=0,"",_xlfn.XLOOKUP(LEFT(F23,LEN(F23)-2),'PW_MLG GRADE 10'!$B$7:$B$31,'PW_MLG GRADE 10'!#REF!,"",0,1))&lt;=TODAY(),TRUE,FALSE)</f>
        <v>#REF!</v>
      </c>
      <c r="J23">
        <f t="shared" ca="1" si="1"/>
        <v>0</v>
      </c>
    </row>
    <row r="24" spans="1:10">
      <c r="A24" s="24" t="s">
        <v>228</v>
      </c>
      <c r="B24">
        <v>3</v>
      </c>
      <c r="C24">
        <f>IFERROR(
 --(INDEX('TH_MLG GRADE 10'!$C$7:$C$49,MATCH(LEFT($A24,LEN($A24)-2),'TH_MLG GRADE 10'!$B$7:$B$49,0))="P")+
 --(INDEX('TH_MLG GRADE 10'!$I$7:$I$49,MATCH(LEFT($A24,LEN($A24)-2),'TH_MLG GRADE 10'!$B$7:$B$49,0))="P")+
 --(INDEX('TH_MLG GRADE 10'!$O$7:$O$49,MATCH(LEFT($A24,LEN($A24)-2),'TH_MLG GRADE 10'!$B$7:$B$49,0))="P")+
 --(INDEX('TH_MLG GRADE 10'!$AA$7:$AA$49,MATCH(LEFT($A24,LEN($A24)-2),'TH_MLG GRADE 10'!$B$7:$B$49,0))="P")+
 --(INDEX('TH_MLG GRADE 10'!$AG$7:$AG$49,MATCH(LEFT($A24,LEN($A24)-2),'TH_MLG GRADE 10'!$B$7:$B$49,0))="P")+
 --(INDEX('TH_MLG GRADE 10'!$AM$7:$AM$49,MATCH(LEFT($A24,LEN($A24)-2),'TH_MLG GRADE 10'!$B$7:$B$49,0))="P")+
 --(INDEX('TH_MLG GRADE 10'!$AY$7:$AY$49,MATCH(LEFT($A24,LEN($A24)-2),'TH_MLG GRADE 10'!$B$7:$B$49,0))="P")+
 --(INDEX('TH_MLG GRADE 10'!$BE$7:$BE$49,MATCH(LEFT($A24,LEN($A24)-2),'TH_MLG GRADE 10'!$B$7:$B$49,0))="P")+
 --(INDEX('TH_MLG GRADE 10'!#REF!,MATCH(LEFT($A24,LEN($A24)-2),'TH_MLG GRADE 10'!$B$7:$B$49,0))="P")+
 --(INDEX('TH_MLG GRADE 10'!#REF!,MATCH(LEFT($A24,LEN($A24)-2),'TH_MLG GRADE 10'!$B$7:$B$49,0))="P"),
0)</f>
        <v>0</v>
      </c>
      <c r="D24" s="24" t="b">
        <f ca="1">IF(IF(_xlfn.XLOOKUP(LEFT(A24,LEN(A24)-2),'TH_MLG GRADE 10'!$B$7:$B$49,'TH_MLG GRADE 10'!$BK$7:$BK$49,"",0,1)=0,"",_xlfn.XLOOKUP(LEFT(A24,LEN(A24)-2),'TH_MLG GRADE 10'!$B$7:$B$49,'TH_MLG GRADE 10'!$BK$7:$BK$49,"",0,1))&lt;=TODAY(),TRUE,FALSE)</f>
        <v>1</v>
      </c>
      <c r="E24" s="25">
        <f t="shared" ca="1" si="0"/>
        <v>0</v>
      </c>
      <c r="F24" t="s">
        <v>228</v>
      </c>
      <c r="G24">
        <v>3</v>
      </c>
      <c r="H24">
        <f>IFERROR(
 --(INDEX('PW_MLG GRADE 10'!$D$7:$D$31,MATCH(LEFT($A24,LEN($A24)-2),'PW_MLG GRADE 10'!$C$7:$C$31,0))="P")+
 --(INDEX('PW_MLG GRADE 10'!$J$7:$J$31,MATCH(LEFT($A24,LEN($A24)-2),'PW_MLG GRADE 10'!$C$7:$C$31,0))="P")+
 --(INDEX('PW_MLG GRADE 10'!$P$7:$P$31,MATCH(LEFT($A24,LEN($A24)-2),'PW_MLG GRADE 10'!$C$7:$C$31,0))="P")+
 --(INDEX('PW_MLG GRADE 10'!$AB$7:$AB$31,MATCH(LEFT($A24,LEN($A24)-2),'PW_MLG GRADE 10'!$C$7:$C$31,0))="P")+
 --(INDEX('PW_MLG GRADE 10'!$AH$7:$AH$31,MATCH(LEFT($A24,LEN($A24)-2),'PW_MLG GRADE 10'!$C$7:$C$31,0))="P")+
 --(INDEX('PW_MLG GRADE 10'!$AN$7:$AN$31,MATCH(LEFT($A24,LEN($A24)-2),'PW_MLG GRADE 10'!$C$7:$C$31,0))="P")+
 --(INDEX('PW_MLG GRADE 10'!$AZ$7:$AZ$31,MATCH(LEFT($A24,LEN($A24)-2),'PW_MLG GRADE 10'!$C$7:$C$31,0))="P")+
 --(INDEX('PW_MLG GRADE 10'!$BF$7:$BF$31,MATCH(LEFT($A24,LEN($A24)-2),'PW_MLG GRADE 10'!$C$7:$C$31,0))="P")+
 --(INDEX('PW_MLG GRADE 10'!#REF!,MATCH(LEFT($A24,LEN($A24)-2),'PW_MLG GRADE 10'!$C$7:$C$31,0))="P")+
 --(INDEX('PW_MLG GRADE 10'!#REF!,MATCH(LEFT($A24,LEN($A24)-2),'PW_MLG GRADE 10'!$C$7:$C$31,0))="P"),
0)</f>
        <v>0</v>
      </c>
      <c r="I24" t="e">
        <f ca="1">IF(IF(_xlfn.XLOOKUP(LEFT(F24,LEN(F24)-2),'PW_MLG GRADE 10'!$B$7:$B$31,'PW_MLG GRADE 10'!#REF!,"",0,1)=0,"",_xlfn.XLOOKUP(LEFT(F24,LEN(F24)-2),'PW_MLG GRADE 10'!$B$7:$B$31,'PW_MLG GRADE 10'!#REF!,"",0,1))&lt;=TODAY(),TRUE,FALSE)</f>
        <v>#REF!</v>
      </c>
      <c r="J24">
        <f t="shared" ca="1" si="1"/>
        <v>0</v>
      </c>
    </row>
    <row r="25" spans="1:10">
      <c r="A25" s="24" t="s">
        <v>229</v>
      </c>
      <c r="B25">
        <v>3</v>
      </c>
      <c r="C25">
        <f>IFERROR(
 --(INDEX('TH_MLG GRADE 10'!$C$7:$C$49,MATCH(LEFT($A25,LEN($A25)-2),'TH_MLG GRADE 10'!$B$7:$B$49,0))="P")+
 --(INDEX('TH_MLG GRADE 10'!$I$7:$I$49,MATCH(LEFT($A25,LEN($A25)-2),'TH_MLG GRADE 10'!$B$7:$B$49,0))="P")+
 --(INDEX('TH_MLG GRADE 10'!$O$7:$O$49,MATCH(LEFT($A25,LEN($A25)-2),'TH_MLG GRADE 10'!$B$7:$B$49,0))="P")+
 --(INDEX('TH_MLG GRADE 10'!$AA$7:$AA$49,MATCH(LEFT($A25,LEN($A25)-2),'TH_MLG GRADE 10'!$B$7:$B$49,0))="P")+
 --(INDEX('TH_MLG GRADE 10'!$AG$7:$AG$49,MATCH(LEFT($A25,LEN($A25)-2),'TH_MLG GRADE 10'!$B$7:$B$49,0))="P")+
 --(INDEX('TH_MLG GRADE 10'!$AM$7:$AM$49,MATCH(LEFT($A25,LEN($A25)-2),'TH_MLG GRADE 10'!$B$7:$B$49,0))="P")+
 --(INDEX('TH_MLG GRADE 10'!$AY$7:$AY$49,MATCH(LEFT($A25,LEN($A25)-2),'TH_MLG GRADE 10'!$B$7:$B$49,0))="P")+
 --(INDEX('TH_MLG GRADE 10'!$BE$7:$BE$49,MATCH(LEFT($A25,LEN($A25)-2),'TH_MLG GRADE 10'!$B$7:$B$49,0))="P")+
 --(INDEX('TH_MLG GRADE 10'!#REF!,MATCH(LEFT($A25,LEN($A25)-2),'TH_MLG GRADE 10'!$B$7:$B$49,0))="P")+
 --(INDEX('TH_MLG GRADE 10'!#REF!,MATCH(LEFT($A25,LEN($A25)-2),'TH_MLG GRADE 10'!$B$7:$B$49,0))="P"),
0)</f>
        <v>0</v>
      </c>
      <c r="D25" s="24" t="b">
        <f ca="1">IF(IF(_xlfn.XLOOKUP(LEFT(A25,LEN(A25)-2),'TH_MLG GRADE 10'!$B$7:$B$49,'TH_MLG GRADE 10'!$BK$7:$BK$49,"",0,1)=0,"",_xlfn.XLOOKUP(LEFT(A25,LEN(A25)-2),'TH_MLG GRADE 10'!$B$7:$B$49,'TH_MLG GRADE 10'!$BK$7:$BK$49,"",0,1))&lt;=TODAY(),TRUE,FALSE)</f>
        <v>1</v>
      </c>
      <c r="E25" s="25">
        <f t="shared" ca="1" si="0"/>
        <v>0</v>
      </c>
      <c r="F25" t="s">
        <v>229</v>
      </c>
      <c r="G25">
        <v>3</v>
      </c>
      <c r="H25">
        <f>IFERROR(
 --(INDEX('PW_MLG GRADE 10'!$D$7:$D$31,MATCH(LEFT($A25,LEN($A25)-2),'PW_MLG GRADE 10'!$C$7:$C$31,0))="P")+
 --(INDEX('PW_MLG GRADE 10'!$J$7:$J$31,MATCH(LEFT($A25,LEN($A25)-2),'PW_MLG GRADE 10'!$C$7:$C$31,0))="P")+
 --(INDEX('PW_MLG GRADE 10'!$P$7:$P$31,MATCH(LEFT($A25,LEN($A25)-2),'PW_MLG GRADE 10'!$C$7:$C$31,0))="P")+
 --(INDEX('PW_MLG GRADE 10'!$AB$7:$AB$31,MATCH(LEFT($A25,LEN($A25)-2),'PW_MLG GRADE 10'!$C$7:$C$31,0))="P")+
 --(INDEX('PW_MLG GRADE 10'!$AH$7:$AH$31,MATCH(LEFT($A25,LEN($A25)-2),'PW_MLG GRADE 10'!$C$7:$C$31,0))="P")+
 --(INDEX('PW_MLG GRADE 10'!$AN$7:$AN$31,MATCH(LEFT($A25,LEN($A25)-2),'PW_MLG GRADE 10'!$C$7:$C$31,0))="P")+
 --(INDEX('PW_MLG GRADE 10'!$AZ$7:$AZ$31,MATCH(LEFT($A25,LEN($A25)-2),'PW_MLG GRADE 10'!$C$7:$C$31,0))="P")+
 --(INDEX('PW_MLG GRADE 10'!$BF$7:$BF$31,MATCH(LEFT($A25,LEN($A25)-2),'PW_MLG GRADE 10'!$C$7:$C$31,0))="P")+
 --(INDEX('PW_MLG GRADE 10'!#REF!,MATCH(LEFT($A25,LEN($A25)-2),'PW_MLG GRADE 10'!$C$7:$C$31,0))="P")+
 --(INDEX('PW_MLG GRADE 10'!#REF!,MATCH(LEFT($A25,LEN($A25)-2),'PW_MLG GRADE 10'!$C$7:$C$31,0))="P"),
0)</f>
        <v>0</v>
      </c>
      <c r="I25" t="e">
        <f ca="1">IF(IF(_xlfn.XLOOKUP(LEFT(F25,LEN(F25)-2),'PW_MLG GRADE 10'!$B$7:$B$31,'PW_MLG GRADE 10'!#REF!,"",0,1)=0,"",_xlfn.XLOOKUP(LEFT(F25,LEN(F25)-2),'PW_MLG GRADE 10'!$B$7:$B$31,'PW_MLG GRADE 10'!#REF!,"",0,1))&lt;=TODAY(),TRUE,FALSE)</f>
        <v>#REF!</v>
      </c>
      <c r="J25">
        <f t="shared" ca="1" si="1"/>
        <v>0</v>
      </c>
    </row>
    <row r="26" spans="1:10">
      <c r="A26" s="24" t="s">
        <v>230</v>
      </c>
      <c r="B26">
        <v>3</v>
      </c>
      <c r="C26">
        <f>IFERROR(
 --(INDEX('TH_MLG GRADE 10'!$C$7:$C$49,MATCH(LEFT($A26,LEN($A26)-2),'TH_MLG GRADE 10'!$B$7:$B$49,0))="P")+
 --(INDEX('TH_MLG GRADE 10'!$I$7:$I$49,MATCH(LEFT($A26,LEN($A26)-2),'TH_MLG GRADE 10'!$B$7:$B$49,0))="P")+
 --(INDEX('TH_MLG GRADE 10'!$O$7:$O$49,MATCH(LEFT($A26,LEN($A26)-2),'TH_MLG GRADE 10'!$B$7:$B$49,0))="P")+
 --(INDEX('TH_MLG GRADE 10'!$AA$7:$AA$49,MATCH(LEFT($A26,LEN($A26)-2),'TH_MLG GRADE 10'!$B$7:$B$49,0))="P")+
 --(INDEX('TH_MLG GRADE 10'!$AG$7:$AG$49,MATCH(LEFT($A26,LEN($A26)-2),'TH_MLG GRADE 10'!$B$7:$B$49,0))="P")+
 --(INDEX('TH_MLG GRADE 10'!$AM$7:$AM$49,MATCH(LEFT($A26,LEN($A26)-2),'TH_MLG GRADE 10'!$B$7:$B$49,0))="P")+
 --(INDEX('TH_MLG GRADE 10'!$AY$7:$AY$49,MATCH(LEFT($A26,LEN($A26)-2),'TH_MLG GRADE 10'!$B$7:$B$49,0))="P")+
 --(INDEX('TH_MLG GRADE 10'!$BE$7:$BE$49,MATCH(LEFT($A26,LEN($A26)-2),'TH_MLG GRADE 10'!$B$7:$B$49,0))="P")+
 --(INDEX('TH_MLG GRADE 10'!#REF!,MATCH(LEFT($A26,LEN($A26)-2),'TH_MLG GRADE 10'!$B$7:$B$49,0))="P")+
 --(INDEX('TH_MLG GRADE 10'!#REF!,MATCH(LEFT($A26,LEN($A26)-2),'TH_MLG GRADE 10'!$B$7:$B$49,0))="P"),
0)</f>
        <v>0</v>
      </c>
      <c r="D26" s="24" t="b">
        <f ca="1">IF(IF(_xlfn.XLOOKUP(LEFT(A26,LEN(A26)-2),'TH_MLG GRADE 10'!$B$7:$B$49,'TH_MLG GRADE 10'!$BK$7:$BK$49,"",0,1)=0,"",_xlfn.XLOOKUP(LEFT(A26,LEN(A26)-2),'TH_MLG GRADE 10'!$B$7:$B$49,'TH_MLG GRADE 10'!$BK$7:$BK$49,"",0,1))&lt;=TODAY(),TRUE,FALSE)</f>
        <v>1</v>
      </c>
      <c r="E26" s="25">
        <f t="shared" ca="1" si="0"/>
        <v>0</v>
      </c>
      <c r="F26" t="s">
        <v>230</v>
      </c>
      <c r="G26">
        <v>3</v>
      </c>
      <c r="H26">
        <f>IFERROR(
 --(INDEX('PW_MLG GRADE 10'!$D$7:$D$31,MATCH(LEFT($A26,LEN($A26)-2),'PW_MLG GRADE 10'!$C$7:$C$31,0))="P")+
 --(INDEX('PW_MLG GRADE 10'!$J$7:$J$31,MATCH(LEFT($A26,LEN($A26)-2),'PW_MLG GRADE 10'!$C$7:$C$31,0))="P")+
 --(INDEX('PW_MLG GRADE 10'!$P$7:$P$31,MATCH(LEFT($A26,LEN($A26)-2),'PW_MLG GRADE 10'!$C$7:$C$31,0))="P")+
 --(INDEX('PW_MLG GRADE 10'!$AB$7:$AB$31,MATCH(LEFT($A26,LEN($A26)-2),'PW_MLG GRADE 10'!$C$7:$C$31,0))="P")+
 --(INDEX('PW_MLG GRADE 10'!$AH$7:$AH$31,MATCH(LEFT($A26,LEN($A26)-2),'PW_MLG GRADE 10'!$C$7:$C$31,0))="P")+
 --(INDEX('PW_MLG GRADE 10'!$AN$7:$AN$31,MATCH(LEFT($A26,LEN($A26)-2),'PW_MLG GRADE 10'!$C$7:$C$31,0))="P")+
 --(INDEX('PW_MLG GRADE 10'!$AZ$7:$AZ$31,MATCH(LEFT($A26,LEN($A26)-2),'PW_MLG GRADE 10'!$C$7:$C$31,0))="P")+
 --(INDEX('PW_MLG GRADE 10'!$BF$7:$BF$31,MATCH(LEFT($A26,LEN($A26)-2),'PW_MLG GRADE 10'!$C$7:$C$31,0))="P")+
 --(INDEX('PW_MLG GRADE 10'!#REF!,MATCH(LEFT($A26,LEN($A26)-2),'PW_MLG GRADE 10'!$C$7:$C$31,0))="P")+
 --(INDEX('PW_MLG GRADE 10'!#REF!,MATCH(LEFT($A26,LEN($A26)-2),'PW_MLG GRADE 10'!$C$7:$C$31,0))="P"),
0)</f>
        <v>0</v>
      </c>
      <c r="I26" t="e">
        <f ca="1">IF(IF(_xlfn.XLOOKUP(LEFT(F26,LEN(F26)-2),'PW_MLG GRADE 10'!$B$7:$B$31,'PW_MLG GRADE 10'!#REF!,"",0,1)=0,"",_xlfn.XLOOKUP(LEFT(F26,LEN(F26)-2),'PW_MLG GRADE 10'!$B$7:$B$31,'PW_MLG GRADE 10'!#REF!,"",0,1))&lt;=TODAY(),TRUE,FALSE)</f>
        <v>#REF!</v>
      </c>
      <c r="J26">
        <f t="shared" ca="1" si="1"/>
        <v>0</v>
      </c>
    </row>
    <row r="27" spans="1:10">
      <c r="A27" s="24" t="s">
        <v>231</v>
      </c>
      <c r="B27">
        <v>3</v>
      </c>
      <c r="C27">
        <f>IFERROR(
 --(INDEX('TH_MLG GRADE 10'!$C$7:$C$49,MATCH(LEFT($A27,LEN($A27)-2),'TH_MLG GRADE 10'!$B$7:$B$49,0))="P")+
 --(INDEX('TH_MLG GRADE 10'!$I$7:$I$49,MATCH(LEFT($A27,LEN($A27)-2),'TH_MLG GRADE 10'!$B$7:$B$49,0))="P")+
 --(INDEX('TH_MLG GRADE 10'!$O$7:$O$49,MATCH(LEFT($A27,LEN($A27)-2),'TH_MLG GRADE 10'!$B$7:$B$49,0))="P")+
 --(INDEX('TH_MLG GRADE 10'!$AA$7:$AA$49,MATCH(LEFT($A27,LEN($A27)-2),'TH_MLG GRADE 10'!$B$7:$B$49,0))="P")+
 --(INDEX('TH_MLG GRADE 10'!$AG$7:$AG$49,MATCH(LEFT($A27,LEN($A27)-2),'TH_MLG GRADE 10'!$B$7:$B$49,0))="P")+
 --(INDEX('TH_MLG GRADE 10'!$AM$7:$AM$49,MATCH(LEFT($A27,LEN($A27)-2),'TH_MLG GRADE 10'!$B$7:$B$49,0))="P")+
 --(INDEX('TH_MLG GRADE 10'!$AY$7:$AY$49,MATCH(LEFT($A27,LEN($A27)-2),'TH_MLG GRADE 10'!$B$7:$B$49,0))="P")+
 --(INDEX('TH_MLG GRADE 10'!$BE$7:$BE$49,MATCH(LEFT($A27,LEN($A27)-2),'TH_MLG GRADE 10'!$B$7:$B$49,0))="P")+
 --(INDEX('TH_MLG GRADE 10'!#REF!,MATCH(LEFT($A27,LEN($A27)-2),'TH_MLG GRADE 10'!$B$7:$B$49,0))="P")+
 --(INDEX('TH_MLG GRADE 10'!#REF!,MATCH(LEFT($A27,LEN($A27)-2),'TH_MLG GRADE 10'!$B$7:$B$49,0))="P"),
0)</f>
        <v>0</v>
      </c>
      <c r="D27" s="24" t="b">
        <f ca="1">IF(IF(_xlfn.XLOOKUP(LEFT(A27,LEN(A27)-2),'TH_MLG GRADE 10'!$B$7:$B$49,'TH_MLG GRADE 10'!$BK$7:$BK$49,"",0,1)=0,"",_xlfn.XLOOKUP(LEFT(A27,LEN(A27)-2),'TH_MLG GRADE 10'!$B$7:$B$49,'TH_MLG GRADE 10'!$BK$7:$BK$49,"",0,1))&lt;=TODAY(),TRUE,FALSE)</f>
        <v>1</v>
      </c>
      <c r="E27" s="25">
        <f t="shared" ca="1" si="0"/>
        <v>0</v>
      </c>
      <c r="F27" t="s">
        <v>231</v>
      </c>
      <c r="G27">
        <v>3</v>
      </c>
      <c r="H27">
        <f>IFERROR(
 --(INDEX('PW_MLG GRADE 10'!$D$7:$D$31,MATCH(LEFT($A27,LEN($A27)-2),'PW_MLG GRADE 10'!$C$7:$C$31,0))="P")+
 --(INDEX('PW_MLG GRADE 10'!$J$7:$J$31,MATCH(LEFT($A27,LEN($A27)-2),'PW_MLG GRADE 10'!$C$7:$C$31,0))="P")+
 --(INDEX('PW_MLG GRADE 10'!$P$7:$P$31,MATCH(LEFT($A27,LEN($A27)-2),'PW_MLG GRADE 10'!$C$7:$C$31,0))="P")+
 --(INDEX('PW_MLG GRADE 10'!$AB$7:$AB$31,MATCH(LEFT($A27,LEN($A27)-2),'PW_MLG GRADE 10'!$C$7:$C$31,0))="P")+
 --(INDEX('PW_MLG GRADE 10'!$AH$7:$AH$31,MATCH(LEFT($A27,LEN($A27)-2),'PW_MLG GRADE 10'!$C$7:$C$31,0))="P")+
 --(INDEX('PW_MLG GRADE 10'!$AN$7:$AN$31,MATCH(LEFT($A27,LEN($A27)-2),'PW_MLG GRADE 10'!$C$7:$C$31,0))="P")+
 --(INDEX('PW_MLG GRADE 10'!$AZ$7:$AZ$31,MATCH(LEFT($A27,LEN($A27)-2),'PW_MLG GRADE 10'!$C$7:$C$31,0))="P")+
 --(INDEX('PW_MLG GRADE 10'!$BF$7:$BF$31,MATCH(LEFT($A27,LEN($A27)-2),'PW_MLG GRADE 10'!$C$7:$C$31,0))="P")+
 --(INDEX('PW_MLG GRADE 10'!#REF!,MATCH(LEFT($A27,LEN($A27)-2),'PW_MLG GRADE 10'!$C$7:$C$31,0))="P")+
 --(INDEX('PW_MLG GRADE 10'!#REF!,MATCH(LEFT($A27,LEN($A27)-2),'PW_MLG GRADE 10'!$C$7:$C$31,0))="P"),
0)</f>
        <v>0</v>
      </c>
      <c r="I27" t="e">
        <f ca="1">IF(IF(_xlfn.XLOOKUP(LEFT(F27,LEN(F27)-2),'PW_MLG GRADE 10'!$B$7:$B$31,'PW_MLG GRADE 10'!#REF!,"",0,1)=0,"",_xlfn.XLOOKUP(LEFT(F27,LEN(F27)-2),'PW_MLG GRADE 10'!$B$7:$B$31,'PW_MLG GRADE 10'!#REF!,"",0,1))&lt;=TODAY(),TRUE,FALSE)</f>
        <v>#REF!</v>
      </c>
      <c r="J27">
        <f t="shared" ca="1" si="1"/>
        <v>0</v>
      </c>
    </row>
    <row r="28" spans="1:10">
      <c r="A28" s="24" t="s">
        <v>232</v>
      </c>
      <c r="B28">
        <v>3</v>
      </c>
      <c r="C28">
        <f>IFERROR(
 --(INDEX('TH_MLG GRADE 10'!$C$7:$C$49,MATCH(LEFT($A28,LEN($A28)-2),'TH_MLG GRADE 10'!$B$7:$B$49,0))="P")+
 --(INDEX('TH_MLG GRADE 10'!$I$7:$I$49,MATCH(LEFT($A28,LEN($A28)-2),'TH_MLG GRADE 10'!$B$7:$B$49,0))="P")+
 --(INDEX('TH_MLG GRADE 10'!$O$7:$O$49,MATCH(LEFT($A28,LEN($A28)-2),'TH_MLG GRADE 10'!$B$7:$B$49,0))="P")+
 --(INDEX('TH_MLG GRADE 10'!$AA$7:$AA$49,MATCH(LEFT($A28,LEN($A28)-2),'TH_MLG GRADE 10'!$B$7:$B$49,0))="P")+
 --(INDEX('TH_MLG GRADE 10'!$AG$7:$AG$49,MATCH(LEFT($A28,LEN($A28)-2),'TH_MLG GRADE 10'!$B$7:$B$49,0))="P")+
 --(INDEX('TH_MLG GRADE 10'!$AM$7:$AM$49,MATCH(LEFT($A28,LEN($A28)-2),'TH_MLG GRADE 10'!$B$7:$B$49,0))="P")+
 --(INDEX('TH_MLG GRADE 10'!$AY$7:$AY$49,MATCH(LEFT($A28,LEN($A28)-2),'TH_MLG GRADE 10'!$B$7:$B$49,0))="P")+
 --(INDEX('TH_MLG GRADE 10'!$BE$7:$BE$49,MATCH(LEFT($A28,LEN($A28)-2),'TH_MLG GRADE 10'!$B$7:$B$49,0))="P")+
 --(INDEX('TH_MLG GRADE 10'!#REF!,MATCH(LEFT($A28,LEN($A28)-2),'TH_MLG GRADE 10'!$B$7:$B$49,0))="P")+
 --(INDEX('TH_MLG GRADE 10'!#REF!,MATCH(LEFT($A28,LEN($A28)-2),'TH_MLG GRADE 10'!$B$7:$B$49,0))="P"),
0)</f>
        <v>0</v>
      </c>
      <c r="D28" s="24" t="b">
        <f ca="1">IF(IF(_xlfn.XLOOKUP(LEFT(A28,LEN(A28)-2),'TH_MLG GRADE 10'!$B$7:$B$49,'TH_MLG GRADE 10'!$BK$7:$BK$49,"",0,1)=0,"",_xlfn.XLOOKUP(LEFT(A28,LEN(A28)-2),'TH_MLG GRADE 10'!$B$7:$B$49,'TH_MLG GRADE 10'!$BK$7:$BK$49,"",0,1))&lt;=TODAY(),TRUE,FALSE)</f>
        <v>1</v>
      </c>
      <c r="E28" s="25">
        <f t="shared" ca="1" si="0"/>
        <v>0</v>
      </c>
      <c r="F28" t="s">
        <v>232</v>
      </c>
      <c r="G28">
        <v>3</v>
      </c>
      <c r="H28">
        <f>IFERROR(
 --(INDEX('PW_MLG GRADE 10'!$D$7:$D$31,MATCH(LEFT($A28,LEN($A28)-2),'PW_MLG GRADE 10'!$C$7:$C$31,0))="P")+
 --(INDEX('PW_MLG GRADE 10'!$J$7:$J$31,MATCH(LEFT($A28,LEN($A28)-2),'PW_MLG GRADE 10'!$C$7:$C$31,0))="P")+
 --(INDEX('PW_MLG GRADE 10'!$P$7:$P$31,MATCH(LEFT($A28,LEN($A28)-2),'PW_MLG GRADE 10'!$C$7:$C$31,0))="P")+
 --(INDEX('PW_MLG GRADE 10'!$AB$7:$AB$31,MATCH(LEFT($A28,LEN($A28)-2),'PW_MLG GRADE 10'!$C$7:$C$31,0))="P")+
 --(INDEX('PW_MLG GRADE 10'!$AH$7:$AH$31,MATCH(LEFT($A28,LEN($A28)-2),'PW_MLG GRADE 10'!$C$7:$C$31,0))="P")+
 --(INDEX('PW_MLG GRADE 10'!$AN$7:$AN$31,MATCH(LEFT($A28,LEN($A28)-2),'PW_MLG GRADE 10'!$C$7:$C$31,0))="P")+
 --(INDEX('PW_MLG GRADE 10'!$AZ$7:$AZ$31,MATCH(LEFT($A28,LEN($A28)-2),'PW_MLG GRADE 10'!$C$7:$C$31,0))="P")+
 --(INDEX('PW_MLG GRADE 10'!$BF$7:$BF$31,MATCH(LEFT($A28,LEN($A28)-2),'PW_MLG GRADE 10'!$C$7:$C$31,0))="P")+
 --(INDEX('PW_MLG GRADE 10'!#REF!,MATCH(LEFT($A28,LEN($A28)-2),'PW_MLG GRADE 10'!$C$7:$C$31,0))="P")+
 --(INDEX('PW_MLG GRADE 10'!#REF!,MATCH(LEFT($A28,LEN($A28)-2),'PW_MLG GRADE 10'!$C$7:$C$31,0))="P"),
0)</f>
        <v>0</v>
      </c>
      <c r="I28" t="e">
        <f ca="1">IF(IF(_xlfn.XLOOKUP(LEFT(F28,LEN(F28)-2),'PW_MLG GRADE 10'!$B$7:$B$31,'PW_MLG GRADE 10'!#REF!,"",0,1)=0,"",_xlfn.XLOOKUP(LEFT(F28,LEN(F28)-2),'PW_MLG GRADE 10'!$B$7:$B$31,'PW_MLG GRADE 10'!#REF!,"",0,1))&lt;=TODAY(),TRUE,FALSE)</f>
        <v>#REF!</v>
      </c>
      <c r="J28">
        <f t="shared" ca="1" si="1"/>
        <v>0</v>
      </c>
    </row>
    <row r="29" spans="1:10">
      <c r="A29" s="24" t="s">
        <v>233</v>
      </c>
      <c r="B29">
        <v>3</v>
      </c>
      <c r="C29">
        <f>IFERROR(
 --(INDEX('TH_MLG GRADE 10'!$C$7:$C$49,MATCH(LEFT($A29,LEN($A29)-2),'TH_MLG GRADE 10'!$B$7:$B$49,0))="P")+
 --(INDEX('TH_MLG GRADE 10'!$I$7:$I$49,MATCH(LEFT($A29,LEN($A29)-2),'TH_MLG GRADE 10'!$B$7:$B$49,0))="P")+
 --(INDEX('TH_MLG GRADE 10'!$O$7:$O$49,MATCH(LEFT($A29,LEN($A29)-2),'TH_MLG GRADE 10'!$B$7:$B$49,0))="P")+
 --(INDEX('TH_MLG GRADE 10'!$AA$7:$AA$49,MATCH(LEFT($A29,LEN($A29)-2),'TH_MLG GRADE 10'!$B$7:$B$49,0))="P")+
 --(INDEX('TH_MLG GRADE 10'!$AG$7:$AG$49,MATCH(LEFT($A29,LEN($A29)-2),'TH_MLG GRADE 10'!$B$7:$B$49,0))="P")+
 --(INDEX('TH_MLG GRADE 10'!$AM$7:$AM$49,MATCH(LEFT($A29,LEN($A29)-2),'TH_MLG GRADE 10'!$B$7:$B$49,0))="P")+
 --(INDEX('TH_MLG GRADE 10'!$AY$7:$AY$49,MATCH(LEFT($A29,LEN($A29)-2),'TH_MLG GRADE 10'!$B$7:$B$49,0))="P")+
 --(INDEX('TH_MLG GRADE 10'!$BE$7:$BE$49,MATCH(LEFT($A29,LEN($A29)-2),'TH_MLG GRADE 10'!$B$7:$B$49,0))="P")+
 --(INDEX('TH_MLG GRADE 10'!#REF!,MATCH(LEFT($A29,LEN($A29)-2),'TH_MLG GRADE 10'!$B$7:$B$49,0))="P")+
 --(INDEX('TH_MLG GRADE 10'!#REF!,MATCH(LEFT($A29,LEN($A29)-2),'TH_MLG GRADE 10'!$B$7:$B$49,0))="P"),
0)</f>
        <v>0</v>
      </c>
      <c r="D29" s="24" t="b">
        <f ca="1">IF(IF(_xlfn.XLOOKUP(LEFT(A29,LEN(A29)-2),'TH_MLG GRADE 10'!$B$7:$B$49,'TH_MLG GRADE 10'!$BK$7:$BK$49,"",0,1)=0,"",_xlfn.XLOOKUP(LEFT(A29,LEN(A29)-2),'TH_MLG GRADE 10'!$B$7:$B$49,'TH_MLG GRADE 10'!$BK$7:$BK$49,"",0,1))&lt;=TODAY(),TRUE,FALSE)</f>
        <v>1</v>
      </c>
      <c r="E29" s="25">
        <f t="shared" ca="1" si="0"/>
        <v>0</v>
      </c>
      <c r="F29" t="s">
        <v>233</v>
      </c>
      <c r="G29">
        <v>3</v>
      </c>
      <c r="H29">
        <f>IFERROR(
 --(INDEX('PW_MLG GRADE 10'!$D$7:$D$31,MATCH(LEFT($A29,LEN($A29)-2),'PW_MLG GRADE 10'!$C$7:$C$31,0))="P")+
 --(INDEX('PW_MLG GRADE 10'!$J$7:$J$31,MATCH(LEFT($A29,LEN($A29)-2),'PW_MLG GRADE 10'!$C$7:$C$31,0))="P")+
 --(INDEX('PW_MLG GRADE 10'!$P$7:$P$31,MATCH(LEFT($A29,LEN($A29)-2),'PW_MLG GRADE 10'!$C$7:$C$31,0))="P")+
 --(INDEX('PW_MLG GRADE 10'!$AB$7:$AB$31,MATCH(LEFT($A29,LEN($A29)-2),'PW_MLG GRADE 10'!$C$7:$C$31,0))="P")+
 --(INDEX('PW_MLG GRADE 10'!$AH$7:$AH$31,MATCH(LEFT($A29,LEN($A29)-2),'PW_MLG GRADE 10'!$C$7:$C$31,0))="P")+
 --(INDEX('PW_MLG GRADE 10'!$AN$7:$AN$31,MATCH(LEFT($A29,LEN($A29)-2),'PW_MLG GRADE 10'!$C$7:$C$31,0))="P")+
 --(INDEX('PW_MLG GRADE 10'!$AZ$7:$AZ$31,MATCH(LEFT($A29,LEN($A29)-2),'PW_MLG GRADE 10'!$C$7:$C$31,0))="P")+
 --(INDEX('PW_MLG GRADE 10'!$BF$7:$BF$31,MATCH(LEFT($A29,LEN($A29)-2),'PW_MLG GRADE 10'!$C$7:$C$31,0))="P")+
 --(INDEX('PW_MLG GRADE 10'!#REF!,MATCH(LEFT($A29,LEN($A29)-2),'PW_MLG GRADE 10'!$C$7:$C$31,0))="P")+
 --(INDEX('PW_MLG GRADE 10'!#REF!,MATCH(LEFT($A29,LEN($A29)-2),'PW_MLG GRADE 10'!$C$7:$C$31,0))="P"),
0)</f>
        <v>0</v>
      </c>
      <c r="I29" t="e">
        <f ca="1">IF(IF(_xlfn.XLOOKUP(LEFT(F29,LEN(F29)-2),'PW_MLG GRADE 10'!$B$7:$B$31,'PW_MLG GRADE 10'!#REF!,"",0,1)=0,"",_xlfn.XLOOKUP(LEFT(F29,LEN(F29)-2),'PW_MLG GRADE 10'!$B$7:$B$31,'PW_MLG GRADE 10'!#REF!,"",0,1))&lt;=TODAY(),TRUE,FALSE)</f>
        <v>#REF!</v>
      </c>
      <c r="J29">
        <f t="shared" ca="1" si="1"/>
        <v>0</v>
      </c>
    </row>
    <row r="30" spans="1:10">
      <c r="A30" s="24" t="s">
        <v>234</v>
      </c>
      <c r="B30">
        <v>3</v>
      </c>
      <c r="C30">
        <f>IFERROR(
 --(INDEX('TH_MLG GRADE 10'!$C$7:$C$49,MATCH(LEFT($A30,LEN($A30)-2),'TH_MLG GRADE 10'!$B$7:$B$49,0))="P")+
 --(INDEX('TH_MLG GRADE 10'!$I$7:$I$49,MATCH(LEFT($A30,LEN($A30)-2),'TH_MLG GRADE 10'!$B$7:$B$49,0))="P")+
 --(INDEX('TH_MLG GRADE 10'!$O$7:$O$49,MATCH(LEFT($A30,LEN($A30)-2),'TH_MLG GRADE 10'!$B$7:$B$49,0))="P")+
 --(INDEX('TH_MLG GRADE 10'!$AA$7:$AA$49,MATCH(LEFT($A30,LEN($A30)-2),'TH_MLG GRADE 10'!$B$7:$B$49,0))="P")+
 --(INDEX('TH_MLG GRADE 10'!$AG$7:$AG$49,MATCH(LEFT($A30,LEN($A30)-2),'TH_MLG GRADE 10'!$B$7:$B$49,0))="P")+
 --(INDEX('TH_MLG GRADE 10'!$AM$7:$AM$49,MATCH(LEFT($A30,LEN($A30)-2),'TH_MLG GRADE 10'!$B$7:$B$49,0))="P")+
 --(INDEX('TH_MLG GRADE 10'!$AY$7:$AY$49,MATCH(LEFT($A30,LEN($A30)-2),'TH_MLG GRADE 10'!$B$7:$B$49,0))="P")+
 --(INDEX('TH_MLG GRADE 10'!$BE$7:$BE$49,MATCH(LEFT($A30,LEN($A30)-2),'TH_MLG GRADE 10'!$B$7:$B$49,0))="P")+
 --(INDEX('TH_MLG GRADE 10'!#REF!,MATCH(LEFT($A30,LEN($A30)-2),'TH_MLG GRADE 10'!$B$7:$B$49,0))="P")+
 --(INDEX('TH_MLG GRADE 10'!#REF!,MATCH(LEFT($A30,LEN($A30)-2),'TH_MLG GRADE 10'!$B$7:$B$49,0))="P"),
0)</f>
        <v>0</v>
      </c>
      <c r="D30" s="24" t="b">
        <f ca="1">IF(IF(_xlfn.XLOOKUP(LEFT(A30,LEN(A30)-2),'TH_MLG GRADE 10'!$B$7:$B$49,'TH_MLG GRADE 10'!$BK$7:$BK$49,"",0,1)=0,"",_xlfn.XLOOKUP(LEFT(A30,LEN(A30)-2),'TH_MLG GRADE 10'!$B$7:$B$49,'TH_MLG GRADE 10'!$BK$7:$BK$49,"",0,1))&lt;=TODAY(),TRUE,FALSE)</f>
        <v>1</v>
      </c>
      <c r="E30" s="25">
        <f t="shared" ca="1" si="0"/>
        <v>0</v>
      </c>
      <c r="F30" t="s">
        <v>234</v>
      </c>
      <c r="G30">
        <v>3</v>
      </c>
      <c r="H30">
        <f>IFERROR(
 --(INDEX('PW_MLG GRADE 10'!$D$7:$D$31,MATCH(LEFT($A30,LEN($A30)-2),'PW_MLG GRADE 10'!$C$7:$C$31,0))="P")+
 --(INDEX('PW_MLG GRADE 10'!$J$7:$J$31,MATCH(LEFT($A30,LEN($A30)-2),'PW_MLG GRADE 10'!$C$7:$C$31,0))="P")+
 --(INDEX('PW_MLG GRADE 10'!$P$7:$P$31,MATCH(LEFT($A30,LEN($A30)-2),'PW_MLG GRADE 10'!$C$7:$C$31,0))="P")+
 --(INDEX('PW_MLG GRADE 10'!$AB$7:$AB$31,MATCH(LEFT($A30,LEN($A30)-2),'PW_MLG GRADE 10'!$C$7:$C$31,0))="P")+
 --(INDEX('PW_MLG GRADE 10'!$AH$7:$AH$31,MATCH(LEFT($A30,LEN($A30)-2),'PW_MLG GRADE 10'!$C$7:$C$31,0))="P")+
 --(INDEX('PW_MLG GRADE 10'!$AN$7:$AN$31,MATCH(LEFT($A30,LEN($A30)-2),'PW_MLG GRADE 10'!$C$7:$C$31,0))="P")+
 --(INDEX('PW_MLG GRADE 10'!$AZ$7:$AZ$31,MATCH(LEFT($A30,LEN($A30)-2),'PW_MLG GRADE 10'!$C$7:$C$31,0))="P")+
 --(INDEX('PW_MLG GRADE 10'!$BF$7:$BF$31,MATCH(LEFT($A30,LEN($A30)-2),'PW_MLG GRADE 10'!$C$7:$C$31,0))="P")+
 --(INDEX('PW_MLG GRADE 10'!#REF!,MATCH(LEFT($A30,LEN($A30)-2),'PW_MLG GRADE 10'!$C$7:$C$31,0))="P")+
 --(INDEX('PW_MLG GRADE 10'!#REF!,MATCH(LEFT($A30,LEN($A30)-2),'PW_MLG GRADE 10'!$C$7:$C$31,0))="P"),
0)</f>
        <v>0</v>
      </c>
      <c r="I30" t="e">
        <f ca="1">IF(IF(_xlfn.XLOOKUP(LEFT(F30,LEN(F30)-2),'PW_MLG GRADE 10'!$B$7:$B$31,'PW_MLG GRADE 10'!#REF!,"",0,1)=0,"",_xlfn.XLOOKUP(LEFT(F30,LEN(F30)-2),'PW_MLG GRADE 10'!$B$7:$B$31,'PW_MLG GRADE 10'!#REF!,"",0,1))&lt;=TODAY(),TRUE,FALSE)</f>
        <v>#REF!</v>
      </c>
      <c r="J30">
        <f t="shared" ca="1" si="1"/>
        <v>0</v>
      </c>
    </row>
    <row r="31" spans="1:10">
      <c r="A31" s="24" t="s">
        <v>235</v>
      </c>
      <c r="B31">
        <v>3</v>
      </c>
      <c r="C31">
        <f>IFERROR(
 --(INDEX('TH_MLG GRADE 10'!$C$7:$C$49,MATCH(LEFT($A31,LEN($A31)-2),'TH_MLG GRADE 10'!$B$7:$B$49,0))="P")+
 --(INDEX('TH_MLG GRADE 10'!$I$7:$I$49,MATCH(LEFT($A31,LEN($A31)-2),'TH_MLG GRADE 10'!$B$7:$B$49,0))="P")+
 --(INDEX('TH_MLG GRADE 10'!$O$7:$O$49,MATCH(LEFT($A31,LEN($A31)-2),'TH_MLG GRADE 10'!$B$7:$B$49,0))="P")+
 --(INDEX('TH_MLG GRADE 10'!$AA$7:$AA$49,MATCH(LEFT($A31,LEN($A31)-2),'TH_MLG GRADE 10'!$B$7:$B$49,0))="P")+
 --(INDEX('TH_MLG GRADE 10'!$AG$7:$AG$49,MATCH(LEFT($A31,LEN($A31)-2),'TH_MLG GRADE 10'!$B$7:$B$49,0))="P")+
 --(INDEX('TH_MLG GRADE 10'!$AM$7:$AM$49,MATCH(LEFT($A31,LEN($A31)-2),'TH_MLG GRADE 10'!$B$7:$B$49,0))="P")+
 --(INDEX('TH_MLG GRADE 10'!$AY$7:$AY$49,MATCH(LEFT($A31,LEN($A31)-2),'TH_MLG GRADE 10'!$B$7:$B$49,0))="P")+
 --(INDEX('TH_MLG GRADE 10'!$BE$7:$BE$49,MATCH(LEFT($A31,LEN($A31)-2),'TH_MLG GRADE 10'!$B$7:$B$49,0))="P")+
 --(INDEX('TH_MLG GRADE 10'!#REF!,MATCH(LEFT($A31,LEN($A31)-2),'TH_MLG GRADE 10'!$B$7:$B$49,0))="P")+
 --(INDEX('TH_MLG GRADE 10'!#REF!,MATCH(LEFT($A31,LEN($A31)-2),'TH_MLG GRADE 10'!$B$7:$B$49,0))="P"),
0)</f>
        <v>0</v>
      </c>
      <c r="D31" s="24" t="b">
        <f ca="1">IF(IF(_xlfn.XLOOKUP(LEFT(A31,LEN(A31)-2),'TH_MLG GRADE 10'!$B$7:$B$49,'TH_MLG GRADE 10'!$BK$7:$BK$49,"",0,1)=0,"",_xlfn.XLOOKUP(LEFT(A31,LEN(A31)-2),'TH_MLG GRADE 10'!$B$7:$B$49,'TH_MLG GRADE 10'!$BK$7:$BK$49,"",0,1))&lt;=TODAY(),TRUE,FALSE)</f>
        <v>1</v>
      </c>
      <c r="E31" s="25">
        <f t="shared" ca="1" si="0"/>
        <v>0</v>
      </c>
      <c r="F31" t="s">
        <v>235</v>
      </c>
      <c r="G31">
        <v>3</v>
      </c>
      <c r="H31">
        <f>IFERROR(
 --(INDEX('PW_MLG GRADE 10'!$D$7:$D$31,MATCH(LEFT($A31,LEN($A31)-2),'PW_MLG GRADE 10'!$C$7:$C$31,0))="P")+
 --(INDEX('PW_MLG GRADE 10'!$J$7:$J$31,MATCH(LEFT($A31,LEN($A31)-2),'PW_MLG GRADE 10'!$C$7:$C$31,0))="P")+
 --(INDEX('PW_MLG GRADE 10'!$P$7:$P$31,MATCH(LEFT($A31,LEN($A31)-2),'PW_MLG GRADE 10'!$C$7:$C$31,0))="P")+
 --(INDEX('PW_MLG GRADE 10'!$AB$7:$AB$31,MATCH(LEFT($A31,LEN($A31)-2),'PW_MLG GRADE 10'!$C$7:$C$31,0))="P")+
 --(INDEX('PW_MLG GRADE 10'!$AH$7:$AH$31,MATCH(LEFT($A31,LEN($A31)-2),'PW_MLG GRADE 10'!$C$7:$C$31,0))="P")+
 --(INDEX('PW_MLG GRADE 10'!$AN$7:$AN$31,MATCH(LEFT($A31,LEN($A31)-2),'PW_MLG GRADE 10'!$C$7:$C$31,0))="P")+
 --(INDEX('PW_MLG GRADE 10'!$AZ$7:$AZ$31,MATCH(LEFT($A31,LEN($A31)-2),'PW_MLG GRADE 10'!$C$7:$C$31,0))="P")+
 --(INDEX('PW_MLG GRADE 10'!$BF$7:$BF$31,MATCH(LEFT($A31,LEN($A31)-2),'PW_MLG GRADE 10'!$C$7:$C$31,0))="P")+
 --(INDEX('PW_MLG GRADE 10'!#REF!,MATCH(LEFT($A31,LEN($A31)-2),'PW_MLG GRADE 10'!$C$7:$C$31,0))="P")+
 --(INDEX('PW_MLG GRADE 10'!#REF!,MATCH(LEFT($A31,LEN($A31)-2),'PW_MLG GRADE 10'!$C$7:$C$31,0))="P"),
0)</f>
        <v>0</v>
      </c>
      <c r="I31" t="e">
        <f ca="1">IF(IF(_xlfn.XLOOKUP(LEFT(F31,LEN(F31)-2),'PW_MLG GRADE 10'!$B$7:$B$31,'PW_MLG GRADE 10'!#REF!,"",0,1)=0,"",_xlfn.XLOOKUP(LEFT(F31,LEN(F31)-2),'PW_MLG GRADE 10'!$B$7:$B$31,'PW_MLG GRADE 10'!#REF!,"",0,1))&lt;=TODAY(),TRUE,FALSE)</f>
        <v>#REF!</v>
      </c>
      <c r="J31">
        <f t="shared" ca="1" si="1"/>
        <v>0</v>
      </c>
    </row>
    <row r="32" spans="1:10">
      <c r="A32" s="24" t="s">
        <v>236</v>
      </c>
      <c r="B32">
        <v>3</v>
      </c>
      <c r="C32">
        <f>IFERROR(
 --(INDEX('TH_MLG GRADE 10'!$C$7:$C$49,MATCH(LEFT($A32,LEN($A32)-2),'TH_MLG GRADE 10'!$B$7:$B$49,0))="P")+
 --(INDEX('TH_MLG GRADE 10'!$I$7:$I$49,MATCH(LEFT($A32,LEN($A32)-2),'TH_MLG GRADE 10'!$B$7:$B$49,0))="P")+
 --(INDEX('TH_MLG GRADE 10'!$O$7:$O$49,MATCH(LEFT($A32,LEN($A32)-2),'TH_MLG GRADE 10'!$B$7:$B$49,0))="P")+
 --(INDEX('TH_MLG GRADE 10'!$AA$7:$AA$49,MATCH(LEFT($A32,LEN($A32)-2),'TH_MLG GRADE 10'!$B$7:$B$49,0))="P")+
 --(INDEX('TH_MLG GRADE 10'!$AG$7:$AG$49,MATCH(LEFT($A32,LEN($A32)-2),'TH_MLG GRADE 10'!$B$7:$B$49,0))="P")+
 --(INDEX('TH_MLG GRADE 10'!$AM$7:$AM$49,MATCH(LEFT($A32,LEN($A32)-2),'TH_MLG GRADE 10'!$B$7:$B$49,0))="P")+
 --(INDEX('TH_MLG GRADE 10'!$AY$7:$AY$49,MATCH(LEFT($A32,LEN($A32)-2),'TH_MLG GRADE 10'!$B$7:$B$49,0))="P")+
 --(INDEX('TH_MLG GRADE 10'!$BE$7:$BE$49,MATCH(LEFT($A32,LEN($A32)-2),'TH_MLG GRADE 10'!$B$7:$B$49,0))="P")+
 --(INDEX('TH_MLG GRADE 10'!#REF!,MATCH(LEFT($A32,LEN($A32)-2),'TH_MLG GRADE 10'!$B$7:$B$49,0))="P")+
 --(INDEX('TH_MLG GRADE 10'!#REF!,MATCH(LEFT($A32,LEN($A32)-2),'TH_MLG GRADE 10'!$B$7:$B$49,0))="P"),
0)</f>
        <v>0</v>
      </c>
      <c r="D32" s="24" t="b">
        <f ca="1">IF(IF(_xlfn.XLOOKUP(LEFT(A32,LEN(A32)-2),'TH_MLG GRADE 10'!$B$7:$B$49,'TH_MLG GRADE 10'!$BK$7:$BK$49,"",0,1)=0,"",_xlfn.XLOOKUP(LEFT(A32,LEN(A32)-2),'TH_MLG GRADE 10'!$B$7:$B$49,'TH_MLG GRADE 10'!$BK$7:$BK$49,"",0,1))&lt;=TODAY(),TRUE,FALSE)</f>
        <v>1</v>
      </c>
      <c r="E32" s="25">
        <f t="shared" ca="1" si="0"/>
        <v>0</v>
      </c>
      <c r="F32" t="s">
        <v>236</v>
      </c>
      <c r="G32">
        <v>3</v>
      </c>
      <c r="H32">
        <f>IFERROR(
 --(INDEX('PW_MLG GRADE 10'!$D$7:$D$31,MATCH(LEFT($A32,LEN($A32)-2),'PW_MLG GRADE 10'!$C$7:$C$31,0))="P")+
 --(INDEX('PW_MLG GRADE 10'!$J$7:$J$31,MATCH(LEFT($A32,LEN($A32)-2),'PW_MLG GRADE 10'!$C$7:$C$31,0))="P")+
 --(INDEX('PW_MLG GRADE 10'!$P$7:$P$31,MATCH(LEFT($A32,LEN($A32)-2),'PW_MLG GRADE 10'!$C$7:$C$31,0))="P")+
 --(INDEX('PW_MLG GRADE 10'!$AB$7:$AB$31,MATCH(LEFT($A32,LEN($A32)-2),'PW_MLG GRADE 10'!$C$7:$C$31,0))="P")+
 --(INDEX('PW_MLG GRADE 10'!$AH$7:$AH$31,MATCH(LEFT($A32,LEN($A32)-2),'PW_MLG GRADE 10'!$C$7:$C$31,0))="P")+
 --(INDEX('PW_MLG GRADE 10'!$AN$7:$AN$31,MATCH(LEFT($A32,LEN($A32)-2),'PW_MLG GRADE 10'!$C$7:$C$31,0))="P")+
 --(INDEX('PW_MLG GRADE 10'!$AZ$7:$AZ$31,MATCH(LEFT($A32,LEN($A32)-2),'PW_MLG GRADE 10'!$C$7:$C$31,0))="P")+
 --(INDEX('PW_MLG GRADE 10'!$BF$7:$BF$31,MATCH(LEFT($A32,LEN($A32)-2),'PW_MLG GRADE 10'!$C$7:$C$31,0))="P")+
 --(INDEX('PW_MLG GRADE 10'!#REF!,MATCH(LEFT($A32,LEN($A32)-2),'PW_MLG GRADE 10'!$C$7:$C$31,0))="P")+
 --(INDEX('PW_MLG GRADE 10'!#REF!,MATCH(LEFT($A32,LEN($A32)-2),'PW_MLG GRADE 10'!$C$7:$C$31,0))="P"),
0)</f>
        <v>0</v>
      </c>
      <c r="I32" t="e">
        <f ca="1">IF(IF(_xlfn.XLOOKUP(LEFT(F32,LEN(F32)-2),'PW_MLG GRADE 10'!$B$7:$B$31,'PW_MLG GRADE 10'!#REF!,"",0,1)=0,"",_xlfn.XLOOKUP(LEFT(F32,LEN(F32)-2),'PW_MLG GRADE 10'!$B$7:$B$31,'PW_MLG GRADE 10'!#REF!,"",0,1))&lt;=TODAY(),TRUE,FALSE)</f>
        <v>#REF!</v>
      </c>
      <c r="J32">
        <f t="shared" ca="1" si="1"/>
        <v>0</v>
      </c>
    </row>
    <row r="33" spans="1:10">
      <c r="A33" s="24" t="s">
        <v>237</v>
      </c>
      <c r="B33">
        <v>3</v>
      </c>
      <c r="C33">
        <f>IFERROR(
 --(INDEX('TH_MLG GRADE 10'!$C$7:$C$49,MATCH(LEFT($A33,LEN($A33)-2),'TH_MLG GRADE 10'!$B$7:$B$49,0))="P")+
 --(INDEX('TH_MLG GRADE 10'!$I$7:$I$49,MATCH(LEFT($A33,LEN($A33)-2),'TH_MLG GRADE 10'!$B$7:$B$49,0))="P")+
 --(INDEX('TH_MLG GRADE 10'!$O$7:$O$49,MATCH(LEFT($A33,LEN($A33)-2),'TH_MLG GRADE 10'!$B$7:$B$49,0))="P")+
 --(INDEX('TH_MLG GRADE 10'!$AA$7:$AA$49,MATCH(LEFT($A33,LEN($A33)-2),'TH_MLG GRADE 10'!$B$7:$B$49,0))="P")+
 --(INDEX('TH_MLG GRADE 10'!$AG$7:$AG$49,MATCH(LEFT($A33,LEN($A33)-2),'TH_MLG GRADE 10'!$B$7:$B$49,0))="P")+
 --(INDEX('TH_MLG GRADE 10'!$AM$7:$AM$49,MATCH(LEFT($A33,LEN($A33)-2),'TH_MLG GRADE 10'!$B$7:$B$49,0))="P")+
 --(INDEX('TH_MLG GRADE 10'!$AY$7:$AY$49,MATCH(LEFT($A33,LEN($A33)-2),'TH_MLG GRADE 10'!$B$7:$B$49,0))="P")+
 --(INDEX('TH_MLG GRADE 10'!$BE$7:$BE$49,MATCH(LEFT($A33,LEN($A33)-2),'TH_MLG GRADE 10'!$B$7:$B$49,0))="P")+
 --(INDEX('TH_MLG GRADE 10'!#REF!,MATCH(LEFT($A33,LEN($A33)-2),'TH_MLG GRADE 10'!$B$7:$B$49,0))="P")+
 --(INDEX('TH_MLG GRADE 10'!#REF!,MATCH(LEFT($A33,LEN($A33)-2),'TH_MLG GRADE 10'!$B$7:$B$49,0))="P"),
0)</f>
        <v>0</v>
      </c>
      <c r="D33" s="24" t="b">
        <f ca="1">IF(IF(_xlfn.XLOOKUP(LEFT(A33,LEN(A33)-2),'TH_MLG GRADE 10'!$B$7:$B$49,'TH_MLG GRADE 10'!$BK$7:$BK$49,"",0,1)=0,"",_xlfn.XLOOKUP(LEFT(A33,LEN(A33)-2),'TH_MLG GRADE 10'!$B$7:$B$49,'TH_MLG GRADE 10'!$BK$7:$BK$49,"",0,1))&lt;=TODAY(),TRUE,FALSE)</f>
        <v>1</v>
      </c>
      <c r="E33" s="25">
        <f t="shared" ca="1" si="0"/>
        <v>0</v>
      </c>
      <c r="F33" t="s">
        <v>237</v>
      </c>
      <c r="G33">
        <v>3</v>
      </c>
      <c r="H33">
        <f>IFERROR(
 --(INDEX('PW_MLG GRADE 10'!$D$7:$D$31,MATCH(LEFT($A33,LEN($A33)-2),'PW_MLG GRADE 10'!$C$7:$C$31,0))="P")+
 --(INDEX('PW_MLG GRADE 10'!$J$7:$J$31,MATCH(LEFT($A33,LEN($A33)-2),'PW_MLG GRADE 10'!$C$7:$C$31,0))="P")+
 --(INDEX('PW_MLG GRADE 10'!$P$7:$P$31,MATCH(LEFT($A33,LEN($A33)-2),'PW_MLG GRADE 10'!$C$7:$C$31,0))="P")+
 --(INDEX('PW_MLG GRADE 10'!$AB$7:$AB$31,MATCH(LEFT($A33,LEN($A33)-2),'PW_MLG GRADE 10'!$C$7:$C$31,0))="P")+
 --(INDEX('PW_MLG GRADE 10'!$AH$7:$AH$31,MATCH(LEFT($A33,LEN($A33)-2),'PW_MLG GRADE 10'!$C$7:$C$31,0))="P")+
 --(INDEX('PW_MLG GRADE 10'!$AN$7:$AN$31,MATCH(LEFT($A33,LEN($A33)-2),'PW_MLG GRADE 10'!$C$7:$C$31,0))="P")+
 --(INDEX('PW_MLG GRADE 10'!$AZ$7:$AZ$31,MATCH(LEFT($A33,LEN($A33)-2),'PW_MLG GRADE 10'!$C$7:$C$31,0))="P")+
 --(INDEX('PW_MLG GRADE 10'!$BF$7:$BF$31,MATCH(LEFT($A33,LEN($A33)-2),'PW_MLG GRADE 10'!$C$7:$C$31,0))="P")+
 --(INDEX('PW_MLG GRADE 10'!#REF!,MATCH(LEFT($A33,LEN($A33)-2),'PW_MLG GRADE 10'!$C$7:$C$31,0))="P")+
 --(INDEX('PW_MLG GRADE 10'!#REF!,MATCH(LEFT($A33,LEN($A33)-2),'PW_MLG GRADE 10'!$C$7:$C$31,0))="P"),
0)</f>
        <v>0</v>
      </c>
      <c r="I33" t="e">
        <f ca="1">IF(IF(_xlfn.XLOOKUP(LEFT(F33,LEN(F33)-2),'PW_MLG GRADE 10'!$B$7:$B$31,'PW_MLG GRADE 10'!#REF!,"",0,1)=0,"",_xlfn.XLOOKUP(LEFT(F33,LEN(F33)-2),'PW_MLG GRADE 10'!$B$7:$B$31,'PW_MLG GRADE 10'!#REF!,"",0,1))&lt;=TODAY(),TRUE,FALSE)</f>
        <v>#REF!</v>
      </c>
      <c r="J33">
        <f t="shared" ca="1" si="1"/>
        <v>0</v>
      </c>
    </row>
    <row r="34" spans="1:10">
      <c r="A34" s="24" t="s">
        <v>238</v>
      </c>
      <c r="B34">
        <v>3</v>
      </c>
      <c r="C34">
        <f>IFERROR(
 --(INDEX('TH_MLG GRADE 10'!$C$7:$C$49,MATCH(LEFT($A34,LEN($A34)-2),'TH_MLG GRADE 10'!$B$7:$B$49,0))="P")+
 --(INDEX('TH_MLG GRADE 10'!$I$7:$I$49,MATCH(LEFT($A34,LEN($A34)-2),'TH_MLG GRADE 10'!$B$7:$B$49,0))="P")+
 --(INDEX('TH_MLG GRADE 10'!$O$7:$O$49,MATCH(LEFT($A34,LEN($A34)-2),'TH_MLG GRADE 10'!$B$7:$B$49,0))="P")+
 --(INDEX('TH_MLG GRADE 10'!$AA$7:$AA$49,MATCH(LEFT($A34,LEN($A34)-2),'TH_MLG GRADE 10'!$B$7:$B$49,0))="P")+
 --(INDEX('TH_MLG GRADE 10'!$AG$7:$AG$49,MATCH(LEFT($A34,LEN($A34)-2),'TH_MLG GRADE 10'!$B$7:$B$49,0))="P")+
 --(INDEX('TH_MLG GRADE 10'!$AM$7:$AM$49,MATCH(LEFT($A34,LEN($A34)-2),'TH_MLG GRADE 10'!$B$7:$B$49,0))="P")+
 --(INDEX('TH_MLG GRADE 10'!$AY$7:$AY$49,MATCH(LEFT($A34,LEN($A34)-2),'TH_MLG GRADE 10'!$B$7:$B$49,0))="P")+
 --(INDEX('TH_MLG GRADE 10'!$BE$7:$BE$49,MATCH(LEFT($A34,LEN($A34)-2),'TH_MLG GRADE 10'!$B$7:$B$49,0))="P")+
 --(INDEX('TH_MLG GRADE 10'!#REF!,MATCH(LEFT($A34,LEN($A34)-2),'TH_MLG GRADE 10'!$B$7:$B$49,0))="P")+
 --(INDEX('TH_MLG GRADE 10'!#REF!,MATCH(LEFT($A34,LEN($A34)-2),'TH_MLG GRADE 10'!$B$7:$B$49,0))="P"),
0)</f>
        <v>0</v>
      </c>
      <c r="D34" s="24" t="b">
        <f ca="1">IF(IF(_xlfn.XLOOKUP(LEFT(A34,LEN(A34)-2),'TH_MLG GRADE 10'!$B$7:$B$49,'TH_MLG GRADE 10'!$BK$7:$BK$49,"",0,1)=0,"",_xlfn.XLOOKUP(LEFT(A34,LEN(A34)-2),'TH_MLG GRADE 10'!$B$7:$B$49,'TH_MLG GRADE 10'!$BK$7:$BK$49,"",0,1))&lt;=TODAY(),TRUE,FALSE)</f>
        <v>1</v>
      </c>
      <c r="E34" s="25">
        <f t="shared" ca="1" si="0"/>
        <v>0</v>
      </c>
      <c r="F34" t="s">
        <v>238</v>
      </c>
      <c r="G34">
        <v>3</v>
      </c>
      <c r="H34">
        <f>IFERROR(
 --(INDEX('PW_MLG GRADE 10'!$D$7:$D$31,MATCH(LEFT($A34,LEN($A34)-2),'PW_MLG GRADE 10'!$C$7:$C$31,0))="P")+
 --(INDEX('PW_MLG GRADE 10'!$J$7:$J$31,MATCH(LEFT($A34,LEN($A34)-2),'PW_MLG GRADE 10'!$C$7:$C$31,0))="P")+
 --(INDEX('PW_MLG GRADE 10'!$P$7:$P$31,MATCH(LEFT($A34,LEN($A34)-2),'PW_MLG GRADE 10'!$C$7:$C$31,0))="P")+
 --(INDEX('PW_MLG GRADE 10'!$AB$7:$AB$31,MATCH(LEFT($A34,LEN($A34)-2),'PW_MLG GRADE 10'!$C$7:$C$31,0))="P")+
 --(INDEX('PW_MLG GRADE 10'!$AH$7:$AH$31,MATCH(LEFT($A34,LEN($A34)-2),'PW_MLG GRADE 10'!$C$7:$C$31,0))="P")+
 --(INDEX('PW_MLG GRADE 10'!$AN$7:$AN$31,MATCH(LEFT($A34,LEN($A34)-2),'PW_MLG GRADE 10'!$C$7:$C$31,0))="P")+
 --(INDEX('PW_MLG GRADE 10'!$AZ$7:$AZ$31,MATCH(LEFT($A34,LEN($A34)-2),'PW_MLG GRADE 10'!$C$7:$C$31,0))="P")+
 --(INDEX('PW_MLG GRADE 10'!$BF$7:$BF$31,MATCH(LEFT($A34,LEN($A34)-2),'PW_MLG GRADE 10'!$C$7:$C$31,0))="P")+
 --(INDEX('PW_MLG GRADE 10'!#REF!,MATCH(LEFT($A34,LEN($A34)-2),'PW_MLG GRADE 10'!$C$7:$C$31,0))="P")+
 --(INDEX('PW_MLG GRADE 10'!#REF!,MATCH(LEFT($A34,LEN($A34)-2),'PW_MLG GRADE 10'!$C$7:$C$31,0))="P"),
0)</f>
        <v>0</v>
      </c>
      <c r="I34" t="e">
        <f ca="1">IF(IF(_xlfn.XLOOKUP(LEFT(F34,LEN(F34)-2),'PW_MLG GRADE 10'!$B$7:$B$31,'PW_MLG GRADE 10'!#REF!,"",0,1)=0,"",_xlfn.XLOOKUP(LEFT(F34,LEN(F34)-2),'PW_MLG GRADE 10'!$B$7:$B$31,'PW_MLG GRADE 10'!#REF!,"",0,1))&lt;=TODAY(),TRUE,FALSE)</f>
        <v>#REF!</v>
      </c>
      <c r="J34">
        <f t="shared" ca="1" si="1"/>
        <v>0</v>
      </c>
    </row>
    <row r="35" spans="1:10">
      <c r="A35" s="24" t="s">
        <v>239</v>
      </c>
      <c r="B35">
        <v>3</v>
      </c>
      <c r="C35">
        <f>IFERROR(
 --(INDEX('TH_MLG GRADE 10'!$C$7:$C$49,MATCH(LEFT($A35,LEN($A35)-2),'TH_MLG GRADE 10'!$B$7:$B$49,0))="P")+
 --(INDEX('TH_MLG GRADE 10'!$I$7:$I$49,MATCH(LEFT($A35,LEN($A35)-2),'TH_MLG GRADE 10'!$B$7:$B$49,0))="P")+
 --(INDEX('TH_MLG GRADE 10'!$O$7:$O$49,MATCH(LEFT($A35,LEN($A35)-2),'TH_MLG GRADE 10'!$B$7:$B$49,0))="P")+
 --(INDEX('TH_MLG GRADE 10'!$AA$7:$AA$49,MATCH(LEFT($A35,LEN($A35)-2),'TH_MLG GRADE 10'!$B$7:$B$49,0))="P")+
 --(INDEX('TH_MLG GRADE 10'!$AG$7:$AG$49,MATCH(LEFT($A35,LEN($A35)-2),'TH_MLG GRADE 10'!$B$7:$B$49,0))="P")+
 --(INDEX('TH_MLG GRADE 10'!$AM$7:$AM$49,MATCH(LEFT($A35,LEN($A35)-2),'TH_MLG GRADE 10'!$B$7:$B$49,0))="P")+
 --(INDEX('TH_MLG GRADE 10'!$AY$7:$AY$49,MATCH(LEFT($A35,LEN($A35)-2),'TH_MLG GRADE 10'!$B$7:$B$49,0))="P")+
 --(INDEX('TH_MLG GRADE 10'!$BE$7:$BE$49,MATCH(LEFT($A35,LEN($A35)-2),'TH_MLG GRADE 10'!$B$7:$B$49,0))="P")+
 --(INDEX('TH_MLG GRADE 10'!#REF!,MATCH(LEFT($A35,LEN($A35)-2),'TH_MLG GRADE 10'!$B$7:$B$49,0))="P")+
 --(INDEX('TH_MLG GRADE 10'!#REF!,MATCH(LEFT($A35,LEN($A35)-2),'TH_MLG GRADE 10'!$B$7:$B$49,0))="P"),
0)</f>
        <v>0</v>
      </c>
      <c r="D35" s="24" t="b">
        <f ca="1">IF(IF(_xlfn.XLOOKUP(LEFT(A35,LEN(A35)-2),'TH_MLG GRADE 10'!$B$7:$B$49,'TH_MLG GRADE 10'!$BK$7:$BK$49,"",0,1)=0,"",_xlfn.XLOOKUP(LEFT(A35,LEN(A35)-2),'TH_MLG GRADE 10'!$B$7:$B$49,'TH_MLG GRADE 10'!$BK$7:$BK$49,"",0,1))&lt;=TODAY(),TRUE,FALSE)</f>
        <v>1</v>
      </c>
      <c r="E35" s="25">
        <f t="shared" ca="1" si="0"/>
        <v>0</v>
      </c>
      <c r="F35" t="s">
        <v>239</v>
      </c>
      <c r="G35">
        <v>3</v>
      </c>
      <c r="H35">
        <f>IFERROR(
 --(INDEX('PW_MLG GRADE 10'!$D$7:$D$31,MATCH(LEFT($A35,LEN($A35)-2),'PW_MLG GRADE 10'!$C$7:$C$31,0))="P")+
 --(INDEX('PW_MLG GRADE 10'!$J$7:$J$31,MATCH(LEFT($A35,LEN($A35)-2),'PW_MLG GRADE 10'!$C$7:$C$31,0))="P")+
 --(INDEX('PW_MLG GRADE 10'!$P$7:$P$31,MATCH(LEFT($A35,LEN($A35)-2),'PW_MLG GRADE 10'!$C$7:$C$31,0))="P")+
 --(INDEX('PW_MLG GRADE 10'!$AB$7:$AB$31,MATCH(LEFT($A35,LEN($A35)-2),'PW_MLG GRADE 10'!$C$7:$C$31,0))="P")+
 --(INDEX('PW_MLG GRADE 10'!$AH$7:$AH$31,MATCH(LEFT($A35,LEN($A35)-2),'PW_MLG GRADE 10'!$C$7:$C$31,0))="P")+
 --(INDEX('PW_MLG GRADE 10'!$AN$7:$AN$31,MATCH(LEFT($A35,LEN($A35)-2),'PW_MLG GRADE 10'!$C$7:$C$31,0))="P")+
 --(INDEX('PW_MLG GRADE 10'!$AZ$7:$AZ$31,MATCH(LEFT($A35,LEN($A35)-2),'PW_MLG GRADE 10'!$C$7:$C$31,0))="P")+
 --(INDEX('PW_MLG GRADE 10'!$BF$7:$BF$31,MATCH(LEFT($A35,LEN($A35)-2),'PW_MLG GRADE 10'!$C$7:$C$31,0))="P")+
 --(INDEX('PW_MLG GRADE 10'!#REF!,MATCH(LEFT($A35,LEN($A35)-2),'PW_MLG GRADE 10'!$C$7:$C$31,0))="P")+
 --(INDEX('PW_MLG GRADE 10'!#REF!,MATCH(LEFT($A35,LEN($A35)-2),'PW_MLG GRADE 10'!$C$7:$C$31,0))="P"),
0)</f>
        <v>0</v>
      </c>
      <c r="I35" t="e">
        <f ca="1">IF(IF(_xlfn.XLOOKUP(LEFT(F35,LEN(F35)-2),'PW_MLG GRADE 10'!$B$7:$B$31,'PW_MLG GRADE 10'!#REF!,"",0,1)=0,"",_xlfn.XLOOKUP(LEFT(F35,LEN(F35)-2),'PW_MLG GRADE 10'!$B$7:$B$31,'PW_MLG GRADE 10'!#REF!,"",0,1))&lt;=TODAY(),TRUE,FALSE)</f>
        <v>#REF!</v>
      </c>
      <c r="J35">
        <f t="shared" ca="1" si="1"/>
        <v>0</v>
      </c>
    </row>
    <row r="36" spans="1:10">
      <c r="A36" s="24" t="s">
        <v>240</v>
      </c>
      <c r="B36">
        <v>3</v>
      </c>
      <c r="C36">
        <f>IFERROR(
 --(INDEX('TH_MLG GRADE 10'!$C$7:$C$49,MATCH(LEFT($A36,LEN($A36)-2),'TH_MLG GRADE 10'!$B$7:$B$49,0))="P")+
 --(INDEX('TH_MLG GRADE 10'!$I$7:$I$49,MATCH(LEFT($A36,LEN($A36)-2),'TH_MLG GRADE 10'!$B$7:$B$49,0))="P")+
 --(INDEX('TH_MLG GRADE 10'!$O$7:$O$49,MATCH(LEFT($A36,LEN($A36)-2),'TH_MLG GRADE 10'!$B$7:$B$49,0))="P")+
 --(INDEX('TH_MLG GRADE 10'!$AA$7:$AA$49,MATCH(LEFT($A36,LEN($A36)-2),'TH_MLG GRADE 10'!$B$7:$B$49,0))="P")+
 --(INDEX('TH_MLG GRADE 10'!$AG$7:$AG$49,MATCH(LEFT($A36,LEN($A36)-2),'TH_MLG GRADE 10'!$B$7:$B$49,0))="P")+
 --(INDEX('TH_MLG GRADE 10'!$AM$7:$AM$49,MATCH(LEFT($A36,LEN($A36)-2),'TH_MLG GRADE 10'!$B$7:$B$49,0))="P")+
 --(INDEX('TH_MLG GRADE 10'!$AY$7:$AY$49,MATCH(LEFT($A36,LEN($A36)-2),'TH_MLG GRADE 10'!$B$7:$B$49,0))="P")+
 --(INDEX('TH_MLG GRADE 10'!$BE$7:$BE$49,MATCH(LEFT($A36,LEN($A36)-2),'TH_MLG GRADE 10'!$B$7:$B$49,0))="P")+
 --(INDEX('TH_MLG GRADE 10'!#REF!,MATCH(LEFT($A36,LEN($A36)-2),'TH_MLG GRADE 10'!$B$7:$B$49,0))="P")+
 --(INDEX('TH_MLG GRADE 10'!#REF!,MATCH(LEFT($A36,LEN($A36)-2),'TH_MLG GRADE 10'!$B$7:$B$49,0))="P"),
0)</f>
        <v>0</v>
      </c>
      <c r="D36" s="24" t="b">
        <f ca="1">IF(IF(_xlfn.XLOOKUP(LEFT(A36,LEN(A36)-2),'TH_MLG GRADE 10'!$B$7:$B$49,'TH_MLG GRADE 10'!$BK$7:$BK$49,"",0,1)=0,"",_xlfn.XLOOKUP(LEFT(A36,LEN(A36)-2),'TH_MLG GRADE 10'!$B$7:$B$49,'TH_MLG GRADE 10'!$BK$7:$BK$49,"",0,1))&lt;=TODAY(),TRUE,FALSE)</f>
        <v>1</v>
      </c>
      <c r="E36" s="25">
        <f t="shared" ca="1" si="0"/>
        <v>0</v>
      </c>
      <c r="F36" t="s">
        <v>240</v>
      </c>
      <c r="G36">
        <v>3</v>
      </c>
      <c r="H36">
        <f>IFERROR(
 --(INDEX('PW_MLG GRADE 10'!$D$7:$D$31,MATCH(LEFT($A36,LEN($A36)-2),'PW_MLG GRADE 10'!$C$7:$C$31,0))="P")+
 --(INDEX('PW_MLG GRADE 10'!$J$7:$J$31,MATCH(LEFT($A36,LEN($A36)-2),'PW_MLG GRADE 10'!$C$7:$C$31,0))="P")+
 --(INDEX('PW_MLG GRADE 10'!$P$7:$P$31,MATCH(LEFT($A36,LEN($A36)-2),'PW_MLG GRADE 10'!$C$7:$C$31,0))="P")+
 --(INDEX('PW_MLG GRADE 10'!$AB$7:$AB$31,MATCH(LEFT($A36,LEN($A36)-2),'PW_MLG GRADE 10'!$C$7:$C$31,0))="P")+
 --(INDEX('PW_MLG GRADE 10'!$AH$7:$AH$31,MATCH(LEFT($A36,LEN($A36)-2),'PW_MLG GRADE 10'!$C$7:$C$31,0))="P")+
 --(INDEX('PW_MLG GRADE 10'!$AN$7:$AN$31,MATCH(LEFT($A36,LEN($A36)-2),'PW_MLG GRADE 10'!$C$7:$C$31,0))="P")+
 --(INDEX('PW_MLG GRADE 10'!$AZ$7:$AZ$31,MATCH(LEFT($A36,LEN($A36)-2),'PW_MLG GRADE 10'!$C$7:$C$31,0))="P")+
 --(INDEX('PW_MLG GRADE 10'!$BF$7:$BF$31,MATCH(LEFT($A36,LEN($A36)-2),'PW_MLG GRADE 10'!$C$7:$C$31,0))="P")+
 --(INDEX('PW_MLG GRADE 10'!#REF!,MATCH(LEFT($A36,LEN($A36)-2),'PW_MLG GRADE 10'!$C$7:$C$31,0))="P")+
 --(INDEX('PW_MLG GRADE 10'!#REF!,MATCH(LEFT($A36,LEN($A36)-2),'PW_MLG GRADE 10'!$C$7:$C$31,0))="P"),
0)</f>
        <v>0</v>
      </c>
      <c r="I36" t="e">
        <f ca="1">IF(IF(_xlfn.XLOOKUP(LEFT(F36,LEN(F36)-2),'PW_MLG GRADE 10'!$B$7:$B$31,'PW_MLG GRADE 10'!#REF!,"",0,1)=0,"",_xlfn.XLOOKUP(LEFT(F36,LEN(F36)-2),'PW_MLG GRADE 10'!$B$7:$B$31,'PW_MLG GRADE 10'!#REF!,"",0,1))&lt;=TODAY(),TRUE,FALSE)</f>
        <v>#REF!</v>
      </c>
      <c r="J36">
        <f t="shared" ca="1" si="1"/>
        <v>0</v>
      </c>
    </row>
    <row r="37" spans="1:10">
      <c r="A37" s="24" t="s">
        <v>241</v>
      </c>
      <c r="B37">
        <v>3</v>
      </c>
      <c r="C37">
        <f>IFERROR(
 --(INDEX('TH_MLG GRADE 10'!$C$7:$C$49,MATCH(LEFT($A37,LEN($A37)-2),'TH_MLG GRADE 10'!$B$7:$B$49,0))="P")+
 --(INDEX('TH_MLG GRADE 10'!$I$7:$I$49,MATCH(LEFT($A37,LEN($A37)-2),'TH_MLG GRADE 10'!$B$7:$B$49,0))="P")+
 --(INDEX('TH_MLG GRADE 10'!$O$7:$O$49,MATCH(LEFT($A37,LEN($A37)-2),'TH_MLG GRADE 10'!$B$7:$B$49,0))="P")+
 --(INDEX('TH_MLG GRADE 10'!$AA$7:$AA$49,MATCH(LEFT($A37,LEN($A37)-2),'TH_MLG GRADE 10'!$B$7:$B$49,0))="P")+
 --(INDEX('TH_MLG GRADE 10'!$AG$7:$AG$49,MATCH(LEFT($A37,LEN($A37)-2),'TH_MLG GRADE 10'!$B$7:$B$49,0))="P")+
 --(INDEX('TH_MLG GRADE 10'!$AM$7:$AM$49,MATCH(LEFT($A37,LEN($A37)-2),'TH_MLG GRADE 10'!$B$7:$B$49,0))="P")+
 --(INDEX('TH_MLG GRADE 10'!$AY$7:$AY$49,MATCH(LEFT($A37,LEN($A37)-2),'TH_MLG GRADE 10'!$B$7:$B$49,0))="P")+
 --(INDEX('TH_MLG GRADE 10'!$BE$7:$BE$49,MATCH(LEFT($A37,LEN($A37)-2),'TH_MLG GRADE 10'!$B$7:$B$49,0))="P")+
 --(INDEX('TH_MLG GRADE 10'!#REF!,MATCH(LEFT($A37,LEN($A37)-2),'TH_MLG GRADE 10'!$B$7:$B$49,0))="P")+
 --(INDEX('TH_MLG GRADE 10'!#REF!,MATCH(LEFT($A37,LEN($A37)-2),'TH_MLG GRADE 10'!$B$7:$B$49,0))="P"),
0)</f>
        <v>0</v>
      </c>
      <c r="D37" s="24" t="b">
        <f ca="1">IF(IF(_xlfn.XLOOKUP(LEFT(A37,LEN(A37)-2),'TH_MLG GRADE 10'!$B$7:$B$49,'TH_MLG GRADE 10'!$BK$7:$BK$49,"",0,1)=0,"",_xlfn.XLOOKUP(LEFT(A37,LEN(A37)-2),'TH_MLG GRADE 10'!$B$7:$B$49,'TH_MLG GRADE 10'!$BK$7:$BK$49,"",0,1))&lt;=TODAY(),TRUE,FALSE)</f>
        <v>1</v>
      </c>
      <c r="E37" s="25">
        <f t="shared" ca="1" si="0"/>
        <v>0</v>
      </c>
      <c r="F37" t="s">
        <v>241</v>
      </c>
      <c r="G37">
        <v>3</v>
      </c>
      <c r="H37">
        <f>IFERROR(
 --(INDEX('PW_MLG GRADE 10'!$D$7:$D$31,MATCH(LEFT($A37,LEN($A37)-2),'PW_MLG GRADE 10'!$C$7:$C$31,0))="P")+
 --(INDEX('PW_MLG GRADE 10'!$J$7:$J$31,MATCH(LEFT($A37,LEN($A37)-2),'PW_MLG GRADE 10'!$C$7:$C$31,0))="P")+
 --(INDEX('PW_MLG GRADE 10'!$P$7:$P$31,MATCH(LEFT($A37,LEN($A37)-2),'PW_MLG GRADE 10'!$C$7:$C$31,0))="P")+
 --(INDEX('PW_MLG GRADE 10'!$AB$7:$AB$31,MATCH(LEFT($A37,LEN($A37)-2),'PW_MLG GRADE 10'!$C$7:$C$31,0))="P")+
 --(INDEX('PW_MLG GRADE 10'!$AH$7:$AH$31,MATCH(LEFT($A37,LEN($A37)-2),'PW_MLG GRADE 10'!$C$7:$C$31,0))="P")+
 --(INDEX('PW_MLG GRADE 10'!$AN$7:$AN$31,MATCH(LEFT($A37,LEN($A37)-2),'PW_MLG GRADE 10'!$C$7:$C$31,0))="P")+
 --(INDEX('PW_MLG GRADE 10'!$AZ$7:$AZ$31,MATCH(LEFT($A37,LEN($A37)-2),'PW_MLG GRADE 10'!$C$7:$C$31,0))="P")+
 --(INDEX('PW_MLG GRADE 10'!$BF$7:$BF$31,MATCH(LEFT($A37,LEN($A37)-2),'PW_MLG GRADE 10'!$C$7:$C$31,0))="P")+
 --(INDEX('PW_MLG GRADE 10'!#REF!,MATCH(LEFT($A37,LEN($A37)-2),'PW_MLG GRADE 10'!$C$7:$C$31,0))="P")+
 --(INDEX('PW_MLG GRADE 10'!#REF!,MATCH(LEFT($A37,LEN($A37)-2),'PW_MLG GRADE 10'!$C$7:$C$31,0))="P"),
0)</f>
        <v>0</v>
      </c>
      <c r="I37" t="e">
        <f ca="1">IF(IF(_xlfn.XLOOKUP(LEFT(F37,LEN(F37)-2),'PW_MLG GRADE 10'!$B$7:$B$31,'PW_MLG GRADE 10'!#REF!,"",0,1)=0,"",_xlfn.XLOOKUP(LEFT(F37,LEN(F37)-2),'PW_MLG GRADE 10'!$B$7:$B$31,'PW_MLG GRADE 10'!#REF!,"",0,1))&lt;=TODAY(),TRUE,FALSE)</f>
        <v>#REF!</v>
      </c>
      <c r="J37">
        <f t="shared" ca="1" si="1"/>
        <v>0</v>
      </c>
    </row>
    <row r="38" spans="1:10">
      <c r="A38" s="24" t="s">
        <v>242</v>
      </c>
      <c r="B38">
        <v>3</v>
      </c>
      <c r="C38">
        <f>IFERROR(
 --(INDEX('TH_MLG GRADE 10'!$C$7:$C$49,MATCH(LEFT($A38,LEN($A38)-2),'TH_MLG GRADE 10'!$B$7:$B$49,0))="P")+
 --(INDEX('TH_MLG GRADE 10'!$I$7:$I$49,MATCH(LEFT($A38,LEN($A38)-2),'TH_MLG GRADE 10'!$B$7:$B$49,0))="P")+
 --(INDEX('TH_MLG GRADE 10'!$O$7:$O$49,MATCH(LEFT($A38,LEN($A38)-2),'TH_MLG GRADE 10'!$B$7:$B$49,0))="P")+
 --(INDEX('TH_MLG GRADE 10'!$AA$7:$AA$49,MATCH(LEFT($A38,LEN($A38)-2),'TH_MLG GRADE 10'!$B$7:$B$49,0))="P")+
 --(INDEX('TH_MLG GRADE 10'!$AG$7:$AG$49,MATCH(LEFT($A38,LEN($A38)-2),'TH_MLG GRADE 10'!$B$7:$B$49,0))="P")+
 --(INDEX('TH_MLG GRADE 10'!$AM$7:$AM$49,MATCH(LEFT($A38,LEN($A38)-2),'TH_MLG GRADE 10'!$B$7:$B$49,0))="P")+
 --(INDEX('TH_MLG GRADE 10'!$AY$7:$AY$49,MATCH(LEFT($A38,LEN($A38)-2),'TH_MLG GRADE 10'!$B$7:$B$49,0))="P")+
 --(INDEX('TH_MLG GRADE 10'!$BE$7:$BE$49,MATCH(LEFT($A38,LEN($A38)-2),'TH_MLG GRADE 10'!$B$7:$B$49,0))="P")+
 --(INDEX('TH_MLG GRADE 10'!#REF!,MATCH(LEFT($A38,LEN($A38)-2),'TH_MLG GRADE 10'!$B$7:$B$49,0))="P")+
 --(INDEX('TH_MLG GRADE 10'!#REF!,MATCH(LEFT($A38,LEN($A38)-2),'TH_MLG GRADE 10'!$B$7:$B$49,0))="P"),
0)</f>
        <v>0</v>
      </c>
      <c r="D38" s="24" t="b">
        <f ca="1">IF(IF(_xlfn.XLOOKUP(LEFT(A38,LEN(A38)-2),'TH_MLG GRADE 10'!$B$7:$B$49,'TH_MLG GRADE 10'!$BK$7:$BK$49,"",0,1)=0,"",_xlfn.XLOOKUP(LEFT(A38,LEN(A38)-2),'TH_MLG GRADE 10'!$B$7:$B$49,'TH_MLG GRADE 10'!$BK$7:$BK$49,"",0,1))&lt;=TODAY(),TRUE,FALSE)</f>
        <v>1</v>
      </c>
      <c r="E38" s="25">
        <f t="shared" ca="1" si="0"/>
        <v>0</v>
      </c>
      <c r="F38" t="s">
        <v>242</v>
      </c>
      <c r="G38">
        <v>3</v>
      </c>
      <c r="H38">
        <f>IFERROR(
 --(INDEX('PW_MLG GRADE 10'!$D$7:$D$31,MATCH(LEFT($A38,LEN($A38)-2),'PW_MLG GRADE 10'!$C$7:$C$31,0))="P")+
 --(INDEX('PW_MLG GRADE 10'!$J$7:$J$31,MATCH(LEFT($A38,LEN($A38)-2),'PW_MLG GRADE 10'!$C$7:$C$31,0))="P")+
 --(INDEX('PW_MLG GRADE 10'!$P$7:$P$31,MATCH(LEFT($A38,LEN($A38)-2),'PW_MLG GRADE 10'!$C$7:$C$31,0))="P")+
 --(INDEX('PW_MLG GRADE 10'!$AB$7:$AB$31,MATCH(LEFT($A38,LEN($A38)-2),'PW_MLG GRADE 10'!$C$7:$C$31,0))="P")+
 --(INDEX('PW_MLG GRADE 10'!$AH$7:$AH$31,MATCH(LEFT($A38,LEN($A38)-2),'PW_MLG GRADE 10'!$C$7:$C$31,0))="P")+
 --(INDEX('PW_MLG GRADE 10'!$AN$7:$AN$31,MATCH(LEFT($A38,LEN($A38)-2),'PW_MLG GRADE 10'!$C$7:$C$31,0))="P")+
 --(INDEX('PW_MLG GRADE 10'!$AZ$7:$AZ$31,MATCH(LEFT($A38,LEN($A38)-2),'PW_MLG GRADE 10'!$C$7:$C$31,0))="P")+
 --(INDEX('PW_MLG GRADE 10'!$BF$7:$BF$31,MATCH(LEFT($A38,LEN($A38)-2),'PW_MLG GRADE 10'!$C$7:$C$31,0))="P")+
 --(INDEX('PW_MLG GRADE 10'!#REF!,MATCH(LEFT($A38,LEN($A38)-2),'PW_MLG GRADE 10'!$C$7:$C$31,0))="P")+
 --(INDEX('PW_MLG GRADE 10'!#REF!,MATCH(LEFT($A38,LEN($A38)-2),'PW_MLG GRADE 10'!$C$7:$C$31,0))="P"),
0)</f>
        <v>0</v>
      </c>
      <c r="I38" t="e">
        <f ca="1">IF(IF(_xlfn.XLOOKUP(LEFT(F38,LEN(F38)-2),'PW_MLG GRADE 10'!$B$7:$B$31,'PW_MLG GRADE 10'!#REF!,"",0,1)=0,"",_xlfn.XLOOKUP(LEFT(F38,LEN(F38)-2),'PW_MLG GRADE 10'!$B$7:$B$31,'PW_MLG GRADE 10'!#REF!,"",0,1))&lt;=TODAY(),TRUE,FALSE)</f>
        <v>#REF!</v>
      </c>
      <c r="J38">
        <f t="shared" ca="1" si="1"/>
        <v>0</v>
      </c>
    </row>
    <row r="39" spans="1:10">
      <c r="A39" s="24" t="s">
        <v>243</v>
      </c>
      <c r="B39">
        <v>3</v>
      </c>
      <c r="C39">
        <f>IFERROR(
 --(INDEX('TH_MLG GRADE 10'!$C$7:$C$49,MATCH(LEFT($A39,LEN($A39)-2),'TH_MLG GRADE 10'!$B$7:$B$49,0))="P")+
 --(INDEX('TH_MLG GRADE 10'!$I$7:$I$49,MATCH(LEFT($A39,LEN($A39)-2),'TH_MLG GRADE 10'!$B$7:$B$49,0))="P")+
 --(INDEX('TH_MLG GRADE 10'!$O$7:$O$49,MATCH(LEFT($A39,LEN($A39)-2),'TH_MLG GRADE 10'!$B$7:$B$49,0))="P")+
 --(INDEX('TH_MLG GRADE 10'!$AA$7:$AA$49,MATCH(LEFT($A39,LEN($A39)-2),'TH_MLG GRADE 10'!$B$7:$B$49,0))="P")+
 --(INDEX('TH_MLG GRADE 10'!$AG$7:$AG$49,MATCH(LEFT($A39,LEN($A39)-2),'TH_MLG GRADE 10'!$B$7:$B$49,0))="P")+
 --(INDEX('TH_MLG GRADE 10'!$AM$7:$AM$49,MATCH(LEFT($A39,LEN($A39)-2),'TH_MLG GRADE 10'!$B$7:$B$49,0))="P")+
 --(INDEX('TH_MLG GRADE 10'!$AY$7:$AY$49,MATCH(LEFT($A39,LEN($A39)-2),'TH_MLG GRADE 10'!$B$7:$B$49,0))="P")+
 --(INDEX('TH_MLG GRADE 10'!$BE$7:$BE$49,MATCH(LEFT($A39,LEN($A39)-2),'TH_MLG GRADE 10'!$B$7:$B$49,0))="P")+
 --(INDEX('TH_MLG GRADE 10'!#REF!,MATCH(LEFT($A39,LEN($A39)-2),'TH_MLG GRADE 10'!$B$7:$B$49,0))="P")+
 --(INDEX('TH_MLG GRADE 10'!#REF!,MATCH(LEFT($A39,LEN($A39)-2),'TH_MLG GRADE 10'!$B$7:$B$49,0))="P"),
0)</f>
        <v>0</v>
      </c>
      <c r="D39" s="24" t="b">
        <f ca="1">IF(IF(_xlfn.XLOOKUP(LEFT(A39,LEN(A39)-2),'TH_MLG GRADE 10'!$B$7:$B$49,'TH_MLG GRADE 10'!$BK$7:$BK$49,"",0,1)=0,"",_xlfn.XLOOKUP(LEFT(A39,LEN(A39)-2),'TH_MLG GRADE 10'!$B$7:$B$49,'TH_MLG GRADE 10'!$BK$7:$BK$49,"",0,1))&lt;=TODAY(),TRUE,FALSE)</f>
        <v>1</v>
      </c>
      <c r="E39" s="25">
        <f t="shared" ca="1" si="0"/>
        <v>0</v>
      </c>
      <c r="F39" t="s">
        <v>243</v>
      </c>
      <c r="G39">
        <v>3</v>
      </c>
      <c r="H39">
        <f>IFERROR(
 --(INDEX('PW_MLG GRADE 10'!$D$7:$D$31,MATCH(LEFT($A39,LEN($A39)-2),'PW_MLG GRADE 10'!$C$7:$C$31,0))="P")+
 --(INDEX('PW_MLG GRADE 10'!$J$7:$J$31,MATCH(LEFT($A39,LEN($A39)-2),'PW_MLG GRADE 10'!$C$7:$C$31,0))="P")+
 --(INDEX('PW_MLG GRADE 10'!$P$7:$P$31,MATCH(LEFT($A39,LEN($A39)-2),'PW_MLG GRADE 10'!$C$7:$C$31,0))="P")+
 --(INDEX('PW_MLG GRADE 10'!$AB$7:$AB$31,MATCH(LEFT($A39,LEN($A39)-2),'PW_MLG GRADE 10'!$C$7:$C$31,0))="P")+
 --(INDEX('PW_MLG GRADE 10'!$AH$7:$AH$31,MATCH(LEFT($A39,LEN($A39)-2),'PW_MLG GRADE 10'!$C$7:$C$31,0))="P")+
 --(INDEX('PW_MLG GRADE 10'!$AN$7:$AN$31,MATCH(LEFT($A39,LEN($A39)-2),'PW_MLG GRADE 10'!$C$7:$C$31,0))="P")+
 --(INDEX('PW_MLG GRADE 10'!$AZ$7:$AZ$31,MATCH(LEFT($A39,LEN($A39)-2),'PW_MLG GRADE 10'!$C$7:$C$31,0))="P")+
 --(INDEX('PW_MLG GRADE 10'!$BF$7:$BF$31,MATCH(LEFT($A39,LEN($A39)-2),'PW_MLG GRADE 10'!$C$7:$C$31,0))="P")+
 --(INDEX('PW_MLG GRADE 10'!#REF!,MATCH(LEFT($A39,LEN($A39)-2),'PW_MLG GRADE 10'!$C$7:$C$31,0))="P")+
 --(INDEX('PW_MLG GRADE 10'!#REF!,MATCH(LEFT($A39,LEN($A39)-2),'PW_MLG GRADE 10'!$C$7:$C$31,0))="P"),
0)</f>
        <v>0</v>
      </c>
      <c r="I39" t="e">
        <f ca="1">IF(IF(_xlfn.XLOOKUP(LEFT(F39,LEN(F39)-2),'PW_MLG GRADE 10'!$B$7:$B$31,'PW_MLG GRADE 10'!#REF!,"",0,1)=0,"",_xlfn.XLOOKUP(LEFT(F39,LEN(F39)-2),'PW_MLG GRADE 10'!$B$7:$B$31,'PW_MLG GRADE 10'!#REF!,"",0,1))&lt;=TODAY(),TRUE,FALSE)</f>
        <v>#REF!</v>
      </c>
      <c r="J39">
        <f t="shared" ca="1" si="1"/>
        <v>0</v>
      </c>
    </row>
    <row r="40" spans="1:10">
      <c r="A40" s="24" t="s">
        <v>244</v>
      </c>
      <c r="B40">
        <v>3</v>
      </c>
      <c r="C40">
        <f>IFERROR(
 --(INDEX('TH_MLG GRADE 10'!$C$7:$C$49,MATCH(LEFT($A40,LEN($A40)-2),'TH_MLG GRADE 10'!$B$7:$B$49,0))="P")+
 --(INDEX('TH_MLG GRADE 10'!$I$7:$I$49,MATCH(LEFT($A40,LEN($A40)-2),'TH_MLG GRADE 10'!$B$7:$B$49,0))="P")+
 --(INDEX('TH_MLG GRADE 10'!$O$7:$O$49,MATCH(LEFT($A40,LEN($A40)-2),'TH_MLG GRADE 10'!$B$7:$B$49,0))="P")+
 --(INDEX('TH_MLG GRADE 10'!$AA$7:$AA$49,MATCH(LEFT($A40,LEN($A40)-2),'TH_MLG GRADE 10'!$B$7:$B$49,0))="P")+
 --(INDEX('TH_MLG GRADE 10'!$AG$7:$AG$49,MATCH(LEFT($A40,LEN($A40)-2),'TH_MLG GRADE 10'!$B$7:$B$49,0))="P")+
 --(INDEX('TH_MLG GRADE 10'!$AM$7:$AM$49,MATCH(LEFT($A40,LEN($A40)-2),'TH_MLG GRADE 10'!$B$7:$B$49,0))="P")+
 --(INDEX('TH_MLG GRADE 10'!$AY$7:$AY$49,MATCH(LEFT($A40,LEN($A40)-2),'TH_MLG GRADE 10'!$B$7:$B$49,0))="P")+
 --(INDEX('TH_MLG GRADE 10'!$BE$7:$BE$49,MATCH(LEFT($A40,LEN($A40)-2),'TH_MLG GRADE 10'!$B$7:$B$49,0))="P")+
 --(INDEX('TH_MLG GRADE 10'!#REF!,MATCH(LEFT($A40,LEN($A40)-2),'TH_MLG GRADE 10'!$B$7:$B$49,0))="P")+
 --(INDEX('TH_MLG GRADE 10'!#REF!,MATCH(LEFT($A40,LEN($A40)-2),'TH_MLG GRADE 10'!$B$7:$B$49,0))="P"),
0)</f>
        <v>0</v>
      </c>
      <c r="D40" s="24" t="b">
        <f ca="1">IF(IF(_xlfn.XLOOKUP(LEFT(A40,LEN(A40)-2),'TH_MLG GRADE 10'!$B$7:$B$49,'TH_MLG GRADE 10'!$BK$7:$BK$49,"",0,1)=0,"",_xlfn.XLOOKUP(LEFT(A40,LEN(A40)-2),'TH_MLG GRADE 10'!$B$7:$B$49,'TH_MLG GRADE 10'!$BK$7:$BK$49,"",0,1))&lt;=TODAY(),TRUE,FALSE)</f>
        <v>1</v>
      </c>
      <c r="E40" s="25">
        <f t="shared" ca="1" si="0"/>
        <v>0</v>
      </c>
      <c r="F40" t="s">
        <v>244</v>
      </c>
      <c r="G40">
        <v>3</v>
      </c>
      <c r="H40">
        <f>IFERROR(
 --(INDEX('PW_MLG GRADE 10'!$D$7:$D$31,MATCH(LEFT($A40,LEN($A40)-2),'PW_MLG GRADE 10'!$C$7:$C$31,0))="P")+
 --(INDEX('PW_MLG GRADE 10'!$J$7:$J$31,MATCH(LEFT($A40,LEN($A40)-2),'PW_MLG GRADE 10'!$C$7:$C$31,0))="P")+
 --(INDEX('PW_MLG GRADE 10'!$P$7:$P$31,MATCH(LEFT($A40,LEN($A40)-2),'PW_MLG GRADE 10'!$C$7:$C$31,0))="P")+
 --(INDEX('PW_MLG GRADE 10'!$AB$7:$AB$31,MATCH(LEFT($A40,LEN($A40)-2),'PW_MLG GRADE 10'!$C$7:$C$31,0))="P")+
 --(INDEX('PW_MLG GRADE 10'!$AH$7:$AH$31,MATCH(LEFT($A40,LEN($A40)-2),'PW_MLG GRADE 10'!$C$7:$C$31,0))="P")+
 --(INDEX('PW_MLG GRADE 10'!$AN$7:$AN$31,MATCH(LEFT($A40,LEN($A40)-2),'PW_MLG GRADE 10'!$C$7:$C$31,0))="P")+
 --(INDEX('PW_MLG GRADE 10'!$AZ$7:$AZ$31,MATCH(LEFT($A40,LEN($A40)-2),'PW_MLG GRADE 10'!$C$7:$C$31,0))="P")+
 --(INDEX('PW_MLG GRADE 10'!$BF$7:$BF$31,MATCH(LEFT($A40,LEN($A40)-2),'PW_MLG GRADE 10'!$C$7:$C$31,0))="P")+
 --(INDEX('PW_MLG GRADE 10'!#REF!,MATCH(LEFT($A40,LEN($A40)-2),'PW_MLG GRADE 10'!$C$7:$C$31,0))="P")+
 --(INDEX('PW_MLG GRADE 10'!#REF!,MATCH(LEFT($A40,LEN($A40)-2),'PW_MLG GRADE 10'!$C$7:$C$31,0))="P"),
0)</f>
        <v>0</v>
      </c>
      <c r="I40" t="e">
        <f ca="1">IF(IF(_xlfn.XLOOKUP(LEFT(F40,LEN(F40)-2),'PW_MLG GRADE 10'!$B$7:$B$31,'PW_MLG GRADE 10'!#REF!,"",0,1)=0,"",_xlfn.XLOOKUP(LEFT(F40,LEN(F40)-2),'PW_MLG GRADE 10'!$B$7:$B$31,'PW_MLG GRADE 10'!#REF!,"",0,1))&lt;=TODAY(),TRUE,FALSE)</f>
        <v>#REF!</v>
      </c>
      <c r="J40">
        <f t="shared" ca="1" si="1"/>
        <v>0</v>
      </c>
    </row>
    <row r="41" spans="1:10">
      <c r="A41" s="24" t="s">
        <v>245</v>
      </c>
      <c r="B41">
        <v>3</v>
      </c>
      <c r="C41">
        <f>IFERROR(
 --(INDEX('TH_MLG GRADE 10'!$C$7:$C$49,MATCH(LEFT($A41,LEN($A41)-2),'TH_MLG GRADE 10'!$B$7:$B$49,0))="P")+
 --(INDEX('TH_MLG GRADE 10'!$I$7:$I$49,MATCH(LEFT($A41,LEN($A41)-2),'TH_MLG GRADE 10'!$B$7:$B$49,0))="P")+
 --(INDEX('TH_MLG GRADE 10'!$O$7:$O$49,MATCH(LEFT($A41,LEN($A41)-2),'TH_MLG GRADE 10'!$B$7:$B$49,0))="P")+
 --(INDEX('TH_MLG GRADE 10'!$AA$7:$AA$49,MATCH(LEFT($A41,LEN($A41)-2),'TH_MLG GRADE 10'!$B$7:$B$49,0))="P")+
 --(INDEX('TH_MLG GRADE 10'!$AG$7:$AG$49,MATCH(LEFT($A41,LEN($A41)-2),'TH_MLG GRADE 10'!$B$7:$B$49,0))="P")+
 --(INDEX('TH_MLG GRADE 10'!$AM$7:$AM$49,MATCH(LEFT($A41,LEN($A41)-2),'TH_MLG GRADE 10'!$B$7:$B$49,0))="P")+
 --(INDEX('TH_MLG GRADE 10'!$AY$7:$AY$49,MATCH(LEFT($A41,LEN($A41)-2),'TH_MLG GRADE 10'!$B$7:$B$49,0))="P")+
 --(INDEX('TH_MLG GRADE 10'!$BE$7:$BE$49,MATCH(LEFT($A41,LEN($A41)-2),'TH_MLG GRADE 10'!$B$7:$B$49,0))="P")+
 --(INDEX('TH_MLG GRADE 10'!#REF!,MATCH(LEFT($A41,LEN($A41)-2),'TH_MLG GRADE 10'!$B$7:$B$49,0))="P")+
 --(INDEX('TH_MLG GRADE 10'!#REF!,MATCH(LEFT($A41,LEN($A41)-2),'TH_MLG GRADE 10'!$B$7:$B$49,0))="P"),
0)</f>
        <v>0</v>
      </c>
      <c r="D41" s="24" t="b">
        <f ca="1">IF(IF(_xlfn.XLOOKUP(LEFT(A41,LEN(A41)-2),'TH_MLG GRADE 10'!$B$7:$B$49,'TH_MLG GRADE 10'!$BK$7:$BK$49,"",0,1)=0,"",_xlfn.XLOOKUP(LEFT(A41,LEN(A41)-2),'TH_MLG GRADE 10'!$B$7:$B$49,'TH_MLG GRADE 10'!$BK$7:$BK$49,"",0,1))&lt;=TODAY(),TRUE,FALSE)</f>
        <v>1</v>
      </c>
      <c r="E41" s="25">
        <f t="shared" ca="1" si="0"/>
        <v>0</v>
      </c>
      <c r="F41" t="s">
        <v>245</v>
      </c>
      <c r="G41">
        <v>3</v>
      </c>
      <c r="H41">
        <f>IFERROR(
 --(INDEX('PW_MLG GRADE 10'!$D$7:$D$31,MATCH(LEFT($A41,LEN($A41)-2),'PW_MLG GRADE 10'!$C$7:$C$31,0))="P")+
 --(INDEX('PW_MLG GRADE 10'!$J$7:$J$31,MATCH(LEFT($A41,LEN($A41)-2),'PW_MLG GRADE 10'!$C$7:$C$31,0))="P")+
 --(INDEX('PW_MLG GRADE 10'!$P$7:$P$31,MATCH(LEFT($A41,LEN($A41)-2),'PW_MLG GRADE 10'!$C$7:$C$31,0))="P")+
 --(INDEX('PW_MLG GRADE 10'!$AB$7:$AB$31,MATCH(LEFT($A41,LEN($A41)-2),'PW_MLG GRADE 10'!$C$7:$C$31,0))="P")+
 --(INDEX('PW_MLG GRADE 10'!$AH$7:$AH$31,MATCH(LEFT($A41,LEN($A41)-2),'PW_MLG GRADE 10'!$C$7:$C$31,0))="P")+
 --(INDEX('PW_MLG GRADE 10'!$AN$7:$AN$31,MATCH(LEFT($A41,LEN($A41)-2),'PW_MLG GRADE 10'!$C$7:$C$31,0))="P")+
 --(INDEX('PW_MLG GRADE 10'!$AZ$7:$AZ$31,MATCH(LEFT($A41,LEN($A41)-2),'PW_MLG GRADE 10'!$C$7:$C$31,0))="P")+
 --(INDEX('PW_MLG GRADE 10'!$BF$7:$BF$31,MATCH(LEFT($A41,LEN($A41)-2),'PW_MLG GRADE 10'!$C$7:$C$31,0))="P")+
 --(INDEX('PW_MLG GRADE 10'!#REF!,MATCH(LEFT($A41,LEN($A41)-2),'PW_MLG GRADE 10'!$C$7:$C$31,0))="P")+
 --(INDEX('PW_MLG GRADE 10'!#REF!,MATCH(LEFT($A41,LEN($A41)-2),'PW_MLG GRADE 10'!$C$7:$C$31,0))="P"),
0)</f>
        <v>0</v>
      </c>
      <c r="I41" t="e">
        <f ca="1">IF(IF(_xlfn.XLOOKUP(LEFT(F41,LEN(F41)-2),'PW_MLG GRADE 10'!$B$7:$B$31,'PW_MLG GRADE 10'!#REF!,"",0,1)=0,"",_xlfn.XLOOKUP(LEFT(F41,LEN(F41)-2),'PW_MLG GRADE 10'!$B$7:$B$31,'PW_MLG GRADE 10'!#REF!,"",0,1))&lt;=TODAY(),TRUE,FALSE)</f>
        <v>#REF!</v>
      </c>
      <c r="J41">
        <f t="shared" ca="1" si="1"/>
        <v>0</v>
      </c>
    </row>
    <row r="42" spans="1:10">
      <c r="A42" s="24" t="s">
        <v>246</v>
      </c>
      <c r="B42">
        <v>3</v>
      </c>
      <c r="C42">
        <f>IFERROR(
 --(INDEX('TH_MLG GRADE 10'!$C$7:$C$49,MATCH(LEFT($A42,LEN($A42)-2),'TH_MLG GRADE 10'!$B$7:$B$49,0))="P")+
 --(INDEX('TH_MLG GRADE 10'!$I$7:$I$49,MATCH(LEFT($A42,LEN($A42)-2),'TH_MLG GRADE 10'!$B$7:$B$49,0))="P")+
 --(INDEX('TH_MLG GRADE 10'!$O$7:$O$49,MATCH(LEFT($A42,LEN($A42)-2),'TH_MLG GRADE 10'!$B$7:$B$49,0))="P")+
 --(INDEX('TH_MLG GRADE 10'!$AA$7:$AA$49,MATCH(LEFT($A42,LEN($A42)-2),'TH_MLG GRADE 10'!$B$7:$B$49,0))="P")+
 --(INDEX('TH_MLG GRADE 10'!$AG$7:$AG$49,MATCH(LEFT($A42,LEN($A42)-2),'TH_MLG GRADE 10'!$B$7:$B$49,0))="P")+
 --(INDEX('TH_MLG GRADE 10'!$AM$7:$AM$49,MATCH(LEFT($A42,LEN($A42)-2),'TH_MLG GRADE 10'!$B$7:$B$49,0))="P")+
 --(INDEX('TH_MLG GRADE 10'!$AY$7:$AY$49,MATCH(LEFT($A42,LEN($A42)-2),'TH_MLG GRADE 10'!$B$7:$B$49,0))="P")+
 --(INDEX('TH_MLG GRADE 10'!$BE$7:$BE$49,MATCH(LEFT($A42,LEN($A42)-2),'TH_MLG GRADE 10'!$B$7:$B$49,0))="P")+
 --(INDEX('TH_MLG GRADE 10'!#REF!,MATCH(LEFT($A42,LEN($A42)-2),'TH_MLG GRADE 10'!$B$7:$B$49,0))="P")+
 --(INDEX('TH_MLG GRADE 10'!#REF!,MATCH(LEFT($A42,LEN($A42)-2),'TH_MLG GRADE 10'!$B$7:$B$49,0))="P"),
0)</f>
        <v>0</v>
      </c>
      <c r="D42" s="24" t="b">
        <f ca="1">IF(IF(_xlfn.XLOOKUP(LEFT(A42,LEN(A42)-2),'TH_MLG GRADE 10'!$B$7:$B$49,'TH_MLG GRADE 10'!$BK$7:$BK$49,"",0,1)=0,"",_xlfn.XLOOKUP(LEFT(A42,LEN(A42)-2),'TH_MLG GRADE 10'!$B$7:$B$49,'TH_MLG GRADE 10'!$BK$7:$BK$49,"",0,1))&lt;=TODAY(),TRUE,FALSE)</f>
        <v>1</v>
      </c>
      <c r="E42" s="25">
        <f t="shared" ca="1" si="0"/>
        <v>0</v>
      </c>
      <c r="F42" t="s">
        <v>246</v>
      </c>
      <c r="G42">
        <v>3</v>
      </c>
      <c r="H42">
        <f>IFERROR(
 --(INDEX('PW_MLG GRADE 10'!$D$7:$D$31,MATCH(LEFT($A42,LEN($A42)-2),'PW_MLG GRADE 10'!$C$7:$C$31,0))="P")+
 --(INDEX('PW_MLG GRADE 10'!$J$7:$J$31,MATCH(LEFT($A42,LEN($A42)-2),'PW_MLG GRADE 10'!$C$7:$C$31,0))="P")+
 --(INDEX('PW_MLG GRADE 10'!$P$7:$P$31,MATCH(LEFT($A42,LEN($A42)-2),'PW_MLG GRADE 10'!$C$7:$C$31,0))="P")+
 --(INDEX('PW_MLG GRADE 10'!$AB$7:$AB$31,MATCH(LEFT($A42,LEN($A42)-2),'PW_MLG GRADE 10'!$C$7:$C$31,0))="P")+
 --(INDEX('PW_MLG GRADE 10'!$AH$7:$AH$31,MATCH(LEFT($A42,LEN($A42)-2),'PW_MLG GRADE 10'!$C$7:$C$31,0))="P")+
 --(INDEX('PW_MLG GRADE 10'!$AN$7:$AN$31,MATCH(LEFT($A42,LEN($A42)-2),'PW_MLG GRADE 10'!$C$7:$C$31,0))="P")+
 --(INDEX('PW_MLG GRADE 10'!$AZ$7:$AZ$31,MATCH(LEFT($A42,LEN($A42)-2),'PW_MLG GRADE 10'!$C$7:$C$31,0))="P")+
 --(INDEX('PW_MLG GRADE 10'!$BF$7:$BF$31,MATCH(LEFT($A42,LEN($A42)-2),'PW_MLG GRADE 10'!$C$7:$C$31,0))="P")+
 --(INDEX('PW_MLG GRADE 10'!#REF!,MATCH(LEFT($A42,LEN($A42)-2),'PW_MLG GRADE 10'!$C$7:$C$31,0))="P")+
 --(INDEX('PW_MLG GRADE 10'!#REF!,MATCH(LEFT($A42,LEN($A42)-2),'PW_MLG GRADE 10'!$C$7:$C$31,0))="P"),
0)</f>
        <v>0</v>
      </c>
      <c r="I42" t="e">
        <f ca="1">IF(IF(_xlfn.XLOOKUP(LEFT(F42,LEN(F42)-2),'PW_MLG GRADE 10'!$B$7:$B$31,'PW_MLG GRADE 10'!#REF!,"",0,1)=0,"",_xlfn.XLOOKUP(LEFT(F42,LEN(F42)-2),'PW_MLG GRADE 10'!$B$7:$B$31,'PW_MLG GRADE 10'!#REF!,"",0,1))&lt;=TODAY(),TRUE,FALSE)</f>
        <v>#REF!</v>
      </c>
      <c r="J42">
        <f t="shared" ca="1" si="1"/>
        <v>0</v>
      </c>
    </row>
    <row r="43" spans="1:10">
      <c r="A43" s="24" t="s">
        <v>247</v>
      </c>
      <c r="B43">
        <v>3</v>
      </c>
      <c r="C43">
        <f>IFERROR(
 --(INDEX('TH_MLG GRADE 10'!$C$7:$C$49,MATCH(LEFT($A43,LEN($A43)-2),'TH_MLG GRADE 10'!$B$7:$B$49,0))="P")+
 --(INDEX('TH_MLG GRADE 10'!$I$7:$I$49,MATCH(LEFT($A43,LEN($A43)-2),'TH_MLG GRADE 10'!$B$7:$B$49,0))="P")+
 --(INDEX('TH_MLG GRADE 10'!$O$7:$O$49,MATCH(LEFT($A43,LEN($A43)-2),'TH_MLG GRADE 10'!$B$7:$B$49,0))="P")+
 --(INDEX('TH_MLG GRADE 10'!$AA$7:$AA$49,MATCH(LEFT($A43,LEN($A43)-2),'TH_MLG GRADE 10'!$B$7:$B$49,0))="P")+
 --(INDEX('TH_MLG GRADE 10'!$AG$7:$AG$49,MATCH(LEFT($A43,LEN($A43)-2),'TH_MLG GRADE 10'!$B$7:$B$49,0))="P")+
 --(INDEX('TH_MLG GRADE 10'!$AM$7:$AM$49,MATCH(LEFT($A43,LEN($A43)-2),'TH_MLG GRADE 10'!$B$7:$B$49,0))="P")+
 --(INDEX('TH_MLG GRADE 10'!$AY$7:$AY$49,MATCH(LEFT($A43,LEN($A43)-2),'TH_MLG GRADE 10'!$B$7:$B$49,0))="P")+
 --(INDEX('TH_MLG GRADE 10'!$BE$7:$BE$49,MATCH(LEFT($A43,LEN($A43)-2),'TH_MLG GRADE 10'!$B$7:$B$49,0))="P")+
 --(INDEX('TH_MLG GRADE 10'!#REF!,MATCH(LEFT($A43,LEN($A43)-2),'TH_MLG GRADE 10'!$B$7:$B$49,0))="P")+
 --(INDEX('TH_MLG GRADE 10'!#REF!,MATCH(LEFT($A43,LEN($A43)-2),'TH_MLG GRADE 10'!$B$7:$B$49,0))="P"),
0)</f>
        <v>0</v>
      </c>
      <c r="D43" s="24" t="b">
        <f ca="1">IF(IF(_xlfn.XLOOKUP(LEFT(A43,LEN(A43)-2),'TH_MLG GRADE 10'!$B$7:$B$49,'TH_MLG GRADE 10'!$BK$7:$BK$49,"",0,1)=0,"",_xlfn.XLOOKUP(LEFT(A43,LEN(A43)-2),'TH_MLG GRADE 10'!$B$7:$B$49,'TH_MLG GRADE 10'!$BK$7:$BK$49,"",0,1))&lt;=TODAY(),TRUE,FALSE)</f>
        <v>1</v>
      </c>
      <c r="E43" s="25">
        <f t="shared" ca="1" si="0"/>
        <v>0</v>
      </c>
      <c r="F43" t="s">
        <v>247</v>
      </c>
      <c r="G43">
        <v>3</v>
      </c>
      <c r="H43">
        <f>IFERROR(
 --(INDEX('PW_MLG GRADE 10'!$D$7:$D$31,MATCH(LEFT($A43,LEN($A43)-2),'PW_MLG GRADE 10'!$C$7:$C$31,0))="P")+
 --(INDEX('PW_MLG GRADE 10'!$J$7:$J$31,MATCH(LEFT($A43,LEN($A43)-2),'PW_MLG GRADE 10'!$C$7:$C$31,0))="P")+
 --(INDEX('PW_MLG GRADE 10'!$P$7:$P$31,MATCH(LEFT($A43,LEN($A43)-2),'PW_MLG GRADE 10'!$C$7:$C$31,0))="P")+
 --(INDEX('PW_MLG GRADE 10'!$AB$7:$AB$31,MATCH(LEFT($A43,LEN($A43)-2),'PW_MLG GRADE 10'!$C$7:$C$31,0))="P")+
 --(INDEX('PW_MLG GRADE 10'!$AH$7:$AH$31,MATCH(LEFT($A43,LEN($A43)-2),'PW_MLG GRADE 10'!$C$7:$C$31,0))="P")+
 --(INDEX('PW_MLG GRADE 10'!$AN$7:$AN$31,MATCH(LEFT($A43,LEN($A43)-2),'PW_MLG GRADE 10'!$C$7:$C$31,0))="P")+
 --(INDEX('PW_MLG GRADE 10'!$AZ$7:$AZ$31,MATCH(LEFT($A43,LEN($A43)-2),'PW_MLG GRADE 10'!$C$7:$C$31,0))="P")+
 --(INDEX('PW_MLG GRADE 10'!$BF$7:$BF$31,MATCH(LEFT($A43,LEN($A43)-2),'PW_MLG GRADE 10'!$C$7:$C$31,0))="P")+
 --(INDEX('PW_MLG GRADE 10'!#REF!,MATCH(LEFT($A43,LEN($A43)-2),'PW_MLG GRADE 10'!$C$7:$C$31,0))="P")+
 --(INDEX('PW_MLG GRADE 10'!#REF!,MATCH(LEFT($A43,LEN($A43)-2),'PW_MLG GRADE 10'!$C$7:$C$31,0))="P"),
0)</f>
        <v>0</v>
      </c>
      <c r="I43" t="e">
        <f ca="1">IF(IF(_xlfn.XLOOKUP(LEFT(F43,LEN(F43)-2),'PW_MLG GRADE 10'!$B$7:$B$31,'PW_MLG GRADE 10'!#REF!,"",0,1)=0,"",_xlfn.XLOOKUP(LEFT(F43,LEN(F43)-2),'PW_MLG GRADE 10'!$B$7:$B$31,'PW_MLG GRADE 10'!#REF!,"",0,1))&lt;=TODAY(),TRUE,FALSE)</f>
        <v>#REF!</v>
      </c>
      <c r="J43">
        <f t="shared" ca="1" si="1"/>
        <v>0</v>
      </c>
    </row>
    <row r="44" spans="1:10">
      <c r="A44" s="24" t="s">
        <v>248</v>
      </c>
      <c r="B44">
        <v>3</v>
      </c>
      <c r="C44">
        <f>IFERROR(
 --(INDEX('TH_MLG GRADE 10'!$C$7:$C$49,MATCH(LEFT($A44,LEN($A44)-2),'TH_MLG GRADE 10'!$B$7:$B$49,0))="P")+
 --(INDEX('TH_MLG GRADE 10'!$I$7:$I$49,MATCH(LEFT($A44,LEN($A44)-2),'TH_MLG GRADE 10'!$B$7:$B$49,0))="P")+
 --(INDEX('TH_MLG GRADE 10'!$O$7:$O$49,MATCH(LEFT($A44,LEN($A44)-2),'TH_MLG GRADE 10'!$B$7:$B$49,0))="P")+
 --(INDEX('TH_MLG GRADE 10'!$AA$7:$AA$49,MATCH(LEFT($A44,LEN($A44)-2),'TH_MLG GRADE 10'!$B$7:$B$49,0))="P")+
 --(INDEX('TH_MLG GRADE 10'!$AG$7:$AG$49,MATCH(LEFT($A44,LEN($A44)-2),'TH_MLG GRADE 10'!$B$7:$B$49,0))="P")+
 --(INDEX('TH_MLG GRADE 10'!$AM$7:$AM$49,MATCH(LEFT($A44,LEN($A44)-2),'TH_MLG GRADE 10'!$B$7:$B$49,0))="P")+
 --(INDEX('TH_MLG GRADE 10'!$AY$7:$AY$49,MATCH(LEFT($A44,LEN($A44)-2),'TH_MLG GRADE 10'!$B$7:$B$49,0))="P")+
 --(INDEX('TH_MLG GRADE 10'!$BE$7:$BE$49,MATCH(LEFT($A44,LEN($A44)-2),'TH_MLG GRADE 10'!$B$7:$B$49,0))="P")+
 --(INDEX('TH_MLG GRADE 10'!#REF!,MATCH(LEFT($A44,LEN($A44)-2),'TH_MLG GRADE 10'!$B$7:$B$49,0))="P")+
 --(INDEX('TH_MLG GRADE 10'!#REF!,MATCH(LEFT($A44,LEN($A44)-2),'TH_MLG GRADE 10'!$B$7:$B$49,0))="P"),
0)</f>
        <v>0</v>
      </c>
      <c r="D44" s="24" t="b">
        <f ca="1">IF(IF(_xlfn.XLOOKUP(LEFT(A44,LEN(A44)-2),'TH_MLG GRADE 10'!$B$7:$B$49,'TH_MLG GRADE 10'!$BK$7:$BK$49,"",0,1)=0,"",_xlfn.XLOOKUP(LEFT(A44,LEN(A44)-2),'TH_MLG GRADE 10'!$B$7:$B$49,'TH_MLG GRADE 10'!$BK$7:$BK$49,"",0,1))&lt;=TODAY(),TRUE,FALSE)</f>
        <v>1</v>
      </c>
      <c r="E44" s="25">
        <f t="shared" ca="1" si="0"/>
        <v>0</v>
      </c>
      <c r="F44" t="s">
        <v>248</v>
      </c>
      <c r="G44">
        <v>3</v>
      </c>
      <c r="H44">
        <f>IFERROR(
 --(INDEX('PW_MLG GRADE 10'!$D$7:$D$31,MATCH(LEFT($A44,LEN($A44)-2),'PW_MLG GRADE 10'!$C$7:$C$31,0))="P")+
 --(INDEX('PW_MLG GRADE 10'!$J$7:$J$31,MATCH(LEFT($A44,LEN($A44)-2),'PW_MLG GRADE 10'!$C$7:$C$31,0))="P")+
 --(INDEX('PW_MLG GRADE 10'!$P$7:$P$31,MATCH(LEFT($A44,LEN($A44)-2),'PW_MLG GRADE 10'!$C$7:$C$31,0))="P")+
 --(INDEX('PW_MLG GRADE 10'!$AB$7:$AB$31,MATCH(LEFT($A44,LEN($A44)-2),'PW_MLG GRADE 10'!$C$7:$C$31,0))="P")+
 --(INDEX('PW_MLG GRADE 10'!$AH$7:$AH$31,MATCH(LEFT($A44,LEN($A44)-2),'PW_MLG GRADE 10'!$C$7:$C$31,0))="P")+
 --(INDEX('PW_MLG GRADE 10'!$AN$7:$AN$31,MATCH(LEFT($A44,LEN($A44)-2),'PW_MLG GRADE 10'!$C$7:$C$31,0))="P")+
 --(INDEX('PW_MLG GRADE 10'!$AZ$7:$AZ$31,MATCH(LEFT($A44,LEN($A44)-2),'PW_MLG GRADE 10'!$C$7:$C$31,0))="P")+
 --(INDEX('PW_MLG GRADE 10'!$BF$7:$BF$31,MATCH(LEFT($A44,LEN($A44)-2),'PW_MLG GRADE 10'!$C$7:$C$31,0))="P")+
 --(INDEX('PW_MLG GRADE 10'!#REF!,MATCH(LEFT($A44,LEN($A44)-2),'PW_MLG GRADE 10'!$C$7:$C$31,0))="P")+
 --(INDEX('PW_MLG GRADE 10'!#REF!,MATCH(LEFT($A44,LEN($A44)-2),'PW_MLG GRADE 10'!$C$7:$C$31,0))="P"),
0)</f>
        <v>0</v>
      </c>
      <c r="I44" t="e">
        <f ca="1">IF(IF(_xlfn.XLOOKUP(LEFT(F44,LEN(F44)-2),'PW_MLG GRADE 10'!$B$7:$B$31,'PW_MLG GRADE 10'!#REF!,"",0,1)=0,"",_xlfn.XLOOKUP(LEFT(F44,LEN(F44)-2),'PW_MLG GRADE 10'!$B$7:$B$31,'PW_MLG GRADE 10'!#REF!,"",0,1))&lt;=TODAY(),TRUE,FALSE)</f>
        <v>#REF!</v>
      </c>
      <c r="J44">
        <f t="shared" ca="1" si="1"/>
        <v>0</v>
      </c>
    </row>
    <row r="45" spans="1:10">
      <c r="A45" s="24" t="s">
        <v>249</v>
      </c>
      <c r="B45">
        <v>3</v>
      </c>
      <c r="C45">
        <f>IFERROR(
 --(INDEX('TH_MLG GRADE 10'!$C$7:$C$49,MATCH(LEFT($A45,LEN($A45)-2),'TH_MLG GRADE 10'!$B$7:$B$49,0))="P")+
 --(INDEX('TH_MLG GRADE 10'!$I$7:$I$49,MATCH(LEFT($A45,LEN($A45)-2),'TH_MLG GRADE 10'!$B$7:$B$49,0))="P")+
 --(INDEX('TH_MLG GRADE 10'!$O$7:$O$49,MATCH(LEFT($A45,LEN($A45)-2),'TH_MLG GRADE 10'!$B$7:$B$49,0))="P")+
 --(INDEX('TH_MLG GRADE 10'!$AA$7:$AA$49,MATCH(LEFT($A45,LEN($A45)-2),'TH_MLG GRADE 10'!$B$7:$B$49,0))="P")+
 --(INDEX('TH_MLG GRADE 10'!$AG$7:$AG$49,MATCH(LEFT($A45,LEN($A45)-2),'TH_MLG GRADE 10'!$B$7:$B$49,0))="P")+
 --(INDEX('TH_MLG GRADE 10'!$AM$7:$AM$49,MATCH(LEFT($A45,LEN($A45)-2),'TH_MLG GRADE 10'!$B$7:$B$49,0))="P")+
 --(INDEX('TH_MLG GRADE 10'!$AY$7:$AY$49,MATCH(LEFT($A45,LEN($A45)-2),'TH_MLG GRADE 10'!$B$7:$B$49,0))="P")+
 --(INDEX('TH_MLG GRADE 10'!$BE$7:$BE$49,MATCH(LEFT($A45,LEN($A45)-2),'TH_MLG GRADE 10'!$B$7:$B$49,0))="P")+
 --(INDEX('TH_MLG GRADE 10'!#REF!,MATCH(LEFT($A45,LEN($A45)-2),'TH_MLG GRADE 10'!$B$7:$B$49,0))="P")+
 --(INDEX('TH_MLG GRADE 10'!#REF!,MATCH(LEFT($A45,LEN($A45)-2),'TH_MLG GRADE 10'!$B$7:$B$49,0))="P"),
0)</f>
        <v>0</v>
      </c>
      <c r="D45" s="24" t="b">
        <f ca="1">IF(IF(_xlfn.XLOOKUP(LEFT(A45,LEN(A45)-2),'TH_MLG GRADE 10'!$B$7:$B$49,'TH_MLG GRADE 10'!$BK$7:$BK$49,"",0,1)=0,"",_xlfn.XLOOKUP(LEFT(A45,LEN(A45)-2),'TH_MLG GRADE 10'!$B$7:$B$49,'TH_MLG GRADE 10'!$BK$7:$BK$49,"",0,1))&lt;=TODAY(),TRUE,FALSE)</f>
        <v>1</v>
      </c>
      <c r="E45" s="25">
        <f t="shared" ca="1" si="0"/>
        <v>0</v>
      </c>
      <c r="F45" t="s">
        <v>249</v>
      </c>
      <c r="G45">
        <v>3</v>
      </c>
      <c r="H45">
        <f>IFERROR(
 --(INDEX('PW_MLG GRADE 10'!$D$7:$D$31,MATCH(LEFT($A45,LEN($A45)-2),'PW_MLG GRADE 10'!$C$7:$C$31,0))="P")+
 --(INDEX('PW_MLG GRADE 10'!$J$7:$J$31,MATCH(LEFT($A45,LEN($A45)-2),'PW_MLG GRADE 10'!$C$7:$C$31,0))="P")+
 --(INDEX('PW_MLG GRADE 10'!$P$7:$P$31,MATCH(LEFT($A45,LEN($A45)-2),'PW_MLG GRADE 10'!$C$7:$C$31,0))="P")+
 --(INDEX('PW_MLG GRADE 10'!$AB$7:$AB$31,MATCH(LEFT($A45,LEN($A45)-2),'PW_MLG GRADE 10'!$C$7:$C$31,0))="P")+
 --(INDEX('PW_MLG GRADE 10'!$AH$7:$AH$31,MATCH(LEFT($A45,LEN($A45)-2),'PW_MLG GRADE 10'!$C$7:$C$31,0))="P")+
 --(INDEX('PW_MLG GRADE 10'!$AN$7:$AN$31,MATCH(LEFT($A45,LEN($A45)-2),'PW_MLG GRADE 10'!$C$7:$C$31,0))="P")+
 --(INDEX('PW_MLG GRADE 10'!$AZ$7:$AZ$31,MATCH(LEFT($A45,LEN($A45)-2),'PW_MLG GRADE 10'!$C$7:$C$31,0))="P")+
 --(INDEX('PW_MLG GRADE 10'!$BF$7:$BF$31,MATCH(LEFT($A45,LEN($A45)-2),'PW_MLG GRADE 10'!$C$7:$C$31,0))="P")+
 --(INDEX('PW_MLG GRADE 10'!#REF!,MATCH(LEFT($A45,LEN($A45)-2),'PW_MLG GRADE 10'!$C$7:$C$31,0))="P")+
 --(INDEX('PW_MLG GRADE 10'!#REF!,MATCH(LEFT($A45,LEN($A45)-2),'PW_MLG GRADE 10'!$C$7:$C$31,0))="P"),
0)</f>
        <v>0</v>
      </c>
      <c r="I45" t="e">
        <f ca="1">IF(IF(_xlfn.XLOOKUP(LEFT(F45,LEN(F45)-2),'PW_MLG GRADE 10'!$B$7:$B$31,'PW_MLG GRADE 10'!#REF!,"",0,1)=0,"",_xlfn.XLOOKUP(LEFT(F45,LEN(F45)-2),'PW_MLG GRADE 10'!$B$7:$B$31,'PW_MLG GRADE 10'!#REF!,"",0,1))&lt;=TODAY(),TRUE,FALSE)</f>
        <v>#REF!</v>
      </c>
      <c r="J45">
        <f t="shared" ca="1" si="1"/>
        <v>0</v>
      </c>
    </row>
    <row r="46" spans="1:10">
      <c r="A46" s="24" t="s">
        <v>250</v>
      </c>
      <c r="B46">
        <v>3</v>
      </c>
      <c r="C46">
        <f>IFERROR(
 --(INDEX('TH_MLG GRADE 10'!$C$7:$C$49,MATCH(LEFT($A46,LEN($A46)-2),'TH_MLG GRADE 10'!$B$7:$B$49,0))="P")+
 --(INDEX('TH_MLG GRADE 10'!$I$7:$I$49,MATCH(LEFT($A46,LEN($A46)-2),'TH_MLG GRADE 10'!$B$7:$B$49,0))="P")+
 --(INDEX('TH_MLG GRADE 10'!$O$7:$O$49,MATCH(LEFT($A46,LEN($A46)-2),'TH_MLG GRADE 10'!$B$7:$B$49,0))="P")+
 --(INDEX('TH_MLG GRADE 10'!$AA$7:$AA$49,MATCH(LEFT($A46,LEN($A46)-2),'TH_MLG GRADE 10'!$B$7:$B$49,0))="P")+
 --(INDEX('TH_MLG GRADE 10'!$AG$7:$AG$49,MATCH(LEFT($A46,LEN($A46)-2),'TH_MLG GRADE 10'!$B$7:$B$49,0))="P")+
 --(INDEX('TH_MLG GRADE 10'!$AM$7:$AM$49,MATCH(LEFT($A46,LEN($A46)-2),'TH_MLG GRADE 10'!$B$7:$B$49,0))="P")+
 --(INDEX('TH_MLG GRADE 10'!$AY$7:$AY$49,MATCH(LEFT($A46,LEN($A46)-2),'TH_MLG GRADE 10'!$B$7:$B$49,0))="P")+
 --(INDEX('TH_MLG GRADE 10'!$BE$7:$BE$49,MATCH(LEFT($A46,LEN($A46)-2),'TH_MLG GRADE 10'!$B$7:$B$49,0))="P")+
 --(INDEX('TH_MLG GRADE 10'!#REF!,MATCH(LEFT($A46,LEN($A46)-2),'TH_MLG GRADE 10'!$B$7:$B$49,0))="P")+
 --(INDEX('TH_MLG GRADE 10'!#REF!,MATCH(LEFT($A46,LEN($A46)-2),'TH_MLG GRADE 10'!$B$7:$B$49,0))="P"),
0)</f>
        <v>0</v>
      </c>
      <c r="D46" s="24" t="b">
        <f ca="1">IF(IF(_xlfn.XLOOKUP(LEFT(A46,LEN(A46)-2),'TH_MLG GRADE 10'!$B$7:$B$49,'TH_MLG GRADE 10'!$BK$7:$BK$49,"",0,1)=0,"",_xlfn.XLOOKUP(LEFT(A46,LEN(A46)-2),'TH_MLG GRADE 10'!$B$7:$B$49,'TH_MLG GRADE 10'!$BK$7:$BK$49,"",0,1))&lt;=TODAY(),TRUE,FALSE)</f>
        <v>1</v>
      </c>
      <c r="E46" s="25">
        <f t="shared" ca="1" si="0"/>
        <v>0</v>
      </c>
      <c r="F46" t="s">
        <v>250</v>
      </c>
      <c r="G46">
        <v>3</v>
      </c>
      <c r="H46">
        <f>IFERROR(
 --(INDEX('PW_MLG GRADE 10'!$D$7:$D$31,MATCH(LEFT($A46,LEN($A46)-2),'PW_MLG GRADE 10'!$C$7:$C$31,0))="P")+
 --(INDEX('PW_MLG GRADE 10'!$J$7:$J$31,MATCH(LEFT($A46,LEN($A46)-2),'PW_MLG GRADE 10'!$C$7:$C$31,0))="P")+
 --(INDEX('PW_MLG GRADE 10'!$P$7:$P$31,MATCH(LEFT($A46,LEN($A46)-2),'PW_MLG GRADE 10'!$C$7:$C$31,0))="P")+
 --(INDEX('PW_MLG GRADE 10'!$AB$7:$AB$31,MATCH(LEFT($A46,LEN($A46)-2),'PW_MLG GRADE 10'!$C$7:$C$31,0))="P")+
 --(INDEX('PW_MLG GRADE 10'!$AH$7:$AH$31,MATCH(LEFT($A46,LEN($A46)-2),'PW_MLG GRADE 10'!$C$7:$C$31,0))="P")+
 --(INDEX('PW_MLG GRADE 10'!$AN$7:$AN$31,MATCH(LEFT($A46,LEN($A46)-2),'PW_MLG GRADE 10'!$C$7:$C$31,0))="P")+
 --(INDEX('PW_MLG GRADE 10'!$AZ$7:$AZ$31,MATCH(LEFT($A46,LEN($A46)-2),'PW_MLG GRADE 10'!$C$7:$C$31,0))="P")+
 --(INDEX('PW_MLG GRADE 10'!$BF$7:$BF$31,MATCH(LEFT($A46,LEN($A46)-2),'PW_MLG GRADE 10'!$C$7:$C$31,0))="P")+
 --(INDEX('PW_MLG GRADE 10'!#REF!,MATCH(LEFT($A46,LEN($A46)-2),'PW_MLG GRADE 10'!$C$7:$C$31,0))="P")+
 --(INDEX('PW_MLG GRADE 10'!#REF!,MATCH(LEFT($A46,LEN($A46)-2),'PW_MLG GRADE 10'!$C$7:$C$31,0))="P"),
0)</f>
        <v>0</v>
      </c>
      <c r="I46" t="e">
        <f ca="1">IF(IF(_xlfn.XLOOKUP(LEFT(F46,LEN(F46)-2),'PW_MLG GRADE 10'!$B$7:$B$31,'PW_MLG GRADE 10'!#REF!,"",0,1)=0,"",_xlfn.XLOOKUP(LEFT(F46,LEN(F46)-2),'PW_MLG GRADE 10'!$B$7:$B$31,'PW_MLG GRADE 10'!#REF!,"",0,1))&lt;=TODAY(),TRUE,FALSE)</f>
        <v>#REF!</v>
      </c>
      <c r="J46">
        <f t="shared" ca="1" si="1"/>
        <v>0</v>
      </c>
    </row>
    <row r="47" spans="1:10">
      <c r="A47" s="24" t="s">
        <v>251</v>
      </c>
      <c r="B47">
        <v>3</v>
      </c>
      <c r="C47">
        <f>IFERROR(
 --(INDEX('TH_MLG GRADE 10'!$C$7:$C$49,MATCH(LEFT($A47,LEN($A47)-2),'TH_MLG GRADE 10'!$B$7:$B$49,0))="P")+
 --(INDEX('TH_MLG GRADE 10'!$I$7:$I$49,MATCH(LEFT($A47,LEN($A47)-2),'TH_MLG GRADE 10'!$B$7:$B$49,0))="P")+
 --(INDEX('TH_MLG GRADE 10'!$O$7:$O$49,MATCH(LEFT($A47,LEN($A47)-2),'TH_MLG GRADE 10'!$B$7:$B$49,0))="P")+
 --(INDEX('TH_MLG GRADE 10'!$AA$7:$AA$49,MATCH(LEFT($A47,LEN($A47)-2),'TH_MLG GRADE 10'!$B$7:$B$49,0))="P")+
 --(INDEX('TH_MLG GRADE 10'!$AG$7:$AG$49,MATCH(LEFT($A47,LEN($A47)-2),'TH_MLG GRADE 10'!$B$7:$B$49,0))="P")+
 --(INDEX('TH_MLG GRADE 10'!$AM$7:$AM$49,MATCH(LEFT($A47,LEN($A47)-2),'TH_MLG GRADE 10'!$B$7:$B$49,0))="P")+
 --(INDEX('TH_MLG GRADE 10'!$AY$7:$AY$49,MATCH(LEFT($A47,LEN($A47)-2),'TH_MLG GRADE 10'!$B$7:$B$49,0))="P")+
 --(INDEX('TH_MLG GRADE 10'!$BE$7:$BE$49,MATCH(LEFT($A47,LEN($A47)-2),'TH_MLG GRADE 10'!$B$7:$B$49,0))="P")+
 --(INDEX('TH_MLG GRADE 10'!#REF!,MATCH(LEFT($A47,LEN($A47)-2),'TH_MLG GRADE 10'!$B$7:$B$49,0))="P")+
 --(INDEX('TH_MLG GRADE 10'!#REF!,MATCH(LEFT($A47,LEN($A47)-2),'TH_MLG GRADE 10'!$B$7:$B$49,0))="P"),
0)</f>
        <v>0</v>
      </c>
      <c r="D47" s="24" t="b">
        <f ca="1">IF(IF(_xlfn.XLOOKUP(LEFT(A47,LEN(A47)-2),'TH_MLG GRADE 10'!$B$7:$B$49,'TH_MLG GRADE 10'!$BK$7:$BK$49,"",0,1)=0,"",_xlfn.XLOOKUP(LEFT(A47,LEN(A47)-2),'TH_MLG GRADE 10'!$B$7:$B$49,'TH_MLG GRADE 10'!$BK$7:$BK$49,"",0,1))&lt;=TODAY(),TRUE,FALSE)</f>
        <v>1</v>
      </c>
      <c r="E47" s="25">
        <f t="shared" ca="1" si="0"/>
        <v>0</v>
      </c>
      <c r="F47" t="s">
        <v>251</v>
      </c>
      <c r="G47">
        <v>3</v>
      </c>
      <c r="H47">
        <f>IFERROR(
 --(INDEX('PW_MLG GRADE 10'!$D$7:$D$31,MATCH(LEFT($A47,LEN($A47)-2),'PW_MLG GRADE 10'!$C$7:$C$31,0))="P")+
 --(INDEX('PW_MLG GRADE 10'!$J$7:$J$31,MATCH(LEFT($A47,LEN($A47)-2),'PW_MLG GRADE 10'!$C$7:$C$31,0))="P")+
 --(INDEX('PW_MLG GRADE 10'!$P$7:$P$31,MATCH(LEFT($A47,LEN($A47)-2),'PW_MLG GRADE 10'!$C$7:$C$31,0))="P")+
 --(INDEX('PW_MLG GRADE 10'!$AB$7:$AB$31,MATCH(LEFT($A47,LEN($A47)-2),'PW_MLG GRADE 10'!$C$7:$C$31,0))="P")+
 --(INDEX('PW_MLG GRADE 10'!$AH$7:$AH$31,MATCH(LEFT($A47,LEN($A47)-2),'PW_MLG GRADE 10'!$C$7:$C$31,0))="P")+
 --(INDEX('PW_MLG GRADE 10'!$AN$7:$AN$31,MATCH(LEFT($A47,LEN($A47)-2),'PW_MLG GRADE 10'!$C$7:$C$31,0))="P")+
 --(INDEX('PW_MLG GRADE 10'!$AZ$7:$AZ$31,MATCH(LEFT($A47,LEN($A47)-2),'PW_MLG GRADE 10'!$C$7:$C$31,0))="P")+
 --(INDEX('PW_MLG GRADE 10'!$BF$7:$BF$31,MATCH(LEFT($A47,LEN($A47)-2),'PW_MLG GRADE 10'!$C$7:$C$31,0))="P")+
 --(INDEX('PW_MLG GRADE 10'!#REF!,MATCH(LEFT($A47,LEN($A47)-2),'PW_MLG GRADE 10'!$C$7:$C$31,0))="P")+
 --(INDEX('PW_MLG GRADE 10'!#REF!,MATCH(LEFT($A47,LEN($A47)-2),'PW_MLG GRADE 10'!$C$7:$C$31,0))="P"),
0)</f>
        <v>0</v>
      </c>
      <c r="I47" t="e">
        <f ca="1">IF(IF(_xlfn.XLOOKUP(LEFT(F47,LEN(F47)-2),'PW_MLG GRADE 10'!$B$7:$B$31,'PW_MLG GRADE 10'!#REF!,"",0,1)=0,"",_xlfn.XLOOKUP(LEFT(F47,LEN(F47)-2),'PW_MLG GRADE 10'!$B$7:$B$31,'PW_MLG GRADE 10'!#REF!,"",0,1))&lt;=TODAY(),TRUE,FALSE)</f>
        <v>#REF!</v>
      </c>
      <c r="J47">
        <f t="shared" ca="1" si="1"/>
        <v>0</v>
      </c>
    </row>
    <row r="48" spans="1:10">
      <c r="A48" s="24" t="s">
        <v>252</v>
      </c>
      <c r="B48">
        <v>3</v>
      </c>
      <c r="C48">
        <f>IFERROR(
 --(INDEX('TH_MLG GRADE 10'!$D$7:$D$49,MATCH(LEFT($A48,LEN($A48)-2),'TH_MLG GRADE 10'!$B$7:$B$49,0))="P")+
 --(INDEX('TH_MLG GRADE 10'!$J$7:$J$49,MATCH(LEFT($A48,LEN($A48)-2),'TH_MLG GRADE 10'!$B$7:$B$49,0))="P")+
 --(INDEX('TH_MLG GRADE 10'!$P$7:$P$49,MATCH(LEFT($A48,LEN($A48)-2),'TH_MLG GRADE 10'!$B$7:$B$49,0))="P")+
 --(INDEX('TH_MLG GRADE 10'!$AB$7:$AB$49,MATCH(LEFT($A48,LEN($A48)-2),'TH_MLG GRADE 10'!$B$7:$B$49,0))="P")+
 --(INDEX('TH_MLG GRADE 10'!$AH$7:$AH$49,MATCH(LEFT($A48,LEN($A48)-2),'TH_MLG GRADE 10'!$B$7:$B$49,0))="P")+
 --(INDEX('TH_MLG GRADE 10'!$AN$7:$AN$49,MATCH(LEFT($A48,LEN($A48)-2),'TH_MLG GRADE 10'!$B$7:$B$49,0))="P")+
 --(INDEX('TH_MLG GRADE 10'!$AZ$7:$AZ$49,MATCH(LEFT($A48,LEN($A48)-2),'TH_MLG GRADE 10'!$B$7:$B$49,0))="P")+
 --(INDEX('TH_MLG GRADE 10'!$BF$7:$BF$49,MATCH(LEFT($A48,LEN($A48)-2),'TH_MLG GRADE 10'!$B$7:$B$49,0))="P")+
 --(INDEX('TH_MLG GRADE 10'!#REF!,MATCH(LEFT($A48,LEN($A48)-2),'TH_MLG GRADE 10'!$B$7:$B$49,0))="P")+
 --(INDEX('TH_MLG GRADE 10'!#REF!,MATCH(LEFT($A48,LEN($A48)-2),'TH_MLG GRADE 10'!$B$7:$B$49,0))="P"),
0)</f>
        <v>0</v>
      </c>
      <c r="D48" s="24" t="b">
        <f ca="1">IF(IF(_xlfn.XLOOKUP(LEFT(A48,LEN(A48)-2),'TH_MLG GRADE 10'!$B$7:$B$49,'TH_MLG GRADE 10'!$BL$7:$BL$49,"",0,1)=0,"",_xlfn.XLOOKUP(LEFT(A48,LEN(A48)-2),'TH_MLG GRADE 10'!$B$7:$B$49,'TH_MLG GRADE 10'!$BL$7:$BL$49,"",0,1))&lt;=TODAY(),TRUE,FALSE)</f>
        <v>1</v>
      </c>
      <c r="E48" s="25">
        <f t="shared" ca="1" si="0"/>
        <v>0</v>
      </c>
      <c r="F48" t="s">
        <v>252</v>
      </c>
      <c r="G48">
        <v>3</v>
      </c>
      <c r="H48">
        <f>IFERROR(
 --(INDEX('PW_MLG GRADE 10'!#REF!,MATCH(LEFT($A48,LEN($A48)-2),'PW_MLG GRADE 10'!$B$7:$B$31,0))="P")+
 --(INDEX('PW_MLG GRADE 10'!#REF!,MATCH(LEFT($A48,LEN($A48)-2),'PW_MLG GRADE 10'!$B$7:$B$31,0))="P")+
 --(INDEX('PW_MLG GRADE 10'!#REF!,MATCH(LEFT($A48,LEN($A48)-2),'PW_MLG GRADE 10'!$B$7:$B$31,0))="P")+
 --(INDEX('PW_MLG GRADE 10'!#REF!,MATCH(LEFT($A48,LEN($A48)-2),'PW_MLG GRADE 10'!$B$7:$B$31,0))="P")+
 --(INDEX('PW_MLG GRADE 10'!#REF!,MATCH(LEFT($A48,LEN($A48)-2),'PW_MLG GRADE 10'!$B$7:$B$31,0))="P")+
 --(INDEX('PW_MLG GRADE 10'!#REF!,MATCH(LEFT($A48,LEN($A48)-2),'PW_MLG GRADE 10'!$B$7:$B$31,0))="P")+
 --(INDEX('PW_MLG GRADE 10'!#REF!,MATCH(LEFT($A48,LEN($A48)-2),'PW_MLG GRADE 10'!$B$7:$B$31,0))="P")+
 --(INDEX('PW_MLG GRADE 10'!#REF!,MATCH(LEFT($A48,LEN($A48)-2),'PW_MLG GRADE 10'!$B$7:$B$31,0))="P")+
 --(INDEX('PW_MLG GRADE 10'!#REF!,MATCH(LEFT($A48,LEN($A48)-2),'PW_MLG GRADE 10'!$B$7:$B$31,0))="P")+
 --(INDEX('PW_MLG GRADE 10'!#REF!,MATCH(LEFT($A48,LEN($A48)-2),'PW_MLG GRADE 10'!$B$7:$B$31,0))="P"),
0)</f>
        <v>0</v>
      </c>
      <c r="I48" t="e">
        <f ca="1">IF(IF(_xlfn.XLOOKUP(LEFT(F48,LEN(F48)-2),'PW_MLG GRADE 10'!$B$7:$B$31,'PW_MLG GRADE 10'!#REF!,"",0,1)=0,"",_xlfn.XLOOKUP(LEFT(F48,LEN(F48)-2),'PW_MLG GRADE 10'!$B$7:$B$31,'PW_MLG GRADE 10'!#REF!,"",0,1))&lt;=TODAY(),TRUE,FALSE)</f>
        <v>#REF!</v>
      </c>
      <c r="J48">
        <f t="shared" ca="1" si="1"/>
        <v>0</v>
      </c>
    </row>
    <row r="49" spans="1:10">
      <c r="A49" s="24" t="s">
        <v>253</v>
      </c>
      <c r="B49">
        <v>3</v>
      </c>
      <c r="C49">
        <f>IFERROR(
 --(INDEX('TH_MLG GRADE 10'!$D$7:$D$49,MATCH(LEFT($A49,LEN($A49)-2),'TH_MLG GRADE 10'!$B$7:$B$49,0))="P")+
 --(INDEX('TH_MLG GRADE 10'!$J$7:$J$49,MATCH(LEFT($A49,LEN($A49)-2),'TH_MLG GRADE 10'!$B$7:$B$49,0))="P")+
 --(INDEX('TH_MLG GRADE 10'!$P$7:$P$49,MATCH(LEFT($A49,LEN($A49)-2),'TH_MLG GRADE 10'!$B$7:$B$49,0))="P")+
 --(INDEX('TH_MLG GRADE 10'!$AB$7:$AB$49,MATCH(LEFT($A49,LEN($A49)-2),'TH_MLG GRADE 10'!$B$7:$B$49,0))="P")+
 --(INDEX('TH_MLG GRADE 10'!$AH$7:$AH$49,MATCH(LEFT($A49,LEN($A49)-2),'TH_MLG GRADE 10'!$B$7:$B$49,0))="P")+
 --(INDEX('TH_MLG GRADE 10'!$AN$7:$AN$49,MATCH(LEFT($A49,LEN($A49)-2),'TH_MLG GRADE 10'!$B$7:$B$49,0))="P")+
 --(INDEX('TH_MLG GRADE 10'!$AZ$7:$AZ$49,MATCH(LEFT($A49,LEN($A49)-2),'TH_MLG GRADE 10'!$B$7:$B$49,0))="P")+
 --(INDEX('TH_MLG GRADE 10'!$BF$7:$BF$49,MATCH(LEFT($A49,LEN($A49)-2),'TH_MLG GRADE 10'!$B$7:$B$49,0))="P")+
 --(INDEX('TH_MLG GRADE 10'!#REF!,MATCH(LEFT($A49,LEN($A49)-2),'TH_MLG GRADE 10'!$B$7:$B$49,0))="P")+
 --(INDEX('TH_MLG GRADE 10'!#REF!,MATCH(LEFT($A49,LEN($A49)-2),'TH_MLG GRADE 10'!$B$7:$B$49,0))="P"),
0)</f>
        <v>0</v>
      </c>
      <c r="D49" s="24" t="b">
        <f ca="1">IF(IF(_xlfn.XLOOKUP(LEFT(A49,LEN(A49)-2),'TH_MLG GRADE 10'!$B$7:$B$49,'TH_MLG GRADE 10'!$BL$7:$BL$49,"",0,1)=0,"",_xlfn.XLOOKUP(LEFT(A49,LEN(A49)-2),'TH_MLG GRADE 10'!$B$7:$B$49,'TH_MLG GRADE 10'!$BL$7:$BL$49,"",0,1))&lt;=TODAY(),TRUE,FALSE)</f>
        <v>1</v>
      </c>
      <c r="E49" s="25">
        <f t="shared" ca="1" si="0"/>
        <v>0</v>
      </c>
      <c r="F49" t="s">
        <v>253</v>
      </c>
      <c r="G49">
        <v>3</v>
      </c>
      <c r="H49">
        <f>IFERROR(
 --(INDEX('PW_MLG GRADE 10'!#REF!,MATCH(LEFT($A49,LEN($A49)-2),'PW_MLG GRADE 10'!$B$7:$B$31,0))="P")+
 --(INDEX('PW_MLG GRADE 10'!#REF!,MATCH(LEFT($A49,LEN($A49)-2),'PW_MLG GRADE 10'!$B$7:$B$31,0))="P")+
 --(INDEX('PW_MLG GRADE 10'!#REF!,MATCH(LEFT($A49,LEN($A49)-2),'PW_MLG GRADE 10'!$B$7:$B$31,0))="P")+
 --(INDEX('PW_MLG GRADE 10'!#REF!,MATCH(LEFT($A49,LEN($A49)-2),'PW_MLG GRADE 10'!$B$7:$B$31,0))="P")+
 --(INDEX('PW_MLG GRADE 10'!#REF!,MATCH(LEFT($A49,LEN($A49)-2),'PW_MLG GRADE 10'!$B$7:$B$31,0))="P")+
 --(INDEX('PW_MLG GRADE 10'!#REF!,MATCH(LEFT($A49,LEN($A49)-2),'PW_MLG GRADE 10'!$B$7:$B$31,0))="P")+
 --(INDEX('PW_MLG GRADE 10'!#REF!,MATCH(LEFT($A49,LEN($A49)-2),'PW_MLG GRADE 10'!$B$7:$B$31,0))="P")+
 --(INDEX('PW_MLG GRADE 10'!#REF!,MATCH(LEFT($A49,LEN($A49)-2),'PW_MLG GRADE 10'!$B$7:$B$31,0))="P")+
 --(INDEX('PW_MLG GRADE 10'!#REF!,MATCH(LEFT($A49,LEN($A49)-2),'PW_MLG GRADE 10'!$B$7:$B$31,0))="P")+
 --(INDEX('PW_MLG GRADE 10'!#REF!,MATCH(LEFT($A49,LEN($A49)-2),'PW_MLG GRADE 10'!$B$7:$B$31,0))="P"),
0)</f>
        <v>0</v>
      </c>
      <c r="I49" t="e">
        <f ca="1">IF(IF(_xlfn.XLOOKUP(LEFT(F49,LEN(F49)-2),'PW_MLG GRADE 10'!$B$7:$B$31,'PW_MLG GRADE 10'!#REF!,"",0,1)=0,"",_xlfn.XLOOKUP(LEFT(F49,LEN(F49)-2),'PW_MLG GRADE 10'!$B$7:$B$31,'PW_MLG GRADE 10'!#REF!,"",0,1))&lt;=TODAY(),TRUE,FALSE)</f>
        <v>#REF!</v>
      </c>
      <c r="J49">
        <f t="shared" ca="1" si="1"/>
        <v>0</v>
      </c>
    </row>
    <row r="50" spans="1:10">
      <c r="A50" s="24" t="s">
        <v>254</v>
      </c>
      <c r="B50">
        <v>3</v>
      </c>
      <c r="C50">
        <f>IFERROR(
 --(INDEX('TH_MLG GRADE 10'!$D$7:$D$49,MATCH(LEFT($A50,LEN($A50)-2),'TH_MLG GRADE 10'!$B$7:$B$49,0))="P")+
 --(INDEX('TH_MLG GRADE 10'!$J$7:$J$49,MATCH(LEFT($A50,LEN($A50)-2),'TH_MLG GRADE 10'!$B$7:$B$49,0))="P")+
 --(INDEX('TH_MLG GRADE 10'!$P$7:$P$49,MATCH(LEFT($A50,LEN($A50)-2),'TH_MLG GRADE 10'!$B$7:$B$49,0))="P")+
 --(INDEX('TH_MLG GRADE 10'!$AB$7:$AB$49,MATCH(LEFT($A50,LEN($A50)-2),'TH_MLG GRADE 10'!$B$7:$B$49,0))="P")+
 --(INDEX('TH_MLG GRADE 10'!$AH$7:$AH$49,MATCH(LEFT($A50,LEN($A50)-2),'TH_MLG GRADE 10'!$B$7:$B$49,0))="P")+
 --(INDEX('TH_MLG GRADE 10'!$AN$7:$AN$49,MATCH(LEFT($A50,LEN($A50)-2),'TH_MLG GRADE 10'!$B$7:$B$49,0))="P")+
 --(INDEX('TH_MLG GRADE 10'!$AZ$7:$AZ$49,MATCH(LEFT($A50,LEN($A50)-2),'TH_MLG GRADE 10'!$B$7:$B$49,0))="P")+
 --(INDEX('TH_MLG GRADE 10'!$BF$7:$BF$49,MATCH(LEFT($A50,LEN($A50)-2),'TH_MLG GRADE 10'!$B$7:$B$49,0))="P")+
 --(INDEX('TH_MLG GRADE 10'!#REF!,MATCH(LEFT($A50,LEN($A50)-2),'TH_MLG GRADE 10'!$B$7:$B$49,0))="P")+
 --(INDEX('TH_MLG GRADE 10'!#REF!,MATCH(LEFT($A50,LEN($A50)-2),'TH_MLG GRADE 10'!$B$7:$B$49,0))="P"),
0)</f>
        <v>0</v>
      </c>
      <c r="D50" s="24" t="b">
        <f ca="1">IF(IF(_xlfn.XLOOKUP(LEFT(A50,LEN(A50)-2),'TH_MLG GRADE 10'!$B$7:$B$49,'TH_MLG GRADE 10'!$BL$7:$BL$49,"",0,1)=0,"",_xlfn.XLOOKUP(LEFT(A50,LEN(A50)-2),'TH_MLG GRADE 10'!$B$7:$B$49,'TH_MLG GRADE 10'!$BL$7:$BL$49,"",0,1))&lt;=TODAY(),TRUE,FALSE)</f>
        <v>1</v>
      </c>
      <c r="E50" s="25">
        <f t="shared" ca="1" si="0"/>
        <v>0</v>
      </c>
      <c r="F50" t="s">
        <v>254</v>
      </c>
      <c r="G50">
        <v>3</v>
      </c>
      <c r="H50">
        <f>IFERROR(
 --(INDEX('PW_MLG GRADE 10'!#REF!,MATCH(LEFT($A50,LEN($A50)-2),'PW_MLG GRADE 10'!$B$7:$B$31,0))="P")+
 --(INDEX('PW_MLG GRADE 10'!#REF!,MATCH(LEFT($A50,LEN($A50)-2),'PW_MLG GRADE 10'!$B$7:$B$31,0))="P")+
 --(INDEX('PW_MLG GRADE 10'!#REF!,MATCH(LEFT($A50,LEN($A50)-2),'PW_MLG GRADE 10'!$B$7:$B$31,0))="P")+
 --(INDEX('PW_MLG GRADE 10'!#REF!,MATCH(LEFT($A50,LEN($A50)-2),'PW_MLG GRADE 10'!$B$7:$B$31,0))="P")+
 --(INDEX('PW_MLG GRADE 10'!#REF!,MATCH(LEFT($A50,LEN($A50)-2),'PW_MLG GRADE 10'!$B$7:$B$31,0))="P")+
 --(INDEX('PW_MLG GRADE 10'!#REF!,MATCH(LEFT($A50,LEN($A50)-2),'PW_MLG GRADE 10'!$B$7:$B$31,0))="P")+
 --(INDEX('PW_MLG GRADE 10'!#REF!,MATCH(LEFT($A50,LEN($A50)-2),'PW_MLG GRADE 10'!$B$7:$B$31,0))="P")+
 --(INDEX('PW_MLG GRADE 10'!#REF!,MATCH(LEFT($A50,LEN($A50)-2),'PW_MLG GRADE 10'!$B$7:$B$31,0))="P")+
 --(INDEX('PW_MLG GRADE 10'!#REF!,MATCH(LEFT($A50,LEN($A50)-2),'PW_MLG GRADE 10'!$B$7:$B$31,0))="P")+
 --(INDEX('PW_MLG GRADE 10'!#REF!,MATCH(LEFT($A50,LEN($A50)-2),'PW_MLG GRADE 10'!$B$7:$B$31,0))="P"),
0)</f>
        <v>0</v>
      </c>
      <c r="I50" t="e">
        <f ca="1">IF(IF(_xlfn.XLOOKUP(LEFT(F50,LEN(F50)-2),'PW_MLG GRADE 10'!$B$7:$B$31,'PW_MLG GRADE 10'!#REF!,"",0,1)=0,"",_xlfn.XLOOKUP(LEFT(F50,LEN(F50)-2),'PW_MLG GRADE 10'!$B$7:$B$31,'PW_MLG GRADE 10'!#REF!,"",0,1))&lt;=TODAY(),TRUE,FALSE)</f>
        <v>#REF!</v>
      </c>
      <c r="J50">
        <f t="shared" ca="1" si="1"/>
        <v>0</v>
      </c>
    </row>
    <row r="51" spans="1:10">
      <c r="A51" s="24" t="s">
        <v>255</v>
      </c>
      <c r="B51">
        <v>3</v>
      </c>
      <c r="C51">
        <f>IFERROR(
 --(INDEX('TH_MLG GRADE 10'!$D$7:$D$49,MATCH(LEFT($A51,LEN($A51)-2),'TH_MLG GRADE 10'!$B$7:$B$49,0))="P")+
 --(INDEX('TH_MLG GRADE 10'!$J$7:$J$49,MATCH(LEFT($A51,LEN($A51)-2),'TH_MLG GRADE 10'!$B$7:$B$49,0))="P")+
 --(INDEX('TH_MLG GRADE 10'!$P$7:$P$49,MATCH(LEFT($A51,LEN($A51)-2),'TH_MLG GRADE 10'!$B$7:$B$49,0))="P")+
 --(INDEX('TH_MLG GRADE 10'!$AB$7:$AB$49,MATCH(LEFT($A51,LEN($A51)-2),'TH_MLG GRADE 10'!$B$7:$B$49,0))="P")+
 --(INDEX('TH_MLG GRADE 10'!$AH$7:$AH$49,MATCH(LEFT($A51,LEN($A51)-2),'TH_MLG GRADE 10'!$B$7:$B$49,0))="P")+
 --(INDEX('TH_MLG GRADE 10'!$AN$7:$AN$49,MATCH(LEFT($A51,LEN($A51)-2),'TH_MLG GRADE 10'!$B$7:$B$49,0))="P")+
 --(INDEX('TH_MLG GRADE 10'!$AZ$7:$AZ$49,MATCH(LEFT($A51,LEN($A51)-2),'TH_MLG GRADE 10'!$B$7:$B$49,0))="P")+
 --(INDEX('TH_MLG GRADE 10'!$BF$7:$BF$49,MATCH(LEFT($A51,LEN($A51)-2),'TH_MLG GRADE 10'!$B$7:$B$49,0))="P")+
 --(INDEX('TH_MLG GRADE 10'!#REF!,MATCH(LEFT($A51,LEN($A51)-2),'TH_MLG GRADE 10'!$B$7:$B$49,0))="P")+
 --(INDEX('TH_MLG GRADE 10'!#REF!,MATCH(LEFT($A51,LEN($A51)-2),'TH_MLG GRADE 10'!$B$7:$B$49,0))="P"),
0)</f>
        <v>0</v>
      </c>
      <c r="D51" s="24" t="b">
        <f ca="1">IF(IF(_xlfn.XLOOKUP(LEFT(A51,LEN(A51)-2),'TH_MLG GRADE 10'!$B$7:$B$49,'TH_MLG GRADE 10'!$BL$7:$BL$49,"",0,1)=0,"",_xlfn.XLOOKUP(LEFT(A51,LEN(A51)-2),'TH_MLG GRADE 10'!$B$7:$B$49,'TH_MLG GRADE 10'!$BL$7:$BL$49,"",0,1))&lt;=TODAY(),TRUE,FALSE)</f>
        <v>1</v>
      </c>
      <c r="E51" s="25">
        <f t="shared" ca="1" si="0"/>
        <v>0</v>
      </c>
      <c r="F51" t="s">
        <v>255</v>
      </c>
      <c r="G51">
        <v>3</v>
      </c>
      <c r="H51">
        <f>IFERROR(
 --(INDEX('PW_MLG GRADE 10'!#REF!,MATCH(LEFT($A51,LEN($A51)-2),'PW_MLG GRADE 10'!$B$7:$B$31,0))="P")+
 --(INDEX('PW_MLG GRADE 10'!#REF!,MATCH(LEFT($A51,LEN($A51)-2),'PW_MLG GRADE 10'!$B$7:$B$31,0))="P")+
 --(INDEX('PW_MLG GRADE 10'!#REF!,MATCH(LEFT($A51,LEN($A51)-2),'PW_MLG GRADE 10'!$B$7:$B$31,0))="P")+
 --(INDEX('PW_MLG GRADE 10'!#REF!,MATCH(LEFT($A51,LEN($A51)-2),'PW_MLG GRADE 10'!$B$7:$B$31,0))="P")+
 --(INDEX('PW_MLG GRADE 10'!#REF!,MATCH(LEFT($A51,LEN($A51)-2),'PW_MLG GRADE 10'!$B$7:$B$31,0))="P")+
 --(INDEX('PW_MLG GRADE 10'!#REF!,MATCH(LEFT($A51,LEN($A51)-2),'PW_MLG GRADE 10'!$B$7:$B$31,0))="P")+
 --(INDEX('PW_MLG GRADE 10'!#REF!,MATCH(LEFT($A51,LEN($A51)-2),'PW_MLG GRADE 10'!$B$7:$B$31,0))="P")+
 --(INDEX('PW_MLG GRADE 10'!#REF!,MATCH(LEFT($A51,LEN($A51)-2),'PW_MLG GRADE 10'!$B$7:$B$31,0))="P")+
 --(INDEX('PW_MLG GRADE 10'!#REF!,MATCH(LEFT($A51,LEN($A51)-2),'PW_MLG GRADE 10'!$B$7:$B$31,0))="P")+
 --(INDEX('PW_MLG GRADE 10'!#REF!,MATCH(LEFT($A51,LEN($A51)-2),'PW_MLG GRADE 10'!$B$7:$B$31,0))="P"),
0)</f>
        <v>0</v>
      </c>
      <c r="I51" t="e">
        <f ca="1">IF(IF(_xlfn.XLOOKUP(LEFT(F51,LEN(F51)-2),'PW_MLG GRADE 10'!$B$7:$B$31,'PW_MLG GRADE 10'!#REF!,"",0,1)=0,"",_xlfn.XLOOKUP(LEFT(F51,LEN(F51)-2),'PW_MLG GRADE 10'!$B$7:$B$31,'PW_MLG GRADE 10'!#REF!,"",0,1))&lt;=TODAY(),TRUE,FALSE)</f>
        <v>#REF!</v>
      </c>
      <c r="J51">
        <f t="shared" ca="1" si="1"/>
        <v>0</v>
      </c>
    </row>
    <row r="52" spans="1:10">
      <c r="A52" s="24" t="s">
        <v>256</v>
      </c>
      <c r="B52">
        <v>3</v>
      </c>
      <c r="C52">
        <f>IFERROR(
 --(INDEX('TH_MLG GRADE 10'!$D$7:$D$49,MATCH(LEFT($A52,LEN($A52)-2),'TH_MLG GRADE 10'!$B$7:$B$49,0))="P")+
 --(INDEX('TH_MLG GRADE 10'!$J$7:$J$49,MATCH(LEFT($A52,LEN($A52)-2),'TH_MLG GRADE 10'!$B$7:$B$49,0))="P")+
 --(INDEX('TH_MLG GRADE 10'!$P$7:$P$49,MATCH(LEFT($A52,LEN($A52)-2),'TH_MLG GRADE 10'!$B$7:$B$49,0))="P")+
 --(INDEX('TH_MLG GRADE 10'!$AB$7:$AB$49,MATCH(LEFT($A52,LEN($A52)-2),'TH_MLG GRADE 10'!$B$7:$B$49,0))="P")+
 --(INDEX('TH_MLG GRADE 10'!$AH$7:$AH$49,MATCH(LEFT($A52,LEN($A52)-2),'TH_MLG GRADE 10'!$B$7:$B$49,0))="P")+
 --(INDEX('TH_MLG GRADE 10'!$AN$7:$AN$49,MATCH(LEFT($A52,LEN($A52)-2),'TH_MLG GRADE 10'!$B$7:$B$49,0))="P")+
 --(INDEX('TH_MLG GRADE 10'!$AZ$7:$AZ$49,MATCH(LEFT($A52,LEN($A52)-2),'TH_MLG GRADE 10'!$B$7:$B$49,0))="P")+
 --(INDEX('TH_MLG GRADE 10'!$BF$7:$BF$49,MATCH(LEFT($A52,LEN($A52)-2),'TH_MLG GRADE 10'!$B$7:$B$49,0))="P")+
 --(INDEX('TH_MLG GRADE 10'!#REF!,MATCH(LEFT($A52,LEN($A52)-2),'TH_MLG GRADE 10'!$B$7:$B$49,0))="P")+
 --(INDEX('TH_MLG GRADE 10'!#REF!,MATCH(LEFT($A52,LEN($A52)-2),'TH_MLG GRADE 10'!$B$7:$B$49,0))="P"),
0)</f>
        <v>0</v>
      </c>
      <c r="D52" s="24" t="b">
        <f ca="1">IF(IF(_xlfn.XLOOKUP(LEFT(A52,LEN(A52)-2),'TH_MLG GRADE 10'!$B$7:$B$49,'TH_MLG GRADE 10'!$BL$7:$BL$49,"",0,1)=0,"",_xlfn.XLOOKUP(LEFT(A52,LEN(A52)-2),'TH_MLG GRADE 10'!$B$7:$B$49,'TH_MLG GRADE 10'!$BL$7:$BL$49,"",0,1))&lt;=TODAY(),TRUE,FALSE)</f>
        <v>1</v>
      </c>
      <c r="E52" s="25">
        <f t="shared" ca="1" si="0"/>
        <v>0</v>
      </c>
      <c r="F52" t="s">
        <v>256</v>
      </c>
      <c r="G52">
        <v>3</v>
      </c>
      <c r="H52">
        <f>IFERROR(
 --(INDEX('PW_MLG GRADE 10'!#REF!,MATCH(LEFT($A52,LEN($A52)-2),'PW_MLG GRADE 10'!$B$7:$B$31,0))="P")+
 --(INDEX('PW_MLG GRADE 10'!#REF!,MATCH(LEFT($A52,LEN($A52)-2),'PW_MLG GRADE 10'!$B$7:$B$31,0))="P")+
 --(INDEX('PW_MLG GRADE 10'!#REF!,MATCH(LEFT($A52,LEN($A52)-2),'PW_MLG GRADE 10'!$B$7:$B$31,0))="P")+
 --(INDEX('PW_MLG GRADE 10'!#REF!,MATCH(LEFT($A52,LEN($A52)-2),'PW_MLG GRADE 10'!$B$7:$B$31,0))="P")+
 --(INDEX('PW_MLG GRADE 10'!#REF!,MATCH(LEFT($A52,LEN($A52)-2),'PW_MLG GRADE 10'!$B$7:$B$31,0))="P")+
 --(INDEX('PW_MLG GRADE 10'!#REF!,MATCH(LEFT($A52,LEN($A52)-2),'PW_MLG GRADE 10'!$B$7:$B$31,0))="P")+
 --(INDEX('PW_MLG GRADE 10'!#REF!,MATCH(LEFT($A52,LEN($A52)-2),'PW_MLG GRADE 10'!$B$7:$B$31,0))="P")+
 --(INDEX('PW_MLG GRADE 10'!#REF!,MATCH(LEFT($A52,LEN($A52)-2),'PW_MLG GRADE 10'!$B$7:$B$31,0))="P")+
 --(INDEX('PW_MLG GRADE 10'!#REF!,MATCH(LEFT($A52,LEN($A52)-2),'PW_MLG GRADE 10'!$B$7:$B$31,0))="P")+
 --(INDEX('PW_MLG GRADE 10'!#REF!,MATCH(LEFT($A52,LEN($A52)-2),'PW_MLG GRADE 10'!$B$7:$B$31,0))="P"),
0)</f>
        <v>0</v>
      </c>
      <c r="I52" t="e">
        <f ca="1">IF(IF(_xlfn.XLOOKUP(LEFT(F52,LEN(F52)-2),'PW_MLG GRADE 10'!$B$7:$B$31,'PW_MLG GRADE 10'!#REF!,"",0,1)=0,"",_xlfn.XLOOKUP(LEFT(F52,LEN(F52)-2),'PW_MLG GRADE 10'!$B$7:$B$31,'PW_MLG GRADE 10'!#REF!,"",0,1))&lt;=TODAY(),TRUE,FALSE)</f>
        <v>#REF!</v>
      </c>
      <c r="J52">
        <f t="shared" ca="1" si="1"/>
        <v>0</v>
      </c>
    </row>
    <row r="53" spans="1:10">
      <c r="A53" s="24" t="s">
        <v>257</v>
      </c>
      <c r="B53">
        <v>3</v>
      </c>
      <c r="C53">
        <f>IFERROR(
 --(INDEX('TH_MLG GRADE 10'!$D$7:$D$49,MATCH(LEFT($A53,LEN($A53)-2),'TH_MLG GRADE 10'!$B$7:$B$49,0))="P")+
 --(INDEX('TH_MLG GRADE 10'!$J$7:$J$49,MATCH(LEFT($A53,LEN($A53)-2),'TH_MLG GRADE 10'!$B$7:$B$49,0))="P")+
 --(INDEX('TH_MLG GRADE 10'!$P$7:$P$49,MATCH(LEFT($A53,LEN($A53)-2),'TH_MLG GRADE 10'!$B$7:$B$49,0))="P")+
 --(INDEX('TH_MLG GRADE 10'!$AB$7:$AB$49,MATCH(LEFT($A53,LEN($A53)-2),'TH_MLG GRADE 10'!$B$7:$B$49,0))="P")+
 --(INDEX('TH_MLG GRADE 10'!$AH$7:$AH$49,MATCH(LEFT($A53,LEN($A53)-2),'TH_MLG GRADE 10'!$B$7:$B$49,0))="P")+
 --(INDEX('TH_MLG GRADE 10'!$AN$7:$AN$49,MATCH(LEFT($A53,LEN($A53)-2),'TH_MLG GRADE 10'!$B$7:$B$49,0))="P")+
 --(INDEX('TH_MLG GRADE 10'!$AZ$7:$AZ$49,MATCH(LEFT($A53,LEN($A53)-2),'TH_MLG GRADE 10'!$B$7:$B$49,0))="P")+
 --(INDEX('TH_MLG GRADE 10'!$BF$7:$BF$49,MATCH(LEFT($A53,LEN($A53)-2),'TH_MLG GRADE 10'!$B$7:$B$49,0))="P")+
 --(INDEX('TH_MLG GRADE 10'!#REF!,MATCH(LEFT($A53,LEN($A53)-2),'TH_MLG GRADE 10'!$B$7:$B$49,0))="P")+
 --(INDEX('TH_MLG GRADE 10'!#REF!,MATCH(LEFT($A53,LEN($A53)-2),'TH_MLG GRADE 10'!$B$7:$B$49,0))="P"),
0)</f>
        <v>0</v>
      </c>
      <c r="D53" s="24" t="b">
        <f ca="1">IF(IF(_xlfn.XLOOKUP(LEFT(A53,LEN(A53)-2),'TH_MLG GRADE 10'!$B$7:$B$49,'TH_MLG GRADE 10'!$BL$7:$BL$49,"",0,1)=0,"",_xlfn.XLOOKUP(LEFT(A53,LEN(A53)-2),'TH_MLG GRADE 10'!$B$7:$B$49,'TH_MLG GRADE 10'!$BL$7:$BL$49,"",0,1))&lt;=TODAY(),TRUE,FALSE)</f>
        <v>1</v>
      </c>
      <c r="E53" s="25">
        <f t="shared" ca="1" si="0"/>
        <v>0</v>
      </c>
      <c r="F53" t="s">
        <v>257</v>
      </c>
      <c r="G53">
        <v>3</v>
      </c>
      <c r="H53">
        <f>IFERROR(
 --(INDEX('PW_MLG GRADE 10'!#REF!,MATCH(LEFT($A53,LEN($A53)-2),'PW_MLG GRADE 10'!$B$7:$B$31,0))="P")+
 --(INDEX('PW_MLG GRADE 10'!#REF!,MATCH(LEFT($A53,LEN($A53)-2),'PW_MLG GRADE 10'!$B$7:$B$31,0))="P")+
 --(INDEX('PW_MLG GRADE 10'!#REF!,MATCH(LEFT($A53,LEN($A53)-2),'PW_MLG GRADE 10'!$B$7:$B$31,0))="P")+
 --(INDEX('PW_MLG GRADE 10'!#REF!,MATCH(LEFT($A53,LEN($A53)-2),'PW_MLG GRADE 10'!$B$7:$B$31,0))="P")+
 --(INDEX('PW_MLG GRADE 10'!#REF!,MATCH(LEFT($A53,LEN($A53)-2),'PW_MLG GRADE 10'!$B$7:$B$31,0))="P")+
 --(INDEX('PW_MLG GRADE 10'!#REF!,MATCH(LEFT($A53,LEN($A53)-2),'PW_MLG GRADE 10'!$B$7:$B$31,0))="P")+
 --(INDEX('PW_MLG GRADE 10'!#REF!,MATCH(LEFT($A53,LEN($A53)-2),'PW_MLG GRADE 10'!$B$7:$B$31,0))="P")+
 --(INDEX('PW_MLG GRADE 10'!#REF!,MATCH(LEFT($A53,LEN($A53)-2),'PW_MLG GRADE 10'!$B$7:$B$31,0))="P")+
 --(INDEX('PW_MLG GRADE 10'!#REF!,MATCH(LEFT($A53,LEN($A53)-2),'PW_MLG GRADE 10'!$B$7:$B$31,0))="P")+
 --(INDEX('PW_MLG GRADE 10'!#REF!,MATCH(LEFT($A53,LEN($A53)-2),'PW_MLG GRADE 10'!$B$7:$B$31,0))="P"),
0)</f>
        <v>0</v>
      </c>
      <c r="I53" t="e">
        <f ca="1">IF(IF(_xlfn.XLOOKUP(LEFT(F53,LEN(F53)-2),'PW_MLG GRADE 10'!$B$7:$B$31,'PW_MLG GRADE 10'!#REF!,"",0,1)=0,"",_xlfn.XLOOKUP(LEFT(F53,LEN(F53)-2),'PW_MLG GRADE 10'!$B$7:$B$31,'PW_MLG GRADE 10'!#REF!,"",0,1))&lt;=TODAY(),TRUE,FALSE)</f>
        <v>#REF!</v>
      </c>
      <c r="J53">
        <f t="shared" ca="1" si="1"/>
        <v>0</v>
      </c>
    </row>
    <row r="54" spans="1:10">
      <c r="A54" s="24" t="s">
        <v>258</v>
      </c>
      <c r="B54">
        <v>3</v>
      </c>
      <c r="C54">
        <f>IFERROR(
 --(INDEX('TH_MLG GRADE 10'!$D$7:$D$49,MATCH(LEFT($A54,LEN($A54)-2),'TH_MLG GRADE 10'!$B$7:$B$49,0))="P")+
 --(INDEX('TH_MLG GRADE 10'!$J$7:$J$49,MATCH(LEFT($A54,LEN($A54)-2),'TH_MLG GRADE 10'!$B$7:$B$49,0))="P")+
 --(INDEX('TH_MLG GRADE 10'!$P$7:$P$49,MATCH(LEFT($A54,LEN($A54)-2),'TH_MLG GRADE 10'!$B$7:$B$49,0))="P")+
 --(INDEX('TH_MLG GRADE 10'!$AB$7:$AB$49,MATCH(LEFT($A54,LEN($A54)-2),'TH_MLG GRADE 10'!$B$7:$B$49,0))="P")+
 --(INDEX('TH_MLG GRADE 10'!$AH$7:$AH$49,MATCH(LEFT($A54,LEN($A54)-2),'TH_MLG GRADE 10'!$B$7:$B$49,0))="P")+
 --(INDEX('TH_MLG GRADE 10'!$AN$7:$AN$49,MATCH(LEFT($A54,LEN($A54)-2),'TH_MLG GRADE 10'!$B$7:$B$49,0))="P")+
 --(INDEX('TH_MLG GRADE 10'!$AZ$7:$AZ$49,MATCH(LEFT($A54,LEN($A54)-2),'TH_MLG GRADE 10'!$B$7:$B$49,0))="P")+
 --(INDEX('TH_MLG GRADE 10'!$BF$7:$BF$49,MATCH(LEFT($A54,LEN($A54)-2),'TH_MLG GRADE 10'!$B$7:$B$49,0))="P")+
 --(INDEX('TH_MLG GRADE 10'!#REF!,MATCH(LEFT($A54,LEN($A54)-2),'TH_MLG GRADE 10'!$B$7:$B$49,0))="P")+
 --(INDEX('TH_MLG GRADE 10'!#REF!,MATCH(LEFT($A54,LEN($A54)-2),'TH_MLG GRADE 10'!$B$7:$B$49,0))="P"),
0)</f>
        <v>0</v>
      </c>
      <c r="D54" s="24" t="b">
        <f ca="1">IF(IF(_xlfn.XLOOKUP(LEFT(A54,LEN(A54)-2),'TH_MLG GRADE 10'!$B$7:$B$49,'TH_MLG GRADE 10'!$BL$7:$BL$49,"",0,1)=0,"",_xlfn.XLOOKUP(LEFT(A54,LEN(A54)-2),'TH_MLG GRADE 10'!$B$7:$B$49,'TH_MLG GRADE 10'!$BL$7:$BL$49,"",0,1))&lt;=TODAY(),TRUE,FALSE)</f>
        <v>1</v>
      </c>
      <c r="E54" s="25">
        <f t="shared" ca="1" si="0"/>
        <v>0</v>
      </c>
      <c r="F54" t="s">
        <v>258</v>
      </c>
      <c r="G54">
        <v>3</v>
      </c>
      <c r="H54">
        <f>IFERROR(
 --(INDEX('PW_MLG GRADE 10'!#REF!,MATCH(LEFT($A54,LEN($A54)-2),'PW_MLG GRADE 10'!$B$7:$B$31,0))="P")+
 --(INDEX('PW_MLG GRADE 10'!#REF!,MATCH(LEFT($A54,LEN($A54)-2),'PW_MLG GRADE 10'!$B$7:$B$31,0))="P")+
 --(INDEX('PW_MLG GRADE 10'!#REF!,MATCH(LEFT($A54,LEN($A54)-2),'PW_MLG GRADE 10'!$B$7:$B$31,0))="P")+
 --(INDEX('PW_MLG GRADE 10'!#REF!,MATCH(LEFT($A54,LEN($A54)-2),'PW_MLG GRADE 10'!$B$7:$B$31,0))="P")+
 --(INDEX('PW_MLG GRADE 10'!#REF!,MATCH(LEFT($A54,LEN($A54)-2),'PW_MLG GRADE 10'!$B$7:$B$31,0))="P")+
 --(INDEX('PW_MLG GRADE 10'!#REF!,MATCH(LEFT($A54,LEN($A54)-2),'PW_MLG GRADE 10'!$B$7:$B$31,0))="P")+
 --(INDEX('PW_MLG GRADE 10'!#REF!,MATCH(LEFT($A54,LEN($A54)-2),'PW_MLG GRADE 10'!$B$7:$B$31,0))="P")+
 --(INDEX('PW_MLG GRADE 10'!#REF!,MATCH(LEFT($A54,LEN($A54)-2),'PW_MLG GRADE 10'!$B$7:$B$31,0))="P")+
 --(INDEX('PW_MLG GRADE 10'!#REF!,MATCH(LEFT($A54,LEN($A54)-2),'PW_MLG GRADE 10'!$B$7:$B$31,0))="P")+
 --(INDEX('PW_MLG GRADE 10'!#REF!,MATCH(LEFT($A54,LEN($A54)-2),'PW_MLG GRADE 10'!$B$7:$B$31,0))="P"),
0)</f>
        <v>0</v>
      </c>
      <c r="I54" t="e">
        <f ca="1">IF(IF(_xlfn.XLOOKUP(LEFT(F54,LEN(F54)-2),'PW_MLG GRADE 10'!$B$7:$B$31,'PW_MLG GRADE 10'!#REF!,"",0,1)=0,"",_xlfn.XLOOKUP(LEFT(F54,LEN(F54)-2),'PW_MLG GRADE 10'!$B$7:$B$31,'PW_MLG GRADE 10'!#REF!,"",0,1))&lt;=TODAY(),TRUE,FALSE)</f>
        <v>#REF!</v>
      </c>
      <c r="J54">
        <f t="shared" ca="1" si="1"/>
        <v>0</v>
      </c>
    </row>
    <row r="55" spans="1:10">
      <c r="A55" s="24" t="s">
        <v>259</v>
      </c>
      <c r="B55">
        <v>3</v>
      </c>
      <c r="C55">
        <f>IFERROR(
 --(INDEX('TH_MLG GRADE 10'!$D$7:$D$49,MATCH(LEFT($A55,LEN($A55)-2),'TH_MLG GRADE 10'!$B$7:$B$49,0))="P")+
 --(INDEX('TH_MLG GRADE 10'!$J$7:$J$49,MATCH(LEFT($A55,LEN($A55)-2),'TH_MLG GRADE 10'!$B$7:$B$49,0))="P")+
 --(INDEX('TH_MLG GRADE 10'!$P$7:$P$49,MATCH(LEFT($A55,LEN($A55)-2),'TH_MLG GRADE 10'!$B$7:$B$49,0))="P")+
 --(INDEX('TH_MLG GRADE 10'!$AB$7:$AB$49,MATCH(LEFT($A55,LEN($A55)-2),'TH_MLG GRADE 10'!$B$7:$B$49,0))="P")+
 --(INDEX('TH_MLG GRADE 10'!$AH$7:$AH$49,MATCH(LEFT($A55,LEN($A55)-2),'TH_MLG GRADE 10'!$B$7:$B$49,0))="P")+
 --(INDEX('TH_MLG GRADE 10'!$AN$7:$AN$49,MATCH(LEFT($A55,LEN($A55)-2),'TH_MLG GRADE 10'!$B$7:$B$49,0))="P")+
 --(INDEX('TH_MLG GRADE 10'!$AZ$7:$AZ$49,MATCH(LEFT($A55,LEN($A55)-2),'TH_MLG GRADE 10'!$B$7:$B$49,0))="P")+
 --(INDEX('TH_MLG GRADE 10'!$BF$7:$BF$49,MATCH(LEFT($A55,LEN($A55)-2),'TH_MLG GRADE 10'!$B$7:$B$49,0))="P")+
 --(INDEX('TH_MLG GRADE 10'!#REF!,MATCH(LEFT($A55,LEN($A55)-2),'TH_MLG GRADE 10'!$B$7:$B$49,0))="P")+
 --(INDEX('TH_MLG GRADE 10'!#REF!,MATCH(LEFT($A55,LEN($A55)-2),'TH_MLG GRADE 10'!$B$7:$B$49,0))="P"),
0)</f>
        <v>0</v>
      </c>
      <c r="D55" s="24" t="b">
        <f ca="1">IF(IF(_xlfn.XLOOKUP(LEFT(A55,LEN(A55)-2),'TH_MLG GRADE 10'!$B$7:$B$49,'TH_MLG GRADE 10'!$BL$7:$BL$49,"",0,1)=0,"",_xlfn.XLOOKUP(LEFT(A55,LEN(A55)-2),'TH_MLG GRADE 10'!$B$7:$B$49,'TH_MLG GRADE 10'!$BL$7:$BL$49,"",0,1))&lt;=TODAY(),TRUE,FALSE)</f>
        <v>1</v>
      </c>
      <c r="E55" s="25">
        <f t="shared" ca="1" si="0"/>
        <v>0</v>
      </c>
      <c r="F55" t="s">
        <v>259</v>
      </c>
      <c r="G55">
        <v>3</v>
      </c>
      <c r="H55">
        <f>IFERROR(
 --(INDEX('PW_MLG GRADE 10'!#REF!,MATCH(LEFT($A55,LEN($A55)-2),'PW_MLG GRADE 10'!$B$7:$B$31,0))="P")+
 --(INDEX('PW_MLG GRADE 10'!#REF!,MATCH(LEFT($A55,LEN($A55)-2),'PW_MLG GRADE 10'!$B$7:$B$31,0))="P")+
 --(INDEX('PW_MLG GRADE 10'!#REF!,MATCH(LEFT($A55,LEN($A55)-2),'PW_MLG GRADE 10'!$B$7:$B$31,0))="P")+
 --(INDEX('PW_MLG GRADE 10'!#REF!,MATCH(LEFT($A55,LEN($A55)-2),'PW_MLG GRADE 10'!$B$7:$B$31,0))="P")+
 --(INDEX('PW_MLG GRADE 10'!#REF!,MATCH(LEFT($A55,LEN($A55)-2),'PW_MLG GRADE 10'!$B$7:$B$31,0))="P")+
 --(INDEX('PW_MLG GRADE 10'!#REF!,MATCH(LEFT($A55,LEN($A55)-2),'PW_MLG GRADE 10'!$B$7:$B$31,0))="P")+
 --(INDEX('PW_MLG GRADE 10'!#REF!,MATCH(LEFT($A55,LEN($A55)-2),'PW_MLG GRADE 10'!$B$7:$B$31,0))="P")+
 --(INDEX('PW_MLG GRADE 10'!#REF!,MATCH(LEFT($A55,LEN($A55)-2),'PW_MLG GRADE 10'!$B$7:$B$31,0))="P")+
 --(INDEX('PW_MLG GRADE 10'!#REF!,MATCH(LEFT($A55,LEN($A55)-2),'PW_MLG GRADE 10'!$B$7:$B$31,0))="P")+
 --(INDEX('PW_MLG GRADE 10'!#REF!,MATCH(LEFT($A55,LEN($A55)-2),'PW_MLG GRADE 10'!$B$7:$B$31,0))="P"),
0)</f>
        <v>0</v>
      </c>
      <c r="I55" t="e">
        <f ca="1">IF(IF(_xlfn.XLOOKUP(LEFT(F55,LEN(F55)-2),'PW_MLG GRADE 10'!$B$7:$B$31,'PW_MLG GRADE 10'!#REF!,"",0,1)=0,"",_xlfn.XLOOKUP(LEFT(F55,LEN(F55)-2),'PW_MLG GRADE 10'!$B$7:$B$31,'PW_MLG GRADE 10'!#REF!,"",0,1))&lt;=TODAY(),TRUE,FALSE)</f>
        <v>#REF!</v>
      </c>
      <c r="J55">
        <f t="shared" ca="1" si="1"/>
        <v>0</v>
      </c>
    </row>
    <row r="56" spans="1:10">
      <c r="A56" s="24" t="s">
        <v>260</v>
      </c>
      <c r="B56">
        <v>3</v>
      </c>
      <c r="C56">
        <f>IFERROR(
 --(INDEX('TH_MLG GRADE 10'!$D$7:$D$49,MATCH(LEFT($A56,LEN($A56)-2),'TH_MLG GRADE 10'!$B$7:$B$49,0))="P")+
 --(INDEX('TH_MLG GRADE 10'!$J$7:$J$49,MATCH(LEFT($A56,LEN($A56)-2),'TH_MLG GRADE 10'!$B$7:$B$49,0))="P")+
 --(INDEX('TH_MLG GRADE 10'!$P$7:$P$49,MATCH(LEFT($A56,LEN($A56)-2),'TH_MLG GRADE 10'!$B$7:$B$49,0))="P")+
 --(INDEX('TH_MLG GRADE 10'!$AB$7:$AB$49,MATCH(LEFT($A56,LEN($A56)-2),'TH_MLG GRADE 10'!$B$7:$B$49,0))="P")+
 --(INDEX('TH_MLG GRADE 10'!$AH$7:$AH$49,MATCH(LEFT($A56,LEN($A56)-2),'TH_MLG GRADE 10'!$B$7:$B$49,0))="P")+
 --(INDEX('TH_MLG GRADE 10'!$AN$7:$AN$49,MATCH(LEFT($A56,LEN($A56)-2),'TH_MLG GRADE 10'!$B$7:$B$49,0))="P")+
 --(INDEX('TH_MLG GRADE 10'!$AZ$7:$AZ$49,MATCH(LEFT($A56,LEN($A56)-2),'TH_MLG GRADE 10'!$B$7:$B$49,0))="P")+
 --(INDEX('TH_MLG GRADE 10'!$BF$7:$BF$49,MATCH(LEFT($A56,LEN($A56)-2),'TH_MLG GRADE 10'!$B$7:$B$49,0))="P")+
 --(INDEX('TH_MLG GRADE 10'!#REF!,MATCH(LEFT($A56,LEN($A56)-2),'TH_MLG GRADE 10'!$B$7:$B$49,0))="P")+
 --(INDEX('TH_MLG GRADE 10'!#REF!,MATCH(LEFT($A56,LEN($A56)-2),'TH_MLG GRADE 10'!$B$7:$B$49,0))="P"),
0)</f>
        <v>0</v>
      </c>
      <c r="D56" s="24" t="b">
        <f ca="1">IF(IF(_xlfn.XLOOKUP(LEFT(A56,LEN(A56)-2),'TH_MLG GRADE 10'!$B$7:$B$49,'TH_MLG GRADE 10'!$BL$7:$BL$49,"",0,1)=0,"",_xlfn.XLOOKUP(LEFT(A56,LEN(A56)-2),'TH_MLG GRADE 10'!$B$7:$B$49,'TH_MLG GRADE 10'!$BL$7:$BL$49,"",0,1))&lt;=TODAY(),TRUE,FALSE)</f>
        <v>1</v>
      </c>
      <c r="E56" s="25">
        <f t="shared" ca="1" si="0"/>
        <v>0</v>
      </c>
      <c r="F56" t="s">
        <v>260</v>
      </c>
      <c r="G56">
        <v>3</v>
      </c>
      <c r="H56">
        <f>IFERROR(
 --(INDEX('PW_MLG GRADE 10'!#REF!,MATCH(LEFT($A56,LEN($A56)-2),'PW_MLG GRADE 10'!$B$7:$B$31,0))="P")+
 --(INDEX('PW_MLG GRADE 10'!#REF!,MATCH(LEFT($A56,LEN($A56)-2),'PW_MLG GRADE 10'!$B$7:$B$31,0))="P")+
 --(INDEX('PW_MLG GRADE 10'!#REF!,MATCH(LEFT($A56,LEN($A56)-2),'PW_MLG GRADE 10'!$B$7:$B$31,0))="P")+
 --(INDEX('PW_MLG GRADE 10'!#REF!,MATCH(LEFT($A56,LEN($A56)-2),'PW_MLG GRADE 10'!$B$7:$B$31,0))="P")+
 --(INDEX('PW_MLG GRADE 10'!#REF!,MATCH(LEFT($A56,LEN($A56)-2),'PW_MLG GRADE 10'!$B$7:$B$31,0))="P")+
 --(INDEX('PW_MLG GRADE 10'!#REF!,MATCH(LEFT($A56,LEN($A56)-2),'PW_MLG GRADE 10'!$B$7:$B$31,0))="P")+
 --(INDEX('PW_MLG GRADE 10'!#REF!,MATCH(LEFT($A56,LEN($A56)-2),'PW_MLG GRADE 10'!$B$7:$B$31,0))="P")+
 --(INDEX('PW_MLG GRADE 10'!#REF!,MATCH(LEFT($A56,LEN($A56)-2),'PW_MLG GRADE 10'!$B$7:$B$31,0))="P")+
 --(INDEX('PW_MLG GRADE 10'!#REF!,MATCH(LEFT($A56,LEN($A56)-2),'PW_MLG GRADE 10'!$B$7:$B$31,0))="P")+
 --(INDEX('PW_MLG GRADE 10'!#REF!,MATCH(LEFT($A56,LEN($A56)-2),'PW_MLG GRADE 10'!$B$7:$B$31,0))="P"),
0)</f>
        <v>0</v>
      </c>
      <c r="I56" t="e">
        <f ca="1">IF(IF(_xlfn.XLOOKUP(LEFT(F56,LEN(F56)-2),'PW_MLG GRADE 10'!$B$7:$B$31,'PW_MLG GRADE 10'!#REF!,"",0,1)=0,"",_xlfn.XLOOKUP(LEFT(F56,LEN(F56)-2),'PW_MLG GRADE 10'!$B$7:$B$31,'PW_MLG GRADE 10'!#REF!,"",0,1))&lt;=TODAY(),TRUE,FALSE)</f>
        <v>#REF!</v>
      </c>
      <c r="J56">
        <f t="shared" ca="1" si="1"/>
        <v>0</v>
      </c>
    </row>
    <row r="57" spans="1:10">
      <c r="A57" s="24" t="s">
        <v>261</v>
      </c>
      <c r="B57">
        <v>3</v>
      </c>
      <c r="C57">
        <f>IFERROR(
 --(INDEX('TH_MLG GRADE 10'!$D$7:$D$49,MATCH(LEFT($A57,LEN($A57)-2),'TH_MLG GRADE 10'!$B$7:$B$49,0))="P")+
 --(INDEX('TH_MLG GRADE 10'!$J$7:$J$49,MATCH(LEFT($A57,LEN($A57)-2),'TH_MLG GRADE 10'!$B$7:$B$49,0))="P")+
 --(INDEX('TH_MLG GRADE 10'!$P$7:$P$49,MATCH(LEFT($A57,LEN($A57)-2),'TH_MLG GRADE 10'!$B$7:$B$49,0))="P")+
 --(INDEX('TH_MLG GRADE 10'!$AB$7:$AB$49,MATCH(LEFT($A57,LEN($A57)-2),'TH_MLG GRADE 10'!$B$7:$B$49,0))="P")+
 --(INDEX('TH_MLG GRADE 10'!$AH$7:$AH$49,MATCH(LEFT($A57,LEN($A57)-2),'TH_MLG GRADE 10'!$B$7:$B$49,0))="P")+
 --(INDEX('TH_MLG GRADE 10'!$AN$7:$AN$49,MATCH(LEFT($A57,LEN($A57)-2),'TH_MLG GRADE 10'!$B$7:$B$49,0))="P")+
 --(INDEX('TH_MLG GRADE 10'!$AZ$7:$AZ$49,MATCH(LEFT($A57,LEN($A57)-2),'TH_MLG GRADE 10'!$B$7:$B$49,0))="P")+
 --(INDEX('TH_MLG GRADE 10'!$BF$7:$BF$49,MATCH(LEFT($A57,LEN($A57)-2),'TH_MLG GRADE 10'!$B$7:$B$49,0))="P")+
 --(INDEX('TH_MLG GRADE 10'!#REF!,MATCH(LEFT($A57,LEN($A57)-2),'TH_MLG GRADE 10'!$B$7:$B$49,0))="P")+
 --(INDEX('TH_MLG GRADE 10'!#REF!,MATCH(LEFT($A57,LEN($A57)-2),'TH_MLG GRADE 10'!$B$7:$B$49,0))="P"),
0)</f>
        <v>0</v>
      </c>
      <c r="D57" s="24" t="b">
        <f ca="1">IF(IF(_xlfn.XLOOKUP(LEFT(A57,LEN(A57)-2),'TH_MLG GRADE 10'!$B$7:$B$49,'TH_MLG GRADE 10'!$BL$7:$BL$49,"",0,1)=0,"",_xlfn.XLOOKUP(LEFT(A57,LEN(A57)-2),'TH_MLG GRADE 10'!$B$7:$B$49,'TH_MLG GRADE 10'!$BL$7:$BL$49,"",0,1))&lt;=TODAY(),TRUE,FALSE)</f>
        <v>1</v>
      </c>
      <c r="E57" s="25">
        <f t="shared" ca="1" si="0"/>
        <v>0</v>
      </c>
      <c r="F57" t="s">
        <v>261</v>
      </c>
      <c r="G57">
        <v>3</v>
      </c>
      <c r="H57">
        <f>IFERROR(
 --(INDEX('PW_MLG GRADE 10'!#REF!,MATCH(LEFT($A57,LEN($A57)-2),'PW_MLG GRADE 10'!$B$7:$B$31,0))="P")+
 --(INDEX('PW_MLG GRADE 10'!#REF!,MATCH(LEFT($A57,LEN($A57)-2),'PW_MLG GRADE 10'!$B$7:$B$31,0))="P")+
 --(INDEX('PW_MLG GRADE 10'!#REF!,MATCH(LEFT($A57,LEN($A57)-2),'PW_MLG GRADE 10'!$B$7:$B$31,0))="P")+
 --(INDEX('PW_MLG GRADE 10'!#REF!,MATCH(LEFT($A57,LEN($A57)-2),'PW_MLG GRADE 10'!$B$7:$B$31,0))="P")+
 --(INDEX('PW_MLG GRADE 10'!#REF!,MATCH(LEFT($A57,LEN($A57)-2),'PW_MLG GRADE 10'!$B$7:$B$31,0))="P")+
 --(INDEX('PW_MLG GRADE 10'!#REF!,MATCH(LEFT($A57,LEN($A57)-2),'PW_MLG GRADE 10'!$B$7:$B$31,0))="P")+
 --(INDEX('PW_MLG GRADE 10'!#REF!,MATCH(LEFT($A57,LEN($A57)-2),'PW_MLG GRADE 10'!$B$7:$B$31,0))="P")+
 --(INDEX('PW_MLG GRADE 10'!#REF!,MATCH(LEFT($A57,LEN($A57)-2),'PW_MLG GRADE 10'!$B$7:$B$31,0))="P")+
 --(INDEX('PW_MLG GRADE 10'!#REF!,MATCH(LEFT($A57,LEN($A57)-2),'PW_MLG GRADE 10'!$B$7:$B$31,0))="P")+
 --(INDEX('PW_MLG GRADE 10'!#REF!,MATCH(LEFT($A57,LEN($A57)-2),'PW_MLG GRADE 10'!$B$7:$B$31,0))="P"),
0)</f>
        <v>0</v>
      </c>
      <c r="I57" t="e">
        <f ca="1">IF(IF(_xlfn.XLOOKUP(LEFT(F57,LEN(F57)-2),'PW_MLG GRADE 10'!$B$7:$B$31,'PW_MLG GRADE 10'!#REF!,"",0,1)=0,"",_xlfn.XLOOKUP(LEFT(F57,LEN(F57)-2),'PW_MLG GRADE 10'!$B$7:$B$31,'PW_MLG GRADE 10'!#REF!,"",0,1))&lt;=TODAY(),TRUE,FALSE)</f>
        <v>#REF!</v>
      </c>
      <c r="J57">
        <f t="shared" ca="1" si="1"/>
        <v>0</v>
      </c>
    </row>
    <row r="58" spans="1:10">
      <c r="A58" s="24" t="s">
        <v>262</v>
      </c>
      <c r="B58">
        <v>3</v>
      </c>
      <c r="C58">
        <f>IFERROR(
 --(INDEX('TH_MLG GRADE 10'!$D$7:$D$49,MATCH(LEFT($A58,LEN($A58)-2),'TH_MLG GRADE 10'!$B$7:$B$49,0))="P")+
 --(INDEX('TH_MLG GRADE 10'!$J$7:$J$49,MATCH(LEFT($A58,LEN($A58)-2),'TH_MLG GRADE 10'!$B$7:$B$49,0))="P")+
 --(INDEX('TH_MLG GRADE 10'!$P$7:$P$49,MATCH(LEFT($A58,LEN($A58)-2),'TH_MLG GRADE 10'!$B$7:$B$49,0))="P")+
 --(INDEX('TH_MLG GRADE 10'!$AB$7:$AB$49,MATCH(LEFT($A58,LEN($A58)-2),'TH_MLG GRADE 10'!$B$7:$B$49,0))="P")+
 --(INDEX('TH_MLG GRADE 10'!$AH$7:$AH$49,MATCH(LEFT($A58,LEN($A58)-2),'TH_MLG GRADE 10'!$B$7:$B$49,0))="P")+
 --(INDEX('TH_MLG GRADE 10'!$AN$7:$AN$49,MATCH(LEFT($A58,LEN($A58)-2),'TH_MLG GRADE 10'!$B$7:$B$49,0))="P")+
 --(INDEX('TH_MLG GRADE 10'!$AZ$7:$AZ$49,MATCH(LEFT($A58,LEN($A58)-2),'TH_MLG GRADE 10'!$B$7:$B$49,0))="P")+
 --(INDEX('TH_MLG GRADE 10'!$BF$7:$BF$49,MATCH(LEFT($A58,LEN($A58)-2),'TH_MLG GRADE 10'!$B$7:$B$49,0))="P")+
 --(INDEX('TH_MLG GRADE 10'!#REF!,MATCH(LEFT($A58,LEN($A58)-2),'TH_MLG GRADE 10'!$B$7:$B$49,0))="P")+
 --(INDEX('TH_MLG GRADE 10'!#REF!,MATCH(LEFT($A58,LEN($A58)-2),'TH_MLG GRADE 10'!$B$7:$B$49,0))="P"),
0)</f>
        <v>0</v>
      </c>
      <c r="D58" s="24" t="b">
        <f ca="1">IF(IF(_xlfn.XLOOKUP(LEFT(A58,LEN(A58)-2),'TH_MLG GRADE 10'!$B$7:$B$49,'TH_MLG GRADE 10'!$BL$7:$BL$49,"",0,1)=0,"",_xlfn.XLOOKUP(LEFT(A58,LEN(A58)-2),'TH_MLG GRADE 10'!$B$7:$B$49,'TH_MLG GRADE 10'!$BL$7:$BL$49,"",0,1))&lt;=TODAY(),TRUE,FALSE)</f>
        <v>1</v>
      </c>
      <c r="E58" s="25">
        <f t="shared" ca="1" si="0"/>
        <v>0</v>
      </c>
      <c r="F58" t="s">
        <v>262</v>
      </c>
      <c r="G58">
        <v>3</v>
      </c>
      <c r="H58">
        <f>IFERROR(
 --(INDEX('PW_MLG GRADE 10'!#REF!,MATCH(LEFT($A58,LEN($A58)-2),'PW_MLG GRADE 10'!$B$7:$B$31,0))="P")+
 --(INDEX('PW_MLG GRADE 10'!#REF!,MATCH(LEFT($A58,LEN($A58)-2),'PW_MLG GRADE 10'!$B$7:$B$31,0))="P")+
 --(INDEX('PW_MLG GRADE 10'!#REF!,MATCH(LEFT($A58,LEN($A58)-2),'PW_MLG GRADE 10'!$B$7:$B$31,0))="P")+
 --(INDEX('PW_MLG GRADE 10'!#REF!,MATCH(LEFT($A58,LEN($A58)-2),'PW_MLG GRADE 10'!$B$7:$B$31,0))="P")+
 --(INDEX('PW_MLG GRADE 10'!#REF!,MATCH(LEFT($A58,LEN($A58)-2),'PW_MLG GRADE 10'!$B$7:$B$31,0))="P")+
 --(INDEX('PW_MLG GRADE 10'!#REF!,MATCH(LEFT($A58,LEN($A58)-2),'PW_MLG GRADE 10'!$B$7:$B$31,0))="P")+
 --(INDEX('PW_MLG GRADE 10'!#REF!,MATCH(LEFT($A58,LEN($A58)-2),'PW_MLG GRADE 10'!$B$7:$B$31,0))="P")+
 --(INDEX('PW_MLG GRADE 10'!#REF!,MATCH(LEFT($A58,LEN($A58)-2),'PW_MLG GRADE 10'!$B$7:$B$31,0))="P")+
 --(INDEX('PW_MLG GRADE 10'!#REF!,MATCH(LEFT($A58,LEN($A58)-2),'PW_MLG GRADE 10'!$B$7:$B$31,0))="P")+
 --(INDEX('PW_MLG GRADE 10'!#REF!,MATCH(LEFT($A58,LEN($A58)-2),'PW_MLG GRADE 10'!$B$7:$B$31,0))="P"),
0)</f>
        <v>0</v>
      </c>
      <c r="I58" t="e">
        <f ca="1">IF(IF(_xlfn.XLOOKUP(LEFT(F58,LEN(F58)-2),'PW_MLG GRADE 10'!$B$7:$B$31,'PW_MLG GRADE 10'!#REF!,"",0,1)=0,"",_xlfn.XLOOKUP(LEFT(F58,LEN(F58)-2),'PW_MLG GRADE 10'!$B$7:$B$31,'PW_MLG GRADE 10'!#REF!,"",0,1))&lt;=TODAY(),TRUE,FALSE)</f>
        <v>#REF!</v>
      </c>
      <c r="J58">
        <f t="shared" ca="1" si="1"/>
        <v>0</v>
      </c>
    </row>
    <row r="59" spans="1:10">
      <c r="A59" s="24" t="s">
        <v>263</v>
      </c>
      <c r="B59">
        <v>3</v>
      </c>
      <c r="C59">
        <f>IFERROR(
 --(INDEX('TH_MLG GRADE 10'!$D$7:$D$49,MATCH(LEFT($A59,LEN($A59)-2),'TH_MLG GRADE 10'!$B$7:$B$49,0))="P")+
 --(INDEX('TH_MLG GRADE 10'!$J$7:$J$49,MATCH(LEFT($A59,LEN($A59)-2),'TH_MLG GRADE 10'!$B$7:$B$49,0))="P")+
 --(INDEX('TH_MLG GRADE 10'!$P$7:$P$49,MATCH(LEFT($A59,LEN($A59)-2),'TH_MLG GRADE 10'!$B$7:$B$49,0))="P")+
 --(INDEX('TH_MLG GRADE 10'!$AB$7:$AB$49,MATCH(LEFT($A59,LEN($A59)-2),'TH_MLG GRADE 10'!$B$7:$B$49,0))="P")+
 --(INDEX('TH_MLG GRADE 10'!$AH$7:$AH$49,MATCH(LEFT($A59,LEN($A59)-2),'TH_MLG GRADE 10'!$B$7:$B$49,0))="P")+
 --(INDEX('TH_MLG GRADE 10'!$AN$7:$AN$49,MATCH(LEFT($A59,LEN($A59)-2),'TH_MLG GRADE 10'!$B$7:$B$49,0))="P")+
 --(INDEX('TH_MLG GRADE 10'!$AZ$7:$AZ$49,MATCH(LEFT($A59,LEN($A59)-2),'TH_MLG GRADE 10'!$B$7:$B$49,0))="P")+
 --(INDEX('TH_MLG GRADE 10'!$BF$7:$BF$49,MATCH(LEFT($A59,LEN($A59)-2),'TH_MLG GRADE 10'!$B$7:$B$49,0))="P")+
 --(INDEX('TH_MLG GRADE 10'!#REF!,MATCH(LEFT($A59,LEN($A59)-2),'TH_MLG GRADE 10'!$B$7:$B$49,0))="P")+
 --(INDEX('TH_MLG GRADE 10'!#REF!,MATCH(LEFT($A59,LEN($A59)-2),'TH_MLG GRADE 10'!$B$7:$B$49,0))="P"),
0)</f>
        <v>0</v>
      </c>
      <c r="D59" s="24" t="b">
        <f ca="1">IF(IF(_xlfn.XLOOKUP(LEFT(A59,LEN(A59)-2),'TH_MLG GRADE 10'!$B$7:$B$49,'TH_MLG GRADE 10'!$BL$7:$BL$49,"",0,1)=0,"",_xlfn.XLOOKUP(LEFT(A59,LEN(A59)-2),'TH_MLG GRADE 10'!$B$7:$B$49,'TH_MLG GRADE 10'!$BL$7:$BL$49,"",0,1))&lt;=TODAY(),TRUE,FALSE)</f>
        <v>1</v>
      </c>
      <c r="E59" s="25">
        <f t="shared" ca="1" si="0"/>
        <v>0</v>
      </c>
      <c r="F59" t="s">
        <v>263</v>
      </c>
      <c r="G59">
        <v>3</v>
      </c>
      <c r="H59">
        <f>IFERROR(
 --(INDEX('PW_MLG GRADE 10'!#REF!,MATCH(LEFT($A59,LEN($A59)-2),'PW_MLG GRADE 10'!$B$7:$B$31,0))="P")+
 --(INDEX('PW_MLG GRADE 10'!#REF!,MATCH(LEFT($A59,LEN($A59)-2),'PW_MLG GRADE 10'!$B$7:$B$31,0))="P")+
 --(INDEX('PW_MLG GRADE 10'!#REF!,MATCH(LEFT($A59,LEN($A59)-2),'PW_MLG GRADE 10'!$B$7:$B$31,0))="P")+
 --(INDEX('PW_MLG GRADE 10'!#REF!,MATCH(LEFT($A59,LEN($A59)-2),'PW_MLG GRADE 10'!$B$7:$B$31,0))="P")+
 --(INDEX('PW_MLG GRADE 10'!#REF!,MATCH(LEFT($A59,LEN($A59)-2),'PW_MLG GRADE 10'!$B$7:$B$31,0))="P")+
 --(INDEX('PW_MLG GRADE 10'!#REF!,MATCH(LEFT($A59,LEN($A59)-2),'PW_MLG GRADE 10'!$B$7:$B$31,0))="P")+
 --(INDEX('PW_MLG GRADE 10'!#REF!,MATCH(LEFT($A59,LEN($A59)-2),'PW_MLG GRADE 10'!$B$7:$B$31,0))="P")+
 --(INDEX('PW_MLG GRADE 10'!#REF!,MATCH(LEFT($A59,LEN($A59)-2),'PW_MLG GRADE 10'!$B$7:$B$31,0))="P")+
 --(INDEX('PW_MLG GRADE 10'!#REF!,MATCH(LEFT($A59,LEN($A59)-2),'PW_MLG GRADE 10'!$B$7:$B$31,0))="P")+
 --(INDEX('PW_MLG GRADE 10'!#REF!,MATCH(LEFT($A59,LEN($A59)-2),'PW_MLG GRADE 10'!$B$7:$B$31,0))="P"),
0)</f>
        <v>0</v>
      </c>
      <c r="I59" t="e">
        <f ca="1">IF(IF(_xlfn.XLOOKUP(LEFT(F59,LEN(F59)-2),'PW_MLG GRADE 10'!$B$7:$B$31,'PW_MLG GRADE 10'!#REF!,"",0,1)=0,"",_xlfn.XLOOKUP(LEFT(F59,LEN(F59)-2),'PW_MLG GRADE 10'!$B$7:$B$31,'PW_MLG GRADE 10'!#REF!,"",0,1))&lt;=TODAY(),TRUE,FALSE)</f>
        <v>#REF!</v>
      </c>
      <c r="J59">
        <f t="shared" ca="1" si="1"/>
        <v>0</v>
      </c>
    </row>
    <row r="60" spans="1:10">
      <c r="A60" s="24" t="s">
        <v>264</v>
      </c>
      <c r="B60">
        <v>3</v>
      </c>
      <c r="C60">
        <f>IFERROR(
 --(INDEX('TH_MLG GRADE 10'!$D$7:$D$49,MATCH(LEFT($A60,LEN($A60)-2),'TH_MLG GRADE 10'!$B$7:$B$49,0))="P")+
 --(INDEX('TH_MLG GRADE 10'!$J$7:$J$49,MATCH(LEFT($A60,LEN($A60)-2),'TH_MLG GRADE 10'!$B$7:$B$49,0))="P")+
 --(INDEX('TH_MLG GRADE 10'!$P$7:$P$49,MATCH(LEFT($A60,LEN($A60)-2),'TH_MLG GRADE 10'!$B$7:$B$49,0))="P")+
 --(INDEX('TH_MLG GRADE 10'!$AB$7:$AB$49,MATCH(LEFT($A60,LEN($A60)-2),'TH_MLG GRADE 10'!$B$7:$B$49,0))="P")+
 --(INDEX('TH_MLG GRADE 10'!$AH$7:$AH$49,MATCH(LEFT($A60,LEN($A60)-2),'TH_MLG GRADE 10'!$B$7:$B$49,0))="P")+
 --(INDEX('TH_MLG GRADE 10'!$AN$7:$AN$49,MATCH(LEFT($A60,LEN($A60)-2),'TH_MLG GRADE 10'!$B$7:$B$49,0))="P")+
 --(INDEX('TH_MLG GRADE 10'!$AZ$7:$AZ$49,MATCH(LEFT($A60,LEN($A60)-2),'TH_MLG GRADE 10'!$B$7:$B$49,0))="P")+
 --(INDEX('TH_MLG GRADE 10'!$BF$7:$BF$49,MATCH(LEFT($A60,LEN($A60)-2),'TH_MLG GRADE 10'!$B$7:$B$49,0))="P")+
 --(INDEX('TH_MLG GRADE 10'!#REF!,MATCH(LEFT($A60,LEN($A60)-2),'TH_MLG GRADE 10'!$B$7:$B$49,0))="P")+
 --(INDEX('TH_MLG GRADE 10'!#REF!,MATCH(LEFT($A60,LEN($A60)-2),'TH_MLG GRADE 10'!$B$7:$B$49,0))="P"),
0)</f>
        <v>0</v>
      </c>
      <c r="D60" s="24" t="b">
        <f ca="1">IF(IF(_xlfn.XLOOKUP(LEFT(A60,LEN(A60)-2),'TH_MLG GRADE 10'!$B$7:$B$49,'TH_MLG GRADE 10'!$BL$7:$BL$49,"",0,1)=0,"",_xlfn.XLOOKUP(LEFT(A60,LEN(A60)-2),'TH_MLG GRADE 10'!$B$7:$B$49,'TH_MLG GRADE 10'!$BL$7:$BL$49,"",0,1))&lt;=TODAY(),TRUE,FALSE)</f>
        <v>1</v>
      </c>
      <c r="E60" s="25">
        <f t="shared" ca="1" si="0"/>
        <v>0</v>
      </c>
      <c r="F60" t="s">
        <v>264</v>
      </c>
      <c r="G60">
        <v>3</v>
      </c>
      <c r="H60">
        <f>IFERROR(
 --(INDEX('PW_MLG GRADE 10'!#REF!,MATCH(LEFT($A60,LEN($A60)-2),'PW_MLG GRADE 10'!$B$7:$B$31,0))="P")+
 --(INDEX('PW_MLG GRADE 10'!#REF!,MATCH(LEFT($A60,LEN($A60)-2),'PW_MLG GRADE 10'!$B$7:$B$31,0))="P")+
 --(INDEX('PW_MLG GRADE 10'!#REF!,MATCH(LEFT($A60,LEN($A60)-2),'PW_MLG GRADE 10'!$B$7:$B$31,0))="P")+
 --(INDEX('PW_MLG GRADE 10'!#REF!,MATCH(LEFT($A60,LEN($A60)-2),'PW_MLG GRADE 10'!$B$7:$B$31,0))="P")+
 --(INDEX('PW_MLG GRADE 10'!#REF!,MATCH(LEFT($A60,LEN($A60)-2),'PW_MLG GRADE 10'!$B$7:$B$31,0))="P")+
 --(INDEX('PW_MLG GRADE 10'!#REF!,MATCH(LEFT($A60,LEN($A60)-2),'PW_MLG GRADE 10'!$B$7:$B$31,0))="P")+
 --(INDEX('PW_MLG GRADE 10'!#REF!,MATCH(LEFT($A60,LEN($A60)-2),'PW_MLG GRADE 10'!$B$7:$B$31,0))="P")+
 --(INDEX('PW_MLG GRADE 10'!#REF!,MATCH(LEFT($A60,LEN($A60)-2),'PW_MLG GRADE 10'!$B$7:$B$31,0))="P")+
 --(INDEX('PW_MLG GRADE 10'!#REF!,MATCH(LEFT($A60,LEN($A60)-2),'PW_MLG GRADE 10'!$B$7:$B$31,0))="P")+
 --(INDEX('PW_MLG GRADE 10'!#REF!,MATCH(LEFT($A60,LEN($A60)-2),'PW_MLG GRADE 10'!$B$7:$B$31,0))="P"),
0)</f>
        <v>0</v>
      </c>
      <c r="I60" t="e">
        <f ca="1">IF(IF(_xlfn.XLOOKUP(LEFT(F60,LEN(F60)-2),'PW_MLG GRADE 10'!$B$7:$B$31,'PW_MLG GRADE 10'!#REF!,"",0,1)=0,"",_xlfn.XLOOKUP(LEFT(F60,LEN(F60)-2),'PW_MLG GRADE 10'!$B$7:$B$31,'PW_MLG GRADE 10'!#REF!,"",0,1))&lt;=TODAY(),TRUE,FALSE)</f>
        <v>#REF!</v>
      </c>
      <c r="J60">
        <f t="shared" ca="1" si="1"/>
        <v>0</v>
      </c>
    </row>
    <row r="61" spans="1:10">
      <c r="A61" s="24" t="s">
        <v>265</v>
      </c>
      <c r="B61">
        <v>3</v>
      </c>
      <c r="C61">
        <f>IFERROR(
 --(INDEX('TH_MLG GRADE 10'!$D$7:$D$49,MATCH(LEFT($A61,LEN($A61)-2),'TH_MLG GRADE 10'!$B$7:$B$49,0))="P")+
 --(INDEX('TH_MLG GRADE 10'!$J$7:$J$49,MATCH(LEFT($A61,LEN($A61)-2),'TH_MLG GRADE 10'!$B$7:$B$49,0))="P")+
 --(INDEX('TH_MLG GRADE 10'!$P$7:$P$49,MATCH(LEFT($A61,LEN($A61)-2),'TH_MLG GRADE 10'!$B$7:$B$49,0))="P")+
 --(INDEX('TH_MLG GRADE 10'!$AB$7:$AB$49,MATCH(LEFT($A61,LEN($A61)-2),'TH_MLG GRADE 10'!$B$7:$B$49,0))="P")+
 --(INDEX('TH_MLG GRADE 10'!$AH$7:$AH$49,MATCH(LEFT($A61,LEN($A61)-2),'TH_MLG GRADE 10'!$B$7:$B$49,0))="P")+
 --(INDEX('TH_MLG GRADE 10'!$AN$7:$AN$49,MATCH(LEFT($A61,LEN($A61)-2),'TH_MLG GRADE 10'!$B$7:$B$49,0))="P")+
 --(INDEX('TH_MLG GRADE 10'!$AZ$7:$AZ$49,MATCH(LEFT($A61,LEN($A61)-2),'TH_MLG GRADE 10'!$B$7:$B$49,0))="P")+
 --(INDEX('TH_MLG GRADE 10'!$BF$7:$BF$49,MATCH(LEFT($A61,LEN($A61)-2),'TH_MLG GRADE 10'!$B$7:$B$49,0))="P")+
 --(INDEX('TH_MLG GRADE 10'!#REF!,MATCH(LEFT($A61,LEN($A61)-2),'TH_MLG GRADE 10'!$B$7:$B$49,0))="P")+
 --(INDEX('TH_MLG GRADE 10'!#REF!,MATCH(LEFT($A61,LEN($A61)-2),'TH_MLG GRADE 10'!$B$7:$B$49,0))="P"),
0)</f>
        <v>0</v>
      </c>
      <c r="D61" s="24" t="b">
        <f ca="1">IF(IF(_xlfn.XLOOKUP(LEFT(A61,LEN(A61)-2),'TH_MLG GRADE 10'!$B$7:$B$49,'TH_MLG GRADE 10'!$BL$7:$BL$49,"",0,1)=0,"",_xlfn.XLOOKUP(LEFT(A61,LEN(A61)-2),'TH_MLG GRADE 10'!$B$7:$B$49,'TH_MLG GRADE 10'!$BL$7:$BL$49,"",0,1))&lt;=TODAY(),TRUE,FALSE)</f>
        <v>1</v>
      </c>
      <c r="E61" s="25">
        <f t="shared" ca="1" si="0"/>
        <v>0</v>
      </c>
      <c r="F61" t="s">
        <v>265</v>
      </c>
      <c r="G61">
        <v>3</v>
      </c>
      <c r="H61">
        <f>IFERROR(
 --(INDEX('PW_MLG GRADE 10'!#REF!,MATCH(LEFT($A61,LEN($A61)-2),'PW_MLG GRADE 10'!$B$7:$B$31,0))="P")+
 --(INDEX('PW_MLG GRADE 10'!#REF!,MATCH(LEFT($A61,LEN($A61)-2),'PW_MLG GRADE 10'!$B$7:$B$31,0))="P")+
 --(INDEX('PW_MLG GRADE 10'!#REF!,MATCH(LEFT($A61,LEN($A61)-2),'PW_MLG GRADE 10'!$B$7:$B$31,0))="P")+
 --(INDEX('PW_MLG GRADE 10'!#REF!,MATCH(LEFT($A61,LEN($A61)-2),'PW_MLG GRADE 10'!$B$7:$B$31,0))="P")+
 --(INDEX('PW_MLG GRADE 10'!#REF!,MATCH(LEFT($A61,LEN($A61)-2),'PW_MLG GRADE 10'!$B$7:$B$31,0))="P")+
 --(INDEX('PW_MLG GRADE 10'!#REF!,MATCH(LEFT($A61,LEN($A61)-2),'PW_MLG GRADE 10'!$B$7:$B$31,0))="P")+
 --(INDEX('PW_MLG GRADE 10'!#REF!,MATCH(LEFT($A61,LEN($A61)-2),'PW_MLG GRADE 10'!$B$7:$B$31,0))="P")+
 --(INDEX('PW_MLG GRADE 10'!#REF!,MATCH(LEFT($A61,LEN($A61)-2),'PW_MLG GRADE 10'!$B$7:$B$31,0))="P")+
 --(INDEX('PW_MLG GRADE 10'!#REF!,MATCH(LEFT($A61,LEN($A61)-2),'PW_MLG GRADE 10'!$B$7:$B$31,0))="P")+
 --(INDEX('PW_MLG GRADE 10'!#REF!,MATCH(LEFT($A61,LEN($A61)-2),'PW_MLG GRADE 10'!$B$7:$B$31,0))="P"),
0)</f>
        <v>0</v>
      </c>
      <c r="I61" t="e">
        <f ca="1">IF(IF(_xlfn.XLOOKUP(LEFT(F61,LEN(F61)-2),'PW_MLG GRADE 10'!$B$7:$B$31,'PW_MLG GRADE 10'!#REF!,"",0,1)=0,"",_xlfn.XLOOKUP(LEFT(F61,LEN(F61)-2),'PW_MLG GRADE 10'!$B$7:$B$31,'PW_MLG GRADE 10'!#REF!,"",0,1))&lt;=TODAY(),TRUE,FALSE)</f>
        <v>#REF!</v>
      </c>
      <c r="J61">
        <f t="shared" ca="1" si="1"/>
        <v>0</v>
      </c>
    </row>
    <row r="62" spans="1:10">
      <c r="A62" s="24" t="s">
        <v>266</v>
      </c>
      <c r="B62">
        <v>3</v>
      </c>
      <c r="C62">
        <f>IFERROR(
 --(INDEX('TH_MLG GRADE 10'!$D$7:$D$49,MATCH(LEFT($A62,LEN($A62)-2),'TH_MLG GRADE 10'!$B$7:$B$49,0))="P")+
 --(INDEX('TH_MLG GRADE 10'!$J$7:$J$49,MATCH(LEFT($A62,LEN($A62)-2),'TH_MLG GRADE 10'!$B$7:$B$49,0))="P")+
 --(INDEX('TH_MLG GRADE 10'!$P$7:$P$49,MATCH(LEFT($A62,LEN($A62)-2),'TH_MLG GRADE 10'!$B$7:$B$49,0))="P")+
 --(INDEX('TH_MLG GRADE 10'!$AB$7:$AB$49,MATCH(LEFT($A62,LEN($A62)-2),'TH_MLG GRADE 10'!$B$7:$B$49,0))="P")+
 --(INDEX('TH_MLG GRADE 10'!$AH$7:$AH$49,MATCH(LEFT($A62,LEN($A62)-2),'TH_MLG GRADE 10'!$B$7:$B$49,0))="P")+
 --(INDEX('TH_MLG GRADE 10'!$AN$7:$AN$49,MATCH(LEFT($A62,LEN($A62)-2),'TH_MLG GRADE 10'!$B$7:$B$49,0))="P")+
 --(INDEX('TH_MLG GRADE 10'!$AZ$7:$AZ$49,MATCH(LEFT($A62,LEN($A62)-2),'TH_MLG GRADE 10'!$B$7:$B$49,0))="P")+
 --(INDEX('TH_MLG GRADE 10'!$BF$7:$BF$49,MATCH(LEFT($A62,LEN($A62)-2),'TH_MLG GRADE 10'!$B$7:$B$49,0))="P")+
 --(INDEX('TH_MLG GRADE 10'!#REF!,MATCH(LEFT($A62,LEN($A62)-2),'TH_MLG GRADE 10'!$B$7:$B$49,0))="P")+
 --(INDEX('TH_MLG GRADE 10'!#REF!,MATCH(LEFT($A62,LEN($A62)-2),'TH_MLG GRADE 10'!$B$7:$B$49,0))="P"),
0)</f>
        <v>0</v>
      </c>
      <c r="D62" s="24" t="b">
        <f ca="1">IF(IF(_xlfn.XLOOKUP(LEFT(A62,LEN(A62)-2),'TH_MLG GRADE 10'!$B$7:$B$49,'TH_MLG GRADE 10'!$BL$7:$BL$49,"",0,1)=0,"",_xlfn.XLOOKUP(LEFT(A62,LEN(A62)-2),'TH_MLG GRADE 10'!$B$7:$B$49,'TH_MLG GRADE 10'!$BL$7:$BL$49,"",0,1))&lt;=TODAY(),TRUE,FALSE)</f>
        <v>1</v>
      </c>
      <c r="E62" s="25">
        <f t="shared" ca="1" si="0"/>
        <v>0</v>
      </c>
      <c r="F62" t="s">
        <v>266</v>
      </c>
      <c r="G62">
        <v>3</v>
      </c>
      <c r="H62">
        <f>IFERROR(
 --(INDEX('PW_MLG GRADE 10'!#REF!,MATCH(LEFT($A62,LEN($A62)-2),'PW_MLG GRADE 10'!$B$7:$B$31,0))="P")+
 --(INDEX('PW_MLG GRADE 10'!#REF!,MATCH(LEFT($A62,LEN($A62)-2),'PW_MLG GRADE 10'!$B$7:$B$31,0))="P")+
 --(INDEX('PW_MLG GRADE 10'!#REF!,MATCH(LEFT($A62,LEN($A62)-2),'PW_MLG GRADE 10'!$B$7:$B$31,0))="P")+
 --(INDEX('PW_MLG GRADE 10'!#REF!,MATCH(LEFT($A62,LEN($A62)-2),'PW_MLG GRADE 10'!$B$7:$B$31,0))="P")+
 --(INDEX('PW_MLG GRADE 10'!#REF!,MATCH(LEFT($A62,LEN($A62)-2),'PW_MLG GRADE 10'!$B$7:$B$31,0))="P")+
 --(INDEX('PW_MLG GRADE 10'!#REF!,MATCH(LEFT($A62,LEN($A62)-2),'PW_MLG GRADE 10'!$B$7:$B$31,0))="P")+
 --(INDEX('PW_MLG GRADE 10'!#REF!,MATCH(LEFT($A62,LEN($A62)-2),'PW_MLG GRADE 10'!$B$7:$B$31,0))="P")+
 --(INDEX('PW_MLG GRADE 10'!#REF!,MATCH(LEFT($A62,LEN($A62)-2),'PW_MLG GRADE 10'!$B$7:$B$31,0))="P")+
 --(INDEX('PW_MLG GRADE 10'!#REF!,MATCH(LEFT($A62,LEN($A62)-2),'PW_MLG GRADE 10'!$B$7:$B$31,0))="P")+
 --(INDEX('PW_MLG GRADE 10'!#REF!,MATCH(LEFT($A62,LEN($A62)-2),'PW_MLG GRADE 10'!$B$7:$B$31,0))="P"),
0)</f>
        <v>0</v>
      </c>
      <c r="I62" t="e">
        <f ca="1">IF(IF(_xlfn.XLOOKUP(LEFT(F62,LEN(F62)-2),'PW_MLG GRADE 10'!$B$7:$B$31,'PW_MLG GRADE 10'!#REF!,"",0,1)=0,"",_xlfn.XLOOKUP(LEFT(F62,LEN(F62)-2),'PW_MLG GRADE 10'!$B$7:$B$31,'PW_MLG GRADE 10'!#REF!,"",0,1))&lt;=TODAY(),TRUE,FALSE)</f>
        <v>#REF!</v>
      </c>
      <c r="J62">
        <f t="shared" ca="1" si="1"/>
        <v>0</v>
      </c>
    </row>
    <row r="63" spans="1:10">
      <c r="A63" s="24" t="s">
        <v>267</v>
      </c>
      <c r="B63">
        <v>3</v>
      </c>
      <c r="C63">
        <f>IFERROR(
 --(INDEX('TH_MLG GRADE 10'!$D$7:$D$49,MATCH(LEFT($A63,LEN($A63)-2),'TH_MLG GRADE 10'!$B$7:$B$49,0))="P")+
 --(INDEX('TH_MLG GRADE 10'!$J$7:$J$49,MATCH(LEFT($A63,LEN($A63)-2),'TH_MLG GRADE 10'!$B$7:$B$49,0))="P")+
 --(INDEX('TH_MLG GRADE 10'!$P$7:$P$49,MATCH(LEFT($A63,LEN($A63)-2),'TH_MLG GRADE 10'!$B$7:$B$49,0))="P")+
 --(INDEX('TH_MLG GRADE 10'!$AB$7:$AB$49,MATCH(LEFT($A63,LEN($A63)-2),'TH_MLG GRADE 10'!$B$7:$B$49,0))="P")+
 --(INDEX('TH_MLG GRADE 10'!$AH$7:$AH$49,MATCH(LEFT($A63,LEN($A63)-2),'TH_MLG GRADE 10'!$B$7:$B$49,0))="P")+
 --(INDEX('TH_MLG GRADE 10'!$AN$7:$AN$49,MATCH(LEFT($A63,LEN($A63)-2),'TH_MLG GRADE 10'!$B$7:$B$49,0))="P")+
 --(INDEX('TH_MLG GRADE 10'!$AZ$7:$AZ$49,MATCH(LEFT($A63,LEN($A63)-2),'TH_MLG GRADE 10'!$B$7:$B$49,0))="P")+
 --(INDEX('TH_MLG GRADE 10'!$BF$7:$BF$49,MATCH(LEFT($A63,LEN($A63)-2),'TH_MLG GRADE 10'!$B$7:$B$49,0))="P")+
 --(INDEX('TH_MLG GRADE 10'!#REF!,MATCH(LEFT($A63,LEN($A63)-2),'TH_MLG GRADE 10'!$B$7:$B$49,0))="P")+
 --(INDEX('TH_MLG GRADE 10'!#REF!,MATCH(LEFT($A63,LEN($A63)-2),'TH_MLG GRADE 10'!$B$7:$B$49,0))="P"),
0)</f>
        <v>0</v>
      </c>
      <c r="D63" s="24" t="b">
        <f ca="1">IF(IF(_xlfn.XLOOKUP(LEFT(A63,LEN(A63)-2),'TH_MLG GRADE 10'!$B$7:$B$49,'TH_MLG GRADE 10'!$BL$7:$BL$49,"",0,1)=0,"",_xlfn.XLOOKUP(LEFT(A63,LEN(A63)-2),'TH_MLG GRADE 10'!$B$7:$B$49,'TH_MLG GRADE 10'!$BL$7:$BL$49,"",0,1))&lt;=TODAY(),TRUE,FALSE)</f>
        <v>1</v>
      </c>
      <c r="E63" s="25">
        <f t="shared" ca="1" si="0"/>
        <v>0</v>
      </c>
      <c r="F63" t="s">
        <v>267</v>
      </c>
      <c r="G63">
        <v>3</v>
      </c>
      <c r="H63">
        <f>IFERROR(
 --(INDEX('PW_MLG GRADE 10'!#REF!,MATCH(LEFT($A63,LEN($A63)-2),'PW_MLG GRADE 10'!$B$7:$B$31,0))="P")+
 --(INDEX('PW_MLG GRADE 10'!#REF!,MATCH(LEFT($A63,LEN($A63)-2),'PW_MLG GRADE 10'!$B$7:$B$31,0))="P")+
 --(INDEX('PW_MLG GRADE 10'!#REF!,MATCH(LEFT($A63,LEN($A63)-2),'PW_MLG GRADE 10'!$B$7:$B$31,0))="P")+
 --(INDEX('PW_MLG GRADE 10'!#REF!,MATCH(LEFT($A63,LEN($A63)-2),'PW_MLG GRADE 10'!$B$7:$B$31,0))="P")+
 --(INDEX('PW_MLG GRADE 10'!#REF!,MATCH(LEFT($A63,LEN($A63)-2),'PW_MLG GRADE 10'!$B$7:$B$31,0))="P")+
 --(INDEX('PW_MLG GRADE 10'!#REF!,MATCH(LEFT($A63,LEN($A63)-2),'PW_MLG GRADE 10'!$B$7:$B$31,0))="P")+
 --(INDEX('PW_MLG GRADE 10'!#REF!,MATCH(LEFT($A63,LEN($A63)-2),'PW_MLG GRADE 10'!$B$7:$B$31,0))="P")+
 --(INDEX('PW_MLG GRADE 10'!#REF!,MATCH(LEFT($A63,LEN($A63)-2),'PW_MLG GRADE 10'!$B$7:$B$31,0))="P")+
 --(INDEX('PW_MLG GRADE 10'!#REF!,MATCH(LEFT($A63,LEN($A63)-2),'PW_MLG GRADE 10'!$B$7:$B$31,0))="P")+
 --(INDEX('PW_MLG GRADE 10'!#REF!,MATCH(LEFT($A63,LEN($A63)-2),'PW_MLG GRADE 10'!$B$7:$B$31,0))="P"),
0)</f>
        <v>0</v>
      </c>
      <c r="I63" t="e">
        <f ca="1">IF(IF(_xlfn.XLOOKUP(LEFT(F63,LEN(F63)-2),'PW_MLG GRADE 10'!$B$7:$B$31,'PW_MLG GRADE 10'!#REF!,"",0,1)=0,"",_xlfn.XLOOKUP(LEFT(F63,LEN(F63)-2),'PW_MLG GRADE 10'!$B$7:$B$31,'PW_MLG GRADE 10'!#REF!,"",0,1))&lt;=TODAY(),TRUE,FALSE)</f>
        <v>#REF!</v>
      </c>
      <c r="J63">
        <f t="shared" ca="1" si="1"/>
        <v>0</v>
      </c>
    </row>
    <row r="64" spans="1:10">
      <c r="A64" s="24" t="s">
        <v>268</v>
      </c>
      <c r="B64">
        <v>3</v>
      </c>
      <c r="C64">
        <f>IFERROR(
 --(INDEX('TH_MLG GRADE 10'!$D$7:$D$49,MATCH(LEFT($A64,LEN($A64)-2),'TH_MLG GRADE 10'!$B$7:$B$49,0))="P")+
 --(INDEX('TH_MLG GRADE 10'!$J$7:$J$49,MATCH(LEFT($A64,LEN($A64)-2),'TH_MLG GRADE 10'!$B$7:$B$49,0))="P")+
 --(INDEX('TH_MLG GRADE 10'!$P$7:$P$49,MATCH(LEFT($A64,LEN($A64)-2),'TH_MLG GRADE 10'!$B$7:$B$49,0))="P")+
 --(INDEX('TH_MLG GRADE 10'!$AB$7:$AB$49,MATCH(LEFT($A64,LEN($A64)-2),'TH_MLG GRADE 10'!$B$7:$B$49,0))="P")+
 --(INDEX('TH_MLG GRADE 10'!$AH$7:$AH$49,MATCH(LEFT($A64,LEN($A64)-2),'TH_MLG GRADE 10'!$B$7:$B$49,0))="P")+
 --(INDEX('TH_MLG GRADE 10'!$AN$7:$AN$49,MATCH(LEFT($A64,LEN($A64)-2),'TH_MLG GRADE 10'!$B$7:$B$49,0))="P")+
 --(INDEX('TH_MLG GRADE 10'!$AZ$7:$AZ$49,MATCH(LEFT($A64,LEN($A64)-2),'TH_MLG GRADE 10'!$B$7:$B$49,0))="P")+
 --(INDEX('TH_MLG GRADE 10'!$BF$7:$BF$49,MATCH(LEFT($A64,LEN($A64)-2),'TH_MLG GRADE 10'!$B$7:$B$49,0))="P")+
 --(INDEX('TH_MLG GRADE 10'!#REF!,MATCH(LEFT($A64,LEN($A64)-2),'TH_MLG GRADE 10'!$B$7:$B$49,0))="P")+
 --(INDEX('TH_MLG GRADE 10'!#REF!,MATCH(LEFT($A64,LEN($A64)-2),'TH_MLG GRADE 10'!$B$7:$B$49,0))="P"),
0)</f>
        <v>0</v>
      </c>
      <c r="D64" s="24" t="b">
        <f ca="1">IF(IF(_xlfn.XLOOKUP(LEFT(A64,LEN(A64)-2),'TH_MLG GRADE 10'!$B$7:$B$49,'TH_MLG GRADE 10'!$BL$7:$BL$49,"",0,1)=0,"",_xlfn.XLOOKUP(LEFT(A64,LEN(A64)-2),'TH_MLG GRADE 10'!$B$7:$B$49,'TH_MLG GRADE 10'!$BL$7:$BL$49,"",0,1))&lt;=TODAY(),TRUE,FALSE)</f>
        <v>0</v>
      </c>
      <c r="E64" s="25" t="str">
        <f t="shared" ca="1" si="0"/>
        <v/>
      </c>
      <c r="F64" t="s">
        <v>268</v>
      </c>
      <c r="G64">
        <v>3</v>
      </c>
      <c r="H64">
        <f>IFERROR(
 --(INDEX('PW_MLG GRADE 10'!#REF!,MATCH(LEFT($A64,LEN($A64)-2),'PW_MLG GRADE 10'!$B$7:$B$31,0))="P")+
 --(INDEX('PW_MLG GRADE 10'!#REF!,MATCH(LEFT($A64,LEN($A64)-2),'PW_MLG GRADE 10'!$B$7:$B$31,0))="P")+
 --(INDEX('PW_MLG GRADE 10'!#REF!,MATCH(LEFT($A64,LEN($A64)-2),'PW_MLG GRADE 10'!$B$7:$B$31,0))="P")+
 --(INDEX('PW_MLG GRADE 10'!#REF!,MATCH(LEFT($A64,LEN($A64)-2),'PW_MLG GRADE 10'!$B$7:$B$31,0))="P")+
 --(INDEX('PW_MLG GRADE 10'!#REF!,MATCH(LEFT($A64,LEN($A64)-2),'PW_MLG GRADE 10'!$B$7:$B$31,0))="P")+
 --(INDEX('PW_MLG GRADE 10'!#REF!,MATCH(LEFT($A64,LEN($A64)-2),'PW_MLG GRADE 10'!$B$7:$B$31,0))="P")+
 --(INDEX('PW_MLG GRADE 10'!#REF!,MATCH(LEFT($A64,LEN($A64)-2),'PW_MLG GRADE 10'!$B$7:$B$31,0))="P")+
 --(INDEX('PW_MLG GRADE 10'!#REF!,MATCH(LEFT($A64,LEN($A64)-2),'PW_MLG GRADE 10'!$B$7:$B$31,0))="P")+
 --(INDEX('PW_MLG GRADE 10'!#REF!,MATCH(LEFT($A64,LEN($A64)-2),'PW_MLG GRADE 10'!$B$7:$B$31,0))="P")+
 --(INDEX('PW_MLG GRADE 10'!#REF!,MATCH(LEFT($A64,LEN($A64)-2),'PW_MLG GRADE 10'!$B$7:$B$31,0))="P"),
0)</f>
        <v>0</v>
      </c>
      <c r="I64" t="e">
        <f ca="1">IF(IF(_xlfn.XLOOKUP(LEFT(F64,LEN(F64)-2),'PW_MLG GRADE 10'!$B$7:$B$31,'PW_MLG GRADE 10'!#REF!,"",0,1)=0,"",_xlfn.XLOOKUP(LEFT(F64,LEN(F64)-2),'PW_MLG GRADE 10'!$B$7:$B$31,'PW_MLG GRADE 10'!#REF!,"",0,1))&lt;=TODAY(),TRUE,FALSE)</f>
        <v>#REF!</v>
      </c>
      <c r="J64">
        <f t="shared" ca="1" si="1"/>
        <v>0</v>
      </c>
    </row>
    <row r="65" spans="1:10">
      <c r="A65" s="24" t="s">
        <v>269</v>
      </c>
      <c r="B65">
        <v>3</v>
      </c>
      <c r="C65">
        <f>IFERROR(
 --(INDEX('TH_MLG GRADE 10'!$D$7:$D$49,MATCH(LEFT($A65,LEN($A65)-2),'TH_MLG GRADE 10'!$B$7:$B$49,0))="P")+
 --(INDEX('TH_MLG GRADE 10'!$J$7:$J$49,MATCH(LEFT($A65,LEN($A65)-2),'TH_MLG GRADE 10'!$B$7:$B$49,0))="P")+
 --(INDEX('TH_MLG GRADE 10'!$P$7:$P$49,MATCH(LEFT($A65,LEN($A65)-2),'TH_MLG GRADE 10'!$B$7:$B$49,0))="P")+
 --(INDEX('TH_MLG GRADE 10'!$AB$7:$AB$49,MATCH(LEFT($A65,LEN($A65)-2),'TH_MLG GRADE 10'!$B$7:$B$49,0))="P")+
 --(INDEX('TH_MLG GRADE 10'!$AH$7:$AH$49,MATCH(LEFT($A65,LEN($A65)-2),'TH_MLG GRADE 10'!$B$7:$B$49,0))="P")+
 --(INDEX('TH_MLG GRADE 10'!$AN$7:$AN$49,MATCH(LEFT($A65,LEN($A65)-2),'TH_MLG GRADE 10'!$B$7:$B$49,0))="P")+
 --(INDEX('TH_MLG GRADE 10'!$AZ$7:$AZ$49,MATCH(LEFT($A65,LEN($A65)-2),'TH_MLG GRADE 10'!$B$7:$B$49,0))="P")+
 --(INDEX('TH_MLG GRADE 10'!$BF$7:$BF$49,MATCH(LEFT($A65,LEN($A65)-2),'TH_MLG GRADE 10'!$B$7:$B$49,0))="P")+
 --(INDEX('TH_MLG GRADE 10'!#REF!,MATCH(LEFT($A65,LEN($A65)-2),'TH_MLG GRADE 10'!$B$7:$B$49,0))="P")+
 --(INDEX('TH_MLG GRADE 10'!#REF!,MATCH(LEFT($A65,LEN($A65)-2),'TH_MLG GRADE 10'!$B$7:$B$49,0))="P"),
0)</f>
        <v>0</v>
      </c>
      <c r="D65" s="24" t="b">
        <f ca="1">IF(IF(_xlfn.XLOOKUP(LEFT(A65,LEN(A65)-2),'TH_MLG GRADE 10'!$B$7:$B$49,'TH_MLG GRADE 10'!$BL$7:$BL$49,"",0,1)=0,"",_xlfn.XLOOKUP(LEFT(A65,LEN(A65)-2),'TH_MLG GRADE 10'!$B$7:$B$49,'TH_MLG GRADE 10'!$BL$7:$BL$49,"",0,1))&lt;=TODAY(),TRUE,FALSE)</f>
        <v>0</v>
      </c>
      <c r="E65" s="25" t="str">
        <f t="shared" ca="1" si="0"/>
        <v/>
      </c>
      <c r="F65" t="s">
        <v>269</v>
      </c>
      <c r="G65">
        <v>3</v>
      </c>
      <c r="H65">
        <f>IFERROR(
 --(INDEX('PW_MLG GRADE 10'!#REF!,MATCH(LEFT($A65,LEN($A65)-2),'PW_MLG GRADE 10'!$B$7:$B$31,0))="P")+
 --(INDEX('PW_MLG GRADE 10'!#REF!,MATCH(LEFT($A65,LEN($A65)-2),'PW_MLG GRADE 10'!$B$7:$B$31,0))="P")+
 --(INDEX('PW_MLG GRADE 10'!#REF!,MATCH(LEFT($A65,LEN($A65)-2),'PW_MLG GRADE 10'!$B$7:$B$31,0))="P")+
 --(INDEX('PW_MLG GRADE 10'!#REF!,MATCH(LEFT($A65,LEN($A65)-2),'PW_MLG GRADE 10'!$B$7:$B$31,0))="P")+
 --(INDEX('PW_MLG GRADE 10'!#REF!,MATCH(LEFT($A65,LEN($A65)-2),'PW_MLG GRADE 10'!$B$7:$B$31,0))="P")+
 --(INDEX('PW_MLG GRADE 10'!#REF!,MATCH(LEFT($A65,LEN($A65)-2),'PW_MLG GRADE 10'!$B$7:$B$31,0))="P")+
 --(INDEX('PW_MLG GRADE 10'!#REF!,MATCH(LEFT($A65,LEN($A65)-2),'PW_MLG GRADE 10'!$B$7:$B$31,0))="P")+
 --(INDEX('PW_MLG GRADE 10'!#REF!,MATCH(LEFT($A65,LEN($A65)-2),'PW_MLG GRADE 10'!$B$7:$B$31,0))="P")+
 --(INDEX('PW_MLG GRADE 10'!#REF!,MATCH(LEFT($A65,LEN($A65)-2),'PW_MLG GRADE 10'!$B$7:$B$31,0))="P")+
 --(INDEX('PW_MLG GRADE 10'!#REF!,MATCH(LEFT($A65,LEN($A65)-2),'PW_MLG GRADE 10'!$B$7:$B$31,0))="P"),
0)</f>
        <v>0</v>
      </c>
      <c r="I65" t="e">
        <f ca="1">IF(IF(_xlfn.XLOOKUP(LEFT(F65,LEN(F65)-2),'PW_MLG GRADE 10'!$B$7:$B$31,'PW_MLG GRADE 10'!#REF!,"",0,1)=0,"",_xlfn.XLOOKUP(LEFT(F65,LEN(F65)-2),'PW_MLG GRADE 10'!$B$7:$B$31,'PW_MLG GRADE 10'!#REF!,"",0,1))&lt;=TODAY(),TRUE,FALSE)</f>
        <v>#REF!</v>
      </c>
      <c r="J65">
        <f t="shared" ca="1" si="1"/>
        <v>0</v>
      </c>
    </row>
    <row r="66" spans="1:10">
      <c r="A66" s="24" t="s">
        <v>270</v>
      </c>
      <c r="B66">
        <v>3</v>
      </c>
      <c r="C66">
        <f>IFERROR(
 --(INDEX('TH_MLG GRADE 10'!$D$7:$D$49,MATCH(LEFT($A66,LEN($A66)-2),'TH_MLG GRADE 10'!$B$7:$B$49,0))="P")+
 --(INDEX('TH_MLG GRADE 10'!$J$7:$J$49,MATCH(LEFT($A66,LEN($A66)-2),'TH_MLG GRADE 10'!$B$7:$B$49,0))="P")+
 --(INDEX('TH_MLG GRADE 10'!$P$7:$P$49,MATCH(LEFT($A66,LEN($A66)-2),'TH_MLG GRADE 10'!$B$7:$B$49,0))="P")+
 --(INDEX('TH_MLG GRADE 10'!$AB$7:$AB$49,MATCH(LEFT($A66,LEN($A66)-2),'TH_MLG GRADE 10'!$B$7:$B$49,0))="P")+
 --(INDEX('TH_MLG GRADE 10'!$AH$7:$AH$49,MATCH(LEFT($A66,LEN($A66)-2),'TH_MLG GRADE 10'!$B$7:$B$49,0))="P")+
 --(INDEX('TH_MLG GRADE 10'!$AN$7:$AN$49,MATCH(LEFT($A66,LEN($A66)-2),'TH_MLG GRADE 10'!$B$7:$B$49,0))="P")+
 --(INDEX('TH_MLG GRADE 10'!$AZ$7:$AZ$49,MATCH(LEFT($A66,LEN($A66)-2),'TH_MLG GRADE 10'!$B$7:$B$49,0))="P")+
 --(INDEX('TH_MLG GRADE 10'!$BF$7:$BF$49,MATCH(LEFT($A66,LEN($A66)-2),'TH_MLG GRADE 10'!$B$7:$B$49,0))="P")+
 --(INDEX('TH_MLG GRADE 10'!#REF!,MATCH(LEFT($A66,LEN($A66)-2),'TH_MLG GRADE 10'!$B$7:$B$49,0))="P")+
 --(INDEX('TH_MLG GRADE 10'!#REF!,MATCH(LEFT($A66,LEN($A66)-2),'TH_MLG GRADE 10'!$B$7:$B$49,0))="P"),
0)</f>
        <v>0</v>
      </c>
      <c r="D66" s="24" t="b">
        <f ca="1">IF(IF(_xlfn.XLOOKUP(LEFT(A66,LEN(A66)-2),'TH_MLG GRADE 10'!$B$7:$B$49,'TH_MLG GRADE 10'!$BL$7:$BL$49,"",0,1)=0,"",_xlfn.XLOOKUP(LEFT(A66,LEN(A66)-2),'TH_MLG GRADE 10'!$B$7:$B$49,'TH_MLG GRADE 10'!$BL$7:$BL$49,"",0,1))&lt;=TODAY(),TRUE,FALSE)</f>
        <v>1</v>
      </c>
      <c r="E66" s="25">
        <f t="shared" ca="1" si="0"/>
        <v>0</v>
      </c>
      <c r="F66" t="s">
        <v>270</v>
      </c>
      <c r="G66">
        <v>3</v>
      </c>
      <c r="H66">
        <f>IFERROR(
 --(INDEX('PW_MLG GRADE 10'!#REF!,MATCH(LEFT($A66,LEN($A66)-2),'PW_MLG GRADE 10'!$B$7:$B$31,0))="P")+
 --(INDEX('PW_MLG GRADE 10'!#REF!,MATCH(LEFT($A66,LEN($A66)-2),'PW_MLG GRADE 10'!$B$7:$B$31,0))="P")+
 --(INDEX('PW_MLG GRADE 10'!#REF!,MATCH(LEFT($A66,LEN($A66)-2),'PW_MLG GRADE 10'!$B$7:$B$31,0))="P")+
 --(INDEX('PW_MLG GRADE 10'!#REF!,MATCH(LEFT($A66,LEN($A66)-2),'PW_MLG GRADE 10'!$B$7:$B$31,0))="P")+
 --(INDEX('PW_MLG GRADE 10'!#REF!,MATCH(LEFT($A66,LEN($A66)-2),'PW_MLG GRADE 10'!$B$7:$B$31,0))="P")+
 --(INDEX('PW_MLG GRADE 10'!#REF!,MATCH(LEFT($A66,LEN($A66)-2),'PW_MLG GRADE 10'!$B$7:$B$31,0))="P")+
 --(INDEX('PW_MLG GRADE 10'!#REF!,MATCH(LEFT($A66,LEN($A66)-2),'PW_MLG GRADE 10'!$B$7:$B$31,0))="P")+
 --(INDEX('PW_MLG GRADE 10'!#REF!,MATCH(LEFT($A66,LEN($A66)-2),'PW_MLG GRADE 10'!$B$7:$B$31,0))="P")+
 --(INDEX('PW_MLG GRADE 10'!#REF!,MATCH(LEFT($A66,LEN($A66)-2),'PW_MLG GRADE 10'!$B$7:$B$31,0))="P")+
 --(INDEX('PW_MLG GRADE 10'!#REF!,MATCH(LEFT($A66,LEN($A66)-2),'PW_MLG GRADE 10'!$B$7:$B$31,0))="P"),
0)</f>
        <v>0</v>
      </c>
      <c r="I66" t="e">
        <f ca="1">IF(IF(_xlfn.XLOOKUP(LEFT(F66,LEN(F66)-2),'PW_MLG GRADE 10'!$B$7:$B$31,'PW_MLG GRADE 10'!#REF!,"",0,1)=0,"",_xlfn.XLOOKUP(LEFT(F66,LEN(F66)-2),'PW_MLG GRADE 10'!$B$7:$B$31,'PW_MLG GRADE 10'!#REF!,"",0,1))&lt;=TODAY(),TRUE,FALSE)</f>
        <v>#REF!</v>
      </c>
      <c r="J66">
        <f t="shared" ca="1" si="1"/>
        <v>0</v>
      </c>
    </row>
    <row r="67" spans="1:10">
      <c r="A67" s="24" t="s">
        <v>271</v>
      </c>
      <c r="B67">
        <v>3</v>
      </c>
      <c r="C67">
        <f>IFERROR(
 --(INDEX('TH_MLG GRADE 10'!$D$7:$D$49,MATCH(LEFT($A67,LEN($A67)-2),'TH_MLG GRADE 10'!$B$7:$B$49,0))="P")+
 --(INDEX('TH_MLG GRADE 10'!$J$7:$J$49,MATCH(LEFT($A67,LEN($A67)-2),'TH_MLG GRADE 10'!$B$7:$B$49,0))="P")+
 --(INDEX('TH_MLG GRADE 10'!$P$7:$P$49,MATCH(LEFT($A67,LEN($A67)-2),'TH_MLG GRADE 10'!$B$7:$B$49,0))="P")+
 --(INDEX('TH_MLG GRADE 10'!$AB$7:$AB$49,MATCH(LEFT($A67,LEN($A67)-2),'TH_MLG GRADE 10'!$B$7:$B$49,0))="P")+
 --(INDEX('TH_MLG GRADE 10'!$AH$7:$AH$49,MATCH(LEFT($A67,LEN($A67)-2),'TH_MLG GRADE 10'!$B$7:$B$49,0))="P")+
 --(INDEX('TH_MLG GRADE 10'!$AN$7:$AN$49,MATCH(LEFT($A67,LEN($A67)-2),'TH_MLG GRADE 10'!$B$7:$B$49,0))="P")+
 --(INDEX('TH_MLG GRADE 10'!$AZ$7:$AZ$49,MATCH(LEFT($A67,LEN($A67)-2),'TH_MLG GRADE 10'!$B$7:$B$49,0))="P")+
 --(INDEX('TH_MLG GRADE 10'!$BF$7:$BF$49,MATCH(LEFT($A67,LEN($A67)-2),'TH_MLG GRADE 10'!$B$7:$B$49,0))="P")+
 --(INDEX('TH_MLG GRADE 10'!#REF!,MATCH(LEFT($A67,LEN($A67)-2),'TH_MLG GRADE 10'!$B$7:$B$49,0))="P")+
 --(INDEX('TH_MLG GRADE 10'!#REF!,MATCH(LEFT($A67,LEN($A67)-2),'TH_MLG GRADE 10'!$B$7:$B$49,0))="P"),
0)</f>
        <v>0</v>
      </c>
      <c r="D67" s="24" t="b">
        <f ca="1">IF(IF(_xlfn.XLOOKUP(LEFT(A67,LEN(A67)-2),'TH_MLG GRADE 10'!$B$7:$B$49,'TH_MLG GRADE 10'!$BL$7:$BL$49,"",0,1)=0,"",_xlfn.XLOOKUP(LEFT(A67,LEN(A67)-2),'TH_MLG GRADE 10'!$B$7:$B$49,'TH_MLG GRADE 10'!$BL$7:$BL$49,"",0,1))&lt;=TODAY(),TRUE,FALSE)</f>
        <v>1</v>
      </c>
      <c r="E67" s="25">
        <f t="shared" ca="1" si="0"/>
        <v>0</v>
      </c>
      <c r="F67" t="s">
        <v>271</v>
      </c>
      <c r="G67">
        <v>3</v>
      </c>
      <c r="H67">
        <f>IFERROR(
 --(INDEX('PW_MLG GRADE 10'!#REF!,MATCH(LEFT($A67,LEN($A67)-2),'PW_MLG GRADE 10'!$B$7:$B$31,0))="P")+
 --(INDEX('PW_MLG GRADE 10'!#REF!,MATCH(LEFT($A67,LEN($A67)-2),'PW_MLG GRADE 10'!$B$7:$B$31,0))="P")+
 --(INDEX('PW_MLG GRADE 10'!#REF!,MATCH(LEFT($A67,LEN($A67)-2),'PW_MLG GRADE 10'!$B$7:$B$31,0))="P")+
 --(INDEX('PW_MLG GRADE 10'!#REF!,MATCH(LEFT($A67,LEN($A67)-2),'PW_MLG GRADE 10'!$B$7:$B$31,0))="P")+
 --(INDEX('PW_MLG GRADE 10'!#REF!,MATCH(LEFT($A67,LEN($A67)-2),'PW_MLG GRADE 10'!$B$7:$B$31,0))="P")+
 --(INDEX('PW_MLG GRADE 10'!#REF!,MATCH(LEFT($A67,LEN($A67)-2),'PW_MLG GRADE 10'!$B$7:$B$31,0))="P")+
 --(INDEX('PW_MLG GRADE 10'!#REF!,MATCH(LEFT($A67,LEN($A67)-2),'PW_MLG GRADE 10'!$B$7:$B$31,0))="P")+
 --(INDEX('PW_MLG GRADE 10'!#REF!,MATCH(LEFT($A67,LEN($A67)-2),'PW_MLG GRADE 10'!$B$7:$B$31,0))="P")+
 --(INDEX('PW_MLG GRADE 10'!#REF!,MATCH(LEFT($A67,LEN($A67)-2),'PW_MLG GRADE 10'!$B$7:$B$31,0))="P")+
 --(INDEX('PW_MLG GRADE 10'!#REF!,MATCH(LEFT($A67,LEN($A67)-2),'PW_MLG GRADE 10'!$B$7:$B$31,0))="P"),
0)</f>
        <v>0</v>
      </c>
      <c r="I67" t="e">
        <f ca="1">IF(IF(_xlfn.XLOOKUP(LEFT(F67,LEN(F67)-2),'PW_MLG GRADE 10'!$B$7:$B$31,'PW_MLG GRADE 10'!#REF!,"",0,1)=0,"",_xlfn.XLOOKUP(LEFT(F67,LEN(F67)-2),'PW_MLG GRADE 10'!$B$7:$B$31,'PW_MLG GRADE 10'!#REF!,"",0,1))&lt;=TODAY(),TRUE,FALSE)</f>
        <v>#REF!</v>
      </c>
      <c r="J67">
        <f t="shared" ca="1" si="1"/>
        <v>0</v>
      </c>
    </row>
    <row r="68" spans="1:10">
      <c r="A68" s="24" t="s">
        <v>272</v>
      </c>
      <c r="B68">
        <v>3</v>
      </c>
      <c r="C68">
        <f>IFERROR(
 --(INDEX('TH_MLG GRADE 10'!$D$7:$D$49,MATCH(LEFT($A68,LEN($A68)-2),'TH_MLG GRADE 10'!$B$7:$B$49,0))="P")+
 --(INDEX('TH_MLG GRADE 10'!$J$7:$J$49,MATCH(LEFT($A68,LEN($A68)-2),'TH_MLG GRADE 10'!$B$7:$B$49,0))="P")+
 --(INDEX('TH_MLG GRADE 10'!$P$7:$P$49,MATCH(LEFT($A68,LEN($A68)-2),'TH_MLG GRADE 10'!$B$7:$B$49,0))="P")+
 --(INDEX('TH_MLG GRADE 10'!$AB$7:$AB$49,MATCH(LEFT($A68,LEN($A68)-2),'TH_MLG GRADE 10'!$B$7:$B$49,0))="P")+
 --(INDEX('TH_MLG GRADE 10'!$AH$7:$AH$49,MATCH(LEFT($A68,LEN($A68)-2),'TH_MLG GRADE 10'!$B$7:$B$49,0))="P")+
 --(INDEX('TH_MLG GRADE 10'!$AN$7:$AN$49,MATCH(LEFT($A68,LEN($A68)-2),'TH_MLG GRADE 10'!$B$7:$B$49,0))="P")+
 --(INDEX('TH_MLG GRADE 10'!$AZ$7:$AZ$49,MATCH(LEFT($A68,LEN($A68)-2),'TH_MLG GRADE 10'!$B$7:$B$49,0))="P")+
 --(INDEX('TH_MLG GRADE 10'!$BF$7:$BF$49,MATCH(LEFT($A68,LEN($A68)-2),'TH_MLG GRADE 10'!$B$7:$B$49,0))="P")+
 --(INDEX('TH_MLG GRADE 10'!#REF!,MATCH(LEFT($A68,LEN($A68)-2),'TH_MLG GRADE 10'!$B$7:$B$49,0))="P")+
 --(INDEX('TH_MLG GRADE 10'!#REF!,MATCH(LEFT($A68,LEN($A68)-2),'TH_MLG GRADE 10'!$B$7:$B$49,0))="P"),
0)</f>
        <v>0</v>
      </c>
      <c r="D68" s="24" t="b">
        <f ca="1">IF(IF(_xlfn.XLOOKUP(LEFT(A68,LEN(A68)-2),'TH_MLG GRADE 10'!$B$7:$B$49,'TH_MLG GRADE 10'!$BL$7:$BL$49,"",0,1)=0,"",_xlfn.XLOOKUP(LEFT(A68,LEN(A68)-2),'TH_MLG GRADE 10'!$B$7:$B$49,'TH_MLG GRADE 10'!$BL$7:$BL$49,"",0,1))&lt;=TODAY(),TRUE,FALSE)</f>
        <v>1</v>
      </c>
      <c r="E68" s="25">
        <f t="shared" ref="E68:E131" ca="1" si="2">IFERROR(IF(D68=TRUE(),C68/B68,""),0)</f>
        <v>0</v>
      </c>
      <c r="F68" t="s">
        <v>272</v>
      </c>
      <c r="G68">
        <v>3</v>
      </c>
      <c r="H68">
        <f>IFERROR(
 --(INDEX('PW_MLG GRADE 10'!#REF!,MATCH(LEFT($A68,LEN($A68)-2),'PW_MLG GRADE 10'!$B$7:$B$31,0))="P")+
 --(INDEX('PW_MLG GRADE 10'!#REF!,MATCH(LEFT($A68,LEN($A68)-2),'PW_MLG GRADE 10'!$B$7:$B$31,0))="P")+
 --(INDEX('PW_MLG GRADE 10'!#REF!,MATCH(LEFT($A68,LEN($A68)-2),'PW_MLG GRADE 10'!$B$7:$B$31,0))="P")+
 --(INDEX('PW_MLG GRADE 10'!#REF!,MATCH(LEFT($A68,LEN($A68)-2),'PW_MLG GRADE 10'!$B$7:$B$31,0))="P")+
 --(INDEX('PW_MLG GRADE 10'!#REF!,MATCH(LEFT($A68,LEN($A68)-2),'PW_MLG GRADE 10'!$B$7:$B$31,0))="P")+
 --(INDEX('PW_MLG GRADE 10'!#REF!,MATCH(LEFT($A68,LEN($A68)-2),'PW_MLG GRADE 10'!$B$7:$B$31,0))="P")+
 --(INDEX('PW_MLG GRADE 10'!#REF!,MATCH(LEFT($A68,LEN($A68)-2),'PW_MLG GRADE 10'!$B$7:$B$31,0))="P")+
 --(INDEX('PW_MLG GRADE 10'!#REF!,MATCH(LEFT($A68,LEN($A68)-2),'PW_MLG GRADE 10'!$B$7:$B$31,0))="P")+
 --(INDEX('PW_MLG GRADE 10'!#REF!,MATCH(LEFT($A68,LEN($A68)-2),'PW_MLG GRADE 10'!$B$7:$B$31,0))="P")+
 --(INDEX('PW_MLG GRADE 10'!#REF!,MATCH(LEFT($A68,LEN($A68)-2),'PW_MLG GRADE 10'!$B$7:$B$31,0))="P"),
0)</f>
        <v>0</v>
      </c>
      <c r="I68" t="e">
        <f ca="1">IF(IF(_xlfn.XLOOKUP(LEFT(F68,LEN(F68)-2),'PW_MLG GRADE 10'!$B$7:$B$31,'PW_MLG GRADE 10'!#REF!,"",0,1)=0,"",_xlfn.XLOOKUP(LEFT(F68,LEN(F68)-2),'PW_MLG GRADE 10'!$B$7:$B$31,'PW_MLG GRADE 10'!#REF!,"",0,1))&lt;=TODAY(),TRUE,FALSE)</f>
        <v>#REF!</v>
      </c>
      <c r="J68">
        <f t="shared" ref="J68:J131" ca="1" si="3">IFERROR(IF(I68=TRUE(),H68/G68,""),0)</f>
        <v>0</v>
      </c>
    </row>
    <row r="69" spans="1:10">
      <c r="A69" s="24" t="s">
        <v>273</v>
      </c>
      <c r="B69">
        <v>3</v>
      </c>
      <c r="C69">
        <f>IFERROR(
 --(INDEX('TH_MLG GRADE 10'!$D$7:$D$49,MATCH(LEFT($A69,LEN($A69)-2),'TH_MLG GRADE 10'!$B$7:$B$49,0))="P")+
 --(INDEX('TH_MLG GRADE 10'!$J$7:$J$49,MATCH(LEFT($A69,LEN($A69)-2),'TH_MLG GRADE 10'!$B$7:$B$49,0))="P")+
 --(INDEX('TH_MLG GRADE 10'!$P$7:$P$49,MATCH(LEFT($A69,LEN($A69)-2),'TH_MLG GRADE 10'!$B$7:$B$49,0))="P")+
 --(INDEX('TH_MLG GRADE 10'!$AB$7:$AB$49,MATCH(LEFT($A69,LEN($A69)-2),'TH_MLG GRADE 10'!$B$7:$B$49,0))="P")+
 --(INDEX('TH_MLG GRADE 10'!$AH$7:$AH$49,MATCH(LEFT($A69,LEN($A69)-2),'TH_MLG GRADE 10'!$B$7:$B$49,0))="P")+
 --(INDEX('TH_MLG GRADE 10'!$AN$7:$AN$49,MATCH(LEFT($A69,LEN($A69)-2),'TH_MLG GRADE 10'!$B$7:$B$49,0))="P")+
 --(INDEX('TH_MLG GRADE 10'!$AZ$7:$AZ$49,MATCH(LEFT($A69,LEN($A69)-2),'TH_MLG GRADE 10'!$B$7:$B$49,0))="P")+
 --(INDEX('TH_MLG GRADE 10'!$BF$7:$BF$49,MATCH(LEFT($A69,LEN($A69)-2),'TH_MLG GRADE 10'!$B$7:$B$49,0))="P")+
 --(INDEX('TH_MLG GRADE 10'!#REF!,MATCH(LEFT($A69,LEN($A69)-2),'TH_MLG GRADE 10'!$B$7:$B$49,0))="P")+
 --(INDEX('TH_MLG GRADE 10'!#REF!,MATCH(LEFT($A69,LEN($A69)-2),'TH_MLG GRADE 10'!$B$7:$B$49,0))="P"),
0)</f>
        <v>0</v>
      </c>
      <c r="D69" s="24" t="b">
        <f ca="1">IF(IF(_xlfn.XLOOKUP(LEFT(A69,LEN(A69)-2),'TH_MLG GRADE 10'!$B$7:$B$49,'TH_MLG GRADE 10'!$BL$7:$BL$49,"",0,1)=0,"",_xlfn.XLOOKUP(LEFT(A69,LEN(A69)-2),'TH_MLG GRADE 10'!$B$7:$B$49,'TH_MLG GRADE 10'!$BL$7:$BL$49,"",0,1))&lt;=TODAY(),TRUE,FALSE)</f>
        <v>1</v>
      </c>
      <c r="E69" s="25">
        <f t="shared" ca="1" si="2"/>
        <v>0</v>
      </c>
      <c r="F69" t="s">
        <v>273</v>
      </c>
      <c r="G69">
        <v>3</v>
      </c>
      <c r="H69">
        <f>IFERROR(
 --(INDEX('PW_MLG GRADE 10'!#REF!,MATCH(LEFT($A69,LEN($A69)-2),'PW_MLG GRADE 10'!$B$7:$B$31,0))="P")+
 --(INDEX('PW_MLG GRADE 10'!#REF!,MATCH(LEFT($A69,LEN($A69)-2),'PW_MLG GRADE 10'!$B$7:$B$31,0))="P")+
 --(INDEX('PW_MLG GRADE 10'!#REF!,MATCH(LEFT($A69,LEN($A69)-2),'PW_MLG GRADE 10'!$B$7:$B$31,0))="P")+
 --(INDEX('PW_MLG GRADE 10'!#REF!,MATCH(LEFT($A69,LEN($A69)-2),'PW_MLG GRADE 10'!$B$7:$B$31,0))="P")+
 --(INDEX('PW_MLG GRADE 10'!#REF!,MATCH(LEFT($A69,LEN($A69)-2),'PW_MLG GRADE 10'!$B$7:$B$31,0))="P")+
 --(INDEX('PW_MLG GRADE 10'!#REF!,MATCH(LEFT($A69,LEN($A69)-2),'PW_MLG GRADE 10'!$B$7:$B$31,0))="P")+
 --(INDEX('PW_MLG GRADE 10'!#REF!,MATCH(LEFT($A69,LEN($A69)-2),'PW_MLG GRADE 10'!$B$7:$B$31,0))="P")+
 --(INDEX('PW_MLG GRADE 10'!#REF!,MATCH(LEFT($A69,LEN($A69)-2),'PW_MLG GRADE 10'!$B$7:$B$31,0))="P")+
 --(INDEX('PW_MLG GRADE 10'!#REF!,MATCH(LEFT($A69,LEN($A69)-2),'PW_MLG GRADE 10'!$B$7:$B$31,0))="P")+
 --(INDEX('PW_MLG GRADE 10'!#REF!,MATCH(LEFT($A69,LEN($A69)-2),'PW_MLG GRADE 10'!$B$7:$B$31,0))="P"),
0)</f>
        <v>0</v>
      </c>
      <c r="I69" t="e">
        <f ca="1">IF(IF(_xlfn.XLOOKUP(LEFT(F69,LEN(F69)-2),'PW_MLG GRADE 10'!$B$7:$B$31,'PW_MLG GRADE 10'!#REF!,"",0,1)=0,"",_xlfn.XLOOKUP(LEFT(F69,LEN(F69)-2),'PW_MLG GRADE 10'!$B$7:$B$31,'PW_MLG GRADE 10'!#REF!,"",0,1))&lt;=TODAY(),TRUE,FALSE)</f>
        <v>#REF!</v>
      </c>
      <c r="J69">
        <f t="shared" ca="1" si="3"/>
        <v>0</v>
      </c>
    </row>
    <row r="70" spans="1:10">
      <c r="A70" s="24" t="s">
        <v>274</v>
      </c>
      <c r="B70">
        <v>3</v>
      </c>
      <c r="C70">
        <f>IFERROR(
 --(INDEX('TH_MLG GRADE 10'!$D$7:$D$49,MATCH(LEFT($A70,LEN($A70)-2),'TH_MLG GRADE 10'!$B$7:$B$49,0))="P")+
 --(INDEX('TH_MLG GRADE 10'!$J$7:$J$49,MATCH(LEFT($A70,LEN($A70)-2),'TH_MLG GRADE 10'!$B$7:$B$49,0))="P")+
 --(INDEX('TH_MLG GRADE 10'!$P$7:$P$49,MATCH(LEFT($A70,LEN($A70)-2),'TH_MLG GRADE 10'!$B$7:$B$49,0))="P")+
 --(INDEX('TH_MLG GRADE 10'!$AB$7:$AB$49,MATCH(LEFT($A70,LEN($A70)-2),'TH_MLG GRADE 10'!$B$7:$B$49,0))="P")+
 --(INDEX('TH_MLG GRADE 10'!$AH$7:$AH$49,MATCH(LEFT($A70,LEN($A70)-2),'TH_MLG GRADE 10'!$B$7:$B$49,0))="P")+
 --(INDEX('TH_MLG GRADE 10'!$AN$7:$AN$49,MATCH(LEFT($A70,LEN($A70)-2),'TH_MLG GRADE 10'!$B$7:$B$49,0))="P")+
 --(INDEX('TH_MLG GRADE 10'!$AZ$7:$AZ$49,MATCH(LEFT($A70,LEN($A70)-2),'TH_MLG GRADE 10'!$B$7:$B$49,0))="P")+
 --(INDEX('TH_MLG GRADE 10'!$BF$7:$BF$49,MATCH(LEFT($A70,LEN($A70)-2),'TH_MLG GRADE 10'!$B$7:$B$49,0))="P")+
 --(INDEX('TH_MLG GRADE 10'!#REF!,MATCH(LEFT($A70,LEN($A70)-2),'TH_MLG GRADE 10'!$B$7:$B$49,0))="P")+
 --(INDEX('TH_MLG GRADE 10'!#REF!,MATCH(LEFT($A70,LEN($A70)-2),'TH_MLG GRADE 10'!$B$7:$B$49,0))="P"),
0)</f>
        <v>0</v>
      </c>
      <c r="D70" s="24" t="b">
        <f ca="1">IF(IF(_xlfn.XLOOKUP(LEFT(A70,LEN(A70)-2),'TH_MLG GRADE 10'!$B$7:$B$49,'TH_MLG GRADE 10'!$BL$7:$BL$49,"",0,1)=0,"",_xlfn.XLOOKUP(LEFT(A70,LEN(A70)-2),'TH_MLG GRADE 10'!$B$7:$B$49,'TH_MLG GRADE 10'!$BL$7:$BL$49,"",0,1))&lt;=TODAY(),TRUE,FALSE)</f>
        <v>1</v>
      </c>
      <c r="E70" s="25">
        <f t="shared" ca="1" si="2"/>
        <v>0</v>
      </c>
      <c r="F70" t="s">
        <v>274</v>
      </c>
      <c r="G70">
        <v>3</v>
      </c>
      <c r="H70">
        <f>IFERROR(
 --(INDEX('PW_MLG GRADE 10'!#REF!,MATCH(LEFT($A70,LEN($A70)-2),'PW_MLG GRADE 10'!$B$7:$B$31,0))="P")+
 --(INDEX('PW_MLG GRADE 10'!#REF!,MATCH(LEFT($A70,LEN($A70)-2),'PW_MLG GRADE 10'!$B$7:$B$31,0))="P")+
 --(INDEX('PW_MLG GRADE 10'!#REF!,MATCH(LEFT($A70,LEN($A70)-2),'PW_MLG GRADE 10'!$B$7:$B$31,0))="P")+
 --(INDEX('PW_MLG GRADE 10'!#REF!,MATCH(LEFT($A70,LEN($A70)-2),'PW_MLG GRADE 10'!$B$7:$B$31,0))="P")+
 --(INDEX('PW_MLG GRADE 10'!#REF!,MATCH(LEFT($A70,LEN($A70)-2),'PW_MLG GRADE 10'!$B$7:$B$31,0))="P")+
 --(INDEX('PW_MLG GRADE 10'!#REF!,MATCH(LEFT($A70,LEN($A70)-2),'PW_MLG GRADE 10'!$B$7:$B$31,0))="P")+
 --(INDEX('PW_MLG GRADE 10'!#REF!,MATCH(LEFT($A70,LEN($A70)-2),'PW_MLG GRADE 10'!$B$7:$B$31,0))="P")+
 --(INDEX('PW_MLG GRADE 10'!#REF!,MATCH(LEFT($A70,LEN($A70)-2),'PW_MLG GRADE 10'!$B$7:$B$31,0))="P")+
 --(INDEX('PW_MLG GRADE 10'!#REF!,MATCH(LEFT($A70,LEN($A70)-2),'PW_MLG GRADE 10'!$B$7:$B$31,0))="P")+
 --(INDEX('PW_MLG GRADE 10'!#REF!,MATCH(LEFT($A70,LEN($A70)-2),'PW_MLG GRADE 10'!$B$7:$B$31,0))="P"),
0)</f>
        <v>0</v>
      </c>
      <c r="I70" t="e">
        <f ca="1">IF(IF(_xlfn.XLOOKUP(LEFT(F70,LEN(F70)-2),'PW_MLG GRADE 10'!$B$7:$B$31,'PW_MLG GRADE 10'!#REF!,"",0,1)=0,"",_xlfn.XLOOKUP(LEFT(F70,LEN(F70)-2),'PW_MLG GRADE 10'!$B$7:$B$31,'PW_MLG GRADE 10'!#REF!,"",0,1))&lt;=TODAY(),TRUE,FALSE)</f>
        <v>#REF!</v>
      </c>
      <c r="J70">
        <f t="shared" ca="1" si="3"/>
        <v>0</v>
      </c>
    </row>
    <row r="71" spans="1:10">
      <c r="A71" s="24" t="s">
        <v>275</v>
      </c>
      <c r="B71">
        <v>3</v>
      </c>
      <c r="C71">
        <f>IFERROR(
 --(INDEX('TH_MLG GRADE 10'!$D$7:$D$49,MATCH(LEFT($A71,LEN($A71)-2),'TH_MLG GRADE 10'!$B$7:$B$49,0))="P")+
 --(INDEX('TH_MLG GRADE 10'!$J$7:$J$49,MATCH(LEFT($A71,LEN($A71)-2),'TH_MLG GRADE 10'!$B$7:$B$49,0))="P")+
 --(INDEX('TH_MLG GRADE 10'!$P$7:$P$49,MATCH(LEFT($A71,LEN($A71)-2),'TH_MLG GRADE 10'!$B$7:$B$49,0))="P")+
 --(INDEX('TH_MLG GRADE 10'!$AB$7:$AB$49,MATCH(LEFT($A71,LEN($A71)-2),'TH_MLG GRADE 10'!$B$7:$B$49,0))="P")+
 --(INDEX('TH_MLG GRADE 10'!$AH$7:$AH$49,MATCH(LEFT($A71,LEN($A71)-2),'TH_MLG GRADE 10'!$B$7:$B$49,0))="P")+
 --(INDEX('TH_MLG GRADE 10'!$AN$7:$AN$49,MATCH(LEFT($A71,LEN($A71)-2),'TH_MLG GRADE 10'!$B$7:$B$49,0))="P")+
 --(INDEX('TH_MLG GRADE 10'!$AZ$7:$AZ$49,MATCH(LEFT($A71,LEN($A71)-2),'TH_MLG GRADE 10'!$B$7:$B$49,0))="P")+
 --(INDEX('TH_MLG GRADE 10'!$BF$7:$BF$49,MATCH(LEFT($A71,LEN($A71)-2),'TH_MLG GRADE 10'!$B$7:$B$49,0))="P")+
 --(INDEX('TH_MLG GRADE 10'!#REF!,MATCH(LEFT($A71,LEN($A71)-2),'TH_MLG GRADE 10'!$B$7:$B$49,0))="P")+
 --(INDEX('TH_MLG GRADE 10'!#REF!,MATCH(LEFT($A71,LEN($A71)-2),'TH_MLG GRADE 10'!$B$7:$B$49,0))="P"),
0)</f>
        <v>0</v>
      </c>
      <c r="D71" s="24" t="b">
        <f ca="1">IF(IF(_xlfn.XLOOKUP(LEFT(A71,LEN(A71)-2),'TH_MLG GRADE 10'!$B$7:$B$49,'TH_MLG GRADE 10'!$BL$7:$BL$49,"",0,1)=0,"",_xlfn.XLOOKUP(LEFT(A71,LEN(A71)-2),'TH_MLG GRADE 10'!$B$7:$B$49,'TH_MLG GRADE 10'!$BL$7:$BL$49,"",0,1))&lt;=TODAY(),TRUE,FALSE)</f>
        <v>1</v>
      </c>
      <c r="E71" s="25">
        <f t="shared" ca="1" si="2"/>
        <v>0</v>
      </c>
      <c r="F71" t="s">
        <v>275</v>
      </c>
      <c r="G71">
        <v>3</v>
      </c>
      <c r="H71">
        <f>IFERROR(
 --(INDEX('PW_MLG GRADE 10'!#REF!,MATCH(LEFT($A71,LEN($A71)-2),'PW_MLG GRADE 10'!$B$7:$B$31,0))="P")+
 --(INDEX('PW_MLG GRADE 10'!#REF!,MATCH(LEFT($A71,LEN($A71)-2),'PW_MLG GRADE 10'!$B$7:$B$31,0))="P")+
 --(INDEX('PW_MLG GRADE 10'!#REF!,MATCH(LEFT($A71,LEN($A71)-2),'PW_MLG GRADE 10'!$B$7:$B$31,0))="P")+
 --(INDEX('PW_MLG GRADE 10'!#REF!,MATCH(LEFT($A71,LEN($A71)-2),'PW_MLG GRADE 10'!$B$7:$B$31,0))="P")+
 --(INDEX('PW_MLG GRADE 10'!#REF!,MATCH(LEFT($A71,LEN($A71)-2),'PW_MLG GRADE 10'!$B$7:$B$31,0))="P")+
 --(INDEX('PW_MLG GRADE 10'!#REF!,MATCH(LEFT($A71,LEN($A71)-2),'PW_MLG GRADE 10'!$B$7:$B$31,0))="P")+
 --(INDEX('PW_MLG GRADE 10'!#REF!,MATCH(LEFT($A71,LEN($A71)-2),'PW_MLG GRADE 10'!$B$7:$B$31,0))="P")+
 --(INDEX('PW_MLG GRADE 10'!#REF!,MATCH(LEFT($A71,LEN($A71)-2),'PW_MLG GRADE 10'!$B$7:$B$31,0))="P")+
 --(INDEX('PW_MLG GRADE 10'!#REF!,MATCH(LEFT($A71,LEN($A71)-2),'PW_MLG GRADE 10'!$B$7:$B$31,0))="P")+
 --(INDEX('PW_MLG GRADE 10'!#REF!,MATCH(LEFT($A71,LEN($A71)-2),'PW_MLG GRADE 10'!$B$7:$B$31,0))="P"),
0)</f>
        <v>0</v>
      </c>
      <c r="I71" t="e">
        <f ca="1">IF(IF(_xlfn.XLOOKUP(LEFT(F71,LEN(F71)-2),'PW_MLG GRADE 10'!$B$7:$B$31,'PW_MLG GRADE 10'!#REF!,"",0,1)=0,"",_xlfn.XLOOKUP(LEFT(F71,LEN(F71)-2),'PW_MLG GRADE 10'!$B$7:$B$31,'PW_MLG GRADE 10'!#REF!,"",0,1))&lt;=TODAY(),TRUE,FALSE)</f>
        <v>#REF!</v>
      </c>
      <c r="J71">
        <f t="shared" ca="1" si="3"/>
        <v>0</v>
      </c>
    </row>
    <row r="72" spans="1:10">
      <c r="A72" s="24" t="s">
        <v>276</v>
      </c>
      <c r="B72">
        <v>3</v>
      </c>
      <c r="C72">
        <f>IFERROR(
 --(INDEX('TH_MLG GRADE 10'!$D$7:$D$49,MATCH(LEFT($A72,LEN($A72)-2),'TH_MLG GRADE 10'!$B$7:$B$49,0))="P")+
 --(INDEX('TH_MLG GRADE 10'!$J$7:$J$49,MATCH(LEFT($A72,LEN($A72)-2),'TH_MLG GRADE 10'!$B$7:$B$49,0))="P")+
 --(INDEX('TH_MLG GRADE 10'!$P$7:$P$49,MATCH(LEFT($A72,LEN($A72)-2),'TH_MLG GRADE 10'!$B$7:$B$49,0))="P")+
 --(INDEX('TH_MLG GRADE 10'!$AB$7:$AB$49,MATCH(LEFT($A72,LEN($A72)-2),'TH_MLG GRADE 10'!$B$7:$B$49,0))="P")+
 --(INDEX('TH_MLG GRADE 10'!$AH$7:$AH$49,MATCH(LEFT($A72,LEN($A72)-2),'TH_MLG GRADE 10'!$B$7:$B$49,0))="P")+
 --(INDEX('TH_MLG GRADE 10'!$AN$7:$AN$49,MATCH(LEFT($A72,LEN($A72)-2),'TH_MLG GRADE 10'!$B$7:$B$49,0))="P")+
 --(INDEX('TH_MLG GRADE 10'!$AZ$7:$AZ$49,MATCH(LEFT($A72,LEN($A72)-2),'TH_MLG GRADE 10'!$B$7:$B$49,0))="P")+
 --(INDEX('TH_MLG GRADE 10'!$BF$7:$BF$49,MATCH(LEFT($A72,LEN($A72)-2),'TH_MLG GRADE 10'!$B$7:$B$49,0))="P")+
 --(INDEX('TH_MLG GRADE 10'!#REF!,MATCH(LEFT($A72,LEN($A72)-2),'TH_MLG GRADE 10'!$B$7:$B$49,0))="P")+
 --(INDEX('TH_MLG GRADE 10'!#REF!,MATCH(LEFT($A72,LEN($A72)-2),'TH_MLG GRADE 10'!$B$7:$B$49,0))="P"),
0)</f>
        <v>0</v>
      </c>
      <c r="D72" s="24" t="b">
        <f ca="1">IF(IF(_xlfn.XLOOKUP(LEFT(A72,LEN(A72)-2),'TH_MLG GRADE 10'!$B$7:$B$49,'TH_MLG GRADE 10'!$BL$7:$BL$49,"",0,1)=0,"",_xlfn.XLOOKUP(LEFT(A72,LEN(A72)-2),'TH_MLG GRADE 10'!$B$7:$B$49,'TH_MLG GRADE 10'!$BL$7:$BL$49,"",0,1))&lt;=TODAY(),TRUE,FALSE)</f>
        <v>1</v>
      </c>
      <c r="E72" s="25">
        <f t="shared" ca="1" si="2"/>
        <v>0</v>
      </c>
      <c r="F72" t="s">
        <v>276</v>
      </c>
      <c r="G72">
        <v>3</v>
      </c>
      <c r="H72">
        <f>IFERROR(
 --(INDEX('PW_MLG GRADE 10'!#REF!,MATCH(LEFT($A72,LEN($A72)-2),'PW_MLG GRADE 10'!$B$7:$B$31,0))="P")+
 --(INDEX('PW_MLG GRADE 10'!#REF!,MATCH(LEFT($A72,LEN($A72)-2),'PW_MLG GRADE 10'!$B$7:$B$31,0))="P")+
 --(INDEX('PW_MLG GRADE 10'!#REF!,MATCH(LEFT($A72,LEN($A72)-2),'PW_MLG GRADE 10'!$B$7:$B$31,0))="P")+
 --(INDEX('PW_MLG GRADE 10'!#REF!,MATCH(LEFT($A72,LEN($A72)-2),'PW_MLG GRADE 10'!$B$7:$B$31,0))="P")+
 --(INDEX('PW_MLG GRADE 10'!#REF!,MATCH(LEFT($A72,LEN($A72)-2),'PW_MLG GRADE 10'!$B$7:$B$31,0))="P")+
 --(INDEX('PW_MLG GRADE 10'!#REF!,MATCH(LEFT($A72,LEN($A72)-2),'PW_MLG GRADE 10'!$B$7:$B$31,0))="P")+
 --(INDEX('PW_MLG GRADE 10'!#REF!,MATCH(LEFT($A72,LEN($A72)-2),'PW_MLG GRADE 10'!$B$7:$B$31,0))="P")+
 --(INDEX('PW_MLG GRADE 10'!#REF!,MATCH(LEFT($A72,LEN($A72)-2),'PW_MLG GRADE 10'!$B$7:$B$31,0))="P")+
 --(INDEX('PW_MLG GRADE 10'!#REF!,MATCH(LEFT($A72,LEN($A72)-2),'PW_MLG GRADE 10'!$B$7:$B$31,0))="P")+
 --(INDEX('PW_MLG GRADE 10'!#REF!,MATCH(LEFT($A72,LEN($A72)-2),'PW_MLG GRADE 10'!$B$7:$B$31,0))="P"),
0)</f>
        <v>0</v>
      </c>
      <c r="I72" t="e">
        <f ca="1">IF(IF(_xlfn.XLOOKUP(LEFT(F72,LEN(F72)-2),'PW_MLG GRADE 10'!$B$7:$B$31,'PW_MLG GRADE 10'!#REF!,"",0,1)=0,"",_xlfn.XLOOKUP(LEFT(F72,LEN(F72)-2),'PW_MLG GRADE 10'!$B$7:$B$31,'PW_MLG GRADE 10'!#REF!,"",0,1))&lt;=TODAY(),TRUE,FALSE)</f>
        <v>#REF!</v>
      </c>
      <c r="J72">
        <f t="shared" ca="1" si="3"/>
        <v>0</v>
      </c>
    </row>
    <row r="73" spans="1:10">
      <c r="A73" s="24" t="s">
        <v>277</v>
      </c>
      <c r="B73">
        <v>3</v>
      </c>
      <c r="C73">
        <f>IFERROR(
 --(INDEX('TH_MLG GRADE 10'!$D$7:$D$49,MATCH(LEFT($A73,LEN($A73)-2),'TH_MLG GRADE 10'!$B$7:$B$49,0))="P")+
 --(INDEX('TH_MLG GRADE 10'!$J$7:$J$49,MATCH(LEFT($A73,LEN($A73)-2),'TH_MLG GRADE 10'!$B$7:$B$49,0))="P")+
 --(INDEX('TH_MLG GRADE 10'!$P$7:$P$49,MATCH(LEFT($A73,LEN($A73)-2),'TH_MLG GRADE 10'!$B$7:$B$49,0))="P")+
 --(INDEX('TH_MLG GRADE 10'!$AB$7:$AB$49,MATCH(LEFT($A73,LEN($A73)-2),'TH_MLG GRADE 10'!$B$7:$B$49,0))="P")+
 --(INDEX('TH_MLG GRADE 10'!$AH$7:$AH$49,MATCH(LEFT($A73,LEN($A73)-2),'TH_MLG GRADE 10'!$B$7:$B$49,0))="P")+
 --(INDEX('TH_MLG GRADE 10'!$AN$7:$AN$49,MATCH(LEFT($A73,LEN($A73)-2),'TH_MLG GRADE 10'!$B$7:$B$49,0))="P")+
 --(INDEX('TH_MLG GRADE 10'!$AZ$7:$AZ$49,MATCH(LEFT($A73,LEN($A73)-2),'TH_MLG GRADE 10'!$B$7:$B$49,0))="P")+
 --(INDEX('TH_MLG GRADE 10'!$BF$7:$BF$49,MATCH(LEFT($A73,LEN($A73)-2),'TH_MLG GRADE 10'!$B$7:$B$49,0))="P")+
 --(INDEX('TH_MLG GRADE 10'!#REF!,MATCH(LEFT($A73,LEN($A73)-2),'TH_MLG GRADE 10'!$B$7:$B$49,0))="P")+
 --(INDEX('TH_MLG GRADE 10'!#REF!,MATCH(LEFT($A73,LEN($A73)-2),'TH_MLG GRADE 10'!$B$7:$B$49,0))="P"),
0)</f>
        <v>0</v>
      </c>
      <c r="D73" s="24" t="b">
        <f ca="1">IF(IF(_xlfn.XLOOKUP(LEFT(A73,LEN(A73)-2),'TH_MLG GRADE 10'!$B$7:$B$49,'TH_MLG GRADE 10'!$BL$7:$BL$49,"",0,1)=0,"",_xlfn.XLOOKUP(LEFT(A73,LEN(A73)-2),'TH_MLG GRADE 10'!$B$7:$B$49,'TH_MLG GRADE 10'!$BL$7:$BL$49,"",0,1))&lt;=TODAY(),TRUE,FALSE)</f>
        <v>1</v>
      </c>
      <c r="E73" s="25">
        <f t="shared" ca="1" si="2"/>
        <v>0</v>
      </c>
      <c r="F73" t="s">
        <v>277</v>
      </c>
      <c r="G73">
        <v>3</v>
      </c>
      <c r="H73">
        <f>IFERROR(
 --(INDEX('PW_MLG GRADE 10'!#REF!,MATCH(LEFT($A73,LEN($A73)-2),'PW_MLG GRADE 10'!$B$7:$B$31,0))="P")+
 --(INDEX('PW_MLG GRADE 10'!#REF!,MATCH(LEFT($A73,LEN($A73)-2),'PW_MLG GRADE 10'!$B$7:$B$31,0))="P")+
 --(INDEX('PW_MLG GRADE 10'!#REF!,MATCH(LEFT($A73,LEN($A73)-2),'PW_MLG GRADE 10'!$B$7:$B$31,0))="P")+
 --(INDEX('PW_MLG GRADE 10'!#REF!,MATCH(LEFT($A73,LEN($A73)-2),'PW_MLG GRADE 10'!$B$7:$B$31,0))="P")+
 --(INDEX('PW_MLG GRADE 10'!#REF!,MATCH(LEFT($A73,LEN($A73)-2),'PW_MLG GRADE 10'!$B$7:$B$31,0))="P")+
 --(INDEX('PW_MLG GRADE 10'!#REF!,MATCH(LEFT($A73,LEN($A73)-2),'PW_MLG GRADE 10'!$B$7:$B$31,0))="P")+
 --(INDEX('PW_MLG GRADE 10'!#REF!,MATCH(LEFT($A73,LEN($A73)-2),'PW_MLG GRADE 10'!$B$7:$B$31,0))="P")+
 --(INDEX('PW_MLG GRADE 10'!#REF!,MATCH(LEFT($A73,LEN($A73)-2),'PW_MLG GRADE 10'!$B$7:$B$31,0))="P")+
 --(INDEX('PW_MLG GRADE 10'!#REF!,MATCH(LEFT($A73,LEN($A73)-2),'PW_MLG GRADE 10'!$B$7:$B$31,0))="P")+
 --(INDEX('PW_MLG GRADE 10'!#REF!,MATCH(LEFT($A73,LEN($A73)-2),'PW_MLG GRADE 10'!$B$7:$B$31,0))="P"),
0)</f>
        <v>0</v>
      </c>
      <c r="I73" t="e">
        <f ca="1">IF(IF(_xlfn.XLOOKUP(LEFT(F73,LEN(F73)-2),'PW_MLG GRADE 10'!$B$7:$B$31,'PW_MLG GRADE 10'!#REF!,"",0,1)=0,"",_xlfn.XLOOKUP(LEFT(F73,LEN(F73)-2),'PW_MLG GRADE 10'!$B$7:$B$31,'PW_MLG GRADE 10'!#REF!,"",0,1))&lt;=TODAY(),TRUE,FALSE)</f>
        <v>#REF!</v>
      </c>
      <c r="J73">
        <f t="shared" ca="1" si="3"/>
        <v>0</v>
      </c>
    </row>
    <row r="74" spans="1:10">
      <c r="A74" s="24" t="s">
        <v>278</v>
      </c>
      <c r="B74">
        <v>3</v>
      </c>
      <c r="C74">
        <f>IFERROR(
 --(INDEX('TH_MLG GRADE 10'!$D$7:$D$49,MATCH(LEFT($A74,LEN($A74)-2),'TH_MLG GRADE 10'!$B$7:$B$49,0))="P")+
 --(INDEX('TH_MLG GRADE 10'!$J$7:$J$49,MATCH(LEFT($A74,LEN($A74)-2),'TH_MLG GRADE 10'!$B$7:$B$49,0))="P")+
 --(INDEX('TH_MLG GRADE 10'!$P$7:$P$49,MATCH(LEFT($A74,LEN($A74)-2),'TH_MLG GRADE 10'!$B$7:$B$49,0))="P")+
 --(INDEX('TH_MLG GRADE 10'!$AB$7:$AB$49,MATCH(LEFT($A74,LEN($A74)-2),'TH_MLG GRADE 10'!$B$7:$B$49,0))="P")+
 --(INDEX('TH_MLG GRADE 10'!$AH$7:$AH$49,MATCH(LEFT($A74,LEN($A74)-2),'TH_MLG GRADE 10'!$B$7:$B$49,0))="P")+
 --(INDEX('TH_MLG GRADE 10'!$AN$7:$AN$49,MATCH(LEFT($A74,LEN($A74)-2),'TH_MLG GRADE 10'!$B$7:$B$49,0))="P")+
 --(INDEX('TH_MLG GRADE 10'!$AZ$7:$AZ$49,MATCH(LEFT($A74,LEN($A74)-2),'TH_MLG GRADE 10'!$B$7:$B$49,0))="P")+
 --(INDEX('TH_MLG GRADE 10'!$BF$7:$BF$49,MATCH(LEFT($A74,LEN($A74)-2),'TH_MLG GRADE 10'!$B$7:$B$49,0))="P")+
 --(INDEX('TH_MLG GRADE 10'!#REF!,MATCH(LEFT($A74,LEN($A74)-2),'TH_MLG GRADE 10'!$B$7:$B$49,0))="P")+
 --(INDEX('TH_MLG GRADE 10'!#REF!,MATCH(LEFT($A74,LEN($A74)-2),'TH_MLG GRADE 10'!$B$7:$B$49,0))="P"),
0)</f>
        <v>0</v>
      </c>
      <c r="D74" s="24" t="b">
        <f ca="1">IF(IF(_xlfn.XLOOKUP(LEFT(A74,LEN(A74)-2),'TH_MLG GRADE 10'!$B$7:$B$49,'TH_MLG GRADE 10'!$BL$7:$BL$49,"",0,1)=0,"",_xlfn.XLOOKUP(LEFT(A74,LEN(A74)-2),'TH_MLG GRADE 10'!$B$7:$B$49,'TH_MLG GRADE 10'!$BL$7:$BL$49,"",0,1))&lt;=TODAY(),TRUE,FALSE)</f>
        <v>1</v>
      </c>
      <c r="E74" s="25">
        <f t="shared" ca="1" si="2"/>
        <v>0</v>
      </c>
      <c r="F74" t="s">
        <v>278</v>
      </c>
      <c r="G74">
        <v>3</v>
      </c>
      <c r="H74">
        <f>IFERROR(
 --(INDEX('PW_MLG GRADE 10'!#REF!,MATCH(LEFT($A74,LEN($A74)-2),'PW_MLG GRADE 10'!$B$7:$B$31,0))="P")+
 --(INDEX('PW_MLG GRADE 10'!#REF!,MATCH(LEFT($A74,LEN($A74)-2),'PW_MLG GRADE 10'!$B$7:$B$31,0))="P")+
 --(INDEX('PW_MLG GRADE 10'!#REF!,MATCH(LEFT($A74,LEN($A74)-2),'PW_MLG GRADE 10'!$B$7:$B$31,0))="P")+
 --(INDEX('PW_MLG GRADE 10'!#REF!,MATCH(LEFT($A74,LEN($A74)-2),'PW_MLG GRADE 10'!$B$7:$B$31,0))="P")+
 --(INDEX('PW_MLG GRADE 10'!#REF!,MATCH(LEFT($A74,LEN($A74)-2),'PW_MLG GRADE 10'!$B$7:$B$31,0))="P")+
 --(INDEX('PW_MLG GRADE 10'!#REF!,MATCH(LEFT($A74,LEN($A74)-2),'PW_MLG GRADE 10'!$B$7:$B$31,0))="P")+
 --(INDEX('PW_MLG GRADE 10'!#REF!,MATCH(LEFT($A74,LEN($A74)-2),'PW_MLG GRADE 10'!$B$7:$B$31,0))="P")+
 --(INDEX('PW_MLG GRADE 10'!#REF!,MATCH(LEFT($A74,LEN($A74)-2),'PW_MLG GRADE 10'!$B$7:$B$31,0))="P")+
 --(INDEX('PW_MLG GRADE 10'!#REF!,MATCH(LEFT($A74,LEN($A74)-2),'PW_MLG GRADE 10'!$B$7:$B$31,0))="P")+
 --(INDEX('PW_MLG GRADE 10'!#REF!,MATCH(LEFT($A74,LEN($A74)-2),'PW_MLG GRADE 10'!$B$7:$B$31,0))="P"),
0)</f>
        <v>0</v>
      </c>
      <c r="I74" t="e">
        <f ca="1">IF(IF(_xlfn.XLOOKUP(LEFT(F74,LEN(F74)-2),'PW_MLG GRADE 10'!$B$7:$B$31,'PW_MLG GRADE 10'!#REF!,"",0,1)=0,"",_xlfn.XLOOKUP(LEFT(F74,LEN(F74)-2),'PW_MLG GRADE 10'!$B$7:$B$31,'PW_MLG GRADE 10'!#REF!,"",0,1))&lt;=TODAY(),TRUE,FALSE)</f>
        <v>#REF!</v>
      </c>
      <c r="J74">
        <f t="shared" ca="1" si="3"/>
        <v>0</v>
      </c>
    </row>
    <row r="75" spans="1:10">
      <c r="A75" s="24" t="s">
        <v>279</v>
      </c>
      <c r="B75">
        <v>3</v>
      </c>
      <c r="C75">
        <f>IFERROR(
 --(INDEX('TH_MLG GRADE 10'!$D$7:$D$49,MATCH(LEFT($A75,LEN($A75)-2),'TH_MLG GRADE 10'!$B$7:$B$49,0))="P")+
 --(INDEX('TH_MLG GRADE 10'!$J$7:$J$49,MATCH(LEFT($A75,LEN($A75)-2),'TH_MLG GRADE 10'!$B$7:$B$49,0))="P")+
 --(INDEX('TH_MLG GRADE 10'!$P$7:$P$49,MATCH(LEFT($A75,LEN($A75)-2),'TH_MLG GRADE 10'!$B$7:$B$49,0))="P")+
 --(INDEX('TH_MLG GRADE 10'!$AB$7:$AB$49,MATCH(LEFT($A75,LEN($A75)-2),'TH_MLG GRADE 10'!$B$7:$B$49,0))="P")+
 --(INDEX('TH_MLG GRADE 10'!$AH$7:$AH$49,MATCH(LEFT($A75,LEN($A75)-2),'TH_MLG GRADE 10'!$B$7:$B$49,0))="P")+
 --(INDEX('TH_MLG GRADE 10'!$AN$7:$AN$49,MATCH(LEFT($A75,LEN($A75)-2),'TH_MLG GRADE 10'!$B$7:$B$49,0))="P")+
 --(INDEX('TH_MLG GRADE 10'!$AZ$7:$AZ$49,MATCH(LEFT($A75,LEN($A75)-2),'TH_MLG GRADE 10'!$B$7:$B$49,0))="P")+
 --(INDEX('TH_MLG GRADE 10'!$BF$7:$BF$49,MATCH(LEFT($A75,LEN($A75)-2),'TH_MLG GRADE 10'!$B$7:$B$49,0))="P")+
 --(INDEX('TH_MLG GRADE 10'!#REF!,MATCH(LEFT($A75,LEN($A75)-2),'TH_MLG GRADE 10'!$B$7:$B$49,0))="P")+
 --(INDEX('TH_MLG GRADE 10'!#REF!,MATCH(LEFT($A75,LEN($A75)-2),'TH_MLG GRADE 10'!$B$7:$B$49,0))="P"),
0)</f>
        <v>0</v>
      </c>
      <c r="D75" s="24" t="b">
        <f ca="1">IF(IF(_xlfn.XLOOKUP(LEFT(A75,LEN(A75)-2),'TH_MLG GRADE 10'!$B$7:$B$49,'TH_MLG GRADE 10'!$BL$7:$BL$49,"",0,1)=0,"",_xlfn.XLOOKUP(LEFT(A75,LEN(A75)-2),'TH_MLG GRADE 10'!$B$7:$B$49,'TH_MLG GRADE 10'!$BL$7:$BL$49,"",0,1))&lt;=TODAY(),TRUE,FALSE)</f>
        <v>1</v>
      </c>
      <c r="E75" s="25">
        <f t="shared" ca="1" si="2"/>
        <v>0</v>
      </c>
      <c r="F75" t="s">
        <v>279</v>
      </c>
      <c r="G75">
        <v>3</v>
      </c>
      <c r="H75">
        <f>IFERROR(
 --(INDEX('PW_MLG GRADE 10'!#REF!,MATCH(LEFT($A75,LEN($A75)-2),'PW_MLG GRADE 10'!$B$7:$B$31,0))="P")+
 --(INDEX('PW_MLG GRADE 10'!#REF!,MATCH(LEFT($A75,LEN($A75)-2),'PW_MLG GRADE 10'!$B$7:$B$31,0))="P")+
 --(INDEX('PW_MLG GRADE 10'!#REF!,MATCH(LEFT($A75,LEN($A75)-2),'PW_MLG GRADE 10'!$B$7:$B$31,0))="P")+
 --(INDEX('PW_MLG GRADE 10'!#REF!,MATCH(LEFT($A75,LEN($A75)-2),'PW_MLG GRADE 10'!$B$7:$B$31,0))="P")+
 --(INDEX('PW_MLG GRADE 10'!#REF!,MATCH(LEFT($A75,LEN($A75)-2),'PW_MLG GRADE 10'!$B$7:$B$31,0))="P")+
 --(INDEX('PW_MLG GRADE 10'!#REF!,MATCH(LEFT($A75,LEN($A75)-2),'PW_MLG GRADE 10'!$B$7:$B$31,0))="P")+
 --(INDEX('PW_MLG GRADE 10'!#REF!,MATCH(LEFT($A75,LEN($A75)-2),'PW_MLG GRADE 10'!$B$7:$B$31,0))="P")+
 --(INDEX('PW_MLG GRADE 10'!#REF!,MATCH(LEFT($A75,LEN($A75)-2),'PW_MLG GRADE 10'!$B$7:$B$31,0))="P")+
 --(INDEX('PW_MLG GRADE 10'!#REF!,MATCH(LEFT($A75,LEN($A75)-2),'PW_MLG GRADE 10'!$B$7:$B$31,0))="P")+
 --(INDEX('PW_MLG GRADE 10'!#REF!,MATCH(LEFT($A75,LEN($A75)-2),'PW_MLG GRADE 10'!$B$7:$B$31,0))="P"),
0)</f>
        <v>0</v>
      </c>
      <c r="I75" t="e">
        <f ca="1">IF(IF(_xlfn.XLOOKUP(LEFT(F75,LEN(F75)-2),'PW_MLG GRADE 10'!$B$7:$B$31,'PW_MLG GRADE 10'!#REF!,"",0,1)=0,"",_xlfn.XLOOKUP(LEFT(F75,LEN(F75)-2),'PW_MLG GRADE 10'!$B$7:$B$31,'PW_MLG GRADE 10'!#REF!,"",0,1))&lt;=TODAY(),TRUE,FALSE)</f>
        <v>#REF!</v>
      </c>
      <c r="J75">
        <f t="shared" ca="1" si="3"/>
        <v>0</v>
      </c>
    </row>
    <row r="76" spans="1:10">
      <c r="A76" s="24" t="s">
        <v>280</v>
      </c>
      <c r="B76">
        <v>3</v>
      </c>
      <c r="C76">
        <f>IFERROR(
 --(INDEX('TH_MLG GRADE 10'!$D$7:$D$49,MATCH(LEFT($A76,LEN($A76)-2),'TH_MLG GRADE 10'!$B$7:$B$49,0))="P")+
 --(INDEX('TH_MLG GRADE 10'!$J$7:$J$49,MATCH(LEFT($A76,LEN($A76)-2),'TH_MLG GRADE 10'!$B$7:$B$49,0))="P")+
 --(INDEX('TH_MLG GRADE 10'!$P$7:$P$49,MATCH(LEFT($A76,LEN($A76)-2),'TH_MLG GRADE 10'!$B$7:$B$49,0))="P")+
 --(INDEX('TH_MLG GRADE 10'!$AB$7:$AB$49,MATCH(LEFT($A76,LEN($A76)-2),'TH_MLG GRADE 10'!$B$7:$B$49,0))="P")+
 --(INDEX('TH_MLG GRADE 10'!$AH$7:$AH$49,MATCH(LEFT($A76,LEN($A76)-2),'TH_MLG GRADE 10'!$B$7:$B$49,0))="P")+
 --(INDEX('TH_MLG GRADE 10'!$AN$7:$AN$49,MATCH(LEFT($A76,LEN($A76)-2),'TH_MLG GRADE 10'!$B$7:$B$49,0))="P")+
 --(INDEX('TH_MLG GRADE 10'!$AZ$7:$AZ$49,MATCH(LEFT($A76,LEN($A76)-2),'TH_MLG GRADE 10'!$B$7:$B$49,0))="P")+
 --(INDEX('TH_MLG GRADE 10'!$BF$7:$BF$49,MATCH(LEFT($A76,LEN($A76)-2),'TH_MLG GRADE 10'!$B$7:$B$49,0))="P")+
 --(INDEX('TH_MLG GRADE 10'!#REF!,MATCH(LEFT($A76,LEN($A76)-2),'TH_MLG GRADE 10'!$B$7:$B$49,0))="P")+
 --(INDEX('TH_MLG GRADE 10'!#REF!,MATCH(LEFT($A76,LEN($A76)-2),'TH_MLG GRADE 10'!$B$7:$B$49,0))="P"),
0)</f>
        <v>0</v>
      </c>
      <c r="D76" s="24" t="b">
        <f ca="1">IF(IF(_xlfn.XLOOKUP(LEFT(A76,LEN(A76)-2),'TH_MLG GRADE 10'!$B$7:$B$49,'TH_MLG GRADE 10'!$BL$7:$BL$49,"",0,1)=0,"",_xlfn.XLOOKUP(LEFT(A76,LEN(A76)-2),'TH_MLG GRADE 10'!$B$7:$B$49,'TH_MLG GRADE 10'!$BL$7:$BL$49,"",0,1))&lt;=TODAY(),TRUE,FALSE)</f>
        <v>1</v>
      </c>
      <c r="E76" s="25">
        <f t="shared" ca="1" si="2"/>
        <v>0</v>
      </c>
      <c r="F76" t="s">
        <v>280</v>
      </c>
      <c r="G76">
        <v>3</v>
      </c>
      <c r="H76">
        <f>IFERROR(
 --(INDEX('PW_MLG GRADE 10'!#REF!,MATCH(LEFT($A76,LEN($A76)-2),'PW_MLG GRADE 10'!$B$7:$B$31,0))="P")+
 --(INDEX('PW_MLG GRADE 10'!#REF!,MATCH(LEFT($A76,LEN($A76)-2),'PW_MLG GRADE 10'!$B$7:$B$31,0))="P")+
 --(INDEX('PW_MLG GRADE 10'!#REF!,MATCH(LEFT($A76,LEN($A76)-2),'PW_MLG GRADE 10'!$B$7:$B$31,0))="P")+
 --(INDEX('PW_MLG GRADE 10'!#REF!,MATCH(LEFT($A76,LEN($A76)-2),'PW_MLG GRADE 10'!$B$7:$B$31,0))="P")+
 --(INDEX('PW_MLG GRADE 10'!#REF!,MATCH(LEFT($A76,LEN($A76)-2),'PW_MLG GRADE 10'!$B$7:$B$31,0))="P")+
 --(INDEX('PW_MLG GRADE 10'!#REF!,MATCH(LEFT($A76,LEN($A76)-2),'PW_MLG GRADE 10'!$B$7:$B$31,0))="P")+
 --(INDEX('PW_MLG GRADE 10'!#REF!,MATCH(LEFT($A76,LEN($A76)-2),'PW_MLG GRADE 10'!$B$7:$B$31,0))="P")+
 --(INDEX('PW_MLG GRADE 10'!#REF!,MATCH(LEFT($A76,LEN($A76)-2),'PW_MLG GRADE 10'!$B$7:$B$31,0))="P")+
 --(INDEX('PW_MLG GRADE 10'!#REF!,MATCH(LEFT($A76,LEN($A76)-2),'PW_MLG GRADE 10'!$B$7:$B$31,0))="P")+
 --(INDEX('PW_MLG GRADE 10'!#REF!,MATCH(LEFT($A76,LEN($A76)-2),'PW_MLG GRADE 10'!$B$7:$B$31,0))="P"),
0)</f>
        <v>0</v>
      </c>
      <c r="I76" t="e">
        <f ca="1">IF(IF(_xlfn.XLOOKUP(LEFT(F76,LEN(F76)-2),'PW_MLG GRADE 10'!$B$7:$B$31,'PW_MLG GRADE 10'!#REF!,"",0,1)=0,"",_xlfn.XLOOKUP(LEFT(F76,LEN(F76)-2),'PW_MLG GRADE 10'!$B$7:$B$31,'PW_MLG GRADE 10'!#REF!,"",0,1))&lt;=TODAY(),TRUE,FALSE)</f>
        <v>#REF!</v>
      </c>
      <c r="J76">
        <f t="shared" ca="1" si="3"/>
        <v>0</v>
      </c>
    </row>
    <row r="77" spans="1:10">
      <c r="A77" s="24" t="s">
        <v>281</v>
      </c>
      <c r="B77">
        <v>3</v>
      </c>
      <c r="C77">
        <f>IFERROR(
 --(INDEX('TH_MLG GRADE 10'!$D$7:$D$49,MATCH(LEFT($A77,LEN($A77)-2),'TH_MLG GRADE 10'!$B$7:$B$49,0))="P")+
 --(INDEX('TH_MLG GRADE 10'!$J$7:$J$49,MATCH(LEFT($A77,LEN($A77)-2),'TH_MLG GRADE 10'!$B$7:$B$49,0))="P")+
 --(INDEX('TH_MLG GRADE 10'!$P$7:$P$49,MATCH(LEFT($A77,LEN($A77)-2),'TH_MLG GRADE 10'!$B$7:$B$49,0))="P")+
 --(INDEX('TH_MLG GRADE 10'!$AB$7:$AB$49,MATCH(LEFT($A77,LEN($A77)-2),'TH_MLG GRADE 10'!$B$7:$B$49,0))="P")+
 --(INDEX('TH_MLG GRADE 10'!$AH$7:$AH$49,MATCH(LEFT($A77,LEN($A77)-2),'TH_MLG GRADE 10'!$B$7:$B$49,0))="P")+
 --(INDEX('TH_MLG GRADE 10'!$AN$7:$AN$49,MATCH(LEFT($A77,LEN($A77)-2),'TH_MLG GRADE 10'!$B$7:$B$49,0))="P")+
 --(INDEX('TH_MLG GRADE 10'!$AZ$7:$AZ$49,MATCH(LEFT($A77,LEN($A77)-2),'TH_MLG GRADE 10'!$B$7:$B$49,0))="P")+
 --(INDEX('TH_MLG GRADE 10'!$BF$7:$BF$49,MATCH(LEFT($A77,LEN($A77)-2),'TH_MLG GRADE 10'!$B$7:$B$49,0))="P")+
 --(INDEX('TH_MLG GRADE 10'!#REF!,MATCH(LEFT($A77,LEN($A77)-2),'TH_MLG GRADE 10'!$B$7:$B$49,0))="P")+
 --(INDEX('TH_MLG GRADE 10'!#REF!,MATCH(LEFT($A77,LEN($A77)-2),'TH_MLG GRADE 10'!$B$7:$B$49,0))="P"),
0)</f>
        <v>0</v>
      </c>
      <c r="D77" s="24" t="b">
        <f ca="1">IF(IF(_xlfn.XLOOKUP(LEFT(A77,LEN(A77)-2),'TH_MLG GRADE 10'!$B$7:$B$49,'TH_MLG GRADE 10'!$BL$7:$BL$49,"",0,1)=0,"",_xlfn.XLOOKUP(LEFT(A77,LEN(A77)-2),'TH_MLG GRADE 10'!$B$7:$B$49,'TH_MLG GRADE 10'!$BL$7:$BL$49,"",0,1))&lt;=TODAY(),TRUE,FALSE)</f>
        <v>1</v>
      </c>
      <c r="E77" s="25">
        <f t="shared" ca="1" si="2"/>
        <v>0</v>
      </c>
      <c r="F77" t="s">
        <v>281</v>
      </c>
      <c r="G77">
        <v>3</v>
      </c>
      <c r="H77">
        <f>IFERROR(
 --(INDEX('PW_MLG GRADE 10'!#REF!,MATCH(LEFT($A77,LEN($A77)-2),'PW_MLG GRADE 10'!$B$7:$B$31,0))="P")+
 --(INDEX('PW_MLG GRADE 10'!#REF!,MATCH(LEFT($A77,LEN($A77)-2),'PW_MLG GRADE 10'!$B$7:$B$31,0))="P")+
 --(INDEX('PW_MLG GRADE 10'!#REF!,MATCH(LEFT($A77,LEN($A77)-2),'PW_MLG GRADE 10'!$B$7:$B$31,0))="P")+
 --(INDEX('PW_MLG GRADE 10'!#REF!,MATCH(LEFT($A77,LEN($A77)-2),'PW_MLG GRADE 10'!$B$7:$B$31,0))="P")+
 --(INDEX('PW_MLG GRADE 10'!#REF!,MATCH(LEFT($A77,LEN($A77)-2),'PW_MLG GRADE 10'!$B$7:$B$31,0))="P")+
 --(INDEX('PW_MLG GRADE 10'!#REF!,MATCH(LEFT($A77,LEN($A77)-2),'PW_MLG GRADE 10'!$B$7:$B$31,0))="P")+
 --(INDEX('PW_MLG GRADE 10'!#REF!,MATCH(LEFT($A77,LEN($A77)-2),'PW_MLG GRADE 10'!$B$7:$B$31,0))="P")+
 --(INDEX('PW_MLG GRADE 10'!#REF!,MATCH(LEFT($A77,LEN($A77)-2),'PW_MLG GRADE 10'!$B$7:$B$31,0))="P")+
 --(INDEX('PW_MLG GRADE 10'!#REF!,MATCH(LEFT($A77,LEN($A77)-2),'PW_MLG GRADE 10'!$B$7:$B$31,0))="P")+
 --(INDEX('PW_MLG GRADE 10'!#REF!,MATCH(LEFT($A77,LEN($A77)-2),'PW_MLG GRADE 10'!$B$7:$B$31,0))="P"),
0)</f>
        <v>0</v>
      </c>
      <c r="I77" t="e">
        <f ca="1">IF(IF(_xlfn.XLOOKUP(LEFT(F77,LEN(F77)-2),'PW_MLG GRADE 10'!$B$7:$B$31,'PW_MLG GRADE 10'!#REF!,"",0,1)=0,"",_xlfn.XLOOKUP(LEFT(F77,LEN(F77)-2),'PW_MLG GRADE 10'!$B$7:$B$31,'PW_MLG GRADE 10'!#REF!,"",0,1))&lt;=TODAY(),TRUE,FALSE)</f>
        <v>#REF!</v>
      </c>
      <c r="J77">
        <f t="shared" ca="1" si="3"/>
        <v>0</v>
      </c>
    </row>
    <row r="78" spans="1:10">
      <c r="A78" s="24" t="s">
        <v>282</v>
      </c>
      <c r="B78">
        <v>3</v>
      </c>
      <c r="C78">
        <f>IFERROR(
 --(INDEX('TH_MLG GRADE 10'!$D$7:$D$49,MATCH(LEFT($A78,LEN($A78)-2),'TH_MLG GRADE 10'!$B$7:$B$49,0))="P")+
 --(INDEX('TH_MLG GRADE 10'!$J$7:$J$49,MATCH(LEFT($A78,LEN($A78)-2),'TH_MLG GRADE 10'!$B$7:$B$49,0))="P")+
 --(INDEX('TH_MLG GRADE 10'!$P$7:$P$49,MATCH(LEFT($A78,LEN($A78)-2),'TH_MLG GRADE 10'!$B$7:$B$49,0))="P")+
 --(INDEX('TH_MLG GRADE 10'!$AB$7:$AB$49,MATCH(LEFT($A78,LEN($A78)-2),'TH_MLG GRADE 10'!$B$7:$B$49,0))="P")+
 --(INDEX('TH_MLG GRADE 10'!$AH$7:$AH$49,MATCH(LEFT($A78,LEN($A78)-2),'TH_MLG GRADE 10'!$B$7:$B$49,0))="P")+
 --(INDEX('TH_MLG GRADE 10'!$AN$7:$AN$49,MATCH(LEFT($A78,LEN($A78)-2),'TH_MLG GRADE 10'!$B$7:$B$49,0))="P")+
 --(INDEX('TH_MLG GRADE 10'!$AZ$7:$AZ$49,MATCH(LEFT($A78,LEN($A78)-2),'TH_MLG GRADE 10'!$B$7:$B$49,0))="P")+
 --(INDEX('TH_MLG GRADE 10'!$BF$7:$BF$49,MATCH(LEFT($A78,LEN($A78)-2),'TH_MLG GRADE 10'!$B$7:$B$49,0))="P")+
 --(INDEX('TH_MLG GRADE 10'!#REF!,MATCH(LEFT($A78,LEN($A78)-2),'TH_MLG GRADE 10'!$B$7:$B$49,0))="P")+
 --(INDEX('TH_MLG GRADE 10'!#REF!,MATCH(LEFT($A78,LEN($A78)-2),'TH_MLG GRADE 10'!$B$7:$B$49,0))="P"),
0)</f>
        <v>0</v>
      </c>
      <c r="D78" s="24" t="b">
        <f ca="1">IF(IF(_xlfn.XLOOKUP(LEFT(A78,LEN(A78)-2),'TH_MLG GRADE 10'!$B$7:$B$49,'TH_MLG GRADE 10'!$BL$7:$BL$49,"",0,1)=0,"",_xlfn.XLOOKUP(LEFT(A78,LEN(A78)-2),'TH_MLG GRADE 10'!$B$7:$B$49,'TH_MLG GRADE 10'!$BL$7:$BL$49,"",0,1))&lt;=TODAY(),TRUE,FALSE)</f>
        <v>1</v>
      </c>
      <c r="E78" s="25">
        <f t="shared" ca="1" si="2"/>
        <v>0</v>
      </c>
      <c r="F78" t="s">
        <v>282</v>
      </c>
      <c r="G78">
        <v>3</v>
      </c>
      <c r="H78">
        <f>IFERROR(
 --(INDEX('PW_MLG GRADE 10'!#REF!,MATCH(LEFT($A78,LEN($A78)-2),'PW_MLG GRADE 10'!$B$7:$B$31,0))="P")+
 --(INDEX('PW_MLG GRADE 10'!#REF!,MATCH(LEFT($A78,LEN($A78)-2),'PW_MLG GRADE 10'!$B$7:$B$31,0))="P")+
 --(INDEX('PW_MLG GRADE 10'!#REF!,MATCH(LEFT($A78,LEN($A78)-2),'PW_MLG GRADE 10'!$B$7:$B$31,0))="P")+
 --(INDEX('PW_MLG GRADE 10'!#REF!,MATCH(LEFT($A78,LEN($A78)-2),'PW_MLG GRADE 10'!$B$7:$B$31,0))="P")+
 --(INDEX('PW_MLG GRADE 10'!#REF!,MATCH(LEFT($A78,LEN($A78)-2),'PW_MLG GRADE 10'!$B$7:$B$31,0))="P")+
 --(INDEX('PW_MLG GRADE 10'!#REF!,MATCH(LEFT($A78,LEN($A78)-2),'PW_MLG GRADE 10'!$B$7:$B$31,0))="P")+
 --(INDEX('PW_MLG GRADE 10'!#REF!,MATCH(LEFT($A78,LEN($A78)-2),'PW_MLG GRADE 10'!$B$7:$B$31,0))="P")+
 --(INDEX('PW_MLG GRADE 10'!#REF!,MATCH(LEFT($A78,LEN($A78)-2),'PW_MLG GRADE 10'!$B$7:$B$31,0))="P")+
 --(INDEX('PW_MLG GRADE 10'!#REF!,MATCH(LEFT($A78,LEN($A78)-2),'PW_MLG GRADE 10'!$B$7:$B$31,0))="P")+
 --(INDEX('PW_MLG GRADE 10'!#REF!,MATCH(LEFT($A78,LEN($A78)-2),'PW_MLG GRADE 10'!$B$7:$B$31,0))="P"),
0)</f>
        <v>0</v>
      </c>
      <c r="I78" t="e">
        <f ca="1">IF(IF(_xlfn.XLOOKUP(LEFT(F78,LEN(F78)-2),'PW_MLG GRADE 10'!$B$7:$B$31,'PW_MLG GRADE 10'!#REF!,"",0,1)=0,"",_xlfn.XLOOKUP(LEFT(F78,LEN(F78)-2),'PW_MLG GRADE 10'!$B$7:$B$31,'PW_MLG GRADE 10'!#REF!,"",0,1))&lt;=TODAY(),TRUE,FALSE)</f>
        <v>#REF!</v>
      </c>
      <c r="J78">
        <f t="shared" ca="1" si="3"/>
        <v>0</v>
      </c>
    </row>
    <row r="79" spans="1:10">
      <c r="A79" s="24" t="s">
        <v>283</v>
      </c>
      <c r="B79">
        <v>3</v>
      </c>
      <c r="C79">
        <f>IFERROR(
 --(INDEX('TH_MLG GRADE 10'!$D$7:$D$49,MATCH(LEFT($A79,LEN($A79)-2),'TH_MLG GRADE 10'!$B$7:$B$49,0))="P")+
 --(INDEX('TH_MLG GRADE 10'!$J$7:$J$49,MATCH(LEFT($A79,LEN($A79)-2),'TH_MLG GRADE 10'!$B$7:$B$49,0))="P")+
 --(INDEX('TH_MLG GRADE 10'!$P$7:$P$49,MATCH(LEFT($A79,LEN($A79)-2),'TH_MLG GRADE 10'!$B$7:$B$49,0))="P")+
 --(INDEX('TH_MLG GRADE 10'!$AB$7:$AB$49,MATCH(LEFT($A79,LEN($A79)-2),'TH_MLG GRADE 10'!$B$7:$B$49,0))="P")+
 --(INDEX('TH_MLG GRADE 10'!$AH$7:$AH$49,MATCH(LEFT($A79,LEN($A79)-2),'TH_MLG GRADE 10'!$B$7:$B$49,0))="P")+
 --(INDEX('TH_MLG GRADE 10'!$AN$7:$AN$49,MATCH(LEFT($A79,LEN($A79)-2),'TH_MLG GRADE 10'!$B$7:$B$49,0))="P")+
 --(INDEX('TH_MLG GRADE 10'!$AZ$7:$AZ$49,MATCH(LEFT($A79,LEN($A79)-2),'TH_MLG GRADE 10'!$B$7:$B$49,0))="P")+
 --(INDEX('TH_MLG GRADE 10'!$BF$7:$BF$49,MATCH(LEFT($A79,LEN($A79)-2),'TH_MLG GRADE 10'!$B$7:$B$49,0))="P")+
 --(INDEX('TH_MLG GRADE 10'!#REF!,MATCH(LEFT($A79,LEN($A79)-2),'TH_MLG GRADE 10'!$B$7:$B$49,0))="P")+
 --(INDEX('TH_MLG GRADE 10'!#REF!,MATCH(LEFT($A79,LEN($A79)-2),'TH_MLG GRADE 10'!$B$7:$B$49,0))="P"),
0)</f>
        <v>0</v>
      </c>
      <c r="D79" s="24" t="b">
        <f ca="1">IF(IF(_xlfn.XLOOKUP(LEFT(A79,LEN(A79)-2),'TH_MLG GRADE 10'!$B$7:$B$49,'TH_MLG GRADE 10'!$BL$7:$BL$49,"",0,1)=0,"",_xlfn.XLOOKUP(LEFT(A79,LEN(A79)-2),'TH_MLG GRADE 10'!$B$7:$B$49,'TH_MLG GRADE 10'!$BL$7:$BL$49,"",0,1))&lt;=TODAY(),TRUE,FALSE)</f>
        <v>1</v>
      </c>
      <c r="E79" s="25">
        <f t="shared" ca="1" si="2"/>
        <v>0</v>
      </c>
      <c r="F79" t="s">
        <v>283</v>
      </c>
      <c r="G79">
        <v>3</v>
      </c>
      <c r="H79">
        <f>IFERROR(
 --(INDEX('PW_MLG GRADE 10'!#REF!,MATCH(LEFT($A79,LEN($A79)-2),'PW_MLG GRADE 10'!$B$7:$B$31,0))="P")+
 --(INDEX('PW_MLG GRADE 10'!#REF!,MATCH(LEFT($A79,LEN($A79)-2),'PW_MLG GRADE 10'!$B$7:$B$31,0))="P")+
 --(INDEX('PW_MLG GRADE 10'!#REF!,MATCH(LEFT($A79,LEN($A79)-2),'PW_MLG GRADE 10'!$B$7:$B$31,0))="P")+
 --(INDEX('PW_MLG GRADE 10'!#REF!,MATCH(LEFT($A79,LEN($A79)-2),'PW_MLG GRADE 10'!$B$7:$B$31,0))="P")+
 --(INDEX('PW_MLG GRADE 10'!#REF!,MATCH(LEFT($A79,LEN($A79)-2),'PW_MLG GRADE 10'!$B$7:$B$31,0))="P")+
 --(INDEX('PW_MLG GRADE 10'!#REF!,MATCH(LEFT($A79,LEN($A79)-2),'PW_MLG GRADE 10'!$B$7:$B$31,0))="P")+
 --(INDEX('PW_MLG GRADE 10'!#REF!,MATCH(LEFT($A79,LEN($A79)-2),'PW_MLG GRADE 10'!$B$7:$B$31,0))="P")+
 --(INDEX('PW_MLG GRADE 10'!#REF!,MATCH(LEFT($A79,LEN($A79)-2),'PW_MLG GRADE 10'!$B$7:$B$31,0))="P")+
 --(INDEX('PW_MLG GRADE 10'!#REF!,MATCH(LEFT($A79,LEN($A79)-2),'PW_MLG GRADE 10'!$B$7:$B$31,0))="P")+
 --(INDEX('PW_MLG GRADE 10'!#REF!,MATCH(LEFT($A79,LEN($A79)-2),'PW_MLG GRADE 10'!$B$7:$B$31,0))="P"),
0)</f>
        <v>0</v>
      </c>
      <c r="I79" t="e">
        <f ca="1">IF(IF(_xlfn.XLOOKUP(LEFT(F79,LEN(F79)-2),'PW_MLG GRADE 10'!$B$7:$B$31,'PW_MLG GRADE 10'!#REF!,"",0,1)=0,"",_xlfn.XLOOKUP(LEFT(F79,LEN(F79)-2),'PW_MLG GRADE 10'!$B$7:$B$31,'PW_MLG GRADE 10'!#REF!,"",0,1))&lt;=TODAY(),TRUE,FALSE)</f>
        <v>#REF!</v>
      </c>
      <c r="J79">
        <f t="shared" ca="1" si="3"/>
        <v>0</v>
      </c>
    </row>
    <row r="80" spans="1:10">
      <c r="A80" s="24" t="s">
        <v>284</v>
      </c>
      <c r="B80">
        <v>3</v>
      </c>
      <c r="C80">
        <f>IFERROR(
 --(INDEX('TH_MLG GRADE 10'!$D$7:$D$49,MATCH(LEFT($A80,LEN($A80)-2),'TH_MLG GRADE 10'!$B$7:$B$49,0))="P")+
 --(INDEX('TH_MLG GRADE 10'!$J$7:$J$49,MATCH(LEFT($A80,LEN($A80)-2),'TH_MLG GRADE 10'!$B$7:$B$49,0))="P")+
 --(INDEX('TH_MLG GRADE 10'!$P$7:$P$49,MATCH(LEFT($A80,LEN($A80)-2),'TH_MLG GRADE 10'!$B$7:$B$49,0))="P")+
 --(INDEX('TH_MLG GRADE 10'!$AB$7:$AB$49,MATCH(LEFT($A80,LEN($A80)-2),'TH_MLG GRADE 10'!$B$7:$B$49,0))="P")+
 --(INDEX('TH_MLG GRADE 10'!$AH$7:$AH$49,MATCH(LEFT($A80,LEN($A80)-2),'TH_MLG GRADE 10'!$B$7:$B$49,0))="P")+
 --(INDEX('TH_MLG GRADE 10'!$AN$7:$AN$49,MATCH(LEFT($A80,LEN($A80)-2),'TH_MLG GRADE 10'!$B$7:$B$49,0))="P")+
 --(INDEX('TH_MLG GRADE 10'!$AZ$7:$AZ$49,MATCH(LEFT($A80,LEN($A80)-2),'TH_MLG GRADE 10'!$B$7:$B$49,0))="P")+
 --(INDEX('TH_MLG GRADE 10'!$BF$7:$BF$49,MATCH(LEFT($A80,LEN($A80)-2),'TH_MLG GRADE 10'!$B$7:$B$49,0))="P")+
 --(INDEX('TH_MLG GRADE 10'!#REF!,MATCH(LEFT($A80,LEN($A80)-2),'TH_MLG GRADE 10'!$B$7:$B$49,0))="P")+
 --(INDEX('TH_MLG GRADE 10'!#REF!,MATCH(LEFT($A80,LEN($A80)-2),'TH_MLG GRADE 10'!$B$7:$B$49,0))="P"),
0)</f>
        <v>0</v>
      </c>
      <c r="D80" s="24" t="b">
        <f ca="1">IF(IF(_xlfn.XLOOKUP(LEFT(A80,LEN(A80)-2),'TH_MLG GRADE 10'!$B$7:$B$49,'TH_MLG GRADE 10'!$BL$7:$BL$49,"",0,1)=0,"",_xlfn.XLOOKUP(LEFT(A80,LEN(A80)-2),'TH_MLG GRADE 10'!$B$7:$B$49,'TH_MLG GRADE 10'!$BL$7:$BL$49,"",0,1))&lt;=TODAY(),TRUE,FALSE)</f>
        <v>1</v>
      </c>
      <c r="E80" s="25">
        <f t="shared" ca="1" si="2"/>
        <v>0</v>
      </c>
      <c r="F80" t="s">
        <v>284</v>
      </c>
      <c r="G80">
        <v>3</v>
      </c>
      <c r="H80">
        <f>IFERROR(
 --(INDEX('PW_MLG GRADE 10'!#REF!,MATCH(LEFT($A80,LEN($A80)-2),'PW_MLG GRADE 10'!$B$7:$B$31,0))="P")+
 --(INDEX('PW_MLG GRADE 10'!#REF!,MATCH(LEFT($A80,LEN($A80)-2),'PW_MLG GRADE 10'!$B$7:$B$31,0))="P")+
 --(INDEX('PW_MLG GRADE 10'!#REF!,MATCH(LEFT($A80,LEN($A80)-2),'PW_MLG GRADE 10'!$B$7:$B$31,0))="P")+
 --(INDEX('PW_MLG GRADE 10'!#REF!,MATCH(LEFT($A80,LEN($A80)-2),'PW_MLG GRADE 10'!$B$7:$B$31,0))="P")+
 --(INDEX('PW_MLG GRADE 10'!#REF!,MATCH(LEFT($A80,LEN($A80)-2),'PW_MLG GRADE 10'!$B$7:$B$31,0))="P")+
 --(INDEX('PW_MLG GRADE 10'!#REF!,MATCH(LEFT($A80,LEN($A80)-2),'PW_MLG GRADE 10'!$B$7:$B$31,0))="P")+
 --(INDEX('PW_MLG GRADE 10'!#REF!,MATCH(LEFT($A80,LEN($A80)-2),'PW_MLG GRADE 10'!$B$7:$B$31,0))="P")+
 --(INDEX('PW_MLG GRADE 10'!#REF!,MATCH(LEFT($A80,LEN($A80)-2),'PW_MLG GRADE 10'!$B$7:$B$31,0))="P")+
 --(INDEX('PW_MLG GRADE 10'!#REF!,MATCH(LEFT($A80,LEN($A80)-2),'PW_MLG GRADE 10'!$B$7:$B$31,0))="P")+
 --(INDEX('PW_MLG GRADE 10'!#REF!,MATCH(LEFT($A80,LEN($A80)-2),'PW_MLG GRADE 10'!$B$7:$B$31,0))="P"),
0)</f>
        <v>0</v>
      </c>
      <c r="I80" t="e">
        <f ca="1">IF(IF(_xlfn.XLOOKUP(LEFT(F80,LEN(F80)-2),'PW_MLG GRADE 10'!$B$7:$B$31,'PW_MLG GRADE 10'!#REF!,"",0,1)=0,"",_xlfn.XLOOKUP(LEFT(F80,LEN(F80)-2),'PW_MLG GRADE 10'!$B$7:$B$31,'PW_MLG GRADE 10'!#REF!,"",0,1))&lt;=TODAY(),TRUE,FALSE)</f>
        <v>#REF!</v>
      </c>
      <c r="J80">
        <f t="shared" ca="1" si="3"/>
        <v>0</v>
      </c>
    </row>
    <row r="81" spans="1:10">
      <c r="A81" s="24" t="s">
        <v>285</v>
      </c>
      <c r="B81">
        <v>3</v>
      </c>
      <c r="C81">
        <f>IFERROR(
 --(INDEX('TH_MLG GRADE 10'!$D$7:$D$49,MATCH(LEFT($A81,LEN($A81)-2),'TH_MLG GRADE 10'!$B$7:$B$49,0))="P")+
 --(INDEX('TH_MLG GRADE 10'!$J$7:$J$49,MATCH(LEFT($A81,LEN($A81)-2),'TH_MLG GRADE 10'!$B$7:$B$49,0))="P")+
 --(INDEX('TH_MLG GRADE 10'!$P$7:$P$49,MATCH(LEFT($A81,LEN($A81)-2),'TH_MLG GRADE 10'!$B$7:$B$49,0))="P")+
 --(INDEX('TH_MLG GRADE 10'!$AB$7:$AB$49,MATCH(LEFT($A81,LEN($A81)-2),'TH_MLG GRADE 10'!$B$7:$B$49,0))="P")+
 --(INDEX('TH_MLG GRADE 10'!$AH$7:$AH$49,MATCH(LEFT($A81,LEN($A81)-2),'TH_MLG GRADE 10'!$B$7:$B$49,0))="P")+
 --(INDEX('TH_MLG GRADE 10'!$AN$7:$AN$49,MATCH(LEFT($A81,LEN($A81)-2),'TH_MLG GRADE 10'!$B$7:$B$49,0))="P")+
 --(INDEX('TH_MLG GRADE 10'!$AZ$7:$AZ$49,MATCH(LEFT($A81,LEN($A81)-2),'TH_MLG GRADE 10'!$B$7:$B$49,0))="P")+
 --(INDEX('TH_MLG GRADE 10'!$BF$7:$BF$49,MATCH(LEFT($A81,LEN($A81)-2),'TH_MLG GRADE 10'!$B$7:$B$49,0))="P")+
 --(INDEX('TH_MLG GRADE 10'!#REF!,MATCH(LEFT($A81,LEN($A81)-2),'TH_MLG GRADE 10'!$B$7:$B$49,0))="P")+
 --(INDEX('TH_MLG GRADE 10'!#REF!,MATCH(LEFT($A81,LEN($A81)-2),'TH_MLG GRADE 10'!$B$7:$B$49,0))="P"),
0)</f>
        <v>0</v>
      </c>
      <c r="D81" s="24" t="b">
        <f ca="1">IF(IF(_xlfn.XLOOKUP(LEFT(A81,LEN(A81)-2),'TH_MLG GRADE 10'!$B$7:$B$49,'TH_MLG GRADE 10'!$BL$7:$BL$49,"",0,1)=0,"",_xlfn.XLOOKUP(LEFT(A81,LEN(A81)-2),'TH_MLG GRADE 10'!$B$7:$B$49,'TH_MLG GRADE 10'!$BL$7:$BL$49,"",0,1))&lt;=TODAY(),TRUE,FALSE)</f>
        <v>1</v>
      </c>
      <c r="E81" s="25">
        <f t="shared" ca="1" si="2"/>
        <v>0</v>
      </c>
      <c r="F81" t="s">
        <v>285</v>
      </c>
      <c r="G81">
        <v>3</v>
      </c>
      <c r="H81">
        <f>IFERROR(
 --(INDEX('PW_MLG GRADE 10'!#REF!,MATCH(LEFT($A81,LEN($A81)-2),'PW_MLG GRADE 10'!$B$7:$B$31,0))="P")+
 --(INDEX('PW_MLG GRADE 10'!#REF!,MATCH(LEFT($A81,LEN($A81)-2),'PW_MLG GRADE 10'!$B$7:$B$31,0))="P")+
 --(INDEX('PW_MLG GRADE 10'!#REF!,MATCH(LEFT($A81,LEN($A81)-2),'PW_MLG GRADE 10'!$B$7:$B$31,0))="P")+
 --(INDEX('PW_MLG GRADE 10'!#REF!,MATCH(LEFT($A81,LEN($A81)-2),'PW_MLG GRADE 10'!$B$7:$B$31,0))="P")+
 --(INDEX('PW_MLG GRADE 10'!#REF!,MATCH(LEFT($A81,LEN($A81)-2),'PW_MLG GRADE 10'!$B$7:$B$31,0))="P")+
 --(INDEX('PW_MLG GRADE 10'!#REF!,MATCH(LEFT($A81,LEN($A81)-2),'PW_MLG GRADE 10'!$B$7:$B$31,0))="P")+
 --(INDEX('PW_MLG GRADE 10'!#REF!,MATCH(LEFT($A81,LEN($A81)-2),'PW_MLG GRADE 10'!$B$7:$B$31,0))="P")+
 --(INDEX('PW_MLG GRADE 10'!#REF!,MATCH(LEFT($A81,LEN($A81)-2),'PW_MLG GRADE 10'!$B$7:$B$31,0))="P")+
 --(INDEX('PW_MLG GRADE 10'!#REF!,MATCH(LEFT($A81,LEN($A81)-2),'PW_MLG GRADE 10'!$B$7:$B$31,0))="P")+
 --(INDEX('PW_MLG GRADE 10'!#REF!,MATCH(LEFT($A81,LEN($A81)-2),'PW_MLG GRADE 10'!$B$7:$B$31,0))="P"),
0)</f>
        <v>0</v>
      </c>
      <c r="I81" t="e">
        <f ca="1">IF(IF(_xlfn.XLOOKUP(LEFT(F81,LEN(F81)-2),'PW_MLG GRADE 10'!$B$7:$B$31,'PW_MLG GRADE 10'!#REF!,"",0,1)=0,"",_xlfn.XLOOKUP(LEFT(F81,LEN(F81)-2),'PW_MLG GRADE 10'!$B$7:$B$31,'PW_MLG GRADE 10'!#REF!,"",0,1))&lt;=TODAY(),TRUE,FALSE)</f>
        <v>#REF!</v>
      </c>
      <c r="J81">
        <f t="shared" ca="1" si="3"/>
        <v>0</v>
      </c>
    </row>
    <row r="82" spans="1:10">
      <c r="A82" s="24" t="s">
        <v>286</v>
      </c>
      <c r="B82">
        <v>3</v>
      </c>
      <c r="C82">
        <f>IFERROR(
 --(INDEX('TH_MLG GRADE 10'!$D$7:$D$49,MATCH(LEFT($A82,LEN($A82)-2),'TH_MLG GRADE 10'!$B$7:$B$49,0))="P")+
 --(INDEX('TH_MLG GRADE 10'!$J$7:$J$49,MATCH(LEFT($A82,LEN($A82)-2),'TH_MLG GRADE 10'!$B$7:$B$49,0))="P")+
 --(INDEX('TH_MLG GRADE 10'!$P$7:$P$49,MATCH(LEFT($A82,LEN($A82)-2),'TH_MLG GRADE 10'!$B$7:$B$49,0))="P")+
 --(INDEX('TH_MLG GRADE 10'!$AB$7:$AB$49,MATCH(LEFT($A82,LEN($A82)-2),'TH_MLG GRADE 10'!$B$7:$B$49,0))="P")+
 --(INDEX('TH_MLG GRADE 10'!$AH$7:$AH$49,MATCH(LEFT($A82,LEN($A82)-2),'TH_MLG GRADE 10'!$B$7:$B$49,0))="P")+
 --(INDEX('TH_MLG GRADE 10'!$AN$7:$AN$49,MATCH(LEFT($A82,LEN($A82)-2),'TH_MLG GRADE 10'!$B$7:$B$49,0))="P")+
 --(INDEX('TH_MLG GRADE 10'!$AZ$7:$AZ$49,MATCH(LEFT($A82,LEN($A82)-2),'TH_MLG GRADE 10'!$B$7:$B$49,0))="P")+
 --(INDEX('TH_MLG GRADE 10'!$BF$7:$BF$49,MATCH(LEFT($A82,LEN($A82)-2),'TH_MLG GRADE 10'!$B$7:$B$49,0))="P")+
 --(INDEX('TH_MLG GRADE 10'!#REF!,MATCH(LEFT($A82,LEN($A82)-2),'TH_MLG GRADE 10'!$B$7:$B$49,0))="P")+
 --(INDEX('TH_MLG GRADE 10'!#REF!,MATCH(LEFT($A82,LEN($A82)-2),'TH_MLG GRADE 10'!$B$7:$B$49,0))="P"),
0)</f>
        <v>0</v>
      </c>
      <c r="D82" s="24" t="b">
        <f ca="1">IF(IF(_xlfn.XLOOKUP(LEFT(A82,LEN(A82)-2),'TH_MLG GRADE 10'!$B$7:$B$49,'TH_MLG GRADE 10'!$BL$7:$BL$49,"",0,1)=0,"",_xlfn.XLOOKUP(LEFT(A82,LEN(A82)-2),'TH_MLG GRADE 10'!$B$7:$B$49,'TH_MLG GRADE 10'!$BL$7:$BL$49,"",0,1))&lt;=TODAY(),TRUE,FALSE)</f>
        <v>1</v>
      </c>
      <c r="E82" s="25">
        <f t="shared" ca="1" si="2"/>
        <v>0</v>
      </c>
      <c r="F82" t="s">
        <v>286</v>
      </c>
      <c r="G82">
        <v>3</v>
      </c>
      <c r="H82">
        <f>IFERROR(
 --(INDEX('PW_MLG GRADE 10'!#REF!,MATCH(LEFT($A82,LEN($A82)-2),'PW_MLG GRADE 10'!$B$7:$B$31,0))="P")+
 --(INDEX('PW_MLG GRADE 10'!#REF!,MATCH(LEFT($A82,LEN($A82)-2),'PW_MLG GRADE 10'!$B$7:$B$31,0))="P")+
 --(INDEX('PW_MLG GRADE 10'!#REF!,MATCH(LEFT($A82,LEN($A82)-2),'PW_MLG GRADE 10'!$B$7:$B$31,0))="P")+
 --(INDEX('PW_MLG GRADE 10'!#REF!,MATCH(LEFT($A82,LEN($A82)-2),'PW_MLG GRADE 10'!$B$7:$B$31,0))="P")+
 --(INDEX('PW_MLG GRADE 10'!#REF!,MATCH(LEFT($A82,LEN($A82)-2),'PW_MLG GRADE 10'!$B$7:$B$31,0))="P")+
 --(INDEX('PW_MLG GRADE 10'!#REF!,MATCH(LEFT($A82,LEN($A82)-2),'PW_MLG GRADE 10'!$B$7:$B$31,0))="P")+
 --(INDEX('PW_MLG GRADE 10'!#REF!,MATCH(LEFT($A82,LEN($A82)-2),'PW_MLG GRADE 10'!$B$7:$B$31,0))="P")+
 --(INDEX('PW_MLG GRADE 10'!#REF!,MATCH(LEFT($A82,LEN($A82)-2),'PW_MLG GRADE 10'!$B$7:$B$31,0))="P")+
 --(INDEX('PW_MLG GRADE 10'!#REF!,MATCH(LEFT($A82,LEN($A82)-2),'PW_MLG GRADE 10'!$B$7:$B$31,0))="P")+
 --(INDEX('PW_MLG GRADE 10'!#REF!,MATCH(LEFT($A82,LEN($A82)-2),'PW_MLG GRADE 10'!$B$7:$B$31,0))="P"),
0)</f>
        <v>0</v>
      </c>
      <c r="I82" t="e">
        <f ca="1">IF(IF(_xlfn.XLOOKUP(LEFT(F82,LEN(F82)-2),'PW_MLG GRADE 10'!$B$7:$B$31,'PW_MLG GRADE 10'!#REF!,"",0,1)=0,"",_xlfn.XLOOKUP(LEFT(F82,LEN(F82)-2),'PW_MLG GRADE 10'!$B$7:$B$31,'PW_MLG GRADE 10'!#REF!,"",0,1))&lt;=TODAY(),TRUE,FALSE)</f>
        <v>#REF!</v>
      </c>
      <c r="J82">
        <f t="shared" ca="1" si="3"/>
        <v>0</v>
      </c>
    </row>
    <row r="83" spans="1:10">
      <c r="A83" s="24" t="s">
        <v>287</v>
      </c>
      <c r="B83">
        <v>3</v>
      </c>
      <c r="C83">
        <f>IFERROR(
 --(INDEX('TH_MLG GRADE 10'!$D$7:$D$49,MATCH(LEFT($A83,LEN($A83)-2),'TH_MLG GRADE 10'!$B$7:$B$49,0))="P")+
 --(INDEX('TH_MLG GRADE 10'!$J$7:$J$49,MATCH(LEFT($A83,LEN($A83)-2),'TH_MLG GRADE 10'!$B$7:$B$49,0))="P")+
 --(INDEX('TH_MLG GRADE 10'!$P$7:$P$49,MATCH(LEFT($A83,LEN($A83)-2),'TH_MLG GRADE 10'!$B$7:$B$49,0))="P")+
 --(INDEX('TH_MLG GRADE 10'!$AB$7:$AB$49,MATCH(LEFT($A83,LEN($A83)-2),'TH_MLG GRADE 10'!$B$7:$B$49,0))="P")+
 --(INDEX('TH_MLG GRADE 10'!$AH$7:$AH$49,MATCH(LEFT($A83,LEN($A83)-2),'TH_MLG GRADE 10'!$B$7:$B$49,0))="P")+
 --(INDEX('TH_MLG GRADE 10'!$AN$7:$AN$49,MATCH(LEFT($A83,LEN($A83)-2),'TH_MLG GRADE 10'!$B$7:$B$49,0))="P")+
 --(INDEX('TH_MLG GRADE 10'!$AZ$7:$AZ$49,MATCH(LEFT($A83,LEN($A83)-2),'TH_MLG GRADE 10'!$B$7:$B$49,0))="P")+
 --(INDEX('TH_MLG GRADE 10'!$BF$7:$BF$49,MATCH(LEFT($A83,LEN($A83)-2),'TH_MLG GRADE 10'!$B$7:$B$49,0))="P")+
 --(INDEX('TH_MLG GRADE 10'!#REF!,MATCH(LEFT($A83,LEN($A83)-2),'TH_MLG GRADE 10'!$B$7:$B$49,0))="P")+
 --(INDEX('TH_MLG GRADE 10'!#REF!,MATCH(LEFT($A83,LEN($A83)-2),'TH_MLG GRADE 10'!$B$7:$B$49,0))="P"),
0)</f>
        <v>0</v>
      </c>
      <c r="D83" s="24" t="b">
        <f ca="1">IF(IF(_xlfn.XLOOKUP(LEFT(A83,LEN(A83)-2),'TH_MLG GRADE 10'!$B$7:$B$49,'TH_MLG GRADE 10'!$BL$7:$BL$49,"",0,1)=0,"",_xlfn.XLOOKUP(LEFT(A83,LEN(A83)-2),'TH_MLG GRADE 10'!$B$7:$B$49,'TH_MLG GRADE 10'!$BL$7:$BL$49,"",0,1))&lt;=TODAY(),TRUE,FALSE)</f>
        <v>1</v>
      </c>
      <c r="E83" s="25">
        <f t="shared" ca="1" si="2"/>
        <v>0</v>
      </c>
      <c r="F83" t="s">
        <v>287</v>
      </c>
      <c r="G83">
        <v>3</v>
      </c>
      <c r="H83">
        <f>IFERROR(
 --(INDEX('PW_MLG GRADE 10'!#REF!,MATCH(LEFT($A83,LEN($A83)-2),'PW_MLG GRADE 10'!$B$7:$B$31,0))="P")+
 --(INDEX('PW_MLG GRADE 10'!#REF!,MATCH(LEFT($A83,LEN($A83)-2),'PW_MLG GRADE 10'!$B$7:$B$31,0))="P")+
 --(INDEX('PW_MLG GRADE 10'!#REF!,MATCH(LEFT($A83,LEN($A83)-2),'PW_MLG GRADE 10'!$B$7:$B$31,0))="P")+
 --(INDEX('PW_MLG GRADE 10'!#REF!,MATCH(LEFT($A83,LEN($A83)-2),'PW_MLG GRADE 10'!$B$7:$B$31,0))="P")+
 --(INDEX('PW_MLG GRADE 10'!#REF!,MATCH(LEFT($A83,LEN($A83)-2),'PW_MLG GRADE 10'!$B$7:$B$31,0))="P")+
 --(INDEX('PW_MLG GRADE 10'!#REF!,MATCH(LEFT($A83,LEN($A83)-2),'PW_MLG GRADE 10'!$B$7:$B$31,0))="P")+
 --(INDEX('PW_MLG GRADE 10'!#REF!,MATCH(LEFT($A83,LEN($A83)-2),'PW_MLG GRADE 10'!$B$7:$B$31,0))="P")+
 --(INDEX('PW_MLG GRADE 10'!#REF!,MATCH(LEFT($A83,LEN($A83)-2),'PW_MLG GRADE 10'!$B$7:$B$31,0))="P")+
 --(INDEX('PW_MLG GRADE 10'!#REF!,MATCH(LEFT($A83,LEN($A83)-2),'PW_MLG GRADE 10'!$B$7:$B$31,0))="P")+
 --(INDEX('PW_MLG GRADE 10'!#REF!,MATCH(LEFT($A83,LEN($A83)-2),'PW_MLG GRADE 10'!$B$7:$B$31,0))="P"),
0)</f>
        <v>0</v>
      </c>
      <c r="I83" t="e">
        <f ca="1">IF(IF(_xlfn.XLOOKUP(LEFT(F83,LEN(F83)-2),'PW_MLG GRADE 10'!$B$7:$B$31,'PW_MLG GRADE 10'!#REF!,"",0,1)=0,"",_xlfn.XLOOKUP(LEFT(F83,LEN(F83)-2),'PW_MLG GRADE 10'!$B$7:$B$31,'PW_MLG GRADE 10'!#REF!,"",0,1))&lt;=TODAY(),TRUE,FALSE)</f>
        <v>#REF!</v>
      </c>
      <c r="J83">
        <f t="shared" ca="1" si="3"/>
        <v>0</v>
      </c>
    </row>
    <row r="84" spans="1:10">
      <c r="A84" s="24" t="s">
        <v>288</v>
      </c>
      <c r="B84">
        <v>3</v>
      </c>
      <c r="C84">
        <f>IFERROR(
 --(INDEX('TH_MLG GRADE 10'!$D$7:$D$49,MATCH(LEFT($A84,LEN($A84)-2),'TH_MLG GRADE 10'!$B$7:$B$49,0))="P")+
 --(INDEX('TH_MLG GRADE 10'!$J$7:$J$49,MATCH(LEFT($A84,LEN($A84)-2),'TH_MLG GRADE 10'!$B$7:$B$49,0))="P")+
 --(INDEX('TH_MLG GRADE 10'!$P$7:$P$49,MATCH(LEFT($A84,LEN($A84)-2),'TH_MLG GRADE 10'!$B$7:$B$49,0))="P")+
 --(INDEX('TH_MLG GRADE 10'!$AB$7:$AB$49,MATCH(LEFT($A84,LEN($A84)-2),'TH_MLG GRADE 10'!$B$7:$B$49,0))="P")+
 --(INDEX('TH_MLG GRADE 10'!$AH$7:$AH$49,MATCH(LEFT($A84,LEN($A84)-2),'TH_MLG GRADE 10'!$B$7:$B$49,0))="P")+
 --(INDEX('TH_MLG GRADE 10'!$AN$7:$AN$49,MATCH(LEFT($A84,LEN($A84)-2),'TH_MLG GRADE 10'!$B$7:$B$49,0))="P")+
 --(INDEX('TH_MLG GRADE 10'!$AZ$7:$AZ$49,MATCH(LEFT($A84,LEN($A84)-2),'TH_MLG GRADE 10'!$B$7:$B$49,0))="P")+
 --(INDEX('TH_MLG GRADE 10'!$BF$7:$BF$49,MATCH(LEFT($A84,LEN($A84)-2),'TH_MLG GRADE 10'!$B$7:$B$49,0))="P")+
 --(INDEX('TH_MLG GRADE 10'!#REF!,MATCH(LEFT($A84,LEN($A84)-2),'TH_MLG GRADE 10'!$B$7:$B$49,0))="P")+
 --(INDEX('TH_MLG GRADE 10'!#REF!,MATCH(LEFT($A84,LEN($A84)-2),'TH_MLG GRADE 10'!$B$7:$B$49,0))="P"),
0)</f>
        <v>0</v>
      </c>
      <c r="D84" s="24" t="b">
        <f ca="1">IF(IF(_xlfn.XLOOKUP(LEFT(A84,LEN(A84)-2),'TH_MLG GRADE 10'!$B$7:$B$49,'TH_MLG GRADE 10'!$BL$7:$BL$49,"",0,1)=0,"",_xlfn.XLOOKUP(LEFT(A84,LEN(A84)-2),'TH_MLG GRADE 10'!$B$7:$B$49,'TH_MLG GRADE 10'!$BL$7:$BL$49,"",0,1))&lt;=TODAY(),TRUE,FALSE)</f>
        <v>1</v>
      </c>
      <c r="E84" s="25">
        <f t="shared" ca="1" si="2"/>
        <v>0</v>
      </c>
      <c r="F84" t="s">
        <v>288</v>
      </c>
      <c r="G84">
        <v>3</v>
      </c>
      <c r="H84">
        <f>IFERROR(
 --(INDEX('PW_MLG GRADE 10'!#REF!,MATCH(LEFT($A84,LEN($A84)-2),'PW_MLG GRADE 10'!$B$7:$B$31,0))="P")+
 --(INDEX('PW_MLG GRADE 10'!#REF!,MATCH(LEFT($A84,LEN($A84)-2),'PW_MLG GRADE 10'!$B$7:$B$31,0))="P")+
 --(INDEX('PW_MLG GRADE 10'!#REF!,MATCH(LEFT($A84,LEN($A84)-2),'PW_MLG GRADE 10'!$B$7:$B$31,0))="P")+
 --(INDEX('PW_MLG GRADE 10'!#REF!,MATCH(LEFT($A84,LEN($A84)-2),'PW_MLG GRADE 10'!$B$7:$B$31,0))="P")+
 --(INDEX('PW_MLG GRADE 10'!#REF!,MATCH(LEFT($A84,LEN($A84)-2),'PW_MLG GRADE 10'!$B$7:$B$31,0))="P")+
 --(INDEX('PW_MLG GRADE 10'!#REF!,MATCH(LEFT($A84,LEN($A84)-2),'PW_MLG GRADE 10'!$B$7:$B$31,0))="P")+
 --(INDEX('PW_MLG GRADE 10'!#REF!,MATCH(LEFT($A84,LEN($A84)-2),'PW_MLG GRADE 10'!$B$7:$B$31,0))="P")+
 --(INDEX('PW_MLG GRADE 10'!#REF!,MATCH(LEFT($A84,LEN($A84)-2),'PW_MLG GRADE 10'!$B$7:$B$31,0))="P")+
 --(INDEX('PW_MLG GRADE 10'!#REF!,MATCH(LEFT($A84,LEN($A84)-2),'PW_MLG GRADE 10'!$B$7:$B$31,0))="P")+
 --(INDEX('PW_MLG GRADE 10'!#REF!,MATCH(LEFT($A84,LEN($A84)-2),'PW_MLG GRADE 10'!$B$7:$B$31,0))="P"),
0)</f>
        <v>0</v>
      </c>
      <c r="I84" t="e">
        <f ca="1">IF(IF(_xlfn.XLOOKUP(LEFT(F84,LEN(F84)-2),'PW_MLG GRADE 10'!$B$7:$B$31,'PW_MLG GRADE 10'!#REF!,"",0,1)=0,"",_xlfn.XLOOKUP(LEFT(F84,LEN(F84)-2),'PW_MLG GRADE 10'!$B$7:$B$31,'PW_MLG GRADE 10'!#REF!,"",0,1))&lt;=TODAY(),TRUE,FALSE)</f>
        <v>#REF!</v>
      </c>
      <c r="J84">
        <f t="shared" ca="1" si="3"/>
        <v>0</v>
      </c>
    </row>
    <row r="85" spans="1:10">
      <c r="A85" s="24" t="s">
        <v>289</v>
      </c>
      <c r="B85">
        <v>3</v>
      </c>
      <c r="C85">
        <f>IFERROR(
 --(INDEX('TH_MLG GRADE 10'!$D$7:$D$49,MATCH(LEFT($A85,LEN($A85)-2),'TH_MLG GRADE 10'!$B$7:$B$49,0))="P")+
 --(INDEX('TH_MLG GRADE 10'!$J$7:$J$49,MATCH(LEFT($A85,LEN($A85)-2),'TH_MLG GRADE 10'!$B$7:$B$49,0))="P")+
 --(INDEX('TH_MLG GRADE 10'!$P$7:$P$49,MATCH(LEFT($A85,LEN($A85)-2),'TH_MLG GRADE 10'!$B$7:$B$49,0))="P")+
 --(INDEX('TH_MLG GRADE 10'!$AB$7:$AB$49,MATCH(LEFT($A85,LEN($A85)-2),'TH_MLG GRADE 10'!$B$7:$B$49,0))="P")+
 --(INDEX('TH_MLG GRADE 10'!$AH$7:$AH$49,MATCH(LEFT($A85,LEN($A85)-2),'TH_MLG GRADE 10'!$B$7:$B$49,0))="P")+
 --(INDEX('TH_MLG GRADE 10'!$AN$7:$AN$49,MATCH(LEFT($A85,LEN($A85)-2),'TH_MLG GRADE 10'!$B$7:$B$49,0))="P")+
 --(INDEX('TH_MLG GRADE 10'!$AZ$7:$AZ$49,MATCH(LEFT($A85,LEN($A85)-2),'TH_MLG GRADE 10'!$B$7:$B$49,0))="P")+
 --(INDEX('TH_MLG GRADE 10'!$BF$7:$BF$49,MATCH(LEFT($A85,LEN($A85)-2),'TH_MLG GRADE 10'!$B$7:$B$49,0))="P")+
 --(INDEX('TH_MLG GRADE 10'!#REF!,MATCH(LEFT($A85,LEN($A85)-2),'TH_MLG GRADE 10'!$B$7:$B$49,0))="P")+
 --(INDEX('TH_MLG GRADE 10'!#REF!,MATCH(LEFT($A85,LEN($A85)-2),'TH_MLG GRADE 10'!$B$7:$B$49,0))="P"),
0)</f>
        <v>0</v>
      </c>
      <c r="D85" s="24" t="b">
        <f ca="1">IF(IF(_xlfn.XLOOKUP(LEFT(A85,LEN(A85)-2),'TH_MLG GRADE 10'!$B$7:$B$49,'TH_MLG GRADE 10'!$BL$7:$BL$49,"",0,1)=0,"",_xlfn.XLOOKUP(LEFT(A85,LEN(A85)-2),'TH_MLG GRADE 10'!$B$7:$B$49,'TH_MLG GRADE 10'!$BL$7:$BL$49,"",0,1))&lt;=TODAY(),TRUE,FALSE)</f>
        <v>1</v>
      </c>
      <c r="E85" s="25">
        <f t="shared" ca="1" si="2"/>
        <v>0</v>
      </c>
      <c r="F85" t="s">
        <v>289</v>
      </c>
      <c r="G85">
        <v>3</v>
      </c>
      <c r="H85">
        <f>IFERROR(
 --(INDEX('PW_MLG GRADE 10'!#REF!,MATCH(LEFT($A85,LEN($A85)-2),'PW_MLG GRADE 10'!$B$7:$B$31,0))="P")+
 --(INDEX('PW_MLG GRADE 10'!#REF!,MATCH(LEFT($A85,LEN($A85)-2),'PW_MLG GRADE 10'!$B$7:$B$31,0))="P")+
 --(INDEX('PW_MLG GRADE 10'!#REF!,MATCH(LEFT($A85,LEN($A85)-2),'PW_MLG GRADE 10'!$B$7:$B$31,0))="P")+
 --(INDEX('PW_MLG GRADE 10'!#REF!,MATCH(LEFT($A85,LEN($A85)-2),'PW_MLG GRADE 10'!$B$7:$B$31,0))="P")+
 --(INDEX('PW_MLG GRADE 10'!#REF!,MATCH(LEFT($A85,LEN($A85)-2),'PW_MLG GRADE 10'!$B$7:$B$31,0))="P")+
 --(INDEX('PW_MLG GRADE 10'!#REF!,MATCH(LEFT($A85,LEN($A85)-2),'PW_MLG GRADE 10'!$B$7:$B$31,0))="P")+
 --(INDEX('PW_MLG GRADE 10'!#REF!,MATCH(LEFT($A85,LEN($A85)-2),'PW_MLG GRADE 10'!$B$7:$B$31,0))="P")+
 --(INDEX('PW_MLG GRADE 10'!#REF!,MATCH(LEFT($A85,LEN($A85)-2),'PW_MLG GRADE 10'!$B$7:$B$31,0))="P")+
 --(INDEX('PW_MLG GRADE 10'!#REF!,MATCH(LEFT($A85,LEN($A85)-2),'PW_MLG GRADE 10'!$B$7:$B$31,0))="P")+
 --(INDEX('PW_MLG GRADE 10'!#REF!,MATCH(LEFT($A85,LEN($A85)-2),'PW_MLG GRADE 10'!$B$7:$B$31,0))="P"),
0)</f>
        <v>0</v>
      </c>
      <c r="I85" t="e">
        <f ca="1">IF(IF(_xlfn.XLOOKUP(LEFT(F85,LEN(F85)-2),'PW_MLG GRADE 10'!$B$7:$B$31,'PW_MLG GRADE 10'!#REF!,"",0,1)=0,"",_xlfn.XLOOKUP(LEFT(F85,LEN(F85)-2),'PW_MLG GRADE 10'!$B$7:$B$31,'PW_MLG GRADE 10'!#REF!,"",0,1))&lt;=TODAY(),TRUE,FALSE)</f>
        <v>#REF!</v>
      </c>
      <c r="J85">
        <f t="shared" ca="1" si="3"/>
        <v>0</v>
      </c>
    </row>
    <row r="86" spans="1:10">
      <c r="A86" s="24" t="s">
        <v>290</v>
      </c>
      <c r="B86">
        <v>3</v>
      </c>
      <c r="C86">
        <f>IFERROR(
 --(INDEX('TH_MLG GRADE 10'!$D$7:$D$49,MATCH(LEFT($A86,LEN($A86)-2),'TH_MLG GRADE 10'!$B$7:$B$49,0))="P")+
 --(INDEX('TH_MLG GRADE 10'!$J$7:$J$49,MATCH(LEFT($A86,LEN($A86)-2),'TH_MLG GRADE 10'!$B$7:$B$49,0))="P")+
 --(INDEX('TH_MLG GRADE 10'!$P$7:$P$49,MATCH(LEFT($A86,LEN($A86)-2),'TH_MLG GRADE 10'!$B$7:$B$49,0))="P")+
 --(INDEX('TH_MLG GRADE 10'!$AB$7:$AB$49,MATCH(LEFT($A86,LEN($A86)-2),'TH_MLG GRADE 10'!$B$7:$B$49,0))="P")+
 --(INDEX('TH_MLG GRADE 10'!$AH$7:$AH$49,MATCH(LEFT($A86,LEN($A86)-2),'TH_MLG GRADE 10'!$B$7:$B$49,0))="P")+
 --(INDEX('TH_MLG GRADE 10'!$AN$7:$AN$49,MATCH(LEFT($A86,LEN($A86)-2),'TH_MLG GRADE 10'!$B$7:$B$49,0))="P")+
 --(INDEX('TH_MLG GRADE 10'!$AZ$7:$AZ$49,MATCH(LEFT($A86,LEN($A86)-2),'TH_MLG GRADE 10'!$B$7:$B$49,0))="P")+
 --(INDEX('TH_MLG GRADE 10'!$BF$7:$BF$49,MATCH(LEFT($A86,LEN($A86)-2),'TH_MLG GRADE 10'!$B$7:$B$49,0))="P")+
 --(INDEX('TH_MLG GRADE 10'!#REF!,MATCH(LEFT($A86,LEN($A86)-2),'TH_MLG GRADE 10'!$B$7:$B$49,0))="P")+
 --(INDEX('TH_MLG GRADE 10'!#REF!,MATCH(LEFT($A86,LEN($A86)-2),'TH_MLG GRADE 10'!$B$7:$B$49,0))="P"),
0)</f>
        <v>0</v>
      </c>
      <c r="D86" s="24" t="b">
        <f ca="1">IF(IF(_xlfn.XLOOKUP(LEFT(A86,LEN(A86)-2),'TH_MLG GRADE 10'!$B$7:$B$49,'TH_MLG GRADE 10'!$BL$7:$BL$49,"",0,1)=0,"",_xlfn.XLOOKUP(LEFT(A86,LEN(A86)-2),'TH_MLG GRADE 10'!$B$7:$B$49,'TH_MLG GRADE 10'!$BL$7:$BL$49,"",0,1))&lt;=TODAY(),TRUE,FALSE)</f>
        <v>1</v>
      </c>
      <c r="E86" s="25">
        <f t="shared" ca="1" si="2"/>
        <v>0</v>
      </c>
      <c r="F86" t="s">
        <v>290</v>
      </c>
      <c r="G86">
        <v>3</v>
      </c>
      <c r="H86">
        <f>IFERROR(
 --(INDEX('PW_MLG GRADE 10'!#REF!,MATCH(LEFT($A86,LEN($A86)-2),'PW_MLG GRADE 10'!$B$7:$B$31,0))="P")+
 --(INDEX('PW_MLG GRADE 10'!#REF!,MATCH(LEFT($A86,LEN($A86)-2),'PW_MLG GRADE 10'!$B$7:$B$31,0))="P")+
 --(INDEX('PW_MLG GRADE 10'!#REF!,MATCH(LEFT($A86,LEN($A86)-2),'PW_MLG GRADE 10'!$B$7:$B$31,0))="P")+
 --(INDEX('PW_MLG GRADE 10'!#REF!,MATCH(LEFT($A86,LEN($A86)-2),'PW_MLG GRADE 10'!$B$7:$B$31,0))="P")+
 --(INDEX('PW_MLG GRADE 10'!#REF!,MATCH(LEFT($A86,LEN($A86)-2),'PW_MLG GRADE 10'!$B$7:$B$31,0))="P")+
 --(INDEX('PW_MLG GRADE 10'!#REF!,MATCH(LEFT($A86,LEN($A86)-2),'PW_MLG GRADE 10'!$B$7:$B$31,0))="P")+
 --(INDEX('PW_MLG GRADE 10'!#REF!,MATCH(LEFT($A86,LEN($A86)-2),'PW_MLG GRADE 10'!$B$7:$B$31,0))="P")+
 --(INDEX('PW_MLG GRADE 10'!#REF!,MATCH(LEFT($A86,LEN($A86)-2),'PW_MLG GRADE 10'!$B$7:$B$31,0))="P")+
 --(INDEX('PW_MLG GRADE 10'!#REF!,MATCH(LEFT($A86,LEN($A86)-2),'PW_MLG GRADE 10'!$B$7:$B$31,0))="P")+
 --(INDEX('PW_MLG GRADE 10'!#REF!,MATCH(LEFT($A86,LEN($A86)-2),'PW_MLG GRADE 10'!$B$7:$B$31,0))="P"),
0)</f>
        <v>0</v>
      </c>
      <c r="I86" t="e">
        <f ca="1">IF(IF(_xlfn.XLOOKUP(LEFT(F86,LEN(F86)-2),'PW_MLG GRADE 10'!$B$7:$B$31,'PW_MLG GRADE 10'!#REF!,"",0,1)=0,"",_xlfn.XLOOKUP(LEFT(F86,LEN(F86)-2),'PW_MLG GRADE 10'!$B$7:$B$31,'PW_MLG GRADE 10'!#REF!,"",0,1))&lt;=TODAY(),TRUE,FALSE)</f>
        <v>#REF!</v>
      </c>
      <c r="J86">
        <f t="shared" ca="1" si="3"/>
        <v>0</v>
      </c>
    </row>
    <row r="87" spans="1:10">
      <c r="A87" s="24" t="s">
        <v>291</v>
      </c>
      <c r="B87">
        <v>3</v>
      </c>
      <c r="C87">
        <f>IFERROR(
 --(INDEX('TH_MLG GRADE 10'!$D$7:$D$49,MATCH(LEFT($A87,LEN($A87)-2),'TH_MLG GRADE 10'!$B$7:$B$49,0))="P")+
 --(INDEX('TH_MLG GRADE 10'!$J$7:$J$49,MATCH(LEFT($A87,LEN($A87)-2),'TH_MLG GRADE 10'!$B$7:$B$49,0))="P")+
 --(INDEX('TH_MLG GRADE 10'!$P$7:$P$49,MATCH(LEFT($A87,LEN($A87)-2),'TH_MLG GRADE 10'!$B$7:$B$49,0))="P")+
 --(INDEX('TH_MLG GRADE 10'!$AB$7:$AB$49,MATCH(LEFT($A87,LEN($A87)-2),'TH_MLG GRADE 10'!$B$7:$B$49,0))="P")+
 --(INDEX('TH_MLG GRADE 10'!$AH$7:$AH$49,MATCH(LEFT($A87,LEN($A87)-2),'TH_MLG GRADE 10'!$B$7:$B$49,0))="P")+
 --(INDEX('TH_MLG GRADE 10'!$AN$7:$AN$49,MATCH(LEFT($A87,LEN($A87)-2),'TH_MLG GRADE 10'!$B$7:$B$49,0))="P")+
 --(INDEX('TH_MLG GRADE 10'!$AZ$7:$AZ$49,MATCH(LEFT($A87,LEN($A87)-2),'TH_MLG GRADE 10'!$B$7:$B$49,0))="P")+
 --(INDEX('TH_MLG GRADE 10'!$BF$7:$BF$49,MATCH(LEFT($A87,LEN($A87)-2),'TH_MLG GRADE 10'!$B$7:$B$49,0))="P")+
 --(INDEX('TH_MLG GRADE 10'!#REF!,MATCH(LEFT($A87,LEN($A87)-2),'TH_MLG GRADE 10'!$B$7:$B$49,0))="P")+
 --(INDEX('TH_MLG GRADE 10'!#REF!,MATCH(LEFT($A87,LEN($A87)-2),'TH_MLG GRADE 10'!$B$7:$B$49,0))="P"),
0)</f>
        <v>0</v>
      </c>
      <c r="D87" s="24" t="b">
        <f ca="1">IF(IF(_xlfn.XLOOKUP(LEFT(A87,LEN(A87)-2),'TH_MLG GRADE 10'!$B$7:$B$49,'TH_MLG GRADE 10'!$BL$7:$BL$49,"",0,1)=0,"",_xlfn.XLOOKUP(LEFT(A87,LEN(A87)-2),'TH_MLG GRADE 10'!$B$7:$B$49,'TH_MLG GRADE 10'!$BL$7:$BL$49,"",0,1))&lt;=TODAY(),TRUE,FALSE)</f>
        <v>1</v>
      </c>
      <c r="E87" s="25">
        <f t="shared" ca="1" si="2"/>
        <v>0</v>
      </c>
      <c r="F87" t="s">
        <v>291</v>
      </c>
      <c r="G87">
        <v>3</v>
      </c>
      <c r="H87">
        <f>IFERROR(
 --(INDEX('PW_MLG GRADE 10'!#REF!,MATCH(LEFT($A87,LEN($A87)-2),'PW_MLG GRADE 10'!$B$7:$B$31,0))="P")+
 --(INDEX('PW_MLG GRADE 10'!#REF!,MATCH(LEFT($A87,LEN($A87)-2),'PW_MLG GRADE 10'!$B$7:$B$31,0))="P")+
 --(INDEX('PW_MLG GRADE 10'!#REF!,MATCH(LEFT($A87,LEN($A87)-2),'PW_MLG GRADE 10'!$B$7:$B$31,0))="P")+
 --(INDEX('PW_MLG GRADE 10'!#REF!,MATCH(LEFT($A87,LEN($A87)-2),'PW_MLG GRADE 10'!$B$7:$B$31,0))="P")+
 --(INDEX('PW_MLG GRADE 10'!#REF!,MATCH(LEFT($A87,LEN($A87)-2),'PW_MLG GRADE 10'!$B$7:$B$31,0))="P")+
 --(INDEX('PW_MLG GRADE 10'!#REF!,MATCH(LEFT($A87,LEN($A87)-2),'PW_MLG GRADE 10'!$B$7:$B$31,0))="P")+
 --(INDEX('PW_MLG GRADE 10'!#REF!,MATCH(LEFT($A87,LEN($A87)-2),'PW_MLG GRADE 10'!$B$7:$B$31,0))="P")+
 --(INDEX('PW_MLG GRADE 10'!#REF!,MATCH(LEFT($A87,LEN($A87)-2),'PW_MLG GRADE 10'!$B$7:$B$31,0))="P")+
 --(INDEX('PW_MLG GRADE 10'!#REF!,MATCH(LEFT($A87,LEN($A87)-2),'PW_MLG GRADE 10'!$B$7:$B$31,0))="P")+
 --(INDEX('PW_MLG GRADE 10'!#REF!,MATCH(LEFT($A87,LEN($A87)-2),'PW_MLG GRADE 10'!$B$7:$B$31,0))="P"),
0)</f>
        <v>0</v>
      </c>
      <c r="I87" t="e">
        <f ca="1">IF(IF(_xlfn.XLOOKUP(LEFT(F87,LEN(F87)-2),'PW_MLG GRADE 10'!$B$7:$B$31,'PW_MLG GRADE 10'!#REF!,"",0,1)=0,"",_xlfn.XLOOKUP(LEFT(F87,LEN(F87)-2),'PW_MLG GRADE 10'!$B$7:$B$31,'PW_MLG GRADE 10'!#REF!,"",0,1))&lt;=TODAY(),TRUE,FALSE)</f>
        <v>#REF!</v>
      </c>
      <c r="J87">
        <f t="shared" ca="1" si="3"/>
        <v>0</v>
      </c>
    </row>
    <row r="88" spans="1:10">
      <c r="A88" s="24" t="s">
        <v>292</v>
      </c>
      <c r="B88">
        <v>3</v>
      </c>
      <c r="C88">
        <f>IFERROR(
 --(INDEX('TH_MLG GRADE 10'!$D$7:$D$49,MATCH(LEFT($A88,LEN($A88)-2),'TH_MLG GRADE 10'!$B$7:$B$49,0))="P")+
 --(INDEX('TH_MLG GRADE 10'!$J$7:$J$49,MATCH(LEFT($A88,LEN($A88)-2),'TH_MLG GRADE 10'!$B$7:$B$49,0))="P")+
 --(INDEX('TH_MLG GRADE 10'!$P$7:$P$49,MATCH(LEFT($A88,LEN($A88)-2),'TH_MLG GRADE 10'!$B$7:$B$49,0))="P")+
 --(INDEX('TH_MLG GRADE 10'!$AB$7:$AB$49,MATCH(LEFT($A88,LEN($A88)-2),'TH_MLG GRADE 10'!$B$7:$B$49,0))="P")+
 --(INDEX('TH_MLG GRADE 10'!$AH$7:$AH$49,MATCH(LEFT($A88,LEN($A88)-2),'TH_MLG GRADE 10'!$B$7:$B$49,0))="P")+
 --(INDEX('TH_MLG GRADE 10'!$AN$7:$AN$49,MATCH(LEFT($A88,LEN($A88)-2),'TH_MLG GRADE 10'!$B$7:$B$49,0))="P")+
 --(INDEX('TH_MLG GRADE 10'!$AZ$7:$AZ$49,MATCH(LEFT($A88,LEN($A88)-2),'TH_MLG GRADE 10'!$B$7:$B$49,0))="P")+
 --(INDEX('TH_MLG GRADE 10'!$BF$7:$BF$49,MATCH(LEFT($A88,LEN($A88)-2),'TH_MLG GRADE 10'!$B$7:$B$49,0))="P")+
 --(INDEX('TH_MLG GRADE 10'!#REF!,MATCH(LEFT($A88,LEN($A88)-2),'TH_MLG GRADE 10'!$B$7:$B$49,0))="P")+
 --(INDEX('TH_MLG GRADE 10'!#REF!,MATCH(LEFT($A88,LEN($A88)-2),'TH_MLG GRADE 10'!$B$7:$B$49,0))="P"),
0)</f>
        <v>0</v>
      </c>
      <c r="D88" s="24" t="b">
        <f ca="1">IF(IF(_xlfn.XLOOKUP(LEFT(A88,LEN(A88)-2),'TH_MLG GRADE 10'!$B$7:$B$49,'TH_MLG GRADE 10'!$BL$7:$BL$49,"",0,1)=0,"",_xlfn.XLOOKUP(LEFT(A88,LEN(A88)-2),'TH_MLG GRADE 10'!$B$7:$B$49,'TH_MLG GRADE 10'!$BL$7:$BL$49,"",0,1))&lt;=TODAY(),TRUE,FALSE)</f>
        <v>1</v>
      </c>
      <c r="E88" s="25">
        <f t="shared" ca="1" si="2"/>
        <v>0</v>
      </c>
      <c r="F88" t="s">
        <v>292</v>
      </c>
      <c r="G88">
        <v>3</v>
      </c>
      <c r="H88">
        <f>IFERROR(
 --(INDEX('PW_MLG GRADE 10'!#REF!,MATCH(LEFT($A88,LEN($A88)-2),'PW_MLG GRADE 10'!$B$7:$B$31,0))="P")+
 --(INDEX('PW_MLG GRADE 10'!#REF!,MATCH(LEFT($A88,LEN($A88)-2),'PW_MLG GRADE 10'!$B$7:$B$31,0))="P")+
 --(INDEX('PW_MLG GRADE 10'!#REF!,MATCH(LEFT($A88,LEN($A88)-2),'PW_MLG GRADE 10'!$B$7:$B$31,0))="P")+
 --(INDEX('PW_MLG GRADE 10'!#REF!,MATCH(LEFT($A88,LEN($A88)-2),'PW_MLG GRADE 10'!$B$7:$B$31,0))="P")+
 --(INDEX('PW_MLG GRADE 10'!#REF!,MATCH(LEFT($A88,LEN($A88)-2),'PW_MLG GRADE 10'!$B$7:$B$31,0))="P")+
 --(INDEX('PW_MLG GRADE 10'!#REF!,MATCH(LEFT($A88,LEN($A88)-2),'PW_MLG GRADE 10'!$B$7:$B$31,0))="P")+
 --(INDEX('PW_MLG GRADE 10'!#REF!,MATCH(LEFT($A88,LEN($A88)-2),'PW_MLG GRADE 10'!$B$7:$B$31,0))="P")+
 --(INDEX('PW_MLG GRADE 10'!#REF!,MATCH(LEFT($A88,LEN($A88)-2),'PW_MLG GRADE 10'!$B$7:$B$31,0))="P")+
 --(INDEX('PW_MLG GRADE 10'!#REF!,MATCH(LEFT($A88,LEN($A88)-2),'PW_MLG GRADE 10'!$B$7:$B$31,0))="P")+
 --(INDEX('PW_MLG GRADE 10'!#REF!,MATCH(LEFT($A88,LEN($A88)-2),'PW_MLG GRADE 10'!$B$7:$B$31,0))="P"),
0)</f>
        <v>0</v>
      </c>
      <c r="I88" t="e">
        <f ca="1">IF(IF(_xlfn.XLOOKUP(LEFT(F88,LEN(F88)-2),'PW_MLG GRADE 10'!$B$7:$B$31,'PW_MLG GRADE 10'!#REF!,"",0,1)=0,"",_xlfn.XLOOKUP(LEFT(F88,LEN(F88)-2),'PW_MLG GRADE 10'!$B$7:$B$31,'PW_MLG GRADE 10'!#REF!,"",0,1))&lt;=TODAY(),TRUE,FALSE)</f>
        <v>#REF!</v>
      </c>
      <c r="J88">
        <f t="shared" ca="1" si="3"/>
        <v>0</v>
      </c>
    </row>
    <row r="89" spans="1:10">
      <c r="A89" s="24" t="s">
        <v>293</v>
      </c>
      <c r="B89">
        <v>3</v>
      </c>
      <c r="C89">
        <f>IFERROR(
 --(INDEX('TH_MLG GRADE 10'!$D$7:$D$49,MATCH(LEFT($A89,LEN($A89)-2),'TH_MLG GRADE 10'!$B$7:$B$49,0))="P")+
 --(INDEX('TH_MLG GRADE 10'!$J$7:$J$49,MATCH(LEFT($A89,LEN($A89)-2),'TH_MLG GRADE 10'!$B$7:$B$49,0))="P")+
 --(INDEX('TH_MLG GRADE 10'!$P$7:$P$49,MATCH(LEFT($A89,LEN($A89)-2),'TH_MLG GRADE 10'!$B$7:$B$49,0))="P")+
 --(INDEX('TH_MLG GRADE 10'!$AB$7:$AB$49,MATCH(LEFT($A89,LEN($A89)-2),'TH_MLG GRADE 10'!$B$7:$B$49,0))="P")+
 --(INDEX('TH_MLG GRADE 10'!$AH$7:$AH$49,MATCH(LEFT($A89,LEN($A89)-2),'TH_MLG GRADE 10'!$B$7:$B$49,0))="P")+
 --(INDEX('TH_MLG GRADE 10'!$AN$7:$AN$49,MATCH(LEFT($A89,LEN($A89)-2),'TH_MLG GRADE 10'!$B$7:$B$49,0))="P")+
 --(INDEX('TH_MLG GRADE 10'!$AZ$7:$AZ$49,MATCH(LEFT($A89,LEN($A89)-2),'TH_MLG GRADE 10'!$B$7:$B$49,0))="P")+
 --(INDEX('TH_MLG GRADE 10'!$BF$7:$BF$49,MATCH(LEFT($A89,LEN($A89)-2),'TH_MLG GRADE 10'!$B$7:$B$49,0))="P")+
 --(INDEX('TH_MLG GRADE 10'!#REF!,MATCH(LEFT($A89,LEN($A89)-2),'TH_MLG GRADE 10'!$B$7:$B$49,0))="P")+
 --(INDEX('TH_MLG GRADE 10'!#REF!,MATCH(LEFT($A89,LEN($A89)-2),'TH_MLG GRADE 10'!$B$7:$B$49,0))="P"),
0)</f>
        <v>0</v>
      </c>
      <c r="D89" s="24" t="b">
        <f ca="1">IF(IF(_xlfn.XLOOKUP(LEFT(A89,LEN(A89)-2),'TH_MLG GRADE 10'!$B$7:$B$49,'TH_MLG GRADE 10'!$BL$7:$BL$49,"",0,1)=0,"",_xlfn.XLOOKUP(LEFT(A89,LEN(A89)-2),'TH_MLG GRADE 10'!$B$7:$B$49,'TH_MLG GRADE 10'!$BL$7:$BL$49,"",0,1))&lt;=TODAY(),TRUE,FALSE)</f>
        <v>1</v>
      </c>
      <c r="E89" s="25">
        <f t="shared" ca="1" si="2"/>
        <v>0</v>
      </c>
      <c r="F89" t="s">
        <v>293</v>
      </c>
      <c r="G89">
        <v>3</v>
      </c>
      <c r="H89">
        <f>IFERROR(
 --(INDEX('PW_MLG GRADE 10'!#REF!,MATCH(LEFT($A89,LEN($A89)-2),'PW_MLG GRADE 10'!$B$7:$B$31,0))="P")+
 --(INDEX('PW_MLG GRADE 10'!#REF!,MATCH(LEFT($A89,LEN($A89)-2),'PW_MLG GRADE 10'!$B$7:$B$31,0))="P")+
 --(INDEX('PW_MLG GRADE 10'!#REF!,MATCH(LEFT($A89,LEN($A89)-2),'PW_MLG GRADE 10'!$B$7:$B$31,0))="P")+
 --(INDEX('PW_MLG GRADE 10'!#REF!,MATCH(LEFT($A89,LEN($A89)-2),'PW_MLG GRADE 10'!$B$7:$B$31,0))="P")+
 --(INDEX('PW_MLG GRADE 10'!#REF!,MATCH(LEFT($A89,LEN($A89)-2),'PW_MLG GRADE 10'!$B$7:$B$31,0))="P")+
 --(INDEX('PW_MLG GRADE 10'!#REF!,MATCH(LEFT($A89,LEN($A89)-2),'PW_MLG GRADE 10'!$B$7:$B$31,0))="P")+
 --(INDEX('PW_MLG GRADE 10'!#REF!,MATCH(LEFT($A89,LEN($A89)-2),'PW_MLG GRADE 10'!$B$7:$B$31,0))="P")+
 --(INDEX('PW_MLG GRADE 10'!#REF!,MATCH(LEFT($A89,LEN($A89)-2),'PW_MLG GRADE 10'!$B$7:$B$31,0))="P")+
 --(INDEX('PW_MLG GRADE 10'!#REF!,MATCH(LEFT($A89,LEN($A89)-2),'PW_MLG GRADE 10'!$B$7:$B$31,0))="P")+
 --(INDEX('PW_MLG GRADE 10'!#REF!,MATCH(LEFT($A89,LEN($A89)-2),'PW_MLG GRADE 10'!$B$7:$B$31,0))="P"),
0)</f>
        <v>0</v>
      </c>
      <c r="I89" t="e">
        <f ca="1">IF(IF(_xlfn.XLOOKUP(LEFT(F89,LEN(F89)-2),'PW_MLG GRADE 10'!$B$7:$B$31,'PW_MLG GRADE 10'!#REF!,"",0,1)=0,"",_xlfn.XLOOKUP(LEFT(F89,LEN(F89)-2),'PW_MLG GRADE 10'!$B$7:$B$31,'PW_MLG GRADE 10'!#REF!,"",0,1))&lt;=TODAY(),TRUE,FALSE)</f>
        <v>#REF!</v>
      </c>
      <c r="J89">
        <f t="shared" ca="1" si="3"/>
        <v>0</v>
      </c>
    </row>
    <row r="90" spans="1:10">
      <c r="A90" s="24" t="s">
        <v>294</v>
      </c>
      <c r="B90">
        <v>3</v>
      </c>
      <c r="C90">
        <f>IFERROR(
 --(INDEX('TH_MLG GRADE 10'!$D$7:$D$49,MATCH(LEFT($A90,LEN($A90)-2),'TH_MLG GRADE 10'!$B$7:$B$49,0))="P")+
 --(INDEX('TH_MLG GRADE 10'!$J$7:$J$49,MATCH(LEFT($A90,LEN($A90)-2),'TH_MLG GRADE 10'!$B$7:$B$49,0))="P")+
 --(INDEX('TH_MLG GRADE 10'!$P$7:$P$49,MATCH(LEFT($A90,LEN($A90)-2),'TH_MLG GRADE 10'!$B$7:$B$49,0))="P")+
 --(INDEX('TH_MLG GRADE 10'!$AB$7:$AB$49,MATCH(LEFT($A90,LEN($A90)-2),'TH_MLG GRADE 10'!$B$7:$B$49,0))="P")+
 --(INDEX('TH_MLG GRADE 10'!$AH$7:$AH$49,MATCH(LEFT($A90,LEN($A90)-2),'TH_MLG GRADE 10'!$B$7:$B$49,0))="P")+
 --(INDEX('TH_MLG GRADE 10'!$AN$7:$AN$49,MATCH(LEFT($A90,LEN($A90)-2),'TH_MLG GRADE 10'!$B$7:$B$49,0))="P")+
 --(INDEX('TH_MLG GRADE 10'!$AZ$7:$AZ$49,MATCH(LEFT($A90,LEN($A90)-2),'TH_MLG GRADE 10'!$B$7:$B$49,0))="P")+
 --(INDEX('TH_MLG GRADE 10'!$BF$7:$BF$49,MATCH(LEFT($A90,LEN($A90)-2),'TH_MLG GRADE 10'!$B$7:$B$49,0))="P")+
 --(INDEX('TH_MLG GRADE 10'!#REF!,MATCH(LEFT($A90,LEN($A90)-2),'TH_MLG GRADE 10'!$B$7:$B$49,0))="P")+
 --(INDEX('TH_MLG GRADE 10'!#REF!,MATCH(LEFT($A90,LEN($A90)-2),'TH_MLG GRADE 10'!$B$7:$B$49,0))="P"),
0)</f>
        <v>0</v>
      </c>
      <c r="D90" s="24" t="b">
        <f ca="1">IF(IF(_xlfn.XLOOKUP(LEFT(A90,LEN(A90)-2),'TH_MLG GRADE 10'!$B$7:$B$49,'TH_MLG GRADE 10'!$BL$7:$BL$49,"",0,1)=0,"",_xlfn.XLOOKUP(LEFT(A90,LEN(A90)-2),'TH_MLG GRADE 10'!$B$7:$B$49,'TH_MLG GRADE 10'!$BL$7:$BL$49,"",0,1))&lt;=TODAY(),TRUE,FALSE)</f>
        <v>1</v>
      </c>
      <c r="E90" s="25">
        <f t="shared" ca="1" si="2"/>
        <v>0</v>
      </c>
      <c r="F90" t="s">
        <v>294</v>
      </c>
      <c r="G90">
        <v>3</v>
      </c>
      <c r="H90">
        <f>IFERROR(
 --(INDEX('PW_MLG GRADE 10'!#REF!,MATCH(LEFT($A90,LEN($A90)-2),'PW_MLG GRADE 10'!$B$7:$B$31,0))="P")+
 --(INDEX('PW_MLG GRADE 10'!#REF!,MATCH(LEFT($A90,LEN($A90)-2),'PW_MLG GRADE 10'!$B$7:$B$31,0))="P")+
 --(INDEX('PW_MLG GRADE 10'!#REF!,MATCH(LEFT($A90,LEN($A90)-2),'PW_MLG GRADE 10'!$B$7:$B$31,0))="P")+
 --(INDEX('PW_MLG GRADE 10'!#REF!,MATCH(LEFT($A90,LEN($A90)-2),'PW_MLG GRADE 10'!$B$7:$B$31,0))="P")+
 --(INDEX('PW_MLG GRADE 10'!#REF!,MATCH(LEFT($A90,LEN($A90)-2),'PW_MLG GRADE 10'!$B$7:$B$31,0))="P")+
 --(INDEX('PW_MLG GRADE 10'!#REF!,MATCH(LEFT($A90,LEN($A90)-2),'PW_MLG GRADE 10'!$B$7:$B$31,0))="P")+
 --(INDEX('PW_MLG GRADE 10'!#REF!,MATCH(LEFT($A90,LEN($A90)-2),'PW_MLG GRADE 10'!$B$7:$B$31,0))="P")+
 --(INDEX('PW_MLG GRADE 10'!#REF!,MATCH(LEFT($A90,LEN($A90)-2),'PW_MLG GRADE 10'!$B$7:$B$31,0))="P")+
 --(INDEX('PW_MLG GRADE 10'!#REF!,MATCH(LEFT($A90,LEN($A90)-2),'PW_MLG GRADE 10'!$B$7:$B$31,0))="P")+
 --(INDEX('PW_MLG GRADE 10'!#REF!,MATCH(LEFT($A90,LEN($A90)-2),'PW_MLG GRADE 10'!$B$7:$B$31,0))="P"),
0)</f>
        <v>0</v>
      </c>
      <c r="I90" t="e">
        <f ca="1">IF(IF(_xlfn.XLOOKUP(LEFT(F90,LEN(F90)-2),'PW_MLG GRADE 10'!$B$7:$B$31,'PW_MLG GRADE 10'!#REF!,"",0,1)=0,"",_xlfn.XLOOKUP(LEFT(F90,LEN(F90)-2),'PW_MLG GRADE 10'!$B$7:$B$31,'PW_MLG GRADE 10'!#REF!,"",0,1))&lt;=TODAY(),TRUE,FALSE)</f>
        <v>#REF!</v>
      </c>
      <c r="J90">
        <f t="shared" ca="1" si="3"/>
        <v>0</v>
      </c>
    </row>
    <row r="91" spans="1:10">
      <c r="A91" s="24" t="s">
        <v>295</v>
      </c>
      <c r="B91">
        <v>3</v>
      </c>
      <c r="C91">
        <f>IFERROR(
 --(INDEX('TH_MLG GRADE 10'!$D$7:$D$49,MATCH(LEFT($A91,LEN($A91)-2),'TH_MLG GRADE 10'!$B$7:$B$49,0))="P")+
 --(INDEX('TH_MLG GRADE 10'!$J$7:$J$49,MATCH(LEFT($A91,LEN($A91)-2),'TH_MLG GRADE 10'!$B$7:$B$49,0))="P")+
 --(INDEX('TH_MLG GRADE 10'!$P$7:$P$49,MATCH(LEFT($A91,LEN($A91)-2),'TH_MLG GRADE 10'!$B$7:$B$49,0))="P")+
 --(INDEX('TH_MLG GRADE 10'!$AB$7:$AB$49,MATCH(LEFT($A91,LEN($A91)-2),'TH_MLG GRADE 10'!$B$7:$B$49,0))="P")+
 --(INDEX('TH_MLG GRADE 10'!$AH$7:$AH$49,MATCH(LEFT($A91,LEN($A91)-2),'TH_MLG GRADE 10'!$B$7:$B$49,0))="P")+
 --(INDEX('TH_MLG GRADE 10'!$AN$7:$AN$49,MATCH(LEFT($A91,LEN($A91)-2),'TH_MLG GRADE 10'!$B$7:$B$49,0))="P")+
 --(INDEX('TH_MLG GRADE 10'!$AZ$7:$AZ$49,MATCH(LEFT($A91,LEN($A91)-2),'TH_MLG GRADE 10'!$B$7:$B$49,0))="P")+
 --(INDEX('TH_MLG GRADE 10'!$BF$7:$BF$49,MATCH(LEFT($A91,LEN($A91)-2),'TH_MLG GRADE 10'!$B$7:$B$49,0))="P")+
 --(INDEX('TH_MLG GRADE 10'!#REF!,MATCH(LEFT($A91,LEN($A91)-2),'TH_MLG GRADE 10'!$B$7:$B$49,0))="P")+
 --(INDEX('TH_MLG GRADE 10'!#REF!,MATCH(LEFT($A91,LEN($A91)-2),'TH_MLG GRADE 10'!$B$7:$B$49,0))="P"),
0)</f>
        <v>0</v>
      </c>
      <c r="D91" s="24" t="b">
        <f ca="1">IF(IF(_xlfn.XLOOKUP(LEFT(A91,LEN(A91)-2),'TH_MLG GRADE 10'!$B$7:$B$49,'TH_MLG GRADE 10'!$BL$7:$BL$49,"",0,1)=0,"",_xlfn.XLOOKUP(LEFT(A91,LEN(A91)-2),'TH_MLG GRADE 10'!$B$7:$B$49,'TH_MLG GRADE 10'!$BL$7:$BL$49,"",0,1))&lt;=TODAY(),TRUE,FALSE)</f>
        <v>1</v>
      </c>
      <c r="E91" s="25">
        <f t="shared" ca="1" si="2"/>
        <v>0</v>
      </c>
      <c r="F91" t="s">
        <v>295</v>
      </c>
      <c r="G91">
        <v>3</v>
      </c>
      <c r="H91">
        <f>IFERROR(
 --(INDEX('PW_MLG GRADE 10'!#REF!,MATCH(LEFT($A91,LEN($A91)-2),'PW_MLG GRADE 10'!$B$7:$B$31,0))="P")+
 --(INDEX('PW_MLG GRADE 10'!#REF!,MATCH(LEFT($A91,LEN($A91)-2),'PW_MLG GRADE 10'!$B$7:$B$31,0))="P")+
 --(INDEX('PW_MLG GRADE 10'!#REF!,MATCH(LEFT($A91,LEN($A91)-2),'PW_MLG GRADE 10'!$B$7:$B$31,0))="P")+
 --(INDEX('PW_MLG GRADE 10'!#REF!,MATCH(LEFT($A91,LEN($A91)-2),'PW_MLG GRADE 10'!$B$7:$B$31,0))="P")+
 --(INDEX('PW_MLG GRADE 10'!#REF!,MATCH(LEFT($A91,LEN($A91)-2),'PW_MLG GRADE 10'!$B$7:$B$31,0))="P")+
 --(INDEX('PW_MLG GRADE 10'!#REF!,MATCH(LEFT($A91,LEN($A91)-2),'PW_MLG GRADE 10'!$B$7:$B$31,0))="P")+
 --(INDEX('PW_MLG GRADE 10'!#REF!,MATCH(LEFT($A91,LEN($A91)-2),'PW_MLG GRADE 10'!$B$7:$B$31,0))="P")+
 --(INDEX('PW_MLG GRADE 10'!#REF!,MATCH(LEFT($A91,LEN($A91)-2),'PW_MLG GRADE 10'!$B$7:$B$31,0))="P")+
 --(INDEX('PW_MLG GRADE 10'!#REF!,MATCH(LEFT($A91,LEN($A91)-2),'PW_MLG GRADE 10'!$B$7:$B$31,0))="P")+
 --(INDEX('PW_MLG GRADE 10'!#REF!,MATCH(LEFT($A91,LEN($A91)-2),'PW_MLG GRADE 10'!$B$7:$B$31,0))="P"),
0)</f>
        <v>0</v>
      </c>
      <c r="I91" t="e">
        <f ca="1">IF(IF(_xlfn.XLOOKUP(LEFT(F91,LEN(F91)-2),'PW_MLG GRADE 10'!$B$7:$B$31,'PW_MLG GRADE 10'!#REF!,"",0,1)=0,"",_xlfn.XLOOKUP(LEFT(F91,LEN(F91)-2),'PW_MLG GRADE 10'!$B$7:$B$31,'PW_MLG GRADE 10'!#REF!,"",0,1))&lt;=TODAY(),TRUE,FALSE)</f>
        <v>#REF!</v>
      </c>
      <c r="J91">
        <f t="shared" ca="1" si="3"/>
        <v>0</v>
      </c>
    </row>
    <row r="92" spans="1:10">
      <c r="A92" s="24" t="s">
        <v>296</v>
      </c>
      <c r="B92">
        <v>3</v>
      </c>
      <c r="C92">
        <f>IFERROR(
 --(INDEX('TH_MLG GRADE 10'!$D$7:$D$49,MATCH(LEFT($A92,LEN($A92)-2),'TH_MLG GRADE 10'!$B$7:$B$49,0))="P")+
 --(INDEX('TH_MLG GRADE 10'!$J$7:$J$49,MATCH(LEFT($A92,LEN($A92)-2),'TH_MLG GRADE 10'!$B$7:$B$49,0))="P")+
 --(INDEX('TH_MLG GRADE 10'!$P$7:$P$49,MATCH(LEFT($A92,LEN($A92)-2),'TH_MLG GRADE 10'!$B$7:$B$49,0))="P")+
 --(INDEX('TH_MLG GRADE 10'!$AB$7:$AB$49,MATCH(LEFT($A92,LEN($A92)-2),'TH_MLG GRADE 10'!$B$7:$B$49,0))="P")+
 --(INDEX('TH_MLG GRADE 10'!$AH$7:$AH$49,MATCH(LEFT($A92,LEN($A92)-2),'TH_MLG GRADE 10'!$B$7:$B$49,0))="P")+
 --(INDEX('TH_MLG GRADE 10'!$AN$7:$AN$49,MATCH(LEFT($A92,LEN($A92)-2),'TH_MLG GRADE 10'!$B$7:$B$49,0))="P")+
 --(INDEX('TH_MLG GRADE 10'!$AZ$7:$AZ$49,MATCH(LEFT($A92,LEN($A92)-2),'TH_MLG GRADE 10'!$B$7:$B$49,0))="P")+
 --(INDEX('TH_MLG GRADE 10'!$BF$7:$BF$49,MATCH(LEFT($A92,LEN($A92)-2),'TH_MLG GRADE 10'!$B$7:$B$49,0))="P")+
 --(INDEX('TH_MLG GRADE 10'!#REF!,MATCH(LEFT($A92,LEN($A92)-2),'TH_MLG GRADE 10'!$B$7:$B$49,0))="P")+
 --(INDEX('TH_MLG GRADE 10'!#REF!,MATCH(LEFT($A92,LEN($A92)-2),'TH_MLG GRADE 10'!$B$7:$B$49,0))="P"),
0)</f>
        <v>0</v>
      </c>
      <c r="D92" s="24" t="b">
        <f ca="1">IF(IF(_xlfn.XLOOKUP(LEFT(A92,LEN(A92)-2),'TH_MLG GRADE 10'!$B$7:$B$49,'TH_MLG GRADE 10'!$BL$7:$BL$49,"",0,1)=0,"",_xlfn.XLOOKUP(LEFT(A92,LEN(A92)-2),'TH_MLG GRADE 10'!$B$7:$B$49,'TH_MLG GRADE 10'!$BL$7:$BL$49,"",0,1))&lt;=TODAY(),TRUE,FALSE)</f>
        <v>1</v>
      </c>
      <c r="E92" s="25">
        <f t="shared" ca="1" si="2"/>
        <v>0</v>
      </c>
      <c r="F92" t="s">
        <v>296</v>
      </c>
      <c r="G92">
        <v>3</v>
      </c>
      <c r="H92">
        <f>IFERROR(
 --(INDEX('PW_MLG GRADE 10'!#REF!,MATCH(LEFT($A92,LEN($A92)-2),'PW_MLG GRADE 10'!$B$7:$B$31,0))="P")+
 --(INDEX('PW_MLG GRADE 10'!#REF!,MATCH(LEFT($A92,LEN($A92)-2),'PW_MLG GRADE 10'!$B$7:$B$31,0))="P")+
 --(INDEX('PW_MLG GRADE 10'!#REF!,MATCH(LEFT($A92,LEN($A92)-2),'PW_MLG GRADE 10'!$B$7:$B$31,0))="P")+
 --(INDEX('PW_MLG GRADE 10'!#REF!,MATCH(LEFT($A92,LEN($A92)-2),'PW_MLG GRADE 10'!$B$7:$B$31,0))="P")+
 --(INDEX('PW_MLG GRADE 10'!#REF!,MATCH(LEFT($A92,LEN($A92)-2),'PW_MLG GRADE 10'!$B$7:$B$31,0))="P")+
 --(INDEX('PW_MLG GRADE 10'!#REF!,MATCH(LEFT($A92,LEN($A92)-2),'PW_MLG GRADE 10'!$B$7:$B$31,0))="P")+
 --(INDEX('PW_MLG GRADE 10'!#REF!,MATCH(LEFT($A92,LEN($A92)-2),'PW_MLG GRADE 10'!$B$7:$B$31,0))="P")+
 --(INDEX('PW_MLG GRADE 10'!#REF!,MATCH(LEFT($A92,LEN($A92)-2),'PW_MLG GRADE 10'!$B$7:$B$31,0))="P")+
 --(INDEX('PW_MLG GRADE 10'!#REF!,MATCH(LEFT($A92,LEN($A92)-2),'PW_MLG GRADE 10'!$B$7:$B$31,0))="P")+
 --(INDEX('PW_MLG GRADE 10'!#REF!,MATCH(LEFT($A92,LEN($A92)-2),'PW_MLG GRADE 10'!$B$7:$B$31,0))="P"),
0)</f>
        <v>0</v>
      </c>
      <c r="I92" t="e">
        <f ca="1">IF(IF(_xlfn.XLOOKUP(LEFT(F92,LEN(F92)-2),'PW_MLG GRADE 10'!$B$7:$B$31,'PW_MLG GRADE 10'!#REF!,"",0,1)=0,"",_xlfn.XLOOKUP(LEFT(F92,LEN(F92)-2),'PW_MLG GRADE 10'!$B$7:$B$31,'PW_MLG GRADE 10'!#REF!,"",0,1))&lt;=TODAY(),TRUE,FALSE)</f>
        <v>#REF!</v>
      </c>
      <c r="J92">
        <f t="shared" ca="1" si="3"/>
        <v>0</v>
      </c>
    </row>
    <row r="93" spans="1:10">
      <c r="A93" s="24" t="s">
        <v>408</v>
      </c>
      <c r="B93">
        <v>3</v>
      </c>
      <c r="C93">
        <f>IFERROR(
 --(INDEX('TH_MLG GRADE 10'!$D$7:$D$49,MATCH(LEFT($A93,LEN($A93)-2),'TH_MLG GRADE 10'!$B$7:$B$49,0))="P")+
 --(INDEX('TH_MLG GRADE 10'!$J$7:$J$49,MATCH(LEFT($A93,LEN($A93)-2),'TH_MLG GRADE 10'!$B$7:$B$49,0))="P")+
 --(INDEX('TH_MLG GRADE 10'!$P$7:$P$49,MATCH(LEFT($A93,LEN($A93)-2),'TH_MLG GRADE 10'!$B$7:$B$49,0))="P")+
 --(INDEX('TH_MLG GRADE 10'!$AB$7:$AB$49,MATCH(LEFT($A93,LEN($A93)-2),'TH_MLG GRADE 10'!$B$7:$B$49,0))="P")+
 --(INDEX('TH_MLG GRADE 10'!$AH$7:$AH$49,MATCH(LEFT($A93,LEN($A93)-2),'TH_MLG GRADE 10'!$B$7:$B$49,0))="P")+
 --(INDEX('TH_MLG GRADE 10'!$AN$7:$AN$49,MATCH(LEFT($A93,LEN($A93)-2),'TH_MLG GRADE 10'!$B$7:$B$49,0))="P")+
 --(INDEX('TH_MLG GRADE 10'!$AZ$7:$AZ$49,MATCH(LEFT($A93,LEN($A93)-2),'TH_MLG GRADE 10'!$B$7:$B$49,0))="P")+
 --(INDEX('TH_MLG GRADE 10'!$BF$7:$BF$49,MATCH(LEFT($A93,LEN($A93)-2),'TH_MLG GRADE 10'!$B$7:$B$49,0))="P")+
 --(INDEX('TH_MLG GRADE 10'!#REF!,MATCH(LEFT($A93,LEN($A93)-2),'TH_MLG GRADE 10'!$B$7:$B$49,0))="P")+
 --(INDEX('TH_MLG GRADE 10'!#REF!,MATCH(LEFT($A93,LEN($A93)-2),'TH_MLG GRADE 10'!$B$7:$B$49,0))="P"),
0)</f>
        <v>0</v>
      </c>
      <c r="D93" s="24" t="b">
        <f ca="1">IF(IF(_xlfn.XLOOKUP(LEFT(A93,LEN(A93)-2),'TH_MLG GRADE 10'!$B$7:$B$49,'TH_MLG GRADE 10'!$BM$7:$BM$49,"",0,1)=0,"",_xlfn.XLOOKUP(LEFT(A93,LEN(A93)-2),'TH_MLG GRADE 10'!$B$7:$B$49,'TH_MLG GRADE 10'!$BM$7:$BM$49,"",0,1))&lt;=TODAY(),TRUE,FALSE)</f>
        <v>0</v>
      </c>
      <c r="E93" s="25" t="str">
        <f t="shared" ca="1" si="2"/>
        <v/>
      </c>
      <c r="F93" t="s">
        <v>408</v>
      </c>
      <c r="G93">
        <v>3</v>
      </c>
      <c r="H93">
        <f>IFERROR(
 --(INDEX('PW_MLG GRADE 10'!#REF!,MATCH(LEFT($A93,LEN($A93)-2),'PW_MLG GRADE 10'!$B$7:$B$31,0))="P")+
 --(INDEX('PW_MLG GRADE 10'!#REF!,MATCH(LEFT($A93,LEN($A93)-2),'PW_MLG GRADE 10'!$B$7:$B$31,0))="P")+
 --(INDEX('PW_MLG GRADE 10'!#REF!,MATCH(LEFT($A93,LEN($A93)-2),'PW_MLG GRADE 10'!$B$7:$B$31,0))="P")+
 --(INDEX('PW_MLG GRADE 10'!#REF!,MATCH(LEFT($A93,LEN($A93)-2),'PW_MLG GRADE 10'!$B$7:$B$31,0))="P")+
 --(INDEX('PW_MLG GRADE 10'!#REF!,MATCH(LEFT($A93,LEN($A93)-2),'PW_MLG GRADE 10'!$B$7:$B$31,0))="P")+
 --(INDEX('PW_MLG GRADE 10'!#REF!,MATCH(LEFT($A93,LEN($A93)-2),'PW_MLG GRADE 10'!$B$7:$B$31,0))="P")+
 --(INDEX('PW_MLG GRADE 10'!#REF!,MATCH(LEFT($A93,LEN($A93)-2),'PW_MLG GRADE 10'!$B$7:$B$31,0))="P")+
 --(INDEX('PW_MLG GRADE 10'!#REF!,MATCH(LEFT($A93,LEN($A93)-2),'PW_MLG GRADE 10'!$B$7:$B$31,0))="P")+
 --(INDEX('PW_MLG GRADE 10'!#REF!,MATCH(LEFT($A93,LEN($A93)-2),'PW_MLG GRADE 10'!$B$7:$B$31,0))="P")+
 --(INDEX('PW_MLG GRADE 10'!#REF!,MATCH(LEFT($A93,LEN($A93)-2),'PW_MLG GRADE 10'!$B$7:$B$31,0))="P"),
0)</f>
        <v>0</v>
      </c>
      <c r="I93" t="e">
        <f ca="1">IF(IF(_xlfn.XLOOKUP(LEFT(F93,LEN(F93)-2),'PW_MLG GRADE 10'!$B$7:$B$31,'PW_MLG GRADE 10'!#REF!,"",0,1)=0,"",_xlfn.XLOOKUP(LEFT(F93,LEN(F93)-2),'PW_MLG GRADE 10'!$B$7:$B$31,'PW_MLG GRADE 10'!#REF!,"",0,1))&lt;=TODAY(),TRUE,FALSE)</f>
        <v>#REF!</v>
      </c>
      <c r="J93">
        <f t="shared" ca="1" si="3"/>
        <v>0</v>
      </c>
    </row>
    <row r="94" spans="1:10">
      <c r="A94" s="24" t="s">
        <v>409</v>
      </c>
      <c r="B94">
        <v>3</v>
      </c>
      <c r="C94">
        <f>IFERROR(
 --(INDEX('TH_MLG GRADE 10'!$D$7:$D$49,MATCH(LEFT($A94,LEN($A94)-2),'TH_MLG GRADE 10'!$B$7:$B$49,0))="P")+
 --(INDEX('TH_MLG GRADE 10'!$J$7:$J$49,MATCH(LEFT($A94,LEN($A94)-2),'TH_MLG GRADE 10'!$B$7:$B$49,0))="P")+
 --(INDEX('TH_MLG GRADE 10'!$P$7:$P$49,MATCH(LEFT($A94,LEN($A94)-2),'TH_MLG GRADE 10'!$B$7:$B$49,0))="P")+
 --(INDEX('TH_MLG GRADE 10'!$AB$7:$AB$49,MATCH(LEFT($A94,LEN($A94)-2),'TH_MLG GRADE 10'!$B$7:$B$49,0))="P")+
 --(INDEX('TH_MLG GRADE 10'!$AH$7:$AH$49,MATCH(LEFT($A94,LEN($A94)-2),'TH_MLG GRADE 10'!$B$7:$B$49,0))="P")+
 --(INDEX('TH_MLG GRADE 10'!$AN$7:$AN$49,MATCH(LEFT($A94,LEN($A94)-2),'TH_MLG GRADE 10'!$B$7:$B$49,0))="P")+
 --(INDEX('TH_MLG GRADE 10'!$AZ$7:$AZ$49,MATCH(LEFT($A94,LEN($A94)-2),'TH_MLG GRADE 10'!$B$7:$B$49,0))="P")+
 --(INDEX('TH_MLG GRADE 10'!$BF$7:$BF$49,MATCH(LEFT($A94,LEN($A94)-2),'TH_MLG GRADE 10'!$B$7:$B$49,0))="P")+
 --(INDEX('TH_MLG GRADE 10'!#REF!,MATCH(LEFT($A94,LEN($A94)-2),'TH_MLG GRADE 10'!$B$7:$B$49,0))="P")+
 --(INDEX('TH_MLG GRADE 10'!#REF!,MATCH(LEFT($A94,LEN($A94)-2),'TH_MLG GRADE 10'!$B$7:$B$49,0))="P"),
0)</f>
        <v>0</v>
      </c>
      <c r="D94" s="24" t="b">
        <f ca="1">IF(IF(_xlfn.XLOOKUP(LEFT(A94,LEN(A94)-2),'TH_MLG GRADE 10'!$B$7:$B$49,'TH_MLG GRADE 10'!$BM$7:$BM$49,"",0,1)=0,"",_xlfn.XLOOKUP(LEFT(A94,LEN(A94)-2),'TH_MLG GRADE 10'!$B$7:$B$49,'TH_MLG GRADE 10'!$BM$7:$BM$49,"",0,1))&lt;=TODAY(),TRUE,FALSE)</f>
        <v>0</v>
      </c>
      <c r="E94" s="25" t="str">
        <f t="shared" ca="1" si="2"/>
        <v/>
      </c>
      <c r="F94" t="s">
        <v>409</v>
      </c>
      <c r="G94">
        <v>3</v>
      </c>
      <c r="H94">
        <f>IFERROR(
 --(INDEX('PW_MLG GRADE 10'!#REF!,MATCH(LEFT($A94,LEN($A94)-2),'PW_MLG GRADE 10'!$B$7:$B$31,0))="P")+
 --(INDEX('PW_MLG GRADE 10'!#REF!,MATCH(LEFT($A94,LEN($A94)-2),'PW_MLG GRADE 10'!$B$7:$B$31,0))="P")+
 --(INDEX('PW_MLG GRADE 10'!#REF!,MATCH(LEFT($A94,LEN($A94)-2),'PW_MLG GRADE 10'!$B$7:$B$31,0))="P")+
 --(INDEX('PW_MLG GRADE 10'!#REF!,MATCH(LEFT($A94,LEN($A94)-2),'PW_MLG GRADE 10'!$B$7:$B$31,0))="P")+
 --(INDEX('PW_MLG GRADE 10'!#REF!,MATCH(LEFT($A94,LEN($A94)-2),'PW_MLG GRADE 10'!$B$7:$B$31,0))="P")+
 --(INDEX('PW_MLG GRADE 10'!#REF!,MATCH(LEFT($A94,LEN($A94)-2),'PW_MLG GRADE 10'!$B$7:$B$31,0))="P")+
 --(INDEX('PW_MLG GRADE 10'!#REF!,MATCH(LEFT($A94,LEN($A94)-2),'PW_MLG GRADE 10'!$B$7:$B$31,0))="P")+
 --(INDEX('PW_MLG GRADE 10'!#REF!,MATCH(LEFT($A94,LEN($A94)-2),'PW_MLG GRADE 10'!$B$7:$B$31,0))="P")+
 --(INDEX('PW_MLG GRADE 10'!#REF!,MATCH(LEFT($A94,LEN($A94)-2),'PW_MLG GRADE 10'!$B$7:$B$31,0))="P")+
 --(INDEX('PW_MLG GRADE 10'!#REF!,MATCH(LEFT($A94,LEN($A94)-2),'PW_MLG GRADE 10'!$B$7:$B$31,0))="P"),
0)</f>
        <v>0</v>
      </c>
      <c r="I94" t="e">
        <f ca="1">IF(IF(_xlfn.XLOOKUP(LEFT(F94,LEN(F94)-2),'PW_MLG GRADE 10'!$B$7:$B$31,'PW_MLG GRADE 10'!#REF!,"",0,1)=0,"",_xlfn.XLOOKUP(LEFT(F94,LEN(F94)-2),'PW_MLG GRADE 10'!$B$7:$B$31,'PW_MLG GRADE 10'!#REF!,"",0,1))&lt;=TODAY(),TRUE,FALSE)</f>
        <v>#REF!</v>
      </c>
      <c r="J94">
        <f t="shared" ca="1" si="3"/>
        <v>0</v>
      </c>
    </row>
    <row r="95" spans="1:10">
      <c r="A95" s="24" t="s">
        <v>410</v>
      </c>
      <c r="B95">
        <v>3</v>
      </c>
      <c r="C95">
        <f>IFERROR(
 --(INDEX('TH_MLG GRADE 10'!$D$7:$D$49,MATCH(LEFT($A95,LEN($A95)-2),'TH_MLG GRADE 10'!$B$7:$B$49,0))="P")+
 --(INDEX('TH_MLG GRADE 10'!$J$7:$J$49,MATCH(LEFT($A95,LEN($A95)-2),'TH_MLG GRADE 10'!$B$7:$B$49,0))="P")+
 --(INDEX('TH_MLG GRADE 10'!$P$7:$P$49,MATCH(LEFT($A95,LEN($A95)-2),'TH_MLG GRADE 10'!$B$7:$B$49,0))="P")+
 --(INDEX('TH_MLG GRADE 10'!$AB$7:$AB$49,MATCH(LEFT($A95,LEN($A95)-2),'TH_MLG GRADE 10'!$B$7:$B$49,0))="P")+
 --(INDEX('TH_MLG GRADE 10'!$AH$7:$AH$49,MATCH(LEFT($A95,LEN($A95)-2),'TH_MLG GRADE 10'!$B$7:$B$49,0))="P")+
 --(INDEX('TH_MLG GRADE 10'!$AN$7:$AN$49,MATCH(LEFT($A95,LEN($A95)-2),'TH_MLG GRADE 10'!$B$7:$B$49,0))="P")+
 --(INDEX('TH_MLG GRADE 10'!$AZ$7:$AZ$49,MATCH(LEFT($A95,LEN($A95)-2),'TH_MLG GRADE 10'!$B$7:$B$49,0))="P")+
 --(INDEX('TH_MLG GRADE 10'!$BF$7:$BF$49,MATCH(LEFT($A95,LEN($A95)-2),'TH_MLG GRADE 10'!$B$7:$B$49,0))="P")+
 --(INDEX('TH_MLG GRADE 10'!#REF!,MATCH(LEFT($A95,LEN($A95)-2),'TH_MLG GRADE 10'!$B$7:$B$49,0))="P")+
 --(INDEX('TH_MLG GRADE 10'!#REF!,MATCH(LEFT($A95,LEN($A95)-2),'TH_MLG GRADE 10'!$B$7:$B$49,0))="P"),
0)</f>
        <v>0</v>
      </c>
      <c r="D95" s="24" t="b">
        <f ca="1">IF(IF(_xlfn.XLOOKUP(LEFT(A95,LEN(A95)-2),'TH_MLG GRADE 10'!$B$7:$B$49,'TH_MLG GRADE 10'!$BM$7:$BM$49,"",0,1)=0,"",_xlfn.XLOOKUP(LEFT(A95,LEN(A95)-2),'TH_MLG GRADE 10'!$B$7:$B$49,'TH_MLG GRADE 10'!$BM$7:$BM$49,"",0,1))&lt;=TODAY(),TRUE,FALSE)</f>
        <v>0</v>
      </c>
      <c r="E95" s="25" t="str">
        <f t="shared" ca="1" si="2"/>
        <v/>
      </c>
      <c r="F95" t="s">
        <v>410</v>
      </c>
      <c r="G95">
        <v>3</v>
      </c>
      <c r="H95">
        <f>IFERROR(
 --(INDEX('PW_MLG GRADE 10'!#REF!,MATCH(LEFT($A95,LEN($A95)-2),'PW_MLG GRADE 10'!$B$7:$B$31,0))="P")+
 --(INDEX('PW_MLG GRADE 10'!#REF!,MATCH(LEFT($A95,LEN($A95)-2),'PW_MLG GRADE 10'!$B$7:$B$31,0))="P")+
 --(INDEX('PW_MLG GRADE 10'!#REF!,MATCH(LEFT($A95,LEN($A95)-2),'PW_MLG GRADE 10'!$B$7:$B$31,0))="P")+
 --(INDEX('PW_MLG GRADE 10'!#REF!,MATCH(LEFT($A95,LEN($A95)-2),'PW_MLG GRADE 10'!$B$7:$B$31,0))="P")+
 --(INDEX('PW_MLG GRADE 10'!#REF!,MATCH(LEFT($A95,LEN($A95)-2),'PW_MLG GRADE 10'!$B$7:$B$31,0))="P")+
 --(INDEX('PW_MLG GRADE 10'!#REF!,MATCH(LEFT($A95,LEN($A95)-2),'PW_MLG GRADE 10'!$B$7:$B$31,0))="P")+
 --(INDEX('PW_MLG GRADE 10'!#REF!,MATCH(LEFT($A95,LEN($A95)-2),'PW_MLG GRADE 10'!$B$7:$B$31,0))="P")+
 --(INDEX('PW_MLG GRADE 10'!#REF!,MATCH(LEFT($A95,LEN($A95)-2),'PW_MLG GRADE 10'!$B$7:$B$31,0))="P")+
 --(INDEX('PW_MLG GRADE 10'!#REF!,MATCH(LEFT($A95,LEN($A95)-2),'PW_MLG GRADE 10'!$B$7:$B$31,0))="P")+
 --(INDEX('PW_MLG GRADE 10'!#REF!,MATCH(LEFT($A95,LEN($A95)-2),'PW_MLG GRADE 10'!$B$7:$B$31,0))="P"),
0)</f>
        <v>0</v>
      </c>
      <c r="I95" t="e">
        <f ca="1">IF(IF(_xlfn.XLOOKUP(LEFT(F95,LEN(F95)-2),'PW_MLG GRADE 10'!$B$7:$B$31,'PW_MLG GRADE 10'!#REF!,"",0,1)=0,"",_xlfn.XLOOKUP(LEFT(F95,LEN(F95)-2),'PW_MLG GRADE 10'!$B$7:$B$31,'PW_MLG GRADE 10'!#REF!,"",0,1))&lt;=TODAY(),TRUE,FALSE)</f>
        <v>#REF!</v>
      </c>
      <c r="J95">
        <f t="shared" ca="1" si="3"/>
        <v>0</v>
      </c>
    </row>
    <row r="96" spans="1:10">
      <c r="A96" s="24" t="s">
        <v>411</v>
      </c>
      <c r="B96">
        <v>3</v>
      </c>
      <c r="C96">
        <f>IFERROR(
 --(INDEX('TH_MLG GRADE 10'!$D$7:$D$49,MATCH(LEFT($A96,LEN($A96)-2),'TH_MLG GRADE 10'!$B$7:$B$49,0))="P")+
 --(INDEX('TH_MLG GRADE 10'!$J$7:$J$49,MATCH(LEFT($A96,LEN($A96)-2),'TH_MLG GRADE 10'!$B$7:$B$49,0))="P")+
 --(INDEX('TH_MLG GRADE 10'!$P$7:$P$49,MATCH(LEFT($A96,LEN($A96)-2),'TH_MLG GRADE 10'!$B$7:$B$49,0))="P")+
 --(INDEX('TH_MLG GRADE 10'!$AB$7:$AB$49,MATCH(LEFT($A96,LEN($A96)-2),'TH_MLG GRADE 10'!$B$7:$B$49,0))="P")+
 --(INDEX('TH_MLG GRADE 10'!$AH$7:$AH$49,MATCH(LEFT($A96,LEN($A96)-2),'TH_MLG GRADE 10'!$B$7:$B$49,0))="P")+
 --(INDEX('TH_MLG GRADE 10'!$AN$7:$AN$49,MATCH(LEFT($A96,LEN($A96)-2),'TH_MLG GRADE 10'!$B$7:$B$49,0))="P")+
 --(INDEX('TH_MLG GRADE 10'!$AZ$7:$AZ$49,MATCH(LEFT($A96,LEN($A96)-2),'TH_MLG GRADE 10'!$B$7:$B$49,0))="P")+
 --(INDEX('TH_MLG GRADE 10'!$BF$7:$BF$49,MATCH(LEFT($A96,LEN($A96)-2),'TH_MLG GRADE 10'!$B$7:$B$49,0))="P")+
 --(INDEX('TH_MLG GRADE 10'!#REF!,MATCH(LEFT($A96,LEN($A96)-2),'TH_MLG GRADE 10'!$B$7:$B$49,0))="P")+
 --(INDEX('TH_MLG GRADE 10'!#REF!,MATCH(LEFT($A96,LEN($A96)-2),'TH_MLG GRADE 10'!$B$7:$B$49,0))="P"),
0)</f>
        <v>0</v>
      </c>
      <c r="D96" s="24" t="b">
        <f ca="1">IF(IF(_xlfn.XLOOKUP(LEFT(A96,LEN(A96)-2),'TH_MLG GRADE 10'!$B$7:$B$49,'TH_MLG GRADE 10'!$BM$7:$BM$49,"",0,1)=0,"",_xlfn.XLOOKUP(LEFT(A96,LEN(A96)-2),'TH_MLG GRADE 10'!$B$7:$B$49,'TH_MLG GRADE 10'!$BM$7:$BM$49,"",0,1))&lt;=TODAY(),TRUE,FALSE)</f>
        <v>0</v>
      </c>
      <c r="E96" s="25" t="str">
        <f t="shared" ca="1" si="2"/>
        <v/>
      </c>
      <c r="F96" t="s">
        <v>411</v>
      </c>
      <c r="G96">
        <v>3</v>
      </c>
      <c r="H96">
        <f>IFERROR(
 --(INDEX('PW_MLG GRADE 10'!#REF!,MATCH(LEFT($A96,LEN($A96)-2),'PW_MLG GRADE 10'!$B$7:$B$31,0))="P")+
 --(INDEX('PW_MLG GRADE 10'!#REF!,MATCH(LEFT($A96,LEN($A96)-2),'PW_MLG GRADE 10'!$B$7:$B$31,0))="P")+
 --(INDEX('PW_MLG GRADE 10'!#REF!,MATCH(LEFT($A96,LEN($A96)-2),'PW_MLG GRADE 10'!$B$7:$B$31,0))="P")+
 --(INDEX('PW_MLG GRADE 10'!#REF!,MATCH(LEFT($A96,LEN($A96)-2),'PW_MLG GRADE 10'!$B$7:$B$31,0))="P")+
 --(INDEX('PW_MLG GRADE 10'!#REF!,MATCH(LEFT($A96,LEN($A96)-2),'PW_MLG GRADE 10'!$B$7:$B$31,0))="P")+
 --(INDEX('PW_MLG GRADE 10'!#REF!,MATCH(LEFT($A96,LEN($A96)-2),'PW_MLG GRADE 10'!$B$7:$B$31,0))="P")+
 --(INDEX('PW_MLG GRADE 10'!#REF!,MATCH(LEFT($A96,LEN($A96)-2),'PW_MLG GRADE 10'!$B$7:$B$31,0))="P")+
 --(INDEX('PW_MLG GRADE 10'!#REF!,MATCH(LEFT($A96,LEN($A96)-2),'PW_MLG GRADE 10'!$B$7:$B$31,0))="P")+
 --(INDEX('PW_MLG GRADE 10'!#REF!,MATCH(LEFT($A96,LEN($A96)-2),'PW_MLG GRADE 10'!$B$7:$B$31,0))="P")+
 --(INDEX('PW_MLG GRADE 10'!#REF!,MATCH(LEFT($A96,LEN($A96)-2),'PW_MLG GRADE 10'!$B$7:$B$31,0))="P"),
0)</f>
        <v>0</v>
      </c>
      <c r="I96" t="e">
        <f ca="1">IF(IF(_xlfn.XLOOKUP(LEFT(F96,LEN(F96)-2),'PW_MLG GRADE 10'!$B$7:$B$31,'PW_MLG GRADE 10'!#REF!,"",0,1)=0,"",_xlfn.XLOOKUP(LEFT(F96,LEN(F96)-2),'PW_MLG GRADE 10'!$B$7:$B$31,'PW_MLG GRADE 10'!#REF!,"",0,1))&lt;=TODAY(),TRUE,FALSE)</f>
        <v>#REF!</v>
      </c>
      <c r="J96">
        <f t="shared" ca="1" si="3"/>
        <v>0</v>
      </c>
    </row>
    <row r="97" spans="1:10">
      <c r="A97" s="24" t="s">
        <v>412</v>
      </c>
      <c r="B97">
        <v>3</v>
      </c>
      <c r="C97">
        <f>IFERROR(
 --(INDEX('TH_MLG GRADE 10'!$D$7:$D$49,MATCH(LEFT($A97,LEN($A97)-2),'TH_MLG GRADE 10'!$B$7:$B$49,0))="P")+
 --(INDEX('TH_MLG GRADE 10'!$J$7:$J$49,MATCH(LEFT($A97,LEN($A97)-2),'TH_MLG GRADE 10'!$B$7:$B$49,0))="P")+
 --(INDEX('TH_MLG GRADE 10'!$P$7:$P$49,MATCH(LEFT($A97,LEN($A97)-2),'TH_MLG GRADE 10'!$B$7:$B$49,0))="P")+
 --(INDEX('TH_MLG GRADE 10'!$AB$7:$AB$49,MATCH(LEFT($A97,LEN($A97)-2),'TH_MLG GRADE 10'!$B$7:$B$49,0))="P")+
 --(INDEX('TH_MLG GRADE 10'!$AH$7:$AH$49,MATCH(LEFT($A97,LEN($A97)-2),'TH_MLG GRADE 10'!$B$7:$B$49,0))="P")+
 --(INDEX('TH_MLG GRADE 10'!$AN$7:$AN$49,MATCH(LEFT($A97,LEN($A97)-2),'TH_MLG GRADE 10'!$B$7:$B$49,0))="P")+
 --(INDEX('TH_MLG GRADE 10'!$AZ$7:$AZ$49,MATCH(LEFT($A97,LEN($A97)-2),'TH_MLG GRADE 10'!$B$7:$B$49,0))="P")+
 --(INDEX('TH_MLG GRADE 10'!$BF$7:$BF$49,MATCH(LEFT($A97,LEN($A97)-2),'TH_MLG GRADE 10'!$B$7:$B$49,0))="P")+
 --(INDEX('TH_MLG GRADE 10'!#REF!,MATCH(LEFT($A97,LEN($A97)-2),'TH_MLG GRADE 10'!$B$7:$B$49,0))="P")+
 --(INDEX('TH_MLG GRADE 10'!#REF!,MATCH(LEFT($A97,LEN($A97)-2),'TH_MLG GRADE 10'!$B$7:$B$49,0))="P"),
0)</f>
        <v>0</v>
      </c>
      <c r="D97" s="24" t="b">
        <f ca="1">IF(IF(_xlfn.XLOOKUP(LEFT(A97,LEN(A97)-2),'TH_MLG GRADE 10'!$B$7:$B$49,'TH_MLG GRADE 10'!$BM$7:$BM$49,"",0,1)=0,"",_xlfn.XLOOKUP(LEFT(A97,LEN(A97)-2),'TH_MLG GRADE 10'!$B$7:$B$49,'TH_MLG GRADE 10'!$BM$7:$BM$49,"",0,1))&lt;=TODAY(),TRUE,FALSE)</f>
        <v>0</v>
      </c>
      <c r="E97" s="25" t="str">
        <f t="shared" ca="1" si="2"/>
        <v/>
      </c>
      <c r="F97" t="s">
        <v>412</v>
      </c>
      <c r="G97">
        <v>3</v>
      </c>
      <c r="H97">
        <f>IFERROR(
 --(INDEX('PW_MLG GRADE 10'!#REF!,MATCH(LEFT($A97,LEN($A97)-2),'PW_MLG GRADE 10'!$B$7:$B$31,0))="P")+
 --(INDEX('PW_MLG GRADE 10'!#REF!,MATCH(LEFT($A97,LEN($A97)-2),'PW_MLG GRADE 10'!$B$7:$B$31,0))="P")+
 --(INDEX('PW_MLG GRADE 10'!#REF!,MATCH(LEFT($A97,LEN($A97)-2),'PW_MLG GRADE 10'!$B$7:$B$31,0))="P")+
 --(INDEX('PW_MLG GRADE 10'!#REF!,MATCH(LEFT($A97,LEN($A97)-2),'PW_MLG GRADE 10'!$B$7:$B$31,0))="P")+
 --(INDEX('PW_MLG GRADE 10'!#REF!,MATCH(LEFT($A97,LEN($A97)-2),'PW_MLG GRADE 10'!$B$7:$B$31,0))="P")+
 --(INDEX('PW_MLG GRADE 10'!#REF!,MATCH(LEFT($A97,LEN($A97)-2),'PW_MLG GRADE 10'!$B$7:$B$31,0))="P")+
 --(INDEX('PW_MLG GRADE 10'!#REF!,MATCH(LEFT($A97,LEN($A97)-2),'PW_MLG GRADE 10'!$B$7:$B$31,0))="P")+
 --(INDEX('PW_MLG GRADE 10'!#REF!,MATCH(LEFT($A97,LEN($A97)-2),'PW_MLG GRADE 10'!$B$7:$B$31,0))="P")+
 --(INDEX('PW_MLG GRADE 10'!#REF!,MATCH(LEFT($A97,LEN($A97)-2),'PW_MLG GRADE 10'!$B$7:$B$31,0))="P")+
 --(INDEX('PW_MLG GRADE 10'!#REF!,MATCH(LEFT($A97,LEN($A97)-2),'PW_MLG GRADE 10'!$B$7:$B$31,0))="P"),
0)</f>
        <v>0</v>
      </c>
      <c r="I97" t="e">
        <f ca="1">IF(IF(_xlfn.XLOOKUP(LEFT(F97,LEN(F97)-2),'PW_MLG GRADE 10'!$B$7:$B$31,'PW_MLG GRADE 10'!#REF!,"",0,1)=0,"",_xlfn.XLOOKUP(LEFT(F97,LEN(F97)-2),'PW_MLG GRADE 10'!$B$7:$B$31,'PW_MLG GRADE 10'!#REF!,"",0,1))&lt;=TODAY(),TRUE,FALSE)</f>
        <v>#REF!</v>
      </c>
      <c r="J97">
        <f t="shared" ca="1" si="3"/>
        <v>0</v>
      </c>
    </row>
    <row r="98" spans="1:10">
      <c r="A98" s="24" t="s">
        <v>413</v>
      </c>
      <c r="B98">
        <v>3</v>
      </c>
      <c r="C98">
        <f>IFERROR(
 --(INDEX('TH_MLG GRADE 10'!$D$7:$D$49,MATCH(LEFT($A98,LEN($A98)-2),'TH_MLG GRADE 10'!$B$7:$B$49,0))="P")+
 --(INDEX('TH_MLG GRADE 10'!$J$7:$J$49,MATCH(LEFT($A98,LEN($A98)-2),'TH_MLG GRADE 10'!$B$7:$B$49,0))="P")+
 --(INDEX('TH_MLG GRADE 10'!$P$7:$P$49,MATCH(LEFT($A98,LEN($A98)-2),'TH_MLG GRADE 10'!$B$7:$B$49,0))="P")+
 --(INDEX('TH_MLG GRADE 10'!$AB$7:$AB$49,MATCH(LEFT($A98,LEN($A98)-2),'TH_MLG GRADE 10'!$B$7:$B$49,0))="P")+
 --(INDEX('TH_MLG GRADE 10'!$AH$7:$AH$49,MATCH(LEFT($A98,LEN($A98)-2),'TH_MLG GRADE 10'!$B$7:$B$49,0))="P")+
 --(INDEX('TH_MLG GRADE 10'!$AN$7:$AN$49,MATCH(LEFT($A98,LEN($A98)-2),'TH_MLG GRADE 10'!$B$7:$B$49,0))="P")+
 --(INDEX('TH_MLG GRADE 10'!$AZ$7:$AZ$49,MATCH(LEFT($A98,LEN($A98)-2),'TH_MLG GRADE 10'!$B$7:$B$49,0))="P")+
 --(INDEX('TH_MLG GRADE 10'!$BF$7:$BF$49,MATCH(LEFT($A98,LEN($A98)-2),'TH_MLG GRADE 10'!$B$7:$B$49,0))="P")+
 --(INDEX('TH_MLG GRADE 10'!#REF!,MATCH(LEFT($A98,LEN($A98)-2),'TH_MLG GRADE 10'!$B$7:$B$49,0))="P")+
 --(INDEX('TH_MLG GRADE 10'!#REF!,MATCH(LEFT($A98,LEN($A98)-2),'TH_MLG GRADE 10'!$B$7:$B$49,0))="P"),
0)</f>
        <v>0</v>
      </c>
      <c r="D98" s="24" t="b">
        <f ca="1">IF(IF(_xlfn.XLOOKUP(LEFT(A98,LEN(A98)-2),'TH_MLG GRADE 10'!$B$7:$B$49,'TH_MLG GRADE 10'!$BM$7:$BM$49,"",0,1)=0,"",_xlfn.XLOOKUP(LEFT(A98,LEN(A98)-2),'TH_MLG GRADE 10'!$B$7:$B$49,'TH_MLG GRADE 10'!$BM$7:$BM$49,"",0,1))&lt;=TODAY(),TRUE,FALSE)</f>
        <v>0</v>
      </c>
      <c r="E98" s="25" t="str">
        <f t="shared" ca="1" si="2"/>
        <v/>
      </c>
      <c r="F98" t="s">
        <v>413</v>
      </c>
      <c r="G98">
        <v>3</v>
      </c>
      <c r="H98">
        <f>IFERROR(
 --(INDEX('PW_MLG GRADE 10'!#REF!,MATCH(LEFT($A98,LEN($A98)-2),'PW_MLG GRADE 10'!$B$7:$B$31,0))="P")+
 --(INDEX('PW_MLG GRADE 10'!#REF!,MATCH(LEFT($A98,LEN($A98)-2),'PW_MLG GRADE 10'!$B$7:$B$31,0))="P")+
 --(INDEX('PW_MLG GRADE 10'!#REF!,MATCH(LEFT($A98,LEN($A98)-2),'PW_MLG GRADE 10'!$B$7:$B$31,0))="P")+
 --(INDEX('PW_MLG GRADE 10'!#REF!,MATCH(LEFT($A98,LEN($A98)-2),'PW_MLG GRADE 10'!$B$7:$B$31,0))="P")+
 --(INDEX('PW_MLG GRADE 10'!#REF!,MATCH(LEFT($A98,LEN($A98)-2),'PW_MLG GRADE 10'!$B$7:$B$31,0))="P")+
 --(INDEX('PW_MLG GRADE 10'!#REF!,MATCH(LEFT($A98,LEN($A98)-2),'PW_MLG GRADE 10'!$B$7:$B$31,0))="P")+
 --(INDEX('PW_MLG GRADE 10'!#REF!,MATCH(LEFT($A98,LEN($A98)-2),'PW_MLG GRADE 10'!$B$7:$B$31,0))="P")+
 --(INDEX('PW_MLG GRADE 10'!#REF!,MATCH(LEFT($A98,LEN($A98)-2),'PW_MLG GRADE 10'!$B$7:$B$31,0))="P")+
 --(INDEX('PW_MLG GRADE 10'!#REF!,MATCH(LEFT($A98,LEN($A98)-2),'PW_MLG GRADE 10'!$B$7:$B$31,0))="P")+
 --(INDEX('PW_MLG GRADE 10'!#REF!,MATCH(LEFT($A98,LEN($A98)-2),'PW_MLG GRADE 10'!$B$7:$B$31,0))="P"),
0)</f>
        <v>0</v>
      </c>
      <c r="I98" t="e">
        <f ca="1">IF(IF(_xlfn.XLOOKUP(LEFT(F98,LEN(F98)-2),'PW_MLG GRADE 10'!$B$7:$B$31,'PW_MLG GRADE 10'!#REF!,"",0,1)=0,"",_xlfn.XLOOKUP(LEFT(F98,LEN(F98)-2),'PW_MLG GRADE 10'!$B$7:$B$31,'PW_MLG GRADE 10'!#REF!,"",0,1))&lt;=TODAY(),TRUE,FALSE)</f>
        <v>#REF!</v>
      </c>
      <c r="J98">
        <f t="shared" ca="1" si="3"/>
        <v>0</v>
      </c>
    </row>
    <row r="99" spans="1:10">
      <c r="A99" s="24" t="s">
        <v>414</v>
      </c>
      <c r="B99">
        <v>3</v>
      </c>
      <c r="C99">
        <f>IFERROR(
 --(INDEX('TH_MLG GRADE 10'!$D$7:$D$49,MATCH(LEFT($A99,LEN($A99)-2),'TH_MLG GRADE 10'!$B$7:$B$49,0))="P")+
 --(INDEX('TH_MLG GRADE 10'!$J$7:$J$49,MATCH(LEFT($A99,LEN($A99)-2),'TH_MLG GRADE 10'!$B$7:$B$49,0))="P")+
 --(INDEX('TH_MLG GRADE 10'!$P$7:$P$49,MATCH(LEFT($A99,LEN($A99)-2),'TH_MLG GRADE 10'!$B$7:$B$49,0))="P")+
 --(INDEX('TH_MLG GRADE 10'!$AB$7:$AB$49,MATCH(LEFT($A99,LEN($A99)-2),'TH_MLG GRADE 10'!$B$7:$B$49,0))="P")+
 --(INDEX('TH_MLG GRADE 10'!$AH$7:$AH$49,MATCH(LEFT($A99,LEN($A99)-2),'TH_MLG GRADE 10'!$B$7:$B$49,0))="P")+
 --(INDEX('TH_MLG GRADE 10'!$AN$7:$AN$49,MATCH(LEFT($A99,LEN($A99)-2),'TH_MLG GRADE 10'!$B$7:$B$49,0))="P")+
 --(INDEX('TH_MLG GRADE 10'!$AZ$7:$AZ$49,MATCH(LEFT($A99,LEN($A99)-2),'TH_MLG GRADE 10'!$B$7:$B$49,0))="P")+
 --(INDEX('TH_MLG GRADE 10'!$BF$7:$BF$49,MATCH(LEFT($A99,LEN($A99)-2),'TH_MLG GRADE 10'!$B$7:$B$49,0))="P")+
 --(INDEX('TH_MLG GRADE 10'!#REF!,MATCH(LEFT($A99,LEN($A99)-2),'TH_MLG GRADE 10'!$B$7:$B$49,0))="P")+
 --(INDEX('TH_MLG GRADE 10'!#REF!,MATCH(LEFT($A99,LEN($A99)-2),'TH_MLG GRADE 10'!$B$7:$B$49,0))="P"),
0)</f>
        <v>0</v>
      </c>
      <c r="D99" s="24" t="b">
        <f ca="1">IF(IF(_xlfn.XLOOKUP(LEFT(A99,LEN(A99)-2),'TH_MLG GRADE 10'!$B$7:$B$49,'TH_MLG GRADE 10'!$BM$7:$BM$49,"",0,1)=0,"",_xlfn.XLOOKUP(LEFT(A99,LEN(A99)-2),'TH_MLG GRADE 10'!$B$7:$B$49,'TH_MLG GRADE 10'!$BM$7:$BM$49,"",0,1))&lt;=TODAY(),TRUE,FALSE)</f>
        <v>0</v>
      </c>
      <c r="E99" s="25" t="str">
        <f t="shared" ca="1" si="2"/>
        <v/>
      </c>
      <c r="F99" t="s">
        <v>414</v>
      </c>
      <c r="G99">
        <v>3</v>
      </c>
      <c r="H99">
        <f>IFERROR(
 --(INDEX('PW_MLG GRADE 10'!#REF!,MATCH(LEFT($A99,LEN($A99)-2),'PW_MLG GRADE 10'!$B$7:$B$31,0))="P")+
 --(INDEX('PW_MLG GRADE 10'!#REF!,MATCH(LEFT($A99,LEN($A99)-2),'PW_MLG GRADE 10'!$B$7:$B$31,0))="P")+
 --(INDEX('PW_MLG GRADE 10'!#REF!,MATCH(LEFT($A99,LEN($A99)-2),'PW_MLG GRADE 10'!$B$7:$B$31,0))="P")+
 --(INDEX('PW_MLG GRADE 10'!#REF!,MATCH(LEFT($A99,LEN($A99)-2),'PW_MLG GRADE 10'!$B$7:$B$31,0))="P")+
 --(INDEX('PW_MLG GRADE 10'!#REF!,MATCH(LEFT($A99,LEN($A99)-2),'PW_MLG GRADE 10'!$B$7:$B$31,0))="P")+
 --(INDEX('PW_MLG GRADE 10'!#REF!,MATCH(LEFT($A99,LEN($A99)-2),'PW_MLG GRADE 10'!$B$7:$B$31,0))="P")+
 --(INDEX('PW_MLG GRADE 10'!#REF!,MATCH(LEFT($A99,LEN($A99)-2),'PW_MLG GRADE 10'!$B$7:$B$31,0))="P")+
 --(INDEX('PW_MLG GRADE 10'!#REF!,MATCH(LEFT($A99,LEN($A99)-2),'PW_MLG GRADE 10'!$B$7:$B$31,0))="P")+
 --(INDEX('PW_MLG GRADE 10'!#REF!,MATCH(LEFT($A99,LEN($A99)-2),'PW_MLG GRADE 10'!$B$7:$B$31,0))="P")+
 --(INDEX('PW_MLG GRADE 10'!#REF!,MATCH(LEFT($A99,LEN($A99)-2),'PW_MLG GRADE 10'!$B$7:$B$31,0))="P"),
0)</f>
        <v>0</v>
      </c>
      <c r="I99" t="e">
        <f ca="1">IF(IF(_xlfn.XLOOKUP(LEFT(F99,LEN(F99)-2),'PW_MLG GRADE 10'!$B$7:$B$31,'PW_MLG GRADE 10'!#REF!,"",0,1)=0,"",_xlfn.XLOOKUP(LEFT(F99,LEN(F99)-2),'PW_MLG GRADE 10'!$B$7:$B$31,'PW_MLG GRADE 10'!#REF!,"",0,1))&lt;=TODAY(),TRUE,FALSE)</f>
        <v>#REF!</v>
      </c>
      <c r="J99">
        <f t="shared" ca="1" si="3"/>
        <v>0</v>
      </c>
    </row>
    <row r="100" spans="1:10">
      <c r="A100" s="24" t="s">
        <v>415</v>
      </c>
      <c r="B100">
        <v>3</v>
      </c>
      <c r="C100">
        <f>IFERROR(
 --(INDEX('TH_MLG GRADE 10'!$D$7:$D$49,MATCH(LEFT($A100,LEN($A100)-2),'TH_MLG GRADE 10'!$B$7:$B$49,0))="P")+
 --(INDEX('TH_MLG GRADE 10'!$J$7:$J$49,MATCH(LEFT($A100,LEN($A100)-2),'TH_MLG GRADE 10'!$B$7:$B$49,0))="P")+
 --(INDEX('TH_MLG GRADE 10'!$P$7:$P$49,MATCH(LEFT($A100,LEN($A100)-2),'TH_MLG GRADE 10'!$B$7:$B$49,0))="P")+
 --(INDEX('TH_MLG GRADE 10'!$AB$7:$AB$49,MATCH(LEFT($A100,LEN($A100)-2),'TH_MLG GRADE 10'!$B$7:$B$49,0))="P")+
 --(INDEX('TH_MLG GRADE 10'!$AH$7:$AH$49,MATCH(LEFT($A100,LEN($A100)-2),'TH_MLG GRADE 10'!$B$7:$B$49,0))="P")+
 --(INDEX('TH_MLG GRADE 10'!$AN$7:$AN$49,MATCH(LEFT($A100,LEN($A100)-2),'TH_MLG GRADE 10'!$B$7:$B$49,0))="P")+
 --(INDEX('TH_MLG GRADE 10'!$AZ$7:$AZ$49,MATCH(LEFT($A100,LEN($A100)-2),'TH_MLG GRADE 10'!$B$7:$B$49,0))="P")+
 --(INDEX('TH_MLG GRADE 10'!$BF$7:$BF$49,MATCH(LEFT($A100,LEN($A100)-2),'TH_MLG GRADE 10'!$B$7:$B$49,0))="P")+
 --(INDEX('TH_MLG GRADE 10'!#REF!,MATCH(LEFT($A100,LEN($A100)-2),'TH_MLG GRADE 10'!$B$7:$B$49,0))="P")+
 --(INDEX('TH_MLG GRADE 10'!#REF!,MATCH(LEFT($A100,LEN($A100)-2),'TH_MLG GRADE 10'!$B$7:$B$49,0))="P"),
0)</f>
        <v>0</v>
      </c>
      <c r="D100" s="24" t="b">
        <f ca="1">IF(IF(_xlfn.XLOOKUP(LEFT(A100,LEN(A100)-2),'TH_MLG GRADE 10'!$B$7:$B$49,'TH_MLG GRADE 10'!$BM$7:$BM$49,"",0,1)=0,"",_xlfn.XLOOKUP(LEFT(A100,LEN(A100)-2),'TH_MLG GRADE 10'!$B$7:$B$49,'TH_MLG GRADE 10'!$BM$7:$BM$49,"",0,1))&lt;=TODAY(),TRUE,FALSE)</f>
        <v>0</v>
      </c>
      <c r="E100" s="25" t="str">
        <f t="shared" ca="1" si="2"/>
        <v/>
      </c>
      <c r="F100" t="s">
        <v>415</v>
      </c>
      <c r="G100">
        <v>3</v>
      </c>
      <c r="H100">
        <f>IFERROR(
 --(INDEX('PW_MLG GRADE 10'!#REF!,MATCH(LEFT($A100,LEN($A100)-2),'PW_MLG GRADE 10'!$B$7:$B$31,0))="P")+
 --(INDEX('PW_MLG GRADE 10'!#REF!,MATCH(LEFT($A100,LEN($A100)-2),'PW_MLG GRADE 10'!$B$7:$B$31,0))="P")+
 --(INDEX('PW_MLG GRADE 10'!#REF!,MATCH(LEFT($A100,LEN($A100)-2),'PW_MLG GRADE 10'!$B$7:$B$31,0))="P")+
 --(INDEX('PW_MLG GRADE 10'!#REF!,MATCH(LEFT($A100,LEN($A100)-2),'PW_MLG GRADE 10'!$B$7:$B$31,0))="P")+
 --(INDEX('PW_MLG GRADE 10'!#REF!,MATCH(LEFT($A100,LEN($A100)-2),'PW_MLG GRADE 10'!$B$7:$B$31,0))="P")+
 --(INDEX('PW_MLG GRADE 10'!#REF!,MATCH(LEFT($A100,LEN($A100)-2),'PW_MLG GRADE 10'!$B$7:$B$31,0))="P")+
 --(INDEX('PW_MLG GRADE 10'!#REF!,MATCH(LEFT($A100,LEN($A100)-2),'PW_MLG GRADE 10'!$B$7:$B$31,0))="P")+
 --(INDEX('PW_MLG GRADE 10'!#REF!,MATCH(LEFT($A100,LEN($A100)-2),'PW_MLG GRADE 10'!$B$7:$B$31,0))="P")+
 --(INDEX('PW_MLG GRADE 10'!#REF!,MATCH(LEFT($A100,LEN($A100)-2),'PW_MLG GRADE 10'!$B$7:$B$31,0))="P")+
 --(INDEX('PW_MLG GRADE 10'!#REF!,MATCH(LEFT($A100,LEN($A100)-2),'PW_MLG GRADE 10'!$B$7:$B$31,0))="P"),
0)</f>
        <v>0</v>
      </c>
      <c r="I100" t="e">
        <f ca="1">IF(IF(_xlfn.XLOOKUP(LEFT(F100,LEN(F100)-2),'PW_MLG GRADE 10'!$B$7:$B$31,'PW_MLG GRADE 10'!#REF!,"",0,1)=0,"",_xlfn.XLOOKUP(LEFT(F100,LEN(F100)-2),'PW_MLG GRADE 10'!$B$7:$B$31,'PW_MLG GRADE 10'!#REF!,"",0,1))&lt;=TODAY(),TRUE,FALSE)</f>
        <v>#REF!</v>
      </c>
      <c r="J100">
        <f t="shared" ca="1" si="3"/>
        <v>0</v>
      </c>
    </row>
    <row r="101" spans="1:10">
      <c r="A101" s="24" t="s">
        <v>416</v>
      </c>
      <c r="B101">
        <v>3</v>
      </c>
      <c r="C101">
        <f>IFERROR(
 --(INDEX('TH_MLG GRADE 10'!$D$7:$D$49,MATCH(LEFT($A101,LEN($A101)-2),'TH_MLG GRADE 10'!$B$7:$B$49,0))="P")+
 --(INDEX('TH_MLG GRADE 10'!$J$7:$J$49,MATCH(LEFT($A101,LEN($A101)-2),'TH_MLG GRADE 10'!$B$7:$B$49,0))="P")+
 --(INDEX('TH_MLG GRADE 10'!$P$7:$P$49,MATCH(LEFT($A101,LEN($A101)-2),'TH_MLG GRADE 10'!$B$7:$B$49,0))="P")+
 --(INDEX('TH_MLG GRADE 10'!$AB$7:$AB$49,MATCH(LEFT($A101,LEN($A101)-2),'TH_MLG GRADE 10'!$B$7:$B$49,0))="P")+
 --(INDEX('TH_MLG GRADE 10'!$AH$7:$AH$49,MATCH(LEFT($A101,LEN($A101)-2),'TH_MLG GRADE 10'!$B$7:$B$49,0))="P")+
 --(INDEX('TH_MLG GRADE 10'!$AN$7:$AN$49,MATCH(LEFT($A101,LEN($A101)-2),'TH_MLG GRADE 10'!$B$7:$B$49,0))="P")+
 --(INDEX('TH_MLG GRADE 10'!$AZ$7:$AZ$49,MATCH(LEFT($A101,LEN($A101)-2),'TH_MLG GRADE 10'!$B$7:$B$49,0))="P")+
 --(INDEX('TH_MLG GRADE 10'!$BF$7:$BF$49,MATCH(LEFT($A101,LEN($A101)-2),'TH_MLG GRADE 10'!$B$7:$B$49,0))="P")+
 --(INDEX('TH_MLG GRADE 10'!#REF!,MATCH(LEFT($A101,LEN($A101)-2),'TH_MLG GRADE 10'!$B$7:$B$49,0))="P")+
 --(INDEX('TH_MLG GRADE 10'!#REF!,MATCH(LEFT($A101,LEN($A101)-2),'TH_MLG GRADE 10'!$B$7:$B$49,0))="P"),
0)</f>
        <v>0</v>
      </c>
      <c r="D101" s="24" t="b">
        <f ca="1">IF(IF(_xlfn.XLOOKUP(LEFT(A101,LEN(A101)-2),'TH_MLG GRADE 10'!$B$7:$B$49,'TH_MLG GRADE 10'!$BM$7:$BM$49,"",0,1)=0,"",_xlfn.XLOOKUP(LEFT(A101,LEN(A101)-2),'TH_MLG GRADE 10'!$B$7:$B$49,'TH_MLG GRADE 10'!$BM$7:$BM$49,"",0,1))&lt;=TODAY(),TRUE,FALSE)</f>
        <v>0</v>
      </c>
      <c r="E101" s="25" t="str">
        <f t="shared" ca="1" si="2"/>
        <v/>
      </c>
      <c r="F101" t="s">
        <v>416</v>
      </c>
      <c r="G101">
        <v>3</v>
      </c>
      <c r="H101">
        <f>IFERROR(
 --(INDEX('PW_MLG GRADE 10'!#REF!,MATCH(LEFT($A101,LEN($A101)-2),'PW_MLG GRADE 10'!$B$7:$B$31,0))="P")+
 --(INDEX('PW_MLG GRADE 10'!#REF!,MATCH(LEFT($A101,LEN($A101)-2),'PW_MLG GRADE 10'!$B$7:$B$31,0))="P")+
 --(INDEX('PW_MLG GRADE 10'!#REF!,MATCH(LEFT($A101,LEN($A101)-2),'PW_MLG GRADE 10'!$B$7:$B$31,0))="P")+
 --(INDEX('PW_MLG GRADE 10'!#REF!,MATCH(LEFT($A101,LEN($A101)-2),'PW_MLG GRADE 10'!$B$7:$B$31,0))="P")+
 --(INDEX('PW_MLG GRADE 10'!#REF!,MATCH(LEFT($A101,LEN($A101)-2),'PW_MLG GRADE 10'!$B$7:$B$31,0))="P")+
 --(INDEX('PW_MLG GRADE 10'!#REF!,MATCH(LEFT($A101,LEN($A101)-2),'PW_MLG GRADE 10'!$B$7:$B$31,0))="P")+
 --(INDEX('PW_MLG GRADE 10'!#REF!,MATCH(LEFT($A101,LEN($A101)-2),'PW_MLG GRADE 10'!$B$7:$B$31,0))="P")+
 --(INDEX('PW_MLG GRADE 10'!#REF!,MATCH(LEFT($A101,LEN($A101)-2),'PW_MLG GRADE 10'!$B$7:$B$31,0))="P")+
 --(INDEX('PW_MLG GRADE 10'!#REF!,MATCH(LEFT($A101,LEN($A101)-2),'PW_MLG GRADE 10'!$B$7:$B$31,0))="P")+
 --(INDEX('PW_MLG GRADE 10'!#REF!,MATCH(LEFT($A101,LEN($A101)-2),'PW_MLG GRADE 10'!$B$7:$B$31,0))="P"),
0)</f>
        <v>0</v>
      </c>
      <c r="I101" t="e">
        <f ca="1">IF(IF(_xlfn.XLOOKUP(LEFT(F101,LEN(F101)-2),'PW_MLG GRADE 10'!$B$7:$B$31,'PW_MLG GRADE 10'!#REF!,"",0,1)=0,"",_xlfn.XLOOKUP(LEFT(F101,LEN(F101)-2),'PW_MLG GRADE 10'!$B$7:$B$31,'PW_MLG GRADE 10'!#REF!,"",0,1))&lt;=TODAY(),TRUE,FALSE)</f>
        <v>#REF!</v>
      </c>
      <c r="J101">
        <f t="shared" ca="1" si="3"/>
        <v>0</v>
      </c>
    </row>
    <row r="102" spans="1:10">
      <c r="A102" s="24" t="s">
        <v>417</v>
      </c>
      <c r="B102">
        <v>3</v>
      </c>
      <c r="C102">
        <f>IFERROR(
 --(INDEX('TH_MLG GRADE 10'!$D$7:$D$49,MATCH(LEFT($A102,LEN($A102)-2),'TH_MLG GRADE 10'!$B$7:$B$49,0))="P")+
 --(INDEX('TH_MLG GRADE 10'!$J$7:$J$49,MATCH(LEFT($A102,LEN($A102)-2),'TH_MLG GRADE 10'!$B$7:$B$49,0))="P")+
 --(INDEX('TH_MLG GRADE 10'!$P$7:$P$49,MATCH(LEFT($A102,LEN($A102)-2),'TH_MLG GRADE 10'!$B$7:$B$49,0))="P")+
 --(INDEX('TH_MLG GRADE 10'!$AB$7:$AB$49,MATCH(LEFT($A102,LEN($A102)-2),'TH_MLG GRADE 10'!$B$7:$B$49,0))="P")+
 --(INDEX('TH_MLG GRADE 10'!$AH$7:$AH$49,MATCH(LEFT($A102,LEN($A102)-2),'TH_MLG GRADE 10'!$B$7:$B$49,0))="P")+
 --(INDEX('TH_MLG GRADE 10'!$AN$7:$AN$49,MATCH(LEFT($A102,LEN($A102)-2),'TH_MLG GRADE 10'!$B$7:$B$49,0))="P")+
 --(INDEX('TH_MLG GRADE 10'!$AZ$7:$AZ$49,MATCH(LEFT($A102,LEN($A102)-2),'TH_MLG GRADE 10'!$B$7:$B$49,0))="P")+
 --(INDEX('TH_MLG GRADE 10'!$BF$7:$BF$49,MATCH(LEFT($A102,LEN($A102)-2),'TH_MLG GRADE 10'!$B$7:$B$49,0))="P")+
 --(INDEX('TH_MLG GRADE 10'!#REF!,MATCH(LEFT($A102,LEN($A102)-2),'TH_MLG GRADE 10'!$B$7:$B$49,0))="P")+
 --(INDEX('TH_MLG GRADE 10'!#REF!,MATCH(LEFT($A102,LEN($A102)-2),'TH_MLG GRADE 10'!$B$7:$B$49,0))="P"),
0)</f>
        <v>0</v>
      </c>
      <c r="D102" s="24" t="b">
        <f ca="1">IF(IF(_xlfn.XLOOKUP(LEFT(A102,LEN(A102)-2),'TH_MLG GRADE 10'!$B$7:$B$49,'TH_MLG GRADE 10'!$BM$7:$BM$49,"",0,1)=0,"",_xlfn.XLOOKUP(LEFT(A102,LEN(A102)-2),'TH_MLG GRADE 10'!$B$7:$B$49,'TH_MLG GRADE 10'!$BM$7:$BM$49,"",0,1))&lt;=TODAY(),TRUE,FALSE)</f>
        <v>0</v>
      </c>
      <c r="E102" s="25" t="str">
        <f t="shared" ca="1" si="2"/>
        <v/>
      </c>
      <c r="F102" t="s">
        <v>417</v>
      </c>
      <c r="G102">
        <v>3</v>
      </c>
      <c r="H102">
        <f>IFERROR(
 --(INDEX('PW_MLG GRADE 10'!#REF!,MATCH(LEFT($A102,LEN($A102)-2),'PW_MLG GRADE 10'!$B$7:$B$31,0))="P")+
 --(INDEX('PW_MLG GRADE 10'!#REF!,MATCH(LEFT($A102,LEN($A102)-2),'PW_MLG GRADE 10'!$B$7:$B$31,0))="P")+
 --(INDEX('PW_MLG GRADE 10'!#REF!,MATCH(LEFT($A102,LEN($A102)-2),'PW_MLG GRADE 10'!$B$7:$B$31,0))="P")+
 --(INDEX('PW_MLG GRADE 10'!#REF!,MATCH(LEFT($A102,LEN($A102)-2),'PW_MLG GRADE 10'!$B$7:$B$31,0))="P")+
 --(INDEX('PW_MLG GRADE 10'!#REF!,MATCH(LEFT($A102,LEN($A102)-2),'PW_MLG GRADE 10'!$B$7:$B$31,0))="P")+
 --(INDEX('PW_MLG GRADE 10'!#REF!,MATCH(LEFT($A102,LEN($A102)-2),'PW_MLG GRADE 10'!$B$7:$B$31,0))="P")+
 --(INDEX('PW_MLG GRADE 10'!#REF!,MATCH(LEFT($A102,LEN($A102)-2),'PW_MLG GRADE 10'!$B$7:$B$31,0))="P")+
 --(INDEX('PW_MLG GRADE 10'!#REF!,MATCH(LEFT($A102,LEN($A102)-2),'PW_MLG GRADE 10'!$B$7:$B$31,0))="P")+
 --(INDEX('PW_MLG GRADE 10'!#REF!,MATCH(LEFT($A102,LEN($A102)-2),'PW_MLG GRADE 10'!$B$7:$B$31,0))="P")+
 --(INDEX('PW_MLG GRADE 10'!#REF!,MATCH(LEFT($A102,LEN($A102)-2),'PW_MLG GRADE 10'!$B$7:$B$31,0))="P"),
0)</f>
        <v>0</v>
      </c>
      <c r="I102" t="e">
        <f ca="1">IF(IF(_xlfn.XLOOKUP(LEFT(F102,LEN(F102)-2),'PW_MLG GRADE 10'!$B$7:$B$31,'PW_MLG GRADE 10'!#REF!,"",0,1)=0,"",_xlfn.XLOOKUP(LEFT(F102,LEN(F102)-2),'PW_MLG GRADE 10'!$B$7:$B$31,'PW_MLG GRADE 10'!#REF!,"",0,1))&lt;=TODAY(),TRUE,FALSE)</f>
        <v>#REF!</v>
      </c>
      <c r="J102">
        <f t="shared" ca="1" si="3"/>
        <v>0</v>
      </c>
    </row>
    <row r="103" spans="1:10">
      <c r="A103" s="24" t="s">
        <v>418</v>
      </c>
      <c r="B103">
        <v>3</v>
      </c>
      <c r="C103">
        <f>IFERROR(
 --(INDEX('TH_MLG GRADE 10'!$D$7:$D$49,MATCH(LEFT($A103,LEN($A103)-2),'TH_MLG GRADE 10'!$B$7:$B$49,0))="P")+
 --(INDEX('TH_MLG GRADE 10'!$J$7:$J$49,MATCH(LEFT($A103,LEN($A103)-2),'TH_MLG GRADE 10'!$B$7:$B$49,0))="P")+
 --(INDEX('TH_MLG GRADE 10'!$P$7:$P$49,MATCH(LEFT($A103,LEN($A103)-2),'TH_MLG GRADE 10'!$B$7:$B$49,0))="P")+
 --(INDEX('TH_MLG GRADE 10'!$AB$7:$AB$49,MATCH(LEFT($A103,LEN($A103)-2),'TH_MLG GRADE 10'!$B$7:$B$49,0))="P")+
 --(INDEX('TH_MLG GRADE 10'!$AH$7:$AH$49,MATCH(LEFT($A103,LEN($A103)-2),'TH_MLG GRADE 10'!$B$7:$B$49,0))="P")+
 --(INDEX('TH_MLG GRADE 10'!$AN$7:$AN$49,MATCH(LEFT($A103,LEN($A103)-2),'TH_MLG GRADE 10'!$B$7:$B$49,0))="P")+
 --(INDEX('TH_MLG GRADE 10'!$AZ$7:$AZ$49,MATCH(LEFT($A103,LEN($A103)-2),'TH_MLG GRADE 10'!$B$7:$B$49,0))="P")+
 --(INDEX('TH_MLG GRADE 10'!$BF$7:$BF$49,MATCH(LEFT($A103,LEN($A103)-2),'TH_MLG GRADE 10'!$B$7:$B$49,0))="P")+
 --(INDEX('TH_MLG GRADE 10'!#REF!,MATCH(LEFT($A103,LEN($A103)-2),'TH_MLG GRADE 10'!$B$7:$B$49,0))="P")+
 --(INDEX('TH_MLG GRADE 10'!#REF!,MATCH(LEFT($A103,LEN($A103)-2),'TH_MLG GRADE 10'!$B$7:$B$49,0))="P"),
0)</f>
        <v>0</v>
      </c>
      <c r="D103" s="24" t="b">
        <f ca="1">IF(IF(_xlfn.XLOOKUP(LEFT(A103,LEN(A103)-2),'TH_MLG GRADE 10'!$B$7:$B$49,'TH_MLG GRADE 10'!$BM$7:$BM$49,"",0,1)=0,"",_xlfn.XLOOKUP(LEFT(A103,LEN(A103)-2),'TH_MLG GRADE 10'!$B$7:$B$49,'TH_MLG GRADE 10'!$BM$7:$BM$49,"",0,1))&lt;=TODAY(),TRUE,FALSE)</f>
        <v>0</v>
      </c>
      <c r="E103" s="25" t="str">
        <f t="shared" ca="1" si="2"/>
        <v/>
      </c>
      <c r="F103" t="s">
        <v>418</v>
      </c>
      <c r="G103">
        <v>3</v>
      </c>
      <c r="H103">
        <f>IFERROR(
 --(INDEX('PW_MLG GRADE 10'!#REF!,MATCH(LEFT($A103,LEN($A103)-2),'PW_MLG GRADE 10'!$B$7:$B$31,0))="P")+
 --(INDEX('PW_MLG GRADE 10'!#REF!,MATCH(LEFT($A103,LEN($A103)-2),'PW_MLG GRADE 10'!$B$7:$B$31,0))="P")+
 --(INDEX('PW_MLG GRADE 10'!#REF!,MATCH(LEFT($A103,LEN($A103)-2),'PW_MLG GRADE 10'!$B$7:$B$31,0))="P")+
 --(INDEX('PW_MLG GRADE 10'!#REF!,MATCH(LEFT($A103,LEN($A103)-2),'PW_MLG GRADE 10'!$B$7:$B$31,0))="P")+
 --(INDEX('PW_MLG GRADE 10'!#REF!,MATCH(LEFT($A103,LEN($A103)-2),'PW_MLG GRADE 10'!$B$7:$B$31,0))="P")+
 --(INDEX('PW_MLG GRADE 10'!#REF!,MATCH(LEFT($A103,LEN($A103)-2),'PW_MLG GRADE 10'!$B$7:$B$31,0))="P")+
 --(INDEX('PW_MLG GRADE 10'!#REF!,MATCH(LEFT($A103,LEN($A103)-2),'PW_MLG GRADE 10'!$B$7:$B$31,0))="P")+
 --(INDEX('PW_MLG GRADE 10'!#REF!,MATCH(LEFT($A103,LEN($A103)-2),'PW_MLG GRADE 10'!$B$7:$B$31,0))="P")+
 --(INDEX('PW_MLG GRADE 10'!#REF!,MATCH(LEFT($A103,LEN($A103)-2),'PW_MLG GRADE 10'!$B$7:$B$31,0))="P")+
 --(INDEX('PW_MLG GRADE 10'!#REF!,MATCH(LEFT($A103,LEN($A103)-2),'PW_MLG GRADE 10'!$B$7:$B$31,0))="P"),
0)</f>
        <v>0</v>
      </c>
      <c r="I103" t="e">
        <f ca="1">IF(IF(_xlfn.XLOOKUP(LEFT(F103,LEN(F103)-2),'PW_MLG GRADE 10'!$B$7:$B$31,'PW_MLG GRADE 10'!#REF!,"",0,1)=0,"",_xlfn.XLOOKUP(LEFT(F103,LEN(F103)-2),'PW_MLG GRADE 10'!$B$7:$B$31,'PW_MLG GRADE 10'!#REF!,"",0,1))&lt;=TODAY(),TRUE,FALSE)</f>
        <v>#REF!</v>
      </c>
      <c r="J103">
        <f t="shared" ca="1" si="3"/>
        <v>0</v>
      </c>
    </row>
    <row r="104" spans="1:10">
      <c r="A104" s="24" t="s">
        <v>419</v>
      </c>
      <c r="B104">
        <v>3</v>
      </c>
      <c r="C104">
        <f>IFERROR(
 --(INDEX('TH_MLG GRADE 10'!$D$7:$D$49,MATCH(LEFT($A104,LEN($A104)-2),'TH_MLG GRADE 10'!$B$7:$B$49,0))="P")+
 --(INDEX('TH_MLG GRADE 10'!$J$7:$J$49,MATCH(LEFT($A104,LEN($A104)-2),'TH_MLG GRADE 10'!$B$7:$B$49,0))="P")+
 --(INDEX('TH_MLG GRADE 10'!$P$7:$P$49,MATCH(LEFT($A104,LEN($A104)-2),'TH_MLG GRADE 10'!$B$7:$B$49,0))="P")+
 --(INDEX('TH_MLG GRADE 10'!$AB$7:$AB$49,MATCH(LEFT($A104,LEN($A104)-2),'TH_MLG GRADE 10'!$B$7:$B$49,0))="P")+
 --(INDEX('TH_MLG GRADE 10'!$AH$7:$AH$49,MATCH(LEFT($A104,LEN($A104)-2),'TH_MLG GRADE 10'!$B$7:$B$49,0))="P")+
 --(INDEX('TH_MLG GRADE 10'!$AN$7:$AN$49,MATCH(LEFT($A104,LEN($A104)-2),'TH_MLG GRADE 10'!$B$7:$B$49,0))="P")+
 --(INDEX('TH_MLG GRADE 10'!$AZ$7:$AZ$49,MATCH(LEFT($A104,LEN($A104)-2),'TH_MLG GRADE 10'!$B$7:$B$49,0))="P")+
 --(INDEX('TH_MLG GRADE 10'!$BF$7:$BF$49,MATCH(LEFT($A104,LEN($A104)-2),'TH_MLG GRADE 10'!$B$7:$B$49,0))="P")+
 --(INDEX('TH_MLG GRADE 10'!#REF!,MATCH(LEFT($A104,LEN($A104)-2),'TH_MLG GRADE 10'!$B$7:$B$49,0))="P")+
 --(INDEX('TH_MLG GRADE 10'!#REF!,MATCH(LEFT($A104,LEN($A104)-2),'TH_MLG GRADE 10'!$B$7:$B$49,0))="P"),
0)</f>
        <v>0</v>
      </c>
      <c r="D104" s="24" t="b">
        <f ca="1">IF(IF(_xlfn.XLOOKUP(LEFT(A104,LEN(A104)-2),'TH_MLG GRADE 10'!$B$7:$B$49,'TH_MLG GRADE 10'!$BM$7:$BM$49,"",0,1)=0,"",_xlfn.XLOOKUP(LEFT(A104,LEN(A104)-2),'TH_MLG GRADE 10'!$B$7:$B$49,'TH_MLG GRADE 10'!$BM$7:$BM$49,"",0,1))&lt;=TODAY(),TRUE,FALSE)</f>
        <v>0</v>
      </c>
      <c r="E104" s="25" t="str">
        <f t="shared" ca="1" si="2"/>
        <v/>
      </c>
      <c r="F104" t="s">
        <v>419</v>
      </c>
      <c r="G104">
        <v>3</v>
      </c>
      <c r="H104">
        <f>IFERROR(
 --(INDEX('PW_MLG GRADE 10'!#REF!,MATCH(LEFT($A104,LEN($A104)-2),'PW_MLG GRADE 10'!$B$7:$B$31,0))="P")+
 --(INDEX('PW_MLG GRADE 10'!#REF!,MATCH(LEFT($A104,LEN($A104)-2),'PW_MLG GRADE 10'!$B$7:$B$31,0))="P")+
 --(INDEX('PW_MLG GRADE 10'!#REF!,MATCH(LEFT($A104,LEN($A104)-2),'PW_MLG GRADE 10'!$B$7:$B$31,0))="P")+
 --(INDEX('PW_MLG GRADE 10'!#REF!,MATCH(LEFT($A104,LEN($A104)-2),'PW_MLG GRADE 10'!$B$7:$B$31,0))="P")+
 --(INDEX('PW_MLG GRADE 10'!#REF!,MATCH(LEFT($A104,LEN($A104)-2),'PW_MLG GRADE 10'!$B$7:$B$31,0))="P")+
 --(INDEX('PW_MLG GRADE 10'!#REF!,MATCH(LEFT($A104,LEN($A104)-2),'PW_MLG GRADE 10'!$B$7:$B$31,0))="P")+
 --(INDEX('PW_MLG GRADE 10'!#REF!,MATCH(LEFT($A104,LEN($A104)-2),'PW_MLG GRADE 10'!$B$7:$B$31,0))="P")+
 --(INDEX('PW_MLG GRADE 10'!#REF!,MATCH(LEFT($A104,LEN($A104)-2),'PW_MLG GRADE 10'!$B$7:$B$31,0))="P")+
 --(INDEX('PW_MLG GRADE 10'!#REF!,MATCH(LEFT($A104,LEN($A104)-2),'PW_MLG GRADE 10'!$B$7:$B$31,0))="P")+
 --(INDEX('PW_MLG GRADE 10'!#REF!,MATCH(LEFT($A104,LEN($A104)-2),'PW_MLG GRADE 10'!$B$7:$B$31,0))="P"),
0)</f>
        <v>0</v>
      </c>
      <c r="I104" t="e">
        <f ca="1">IF(IF(_xlfn.XLOOKUP(LEFT(F104,LEN(F104)-2),'PW_MLG GRADE 10'!$B$7:$B$31,'PW_MLG GRADE 10'!#REF!,"",0,1)=0,"",_xlfn.XLOOKUP(LEFT(F104,LEN(F104)-2),'PW_MLG GRADE 10'!$B$7:$B$31,'PW_MLG GRADE 10'!#REF!,"",0,1))&lt;=TODAY(),TRUE,FALSE)</f>
        <v>#REF!</v>
      </c>
      <c r="J104">
        <f t="shared" ca="1" si="3"/>
        <v>0</v>
      </c>
    </row>
    <row r="105" spans="1:10">
      <c r="A105" s="24" t="s">
        <v>420</v>
      </c>
      <c r="B105">
        <v>3</v>
      </c>
      <c r="C105">
        <f>IFERROR(
 --(INDEX('TH_MLG GRADE 10'!$D$7:$D$49,MATCH(LEFT($A105,LEN($A105)-2),'TH_MLG GRADE 10'!$B$7:$B$49,0))="P")+
 --(INDEX('TH_MLG GRADE 10'!$J$7:$J$49,MATCH(LEFT($A105,LEN($A105)-2),'TH_MLG GRADE 10'!$B$7:$B$49,0))="P")+
 --(INDEX('TH_MLG GRADE 10'!$P$7:$P$49,MATCH(LEFT($A105,LEN($A105)-2),'TH_MLG GRADE 10'!$B$7:$B$49,0))="P")+
 --(INDEX('TH_MLG GRADE 10'!$AB$7:$AB$49,MATCH(LEFT($A105,LEN($A105)-2),'TH_MLG GRADE 10'!$B$7:$B$49,0))="P")+
 --(INDEX('TH_MLG GRADE 10'!$AH$7:$AH$49,MATCH(LEFT($A105,LEN($A105)-2),'TH_MLG GRADE 10'!$B$7:$B$49,0))="P")+
 --(INDEX('TH_MLG GRADE 10'!$AN$7:$AN$49,MATCH(LEFT($A105,LEN($A105)-2),'TH_MLG GRADE 10'!$B$7:$B$49,0))="P")+
 --(INDEX('TH_MLG GRADE 10'!$AZ$7:$AZ$49,MATCH(LEFT($A105,LEN($A105)-2),'TH_MLG GRADE 10'!$B$7:$B$49,0))="P")+
 --(INDEX('TH_MLG GRADE 10'!$BF$7:$BF$49,MATCH(LEFT($A105,LEN($A105)-2),'TH_MLG GRADE 10'!$B$7:$B$49,0))="P")+
 --(INDEX('TH_MLG GRADE 10'!#REF!,MATCH(LEFT($A105,LEN($A105)-2),'TH_MLG GRADE 10'!$B$7:$B$49,0))="P")+
 --(INDEX('TH_MLG GRADE 10'!#REF!,MATCH(LEFT($A105,LEN($A105)-2),'TH_MLG GRADE 10'!$B$7:$B$49,0))="P"),
0)</f>
        <v>0</v>
      </c>
      <c r="D105" s="24" t="b">
        <f ca="1">IF(IF(_xlfn.XLOOKUP(LEFT(A105,LEN(A105)-2),'TH_MLG GRADE 10'!$B$7:$B$49,'TH_MLG GRADE 10'!$BM$7:$BM$49,"",0,1)=0,"",_xlfn.XLOOKUP(LEFT(A105,LEN(A105)-2),'TH_MLG GRADE 10'!$B$7:$B$49,'TH_MLG GRADE 10'!$BM$7:$BM$49,"",0,1))&lt;=TODAY(),TRUE,FALSE)</f>
        <v>0</v>
      </c>
      <c r="E105" s="25" t="str">
        <f t="shared" ca="1" si="2"/>
        <v/>
      </c>
      <c r="F105" t="s">
        <v>420</v>
      </c>
      <c r="G105">
        <v>3</v>
      </c>
      <c r="H105">
        <f>IFERROR(
 --(INDEX('PW_MLG GRADE 10'!#REF!,MATCH(LEFT($A105,LEN($A105)-2),'PW_MLG GRADE 10'!$B$7:$B$31,0))="P")+
 --(INDEX('PW_MLG GRADE 10'!#REF!,MATCH(LEFT($A105,LEN($A105)-2),'PW_MLG GRADE 10'!$B$7:$B$31,0))="P")+
 --(INDEX('PW_MLG GRADE 10'!#REF!,MATCH(LEFT($A105,LEN($A105)-2),'PW_MLG GRADE 10'!$B$7:$B$31,0))="P")+
 --(INDEX('PW_MLG GRADE 10'!#REF!,MATCH(LEFT($A105,LEN($A105)-2),'PW_MLG GRADE 10'!$B$7:$B$31,0))="P")+
 --(INDEX('PW_MLG GRADE 10'!#REF!,MATCH(LEFT($A105,LEN($A105)-2),'PW_MLG GRADE 10'!$B$7:$B$31,0))="P")+
 --(INDEX('PW_MLG GRADE 10'!#REF!,MATCH(LEFT($A105,LEN($A105)-2),'PW_MLG GRADE 10'!$B$7:$B$31,0))="P")+
 --(INDEX('PW_MLG GRADE 10'!#REF!,MATCH(LEFT($A105,LEN($A105)-2),'PW_MLG GRADE 10'!$B$7:$B$31,0))="P")+
 --(INDEX('PW_MLG GRADE 10'!#REF!,MATCH(LEFT($A105,LEN($A105)-2),'PW_MLG GRADE 10'!$B$7:$B$31,0))="P")+
 --(INDEX('PW_MLG GRADE 10'!#REF!,MATCH(LEFT($A105,LEN($A105)-2),'PW_MLG GRADE 10'!$B$7:$B$31,0))="P")+
 --(INDEX('PW_MLG GRADE 10'!#REF!,MATCH(LEFT($A105,LEN($A105)-2),'PW_MLG GRADE 10'!$B$7:$B$31,0))="P"),
0)</f>
        <v>0</v>
      </c>
      <c r="I105" t="e">
        <f ca="1">IF(IF(_xlfn.XLOOKUP(LEFT(F105,LEN(F105)-2),'PW_MLG GRADE 10'!$B$7:$B$31,'PW_MLG GRADE 10'!#REF!,"",0,1)=0,"",_xlfn.XLOOKUP(LEFT(F105,LEN(F105)-2),'PW_MLG GRADE 10'!$B$7:$B$31,'PW_MLG GRADE 10'!#REF!,"",0,1))&lt;=TODAY(),TRUE,FALSE)</f>
        <v>#REF!</v>
      </c>
      <c r="J105">
        <f t="shared" ca="1" si="3"/>
        <v>0</v>
      </c>
    </row>
    <row r="106" spans="1:10">
      <c r="A106" s="24" t="s">
        <v>421</v>
      </c>
      <c r="B106">
        <v>3</v>
      </c>
      <c r="C106">
        <f>IFERROR(
 --(INDEX('TH_MLG GRADE 10'!$D$7:$D$49,MATCH(LEFT($A106,LEN($A106)-2),'TH_MLG GRADE 10'!$B$7:$B$49,0))="P")+
 --(INDEX('TH_MLG GRADE 10'!$J$7:$J$49,MATCH(LEFT($A106,LEN($A106)-2),'TH_MLG GRADE 10'!$B$7:$B$49,0))="P")+
 --(INDEX('TH_MLG GRADE 10'!$P$7:$P$49,MATCH(LEFT($A106,LEN($A106)-2),'TH_MLG GRADE 10'!$B$7:$B$49,0))="P")+
 --(INDEX('TH_MLG GRADE 10'!$AB$7:$AB$49,MATCH(LEFT($A106,LEN($A106)-2),'TH_MLG GRADE 10'!$B$7:$B$49,0))="P")+
 --(INDEX('TH_MLG GRADE 10'!$AH$7:$AH$49,MATCH(LEFT($A106,LEN($A106)-2),'TH_MLG GRADE 10'!$B$7:$B$49,0))="P")+
 --(INDEX('TH_MLG GRADE 10'!$AN$7:$AN$49,MATCH(LEFT($A106,LEN($A106)-2),'TH_MLG GRADE 10'!$B$7:$B$49,0))="P")+
 --(INDEX('TH_MLG GRADE 10'!$AZ$7:$AZ$49,MATCH(LEFT($A106,LEN($A106)-2),'TH_MLG GRADE 10'!$B$7:$B$49,0))="P")+
 --(INDEX('TH_MLG GRADE 10'!$BF$7:$BF$49,MATCH(LEFT($A106,LEN($A106)-2),'TH_MLG GRADE 10'!$B$7:$B$49,0))="P")+
 --(INDEX('TH_MLG GRADE 10'!#REF!,MATCH(LEFT($A106,LEN($A106)-2),'TH_MLG GRADE 10'!$B$7:$B$49,0))="P")+
 --(INDEX('TH_MLG GRADE 10'!#REF!,MATCH(LEFT($A106,LEN($A106)-2),'TH_MLG GRADE 10'!$B$7:$B$49,0))="P"),
0)</f>
        <v>0</v>
      </c>
      <c r="D106" s="24" t="b">
        <f ca="1">IF(IF(_xlfn.XLOOKUP(LEFT(A106,LEN(A106)-2),'TH_MLG GRADE 10'!$B$7:$B$49,'TH_MLG GRADE 10'!$BM$7:$BM$49,"",0,1)=0,"",_xlfn.XLOOKUP(LEFT(A106,LEN(A106)-2),'TH_MLG GRADE 10'!$B$7:$B$49,'TH_MLG GRADE 10'!$BM$7:$BM$49,"",0,1))&lt;=TODAY(),TRUE,FALSE)</f>
        <v>0</v>
      </c>
      <c r="E106" s="25" t="str">
        <f t="shared" ca="1" si="2"/>
        <v/>
      </c>
      <c r="F106" t="s">
        <v>421</v>
      </c>
      <c r="G106">
        <v>3</v>
      </c>
      <c r="H106">
        <f>IFERROR(
 --(INDEX('PW_MLG GRADE 10'!#REF!,MATCH(LEFT($A106,LEN($A106)-2),'PW_MLG GRADE 10'!$B$7:$B$31,0))="P")+
 --(INDEX('PW_MLG GRADE 10'!#REF!,MATCH(LEFT($A106,LEN($A106)-2),'PW_MLG GRADE 10'!$B$7:$B$31,0))="P")+
 --(INDEX('PW_MLG GRADE 10'!#REF!,MATCH(LEFT($A106,LEN($A106)-2),'PW_MLG GRADE 10'!$B$7:$B$31,0))="P")+
 --(INDEX('PW_MLG GRADE 10'!#REF!,MATCH(LEFT($A106,LEN($A106)-2),'PW_MLG GRADE 10'!$B$7:$B$31,0))="P")+
 --(INDEX('PW_MLG GRADE 10'!#REF!,MATCH(LEFT($A106,LEN($A106)-2),'PW_MLG GRADE 10'!$B$7:$B$31,0))="P")+
 --(INDEX('PW_MLG GRADE 10'!#REF!,MATCH(LEFT($A106,LEN($A106)-2),'PW_MLG GRADE 10'!$B$7:$B$31,0))="P")+
 --(INDEX('PW_MLG GRADE 10'!#REF!,MATCH(LEFT($A106,LEN($A106)-2),'PW_MLG GRADE 10'!$B$7:$B$31,0))="P")+
 --(INDEX('PW_MLG GRADE 10'!#REF!,MATCH(LEFT($A106,LEN($A106)-2),'PW_MLG GRADE 10'!$B$7:$B$31,0))="P")+
 --(INDEX('PW_MLG GRADE 10'!#REF!,MATCH(LEFT($A106,LEN($A106)-2),'PW_MLG GRADE 10'!$B$7:$B$31,0))="P")+
 --(INDEX('PW_MLG GRADE 10'!#REF!,MATCH(LEFT($A106,LEN($A106)-2),'PW_MLG GRADE 10'!$B$7:$B$31,0))="P"),
0)</f>
        <v>0</v>
      </c>
      <c r="I106" t="e">
        <f ca="1">IF(IF(_xlfn.XLOOKUP(LEFT(F106,LEN(F106)-2),'PW_MLG GRADE 10'!$B$7:$B$31,'PW_MLG GRADE 10'!#REF!,"",0,1)=0,"",_xlfn.XLOOKUP(LEFT(F106,LEN(F106)-2),'PW_MLG GRADE 10'!$B$7:$B$31,'PW_MLG GRADE 10'!#REF!,"",0,1))&lt;=TODAY(),TRUE,FALSE)</f>
        <v>#REF!</v>
      </c>
      <c r="J106">
        <f t="shared" ca="1" si="3"/>
        <v>0</v>
      </c>
    </row>
    <row r="107" spans="1:10">
      <c r="A107" s="24" t="s">
        <v>422</v>
      </c>
      <c r="B107">
        <v>3</v>
      </c>
      <c r="C107">
        <f>IFERROR(
 --(INDEX('TH_MLG GRADE 10'!$D$7:$D$49,MATCH(LEFT($A107,LEN($A107)-2),'TH_MLG GRADE 10'!$B$7:$B$49,0))="P")+
 --(INDEX('TH_MLG GRADE 10'!$J$7:$J$49,MATCH(LEFT($A107,LEN($A107)-2),'TH_MLG GRADE 10'!$B$7:$B$49,0))="P")+
 --(INDEX('TH_MLG GRADE 10'!$P$7:$P$49,MATCH(LEFT($A107,LEN($A107)-2),'TH_MLG GRADE 10'!$B$7:$B$49,0))="P")+
 --(INDEX('TH_MLG GRADE 10'!$AB$7:$AB$49,MATCH(LEFT($A107,LEN($A107)-2),'TH_MLG GRADE 10'!$B$7:$B$49,0))="P")+
 --(INDEX('TH_MLG GRADE 10'!$AH$7:$AH$49,MATCH(LEFT($A107,LEN($A107)-2),'TH_MLG GRADE 10'!$B$7:$B$49,0))="P")+
 --(INDEX('TH_MLG GRADE 10'!$AN$7:$AN$49,MATCH(LEFT($A107,LEN($A107)-2),'TH_MLG GRADE 10'!$B$7:$B$49,0))="P")+
 --(INDEX('TH_MLG GRADE 10'!$AZ$7:$AZ$49,MATCH(LEFT($A107,LEN($A107)-2),'TH_MLG GRADE 10'!$B$7:$B$49,0))="P")+
 --(INDEX('TH_MLG GRADE 10'!$BF$7:$BF$49,MATCH(LEFT($A107,LEN($A107)-2),'TH_MLG GRADE 10'!$B$7:$B$49,0))="P")+
 --(INDEX('TH_MLG GRADE 10'!#REF!,MATCH(LEFT($A107,LEN($A107)-2),'TH_MLG GRADE 10'!$B$7:$B$49,0))="P")+
 --(INDEX('TH_MLG GRADE 10'!#REF!,MATCH(LEFT($A107,LEN($A107)-2),'TH_MLG GRADE 10'!$B$7:$B$49,0))="P"),
0)</f>
        <v>0</v>
      </c>
      <c r="D107" s="24" t="b">
        <f ca="1">IF(IF(_xlfn.XLOOKUP(LEFT(A107,LEN(A107)-2),'TH_MLG GRADE 10'!$B$7:$B$49,'TH_MLG GRADE 10'!$BM$7:$BM$49,"",0,1)=0,"",_xlfn.XLOOKUP(LEFT(A107,LEN(A107)-2),'TH_MLG GRADE 10'!$B$7:$B$49,'TH_MLG GRADE 10'!$BM$7:$BM$49,"",0,1))&lt;=TODAY(),TRUE,FALSE)</f>
        <v>0</v>
      </c>
      <c r="E107" s="25" t="str">
        <f t="shared" ca="1" si="2"/>
        <v/>
      </c>
      <c r="F107" t="s">
        <v>422</v>
      </c>
      <c r="G107">
        <v>3</v>
      </c>
      <c r="H107">
        <f>IFERROR(
 --(INDEX('PW_MLG GRADE 10'!#REF!,MATCH(LEFT($A107,LEN($A107)-2),'PW_MLG GRADE 10'!$B$7:$B$31,0))="P")+
 --(INDEX('PW_MLG GRADE 10'!#REF!,MATCH(LEFT($A107,LEN($A107)-2),'PW_MLG GRADE 10'!$B$7:$B$31,0))="P")+
 --(INDEX('PW_MLG GRADE 10'!#REF!,MATCH(LEFT($A107,LEN($A107)-2),'PW_MLG GRADE 10'!$B$7:$B$31,0))="P")+
 --(INDEX('PW_MLG GRADE 10'!#REF!,MATCH(LEFT($A107,LEN($A107)-2),'PW_MLG GRADE 10'!$B$7:$B$31,0))="P")+
 --(INDEX('PW_MLG GRADE 10'!#REF!,MATCH(LEFT($A107,LEN($A107)-2),'PW_MLG GRADE 10'!$B$7:$B$31,0))="P")+
 --(INDEX('PW_MLG GRADE 10'!#REF!,MATCH(LEFT($A107,LEN($A107)-2),'PW_MLG GRADE 10'!$B$7:$B$31,0))="P")+
 --(INDEX('PW_MLG GRADE 10'!#REF!,MATCH(LEFT($A107,LEN($A107)-2),'PW_MLG GRADE 10'!$B$7:$B$31,0))="P")+
 --(INDEX('PW_MLG GRADE 10'!#REF!,MATCH(LEFT($A107,LEN($A107)-2),'PW_MLG GRADE 10'!$B$7:$B$31,0))="P")+
 --(INDEX('PW_MLG GRADE 10'!#REF!,MATCH(LEFT($A107,LEN($A107)-2),'PW_MLG GRADE 10'!$B$7:$B$31,0))="P")+
 --(INDEX('PW_MLG GRADE 10'!#REF!,MATCH(LEFT($A107,LEN($A107)-2),'PW_MLG GRADE 10'!$B$7:$B$31,0))="P"),
0)</f>
        <v>0</v>
      </c>
      <c r="I107" t="e">
        <f ca="1">IF(IF(_xlfn.XLOOKUP(LEFT(F107,LEN(F107)-2),'PW_MLG GRADE 10'!$B$7:$B$31,'PW_MLG GRADE 10'!#REF!,"",0,1)=0,"",_xlfn.XLOOKUP(LEFT(F107,LEN(F107)-2),'PW_MLG GRADE 10'!$B$7:$B$31,'PW_MLG GRADE 10'!#REF!,"",0,1))&lt;=TODAY(),TRUE,FALSE)</f>
        <v>#REF!</v>
      </c>
      <c r="J107">
        <f t="shared" ca="1" si="3"/>
        <v>0</v>
      </c>
    </row>
    <row r="108" spans="1:10">
      <c r="A108" s="24" t="s">
        <v>423</v>
      </c>
      <c r="B108">
        <v>3</v>
      </c>
      <c r="C108">
        <f>IFERROR(
 --(INDEX('TH_MLG GRADE 10'!$D$7:$D$49,MATCH(LEFT($A108,LEN($A108)-2),'TH_MLG GRADE 10'!$B$7:$B$49,0))="P")+
 --(INDEX('TH_MLG GRADE 10'!$J$7:$J$49,MATCH(LEFT($A108,LEN($A108)-2),'TH_MLG GRADE 10'!$B$7:$B$49,0))="P")+
 --(INDEX('TH_MLG GRADE 10'!$P$7:$P$49,MATCH(LEFT($A108,LEN($A108)-2),'TH_MLG GRADE 10'!$B$7:$B$49,0))="P")+
 --(INDEX('TH_MLG GRADE 10'!$AB$7:$AB$49,MATCH(LEFT($A108,LEN($A108)-2),'TH_MLG GRADE 10'!$B$7:$B$49,0))="P")+
 --(INDEX('TH_MLG GRADE 10'!$AH$7:$AH$49,MATCH(LEFT($A108,LEN($A108)-2),'TH_MLG GRADE 10'!$B$7:$B$49,0))="P")+
 --(INDEX('TH_MLG GRADE 10'!$AN$7:$AN$49,MATCH(LEFT($A108,LEN($A108)-2),'TH_MLG GRADE 10'!$B$7:$B$49,0))="P")+
 --(INDEX('TH_MLG GRADE 10'!$AZ$7:$AZ$49,MATCH(LEFT($A108,LEN($A108)-2),'TH_MLG GRADE 10'!$B$7:$B$49,0))="P")+
 --(INDEX('TH_MLG GRADE 10'!$BF$7:$BF$49,MATCH(LEFT($A108,LEN($A108)-2),'TH_MLG GRADE 10'!$B$7:$B$49,0))="P")+
 --(INDEX('TH_MLG GRADE 10'!#REF!,MATCH(LEFT($A108,LEN($A108)-2),'TH_MLG GRADE 10'!$B$7:$B$49,0))="P")+
 --(INDEX('TH_MLG GRADE 10'!#REF!,MATCH(LEFT($A108,LEN($A108)-2),'TH_MLG GRADE 10'!$B$7:$B$49,0))="P"),
0)</f>
        <v>0</v>
      </c>
      <c r="D108" s="24" t="b">
        <f ca="1">IF(IF(_xlfn.XLOOKUP(LEFT(A108,LEN(A108)-2),'TH_MLG GRADE 10'!$B$7:$B$49,'TH_MLG GRADE 10'!$BM$7:$BM$49,"",0,1)=0,"",_xlfn.XLOOKUP(LEFT(A108,LEN(A108)-2),'TH_MLG GRADE 10'!$B$7:$B$49,'TH_MLG GRADE 10'!$BM$7:$BM$49,"",0,1))&lt;=TODAY(),TRUE,FALSE)</f>
        <v>0</v>
      </c>
      <c r="E108" s="25" t="str">
        <f t="shared" ca="1" si="2"/>
        <v/>
      </c>
      <c r="F108" t="s">
        <v>423</v>
      </c>
      <c r="G108">
        <v>3</v>
      </c>
      <c r="H108">
        <f>IFERROR(
 --(INDEX('PW_MLG GRADE 10'!#REF!,MATCH(LEFT($A108,LEN($A108)-2),'PW_MLG GRADE 10'!$B$7:$B$31,0))="P")+
 --(INDEX('PW_MLG GRADE 10'!#REF!,MATCH(LEFT($A108,LEN($A108)-2),'PW_MLG GRADE 10'!$B$7:$B$31,0))="P")+
 --(INDEX('PW_MLG GRADE 10'!#REF!,MATCH(LEFT($A108,LEN($A108)-2),'PW_MLG GRADE 10'!$B$7:$B$31,0))="P")+
 --(INDEX('PW_MLG GRADE 10'!#REF!,MATCH(LEFT($A108,LEN($A108)-2),'PW_MLG GRADE 10'!$B$7:$B$31,0))="P")+
 --(INDEX('PW_MLG GRADE 10'!#REF!,MATCH(LEFT($A108,LEN($A108)-2),'PW_MLG GRADE 10'!$B$7:$B$31,0))="P")+
 --(INDEX('PW_MLG GRADE 10'!#REF!,MATCH(LEFT($A108,LEN($A108)-2),'PW_MLG GRADE 10'!$B$7:$B$31,0))="P")+
 --(INDEX('PW_MLG GRADE 10'!#REF!,MATCH(LEFT($A108,LEN($A108)-2),'PW_MLG GRADE 10'!$B$7:$B$31,0))="P")+
 --(INDEX('PW_MLG GRADE 10'!#REF!,MATCH(LEFT($A108,LEN($A108)-2),'PW_MLG GRADE 10'!$B$7:$B$31,0))="P")+
 --(INDEX('PW_MLG GRADE 10'!#REF!,MATCH(LEFT($A108,LEN($A108)-2),'PW_MLG GRADE 10'!$B$7:$B$31,0))="P")+
 --(INDEX('PW_MLG GRADE 10'!#REF!,MATCH(LEFT($A108,LEN($A108)-2),'PW_MLG GRADE 10'!$B$7:$B$31,0))="P"),
0)</f>
        <v>0</v>
      </c>
      <c r="I108" t="e">
        <f ca="1">IF(IF(_xlfn.XLOOKUP(LEFT(F108,LEN(F108)-2),'PW_MLG GRADE 10'!$B$7:$B$31,'PW_MLG GRADE 10'!#REF!,"",0,1)=0,"",_xlfn.XLOOKUP(LEFT(F108,LEN(F108)-2),'PW_MLG GRADE 10'!$B$7:$B$31,'PW_MLG GRADE 10'!#REF!,"",0,1))&lt;=TODAY(),TRUE,FALSE)</f>
        <v>#REF!</v>
      </c>
      <c r="J108">
        <f t="shared" ca="1" si="3"/>
        <v>0</v>
      </c>
    </row>
    <row r="109" spans="1:10">
      <c r="A109" s="24" t="s">
        <v>424</v>
      </c>
      <c r="B109">
        <v>3</v>
      </c>
      <c r="C109">
        <f>IFERROR(
 --(INDEX('TH_MLG GRADE 10'!$D$7:$D$49,MATCH(LEFT($A109,LEN($A109)-2),'TH_MLG GRADE 10'!$B$7:$B$49,0))="P")+
 --(INDEX('TH_MLG GRADE 10'!$J$7:$J$49,MATCH(LEFT($A109,LEN($A109)-2),'TH_MLG GRADE 10'!$B$7:$B$49,0))="P")+
 --(INDEX('TH_MLG GRADE 10'!$P$7:$P$49,MATCH(LEFT($A109,LEN($A109)-2),'TH_MLG GRADE 10'!$B$7:$B$49,0))="P")+
 --(INDEX('TH_MLG GRADE 10'!$AB$7:$AB$49,MATCH(LEFT($A109,LEN($A109)-2),'TH_MLG GRADE 10'!$B$7:$B$49,0))="P")+
 --(INDEX('TH_MLG GRADE 10'!$AH$7:$AH$49,MATCH(LEFT($A109,LEN($A109)-2),'TH_MLG GRADE 10'!$B$7:$B$49,0))="P")+
 --(INDEX('TH_MLG GRADE 10'!$AN$7:$AN$49,MATCH(LEFT($A109,LEN($A109)-2),'TH_MLG GRADE 10'!$B$7:$B$49,0))="P")+
 --(INDEX('TH_MLG GRADE 10'!$AZ$7:$AZ$49,MATCH(LEFT($A109,LEN($A109)-2),'TH_MLG GRADE 10'!$B$7:$B$49,0))="P")+
 --(INDEX('TH_MLG GRADE 10'!$BF$7:$BF$49,MATCH(LEFT($A109,LEN($A109)-2),'TH_MLG GRADE 10'!$B$7:$B$49,0))="P")+
 --(INDEX('TH_MLG GRADE 10'!#REF!,MATCH(LEFT($A109,LEN($A109)-2),'TH_MLG GRADE 10'!$B$7:$B$49,0))="P")+
 --(INDEX('TH_MLG GRADE 10'!#REF!,MATCH(LEFT($A109,LEN($A109)-2),'TH_MLG GRADE 10'!$B$7:$B$49,0))="P"),
0)</f>
        <v>0</v>
      </c>
      <c r="D109" s="24" t="b">
        <f ca="1">IF(IF(_xlfn.XLOOKUP(LEFT(A109,LEN(A109)-2),'TH_MLG GRADE 10'!$B$7:$B$49,'TH_MLG GRADE 10'!$BM$7:$BM$49,"",0,1)=0,"",_xlfn.XLOOKUP(LEFT(A109,LEN(A109)-2),'TH_MLG GRADE 10'!$B$7:$B$49,'TH_MLG GRADE 10'!$BM$7:$BM$49,"",0,1))&lt;=TODAY(),TRUE,FALSE)</f>
        <v>0</v>
      </c>
      <c r="E109" s="25" t="str">
        <f t="shared" ca="1" si="2"/>
        <v/>
      </c>
      <c r="F109" t="s">
        <v>424</v>
      </c>
      <c r="G109">
        <v>3</v>
      </c>
      <c r="H109">
        <f>IFERROR(
 --(INDEX('PW_MLG GRADE 10'!#REF!,MATCH(LEFT($A109,LEN($A109)-2),'PW_MLG GRADE 10'!$B$7:$B$31,0))="P")+
 --(INDEX('PW_MLG GRADE 10'!#REF!,MATCH(LEFT($A109,LEN($A109)-2),'PW_MLG GRADE 10'!$B$7:$B$31,0))="P")+
 --(INDEX('PW_MLG GRADE 10'!#REF!,MATCH(LEFT($A109,LEN($A109)-2),'PW_MLG GRADE 10'!$B$7:$B$31,0))="P")+
 --(INDEX('PW_MLG GRADE 10'!#REF!,MATCH(LEFT($A109,LEN($A109)-2),'PW_MLG GRADE 10'!$B$7:$B$31,0))="P")+
 --(INDEX('PW_MLG GRADE 10'!#REF!,MATCH(LEFT($A109,LEN($A109)-2),'PW_MLG GRADE 10'!$B$7:$B$31,0))="P")+
 --(INDEX('PW_MLG GRADE 10'!#REF!,MATCH(LEFT($A109,LEN($A109)-2),'PW_MLG GRADE 10'!$B$7:$B$31,0))="P")+
 --(INDEX('PW_MLG GRADE 10'!#REF!,MATCH(LEFT($A109,LEN($A109)-2),'PW_MLG GRADE 10'!$B$7:$B$31,0))="P")+
 --(INDEX('PW_MLG GRADE 10'!#REF!,MATCH(LEFT($A109,LEN($A109)-2),'PW_MLG GRADE 10'!$B$7:$B$31,0))="P")+
 --(INDEX('PW_MLG GRADE 10'!#REF!,MATCH(LEFT($A109,LEN($A109)-2),'PW_MLG GRADE 10'!$B$7:$B$31,0))="P")+
 --(INDEX('PW_MLG GRADE 10'!#REF!,MATCH(LEFT($A109,LEN($A109)-2),'PW_MLG GRADE 10'!$B$7:$B$31,0))="P"),
0)</f>
        <v>0</v>
      </c>
      <c r="I109" t="e">
        <f ca="1">IF(IF(_xlfn.XLOOKUP(LEFT(F109,LEN(F109)-2),'PW_MLG GRADE 10'!$B$7:$B$31,'PW_MLG GRADE 10'!#REF!,"",0,1)=0,"",_xlfn.XLOOKUP(LEFT(F109,LEN(F109)-2),'PW_MLG GRADE 10'!$B$7:$B$31,'PW_MLG GRADE 10'!#REF!,"",0,1))&lt;=TODAY(),TRUE,FALSE)</f>
        <v>#REF!</v>
      </c>
      <c r="J109">
        <f t="shared" ca="1" si="3"/>
        <v>0</v>
      </c>
    </row>
    <row r="110" spans="1:10">
      <c r="A110" s="24" t="s">
        <v>425</v>
      </c>
      <c r="B110">
        <v>3</v>
      </c>
      <c r="C110">
        <f>IFERROR(
 --(INDEX('TH_MLG GRADE 10'!$D$7:$D$49,MATCH(LEFT($A110,LEN($A110)-2),'TH_MLG GRADE 10'!$B$7:$B$49,0))="P")+
 --(INDEX('TH_MLG GRADE 10'!$J$7:$J$49,MATCH(LEFT($A110,LEN($A110)-2),'TH_MLG GRADE 10'!$B$7:$B$49,0))="P")+
 --(INDEX('TH_MLG GRADE 10'!$P$7:$P$49,MATCH(LEFT($A110,LEN($A110)-2),'TH_MLG GRADE 10'!$B$7:$B$49,0))="P")+
 --(INDEX('TH_MLG GRADE 10'!$AB$7:$AB$49,MATCH(LEFT($A110,LEN($A110)-2),'TH_MLG GRADE 10'!$B$7:$B$49,0))="P")+
 --(INDEX('TH_MLG GRADE 10'!$AH$7:$AH$49,MATCH(LEFT($A110,LEN($A110)-2),'TH_MLG GRADE 10'!$B$7:$B$49,0))="P")+
 --(INDEX('TH_MLG GRADE 10'!$AN$7:$AN$49,MATCH(LEFT($A110,LEN($A110)-2),'TH_MLG GRADE 10'!$B$7:$B$49,0))="P")+
 --(INDEX('TH_MLG GRADE 10'!$AZ$7:$AZ$49,MATCH(LEFT($A110,LEN($A110)-2),'TH_MLG GRADE 10'!$B$7:$B$49,0))="P")+
 --(INDEX('TH_MLG GRADE 10'!$BF$7:$BF$49,MATCH(LEFT($A110,LEN($A110)-2),'TH_MLG GRADE 10'!$B$7:$B$49,0))="P")+
 --(INDEX('TH_MLG GRADE 10'!#REF!,MATCH(LEFT($A110,LEN($A110)-2),'TH_MLG GRADE 10'!$B$7:$B$49,0))="P")+
 --(INDEX('TH_MLG GRADE 10'!#REF!,MATCH(LEFT($A110,LEN($A110)-2),'TH_MLG GRADE 10'!$B$7:$B$49,0))="P"),
0)</f>
        <v>0</v>
      </c>
      <c r="D110" s="24" t="b">
        <f ca="1">IF(IF(_xlfn.XLOOKUP(LEFT(A110,LEN(A110)-2),'TH_MLG GRADE 10'!$B$7:$B$49,'TH_MLG GRADE 10'!$BM$7:$BM$49,"",0,1)=0,"",_xlfn.XLOOKUP(LEFT(A110,LEN(A110)-2),'TH_MLG GRADE 10'!$B$7:$B$49,'TH_MLG GRADE 10'!$BM$7:$BM$49,"",0,1))&lt;=TODAY(),TRUE,FALSE)</f>
        <v>0</v>
      </c>
      <c r="E110" s="25" t="str">
        <f t="shared" ca="1" si="2"/>
        <v/>
      </c>
      <c r="F110" t="s">
        <v>425</v>
      </c>
      <c r="G110">
        <v>3</v>
      </c>
      <c r="H110">
        <f>IFERROR(
 --(INDEX('PW_MLG GRADE 10'!#REF!,MATCH(LEFT($A110,LEN($A110)-2),'PW_MLG GRADE 10'!$B$7:$B$31,0))="P")+
 --(INDEX('PW_MLG GRADE 10'!#REF!,MATCH(LEFT($A110,LEN($A110)-2),'PW_MLG GRADE 10'!$B$7:$B$31,0))="P")+
 --(INDEX('PW_MLG GRADE 10'!#REF!,MATCH(LEFT($A110,LEN($A110)-2),'PW_MLG GRADE 10'!$B$7:$B$31,0))="P")+
 --(INDEX('PW_MLG GRADE 10'!#REF!,MATCH(LEFT($A110,LEN($A110)-2),'PW_MLG GRADE 10'!$B$7:$B$31,0))="P")+
 --(INDEX('PW_MLG GRADE 10'!#REF!,MATCH(LEFT($A110,LEN($A110)-2),'PW_MLG GRADE 10'!$B$7:$B$31,0))="P")+
 --(INDEX('PW_MLG GRADE 10'!#REF!,MATCH(LEFT($A110,LEN($A110)-2),'PW_MLG GRADE 10'!$B$7:$B$31,0))="P")+
 --(INDEX('PW_MLG GRADE 10'!#REF!,MATCH(LEFT($A110,LEN($A110)-2),'PW_MLG GRADE 10'!$B$7:$B$31,0))="P")+
 --(INDEX('PW_MLG GRADE 10'!#REF!,MATCH(LEFT($A110,LEN($A110)-2),'PW_MLG GRADE 10'!$B$7:$B$31,0))="P")+
 --(INDEX('PW_MLG GRADE 10'!#REF!,MATCH(LEFT($A110,LEN($A110)-2),'PW_MLG GRADE 10'!$B$7:$B$31,0))="P")+
 --(INDEX('PW_MLG GRADE 10'!#REF!,MATCH(LEFT($A110,LEN($A110)-2),'PW_MLG GRADE 10'!$B$7:$B$31,0))="P"),
0)</f>
        <v>0</v>
      </c>
      <c r="I110" t="e">
        <f ca="1">IF(IF(_xlfn.XLOOKUP(LEFT(F110,LEN(F110)-2),'PW_MLG GRADE 10'!$B$7:$B$31,'PW_MLG GRADE 10'!#REF!,"",0,1)=0,"",_xlfn.XLOOKUP(LEFT(F110,LEN(F110)-2),'PW_MLG GRADE 10'!$B$7:$B$31,'PW_MLG GRADE 10'!#REF!,"",0,1))&lt;=TODAY(),TRUE,FALSE)</f>
        <v>#REF!</v>
      </c>
      <c r="J110">
        <f t="shared" ca="1" si="3"/>
        <v>0</v>
      </c>
    </row>
    <row r="111" spans="1:10">
      <c r="A111" s="24" t="s">
        <v>426</v>
      </c>
      <c r="B111">
        <v>3</v>
      </c>
      <c r="C111">
        <f>IFERROR(
 --(INDEX('TH_MLG GRADE 10'!$D$7:$D$49,MATCH(LEFT($A111,LEN($A111)-2),'TH_MLG GRADE 10'!$B$7:$B$49,0))="P")+
 --(INDEX('TH_MLG GRADE 10'!$J$7:$J$49,MATCH(LEFT($A111,LEN($A111)-2),'TH_MLG GRADE 10'!$B$7:$B$49,0))="P")+
 --(INDEX('TH_MLG GRADE 10'!$P$7:$P$49,MATCH(LEFT($A111,LEN($A111)-2),'TH_MLG GRADE 10'!$B$7:$B$49,0))="P")+
 --(INDEX('TH_MLG GRADE 10'!$AB$7:$AB$49,MATCH(LEFT($A111,LEN($A111)-2),'TH_MLG GRADE 10'!$B$7:$B$49,0))="P")+
 --(INDEX('TH_MLG GRADE 10'!$AH$7:$AH$49,MATCH(LEFT($A111,LEN($A111)-2),'TH_MLG GRADE 10'!$B$7:$B$49,0))="P")+
 --(INDEX('TH_MLG GRADE 10'!$AN$7:$AN$49,MATCH(LEFT($A111,LEN($A111)-2),'TH_MLG GRADE 10'!$B$7:$B$49,0))="P")+
 --(INDEX('TH_MLG GRADE 10'!$AZ$7:$AZ$49,MATCH(LEFT($A111,LEN($A111)-2),'TH_MLG GRADE 10'!$B$7:$B$49,0))="P")+
 --(INDEX('TH_MLG GRADE 10'!$BF$7:$BF$49,MATCH(LEFT($A111,LEN($A111)-2),'TH_MLG GRADE 10'!$B$7:$B$49,0))="P")+
 --(INDEX('TH_MLG GRADE 10'!#REF!,MATCH(LEFT($A111,LEN($A111)-2),'TH_MLG GRADE 10'!$B$7:$B$49,0))="P")+
 --(INDEX('TH_MLG GRADE 10'!#REF!,MATCH(LEFT($A111,LEN($A111)-2),'TH_MLG GRADE 10'!$B$7:$B$49,0))="P"),
0)</f>
        <v>0</v>
      </c>
      <c r="D111" s="24" t="b">
        <f ca="1">IF(IF(_xlfn.XLOOKUP(LEFT(A111,LEN(A111)-2),'TH_MLG GRADE 10'!$B$7:$B$49,'TH_MLG GRADE 10'!$BM$7:$BM$49,"",0,1)=0,"",_xlfn.XLOOKUP(LEFT(A111,LEN(A111)-2),'TH_MLG GRADE 10'!$B$7:$B$49,'TH_MLG GRADE 10'!$BM$7:$BM$49,"",0,1))&lt;=TODAY(),TRUE,FALSE)</f>
        <v>0</v>
      </c>
      <c r="E111" s="25" t="str">
        <f t="shared" ca="1" si="2"/>
        <v/>
      </c>
      <c r="F111" t="s">
        <v>426</v>
      </c>
      <c r="G111">
        <v>3</v>
      </c>
      <c r="H111">
        <f>IFERROR(
 --(INDEX('PW_MLG GRADE 10'!#REF!,MATCH(LEFT($A111,LEN($A111)-2),'PW_MLG GRADE 10'!$B$7:$B$31,0))="P")+
 --(INDEX('PW_MLG GRADE 10'!#REF!,MATCH(LEFT($A111,LEN($A111)-2),'PW_MLG GRADE 10'!$B$7:$B$31,0))="P")+
 --(INDEX('PW_MLG GRADE 10'!#REF!,MATCH(LEFT($A111,LEN($A111)-2),'PW_MLG GRADE 10'!$B$7:$B$31,0))="P")+
 --(INDEX('PW_MLG GRADE 10'!#REF!,MATCH(LEFT($A111,LEN($A111)-2),'PW_MLG GRADE 10'!$B$7:$B$31,0))="P")+
 --(INDEX('PW_MLG GRADE 10'!#REF!,MATCH(LEFT($A111,LEN($A111)-2),'PW_MLG GRADE 10'!$B$7:$B$31,0))="P")+
 --(INDEX('PW_MLG GRADE 10'!#REF!,MATCH(LEFT($A111,LEN($A111)-2),'PW_MLG GRADE 10'!$B$7:$B$31,0))="P")+
 --(INDEX('PW_MLG GRADE 10'!#REF!,MATCH(LEFT($A111,LEN($A111)-2),'PW_MLG GRADE 10'!$B$7:$B$31,0))="P")+
 --(INDEX('PW_MLG GRADE 10'!#REF!,MATCH(LEFT($A111,LEN($A111)-2),'PW_MLG GRADE 10'!$B$7:$B$31,0))="P")+
 --(INDEX('PW_MLG GRADE 10'!#REF!,MATCH(LEFT($A111,LEN($A111)-2),'PW_MLG GRADE 10'!$B$7:$B$31,0))="P")+
 --(INDEX('PW_MLG GRADE 10'!#REF!,MATCH(LEFT($A111,LEN($A111)-2),'PW_MLG GRADE 10'!$B$7:$B$31,0))="P"),
0)</f>
        <v>0</v>
      </c>
      <c r="I111" t="e">
        <f ca="1">IF(IF(_xlfn.XLOOKUP(LEFT(F111,LEN(F111)-2),'PW_MLG GRADE 10'!$B$7:$B$31,'PW_MLG GRADE 10'!#REF!,"",0,1)=0,"",_xlfn.XLOOKUP(LEFT(F111,LEN(F111)-2),'PW_MLG GRADE 10'!$B$7:$B$31,'PW_MLG GRADE 10'!#REF!,"",0,1))&lt;=TODAY(),TRUE,FALSE)</f>
        <v>#REF!</v>
      </c>
      <c r="J111">
        <f t="shared" ca="1" si="3"/>
        <v>0</v>
      </c>
    </row>
    <row r="112" spans="1:10">
      <c r="A112" s="24" t="s">
        <v>427</v>
      </c>
      <c r="B112">
        <v>3</v>
      </c>
      <c r="C112">
        <f>IFERROR(
 --(INDEX('TH_MLG GRADE 10'!$D$7:$D$49,MATCH(LEFT($A112,LEN($A112)-2),'TH_MLG GRADE 10'!$B$7:$B$49,0))="P")+
 --(INDEX('TH_MLG GRADE 10'!$J$7:$J$49,MATCH(LEFT($A112,LEN($A112)-2),'TH_MLG GRADE 10'!$B$7:$B$49,0))="P")+
 --(INDEX('TH_MLG GRADE 10'!$P$7:$P$49,MATCH(LEFT($A112,LEN($A112)-2),'TH_MLG GRADE 10'!$B$7:$B$49,0))="P")+
 --(INDEX('TH_MLG GRADE 10'!$AB$7:$AB$49,MATCH(LEFT($A112,LEN($A112)-2),'TH_MLG GRADE 10'!$B$7:$B$49,0))="P")+
 --(INDEX('TH_MLG GRADE 10'!$AH$7:$AH$49,MATCH(LEFT($A112,LEN($A112)-2),'TH_MLG GRADE 10'!$B$7:$B$49,0))="P")+
 --(INDEX('TH_MLG GRADE 10'!$AN$7:$AN$49,MATCH(LEFT($A112,LEN($A112)-2),'TH_MLG GRADE 10'!$B$7:$B$49,0))="P")+
 --(INDEX('TH_MLG GRADE 10'!$AZ$7:$AZ$49,MATCH(LEFT($A112,LEN($A112)-2),'TH_MLG GRADE 10'!$B$7:$B$49,0))="P")+
 --(INDEX('TH_MLG GRADE 10'!$BF$7:$BF$49,MATCH(LEFT($A112,LEN($A112)-2),'TH_MLG GRADE 10'!$B$7:$B$49,0))="P")+
 --(INDEX('TH_MLG GRADE 10'!#REF!,MATCH(LEFT($A112,LEN($A112)-2),'TH_MLG GRADE 10'!$B$7:$B$49,0))="P")+
 --(INDEX('TH_MLG GRADE 10'!#REF!,MATCH(LEFT($A112,LEN($A112)-2),'TH_MLG GRADE 10'!$B$7:$B$49,0))="P"),
0)</f>
        <v>0</v>
      </c>
      <c r="D112" s="24" t="b">
        <f ca="1">IF(IF(_xlfn.XLOOKUP(LEFT(A112,LEN(A112)-2),'TH_MLG GRADE 10'!$B$7:$B$49,'TH_MLG GRADE 10'!$BM$7:$BM$49,"",0,1)=0,"",_xlfn.XLOOKUP(LEFT(A112,LEN(A112)-2),'TH_MLG GRADE 10'!$B$7:$B$49,'TH_MLG GRADE 10'!$BM$7:$BM$49,"",0,1))&lt;=TODAY(),TRUE,FALSE)</f>
        <v>0</v>
      </c>
      <c r="E112" s="25" t="str">
        <f t="shared" ca="1" si="2"/>
        <v/>
      </c>
      <c r="F112" t="s">
        <v>427</v>
      </c>
      <c r="G112">
        <v>3</v>
      </c>
      <c r="H112">
        <f>IFERROR(
 --(INDEX('PW_MLG GRADE 10'!#REF!,MATCH(LEFT($A112,LEN($A112)-2),'PW_MLG GRADE 10'!$B$7:$B$31,0))="P")+
 --(INDEX('PW_MLG GRADE 10'!#REF!,MATCH(LEFT($A112,LEN($A112)-2),'PW_MLG GRADE 10'!$B$7:$B$31,0))="P")+
 --(INDEX('PW_MLG GRADE 10'!#REF!,MATCH(LEFT($A112,LEN($A112)-2),'PW_MLG GRADE 10'!$B$7:$B$31,0))="P")+
 --(INDEX('PW_MLG GRADE 10'!#REF!,MATCH(LEFT($A112,LEN($A112)-2),'PW_MLG GRADE 10'!$B$7:$B$31,0))="P")+
 --(INDEX('PW_MLG GRADE 10'!#REF!,MATCH(LEFT($A112,LEN($A112)-2),'PW_MLG GRADE 10'!$B$7:$B$31,0))="P")+
 --(INDEX('PW_MLG GRADE 10'!#REF!,MATCH(LEFT($A112,LEN($A112)-2),'PW_MLG GRADE 10'!$B$7:$B$31,0))="P")+
 --(INDEX('PW_MLG GRADE 10'!#REF!,MATCH(LEFT($A112,LEN($A112)-2),'PW_MLG GRADE 10'!$B$7:$B$31,0))="P")+
 --(INDEX('PW_MLG GRADE 10'!#REF!,MATCH(LEFT($A112,LEN($A112)-2),'PW_MLG GRADE 10'!$B$7:$B$31,0))="P")+
 --(INDEX('PW_MLG GRADE 10'!#REF!,MATCH(LEFT($A112,LEN($A112)-2),'PW_MLG GRADE 10'!$B$7:$B$31,0))="P")+
 --(INDEX('PW_MLG GRADE 10'!#REF!,MATCH(LEFT($A112,LEN($A112)-2),'PW_MLG GRADE 10'!$B$7:$B$31,0))="P"),
0)</f>
        <v>0</v>
      </c>
      <c r="I112" t="e">
        <f ca="1">IF(IF(_xlfn.XLOOKUP(LEFT(F112,LEN(F112)-2),'PW_MLG GRADE 10'!$B$7:$B$31,'PW_MLG GRADE 10'!#REF!,"",0,1)=0,"",_xlfn.XLOOKUP(LEFT(F112,LEN(F112)-2),'PW_MLG GRADE 10'!$B$7:$B$31,'PW_MLG GRADE 10'!#REF!,"",0,1))&lt;=TODAY(),TRUE,FALSE)</f>
        <v>#REF!</v>
      </c>
      <c r="J112">
        <f t="shared" ca="1" si="3"/>
        <v>0</v>
      </c>
    </row>
    <row r="113" spans="1:10">
      <c r="A113" s="24" t="s">
        <v>428</v>
      </c>
      <c r="B113">
        <v>3</v>
      </c>
      <c r="C113">
        <f>IFERROR(
 --(INDEX('TH_MLG GRADE 10'!$D$7:$D$49,MATCH(LEFT($A113,LEN($A113)-2),'TH_MLG GRADE 10'!$B$7:$B$49,0))="P")+
 --(INDEX('TH_MLG GRADE 10'!$J$7:$J$49,MATCH(LEFT($A113,LEN($A113)-2),'TH_MLG GRADE 10'!$B$7:$B$49,0))="P")+
 --(INDEX('TH_MLG GRADE 10'!$P$7:$P$49,MATCH(LEFT($A113,LEN($A113)-2),'TH_MLG GRADE 10'!$B$7:$B$49,0))="P")+
 --(INDEX('TH_MLG GRADE 10'!$AB$7:$AB$49,MATCH(LEFT($A113,LEN($A113)-2),'TH_MLG GRADE 10'!$B$7:$B$49,0))="P")+
 --(INDEX('TH_MLG GRADE 10'!$AH$7:$AH$49,MATCH(LEFT($A113,LEN($A113)-2),'TH_MLG GRADE 10'!$B$7:$B$49,0))="P")+
 --(INDEX('TH_MLG GRADE 10'!$AN$7:$AN$49,MATCH(LEFT($A113,LEN($A113)-2),'TH_MLG GRADE 10'!$B$7:$B$49,0))="P")+
 --(INDEX('TH_MLG GRADE 10'!$AZ$7:$AZ$49,MATCH(LEFT($A113,LEN($A113)-2),'TH_MLG GRADE 10'!$B$7:$B$49,0))="P")+
 --(INDEX('TH_MLG GRADE 10'!$BF$7:$BF$49,MATCH(LEFT($A113,LEN($A113)-2),'TH_MLG GRADE 10'!$B$7:$B$49,0))="P")+
 --(INDEX('TH_MLG GRADE 10'!#REF!,MATCH(LEFT($A113,LEN($A113)-2),'TH_MLG GRADE 10'!$B$7:$B$49,0))="P")+
 --(INDEX('TH_MLG GRADE 10'!#REF!,MATCH(LEFT($A113,LEN($A113)-2),'TH_MLG GRADE 10'!$B$7:$B$49,0))="P"),
0)</f>
        <v>0</v>
      </c>
      <c r="D113" s="24" t="b">
        <f ca="1">IF(IF(_xlfn.XLOOKUP(LEFT(A113,LEN(A113)-2),'TH_MLG GRADE 10'!$B$7:$B$49,'TH_MLG GRADE 10'!$BM$7:$BM$49,"",0,1)=0,"",_xlfn.XLOOKUP(LEFT(A113,LEN(A113)-2),'TH_MLG GRADE 10'!$B$7:$B$49,'TH_MLG GRADE 10'!$BM$7:$BM$49,"",0,1))&lt;=TODAY(),TRUE,FALSE)</f>
        <v>0</v>
      </c>
      <c r="E113" s="25" t="str">
        <f t="shared" ca="1" si="2"/>
        <v/>
      </c>
      <c r="F113" t="s">
        <v>428</v>
      </c>
      <c r="G113">
        <v>3</v>
      </c>
      <c r="H113">
        <f>IFERROR(
 --(INDEX('PW_MLG GRADE 10'!#REF!,MATCH(LEFT($A113,LEN($A113)-2),'PW_MLG GRADE 10'!$B$7:$B$31,0))="P")+
 --(INDEX('PW_MLG GRADE 10'!#REF!,MATCH(LEFT($A113,LEN($A113)-2),'PW_MLG GRADE 10'!$B$7:$B$31,0))="P")+
 --(INDEX('PW_MLG GRADE 10'!#REF!,MATCH(LEFT($A113,LEN($A113)-2),'PW_MLG GRADE 10'!$B$7:$B$31,0))="P")+
 --(INDEX('PW_MLG GRADE 10'!#REF!,MATCH(LEFT($A113,LEN($A113)-2),'PW_MLG GRADE 10'!$B$7:$B$31,0))="P")+
 --(INDEX('PW_MLG GRADE 10'!#REF!,MATCH(LEFT($A113,LEN($A113)-2),'PW_MLG GRADE 10'!$B$7:$B$31,0))="P")+
 --(INDEX('PW_MLG GRADE 10'!#REF!,MATCH(LEFT($A113,LEN($A113)-2),'PW_MLG GRADE 10'!$B$7:$B$31,0))="P")+
 --(INDEX('PW_MLG GRADE 10'!#REF!,MATCH(LEFT($A113,LEN($A113)-2),'PW_MLG GRADE 10'!$B$7:$B$31,0))="P")+
 --(INDEX('PW_MLG GRADE 10'!#REF!,MATCH(LEFT($A113,LEN($A113)-2),'PW_MLG GRADE 10'!$B$7:$B$31,0))="P")+
 --(INDEX('PW_MLG GRADE 10'!#REF!,MATCH(LEFT($A113,LEN($A113)-2),'PW_MLG GRADE 10'!$B$7:$B$31,0))="P")+
 --(INDEX('PW_MLG GRADE 10'!#REF!,MATCH(LEFT($A113,LEN($A113)-2),'PW_MLG GRADE 10'!$B$7:$B$31,0))="P"),
0)</f>
        <v>0</v>
      </c>
      <c r="I113" t="e">
        <f ca="1">IF(IF(_xlfn.XLOOKUP(LEFT(F113,LEN(F113)-2),'PW_MLG GRADE 10'!$B$7:$B$31,'PW_MLG GRADE 10'!#REF!,"",0,1)=0,"",_xlfn.XLOOKUP(LEFT(F113,LEN(F113)-2),'PW_MLG GRADE 10'!$B$7:$B$31,'PW_MLG GRADE 10'!#REF!,"",0,1))&lt;=TODAY(),TRUE,FALSE)</f>
        <v>#REF!</v>
      </c>
      <c r="J113">
        <f t="shared" ca="1" si="3"/>
        <v>0</v>
      </c>
    </row>
    <row r="114" spans="1:10">
      <c r="A114" s="24" t="s">
        <v>429</v>
      </c>
      <c r="B114">
        <v>3</v>
      </c>
      <c r="C114">
        <f>IFERROR(
 --(INDEX('TH_MLG GRADE 10'!$D$7:$D$49,MATCH(LEFT($A114,LEN($A114)-2),'TH_MLG GRADE 10'!$B$7:$B$49,0))="P")+
 --(INDEX('TH_MLG GRADE 10'!$J$7:$J$49,MATCH(LEFT($A114,LEN($A114)-2),'TH_MLG GRADE 10'!$B$7:$B$49,0))="P")+
 --(INDEX('TH_MLG GRADE 10'!$P$7:$P$49,MATCH(LEFT($A114,LEN($A114)-2),'TH_MLG GRADE 10'!$B$7:$B$49,0))="P")+
 --(INDEX('TH_MLG GRADE 10'!$AB$7:$AB$49,MATCH(LEFT($A114,LEN($A114)-2),'TH_MLG GRADE 10'!$B$7:$B$49,0))="P")+
 --(INDEX('TH_MLG GRADE 10'!$AH$7:$AH$49,MATCH(LEFT($A114,LEN($A114)-2),'TH_MLG GRADE 10'!$B$7:$B$49,0))="P")+
 --(INDEX('TH_MLG GRADE 10'!$AN$7:$AN$49,MATCH(LEFT($A114,LEN($A114)-2),'TH_MLG GRADE 10'!$B$7:$B$49,0))="P")+
 --(INDEX('TH_MLG GRADE 10'!$AZ$7:$AZ$49,MATCH(LEFT($A114,LEN($A114)-2),'TH_MLG GRADE 10'!$B$7:$B$49,0))="P")+
 --(INDEX('TH_MLG GRADE 10'!$BF$7:$BF$49,MATCH(LEFT($A114,LEN($A114)-2),'TH_MLG GRADE 10'!$B$7:$B$49,0))="P")+
 --(INDEX('TH_MLG GRADE 10'!#REF!,MATCH(LEFT($A114,LEN($A114)-2),'TH_MLG GRADE 10'!$B$7:$B$49,0))="P")+
 --(INDEX('TH_MLG GRADE 10'!#REF!,MATCH(LEFT($A114,LEN($A114)-2),'TH_MLG GRADE 10'!$B$7:$B$49,0))="P"),
0)</f>
        <v>0</v>
      </c>
      <c r="D114" s="24" t="b">
        <f ca="1">IF(IF(_xlfn.XLOOKUP(LEFT(A114,LEN(A114)-2),'TH_MLG GRADE 10'!$B$7:$B$49,'TH_MLG GRADE 10'!$BM$7:$BM$49,"",0,1)=0,"",_xlfn.XLOOKUP(LEFT(A114,LEN(A114)-2),'TH_MLG GRADE 10'!$B$7:$B$49,'TH_MLG GRADE 10'!$BM$7:$BM$49,"",0,1))&lt;=TODAY(),TRUE,FALSE)</f>
        <v>0</v>
      </c>
      <c r="E114" s="25" t="str">
        <f t="shared" ca="1" si="2"/>
        <v/>
      </c>
      <c r="F114" t="s">
        <v>429</v>
      </c>
      <c r="G114">
        <v>3</v>
      </c>
      <c r="H114">
        <f>IFERROR(
 --(INDEX('PW_MLG GRADE 10'!#REF!,MATCH(LEFT($A114,LEN($A114)-2),'PW_MLG GRADE 10'!$B$7:$B$31,0))="P")+
 --(INDEX('PW_MLG GRADE 10'!#REF!,MATCH(LEFT($A114,LEN($A114)-2),'PW_MLG GRADE 10'!$B$7:$B$31,0))="P")+
 --(INDEX('PW_MLG GRADE 10'!#REF!,MATCH(LEFT($A114,LEN($A114)-2),'PW_MLG GRADE 10'!$B$7:$B$31,0))="P")+
 --(INDEX('PW_MLG GRADE 10'!#REF!,MATCH(LEFT($A114,LEN($A114)-2),'PW_MLG GRADE 10'!$B$7:$B$31,0))="P")+
 --(INDEX('PW_MLG GRADE 10'!#REF!,MATCH(LEFT($A114,LEN($A114)-2),'PW_MLG GRADE 10'!$B$7:$B$31,0))="P")+
 --(INDEX('PW_MLG GRADE 10'!#REF!,MATCH(LEFT($A114,LEN($A114)-2),'PW_MLG GRADE 10'!$B$7:$B$31,0))="P")+
 --(INDEX('PW_MLG GRADE 10'!#REF!,MATCH(LEFT($A114,LEN($A114)-2),'PW_MLG GRADE 10'!$B$7:$B$31,0))="P")+
 --(INDEX('PW_MLG GRADE 10'!#REF!,MATCH(LEFT($A114,LEN($A114)-2),'PW_MLG GRADE 10'!$B$7:$B$31,0))="P")+
 --(INDEX('PW_MLG GRADE 10'!#REF!,MATCH(LEFT($A114,LEN($A114)-2),'PW_MLG GRADE 10'!$B$7:$B$31,0))="P")+
 --(INDEX('PW_MLG GRADE 10'!#REF!,MATCH(LEFT($A114,LEN($A114)-2),'PW_MLG GRADE 10'!$B$7:$B$31,0))="P"),
0)</f>
        <v>0</v>
      </c>
      <c r="I114" t="e">
        <f ca="1">IF(IF(_xlfn.XLOOKUP(LEFT(F114,LEN(F114)-2),'PW_MLG GRADE 10'!$B$7:$B$31,'PW_MLG GRADE 10'!#REF!,"",0,1)=0,"",_xlfn.XLOOKUP(LEFT(F114,LEN(F114)-2),'PW_MLG GRADE 10'!$B$7:$B$31,'PW_MLG GRADE 10'!#REF!,"",0,1))&lt;=TODAY(),TRUE,FALSE)</f>
        <v>#REF!</v>
      </c>
      <c r="J114">
        <f t="shared" ca="1" si="3"/>
        <v>0</v>
      </c>
    </row>
    <row r="115" spans="1:10">
      <c r="A115" s="24" t="s">
        <v>430</v>
      </c>
      <c r="B115">
        <v>3</v>
      </c>
      <c r="C115">
        <f>IFERROR(
 --(INDEX('TH_MLG GRADE 10'!$D$7:$D$49,MATCH(LEFT($A115,LEN($A115)-2),'TH_MLG GRADE 10'!$B$7:$B$49,0))="P")+
 --(INDEX('TH_MLG GRADE 10'!$J$7:$J$49,MATCH(LEFT($A115,LEN($A115)-2),'TH_MLG GRADE 10'!$B$7:$B$49,0))="P")+
 --(INDEX('TH_MLG GRADE 10'!$P$7:$P$49,MATCH(LEFT($A115,LEN($A115)-2),'TH_MLG GRADE 10'!$B$7:$B$49,0))="P")+
 --(INDEX('TH_MLG GRADE 10'!$AB$7:$AB$49,MATCH(LEFT($A115,LEN($A115)-2),'TH_MLG GRADE 10'!$B$7:$B$49,0))="P")+
 --(INDEX('TH_MLG GRADE 10'!$AH$7:$AH$49,MATCH(LEFT($A115,LEN($A115)-2),'TH_MLG GRADE 10'!$B$7:$B$49,0))="P")+
 --(INDEX('TH_MLG GRADE 10'!$AN$7:$AN$49,MATCH(LEFT($A115,LEN($A115)-2),'TH_MLG GRADE 10'!$B$7:$B$49,0))="P")+
 --(INDEX('TH_MLG GRADE 10'!$AZ$7:$AZ$49,MATCH(LEFT($A115,LEN($A115)-2),'TH_MLG GRADE 10'!$B$7:$B$49,0))="P")+
 --(INDEX('TH_MLG GRADE 10'!$BF$7:$BF$49,MATCH(LEFT($A115,LEN($A115)-2),'TH_MLG GRADE 10'!$B$7:$B$49,0))="P")+
 --(INDEX('TH_MLG GRADE 10'!#REF!,MATCH(LEFT($A115,LEN($A115)-2),'TH_MLG GRADE 10'!$B$7:$B$49,0))="P")+
 --(INDEX('TH_MLG GRADE 10'!#REF!,MATCH(LEFT($A115,LEN($A115)-2),'TH_MLG GRADE 10'!$B$7:$B$49,0))="P"),
0)</f>
        <v>0</v>
      </c>
      <c r="D115" s="24" t="b">
        <f ca="1">IF(IF(_xlfn.XLOOKUP(LEFT(A115,LEN(A115)-2),'TH_MLG GRADE 10'!$B$7:$B$49,'TH_MLG GRADE 10'!$BM$7:$BM$49,"",0,1)=0,"",_xlfn.XLOOKUP(LEFT(A115,LEN(A115)-2),'TH_MLG GRADE 10'!$B$7:$B$49,'TH_MLG GRADE 10'!$BM$7:$BM$49,"",0,1))&lt;=TODAY(),TRUE,FALSE)</f>
        <v>0</v>
      </c>
      <c r="E115" s="25" t="str">
        <f t="shared" ca="1" si="2"/>
        <v/>
      </c>
      <c r="F115" t="s">
        <v>430</v>
      </c>
      <c r="G115">
        <v>3</v>
      </c>
      <c r="H115">
        <f>IFERROR(
 --(INDEX('PW_MLG GRADE 10'!#REF!,MATCH(LEFT($A115,LEN($A115)-2),'PW_MLG GRADE 10'!$B$7:$B$31,0))="P")+
 --(INDEX('PW_MLG GRADE 10'!#REF!,MATCH(LEFT($A115,LEN($A115)-2),'PW_MLG GRADE 10'!$B$7:$B$31,0))="P")+
 --(INDEX('PW_MLG GRADE 10'!#REF!,MATCH(LEFT($A115,LEN($A115)-2),'PW_MLG GRADE 10'!$B$7:$B$31,0))="P")+
 --(INDEX('PW_MLG GRADE 10'!#REF!,MATCH(LEFT($A115,LEN($A115)-2),'PW_MLG GRADE 10'!$B$7:$B$31,0))="P")+
 --(INDEX('PW_MLG GRADE 10'!#REF!,MATCH(LEFT($A115,LEN($A115)-2),'PW_MLG GRADE 10'!$B$7:$B$31,0))="P")+
 --(INDEX('PW_MLG GRADE 10'!#REF!,MATCH(LEFT($A115,LEN($A115)-2),'PW_MLG GRADE 10'!$B$7:$B$31,0))="P")+
 --(INDEX('PW_MLG GRADE 10'!#REF!,MATCH(LEFT($A115,LEN($A115)-2),'PW_MLG GRADE 10'!$B$7:$B$31,0))="P")+
 --(INDEX('PW_MLG GRADE 10'!#REF!,MATCH(LEFT($A115,LEN($A115)-2),'PW_MLG GRADE 10'!$B$7:$B$31,0))="P")+
 --(INDEX('PW_MLG GRADE 10'!#REF!,MATCH(LEFT($A115,LEN($A115)-2),'PW_MLG GRADE 10'!$B$7:$B$31,0))="P")+
 --(INDEX('PW_MLG GRADE 10'!#REF!,MATCH(LEFT($A115,LEN($A115)-2),'PW_MLG GRADE 10'!$B$7:$B$31,0))="P"),
0)</f>
        <v>0</v>
      </c>
      <c r="I115" t="e">
        <f ca="1">IF(IF(_xlfn.XLOOKUP(LEFT(F115,LEN(F115)-2),'PW_MLG GRADE 10'!$B$7:$B$31,'PW_MLG GRADE 10'!#REF!,"",0,1)=0,"",_xlfn.XLOOKUP(LEFT(F115,LEN(F115)-2),'PW_MLG GRADE 10'!$B$7:$B$31,'PW_MLG GRADE 10'!#REF!,"",0,1))&lt;=TODAY(),TRUE,FALSE)</f>
        <v>#REF!</v>
      </c>
      <c r="J115">
        <f t="shared" ca="1" si="3"/>
        <v>0</v>
      </c>
    </row>
    <row r="116" spans="1:10">
      <c r="A116" s="24" t="s">
        <v>431</v>
      </c>
      <c r="B116">
        <v>3</v>
      </c>
      <c r="C116">
        <f>IFERROR(
 --(INDEX('TH_MLG GRADE 10'!$D$7:$D$49,MATCH(LEFT($A116,LEN($A116)-2),'TH_MLG GRADE 10'!$B$7:$B$49,0))="P")+
 --(INDEX('TH_MLG GRADE 10'!$J$7:$J$49,MATCH(LEFT($A116,LEN($A116)-2),'TH_MLG GRADE 10'!$B$7:$B$49,0))="P")+
 --(INDEX('TH_MLG GRADE 10'!$P$7:$P$49,MATCH(LEFT($A116,LEN($A116)-2),'TH_MLG GRADE 10'!$B$7:$B$49,0))="P")+
 --(INDEX('TH_MLG GRADE 10'!$AB$7:$AB$49,MATCH(LEFT($A116,LEN($A116)-2),'TH_MLG GRADE 10'!$B$7:$B$49,0))="P")+
 --(INDEX('TH_MLG GRADE 10'!$AH$7:$AH$49,MATCH(LEFT($A116,LEN($A116)-2),'TH_MLG GRADE 10'!$B$7:$B$49,0))="P")+
 --(INDEX('TH_MLG GRADE 10'!$AN$7:$AN$49,MATCH(LEFT($A116,LEN($A116)-2),'TH_MLG GRADE 10'!$B$7:$B$49,0))="P")+
 --(INDEX('TH_MLG GRADE 10'!$AZ$7:$AZ$49,MATCH(LEFT($A116,LEN($A116)-2),'TH_MLG GRADE 10'!$B$7:$B$49,0))="P")+
 --(INDEX('TH_MLG GRADE 10'!$BF$7:$BF$49,MATCH(LEFT($A116,LEN($A116)-2),'TH_MLG GRADE 10'!$B$7:$B$49,0))="P")+
 --(INDEX('TH_MLG GRADE 10'!#REF!,MATCH(LEFT($A116,LEN($A116)-2),'TH_MLG GRADE 10'!$B$7:$B$49,0))="P")+
 --(INDEX('TH_MLG GRADE 10'!#REF!,MATCH(LEFT($A116,LEN($A116)-2),'TH_MLG GRADE 10'!$B$7:$B$49,0))="P"),
0)</f>
        <v>0</v>
      </c>
      <c r="D116" s="24" t="b">
        <f ca="1">IF(IF(_xlfn.XLOOKUP(LEFT(A116,LEN(A116)-2),'TH_MLG GRADE 10'!$B$7:$B$49,'TH_MLG GRADE 10'!$BM$7:$BM$49,"",0,1)=0,"",_xlfn.XLOOKUP(LEFT(A116,LEN(A116)-2),'TH_MLG GRADE 10'!$B$7:$B$49,'TH_MLG GRADE 10'!$BM$7:$BM$49,"",0,1))&lt;=TODAY(),TRUE,FALSE)</f>
        <v>0</v>
      </c>
      <c r="E116" s="25" t="str">
        <f t="shared" ca="1" si="2"/>
        <v/>
      </c>
      <c r="F116" t="s">
        <v>431</v>
      </c>
      <c r="G116">
        <v>3</v>
      </c>
      <c r="H116">
        <f>IFERROR(
 --(INDEX('PW_MLG GRADE 10'!#REF!,MATCH(LEFT($A116,LEN($A116)-2),'PW_MLG GRADE 10'!$B$7:$B$31,0))="P")+
 --(INDEX('PW_MLG GRADE 10'!#REF!,MATCH(LEFT($A116,LEN($A116)-2),'PW_MLG GRADE 10'!$B$7:$B$31,0))="P")+
 --(INDEX('PW_MLG GRADE 10'!#REF!,MATCH(LEFT($A116,LEN($A116)-2),'PW_MLG GRADE 10'!$B$7:$B$31,0))="P")+
 --(INDEX('PW_MLG GRADE 10'!#REF!,MATCH(LEFT($A116,LEN($A116)-2),'PW_MLG GRADE 10'!$B$7:$B$31,0))="P")+
 --(INDEX('PW_MLG GRADE 10'!#REF!,MATCH(LEFT($A116,LEN($A116)-2),'PW_MLG GRADE 10'!$B$7:$B$31,0))="P")+
 --(INDEX('PW_MLG GRADE 10'!#REF!,MATCH(LEFT($A116,LEN($A116)-2),'PW_MLG GRADE 10'!$B$7:$B$31,0))="P")+
 --(INDEX('PW_MLG GRADE 10'!#REF!,MATCH(LEFT($A116,LEN($A116)-2),'PW_MLG GRADE 10'!$B$7:$B$31,0))="P")+
 --(INDEX('PW_MLG GRADE 10'!#REF!,MATCH(LEFT($A116,LEN($A116)-2),'PW_MLG GRADE 10'!$B$7:$B$31,0))="P")+
 --(INDEX('PW_MLG GRADE 10'!#REF!,MATCH(LEFT($A116,LEN($A116)-2),'PW_MLG GRADE 10'!$B$7:$B$31,0))="P")+
 --(INDEX('PW_MLG GRADE 10'!#REF!,MATCH(LEFT($A116,LEN($A116)-2),'PW_MLG GRADE 10'!$B$7:$B$31,0))="P"),
0)</f>
        <v>0</v>
      </c>
      <c r="I116" t="e">
        <f ca="1">IF(IF(_xlfn.XLOOKUP(LEFT(F116,LEN(F116)-2),'PW_MLG GRADE 10'!$B$7:$B$31,'PW_MLG GRADE 10'!#REF!,"",0,1)=0,"",_xlfn.XLOOKUP(LEFT(F116,LEN(F116)-2),'PW_MLG GRADE 10'!$B$7:$B$31,'PW_MLG GRADE 10'!#REF!,"",0,1))&lt;=TODAY(),TRUE,FALSE)</f>
        <v>#REF!</v>
      </c>
      <c r="J116">
        <f t="shared" ca="1" si="3"/>
        <v>0</v>
      </c>
    </row>
    <row r="117" spans="1:10">
      <c r="A117" s="24" t="s">
        <v>432</v>
      </c>
      <c r="B117">
        <v>3</v>
      </c>
      <c r="C117">
        <f>IFERROR(
 --(INDEX('TH_MLG GRADE 10'!$D$7:$D$49,MATCH(LEFT($A117,LEN($A117)-2),'TH_MLG GRADE 10'!$B$7:$B$49,0))="P")+
 --(INDEX('TH_MLG GRADE 10'!$J$7:$J$49,MATCH(LEFT($A117,LEN($A117)-2),'TH_MLG GRADE 10'!$B$7:$B$49,0))="P")+
 --(INDEX('TH_MLG GRADE 10'!$P$7:$P$49,MATCH(LEFT($A117,LEN($A117)-2),'TH_MLG GRADE 10'!$B$7:$B$49,0))="P")+
 --(INDEX('TH_MLG GRADE 10'!$AB$7:$AB$49,MATCH(LEFT($A117,LEN($A117)-2),'TH_MLG GRADE 10'!$B$7:$B$49,0))="P")+
 --(INDEX('TH_MLG GRADE 10'!$AH$7:$AH$49,MATCH(LEFT($A117,LEN($A117)-2),'TH_MLG GRADE 10'!$B$7:$B$49,0))="P")+
 --(INDEX('TH_MLG GRADE 10'!$AN$7:$AN$49,MATCH(LEFT($A117,LEN($A117)-2),'TH_MLG GRADE 10'!$B$7:$B$49,0))="P")+
 --(INDEX('TH_MLG GRADE 10'!$AZ$7:$AZ$49,MATCH(LEFT($A117,LEN($A117)-2),'TH_MLG GRADE 10'!$B$7:$B$49,0))="P")+
 --(INDEX('TH_MLG GRADE 10'!$BF$7:$BF$49,MATCH(LEFT($A117,LEN($A117)-2),'TH_MLG GRADE 10'!$B$7:$B$49,0))="P")+
 --(INDEX('TH_MLG GRADE 10'!#REF!,MATCH(LEFT($A117,LEN($A117)-2),'TH_MLG GRADE 10'!$B$7:$B$49,0))="P")+
 --(INDEX('TH_MLG GRADE 10'!#REF!,MATCH(LEFT($A117,LEN($A117)-2),'TH_MLG GRADE 10'!$B$7:$B$49,0))="P"),
0)</f>
        <v>0</v>
      </c>
      <c r="D117" s="24" t="b">
        <f ca="1">IF(IF(_xlfn.XLOOKUP(LEFT(A117,LEN(A117)-2),'TH_MLG GRADE 10'!$B$7:$B$49,'TH_MLG GRADE 10'!$BM$7:$BM$49,"",0,1)=0,"",_xlfn.XLOOKUP(LEFT(A117,LEN(A117)-2),'TH_MLG GRADE 10'!$B$7:$B$49,'TH_MLG GRADE 10'!$BM$7:$BM$49,"",0,1))&lt;=TODAY(),TRUE,FALSE)</f>
        <v>0</v>
      </c>
      <c r="E117" s="25" t="str">
        <f t="shared" ca="1" si="2"/>
        <v/>
      </c>
      <c r="F117" t="s">
        <v>432</v>
      </c>
      <c r="G117">
        <v>3</v>
      </c>
      <c r="H117">
        <f>IFERROR(
 --(INDEX('PW_MLG GRADE 10'!#REF!,MATCH(LEFT($A117,LEN($A117)-2),'PW_MLG GRADE 10'!$B$7:$B$31,0))="P")+
 --(INDEX('PW_MLG GRADE 10'!#REF!,MATCH(LEFT($A117,LEN($A117)-2),'PW_MLG GRADE 10'!$B$7:$B$31,0))="P")+
 --(INDEX('PW_MLG GRADE 10'!#REF!,MATCH(LEFT($A117,LEN($A117)-2),'PW_MLG GRADE 10'!$B$7:$B$31,0))="P")+
 --(INDEX('PW_MLG GRADE 10'!#REF!,MATCH(LEFT($A117,LEN($A117)-2),'PW_MLG GRADE 10'!$B$7:$B$31,0))="P")+
 --(INDEX('PW_MLG GRADE 10'!#REF!,MATCH(LEFT($A117,LEN($A117)-2),'PW_MLG GRADE 10'!$B$7:$B$31,0))="P")+
 --(INDEX('PW_MLG GRADE 10'!#REF!,MATCH(LEFT($A117,LEN($A117)-2),'PW_MLG GRADE 10'!$B$7:$B$31,0))="P")+
 --(INDEX('PW_MLG GRADE 10'!#REF!,MATCH(LEFT($A117,LEN($A117)-2),'PW_MLG GRADE 10'!$B$7:$B$31,0))="P")+
 --(INDEX('PW_MLG GRADE 10'!#REF!,MATCH(LEFT($A117,LEN($A117)-2),'PW_MLG GRADE 10'!$B$7:$B$31,0))="P")+
 --(INDEX('PW_MLG GRADE 10'!#REF!,MATCH(LEFT($A117,LEN($A117)-2),'PW_MLG GRADE 10'!$B$7:$B$31,0))="P")+
 --(INDEX('PW_MLG GRADE 10'!#REF!,MATCH(LEFT($A117,LEN($A117)-2),'PW_MLG GRADE 10'!$B$7:$B$31,0))="P"),
0)</f>
        <v>0</v>
      </c>
      <c r="I117" t="e">
        <f ca="1">IF(IF(_xlfn.XLOOKUP(LEFT(F117,LEN(F117)-2),'PW_MLG GRADE 10'!$B$7:$B$31,'PW_MLG GRADE 10'!#REF!,"",0,1)=0,"",_xlfn.XLOOKUP(LEFT(F117,LEN(F117)-2),'PW_MLG GRADE 10'!$B$7:$B$31,'PW_MLG GRADE 10'!#REF!,"",0,1))&lt;=TODAY(),TRUE,FALSE)</f>
        <v>#REF!</v>
      </c>
      <c r="J117">
        <f t="shared" ca="1" si="3"/>
        <v>0</v>
      </c>
    </row>
    <row r="118" spans="1:10">
      <c r="A118" s="24" t="s">
        <v>433</v>
      </c>
      <c r="B118">
        <v>3</v>
      </c>
      <c r="C118">
        <f>IFERROR(
 --(INDEX('TH_MLG GRADE 10'!$D$7:$D$49,MATCH(LEFT($A118,LEN($A118)-2),'TH_MLG GRADE 10'!$B$7:$B$49,0))="P")+
 --(INDEX('TH_MLG GRADE 10'!$J$7:$J$49,MATCH(LEFT($A118,LEN($A118)-2),'TH_MLG GRADE 10'!$B$7:$B$49,0))="P")+
 --(INDEX('TH_MLG GRADE 10'!$P$7:$P$49,MATCH(LEFT($A118,LEN($A118)-2),'TH_MLG GRADE 10'!$B$7:$B$49,0))="P")+
 --(INDEX('TH_MLG GRADE 10'!$AB$7:$AB$49,MATCH(LEFT($A118,LEN($A118)-2),'TH_MLG GRADE 10'!$B$7:$B$49,0))="P")+
 --(INDEX('TH_MLG GRADE 10'!$AH$7:$AH$49,MATCH(LEFT($A118,LEN($A118)-2),'TH_MLG GRADE 10'!$B$7:$B$49,0))="P")+
 --(INDEX('TH_MLG GRADE 10'!$AN$7:$AN$49,MATCH(LEFT($A118,LEN($A118)-2),'TH_MLG GRADE 10'!$B$7:$B$49,0))="P")+
 --(INDEX('TH_MLG GRADE 10'!$AZ$7:$AZ$49,MATCH(LEFT($A118,LEN($A118)-2),'TH_MLG GRADE 10'!$B$7:$B$49,0))="P")+
 --(INDEX('TH_MLG GRADE 10'!$BF$7:$BF$49,MATCH(LEFT($A118,LEN($A118)-2),'TH_MLG GRADE 10'!$B$7:$B$49,0))="P")+
 --(INDEX('TH_MLG GRADE 10'!#REF!,MATCH(LEFT($A118,LEN($A118)-2),'TH_MLG GRADE 10'!$B$7:$B$49,0))="P")+
 --(INDEX('TH_MLG GRADE 10'!#REF!,MATCH(LEFT($A118,LEN($A118)-2),'TH_MLG GRADE 10'!$B$7:$B$49,0))="P"),
0)</f>
        <v>0</v>
      </c>
      <c r="D118" s="24" t="b">
        <f ca="1">IF(IF(_xlfn.XLOOKUP(LEFT(A118,LEN(A118)-2),'TH_MLG GRADE 10'!$B$7:$B$49,'TH_MLG GRADE 10'!$BM$7:$BM$49,"",0,1)=0,"",_xlfn.XLOOKUP(LEFT(A118,LEN(A118)-2),'TH_MLG GRADE 10'!$B$7:$B$49,'TH_MLG GRADE 10'!$BM$7:$BM$49,"",0,1))&lt;=TODAY(),TRUE,FALSE)</f>
        <v>0</v>
      </c>
      <c r="E118" s="25" t="str">
        <f t="shared" ca="1" si="2"/>
        <v/>
      </c>
      <c r="F118" t="s">
        <v>433</v>
      </c>
      <c r="G118">
        <v>3</v>
      </c>
      <c r="H118">
        <f>IFERROR(
 --(INDEX('PW_MLG GRADE 10'!#REF!,MATCH(LEFT($A118,LEN($A118)-2),'PW_MLG GRADE 10'!$B$7:$B$31,0))="P")+
 --(INDEX('PW_MLG GRADE 10'!#REF!,MATCH(LEFT($A118,LEN($A118)-2),'PW_MLG GRADE 10'!$B$7:$B$31,0))="P")+
 --(INDEX('PW_MLG GRADE 10'!#REF!,MATCH(LEFT($A118,LEN($A118)-2),'PW_MLG GRADE 10'!$B$7:$B$31,0))="P")+
 --(INDEX('PW_MLG GRADE 10'!#REF!,MATCH(LEFT($A118,LEN($A118)-2),'PW_MLG GRADE 10'!$B$7:$B$31,0))="P")+
 --(INDEX('PW_MLG GRADE 10'!#REF!,MATCH(LEFT($A118,LEN($A118)-2),'PW_MLG GRADE 10'!$B$7:$B$31,0))="P")+
 --(INDEX('PW_MLG GRADE 10'!#REF!,MATCH(LEFT($A118,LEN($A118)-2),'PW_MLG GRADE 10'!$B$7:$B$31,0))="P")+
 --(INDEX('PW_MLG GRADE 10'!#REF!,MATCH(LEFT($A118,LEN($A118)-2),'PW_MLG GRADE 10'!$B$7:$B$31,0))="P")+
 --(INDEX('PW_MLG GRADE 10'!#REF!,MATCH(LEFT($A118,LEN($A118)-2),'PW_MLG GRADE 10'!$B$7:$B$31,0))="P")+
 --(INDEX('PW_MLG GRADE 10'!#REF!,MATCH(LEFT($A118,LEN($A118)-2),'PW_MLG GRADE 10'!$B$7:$B$31,0))="P")+
 --(INDEX('PW_MLG GRADE 10'!#REF!,MATCH(LEFT($A118,LEN($A118)-2),'PW_MLG GRADE 10'!$B$7:$B$31,0))="P"),
0)</f>
        <v>0</v>
      </c>
      <c r="I118" t="e">
        <f ca="1">IF(IF(_xlfn.XLOOKUP(LEFT(F118,LEN(F118)-2),'PW_MLG GRADE 10'!$B$7:$B$31,'PW_MLG GRADE 10'!#REF!,"",0,1)=0,"",_xlfn.XLOOKUP(LEFT(F118,LEN(F118)-2),'PW_MLG GRADE 10'!$B$7:$B$31,'PW_MLG GRADE 10'!#REF!,"",0,1))&lt;=TODAY(),TRUE,FALSE)</f>
        <v>#REF!</v>
      </c>
      <c r="J118">
        <f t="shared" ca="1" si="3"/>
        <v>0</v>
      </c>
    </row>
    <row r="119" spans="1:10">
      <c r="A119" s="24" t="s">
        <v>434</v>
      </c>
      <c r="B119">
        <v>3</v>
      </c>
      <c r="C119">
        <f>IFERROR(
 --(INDEX('TH_MLG GRADE 10'!$D$7:$D$49,MATCH(LEFT($A119,LEN($A119)-2),'TH_MLG GRADE 10'!$B$7:$B$49,0))="P")+
 --(INDEX('TH_MLG GRADE 10'!$J$7:$J$49,MATCH(LEFT($A119,LEN($A119)-2),'TH_MLG GRADE 10'!$B$7:$B$49,0))="P")+
 --(INDEX('TH_MLG GRADE 10'!$P$7:$P$49,MATCH(LEFT($A119,LEN($A119)-2),'TH_MLG GRADE 10'!$B$7:$B$49,0))="P")+
 --(INDEX('TH_MLG GRADE 10'!$AB$7:$AB$49,MATCH(LEFT($A119,LEN($A119)-2),'TH_MLG GRADE 10'!$B$7:$B$49,0))="P")+
 --(INDEX('TH_MLG GRADE 10'!$AH$7:$AH$49,MATCH(LEFT($A119,LEN($A119)-2),'TH_MLG GRADE 10'!$B$7:$B$49,0))="P")+
 --(INDEX('TH_MLG GRADE 10'!$AN$7:$AN$49,MATCH(LEFT($A119,LEN($A119)-2),'TH_MLG GRADE 10'!$B$7:$B$49,0))="P")+
 --(INDEX('TH_MLG GRADE 10'!$AZ$7:$AZ$49,MATCH(LEFT($A119,LEN($A119)-2),'TH_MLG GRADE 10'!$B$7:$B$49,0))="P")+
 --(INDEX('TH_MLG GRADE 10'!$BF$7:$BF$49,MATCH(LEFT($A119,LEN($A119)-2),'TH_MLG GRADE 10'!$B$7:$B$49,0))="P")+
 --(INDEX('TH_MLG GRADE 10'!#REF!,MATCH(LEFT($A119,LEN($A119)-2),'TH_MLG GRADE 10'!$B$7:$B$49,0))="P")+
 --(INDEX('TH_MLG GRADE 10'!#REF!,MATCH(LEFT($A119,LEN($A119)-2),'TH_MLG GRADE 10'!$B$7:$B$49,0))="P"),
0)</f>
        <v>0</v>
      </c>
      <c r="D119" s="24" t="b">
        <f ca="1">IF(IF(_xlfn.XLOOKUP(LEFT(A119,LEN(A119)-2),'TH_MLG GRADE 10'!$B$7:$B$49,'TH_MLG GRADE 10'!$BM$7:$BM$49,"",0,1)=0,"",_xlfn.XLOOKUP(LEFT(A119,LEN(A119)-2),'TH_MLG GRADE 10'!$B$7:$B$49,'TH_MLG GRADE 10'!$BM$7:$BM$49,"",0,1))&lt;=TODAY(),TRUE,FALSE)</f>
        <v>0</v>
      </c>
      <c r="E119" s="25" t="str">
        <f t="shared" ca="1" si="2"/>
        <v/>
      </c>
      <c r="F119" t="s">
        <v>434</v>
      </c>
      <c r="G119">
        <v>3</v>
      </c>
      <c r="H119">
        <f>IFERROR(
 --(INDEX('PW_MLG GRADE 10'!#REF!,MATCH(LEFT($A119,LEN($A119)-2),'PW_MLG GRADE 10'!$B$7:$B$31,0))="P")+
 --(INDEX('PW_MLG GRADE 10'!#REF!,MATCH(LEFT($A119,LEN($A119)-2),'PW_MLG GRADE 10'!$B$7:$B$31,0))="P")+
 --(INDEX('PW_MLG GRADE 10'!#REF!,MATCH(LEFT($A119,LEN($A119)-2),'PW_MLG GRADE 10'!$B$7:$B$31,0))="P")+
 --(INDEX('PW_MLG GRADE 10'!#REF!,MATCH(LEFT($A119,LEN($A119)-2),'PW_MLG GRADE 10'!$B$7:$B$31,0))="P")+
 --(INDEX('PW_MLG GRADE 10'!#REF!,MATCH(LEFT($A119,LEN($A119)-2),'PW_MLG GRADE 10'!$B$7:$B$31,0))="P")+
 --(INDEX('PW_MLG GRADE 10'!#REF!,MATCH(LEFT($A119,LEN($A119)-2),'PW_MLG GRADE 10'!$B$7:$B$31,0))="P")+
 --(INDEX('PW_MLG GRADE 10'!#REF!,MATCH(LEFT($A119,LEN($A119)-2),'PW_MLG GRADE 10'!$B$7:$B$31,0))="P")+
 --(INDEX('PW_MLG GRADE 10'!#REF!,MATCH(LEFT($A119,LEN($A119)-2),'PW_MLG GRADE 10'!$B$7:$B$31,0))="P")+
 --(INDEX('PW_MLG GRADE 10'!#REF!,MATCH(LEFT($A119,LEN($A119)-2),'PW_MLG GRADE 10'!$B$7:$B$31,0))="P")+
 --(INDEX('PW_MLG GRADE 10'!#REF!,MATCH(LEFT($A119,LEN($A119)-2),'PW_MLG GRADE 10'!$B$7:$B$31,0))="P"),
0)</f>
        <v>0</v>
      </c>
      <c r="I119" t="e">
        <f ca="1">IF(IF(_xlfn.XLOOKUP(LEFT(F119,LEN(F119)-2),'PW_MLG GRADE 10'!$B$7:$B$31,'PW_MLG GRADE 10'!#REF!,"",0,1)=0,"",_xlfn.XLOOKUP(LEFT(F119,LEN(F119)-2),'PW_MLG GRADE 10'!$B$7:$B$31,'PW_MLG GRADE 10'!#REF!,"",0,1))&lt;=TODAY(),TRUE,FALSE)</f>
        <v>#REF!</v>
      </c>
      <c r="J119">
        <f t="shared" ca="1" si="3"/>
        <v>0</v>
      </c>
    </row>
    <row r="120" spans="1:10">
      <c r="A120" s="24" t="s">
        <v>435</v>
      </c>
      <c r="B120">
        <v>3</v>
      </c>
      <c r="C120">
        <f>IFERROR(
 --(INDEX('TH_MLG GRADE 10'!$D$7:$D$49,MATCH(LEFT($A120,LEN($A120)-2),'TH_MLG GRADE 10'!$B$7:$B$49,0))="P")+
 --(INDEX('TH_MLG GRADE 10'!$J$7:$J$49,MATCH(LEFT($A120,LEN($A120)-2),'TH_MLG GRADE 10'!$B$7:$B$49,0))="P")+
 --(INDEX('TH_MLG GRADE 10'!$P$7:$P$49,MATCH(LEFT($A120,LEN($A120)-2),'TH_MLG GRADE 10'!$B$7:$B$49,0))="P")+
 --(INDEX('TH_MLG GRADE 10'!$AB$7:$AB$49,MATCH(LEFT($A120,LEN($A120)-2),'TH_MLG GRADE 10'!$B$7:$B$49,0))="P")+
 --(INDEX('TH_MLG GRADE 10'!$AH$7:$AH$49,MATCH(LEFT($A120,LEN($A120)-2),'TH_MLG GRADE 10'!$B$7:$B$49,0))="P")+
 --(INDEX('TH_MLG GRADE 10'!$AN$7:$AN$49,MATCH(LEFT($A120,LEN($A120)-2),'TH_MLG GRADE 10'!$B$7:$B$49,0))="P")+
 --(INDEX('TH_MLG GRADE 10'!$AZ$7:$AZ$49,MATCH(LEFT($A120,LEN($A120)-2),'TH_MLG GRADE 10'!$B$7:$B$49,0))="P")+
 --(INDEX('TH_MLG GRADE 10'!$BF$7:$BF$49,MATCH(LEFT($A120,LEN($A120)-2),'TH_MLG GRADE 10'!$B$7:$B$49,0))="P")+
 --(INDEX('TH_MLG GRADE 10'!#REF!,MATCH(LEFT($A120,LEN($A120)-2),'TH_MLG GRADE 10'!$B$7:$B$49,0))="P")+
 --(INDEX('TH_MLG GRADE 10'!#REF!,MATCH(LEFT($A120,LEN($A120)-2),'TH_MLG GRADE 10'!$B$7:$B$49,0))="P"),
0)</f>
        <v>0</v>
      </c>
      <c r="D120" s="24" t="b">
        <f ca="1">IF(IF(_xlfn.XLOOKUP(LEFT(A120,LEN(A120)-2),'TH_MLG GRADE 10'!$B$7:$B$49,'TH_MLG GRADE 10'!$BM$7:$BM$49,"",0,1)=0,"",_xlfn.XLOOKUP(LEFT(A120,LEN(A120)-2),'TH_MLG GRADE 10'!$B$7:$B$49,'TH_MLG GRADE 10'!$BM$7:$BM$49,"",0,1))&lt;=TODAY(),TRUE,FALSE)</f>
        <v>0</v>
      </c>
      <c r="E120" s="25" t="str">
        <f t="shared" ca="1" si="2"/>
        <v/>
      </c>
      <c r="F120" t="s">
        <v>435</v>
      </c>
      <c r="G120">
        <v>3</v>
      </c>
      <c r="H120">
        <f>IFERROR(
 --(INDEX('PW_MLG GRADE 10'!#REF!,MATCH(LEFT($A120,LEN($A120)-2),'PW_MLG GRADE 10'!$B$7:$B$31,0))="P")+
 --(INDEX('PW_MLG GRADE 10'!#REF!,MATCH(LEFT($A120,LEN($A120)-2),'PW_MLG GRADE 10'!$B$7:$B$31,0))="P")+
 --(INDEX('PW_MLG GRADE 10'!#REF!,MATCH(LEFT($A120,LEN($A120)-2),'PW_MLG GRADE 10'!$B$7:$B$31,0))="P")+
 --(INDEX('PW_MLG GRADE 10'!#REF!,MATCH(LEFT($A120,LEN($A120)-2),'PW_MLG GRADE 10'!$B$7:$B$31,0))="P")+
 --(INDEX('PW_MLG GRADE 10'!#REF!,MATCH(LEFT($A120,LEN($A120)-2),'PW_MLG GRADE 10'!$B$7:$B$31,0))="P")+
 --(INDEX('PW_MLG GRADE 10'!#REF!,MATCH(LEFT($A120,LEN($A120)-2),'PW_MLG GRADE 10'!$B$7:$B$31,0))="P")+
 --(INDEX('PW_MLG GRADE 10'!#REF!,MATCH(LEFT($A120,LEN($A120)-2),'PW_MLG GRADE 10'!$B$7:$B$31,0))="P")+
 --(INDEX('PW_MLG GRADE 10'!#REF!,MATCH(LEFT($A120,LEN($A120)-2),'PW_MLG GRADE 10'!$B$7:$B$31,0))="P")+
 --(INDEX('PW_MLG GRADE 10'!#REF!,MATCH(LEFT($A120,LEN($A120)-2),'PW_MLG GRADE 10'!$B$7:$B$31,0))="P")+
 --(INDEX('PW_MLG GRADE 10'!#REF!,MATCH(LEFT($A120,LEN($A120)-2),'PW_MLG GRADE 10'!$B$7:$B$31,0))="P"),
0)</f>
        <v>0</v>
      </c>
      <c r="I120" t="e">
        <f ca="1">IF(IF(_xlfn.XLOOKUP(LEFT(F120,LEN(F120)-2),'PW_MLG GRADE 10'!$B$7:$B$31,'PW_MLG GRADE 10'!#REF!,"",0,1)=0,"",_xlfn.XLOOKUP(LEFT(F120,LEN(F120)-2),'PW_MLG GRADE 10'!$B$7:$B$31,'PW_MLG GRADE 10'!#REF!,"",0,1))&lt;=TODAY(),TRUE,FALSE)</f>
        <v>#REF!</v>
      </c>
      <c r="J120">
        <f t="shared" ca="1" si="3"/>
        <v>0</v>
      </c>
    </row>
    <row r="121" spans="1:10">
      <c r="A121" s="24" t="s">
        <v>436</v>
      </c>
      <c r="B121">
        <v>3</v>
      </c>
      <c r="C121">
        <f>IFERROR(
 --(INDEX('TH_MLG GRADE 10'!$D$7:$D$49,MATCH(LEFT($A121,LEN($A121)-2),'TH_MLG GRADE 10'!$B$7:$B$49,0))="P")+
 --(INDEX('TH_MLG GRADE 10'!$J$7:$J$49,MATCH(LEFT($A121,LEN($A121)-2),'TH_MLG GRADE 10'!$B$7:$B$49,0))="P")+
 --(INDEX('TH_MLG GRADE 10'!$P$7:$P$49,MATCH(LEFT($A121,LEN($A121)-2),'TH_MLG GRADE 10'!$B$7:$B$49,0))="P")+
 --(INDEX('TH_MLG GRADE 10'!$AB$7:$AB$49,MATCH(LEFT($A121,LEN($A121)-2),'TH_MLG GRADE 10'!$B$7:$B$49,0))="P")+
 --(INDEX('TH_MLG GRADE 10'!$AH$7:$AH$49,MATCH(LEFT($A121,LEN($A121)-2),'TH_MLG GRADE 10'!$B$7:$B$49,0))="P")+
 --(INDEX('TH_MLG GRADE 10'!$AN$7:$AN$49,MATCH(LEFT($A121,LEN($A121)-2),'TH_MLG GRADE 10'!$B$7:$B$49,0))="P")+
 --(INDEX('TH_MLG GRADE 10'!$AZ$7:$AZ$49,MATCH(LEFT($A121,LEN($A121)-2),'TH_MLG GRADE 10'!$B$7:$B$49,0))="P")+
 --(INDEX('TH_MLG GRADE 10'!$BF$7:$BF$49,MATCH(LEFT($A121,LEN($A121)-2),'TH_MLG GRADE 10'!$B$7:$B$49,0))="P")+
 --(INDEX('TH_MLG GRADE 10'!#REF!,MATCH(LEFT($A121,LEN($A121)-2),'TH_MLG GRADE 10'!$B$7:$B$49,0))="P")+
 --(INDEX('TH_MLG GRADE 10'!#REF!,MATCH(LEFT($A121,LEN($A121)-2),'TH_MLG GRADE 10'!$B$7:$B$49,0))="P"),
0)</f>
        <v>0</v>
      </c>
      <c r="D121" s="24" t="b">
        <f ca="1">IF(IF(_xlfn.XLOOKUP(LEFT(A121,LEN(A121)-2),'TH_MLG GRADE 10'!$B$7:$B$49,'TH_MLG GRADE 10'!$BM$7:$BM$49,"",0,1)=0,"",_xlfn.XLOOKUP(LEFT(A121,LEN(A121)-2),'TH_MLG GRADE 10'!$B$7:$B$49,'TH_MLG GRADE 10'!$BM$7:$BM$49,"",0,1))&lt;=TODAY(),TRUE,FALSE)</f>
        <v>0</v>
      </c>
      <c r="E121" s="25" t="str">
        <f t="shared" ca="1" si="2"/>
        <v/>
      </c>
      <c r="F121" t="s">
        <v>436</v>
      </c>
      <c r="G121">
        <v>3</v>
      </c>
      <c r="H121">
        <f>IFERROR(
 --(INDEX('PW_MLG GRADE 10'!#REF!,MATCH(LEFT($A121,LEN($A121)-2),'PW_MLG GRADE 10'!$B$7:$B$31,0))="P")+
 --(INDEX('PW_MLG GRADE 10'!#REF!,MATCH(LEFT($A121,LEN($A121)-2),'PW_MLG GRADE 10'!$B$7:$B$31,0))="P")+
 --(INDEX('PW_MLG GRADE 10'!#REF!,MATCH(LEFT($A121,LEN($A121)-2),'PW_MLG GRADE 10'!$B$7:$B$31,0))="P")+
 --(INDEX('PW_MLG GRADE 10'!#REF!,MATCH(LEFT($A121,LEN($A121)-2),'PW_MLG GRADE 10'!$B$7:$B$31,0))="P")+
 --(INDEX('PW_MLG GRADE 10'!#REF!,MATCH(LEFT($A121,LEN($A121)-2),'PW_MLG GRADE 10'!$B$7:$B$31,0))="P")+
 --(INDEX('PW_MLG GRADE 10'!#REF!,MATCH(LEFT($A121,LEN($A121)-2),'PW_MLG GRADE 10'!$B$7:$B$31,0))="P")+
 --(INDEX('PW_MLG GRADE 10'!#REF!,MATCH(LEFT($A121,LEN($A121)-2),'PW_MLG GRADE 10'!$B$7:$B$31,0))="P")+
 --(INDEX('PW_MLG GRADE 10'!#REF!,MATCH(LEFT($A121,LEN($A121)-2),'PW_MLG GRADE 10'!$B$7:$B$31,0))="P")+
 --(INDEX('PW_MLG GRADE 10'!#REF!,MATCH(LEFT($A121,LEN($A121)-2),'PW_MLG GRADE 10'!$B$7:$B$31,0))="P")+
 --(INDEX('PW_MLG GRADE 10'!#REF!,MATCH(LEFT($A121,LEN($A121)-2),'PW_MLG GRADE 10'!$B$7:$B$31,0))="P"),
0)</f>
        <v>0</v>
      </c>
      <c r="I121" t="e">
        <f ca="1">IF(IF(_xlfn.XLOOKUP(LEFT(F121,LEN(F121)-2),'PW_MLG GRADE 10'!$B$7:$B$31,'PW_MLG GRADE 10'!#REF!,"",0,1)=0,"",_xlfn.XLOOKUP(LEFT(F121,LEN(F121)-2),'PW_MLG GRADE 10'!$B$7:$B$31,'PW_MLG GRADE 10'!#REF!,"",0,1))&lt;=TODAY(),TRUE,FALSE)</f>
        <v>#REF!</v>
      </c>
      <c r="J121">
        <f t="shared" ca="1" si="3"/>
        <v>0</v>
      </c>
    </row>
    <row r="122" spans="1:10">
      <c r="A122" s="24" t="s">
        <v>437</v>
      </c>
      <c r="B122">
        <v>3</v>
      </c>
      <c r="C122">
        <f>IFERROR(
 --(INDEX('TH_MLG GRADE 10'!$D$7:$D$49,MATCH(LEFT($A122,LEN($A122)-2),'TH_MLG GRADE 10'!$B$7:$B$49,0))="P")+
 --(INDEX('TH_MLG GRADE 10'!$J$7:$J$49,MATCH(LEFT($A122,LEN($A122)-2),'TH_MLG GRADE 10'!$B$7:$B$49,0))="P")+
 --(INDEX('TH_MLG GRADE 10'!$P$7:$P$49,MATCH(LEFT($A122,LEN($A122)-2),'TH_MLG GRADE 10'!$B$7:$B$49,0))="P")+
 --(INDEX('TH_MLG GRADE 10'!$AB$7:$AB$49,MATCH(LEFT($A122,LEN($A122)-2),'TH_MLG GRADE 10'!$B$7:$B$49,0))="P")+
 --(INDEX('TH_MLG GRADE 10'!$AH$7:$AH$49,MATCH(LEFT($A122,LEN($A122)-2),'TH_MLG GRADE 10'!$B$7:$B$49,0))="P")+
 --(INDEX('TH_MLG GRADE 10'!$AN$7:$AN$49,MATCH(LEFT($A122,LEN($A122)-2),'TH_MLG GRADE 10'!$B$7:$B$49,0))="P")+
 --(INDEX('TH_MLG GRADE 10'!$AZ$7:$AZ$49,MATCH(LEFT($A122,LEN($A122)-2),'TH_MLG GRADE 10'!$B$7:$B$49,0))="P")+
 --(INDEX('TH_MLG GRADE 10'!$BF$7:$BF$49,MATCH(LEFT($A122,LEN($A122)-2),'TH_MLG GRADE 10'!$B$7:$B$49,0))="P")+
 --(INDEX('TH_MLG GRADE 10'!#REF!,MATCH(LEFT($A122,LEN($A122)-2),'TH_MLG GRADE 10'!$B$7:$B$49,0))="P")+
 --(INDEX('TH_MLG GRADE 10'!#REF!,MATCH(LEFT($A122,LEN($A122)-2),'TH_MLG GRADE 10'!$B$7:$B$49,0))="P"),
0)</f>
        <v>0</v>
      </c>
      <c r="D122" s="24" t="b">
        <f ca="1">IF(IF(_xlfn.XLOOKUP(LEFT(A122,LEN(A122)-2),'TH_MLG GRADE 10'!$B$7:$B$49,'TH_MLG GRADE 10'!$BM$7:$BM$49,"",0,1)=0,"",_xlfn.XLOOKUP(LEFT(A122,LEN(A122)-2),'TH_MLG GRADE 10'!$B$7:$B$49,'TH_MLG GRADE 10'!$BM$7:$BM$49,"",0,1))&lt;=TODAY(),TRUE,FALSE)</f>
        <v>0</v>
      </c>
      <c r="E122" s="25" t="str">
        <f t="shared" ca="1" si="2"/>
        <v/>
      </c>
      <c r="F122" t="s">
        <v>437</v>
      </c>
      <c r="G122">
        <v>3</v>
      </c>
      <c r="H122">
        <f>IFERROR(
 --(INDEX('PW_MLG GRADE 10'!#REF!,MATCH(LEFT($A122,LEN($A122)-2),'PW_MLG GRADE 10'!$B$7:$B$31,0))="P")+
 --(INDEX('PW_MLG GRADE 10'!#REF!,MATCH(LEFT($A122,LEN($A122)-2),'PW_MLG GRADE 10'!$B$7:$B$31,0))="P")+
 --(INDEX('PW_MLG GRADE 10'!#REF!,MATCH(LEFT($A122,LEN($A122)-2),'PW_MLG GRADE 10'!$B$7:$B$31,0))="P")+
 --(INDEX('PW_MLG GRADE 10'!#REF!,MATCH(LEFT($A122,LEN($A122)-2),'PW_MLG GRADE 10'!$B$7:$B$31,0))="P")+
 --(INDEX('PW_MLG GRADE 10'!#REF!,MATCH(LEFT($A122,LEN($A122)-2),'PW_MLG GRADE 10'!$B$7:$B$31,0))="P")+
 --(INDEX('PW_MLG GRADE 10'!#REF!,MATCH(LEFT($A122,LEN($A122)-2),'PW_MLG GRADE 10'!$B$7:$B$31,0))="P")+
 --(INDEX('PW_MLG GRADE 10'!#REF!,MATCH(LEFT($A122,LEN($A122)-2),'PW_MLG GRADE 10'!$B$7:$B$31,0))="P")+
 --(INDEX('PW_MLG GRADE 10'!#REF!,MATCH(LEFT($A122,LEN($A122)-2),'PW_MLG GRADE 10'!$B$7:$B$31,0))="P")+
 --(INDEX('PW_MLG GRADE 10'!#REF!,MATCH(LEFT($A122,LEN($A122)-2),'PW_MLG GRADE 10'!$B$7:$B$31,0))="P")+
 --(INDEX('PW_MLG GRADE 10'!#REF!,MATCH(LEFT($A122,LEN($A122)-2),'PW_MLG GRADE 10'!$B$7:$B$31,0))="P"),
0)</f>
        <v>0</v>
      </c>
      <c r="I122" t="e">
        <f ca="1">IF(IF(_xlfn.XLOOKUP(LEFT(F122,LEN(F122)-2),'PW_MLG GRADE 10'!$B$7:$B$31,'PW_MLG GRADE 10'!#REF!,"",0,1)=0,"",_xlfn.XLOOKUP(LEFT(F122,LEN(F122)-2),'PW_MLG GRADE 10'!$B$7:$B$31,'PW_MLG GRADE 10'!#REF!,"",0,1))&lt;=TODAY(),TRUE,FALSE)</f>
        <v>#REF!</v>
      </c>
      <c r="J122">
        <f t="shared" ca="1" si="3"/>
        <v>0</v>
      </c>
    </row>
    <row r="123" spans="1:10">
      <c r="A123" s="24" t="s">
        <v>438</v>
      </c>
      <c r="B123">
        <v>3</v>
      </c>
      <c r="C123">
        <f>IFERROR(
 --(INDEX('TH_MLG GRADE 10'!$D$7:$D$49,MATCH(LEFT($A123,LEN($A123)-2),'TH_MLG GRADE 10'!$B$7:$B$49,0))="P")+
 --(INDEX('TH_MLG GRADE 10'!$J$7:$J$49,MATCH(LEFT($A123,LEN($A123)-2),'TH_MLG GRADE 10'!$B$7:$B$49,0))="P")+
 --(INDEX('TH_MLG GRADE 10'!$P$7:$P$49,MATCH(LEFT($A123,LEN($A123)-2),'TH_MLG GRADE 10'!$B$7:$B$49,0))="P")+
 --(INDEX('TH_MLG GRADE 10'!$AB$7:$AB$49,MATCH(LEFT($A123,LEN($A123)-2),'TH_MLG GRADE 10'!$B$7:$B$49,0))="P")+
 --(INDEX('TH_MLG GRADE 10'!$AH$7:$AH$49,MATCH(LEFT($A123,LEN($A123)-2),'TH_MLG GRADE 10'!$B$7:$B$49,0))="P")+
 --(INDEX('TH_MLG GRADE 10'!$AN$7:$AN$49,MATCH(LEFT($A123,LEN($A123)-2),'TH_MLG GRADE 10'!$B$7:$B$49,0))="P")+
 --(INDEX('TH_MLG GRADE 10'!$AZ$7:$AZ$49,MATCH(LEFT($A123,LEN($A123)-2),'TH_MLG GRADE 10'!$B$7:$B$49,0))="P")+
 --(INDEX('TH_MLG GRADE 10'!$BF$7:$BF$49,MATCH(LEFT($A123,LEN($A123)-2),'TH_MLG GRADE 10'!$B$7:$B$49,0))="P")+
 --(INDEX('TH_MLG GRADE 10'!#REF!,MATCH(LEFT($A123,LEN($A123)-2),'TH_MLG GRADE 10'!$B$7:$B$49,0))="P")+
 --(INDEX('TH_MLG GRADE 10'!#REF!,MATCH(LEFT($A123,LEN($A123)-2),'TH_MLG GRADE 10'!$B$7:$B$49,0))="P"),
0)</f>
        <v>0</v>
      </c>
      <c r="D123" s="24" t="b">
        <f ca="1">IF(IF(_xlfn.XLOOKUP(LEFT(A123,LEN(A123)-2),'TH_MLG GRADE 10'!$B$7:$B$49,'TH_MLG GRADE 10'!$BM$7:$BM$49,"",0,1)=0,"",_xlfn.XLOOKUP(LEFT(A123,LEN(A123)-2),'TH_MLG GRADE 10'!$B$7:$B$49,'TH_MLG GRADE 10'!$BM$7:$BM$49,"",0,1))&lt;=TODAY(),TRUE,FALSE)</f>
        <v>0</v>
      </c>
      <c r="E123" s="25" t="str">
        <f t="shared" ca="1" si="2"/>
        <v/>
      </c>
      <c r="F123" t="s">
        <v>438</v>
      </c>
      <c r="G123">
        <v>3</v>
      </c>
      <c r="H123">
        <f>IFERROR(
 --(INDEX('PW_MLG GRADE 10'!#REF!,MATCH(LEFT($A123,LEN($A123)-2),'PW_MLG GRADE 10'!$B$7:$B$31,0))="P")+
 --(INDEX('PW_MLG GRADE 10'!#REF!,MATCH(LEFT($A123,LEN($A123)-2),'PW_MLG GRADE 10'!$B$7:$B$31,0))="P")+
 --(INDEX('PW_MLG GRADE 10'!#REF!,MATCH(LEFT($A123,LEN($A123)-2),'PW_MLG GRADE 10'!$B$7:$B$31,0))="P")+
 --(INDEX('PW_MLG GRADE 10'!#REF!,MATCH(LEFT($A123,LEN($A123)-2),'PW_MLG GRADE 10'!$B$7:$B$31,0))="P")+
 --(INDEX('PW_MLG GRADE 10'!#REF!,MATCH(LEFT($A123,LEN($A123)-2),'PW_MLG GRADE 10'!$B$7:$B$31,0))="P")+
 --(INDEX('PW_MLG GRADE 10'!#REF!,MATCH(LEFT($A123,LEN($A123)-2),'PW_MLG GRADE 10'!$B$7:$B$31,0))="P")+
 --(INDEX('PW_MLG GRADE 10'!#REF!,MATCH(LEFT($A123,LEN($A123)-2),'PW_MLG GRADE 10'!$B$7:$B$31,0))="P")+
 --(INDEX('PW_MLG GRADE 10'!#REF!,MATCH(LEFT($A123,LEN($A123)-2),'PW_MLG GRADE 10'!$B$7:$B$31,0))="P")+
 --(INDEX('PW_MLG GRADE 10'!#REF!,MATCH(LEFT($A123,LEN($A123)-2),'PW_MLG GRADE 10'!$B$7:$B$31,0))="P")+
 --(INDEX('PW_MLG GRADE 10'!#REF!,MATCH(LEFT($A123,LEN($A123)-2),'PW_MLG GRADE 10'!$B$7:$B$31,0))="P"),
0)</f>
        <v>0</v>
      </c>
      <c r="I123" t="e">
        <f ca="1">IF(IF(_xlfn.XLOOKUP(LEFT(F123,LEN(F123)-2),'PW_MLG GRADE 10'!$B$7:$B$31,'PW_MLG GRADE 10'!#REF!,"",0,1)=0,"",_xlfn.XLOOKUP(LEFT(F123,LEN(F123)-2),'PW_MLG GRADE 10'!$B$7:$B$31,'PW_MLG GRADE 10'!#REF!,"",0,1))&lt;=TODAY(),TRUE,FALSE)</f>
        <v>#REF!</v>
      </c>
      <c r="J123">
        <f t="shared" ca="1" si="3"/>
        <v>0</v>
      </c>
    </row>
    <row r="124" spans="1:10">
      <c r="A124" s="24" t="s">
        <v>439</v>
      </c>
      <c r="B124">
        <v>3</v>
      </c>
      <c r="C124">
        <f>IFERROR(
 --(INDEX('TH_MLG GRADE 10'!$D$7:$D$49,MATCH(LEFT($A124,LEN($A124)-2),'TH_MLG GRADE 10'!$B$7:$B$49,0))="P")+
 --(INDEX('TH_MLG GRADE 10'!$J$7:$J$49,MATCH(LEFT($A124,LEN($A124)-2),'TH_MLG GRADE 10'!$B$7:$B$49,0))="P")+
 --(INDEX('TH_MLG GRADE 10'!$P$7:$P$49,MATCH(LEFT($A124,LEN($A124)-2),'TH_MLG GRADE 10'!$B$7:$B$49,0))="P")+
 --(INDEX('TH_MLG GRADE 10'!$AB$7:$AB$49,MATCH(LEFT($A124,LEN($A124)-2),'TH_MLG GRADE 10'!$B$7:$B$49,0))="P")+
 --(INDEX('TH_MLG GRADE 10'!$AH$7:$AH$49,MATCH(LEFT($A124,LEN($A124)-2),'TH_MLG GRADE 10'!$B$7:$B$49,0))="P")+
 --(INDEX('TH_MLG GRADE 10'!$AN$7:$AN$49,MATCH(LEFT($A124,LEN($A124)-2),'TH_MLG GRADE 10'!$B$7:$B$49,0))="P")+
 --(INDEX('TH_MLG GRADE 10'!$AZ$7:$AZ$49,MATCH(LEFT($A124,LEN($A124)-2),'TH_MLG GRADE 10'!$B$7:$B$49,0))="P")+
 --(INDEX('TH_MLG GRADE 10'!$BF$7:$BF$49,MATCH(LEFT($A124,LEN($A124)-2),'TH_MLG GRADE 10'!$B$7:$B$49,0))="P")+
 --(INDEX('TH_MLG GRADE 10'!#REF!,MATCH(LEFT($A124,LEN($A124)-2),'TH_MLG GRADE 10'!$B$7:$B$49,0))="P")+
 --(INDEX('TH_MLG GRADE 10'!#REF!,MATCH(LEFT($A124,LEN($A124)-2),'TH_MLG GRADE 10'!$B$7:$B$49,0))="P"),
0)</f>
        <v>0</v>
      </c>
      <c r="D124" s="24" t="b">
        <f ca="1">IF(IF(_xlfn.XLOOKUP(LEFT(A124,LEN(A124)-2),'TH_MLG GRADE 10'!$B$7:$B$49,'TH_MLG GRADE 10'!$BM$7:$BM$49,"",0,1)=0,"",_xlfn.XLOOKUP(LEFT(A124,LEN(A124)-2),'TH_MLG GRADE 10'!$B$7:$B$49,'TH_MLG GRADE 10'!$BM$7:$BM$49,"",0,1))&lt;=TODAY(),TRUE,FALSE)</f>
        <v>0</v>
      </c>
      <c r="E124" s="25" t="str">
        <f t="shared" ca="1" si="2"/>
        <v/>
      </c>
      <c r="F124" t="s">
        <v>439</v>
      </c>
      <c r="G124">
        <v>3</v>
      </c>
      <c r="H124">
        <f>IFERROR(
 --(INDEX('PW_MLG GRADE 10'!#REF!,MATCH(LEFT($A124,LEN($A124)-2),'PW_MLG GRADE 10'!$B$7:$B$31,0))="P")+
 --(INDEX('PW_MLG GRADE 10'!#REF!,MATCH(LEFT($A124,LEN($A124)-2),'PW_MLG GRADE 10'!$B$7:$B$31,0))="P")+
 --(INDEX('PW_MLG GRADE 10'!#REF!,MATCH(LEFT($A124,LEN($A124)-2),'PW_MLG GRADE 10'!$B$7:$B$31,0))="P")+
 --(INDEX('PW_MLG GRADE 10'!#REF!,MATCH(LEFT($A124,LEN($A124)-2),'PW_MLG GRADE 10'!$B$7:$B$31,0))="P")+
 --(INDEX('PW_MLG GRADE 10'!#REF!,MATCH(LEFT($A124,LEN($A124)-2),'PW_MLG GRADE 10'!$B$7:$B$31,0))="P")+
 --(INDEX('PW_MLG GRADE 10'!#REF!,MATCH(LEFT($A124,LEN($A124)-2),'PW_MLG GRADE 10'!$B$7:$B$31,0))="P")+
 --(INDEX('PW_MLG GRADE 10'!#REF!,MATCH(LEFT($A124,LEN($A124)-2),'PW_MLG GRADE 10'!$B$7:$B$31,0))="P")+
 --(INDEX('PW_MLG GRADE 10'!#REF!,MATCH(LEFT($A124,LEN($A124)-2),'PW_MLG GRADE 10'!$B$7:$B$31,0))="P")+
 --(INDEX('PW_MLG GRADE 10'!#REF!,MATCH(LEFT($A124,LEN($A124)-2),'PW_MLG GRADE 10'!$B$7:$B$31,0))="P")+
 --(INDEX('PW_MLG GRADE 10'!#REF!,MATCH(LEFT($A124,LEN($A124)-2),'PW_MLG GRADE 10'!$B$7:$B$31,0))="P"),
0)</f>
        <v>0</v>
      </c>
      <c r="I124" t="e">
        <f ca="1">IF(IF(_xlfn.XLOOKUP(LEFT(F124,LEN(F124)-2),'PW_MLG GRADE 10'!$B$7:$B$31,'PW_MLG GRADE 10'!#REF!,"",0,1)=0,"",_xlfn.XLOOKUP(LEFT(F124,LEN(F124)-2),'PW_MLG GRADE 10'!$B$7:$B$31,'PW_MLG GRADE 10'!#REF!,"",0,1))&lt;=TODAY(),TRUE,FALSE)</f>
        <v>#REF!</v>
      </c>
      <c r="J124">
        <f t="shared" ca="1" si="3"/>
        <v>0</v>
      </c>
    </row>
    <row r="125" spans="1:10">
      <c r="A125" s="24" t="s">
        <v>440</v>
      </c>
      <c r="B125">
        <v>3</v>
      </c>
      <c r="C125">
        <f>IFERROR(
 --(INDEX('TH_MLG GRADE 10'!$D$7:$D$49,MATCH(LEFT($A125,LEN($A125)-2),'TH_MLG GRADE 10'!$B$7:$B$49,0))="P")+
 --(INDEX('TH_MLG GRADE 10'!$J$7:$J$49,MATCH(LEFT($A125,LEN($A125)-2),'TH_MLG GRADE 10'!$B$7:$B$49,0))="P")+
 --(INDEX('TH_MLG GRADE 10'!$P$7:$P$49,MATCH(LEFT($A125,LEN($A125)-2),'TH_MLG GRADE 10'!$B$7:$B$49,0))="P")+
 --(INDEX('TH_MLG GRADE 10'!$AB$7:$AB$49,MATCH(LEFT($A125,LEN($A125)-2),'TH_MLG GRADE 10'!$B$7:$B$49,0))="P")+
 --(INDEX('TH_MLG GRADE 10'!$AH$7:$AH$49,MATCH(LEFT($A125,LEN($A125)-2),'TH_MLG GRADE 10'!$B$7:$B$49,0))="P")+
 --(INDEX('TH_MLG GRADE 10'!$AN$7:$AN$49,MATCH(LEFT($A125,LEN($A125)-2),'TH_MLG GRADE 10'!$B$7:$B$49,0))="P")+
 --(INDEX('TH_MLG GRADE 10'!$AZ$7:$AZ$49,MATCH(LEFT($A125,LEN($A125)-2),'TH_MLG GRADE 10'!$B$7:$B$49,0))="P")+
 --(INDEX('TH_MLG GRADE 10'!$BF$7:$BF$49,MATCH(LEFT($A125,LEN($A125)-2),'TH_MLG GRADE 10'!$B$7:$B$49,0))="P")+
 --(INDEX('TH_MLG GRADE 10'!#REF!,MATCH(LEFT($A125,LEN($A125)-2),'TH_MLG GRADE 10'!$B$7:$B$49,0))="P")+
 --(INDEX('TH_MLG GRADE 10'!#REF!,MATCH(LEFT($A125,LEN($A125)-2),'TH_MLG GRADE 10'!$B$7:$B$49,0))="P"),
0)</f>
        <v>0</v>
      </c>
      <c r="D125" s="24" t="b">
        <f ca="1">IF(IF(_xlfn.XLOOKUP(LEFT(A125,LEN(A125)-2),'TH_MLG GRADE 10'!$B$7:$B$49,'TH_MLG GRADE 10'!$BM$7:$BM$49,"",0,1)=0,"",_xlfn.XLOOKUP(LEFT(A125,LEN(A125)-2),'TH_MLG GRADE 10'!$B$7:$B$49,'TH_MLG GRADE 10'!$BM$7:$BM$49,"",0,1))&lt;=TODAY(),TRUE,FALSE)</f>
        <v>0</v>
      </c>
      <c r="E125" s="25" t="str">
        <f t="shared" ca="1" si="2"/>
        <v/>
      </c>
      <c r="F125" t="s">
        <v>440</v>
      </c>
      <c r="G125">
        <v>3</v>
      </c>
      <c r="H125">
        <f>IFERROR(
 --(INDEX('PW_MLG GRADE 10'!#REF!,MATCH(LEFT($A125,LEN($A125)-2),'PW_MLG GRADE 10'!$B$7:$B$31,0))="P")+
 --(INDEX('PW_MLG GRADE 10'!#REF!,MATCH(LEFT($A125,LEN($A125)-2),'PW_MLG GRADE 10'!$B$7:$B$31,0))="P")+
 --(INDEX('PW_MLG GRADE 10'!#REF!,MATCH(LEFT($A125,LEN($A125)-2),'PW_MLG GRADE 10'!$B$7:$B$31,0))="P")+
 --(INDEX('PW_MLG GRADE 10'!#REF!,MATCH(LEFT($A125,LEN($A125)-2),'PW_MLG GRADE 10'!$B$7:$B$31,0))="P")+
 --(INDEX('PW_MLG GRADE 10'!#REF!,MATCH(LEFT($A125,LEN($A125)-2),'PW_MLG GRADE 10'!$B$7:$B$31,0))="P")+
 --(INDEX('PW_MLG GRADE 10'!#REF!,MATCH(LEFT($A125,LEN($A125)-2),'PW_MLG GRADE 10'!$B$7:$B$31,0))="P")+
 --(INDEX('PW_MLG GRADE 10'!#REF!,MATCH(LEFT($A125,LEN($A125)-2),'PW_MLG GRADE 10'!$B$7:$B$31,0))="P")+
 --(INDEX('PW_MLG GRADE 10'!#REF!,MATCH(LEFT($A125,LEN($A125)-2),'PW_MLG GRADE 10'!$B$7:$B$31,0))="P")+
 --(INDEX('PW_MLG GRADE 10'!#REF!,MATCH(LEFT($A125,LEN($A125)-2),'PW_MLG GRADE 10'!$B$7:$B$31,0))="P")+
 --(INDEX('PW_MLG GRADE 10'!#REF!,MATCH(LEFT($A125,LEN($A125)-2),'PW_MLG GRADE 10'!$B$7:$B$31,0))="P"),
0)</f>
        <v>0</v>
      </c>
      <c r="I125" t="e">
        <f ca="1">IF(IF(_xlfn.XLOOKUP(LEFT(F125,LEN(F125)-2),'PW_MLG GRADE 10'!$B$7:$B$31,'PW_MLG GRADE 10'!#REF!,"",0,1)=0,"",_xlfn.XLOOKUP(LEFT(F125,LEN(F125)-2),'PW_MLG GRADE 10'!$B$7:$B$31,'PW_MLG GRADE 10'!#REF!,"",0,1))&lt;=TODAY(),TRUE,FALSE)</f>
        <v>#REF!</v>
      </c>
      <c r="J125">
        <f t="shared" ca="1" si="3"/>
        <v>0</v>
      </c>
    </row>
    <row r="126" spans="1:10">
      <c r="A126" s="24" t="s">
        <v>441</v>
      </c>
      <c r="B126">
        <v>3</v>
      </c>
      <c r="C126">
        <f>IFERROR(
 --(INDEX('TH_MLG GRADE 10'!$D$7:$D$49,MATCH(LEFT($A126,LEN($A126)-2),'TH_MLG GRADE 10'!$B$7:$B$49,0))="P")+
 --(INDEX('TH_MLG GRADE 10'!$J$7:$J$49,MATCH(LEFT($A126,LEN($A126)-2),'TH_MLG GRADE 10'!$B$7:$B$49,0))="P")+
 --(INDEX('TH_MLG GRADE 10'!$P$7:$P$49,MATCH(LEFT($A126,LEN($A126)-2),'TH_MLG GRADE 10'!$B$7:$B$49,0))="P")+
 --(INDEX('TH_MLG GRADE 10'!$AB$7:$AB$49,MATCH(LEFT($A126,LEN($A126)-2),'TH_MLG GRADE 10'!$B$7:$B$49,0))="P")+
 --(INDEX('TH_MLG GRADE 10'!$AH$7:$AH$49,MATCH(LEFT($A126,LEN($A126)-2),'TH_MLG GRADE 10'!$B$7:$B$49,0))="P")+
 --(INDEX('TH_MLG GRADE 10'!$AN$7:$AN$49,MATCH(LEFT($A126,LEN($A126)-2),'TH_MLG GRADE 10'!$B$7:$B$49,0))="P")+
 --(INDEX('TH_MLG GRADE 10'!$AZ$7:$AZ$49,MATCH(LEFT($A126,LEN($A126)-2),'TH_MLG GRADE 10'!$B$7:$B$49,0))="P")+
 --(INDEX('TH_MLG GRADE 10'!$BF$7:$BF$49,MATCH(LEFT($A126,LEN($A126)-2),'TH_MLG GRADE 10'!$B$7:$B$49,0))="P")+
 --(INDEX('TH_MLG GRADE 10'!#REF!,MATCH(LEFT($A126,LEN($A126)-2),'TH_MLG GRADE 10'!$B$7:$B$49,0))="P")+
 --(INDEX('TH_MLG GRADE 10'!#REF!,MATCH(LEFT($A126,LEN($A126)-2),'TH_MLG GRADE 10'!$B$7:$B$49,0))="P"),
0)</f>
        <v>0</v>
      </c>
      <c r="D126" s="24" t="b">
        <f ca="1">IF(IF(_xlfn.XLOOKUP(LEFT(A126,LEN(A126)-2),'TH_MLG GRADE 10'!$B$7:$B$49,'TH_MLG GRADE 10'!$BM$7:$BM$49,"",0,1)=0,"",_xlfn.XLOOKUP(LEFT(A126,LEN(A126)-2),'TH_MLG GRADE 10'!$B$7:$B$49,'TH_MLG GRADE 10'!$BM$7:$BM$49,"",0,1))&lt;=TODAY(),TRUE,FALSE)</f>
        <v>0</v>
      </c>
      <c r="E126" s="25" t="str">
        <f t="shared" ca="1" si="2"/>
        <v/>
      </c>
      <c r="F126" t="s">
        <v>441</v>
      </c>
      <c r="G126">
        <v>3</v>
      </c>
      <c r="H126">
        <f>IFERROR(
 --(INDEX('PW_MLG GRADE 10'!#REF!,MATCH(LEFT($A126,LEN($A126)-2),'PW_MLG GRADE 10'!$B$7:$B$31,0))="P")+
 --(INDEX('PW_MLG GRADE 10'!#REF!,MATCH(LEFT($A126,LEN($A126)-2),'PW_MLG GRADE 10'!$B$7:$B$31,0))="P")+
 --(INDEX('PW_MLG GRADE 10'!#REF!,MATCH(LEFT($A126,LEN($A126)-2),'PW_MLG GRADE 10'!$B$7:$B$31,0))="P")+
 --(INDEX('PW_MLG GRADE 10'!#REF!,MATCH(LEFT($A126,LEN($A126)-2),'PW_MLG GRADE 10'!$B$7:$B$31,0))="P")+
 --(INDEX('PW_MLG GRADE 10'!#REF!,MATCH(LEFT($A126,LEN($A126)-2),'PW_MLG GRADE 10'!$B$7:$B$31,0))="P")+
 --(INDEX('PW_MLG GRADE 10'!#REF!,MATCH(LEFT($A126,LEN($A126)-2),'PW_MLG GRADE 10'!$B$7:$B$31,0))="P")+
 --(INDEX('PW_MLG GRADE 10'!#REF!,MATCH(LEFT($A126,LEN($A126)-2),'PW_MLG GRADE 10'!$B$7:$B$31,0))="P")+
 --(INDEX('PW_MLG GRADE 10'!#REF!,MATCH(LEFT($A126,LEN($A126)-2),'PW_MLG GRADE 10'!$B$7:$B$31,0))="P")+
 --(INDEX('PW_MLG GRADE 10'!#REF!,MATCH(LEFT($A126,LEN($A126)-2),'PW_MLG GRADE 10'!$B$7:$B$31,0))="P")+
 --(INDEX('PW_MLG GRADE 10'!#REF!,MATCH(LEFT($A126,LEN($A126)-2),'PW_MLG GRADE 10'!$B$7:$B$31,0))="P"),
0)</f>
        <v>0</v>
      </c>
      <c r="I126" t="e">
        <f ca="1">IF(IF(_xlfn.XLOOKUP(LEFT(F126,LEN(F126)-2),'PW_MLG GRADE 10'!$B$7:$B$31,'PW_MLG GRADE 10'!#REF!,"",0,1)=0,"",_xlfn.XLOOKUP(LEFT(F126,LEN(F126)-2),'PW_MLG GRADE 10'!$B$7:$B$31,'PW_MLG GRADE 10'!#REF!,"",0,1))&lt;=TODAY(),TRUE,FALSE)</f>
        <v>#REF!</v>
      </c>
      <c r="J126">
        <f t="shared" ca="1" si="3"/>
        <v>0</v>
      </c>
    </row>
    <row r="127" spans="1:10">
      <c r="A127" s="24" t="s">
        <v>442</v>
      </c>
      <c r="B127">
        <v>3</v>
      </c>
      <c r="C127">
        <f>IFERROR(
 --(INDEX('TH_MLG GRADE 10'!$D$7:$D$49,MATCH(LEFT($A127,LEN($A127)-2),'TH_MLG GRADE 10'!$B$7:$B$49,0))="P")+
 --(INDEX('TH_MLG GRADE 10'!$J$7:$J$49,MATCH(LEFT($A127,LEN($A127)-2),'TH_MLG GRADE 10'!$B$7:$B$49,0))="P")+
 --(INDEX('TH_MLG GRADE 10'!$P$7:$P$49,MATCH(LEFT($A127,LEN($A127)-2),'TH_MLG GRADE 10'!$B$7:$B$49,0))="P")+
 --(INDEX('TH_MLG GRADE 10'!$AB$7:$AB$49,MATCH(LEFT($A127,LEN($A127)-2),'TH_MLG GRADE 10'!$B$7:$B$49,0))="P")+
 --(INDEX('TH_MLG GRADE 10'!$AH$7:$AH$49,MATCH(LEFT($A127,LEN($A127)-2),'TH_MLG GRADE 10'!$B$7:$B$49,0))="P")+
 --(INDEX('TH_MLG GRADE 10'!$AN$7:$AN$49,MATCH(LEFT($A127,LEN($A127)-2),'TH_MLG GRADE 10'!$B$7:$B$49,0))="P")+
 --(INDEX('TH_MLG GRADE 10'!$AZ$7:$AZ$49,MATCH(LEFT($A127,LEN($A127)-2),'TH_MLG GRADE 10'!$B$7:$B$49,0))="P")+
 --(INDEX('TH_MLG GRADE 10'!$BF$7:$BF$49,MATCH(LEFT($A127,LEN($A127)-2),'TH_MLG GRADE 10'!$B$7:$B$49,0))="P")+
 --(INDEX('TH_MLG GRADE 10'!#REF!,MATCH(LEFT($A127,LEN($A127)-2),'TH_MLG GRADE 10'!$B$7:$B$49,0))="P")+
 --(INDEX('TH_MLG GRADE 10'!#REF!,MATCH(LEFT($A127,LEN($A127)-2),'TH_MLG GRADE 10'!$B$7:$B$49,0))="P"),
0)</f>
        <v>0</v>
      </c>
      <c r="D127" s="24" t="b">
        <f ca="1">IF(IF(_xlfn.XLOOKUP(LEFT(A127,LEN(A127)-2),'TH_MLG GRADE 10'!$B$7:$B$49,'TH_MLG GRADE 10'!$BM$7:$BM$49,"",0,1)=0,"",_xlfn.XLOOKUP(LEFT(A127,LEN(A127)-2),'TH_MLG GRADE 10'!$B$7:$B$49,'TH_MLG GRADE 10'!$BM$7:$BM$49,"",0,1))&lt;=TODAY(),TRUE,FALSE)</f>
        <v>0</v>
      </c>
      <c r="E127" s="25" t="str">
        <f t="shared" ca="1" si="2"/>
        <v/>
      </c>
      <c r="F127" t="s">
        <v>442</v>
      </c>
      <c r="G127">
        <v>3</v>
      </c>
      <c r="H127">
        <f>IFERROR(
 --(INDEX('PW_MLG GRADE 10'!#REF!,MATCH(LEFT($A127,LEN($A127)-2),'PW_MLG GRADE 10'!$B$7:$B$31,0))="P")+
 --(INDEX('PW_MLG GRADE 10'!#REF!,MATCH(LEFT($A127,LEN($A127)-2),'PW_MLG GRADE 10'!$B$7:$B$31,0))="P")+
 --(INDEX('PW_MLG GRADE 10'!#REF!,MATCH(LEFT($A127,LEN($A127)-2),'PW_MLG GRADE 10'!$B$7:$B$31,0))="P")+
 --(INDEX('PW_MLG GRADE 10'!#REF!,MATCH(LEFT($A127,LEN($A127)-2),'PW_MLG GRADE 10'!$B$7:$B$31,0))="P")+
 --(INDEX('PW_MLG GRADE 10'!#REF!,MATCH(LEFT($A127,LEN($A127)-2),'PW_MLG GRADE 10'!$B$7:$B$31,0))="P")+
 --(INDEX('PW_MLG GRADE 10'!#REF!,MATCH(LEFT($A127,LEN($A127)-2),'PW_MLG GRADE 10'!$B$7:$B$31,0))="P")+
 --(INDEX('PW_MLG GRADE 10'!#REF!,MATCH(LEFT($A127,LEN($A127)-2),'PW_MLG GRADE 10'!$B$7:$B$31,0))="P")+
 --(INDEX('PW_MLG GRADE 10'!#REF!,MATCH(LEFT($A127,LEN($A127)-2),'PW_MLG GRADE 10'!$B$7:$B$31,0))="P")+
 --(INDEX('PW_MLG GRADE 10'!#REF!,MATCH(LEFT($A127,LEN($A127)-2),'PW_MLG GRADE 10'!$B$7:$B$31,0))="P")+
 --(INDEX('PW_MLG GRADE 10'!#REF!,MATCH(LEFT($A127,LEN($A127)-2),'PW_MLG GRADE 10'!$B$7:$B$31,0))="P"),
0)</f>
        <v>0</v>
      </c>
      <c r="I127" t="e">
        <f ca="1">IF(IF(_xlfn.XLOOKUP(LEFT(F127,LEN(F127)-2),'PW_MLG GRADE 10'!$B$7:$B$31,'PW_MLG GRADE 10'!#REF!,"",0,1)=0,"",_xlfn.XLOOKUP(LEFT(F127,LEN(F127)-2),'PW_MLG GRADE 10'!$B$7:$B$31,'PW_MLG GRADE 10'!#REF!,"",0,1))&lt;=TODAY(),TRUE,FALSE)</f>
        <v>#REF!</v>
      </c>
      <c r="J127">
        <f t="shared" ca="1" si="3"/>
        <v>0</v>
      </c>
    </row>
    <row r="128" spans="1:10">
      <c r="A128" s="24" t="s">
        <v>443</v>
      </c>
      <c r="B128">
        <v>3</v>
      </c>
      <c r="C128">
        <f>IFERROR(
 --(INDEX('TH_MLG GRADE 10'!$D$7:$D$49,MATCH(LEFT($A128,LEN($A128)-2),'TH_MLG GRADE 10'!$B$7:$B$49,0))="P")+
 --(INDEX('TH_MLG GRADE 10'!$J$7:$J$49,MATCH(LEFT($A128,LEN($A128)-2),'TH_MLG GRADE 10'!$B$7:$B$49,0))="P")+
 --(INDEX('TH_MLG GRADE 10'!$P$7:$P$49,MATCH(LEFT($A128,LEN($A128)-2),'TH_MLG GRADE 10'!$B$7:$B$49,0))="P")+
 --(INDEX('TH_MLG GRADE 10'!$AB$7:$AB$49,MATCH(LEFT($A128,LEN($A128)-2),'TH_MLG GRADE 10'!$B$7:$B$49,0))="P")+
 --(INDEX('TH_MLG GRADE 10'!$AH$7:$AH$49,MATCH(LEFT($A128,LEN($A128)-2),'TH_MLG GRADE 10'!$B$7:$B$49,0))="P")+
 --(INDEX('TH_MLG GRADE 10'!$AN$7:$AN$49,MATCH(LEFT($A128,LEN($A128)-2),'TH_MLG GRADE 10'!$B$7:$B$49,0))="P")+
 --(INDEX('TH_MLG GRADE 10'!$AZ$7:$AZ$49,MATCH(LEFT($A128,LEN($A128)-2),'TH_MLG GRADE 10'!$B$7:$B$49,0))="P")+
 --(INDEX('TH_MLG GRADE 10'!$BF$7:$BF$49,MATCH(LEFT($A128,LEN($A128)-2),'TH_MLG GRADE 10'!$B$7:$B$49,0))="P")+
 --(INDEX('TH_MLG GRADE 10'!#REF!,MATCH(LEFT($A128,LEN($A128)-2),'TH_MLG GRADE 10'!$B$7:$B$49,0))="P")+
 --(INDEX('TH_MLG GRADE 10'!#REF!,MATCH(LEFT($A128,LEN($A128)-2),'TH_MLG GRADE 10'!$B$7:$B$49,0))="P"),
0)</f>
        <v>0</v>
      </c>
      <c r="D128" s="24" t="b">
        <f ca="1">IF(IF(_xlfn.XLOOKUP(LEFT(A128,LEN(A128)-2),'TH_MLG GRADE 10'!$B$7:$B$49,'TH_MLG GRADE 10'!$BM$7:$BM$49,"",0,1)=0,"",_xlfn.XLOOKUP(LEFT(A128,LEN(A128)-2),'TH_MLG GRADE 10'!$B$7:$B$49,'TH_MLG GRADE 10'!$BM$7:$BM$49,"",0,1))&lt;=TODAY(),TRUE,FALSE)</f>
        <v>0</v>
      </c>
      <c r="E128" s="25" t="str">
        <f t="shared" ca="1" si="2"/>
        <v/>
      </c>
      <c r="F128" t="s">
        <v>443</v>
      </c>
      <c r="G128">
        <v>3</v>
      </c>
      <c r="H128">
        <f>IFERROR(
 --(INDEX('PW_MLG GRADE 10'!#REF!,MATCH(LEFT($A128,LEN($A128)-2),'PW_MLG GRADE 10'!$B$7:$B$31,0))="P")+
 --(INDEX('PW_MLG GRADE 10'!#REF!,MATCH(LEFT($A128,LEN($A128)-2),'PW_MLG GRADE 10'!$B$7:$B$31,0))="P")+
 --(INDEX('PW_MLG GRADE 10'!#REF!,MATCH(LEFT($A128,LEN($A128)-2),'PW_MLG GRADE 10'!$B$7:$B$31,0))="P")+
 --(INDEX('PW_MLG GRADE 10'!#REF!,MATCH(LEFT($A128,LEN($A128)-2),'PW_MLG GRADE 10'!$B$7:$B$31,0))="P")+
 --(INDEX('PW_MLG GRADE 10'!#REF!,MATCH(LEFT($A128,LEN($A128)-2),'PW_MLG GRADE 10'!$B$7:$B$31,0))="P")+
 --(INDEX('PW_MLG GRADE 10'!#REF!,MATCH(LEFT($A128,LEN($A128)-2),'PW_MLG GRADE 10'!$B$7:$B$31,0))="P")+
 --(INDEX('PW_MLG GRADE 10'!#REF!,MATCH(LEFT($A128,LEN($A128)-2),'PW_MLG GRADE 10'!$B$7:$B$31,0))="P")+
 --(INDEX('PW_MLG GRADE 10'!#REF!,MATCH(LEFT($A128,LEN($A128)-2),'PW_MLG GRADE 10'!$B$7:$B$31,0))="P")+
 --(INDEX('PW_MLG GRADE 10'!#REF!,MATCH(LEFT($A128,LEN($A128)-2),'PW_MLG GRADE 10'!$B$7:$B$31,0))="P")+
 --(INDEX('PW_MLG GRADE 10'!#REF!,MATCH(LEFT($A128,LEN($A128)-2),'PW_MLG GRADE 10'!$B$7:$B$31,0))="P"),
0)</f>
        <v>0</v>
      </c>
      <c r="I128" t="e">
        <f ca="1">IF(IF(_xlfn.XLOOKUP(LEFT(F128,LEN(F128)-2),'PW_MLG GRADE 10'!$B$7:$B$31,'PW_MLG GRADE 10'!#REF!,"",0,1)=0,"",_xlfn.XLOOKUP(LEFT(F128,LEN(F128)-2),'PW_MLG GRADE 10'!$B$7:$B$31,'PW_MLG GRADE 10'!#REF!,"",0,1))&lt;=TODAY(),TRUE,FALSE)</f>
        <v>#REF!</v>
      </c>
      <c r="J128">
        <f t="shared" ca="1" si="3"/>
        <v>0</v>
      </c>
    </row>
    <row r="129" spans="1:13">
      <c r="A129" s="24" t="s">
        <v>444</v>
      </c>
      <c r="B129">
        <v>3</v>
      </c>
      <c r="C129">
        <f>IFERROR(
 --(INDEX('TH_MLG GRADE 10'!$D$7:$D$49,MATCH(LEFT($A129,LEN($A129)-2),'TH_MLG GRADE 10'!$B$7:$B$49,0))="P")+
 --(INDEX('TH_MLG GRADE 10'!$J$7:$J$49,MATCH(LEFT($A129,LEN($A129)-2),'TH_MLG GRADE 10'!$B$7:$B$49,0))="P")+
 --(INDEX('TH_MLG GRADE 10'!$P$7:$P$49,MATCH(LEFT($A129,LEN($A129)-2),'TH_MLG GRADE 10'!$B$7:$B$49,0))="P")+
 --(INDEX('TH_MLG GRADE 10'!$AB$7:$AB$49,MATCH(LEFT($A129,LEN($A129)-2),'TH_MLG GRADE 10'!$B$7:$B$49,0))="P")+
 --(INDEX('TH_MLG GRADE 10'!$AH$7:$AH$49,MATCH(LEFT($A129,LEN($A129)-2),'TH_MLG GRADE 10'!$B$7:$B$49,0))="P")+
 --(INDEX('TH_MLG GRADE 10'!$AN$7:$AN$49,MATCH(LEFT($A129,LEN($A129)-2),'TH_MLG GRADE 10'!$B$7:$B$49,0))="P")+
 --(INDEX('TH_MLG GRADE 10'!$AZ$7:$AZ$49,MATCH(LEFT($A129,LEN($A129)-2),'TH_MLG GRADE 10'!$B$7:$B$49,0))="P")+
 --(INDEX('TH_MLG GRADE 10'!$BF$7:$BF$49,MATCH(LEFT($A129,LEN($A129)-2),'TH_MLG GRADE 10'!$B$7:$B$49,0))="P")+
 --(INDEX('TH_MLG GRADE 10'!#REF!,MATCH(LEFT($A129,LEN($A129)-2),'TH_MLG GRADE 10'!$B$7:$B$49,0))="P")+
 --(INDEX('TH_MLG GRADE 10'!#REF!,MATCH(LEFT($A129,LEN($A129)-2),'TH_MLG GRADE 10'!$B$7:$B$49,0))="P"),
0)</f>
        <v>0</v>
      </c>
      <c r="D129" s="24" t="b">
        <f ca="1">IF(IF(_xlfn.XLOOKUP(LEFT(A129,LEN(A129)-2),'TH_MLG GRADE 10'!$B$7:$B$49,'TH_MLG GRADE 10'!$BM$7:$BM$49,"",0,1)=0,"",_xlfn.XLOOKUP(LEFT(A129,LEN(A129)-2),'TH_MLG GRADE 10'!$B$7:$B$49,'TH_MLG GRADE 10'!$BM$7:$BM$49,"",0,1))&lt;=TODAY(),TRUE,FALSE)</f>
        <v>0</v>
      </c>
      <c r="E129" s="25" t="str">
        <f t="shared" ca="1" si="2"/>
        <v/>
      </c>
      <c r="F129" t="s">
        <v>444</v>
      </c>
      <c r="G129">
        <v>3</v>
      </c>
      <c r="H129">
        <f>IFERROR(
 --(INDEX('PW_MLG GRADE 10'!#REF!,MATCH(LEFT($A129,LEN($A129)-2),'PW_MLG GRADE 10'!$B$7:$B$31,0))="P")+
 --(INDEX('PW_MLG GRADE 10'!#REF!,MATCH(LEFT($A129,LEN($A129)-2),'PW_MLG GRADE 10'!$B$7:$B$31,0))="P")+
 --(INDEX('PW_MLG GRADE 10'!#REF!,MATCH(LEFT($A129,LEN($A129)-2),'PW_MLG GRADE 10'!$B$7:$B$31,0))="P")+
 --(INDEX('PW_MLG GRADE 10'!#REF!,MATCH(LEFT($A129,LEN($A129)-2),'PW_MLG GRADE 10'!$B$7:$B$31,0))="P")+
 --(INDEX('PW_MLG GRADE 10'!#REF!,MATCH(LEFT($A129,LEN($A129)-2),'PW_MLG GRADE 10'!$B$7:$B$31,0))="P")+
 --(INDEX('PW_MLG GRADE 10'!#REF!,MATCH(LEFT($A129,LEN($A129)-2),'PW_MLG GRADE 10'!$B$7:$B$31,0))="P")+
 --(INDEX('PW_MLG GRADE 10'!#REF!,MATCH(LEFT($A129,LEN($A129)-2),'PW_MLG GRADE 10'!$B$7:$B$31,0))="P")+
 --(INDEX('PW_MLG GRADE 10'!#REF!,MATCH(LEFT($A129,LEN($A129)-2),'PW_MLG GRADE 10'!$B$7:$B$31,0))="P")+
 --(INDEX('PW_MLG GRADE 10'!#REF!,MATCH(LEFT($A129,LEN($A129)-2),'PW_MLG GRADE 10'!$B$7:$B$31,0))="P")+
 --(INDEX('PW_MLG GRADE 10'!#REF!,MATCH(LEFT($A129,LEN($A129)-2),'PW_MLG GRADE 10'!$B$7:$B$31,0))="P"),
0)</f>
        <v>0</v>
      </c>
      <c r="I129" t="e">
        <f ca="1">IF(IF(_xlfn.XLOOKUP(LEFT(F129,LEN(F129)-2),'PW_MLG GRADE 10'!$B$7:$B$31,'PW_MLG GRADE 10'!#REF!,"",0,1)=0,"",_xlfn.XLOOKUP(LEFT(F129,LEN(F129)-2),'PW_MLG GRADE 10'!$B$7:$B$31,'PW_MLG GRADE 10'!#REF!,"",0,1))&lt;=TODAY(),TRUE,FALSE)</f>
        <v>#REF!</v>
      </c>
      <c r="J129">
        <f t="shared" ca="1" si="3"/>
        <v>0</v>
      </c>
    </row>
    <row r="130" spans="1:13">
      <c r="A130" s="24" t="s">
        <v>445</v>
      </c>
      <c r="B130">
        <v>3</v>
      </c>
      <c r="C130">
        <f>IFERROR(
 --(INDEX('TH_MLG GRADE 10'!$D$7:$D$49,MATCH(LEFT($A130,LEN($A130)-2),'TH_MLG GRADE 10'!$B$7:$B$49,0))="P")+
 --(INDEX('TH_MLG GRADE 10'!$J$7:$J$49,MATCH(LEFT($A130,LEN($A130)-2),'TH_MLG GRADE 10'!$B$7:$B$49,0))="P")+
 --(INDEX('TH_MLG GRADE 10'!$P$7:$P$49,MATCH(LEFT($A130,LEN($A130)-2),'TH_MLG GRADE 10'!$B$7:$B$49,0))="P")+
 --(INDEX('TH_MLG GRADE 10'!$AB$7:$AB$49,MATCH(LEFT($A130,LEN($A130)-2),'TH_MLG GRADE 10'!$B$7:$B$49,0))="P")+
 --(INDEX('TH_MLG GRADE 10'!$AH$7:$AH$49,MATCH(LEFT($A130,LEN($A130)-2),'TH_MLG GRADE 10'!$B$7:$B$49,0))="P")+
 --(INDEX('TH_MLG GRADE 10'!$AN$7:$AN$49,MATCH(LEFT($A130,LEN($A130)-2),'TH_MLG GRADE 10'!$B$7:$B$49,0))="P")+
 --(INDEX('TH_MLG GRADE 10'!$AZ$7:$AZ$49,MATCH(LEFT($A130,LEN($A130)-2),'TH_MLG GRADE 10'!$B$7:$B$49,0))="P")+
 --(INDEX('TH_MLG GRADE 10'!$BF$7:$BF$49,MATCH(LEFT($A130,LEN($A130)-2),'TH_MLG GRADE 10'!$B$7:$B$49,0))="P")+
 --(INDEX('TH_MLG GRADE 10'!#REF!,MATCH(LEFT($A130,LEN($A130)-2),'TH_MLG GRADE 10'!$B$7:$B$49,0))="P")+
 --(INDEX('TH_MLG GRADE 10'!#REF!,MATCH(LEFT($A130,LEN($A130)-2),'TH_MLG GRADE 10'!$B$7:$B$49,0))="P"),
0)</f>
        <v>0</v>
      </c>
      <c r="D130" s="24" t="b">
        <f ca="1">IF(IF(_xlfn.XLOOKUP(LEFT(A130,LEN(A130)-2),'TH_MLG GRADE 10'!$B$7:$B$49,'TH_MLG GRADE 10'!$BM$7:$BM$49,"",0,1)=0,"",_xlfn.XLOOKUP(LEFT(A130,LEN(A130)-2),'TH_MLG GRADE 10'!$B$7:$B$49,'TH_MLG GRADE 10'!$BM$7:$BM$49,"",0,1))&lt;=TODAY(),TRUE,FALSE)</f>
        <v>0</v>
      </c>
      <c r="E130" s="25" t="str">
        <f t="shared" ca="1" si="2"/>
        <v/>
      </c>
      <c r="F130" t="s">
        <v>445</v>
      </c>
      <c r="G130">
        <v>3</v>
      </c>
      <c r="H130">
        <f>IFERROR(
 --(INDEX('PW_MLG GRADE 10'!#REF!,MATCH(LEFT($A130,LEN($A130)-2),'PW_MLG GRADE 10'!$B$7:$B$31,0))="P")+
 --(INDEX('PW_MLG GRADE 10'!#REF!,MATCH(LEFT($A130,LEN($A130)-2),'PW_MLG GRADE 10'!$B$7:$B$31,0))="P")+
 --(INDEX('PW_MLG GRADE 10'!#REF!,MATCH(LEFT($A130,LEN($A130)-2),'PW_MLG GRADE 10'!$B$7:$B$31,0))="P")+
 --(INDEX('PW_MLG GRADE 10'!#REF!,MATCH(LEFT($A130,LEN($A130)-2),'PW_MLG GRADE 10'!$B$7:$B$31,0))="P")+
 --(INDEX('PW_MLG GRADE 10'!#REF!,MATCH(LEFT($A130,LEN($A130)-2),'PW_MLG GRADE 10'!$B$7:$B$31,0))="P")+
 --(INDEX('PW_MLG GRADE 10'!#REF!,MATCH(LEFT($A130,LEN($A130)-2),'PW_MLG GRADE 10'!$B$7:$B$31,0))="P")+
 --(INDEX('PW_MLG GRADE 10'!#REF!,MATCH(LEFT($A130,LEN($A130)-2),'PW_MLG GRADE 10'!$B$7:$B$31,0))="P")+
 --(INDEX('PW_MLG GRADE 10'!#REF!,MATCH(LEFT($A130,LEN($A130)-2),'PW_MLG GRADE 10'!$B$7:$B$31,0))="P")+
 --(INDEX('PW_MLG GRADE 10'!#REF!,MATCH(LEFT($A130,LEN($A130)-2),'PW_MLG GRADE 10'!$B$7:$B$31,0))="P")+
 --(INDEX('PW_MLG GRADE 10'!#REF!,MATCH(LEFT($A130,LEN($A130)-2),'PW_MLG GRADE 10'!$B$7:$B$31,0))="P"),
0)</f>
        <v>0</v>
      </c>
      <c r="I130" t="e">
        <f ca="1">IF(IF(_xlfn.XLOOKUP(LEFT(F130,LEN(F130)-2),'PW_MLG GRADE 10'!$B$7:$B$31,'PW_MLG GRADE 10'!#REF!,"",0,1)=0,"",_xlfn.XLOOKUP(LEFT(F130,LEN(F130)-2),'PW_MLG GRADE 10'!$B$7:$B$31,'PW_MLG GRADE 10'!#REF!,"",0,1))&lt;=TODAY(),TRUE,FALSE)</f>
        <v>#REF!</v>
      </c>
      <c r="J130">
        <f t="shared" ca="1" si="3"/>
        <v>0</v>
      </c>
    </row>
    <row r="131" spans="1:13">
      <c r="A131" s="24" t="s">
        <v>446</v>
      </c>
      <c r="B131">
        <v>3</v>
      </c>
      <c r="C131">
        <f>IFERROR(
 --(INDEX('TH_MLG GRADE 10'!$D$7:$D$49,MATCH(LEFT($A131,LEN($A131)-2),'TH_MLG GRADE 10'!$B$7:$B$49,0))="P")+
 --(INDEX('TH_MLG GRADE 10'!$J$7:$J$49,MATCH(LEFT($A131,LEN($A131)-2),'TH_MLG GRADE 10'!$B$7:$B$49,0))="P")+
 --(INDEX('TH_MLG GRADE 10'!$P$7:$P$49,MATCH(LEFT($A131,LEN($A131)-2),'TH_MLG GRADE 10'!$B$7:$B$49,0))="P")+
 --(INDEX('TH_MLG GRADE 10'!$AB$7:$AB$49,MATCH(LEFT($A131,LEN($A131)-2),'TH_MLG GRADE 10'!$B$7:$B$49,0))="P")+
 --(INDEX('TH_MLG GRADE 10'!$AH$7:$AH$49,MATCH(LEFT($A131,LEN($A131)-2),'TH_MLG GRADE 10'!$B$7:$B$49,0))="P")+
 --(INDEX('TH_MLG GRADE 10'!$AN$7:$AN$49,MATCH(LEFT($A131,LEN($A131)-2),'TH_MLG GRADE 10'!$B$7:$B$49,0))="P")+
 --(INDEX('TH_MLG GRADE 10'!$AZ$7:$AZ$49,MATCH(LEFT($A131,LEN($A131)-2),'TH_MLG GRADE 10'!$B$7:$B$49,0))="P")+
 --(INDEX('TH_MLG GRADE 10'!$BF$7:$BF$49,MATCH(LEFT($A131,LEN($A131)-2),'TH_MLG GRADE 10'!$B$7:$B$49,0))="P")+
 --(INDEX('TH_MLG GRADE 10'!#REF!,MATCH(LEFT($A131,LEN($A131)-2),'TH_MLG GRADE 10'!$B$7:$B$49,0))="P")+
 --(INDEX('TH_MLG GRADE 10'!#REF!,MATCH(LEFT($A131,LEN($A131)-2),'TH_MLG GRADE 10'!$B$7:$B$49,0))="P"),
0)</f>
        <v>0</v>
      </c>
      <c r="D131" s="24" t="b">
        <f ca="1">IF(IF(_xlfn.XLOOKUP(LEFT(A131,LEN(A131)-2),'TH_MLG GRADE 10'!$B$7:$B$49,'TH_MLG GRADE 10'!$BM$7:$BM$49,"",0,1)=0,"",_xlfn.XLOOKUP(LEFT(A131,LEN(A131)-2),'TH_MLG GRADE 10'!$B$7:$B$49,'TH_MLG GRADE 10'!$BM$7:$BM$49,"",0,1))&lt;=TODAY(),TRUE,FALSE)</f>
        <v>0</v>
      </c>
      <c r="E131" s="25" t="str">
        <f t="shared" ca="1" si="2"/>
        <v/>
      </c>
      <c r="F131" t="s">
        <v>446</v>
      </c>
      <c r="G131">
        <v>3</v>
      </c>
      <c r="H131">
        <f>IFERROR(
 --(INDEX('PW_MLG GRADE 10'!#REF!,MATCH(LEFT($A131,LEN($A131)-2),'PW_MLG GRADE 10'!$B$7:$B$31,0))="P")+
 --(INDEX('PW_MLG GRADE 10'!#REF!,MATCH(LEFT($A131,LEN($A131)-2),'PW_MLG GRADE 10'!$B$7:$B$31,0))="P")+
 --(INDEX('PW_MLG GRADE 10'!#REF!,MATCH(LEFT($A131,LEN($A131)-2),'PW_MLG GRADE 10'!$B$7:$B$31,0))="P")+
 --(INDEX('PW_MLG GRADE 10'!#REF!,MATCH(LEFT($A131,LEN($A131)-2),'PW_MLG GRADE 10'!$B$7:$B$31,0))="P")+
 --(INDEX('PW_MLG GRADE 10'!#REF!,MATCH(LEFT($A131,LEN($A131)-2),'PW_MLG GRADE 10'!$B$7:$B$31,0))="P")+
 --(INDEX('PW_MLG GRADE 10'!#REF!,MATCH(LEFT($A131,LEN($A131)-2),'PW_MLG GRADE 10'!$B$7:$B$31,0))="P")+
 --(INDEX('PW_MLG GRADE 10'!#REF!,MATCH(LEFT($A131,LEN($A131)-2),'PW_MLG GRADE 10'!$B$7:$B$31,0))="P")+
 --(INDEX('PW_MLG GRADE 10'!#REF!,MATCH(LEFT($A131,LEN($A131)-2),'PW_MLG GRADE 10'!$B$7:$B$31,0))="P")+
 --(INDEX('PW_MLG GRADE 10'!#REF!,MATCH(LEFT($A131,LEN($A131)-2),'PW_MLG GRADE 10'!$B$7:$B$31,0))="P")+
 --(INDEX('PW_MLG GRADE 10'!#REF!,MATCH(LEFT($A131,LEN($A131)-2),'PW_MLG GRADE 10'!$B$7:$B$31,0))="P"),
0)</f>
        <v>0</v>
      </c>
      <c r="I131" t="e">
        <f ca="1">IF(IF(_xlfn.XLOOKUP(LEFT(F131,LEN(F131)-2),'PW_MLG GRADE 10'!$B$7:$B$31,'PW_MLG GRADE 10'!#REF!,"",0,1)=0,"",_xlfn.XLOOKUP(LEFT(F131,LEN(F131)-2),'PW_MLG GRADE 10'!$B$7:$B$31,'PW_MLG GRADE 10'!#REF!,"",0,1))&lt;=TODAY(),TRUE,FALSE)</f>
        <v>#REF!</v>
      </c>
      <c r="J131">
        <f t="shared" ca="1" si="3"/>
        <v>0</v>
      </c>
    </row>
    <row r="132" spans="1:13">
      <c r="A132" s="24" t="s">
        <v>447</v>
      </c>
      <c r="B132">
        <v>3</v>
      </c>
      <c r="C132">
        <f>IFERROR(
 --(INDEX('TH_MLG GRADE 10'!$D$7:$D$49,MATCH(LEFT($A132,LEN($A132)-2),'TH_MLG GRADE 10'!$B$7:$B$49,0))="P")+
 --(INDEX('TH_MLG GRADE 10'!$J$7:$J$49,MATCH(LEFT($A132,LEN($A132)-2),'TH_MLG GRADE 10'!$B$7:$B$49,0))="P")+
 --(INDEX('TH_MLG GRADE 10'!$P$7:$P$49,MATCH(LEFT($A132,LEN($A132)-2),'TH_MLG GRADE 10'!$B$7:$B$49,0))="P")+
 --(INDEX('TH_MLG GRADE 10'!$AB$7:$AB$49,MATCH(LEFT($A132,LEN($A132)-2),'TH_MLG GRADE 10'!$B$7:$B$49,0))="P")+
 --(INDEX('TH_MLG GRADE 10'!$AH$7:$AH$49,MATCH(LEFT($A132,LEN($A132)-2),'TH_MLG GRADE 10'!$B$7:$B$49,0))="P")+
 --(INDEX('TH_MLG GRADE 10'!$AN$7:$AN$49,MATCH(LEFT($A132,LEN($A132)-2),'TH_MLG GRADE 10'!$B$7:$B$49,0))="P")+
 --(INDEX('TH_MLG GRADE 10'!$AZ$7:$AZ$49,MATCH(LEFT($A132,LEN($A132)-2),'TH_MLG GRADE 10'!$B$7:$B$49,0))="P")+
 --(INDEX('TH_MLG GRADE 10'!$BF$7:$BF$49,MATCH(LEFT($A132,LEN($A132)-2),'TH_MLG GRADE 10'!$B$7:$B$49,0))="P")+
 --(INDEX('TH_MLG GRADE 10'!#REF!,MATCH(LEFT($A132,LEN($A132)-2),'TH_MLG GRADE 10'!$B$7:$B$49,0))="P")+
 --(INDEX('TH_MLG GRADE 10'!#REF!,MATCH(LEFT($A132,LEN($A132)-2),'TH_MLG GRADE 10'!$B$7:$B$49,0))="P"),
0)</f>
        <v>0</v>
      </c>
      <c r="D132" s="24" t="b">
        <f ca="1">IF(IF(_xlfn.XLOOKUP(LEFT(A132,LEN(A132)-2),'TH_MLG GRADE 10'!$B$7:$B$49,'TH_MLG GRADE 10'!$BM$7:$BM$49,"",0,1)=0,"",_xlfn.XLOOKUP(LEFT(A132,LEN(A132)-2),'TH_MLG GRADE 10'!$B$7:$B$49,'TH_MLG GRADE 10'!$BM$7:$BM$49,"",0,1))&lt;=TODAY(),TRUE,FALSE)</f>
        <v>0</v>
      </c>
      <c r="E132" s="25" t="str">
        <f t="shared" ref="E132:E137" ca="1" si="4">IFERROR(IF(D132=TRUE(),C132/B132,""),0)</f>
        <v/>
      </c>
      <c r="F132" t="s">
        <v>447</v>
      </c>
      <c r="G132">
        <v>3</v>
      </c>
      <c r="H132">
        <f>IFERROR(
 --(INDEX('PW_MLG GRADE 10'!#REF!,MATCH(LEFT($A132,LEN($A132)-2),'PW_MLG GRADE 10'!$B$7:$B$31,0))="P")+
 --(INDEX('PW_MLG GRADE 10'!#REF!,MATCH(LEFT($A132,LEN($A132)-2),'PW_MLG GRADE 10'!$B$7:$B$31,0))="P")+
 --(INDEX('PW_MLG GRADE 10'!#REF!,MATCH(LEFT($A132,LEN($A132)-2),'PW_MLG GRADE 10'!$B$7:$B$31,0))="P")+
 --(INDEX('PW_MLG GRADE 10'!#REF!,MATCH(LEFT($A132,LEN($A132)-2),'PW_MLG GRADE 10'!$B$7:$B$31,0))="P")+
 --(INDEX('PW_MLG GRADE 10'!#REF!,MATCH(LEFT($A132,LEN($A132)-2),'PW_MLG GRADE 10'!$B$7:$B$31,0))="P")+
 --(INDEX('PW_MLG GRADE 10'!#REF!,MATCH(LEFT($A132,LEN($A132)-2),'PW_MLG GRADE 10'!$B$7:$B$31,0))="P")+
 --(INDEX('PW_MLG GRADE 10'!#REF!,MATCH(LEFT($A132,LEN($A132)-2),'PW_MLG GRADE 10'!$B$7:$B$31,0))="P")+
 --(INDEX('PW_MLG GRADE 10'!#REF!,MATCH(LEFT($A132,LEN($A132)-2),'PW_MLG GRADE 10'!$B$7:$B$31,0))="P")+
 --(INDEX('PW_MLG GRADE 10'!#REF!,MATCH(LEFT($A132,LEN($A132)-2),'PW_MLG GRADE 10'!$B$7:$B$31,0))="P")+
 --(INDEX('PW_MLG GRADE 10'!#REF!,MATCH(LEFT($A132,LEN($A132)-2),'PW_MLG GRADE 10'!$B$7:$B$31,0))="P"),
0)</f>
        <v>0</v>
      </c>
      <c r="I132" t="e">
        <f ca="1">IF(IF(_xlfn.XLOOKUP(LEFT(F132,LEN(F132)-2),'PW_MLG GRADE 10'!$B$7:$B$31,'PW_MLG GRADE 10'!#REF!,"",0,1)=0,"",_xlfn.XLOOKUP(LEFT(F132,LEN(F132)-2),'PW_MLG GRADE 10'!$B$7:$B$31,'PW_MLG GRADE 10'!#REF!,"",0,1))&lt;=TODAY(),TRUE,FALSE)</f>
        <v>#REF!</v>
      </c>
      <c r="J132">
        <f t="shared" ref="J132:J137" ca="1" si="5">IFERROR(IF(I132=TRUE(),H132/G132,""),0)</f>
        <v>0</v>
      </c>
    </row>
    <row r="133" spans="1:13">
      <c r="A133" s="24" t="s">
        <v>448</v>
      </c>
      <c r="B133">
        <v>3</v>
      </c>
      <c r="C133">
        <f>IFERROR(
 --(INDEX('TH_MLG GRADE 10'!$D$7:$D$49,MATCH(LEFT($A133,LEN($A133)-2),'TH_MLG GRADE 10'!$B$7:$B$49,0))="P")+
 --(INDEX('TH_MLG GRADE 10'!$J$7:$J$49,MATCH(LEFT($A133,LEN($A133)-2),'TH_MLG GRADE 10'!$B$7:$B$49,0))="P")+
 --(INDEX('TH_MLG GRADE 10'!$P$7:$P$49,MATCH(LEFT($A133,LEN($A133)-2),'TH_MLG GRADE 10'!$B$7:$B$49,0))="P")+
 --(INDEX('TH_MLG GRADE 10'!$AB$7:$AB$49,MATCH(LEFT($A133,LEN($A133)-2),'TH_MLG GRADE 10'!$B$7:$B$49,0))="P")+
 --(INDEX('TH_MLG GRADE 10'!$AH$7:$AH$49,MATCH(LEFT($A133,LEN($A133)-2),'TH_MLG GRADE 10'!$B$7:$B$49,0))="P")+
 --(INDEX('TH_MLG GRADE 10'!$AN$7:$AN$49,MATCH(LEFT($A133,LEN($A133)-2),'TH_MLG GRADE 10'!$B$7:$B$49,0))="P")+
 --(INDEX('TH_MLG GRADE 10'!$AZ$7:$AZ$49,MATCH(LEFT($A133,LEN($A133)-2),'TH_MLG GRADE 10'!$B$7:$B$49,0))="P")+
 --(INDEX('TH_MLG GRADE 10'!$BF$7:$BF$49,MATCH(LEFT($A133,LEN($A133)-2),'TH_MLG GRADE 10'!$B$7:$B$49,0))="P")+
 --(INDEX('TH_MLG GRADE 10'!#REF!,MATCH(LEFT($A133,LEN($A133)-2),'TH_MLG GRADE 10'!$B$7:$B$49,0))="P")+
 --(INDEX('TH_MLG GRADE 10'!#REF!,MATCH(LEFT($A133,LEN($A133)-2),'TH_MLG GRADE 10'!$B$7:$B$49,0))="P"),
0)</f>
        <v>0</v>
      </c>
      <c r="D133" s="24" t="b">
        <f ca="1">IF(IF(_xlfn.XLOOKUP(LEFT(A133,LEN(A133)-2),'TH_MLG GRADE 10'!$B$7:$B$49,'TH_MLG GRADE 10'!$BM$7:$BM$49,"",0,1)=0,"",_xlfn.XLOOKUP(LEFT(A133,LEN(A133)-2),'TH_MLG GRADE 10'!$B$7:$B$49,'TH_MLG GRADE 10'!$BM$7:$BM$49,"",0,1))&lt;=TODAY(),TRUE,FALSE)</f>
        <v>0</v>
      </c>
      <c r="E133" s="25" t="str">
        <f t="shared" ca="1" si="4"/>
        <v/>
      </c>
      <c r="F133" t="s">
        <v>448</v>
      </c>
      <c r="G133">
        <v>3</v>
      </c>
      <c r="H133">
        <f>IFERROR(
 --(INDEX('PW_MLG GRADE 10'!#REF!,MATCH(LEFT($A133,LEN($A133)-2),'PW_MLG GRADE 10'!$B$7:$B$31,0))="P")+
 --(INDEX('PW_MLG GRADE 10'!#REF!,MATCH(LEFT($A133,LEN($A133)-2),'PW_MLG GRADE 10'!$B$7:$B$31,0))="P")+
 --(INDEX('PW_MLG GRADE 10'!#REF!,MATCH(LEFT($A133,LEN($A133)-2),'PW_MLG GRADE 10'!$B$7:$B$31,0))="P")+
 --(INDEX('PW_MLG GRADE 10'!#REF!,MATCH(LEFT($A133,LEN($A133)-2),'PW_MLG GRADE 10'!$B$7:$B$31,0))="P")+
 --(INDEX('PW_MLG GRADE 10'!#REF!,MATCH(LEFT($A133,LEN($A133)-2),'PW_MLG GRADE 10'!$B$7:$B$31,0))="P")+
 --(INDEX('PW_MLG GRADE 10'!#REF!,MATCH(LEFT($A133,LEN($A133)-2),'PW_MLG GRADE 10'!$B$7:$B$31,0))="P")+
 --(INDEX('PW_MLG GRADE 10'!#REF!,MATCH(LEFT($A133,LEN($A133)-2),'PW_MLG GRADE 10'!$B$7:$B$31,0))="P")+
 --(INDEX('PW_MLG GRADE 10'!#REF!,MATCH(LEFT($A133,LEN($A133)-2),'PW_MLG GRADE 10'!$B$7:$B$31,0))="P")+
 --(INDEX('PW_MLG GRADE 10'!#REF!,MATCH(LEFT($A133,LEN($A133)-2),'PW_MLG GRADE 10'!$B$7:$B$31,0))="P")+
 --(INDEX('PW_MLG GRADE 10'!#REF!,MATCH(LEFT($A133,LEN($A133)-2),'PW_MLG GRADE 10'!$B$7:$B$31,0))="P"),
0)</f>
        <v>0</v>
      </c>
      <c r="I133" t="e">
        <f ca="1">IF(IF(_xlfn.XLOOKUP(LEFT(F133,LEN(F133)-2),'PW_MLG GRADE 10'!$B$7:$B$31,'PW_MLG GRADE 10'!#REF!,"",0,1)=0,"",_xlfn.XLOOKUP(LEFT(F133,LEN(F133)-2),'PW_MLG GRADE 10'!$B$7:$B$31,'PW_MLG GRADE 10'!#REF!,"",0,1))&lt;=TODAY(),TRUE,FALSE)</f>
        <v>#REF!</v>
      </c>
      <c r="J133">
        <f t="shared" ca="1" si="5"/>
        <v>0</v>
      </c>
    </row>
    <row r="134" spans="1:13">
      <c r="A134" s="24" t="s">
        <v>449</v>
      </c>
      <c r="B134">
        <v>3</v>
      </c>
      <c r="C134">
        <f>IFERROR(
 --(INDEX('TH_MLG GRADE 10'!$D$7:$D$49,MATCH(LEFT($A134,LEN($A134)-2),'TH_MLG GRADE 10'!$B$7:$B$49,0))="P")+
 --(INDEX('TH_MLG GRADE 10'!$J$7:$J$49,MATCH(LEFT($A134,LEN($A134)-2),'TH_MLG GRADE 10'!$B$7:$B$49,0))="P")+
 --(INDEX('TH_MLG GRADE 10'!$P$7:$P$49,MATCH(LEFT($A134,LEN($A134)-2),'TH_MLG GRADE 10'!$B$7:$B$49,0))="P")+
 --(INDEX('TH_MLG GRADE 10'!$AB$7:$AB$49,MATCH(LEFT($A134,LEN($A134)-2),'TH_MLG GRADE 10'!$B$7:$B$49,0))="P")+
 --(INDEX('TH_MLG GRADE 10'!$AH$7:$AH$49,MATCH(LEFT($A134,LEN($A134)-2),'TH_MLG GRADE 10'!$B$7:$B$49,0))="P")+
 --(INDEX('TH_MLG GRADE 10'!$AN$7:$AN$49,MATCH(LEFT($A134,LEN($A134)-2),'TH_MLG GRADE 10'!$B$7:$B$49,0))="P")+
 --(INDEX('TH_MLG GRADE 10'!$AZ$7:$AZ$49,MATCH(LEFT($A134,LEN($A134)-2),'TH_MLG GRADE 10'!$B$7:$B$49,0))="P")+
 --(INDEX('TH_MLG GRADE 10'!$BF$7:$BF$49,MATCH(LEFT($A134,LEN($A134)-2),'TH_MLG GRADE 10'!$B$7:$B$49,0))="P")+
 --(INDEX('TH_MLG GRADE 10'!#REF!,MATCH(LEFT($A134,LEN($A134)-2),'TH_MLG GRADE 10'!$B$7:$B$49,0))="P")+
 --(INDEX('TH_MLG GRADE 10'!#REF!,MATCH(LEFT($A134,LEN($A134)-2),'TH_MLG GRADE 10'!$B$7:$B$49,0))="P"),
0)</f>
        <v>0</v>
      </c>
      <c r="D134" s="24" t="b">
        <f ca="1">IF(IF(_xlfn.XLOOKUP(LEFT(A134,LEN(A134)-2),'TH_MLG GRADE 10'!$B$7:$B$49,'TH_MLG GRADE 10'!$BM$7:$BM$49,"",0,1)=0,"",_xlfn.XLOOKUP(LEFT(A134,LEN(A134)-2),'TH_MLG GRADE 10'!$B$7:$B$49,'TH_MLG GRADE 10'!$BM$7:$BM$49,"",0,1))&lt;=TODAY(),TRUE,FALSE)</f>
        <v>0</v>
      </c>
      <c r="E134" s="25" t="str">
        <f t="shared" ca="1" si="4"/>
        <v/>
      </c>
      <c r="F134" t="s">
        <v>449</v>
      </c>
      <c r="G134">
        <v>3</v>
      </c>
      <c r="H134">
        <f>IFERROR(
 --(INDEX('PW_MLG GRADE 10'!#REF!,MATCH(LEFT($A134,LEN($A134)-2),'PW_MLG GRADE 10'!$B$7:$B$31,0))="P")+
 --(INDEX('PW_MLG GRADE 10'!#REF!,MATCH(LEFT($A134,LEN($A134)-2),'PW_MLG GRADE 10'!$B$7:$B$31,0))="P")+
 --(INDEX('PW_MLG GRADE 10'!#REF!,MATCH(LEFT($A134,LEN($A134)-2),'PW_MLG GRADE 10'!$B$7:$B$31,0))="P")+
 --(INDEX('PW_MLG GRADE 10'!#REF!,MATCH(LEFT($A134,LEN($A134)-2),'PW_MLG GRADE 10'!$B$7:$B$31,0))="P")+
 --(INDEX('PW_MLG GRADE 10'!#REF!,MATCH(LEFT($A134,LEN($A134)-2),'PW_MLG GRADE 10'!$B$7:$B$31,0))="P")+
 --(INDEX('PW_MLG GRADE 10'!#REF!,MATCH(LEFT($A134,LEN($A134)-2),'PW_MLG GRADE 10'!$B$7:$B$31,0))="P")+
 --(INDEX('PW_MLG GRADE 10'!#REF!,MATCH(LEFT($A134,LEN($A134)-2),'PW_MLG GRADE 10'!$B$7:$B$31,0))="P")+
 --(INDEX('PW_MLG GRADE 10'!#REF!,MATCH(LEFT($A134,LEN($A134)-2),'PW_MLG GRADE 10'!$B$7:$B$31,0))="P")+
 --(INDEX('PW_MLG GRADE 10'!#REF!,MATCH(LEFT($A134,LEN($A134)-2),'PW_MLG GRADE 10'!$B$7:$B$31,0))="P")+
 --(INDEX('PW_MLG GRADE 10'!#REF!,MATCH(LEFT($A134,LEN($A134)-2),'PW_MLG GRADE 10'!$B$7:$B$31,0))="P"),
0)</f>
        <v>0</v>
      </c>
      <c r="I134" t="e">
        <f ca="1">IF(IF(_xlfn.XLOOKUP(LEFT(F134,LEN(F134)-2),'PW_MLG GRADE 10'!$B$7:$B$31,'PW_MLG GRADE 10'!#REF!,"",0,1)=0,"",_xlfn.XLOOKUP(LEFT(F134,LEN(F134)-2),'PW_MLG GRADE 10'!$B$7:$B$31,'PW_MLG GRADE 10'!#REF!,"",0,1))&lt;=TODAY(),TRUE,FALSE)</f>
        <v>#REF!</v>
      </c>
      <c r="J134">
        <f t="shared" ca="1" si="5"/>
        <v>0</v>
      </c>
    </row>
    <row r="135" spans="1:13">
      <c r="A135" s="24" t="s">
        <v>450</v>
      </c>
      <c r="B135">
        <v>3</v>
      </c>
      <c r="C135">
        <f>IFERROR(
 --(INDEX('TH_MLG GRADE 10'!$D$7:$D$49,MATCH(LEFT($A135,LEN($A135)-2),'TH_MLG GRADE 10'!$B$7:$B$49,0))="P")+
 --(INDEX('TH_MLG GRADE 10'!$J$7:$J$49,MATCH(LEFT($A135,LEN($A135)-2),'TH_MLG GRADE 10'!$B$7:$B$49,0))="P")+
 --(INDEX('TH_MLG GRADE 10'!$P$7:$P$49,MATCH(LEFT($A135,LEN($A135)-2),'TH_MLG GRADE 10'!$B$7:$B$49,0))="P")+
 --(INDEX('TH_MLG GRADE 10'!$AB$7:$AB$49,MATCH(LEFT($A135,LEN($A135)-2),'TH_MLG GRADE 10'!$B$7:$B$49,0))="P")+
 --(INDEX('TH_MLG GRADE 10'!$AH$7:$AH$49,MATCH(LEFT($A135,LEN($A135)-2),'TH_MLG GRADE 10'!$B$7:$B$49,0))="P")+
 --(INDEX('TH_MLG GRADE 10'!$AN$7:$AN$49,MATCH(LEFT($A135,LEN($A135)-2),'TH_MLG GRADE 10'!$B$7:$B$49,0))="P")+
 --(INDEX('TH_MLG GRADE 10'!$AZ$7:$AZ$49,MATCH(LEFT($A135,LEN($A135)-2),'TH_MLG GRADE 10'!$B$7:$B$49,0))="P")+
 --(INDEX('TH_MLG GRADE 10'!$BF$7:$BF$49,MATCH(LEFT($A135,LEN($A135)-2),'TH_MLG GRADE 10'!$B$7:$B$49,0))="P")+
 --(INDEX('TH_MLG GRADE 10'!#REF!,MATCH(LEFT($A135,LEN($A135)-2),'TH_MLG GRADE 10'!$B$7:$B$49,0))="P")+
 --(INDEX('TH_MLG GRADE 10'!#REF!,MATCH(LEFT($A135,LEN($A135)-2),'TH_MLG GRADE 10'!$B$7:$B$49,0))="P"),
0)</f>
        <v>0</v>
      </c>
      <c r="D135" s="24" t="b">
        <f ca="1">IF(IF(_xlfn.XLOOKUP(LEFT(A135,LEN(A135)-2),'TH_MLG GRADE 10'!$B$7:$B$49,'TH_MLG GRADE 10'!$BM$7:$BM$49,"",0,1)=0,"",_xlfn.XLOOKUP(LEFT(A135,LEN(A135)-2),'TH_MLG GRADE 10'!$B$7:$B$49,'TH_MLG GRADE 10'!$BM$7:$BM$49,"",0,1))&lt;=TODAY(),TRUE,FALSE)</f>
        <v>0</v>
      </c>
      <c r="E135" s="25" t="str">
        <f t="shared" ca="1" si="4"/>
        <v/>
      </c>
      <c r="F135" t="s">
        <v>450</v>
      </c>
      <c r="G135">
        <v>3</v>
      </c>
      <c r="H135">
        <f>IFERROR(
 --(INDEX('PW_MLG GRADE 10'!#REF!,MATCH(LEFT($A135,LEN($A135)-2),'PW_MLG GRADE 10'!$B$7:$B$31,0))="P")+
 --(INDEX('PW_MLG GRADE 10'!#REF!,MATCH(LEFT($A135,LEN($A135)-2),'PW_MLG GRADE 10'!$B$7:$B$31,0))="P")+
 --(INDEX('PW_MLG GRADE 10'!#REF!,MATCH(LEFT($A135,LEN($A135)-2),'PW_MLG GRADE 10'!$B$7:$B$31,0))="P")+
 --(INDEX('PW_MLG GRADE 10'!#REF!,MATCH(LEFT($A135,LEN($A135)-2),'PW_MLG GRADE 10'!$B$7:$B$31,0))="P")+
 --(INDEX('PW_MLG GRADE 10'!#REF!,MATCH(LEFT($A135,LEN($A135)-2),'PW_MLG GRADE 10'!$B$7:$B$31,0))="P")+
 --(INDEX('PW_MLG GRADE 10'!#REF!,MATCH(LEFT($A135,LEN($A135)-2),'PW_MLG GRADE 10'!$B$7:$B$31,0))="P")+
 --(INDEX('PW_MLG GRADE 10'!#REF!,MATCH(LEFT($A135,LEN($A135)-2),'PW_MLG GRADE 10'!$B$7:$B$31,0))="P")+
 --(INDEX('PW_MLG GRADE 10'!#REF!,MATCH(LEFT($A135,LEN($A135)-2),'PW_MLG GRADE 10'!$B$7:$B$31,0))="P")+
 --(INDEX('PW_MLG GRADE 10'!#REF!,MATCH(LEFT($A135,LEN($A135)-2),'PW_MLG GRADE 10'!$B$7:$B$31,0))="P")+
 --(INDEX('PW_MLG GRADE 10'!#REF!,MATCH(LEFT($A135,LEN($A135)-2),'PW_MLG GRADE 10'!$B$7:$B$31,0))="P"),
0)</f>
        <v>0</v>
      </c>
      <c r="I135" t="e">
        <f ca="1">IF(IF(_xlfn.XLOOKUP(LEFT(F135,LEN(F135)-2),'PW_MLG GRADE 10'!$B$7:$B$31,'PW_MLG GRADE 10'!#REF!,"",0,1)=0,"",_xlfn.XLOOKUP(LEFT(F135,LEN(F135)-2),'PW_MLG GRADE 10'!$B$7:$B$31,'PW_MLG GRADE 10'!#REF!,"",0,1))&lt;=TODAY(),TRUE,FALSE)</f>
        <v>#REF!</v>
      </c>
      <c r="J135">
        <f t="shared" ca="1" si="5"/>
        <v>0</v>
      </c>
    </row>
    <row r="136" spans="1:13">
      <c r="A136" s="24" t="s">
        <v>451</v>
      </c>
      <c r="B136">
        <v>3</v>
      </c>
      <c r="C136">
        <f>IFERROR(
 --(INDEX('TH_MLG GRADE 10'!$D$7:$D$49,MATCH(LEFT($A136,LEN($A136)-2),'TH_MLG GRADE 10'!$B$7:$B$49,0))="P")+
 --(INDEX('TH_MLG GRADE 10'!$J$7:$J$49,MATCH(LEFT($A136,LEN($A136)-2),'TH_MLG GRADE 10'!$B$7:$B$49,0))="P")+
 --(INDEX('TH_MLG GRADE 10'!$P$7:$P$49,MATCH(LEFT($A136,LEN($A136)-2),'TH_MLG GRADE 10'!$B$7:$B$49,0))="P")+
 --(INDEX('TH_MLG GRADE 10'!$AB$7:$AB$49,MATCH(LEFT($A136,LEN($A136)-2),'TH_MLG GRADE 10'!$B$7:$B$49,0))="P")+
 --(INDEX('TH_MLG GRADE 10'!$AH$7:$AH$49,MATCH(LEFT($A136,LEN($A136)-2),'TH_MLG GRADE 10'!$B$7:$B$49,0))="P")+
 --(INDEX('TH_MLG GRADE 10'!$AN$7:$AN$49,MATCH(LEFT($A136,LEN($A136)-2),'TH_MLG GRADE 10'!$B$7:$B$49,0))="P")+
 --(INDEX('TH_MLG GRADE 10'!$AZ$7:$AZ$49,MATCH(LEFT($A136,LEN($A136)-2),'TH_MLG GRADE 10'!$B$7:$B$49,0))="P")+
 --(INDEX('TH_MLG GRADE 10'!$BF$7:$BF$49,MATCH(LEFT($A136,LEN($A136)-2),'TH_MLG GRADE 10'!$B$7:$B$49,0))="P")+
 --(INDEX('TH_MLG GRADE 10'!#REF!,MATCH(LEFT($A136,LEN($A136)-2),'TH_MLG GRADE 10'!$B$7:$B$49,0))="P")+
 --(INDEX('TH_MLG GRADE 10'!#REF!,MATCH(LEFT($A136,LEN($A136)-2),'TH_MLG GRADE 10'!$B$7:$B$49,0))="P"),
0)</f>
        <v>0</v>
      </c>
      <c r="D136" s="24" t="b">
        <f ca="1">IF(IF(_xlfn.XLOOKUP(LEFT(A136,LEN(A136)-2),'TH_MLG GRADE 10'!$B$7:$B$49,'TH_MLG GRADE 10'!$BM$7:$BM$49,"",0,1)=0,"",_xlfn.XLOOKUP(LEFT(A136,LEN(A136)-2),'TH_MLG GRADE 10'!$B$7:$B$49,'TH_MLG GRADE 10'!$BM$7:$BM$49,"",0,1))&lt;=TODAY(),TRUE,FALSE)</f>
        <v>0</v>
      </c>
      <c r="E136" s="25" t="str">
        <f t="shared" ca="1" si="4"/>
        <v/>
      </c>
      <c r="F136" t="s">
        <v>451</v>
      </c>
      <c r="G136">
        <v>3</v>
      </c>
      <c r="H136">
        <f>IFERROR(
 --(INDEX('PW_MLG GRADE 10'!#REF!,MATCH(LEFT($A136,LEN($A136)-2),'PW_MLG GRADE 10'!$B$7:$B$31,0))="P")+
 --(INDEX('PW_MLG GRADE 10'!#REF!,MATCH(LEFT($A136,LEN($A136)-2),'PW_MLG GRADE 10'!$B$7:$B$31,0))="P")+
 --(INDEX('PW_MLG GRADE 10'!#REF!,MATCH(LEFT($A136,LEN($A136)-2),'PW_MLG GRADE 10'!$B$7:$B$31,0))="P")+
 --(INDEX('PW_MLG GRADE 10'!#REF!,MATCH(LEFT($A136,LEN($A136)-2),'PW_MLG GRADE 10'!$B$7:$B$31,0))="P")+
 --(INDEX('PW_MLG GRADE 10'!#REF!,MATCH(LEFT($A136,LEN($A136)-2),'PW_MLG GRADE 10'!$B$7:$B$31,0))="P")+
 --(INDEX('PW_MLG GRADE 10'!#REF!,MATCH(LEFT($A136,LEN($A136)-2),'PW_MLG GRADE 10'!$B$7:$B$31,0))="P")+
 --(INDEX('PW_MLG GRADE 10'!#REF!,MATCH(LEFT($A136,LEN($A136)-2),'PW_MLG GRADE 10'!$B$7:$B$31,0))="P")+
 --(INDEX('PW_MLG GRADE 10'!#REF!,MATCH(LEFT($A136,LEN($A136)-2),'PW_MLG GRADE 10'!$B$7:$B$31,0))="P")+
 --(INDEX('PW_MLG GRADE 10'!#REF!,MATCH(LEFT($A136,LEN($A136)-2),'PW_MLG GRADE 10'!$B$7:$B$31,0))="P")+
 --(INDEX('PW_MLG GRADE 10'!#REF!,MATCH(LEFT($A136,LEN($A136)-2),'PW_MLG GRADE 10'!$B$7:$B$31,0))="P"),
0)</f>
        <v>0</v>
      </c>
      <c r="I136" t="e">
        <f ca="1">IF(IF(_xlfn.XLOOKUP(LEFT(F136,LEN(F136)-2),'PW_MLG GRADE 10'!$B$7:$B$31,'PW_MLG GRADE 10'!#REF!,"",0,1)=0,"",_xlfn.XLOOKUP(LEFT(F136,LEN(F136)-2),'PW_MLG GRADE 10'!$B$7:$B$31,'PW_MLG GRADE 10'!#REF!,"",0,1))&lt;=TODAY(),TRUE,FALSE)</f>
        <v>#REF!</v>
      </c>
      <c r="J136">
        <f t="shared" ca="1" si="5"/>
        <v>0</v>
      </c>
    </row>
    <row r="137" spans="1:13">
      <c r="A137" s="24" t="s">
        <v>452</v>
      </c>
      <c r="B137">
        <v>3</v>
      </c>
      <c r="C137">
        <f>IFERROR(
 --(INDEX('TH_MLG GRADE 10'!$D$7:$D$49,MATCH(LEFT($A137,LEN($A137)-2),'TH_MLG GRADE 10'!$B$7:$B$49,0))="P")+
 --(INDEX('TH_MLG GRADE 10'!$J$7:$J$49,MATCH(LEFT($A137,LEN($A137)-2),'TH_MLG GRADE 10'!$B$7:$B$49,0))="P")+
 --(INDEX('TH_MLG GRADE 10'!$P$7:$P$49,MATCH(LEFT($A137,LEN($A137)-2),'TH_MLG GRADE 10'!$B$7:$B$49,0))="P")+
 --(INDEX('TH_MLG GRADE 10'!$AB$7:$AB$49,MATCH(LEFT($A137,LEN($A137)-2),'TH_MLG GRADE 10'!$B$7:$B$49,0))="P")+
 --(INDEX('TH_MLG GRADE 10'!$AH$7:$AH$49,MATCH(LEFT($A137,LEN($A137)-2),'TH_MLG GRADE 10'!$B$7:$B$49,0))="P")+
 --(INDEX('TH_MLG GRADE 10'!$AN$7:$AN$49,MATCH(LEFT($A137,LEN($A137)-2),'TH_MLG GRADE 10'!$B$7:$B$49,0))="P")+
 --(INDEX('TH_MLG GRADE 10'!$AZ$7:$AZ$49,MATCH(LEFT($A137,LEN($A137)-2),'TH_MLG GRADE 10'!$B$7:$B$49,0))="P")+
 --(INDEX('TH_MLG GRADE 10'!$BF$7:$BF$49,MATCH(LEFT($A137,LEN($A137)-2),'TH_MLG GRADE 10'!$B$7:$B$49,0))="P")+
 --(INDEX('TH_MLG GRADE 10'!#REF!,MATCH(LEFT($A137,LEN($A137)-2),'TH_MLG GRADE 10'!$B$7:$B$49,0))="P")+
 --(INDEX('TH_MLG GRADE 10'!#REF!,MATCH(LEFT($A137,LEN($A137)-2),'TH_MLG GRADE 10'!$B$7:$B$49,0))="P"),
0)</f>
        <v>0</v>
      </c>
      <c r="D137" s="24" t="b">
        <f ca="1">IF(IF(_xlfn.XLOOKUP(LEFT(A137,LEN(A137)-2),'TH_MLG GRADE 10'!$B$7:$B$49,'TH_MLG GRADE 10'!$BM$7:$BM$49,"",0,1)=0,"",_xlfn.XLOOKUP(LEFT(A137,LEN(A137)-2),'TH_MLG GRADE 10'!$B$7:$B$49,'TH_MLG GRADE 10'!$BM$7:$BM$49,"",0,1))&lt;=TODAY(),TRUE,FALSE)</f>
        <v>0</v>
      </c>
      <c r="E137" s="25" t="str">
        <f t="shared" ca="1" si="4"/>
        <v/>
      </c>
      <c r="F137" t="s">
        <v>452</v>
      </c>
      <c r="G137">
        <v>3</v>
      </c>
      <c r="H137">
        <f>IFERROR(
 --(INDEX('PW_MLG GRADE 10'!#REF!,MATCH(LEFT($A137,LEN($A137)-2),'PW_MLG GRADE 10'!$B$7:$B$31,0))="P")+
 --(INDEX('PW_MLG GRADE 10'!#REF!,MATCH(LEFT($A137,LEN($A137)-2),'PW_MLG GRADE 10'!$B$7:$B$31,0))="P")+
 --(INDEX('PW_MLG GRADE 10'!#REF!,MATCH(LEFT($A137,LEN($A137)-2),'PW_MLG GRADE 10'!$B$7:$B$31,0))="P")+
 --(INDEX('PW_MLG GRADE 10'!#REF!,MATCH(LEFT($A137,LEN($A137)-2),'PW_MLG GRADE 10'!$B$7:$B$31,0))="P")+
 --(INDEX('PW_MLG GRADE 10'!#REF!,MATCH(LEFT($A137,LEN($A137)-2),'PW_MLG GRADE 10'!$B$7:$B$31,0))="P")+
 --(INDEX('PW_MLG GRADE 10'!#REF!,MATCH(LEFT($A137,LEN($A137)-2),'PW_MLG GRADE 10'!$B$7:$B$31,0))="P")+
 --(INDEX('PW_MLG GRADE 10'!#REF!,MATCH(LEFT($A137,LEN($A137)-2),'PW_MLG GRADE 10'!$B$7:$B$31,0))="P")+
 --(INDEX('PW_MLG GRADE 10'!#REF!,MATCH(LEFT($A137,LEN($A137)-2),'PW_MLG GRADE 10'!$B$7:$B$31,0))="P")+
 --(INDEX('PW_MLG GRADE 10'!#REF!,MATCH(LEFT($A137,LEN($A137)-2),'PW_MLG GRADE 10'!$B$7:$B$31,0))="P")+
 --(INDEX('PW_MLG GRADE 10'!#REF!,MATCH(LEFT($A137,LEN($A137)-2),'PW_MLG GRADE 10'!$B$7:$B$31,0))="P"),
0)</f>
        <v>0</v>
      </c>
      <c r="I137" t="e">
        <f ca="1">IF(IF(_xlfn.XLOOKUP(LEFT(F137,LEN(F137)-2),'PW_MLG GRADE 10'!$B$7:$B$31,'PW_MLG GRADE 10'!#REF!,"",0,1)=0,"",_xlfn.XLOOKUP(LEFT(F137,LEN(F137)-2),'PW_MLG GRADE 10'!$B$7:$B$31,'PW_MLG GRADE 10'!#REF!,"",0,1))&lt;=TODAY(),TRUE,FALSE)</f>
        <v>#REF!</v>
      </c>
      <c r="J137">
        <f t="shared" ca="1" si="5"/>
        <v>0</v>
      </c>
    </row>
    <row r="139" spans="1:13">
      <c r="A139" s="140" t="s">
        <v>453</v>
      </c>
      <c r="B139" s="140"/>
      <c r="C139" s="140"/>
      <c r="D139" s="140"/>
      <c r="E139" s="141">
        <f ca="1">IFERROR(AVERAGE(E3:E137),0)</f>
        <v>0</v>
      </c>
      <c r="F139" s="138" t="s">
        <v>453</v>
      </c>
      <c r="G139" s="138"/>
      <c r="H139" s="138"/>
      <c r="I139" s="138"/>
      <c r="J139" s="139">
        <f ca="1">IFERROR(AVERAGE(J3:J137),0)</f>
        <v>0</v>
      </c>
      <c r="L139" t="s">
        <v>344</v>
      </c>
      <c r="M139" s="55" t="e">
        <f ca="1">AVERAGEIF(E139:J139,"&lt;&gt;0",E139:J139)</f>
        <v>#DIV/0!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B494-ECCB-48AB-B582-4E7AF37D0993}">
  <sheetPr codeName="Feuil26">
    <tabColor rgb="FFFF6161"/>
  </sheetPr>
  <dimension ref="A1:CS109"/>
  <sheetViews>
    <sheetView showGridLines="0" tabSelected="1" zoomScale="70" zoomScaleNormal="70" workbookViewId="0">
      <pane xSplit="2" ySplit="6" topLeftCell="C7" activePane="bottomRight" state="frozen"/>
      <selection pane="bottomRight" activeCell="W18" sqref="W18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3" max="56" width="3.42578125" customWidth="1"/>
    <col min="57" max="62" width="3.42578125" style="90" customWidth="1"/>
    <col min="63" max="68" width="8.5703125" style="90" customWidth="1"/>
    <col min="69" max="71" width="8.5703125" customWidth="1"/>
    <col min="72" max="72" width="10.5703125" customWidth="1"/>
    <col min="73" max="74" width="8.5703125" customWidth="1"/>
    <col min="75" max="75" width="10.42578125" customWidth="1"/>
    <col min="76" max="83" width="8.5703125" customWidth="1"/>
  </cols>
  <sheetData>
    <row r="1" spans="1:97" ht="14.45" customHeight="1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R1" t="b">
        <v>0</v>
      </c>
      <c r="AX1" t="b">
        <v>0</v>
      </c>
      <c r="BD1" t="b">
        <v>0</v>
      </c>
    </row>
    <row r="2" spans="1:97" ht="14.45" customHeight="1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97" ht="14.45" customHeight="1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97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97" ht="37.5" customHeight="1" thickBot="1">
      <c r="B5" s="9"/>
      <c r="C5" s="373" t="s">
        <v>34</v>
      </c>
      <c r="D5" s="374"/>
      <c r="E5" s="374"/>
      <c r="F5" s="374"/>
      <c r="G5" s="374"/>
      <c r="H5" s="375"/>
      <c r="I5" s="373" t="s">
        <v>164</v>
      </c>
      <c r="J5" s="374"/>
      <c r="K5" s="374"/>
      <c r="L5" s="374"/>
      <c r="M5" s="374"/>
      <c r="N5" s="375"/>
      <c r="O5" s="366" t="s">
        <v>454</v>
      </c>
      <c r="P5" s="367"/>
      <c r="Q5" s="367"/>
      <c r="R5" s="367"/>
      <c r="S5" s="367"/>
      <c r="T5" s="368"/>
      <c r="U5" s="373" t="s">
        <v>166</v>
      </c>
      <c r="V5" s="374"/>
      <c r="W5" s="374"/>
      <c r="X5" s="374"/>
      <c r="Y5" s="374"/>
      <c r="Z5" s="375"/>
      <c r="AA5" s="366" t="s">
        <v>455</v>
      </c>
      <c r="AB5" s="367"/>
      <c r="AC5" s="367"/>
      <c r="AD5" s="367"/>
      <c r="AE5" s="367"/>
      <c r="AF5" s="368"/>
      <c r="AG5" s="373" t="s">
        <v>168</v>
      </c>
      <c r="AH5" s="374"/>
      <c r="AI5" s="374"/>
      <c r="AJ5" s="374"/>
      <c r="AK5" s="374"/>
      <c r="AL5" s="375"/>
      <c r="AM5" s="373" t="s">
        <v>169</v>
      </c>
      <c r="AN5" s="374"/>
      <c r="AO5" s="374"/>
      <c r="AP5" s="374"/>
      <c r="AQ5" s="374"/>
      <c r="AR5" s="375"/>
      <c r="AS5" s="373" t="s">
        <v>170</v>
      </c>
      <c r="AT5" s="374"/>
      <c r="AU5" s="374"/>
      <c r="AV5" s="374"/>
      <c r="AW5" s="374"/>
      <c r="AX5" s="375"/>
      <c r="AY5" s="373" t="s">
        <v>171</v>
      </c>
      <c r="AZ5" s="374"/>
      <c r="BA5" s="374"/>
      <c r="BB5" s="374"/>
      <c r="BC5" s="374"/>
      <c r="BD5" s="375"/>
      <c r="BE5" s="373" t="s">
        <v>172</v>
      </c>
      <c r="BF5" s="374"/>
      <c r="BG5" s="374"/>
      <c r="BH5" s="374"/>
      <c r="BI5" s="374"/>
      <c r="BJ5" s="375"/>
      <c r="BK5" s="379" t="s">
        <v>193</v>
      </c>
      <c r="BL5" s="380"/>
      <c r="BM5" s="380"/>
      <c r="BN5" s="373" t="str">
        <f>C5</f>
        <v>TASYA</v>
      </c>
      <c r="BO5" s="374"/>
      <c r="BP5" s="374"/>
      <c r="BQ5" s="373" t="str">
        <f>I5</f>
        <v>FAIZ</v>
      </c>
      <c r="BR5" s="374"/>
      <c r="BS5" s="375"/>
      <c r="BT5" s="373" t="str">
        <f>O5</f>
        <v>ANNISA (ICHA)</v>
      </c>
      <c r="BU5" s="374"/>
      <c r="BV5" s="375"/>
      <c r="BW5" s="373" t="str">
        <f>U5</f>
        <v>BIMA</v>
      </c>
      <c r="BX5" s="374"/>
      <c r="BY5" s="375"/>
      <c r="BZ5" s="373" t="str">
        <f>AA5</f>
        <v>AKHMAD (ZIDAN)</v>
      </c>
      <c r="CA5" s="374"/>
      <c r="CB5" s="375"/>
      <c r="CC5" s="373" t="str">
        <f>AG5</f>
        <v>ARIFAH</v>
      </c>
      <c r="CD5" s="374"/>
      <c r="CE5" s="375"/>
      <c r="CF5" s="373" t="str">
        <f>AM5</f>
        <v>DEVI</v>
      </c>
      <c r="CG5" s="374"/>
      <c r="CH5" s="375"/>
      <c r="CI5" s="373" t="str">
        <f>AS5</f>
        <v>AINUR</v>
      </c>
      <c r="CJ5" s="374"/>
      <c r="CK5" s="375"/>
      <c r="CL5" s="373" t="str">
        <f>AY5</f>
        <v>FAJAR</v>
      </c>
      <c r="CM5" s="374"/>
      <c r="CN5" s="375"/>
      <c r="CO5" s="373" t="str">
        <f>BE5</f>
        <v>ALIF</v>
      </c>
      <c r="CP5" s="374"/>
      <c r="CQ5" s="375"/>
    </row>
    <row r="6" spans="1:97" ht="18" customHeight="1" thickBot="1">
      <c r="A6" s="346" t="s">
        <v>194</v>
      </c>
      <c r="B6" s="271"/>
      <c r="C6" s="130" t="s">
        <v>29</v>
      </c>
      <c r="D6" s="131" t="s">
        <v>30</v>
      </c>
      <c r="E6" s="131" t="s">
        <v>195</v>
      </c>
      <c r="F6" s="131" t="s">
        <v>196</v>
      </c>
      <c r="G6" s="131" t="s">
        <v>197</v>
      </c>
      <c r="H6" s="132" t="s">
        <v>33</v>
      </c>
      <c r="I6" s="130" t="s">
        <v>29</v>
      </c>
      <c r="J6" s="131" t="s">
        <v>30</v>
      </c>
      <c r="K6" s="131" t="s">
        <v>195</v>
      </c>
      <c r="L6" s="131" t="s">
        <v>196</v>
      </c>
      <c r="M6" s="131" t="s">
        <v>197</v>
      </c>
      <c r="N6" s="132" t="s">
        <v>33</v>
      </c>
      <c r="O6" s="130" t="s">
        <v>29</v>
      </c>
      <c r="P6" s="131" t="s">
        <v>30</v>
      </c>
      <c r="Q6" s="131" t="s">
        <v>195</v>
      </c>
      <c r="R6" s="131" t="s">
        <v>196</v>
      </c>
      <c r="S6" s="131" t="s">
        <v>197</v>
      </c>
      <c r="T6" s="132" t="s">
        <v>33</v>
      </c>
      <c r="U6" s="130" t="s">
        <v>29</v>
      </c>
      <c r="V6" s="131" t="s">
        <v>30</v>
      </c>
      <c r="W6" s="131" t="s">
        <v>195</v>
      </c>
      <c r="X6" s="131" t="s">
        <v>196</v>
      </c>
      <c r="Y6" s="131" t="s">
        <v>197</v>
      </c>
      <c r="Z6" s="132" t="s">
        <v>33</v>
      </c>
      <c r="AA6" s="279" t="s">
        <v>29</v>
      </c>
      <c r="AB6" s="131" t="s">
        <v>30</v>
      </c>
      <c r="AC6" s="131" t="s">
        <v>195</v>
      </c>
      <c r="AD6" s="131" t="s">
        <v>196</v>
      </c>
      <c r="AE6" s="131" t="s">
        <v>197</v>
      </c>
      <c r="AF6" s="132" t="s">
        <v>33</v>
      </c>
      <c r="AG6" s="280" t="s">
        <v>29</v>
      </c>
      <c r="AH6" s="281" t="s">
        <v>30</v>
      </c>
      <c r="AI6" s="281" t="s">
        <v>195</v>
      </c>
      <c r="AJ6" s="281" t="s">
        <v>196</v>
      </c>
      <c r="AK6" s="281" t="s">
        <v>197</v>
      </c>
      <c r="AL6" s="282" t="s">
        <v>33</v>
      </c>
      <c r="AM6" s="130" t="s">
        <v>29</v>
      </c>
      <c r="AN6" s="131" t="s">
        <v>30</v>
      </c>
      <c r="AO6" s="131" t="s">
        <v>195</v>
      </c>
      <c r="AP6" s="131" t="s">
        <v>196</v>
      </c>
      <c r="AQ6" s="131" t="s">
        <v>197</v>
      </c>
      <c r="AR6" s="276" t="s">
        <v>33</v>
      </c>
      <c r="AS6" s="130" t="s">
        <v>29</v>
      </c>
      <c r="AT6" s="131" t="s">
        <v>30</v>
      </c>
      <c r="AU6" s="131" t="s">
        <v>195</v>
      </c>
      <c r="AV6" s="131" t="s">
        <v>196</v>
      </c>
      <c r="AW6" s="131" t="s">
        <v>197</v>
      </c>
      <c r="AX6" s="276" t="s">
        <v>33</v>
      </c>
      <c r="AY6" s="130" t="s">
        <v>29</v>
      </c>
      <c r="AZ6" s="131" t="s">
        <v>30</v>
      </c>
      <c r="BA6" s="131" t="s">
        <v>195</v>
      </c>
      <c r="BB6" s="131" t="s">
        <v>196</v>
      </c>
      <c r="BC6" s="131" t="s">
        <v>197</v>
      </c>
      <c r="BD6" s="276" t="s">
        <v>33</v>
      </c>
      <c r="BE6" s="272" t="s">
        <v>29</v>
      </c>
      <c r="BF6" s="268" t="s">
        <v>30</v>
      </c>
      <c r="BG6" s="268" t="s">
        <v>195</v>
      </c>
      <c r="BH6" s="268" t="s">
        <v>196</v>
      </c>
      <c r="BI6" s="268" t="s">
        <v>197</v>
      </c>
      <c r="BJ6" s="273" t="s">
        <v>33</v>
      </c>
      <c r="BK6" s="274" t="s">
        <v>29</v>
      </c>
      <c r="BL6" s="275" t="s">
        <v>30</v>
      </c>
      <c r="BM6" s="98" t="s">
        <v>33</v>
      </c>
      <c r="BN6" s="99" t="s">
        <v>195</v>
      </c>
      <c r="BO6" s="94" t="s">
        <v>196</v>
      </c>
      <c r="BP6" s="100" t="s">
        <v>197</v>
      </c>
      <c r="BQ6" s="99" t="s">
        <v>195</v>
      </c>
      <c r="BR6" s="94" t="s">
        <v>196</v>
      </c>
      <c r="BS6" s="100" t="s">
        <v>197</v>
      </c>
      <c r="BT6" s="99" t="s">
        <v>195</v>
      </c>
      <c r="BU6" s="94" t="s">
        <v>196</v>
      </c>
      <c r="BV6" s="100" t="s">
        <v>197</v>
      </c>
      <c r="BW6" s="99" t="s">
        <v>195</v>
      </c>
      <c r="BX6" s="94" t="s">
        <v>196</v>
      </c>
      <c r="BY6" s="100" t="s">
        <v>197</v>
      </c>
      <c r="BZ6" s="99" t="s">
        <v>195</v>
      </c>
      <c r="CA6" s="94" t="s">
        <v>196</v>
      </c>
      <c r="CB6" s="100" t="s">
        <v>197</v>
      </c>
      <c r="CC6" s="99" t="s">
        <v>195</v>
      </c>
      <c r="CD6" s="94" t="s">
        <v>196</v>
      </c>
      <c r="CE6" s="100" t="s">
        <v>197</v>
      </c>
      <c r="CF6" s="99" t="s">
        <v>195</v>
      </c>
      <c r="CG6" s="94" t="s">
        <v>196</v>
      </c>
      <c r="CH6" s="100" t="s">
        <v>197</v>
      </c>
      <c r="CI6" s="99" t="s">
        <v>195</v>
      </c>
      <c r="CJ6" s="94" t="s">
        <v>196</v>
      </c>
      <c r="CK6" s="100" t="s">
        <v>197</v>
      </c>
      <c r="CL6" s="99" t="s">
        <v>195</v>
      </c>
      <c r="CM6" s="94" t="s">
        <v>196</v>
      </c>
      <c r="CN6" s="100" t="s">
        <v>197</v>
      </c>
      <c r="CO6" s="99" t="s">
        <v>195</v>
      </c>
      <c r="CP6" s="94" t="s">
        <v>196</v>
      </c>
      <c r="CQ6" s="100" t="s">
        <v>197</v>
      </c>
      <c r="CS6" s="346" t="s">
        <v>198</v>
      </c>
    </row>
    <row r="7" spans="1:97" ht="20.100000000000001" customHeight="1">
      <c r="A7" s="71" t="b">
        <f>IF(OR(D7&lt;&gt;"",AB7&lt;&gt;"",J7&lt;&gt;"",P7&lt;&gt;"",AH7&lt;&gt;"",AN7&lt;&gt;"",AZ7&lt;&gt;"",BF7&lt;&gt;"",AT7&lt;&gt;"",V7&lt;&gt;""),TRUE,FALSE)</f>
        <v>1</v>
      </c>
      <c r="B7" s="284" t="s">
        <v>80</v>
      </c>
      <c r="C7" s="318"/>
      <c r="D7" s="319"/>
      <c r="E7" s="319"/>
      <c r="F7" s="319"/>
      <c r="G7" s="319"/>
      <c r="H7" s="320"/>
      <c r="I7" s="318"/>
      <c r="J7" s="319"/>
      <c r="K7" s="319"/>
      <c r="L7" s="319"/>
      <c r="M7" s="319"/>
      <c r="N7" s="320"/>
      <c r="O7" s="321"/>
      <c r="P7" s="333"/>
      <c r="Q7" s="333"/>
      <c r="R7" s="333"/>
      <c r="S7" s="333"/>
      <c r="T7" s="321"/>
      <c r="U7" s="322"/>
      <c r="V7" s="323"/>
      <c r="W7" s="323"/>
      <c r="X7" s="323"/>
      <c r="Y7" s="323"/>
      <c r="Z7" s="324"/>
      <c r="AA7" s="321"/>
      <c r="AB7" s="333"/>
      <c r="AC7" s="333"/>
      <c r="AD7" s="333"/>
      <c r="AE7" s="333"/>
      <c r="AF7" s="321"/>
      <c r="AG7" s="325"/>
      <c r="AH7" s="323"/>
      <c r="AI7" s="323"/>
      <c r="AJ7" s="323"/>
      <c r="AK7" s="323"/>
      <c r="AL7" s="326"/>
      <c r="AM7" s="327" t="s">
        <v>176</v>
      </c>
      <c r="AN7" s="328" t="s">
        <v>176</v>
      </c>
      <c r="AO7" s="328" t="s">
        <v>176</v>
      </c>
      <c r="AP7" s="328"/>
      <c r="AQ7" s="328"/>
      <c r="AR7" s="329"/>
      <c r="AS7" s="327" t="s">
        <v>176</v>
      </c>
      <c r="AT7" s="328" t="s">
        <v>176</v>
      </c>
      <c r="AU7" s="328" t="s">
        <v>176</v>
      </c>
      <c r="AV7" s="328"/>
      <c r="AW7" s="328"/>
      <c r="AX7" s="329"/>
      <c r="AY7" s="327" t="s">
        <v>176</v>
      </c>
      <c r="AZ7" s="328" t="s">
        <v>176</v>
      </c>
      <c r="BA7" s="328" t="s">
        <v>174</v>
      </c>
      <c r="BB7" s="328"/>
      <c r="BC7" s="328"/>
      <c r="BD7" s="329"/>
      <c r="BE7" s="295"/>
      <c r="BF7" s="296"/>
      <c r="BG7" s="296"/>
      <c r="BH7" s="296"/>
      <c r="BI7" s="296"/>
      <c r="BJ7" s="297"/>
      <c r="BK7" s="305">
        <v>46077</v>
      </c>
      <c r="BL7" s="306">
        <v>46224</v>
      </c>
      <c r="BM7" s="307"/>
      <c r="BN7" s="330"/>
      <c r="BO7" s="331"/>
      <c r="BP7" s="332"/>
      <c r="BQ7" s="330"/>
      <c r="BR7" s="331"/>
      <c r="BS7" s="332"/>
      <c r="BT7" s="330"/>
      <c r="BU7" s="331"/>
      <c r="BV7" s="332"/>
      <c r="BW7" s="330"/>
      <c r="BX7" s="331"/>
      <c r="BY7" s="332"/>
      <c r="BZ7" s="330"/>
      <c r="CA7" s="331"/>
      <c r="CB7" s="332"/>
      <c r="CC7" s="330"/>
      <c r="CD7" s="331"/>
      <c r="CE7" s="332"/>
      <c r="CF7" s="315">
        <v>46177</v>
      </c>
      <c r="CG7" s="316"/>
      <c r="CH7" s="317"/>
      <c r="CI7" s="315">
        <v>46142</v>
      </c>
      <c r="CJ7" s="316"/>
      <c r="CK7" s="317"/>
      <c r="CL7" s="315">
        <v>46091</v>
      </c>
      <c r="CM7" s="316"/>
      <c r="CN7" s="317"/>
      <c r="CO7" s="311"/>
      <c r="CP7" s="309"/>
      <c r="CQ7" s="310"/>
      <c r="CR7" s="90" t="str">
        <f t="shared" ref="CR7:CR48" si="0">_xlfn.TEXTBEFORE($B7,".",2)</f>
        <v>9.1</v>
      </c>
      <c r="CS7" s="71" t="b">
        <f>IF(OR(H7&lt;&gt;"",N7&lt;&gt;"",T7&lt;&gt;"",Z7&lt;&gt;"",AF7&lt;&gt;"",AL7&lt;&gt;"",AR7&lt;&gt;"",AX7&lt;&gt;"",BD7&lt;&gt;"",BJ7&lt;&gt;"",BM7&lt;&gt;""),TRUE,FALSE)</f>
        <v>0</v>
      </c>
    </row>
    <row r="8" spans="1:97" ht="20.100000000000001" customHeight="1">
      <c r="A8" s="71" t="b">
        <f t="shared" ref="A8:A48" si="1">IF(OR(D8&lt;&gt;"",AB8&lt;&gt;"",J8&lt;&gt;"",P8&lt;&gt;"",AH8&lt;&gt;"",AN8&lt;&gt;"",AZ8&lt;&gt;"",BF8&lt;&gt;"",AT8&lt;&gt;"",V8&lt;&gt;""),TRUE,FALSE)</f>
        <v>1</v>
      </c>
      <c r="B8" s="9" t="s">
        <v>81</v>
      </c>
      <c r="C8" s="39"/>
      <c r="D8" s="40"/>
      <c r="E8" s="40"/>
      <c r="F8" s="40"/>
      <c r="G8" s="40"/>
      <c r="H8" s="43"/>
      <c r="I8" s="39"/>
      <c r="J8" s="40"/>
      <c r="K8" s="40"/>
      <c r="L8" s="40"/>
      <c r="M8" s="40"/>
      <c r="N8" s="43"/>
      <c r="O8" s="253"/>
      <c r="P8" s="262"/>
      <c r="Q8" s="262"/>
      <c r="R8" s="262"/>
      <c r="S8" s="262"/>
      <c r="T8" s="253"/>
      <c r="U8" s="39"/>
      <c r="V8" s="40"/>
      <c r="W8" s="40"/>
      <c r="X8" s="40"/>
      <c r="Y8" s="40"/>
      <c r="Z8" s="43"/>
      <c r="AA8" s="253"/>
      <c r="AB8" s="262" t="s">
        <v>176</v>
      </c>
      <c r="AC8" s="262"/>
      <c r="AD8" s="262"/>
      <c r="AE8" s="262"/>
      <c r="AF8" s="253"/>
      <c r="AG8" s="255"/>
      <c r="AH8" s="40"/>
      <c r="AI8" s="40"/>
      <c r="AJ8" s="40"/>
      <c r="AK8" s="40"/>
      <c r="AL8" s="256"/>
      <c r="AM8" s="89" t="s">
        <v>176</v>
      </c>
      <c r="AN8" s="73" t="s">
        <v>176</v>
      </c>
      <c r="AO8" s="188" t="s">
        <v>176</v>
      </c>
      <c r="AP8" s="73"/>
      <c r="AQ8" s="73"/>
      <c r="AR8" s="164"/>
      <c r="AS8" s="89" t="s">
        <v>176</v>
      </c>
      <c r="AT8" s="73" t="s">
        <v>176</v>
      </c>
      <c r="AU8" s="73" t="s">
        <v>176</v>
      </c>
      <c r="AV8" s="73"/>
      <c r="AW8" s="73"/>
      <c r="AX8" s="164"/>
      <c r="AY8" s="89" t="s">
        <v>176</v>
      </c>
      <c r="AZ8" s="73" t="s">
        <v>176</v>
      </c>
      <c r="BA8" s="73"/>
      <c r="BB8" s="73"/>
      <c r="BC8" s="73"/>
      <c r="BD8" s="164"/>
      <c r="BE8" s="106"/>
      <c r="BF8" s="22"/>
      <c r="BG8" s="22"/>
      <c r="BH8" s="22"/>
      <c r="BI8" s="22"/>
      <c r="BJ8" s="105"/>
      <c r="BK8" s="110">
        <v>46077</v>
      </c>
      <c r="BL8" s="117">
        <v>46225</v>
      </c>
      <c r="BM8" s="112"/>
      <c r="BN8" s="150"/>
      <c r="BO8" s="154"/>
      <c r="BP8" s="152"/>
      <c r="BQ8" s="150"/>
      <c r="BR8" s="154"/>
      <c r="BS8" s="152"/>
      <c r="BT8" s="150"/>
      <c r="BU8" s="154"/>
      <c r="BV8" s="152"/>
      <c r="BW8" s="150"/>
      <c r="BX8" s="154"/>
      <c r="BY8" s="152"/>
      <c r="BZ8" s="150"/>
      <c r="CA8" s="154"/>
      <c r="CB8" s="152"/>
      <c r="CC8" s="150"/>
      <c r="CD8" s="154"/>
      <c r="CE8" s="152"/>
      <c r="CF8" s="113" t="s">
        <v>456</v>
      </c>
      <c r="CG8" s="114"/>
      <c r="CH8" s="115"/>
      <c r="CI8" s="113" t="s">
        <v>457</v>
      </c>
      <c r="CJ8" s="118"/>
      <c r="CK8" s="115"/>
      <c r="CL8" s="113"/>
      <c r="CM8" s="114"/>
      <c r="CN8" s="115"/>
      <c r="CO8" s="203"/>
      <c r="CP8" s="204"/>
      <c r="CQ8" s="205"/>
      <c r="CR8" s="90" t="str">
        <f t="shared" si="0"/>
        <v>9.1</v>
      </c>
      <c r="CS8" s="71" t="b">
        <f t="shared" ref="CS8:CS48" si="2">IF(OR(H8&lt;&gt;"",N8&lt;&gt;"",T8&lt;&gt;"",Z8&lt;&gt;"",AF8&lt;&gt;"",AL8&lt;&gt;"",AR8&lt;&gt;"",AX8&lt;&gt;"",BD8&lt;&gt;"",BJ8&lt;&gt;"",BM8&lt;&gt;""),TRUE,FALSE)</f>
        <v>0</v>
      </c>
    </row>
    <row r="9" spans="1:97" ht="20.100000000000001" customHeight="1">
      <c r="A9" s="71" t="b">
        <f t="shared" si="1"/>
        <v>1</v>
      </c>
      <c r="B9" s="9" t="s">
        <v>82</v>
      </c>
      <c r="C9" s="39"/>
      <c r="D9" s="40"/>
      <c r="E9" s="40"/>
      <c r="F9" s="40"/>
      <c r="G9" s="40"/>
      <c r="H9" s="43"/>
      <c r="I9" s="39"/>
      <c r="J9" s="40"/>
      <c r="K9" s="40"/>
      <c r="L9" s="40"/>
      <c r="M9" s="40"/>
      <c r="N9" s="43"/>
      <c r="O9" s="253"/>
      <c r="P9" s="262"/>
      <c r="Q9" s="262"/>
      <c r="R9" s="262"/>
      <c r="S9" s="262"/>
      <c r="T9" s="253"/>
      <c r="U9" s="39"/>
      <c r="V9" s="40"/>
      <c r="W9" s="40"/>
      <c r="X9" s="40"/>
      <c r="Y9" s="40"/>
      <c r="Z9" s="43"/>
      <c r="AA9" s="253"/>
      <c r="AB9" s="262"/>
      <c r="AC9" s="262"/>
      <c r="AD9" s="262"/>
      <c r="AE9" s="262"/>
      <c r="AF9" s="253"/>
      <c r="AG9" s="255"/>
      <c r="AH9" s="40"/>
      <c r="AI9" s="40"/>
      <c r="AJ9" s="40"/>
      <c r="AK9" s="40"/>
      <c r="AL9" s="256"/>
      <c r="AM9" s="89" t="s">
        <v>176</v>
      </c>
      <c r="AN9" s="188" t="s">
        <v>176</v>
      </c>
      <c r="AO9" s="188" t="s">
        <v>176</v>
      </c>
      <c r="AP9" s="73"/>
      <c r="AQ9" s="73"/>
      <c r="AR9" s="164"/>
      <c r="AS9" s="89" t="s">
        <v>176</v>
      </c>
      <c r="AT9" s="188" t="s">
        <v>176</v>
      </c>
      <c r="AU9" s="188" t="s">
        <v>176</v>
      </c>
      <c r="AV9" s="73"/>
      <c r="AW9" s="73"/>
      <c r="AX9" s="164"/>
      <c r="AY9" s="89" t="s">
        <v>176</v>
      </c>
      <c r="AZ9" s="188" t="s">
        <v>176</v>
      </c>
      <c r="BA9" s="73"/>
      <c r="BB9" s="73"/>
      <c r="BC9" s="73"/>
      <c r="BD9" s="164"/>
      <c r="BE9" s="106"/>
      <c r="BF9" s="22"/>
      <c r="BG9" s="22"/>
      <c r="BH9" s="22"/>
      <c r="BI9" s="22"/>
      <c r="BJ9" s="105"/>
      <c r="BK9" s="116">
        <v>46078</v>
      </c>
      <c r="BL9" s="117">
        <v>46227</v>
      </c>
      <c r="BM9" s="112"/>
      <c r="BN9" s="150"/>
      <c r="BO9" s="151"/>
      <c r="BP9" s="152"/>
      <c r="BQ9" s="150"/>
      <c r="BR9" s="151"/>
      <c r="BS9" s="152"/>
      <c r="BT9" s="150"/>
      <c r="BU9" s="151"/>
      <c r="BV9" s="152"/>
      <c r="BW9" s="150"/>
      <c r="BX9" s="151"/>
      <c r="BY9" s="152"/>
      <c r="BZ9" s="150"/>
      <c r="CA9" s="151"/>
      <c r="CB9" s="152"/>
      <c r="CC9" s="150"/>
      <c r="CD9" s="151"/>
      <c r="CE9" s="152"/>
      <c r="CF9" s="113" t="s">
        <v>458</v>
      </c>
      <c r="CG9" s="114"/>
      <c r="CH9" s="115"/>
      <c r="CI9" s="119">
        <v>46240</v>
      </c>
      <c r="CJ9" s="114"/>
      <c r="CK9" s="115"/>
      <c r="CL9" s="113"/>
      <c r="CM9" s="114"/>
      <c r="CN9" s="115"/>
      <c r="CO9" s="203"/>
      <c r="CP9" s="204"/>
      <c r="CQ9" s="205"/>
      <c r="CR9" s="90" t="str">
        <f t="shared" si="0"/>
        <v>9.1</v>
      </c>
      <c r="CS9" s="71" t="b">
        <f t="shared" si="2"/>
        <v>0</v>
      </c>
    </row>
    <row r="10" spans="1:97" ht="20.100000000000001" customHeight="1">
      <c r="A10" s="71" t="b">
        <f t="shared" si="1"/>
        <v>1</v>
      </c>
      <c r="B10" s="9" t="s">
        <v>83</v>
      </c>
      <c r="C10" s="39"/>
      <c r="D10" s="40"/>
      <c r="E10" s="40"/>
      <c r="F10" s="40"/>
      <c r="G10" s="40"/>
      <c r="H10" s="43"/>
      <c r="I10" s="39"/>
      <c r="J10" s="40"/>
      <c r="K10" s="40"/>
      <c r="L10" s="40"/>
      <c r="M10" s="40"/>
      <c r="N10" s="43"/>
      <c r="O10" s="253"/>
      <c r="P10" s="262"/>
      <c r="Q10" s="262"/>
      <c r="R10" s="262"/>
      <c r="S10" s="262"/>
      <c r="T10" s="253"/>
      <c r="U10" s="39"/>
      <c r="V10" s="40"/>
      <c r="W10" s="40"/>
      <c r="X10" s="40"/>
      <c r="Y10" s="40"/>
      <c r="Z10" s="43"/>
      <c r="AA10" s="253"/>
      <c r="AB10" s="262"/>
      <c r="AC10" s="262"/>
      <c r="AD10" s="262"/>
      <c r="AE10" s="262"/>
      <c r="AF10" s="253"/>
      <c r="AG10" s="255"/>
      <c r="AH10" s="40"/>
      <c r="AI10" s="40"/>
      <c r="AJ10" s="40"/>
      <c r="AK10" s="40"/>
      <c r="AL10" s="256"/>
      <c r="AM10" s="89" t="s">
        <v>176</v>
      </c>
      <c r="AN10" s="188" t="s">
        <v>176</v>
      </c>
      <c r="AO10" s="188" t="s">
        <v>176</v>
      </c>
      <c r="AP10" s="73"/>
      <c r="AQ10" s="73"/>
      <c r="AR10" s="164"/>
      <c r="AS10" s="89" t="s">
        <v>176</v>
      </c>
      <c r="AT10" s="188" t="s">
        <v>176</v>
      </c>
      <c r="AU10" s="188" t="s">
        <v>176</v>
      </c>
      <c r="AV10" s="73"/>
      <c r="AW10" s="73"/>
      <c r="AX10" s="164"/>
      <c r="AY10" s="89" t="s">
        <v>176</v>
      </c>
      <c r="AZ10" s="188" t="s">
        <v>176</v>
      </c>
      <c r="BA10" s="73"/>
      <c r="BB10" s="73"/>
      <c r="BC10" s="73"/>
      <c r="BD10" s="164"/>
      <c r="BE10" s="106"/>
      <c r="BF10" s="22"/>
      <c r="BG10" s="22"/>
      <c r="BH10" s="22"/>
      <c r="BI10" s="22"/>
      <c r="BJ10" s="105"/>
      <c r="BK10" s="116">
        <v>46086</v>
      </c>
      <c r="BL10" s="117">
        <v>46231</v>
      </c>
      <c r="BM10" s="112"/>
      <c r="BN10" s="150"/>
      <c r="BO10" s="151"/>
      <c r="BP10" s="152"/>
      <c r="BQ10" s="150"/>
      <c r="BR10" s="151"/>
      <c r="BS10" s="152"/>
      <c r="BT10" s="150"/>
      <c r="BU10" s="151"/>
      <c r="BV10" s="152"/>
      <c r="BW10" s="150"/>
      <c r="BX10" s="151"/>
      <c r="BY10" s="152"/>
      <c r="BZ10" s="150"/>
      <c r="CA10" s="151"/>
      <c r="CB10" s="152"/>
      <c r="CC10" s="150"/>
      <c r="CD10" s="151"/>
      <c r="CE10" s="152"/>
      <c r="CF10" s="119">
        <v>46234</v>
      </c>
      <c r="CG10" s="114"/>
      <c r="CH10" s="115"/>
      <c r="CI10" s="119">
        <v>46241</v>
      </c>
      <c r="CJ10" s="114"/>
      <c r="CK10" s="115"/>
      <c r="CL10" s="113"/>
      <c r="CM10" s="114"/>
      <c r="CN10" s="115"/>
      <c r="CO10" s="203"/>
      <c r="CP10" s="204"/>
      <c r="CQ10" s="205"/>
      <c r="CR10" s="90" t="str">
        <f t="shared" si="0"/>
        <v>9.2</v>
      </c>
      <c r="CS10" s="71" t="b">
        <f t="shared" si="2"/>
        <v>0</v>
      </c>
    </row>
    <row r="11" spans="1:97" ht="20.100000000000001" customHeight="1">
      <c r="A11" s="71" t="b">
        <f t="shared" si="1"/>
        <v>1</v>
      </c>
      <c r="B11" s="9" t="s">
        <v>84</v>
      </c>
      <c r="C11" s="39"/>
      <c r="D11" s="40"/>
      <c r="E11" s="40"/>
      <c r="F11" s="40"/>
      <c r="G11" s="40"/>
      <c r="H11" s="43"/>
      <c r="I11" s="39"/>
      <c r="J11" s="40"/>
      <c r="K11" s="40"/>
      <c r="L11" s="40"/>
      <c r="M11" s="40"/>
      <c r="N11" s="43"/>
      <c r="O11" s="253"/>
      <c r="P11" s="262"/>
      <c r="Q11" s="262"/>
      <c r="R11" s="262"/>
      <c r="S11" s="262"/>
      <c r="T11" s="253"/>
      <c r="U11" s="39"/>
      <c r="V11" s="40"/>
      <c r="W11" s="40"/>
      <c r="X11" s="40"/>
      <c r="Y11" s="40"/>
      <c r="Z11" s="43"/>
      <c r="AA11" s="253"/>
      <c r="AB11" s="262"/>
      <c r="AC11" s="262"/>
      <c r="AD11" s="262"/>
      <c r="AE11" s="262"/>
      <c r="AF11" s="253"/>
      <c r="AG11" s="255"/>
      <c r="AH11" s="40"/>
      <c r="AI11" s="40"/>
      <c r="AJ11" s="40"/>
      <c r="AK11" s="40"/>
      <c r="AL11" s="256"/>
      <c r="AM11" s="89" t="s">
        <v>176</v>
      </c>
      <c r="AN11" s="188" t="s">
        <v>176</v>
      </c>
      <c r="AO11" s="188"/>
      <c r="AP11" s="73"/>
      <c r="AQ11" s="73"/>
      <c r="AR11" s="164"/>
      <c r="AS11" s="89" t="s">
        <v>176</v>
      </c>
      <c r="AT11" s="188" t="s">
        <v>176</v>
      </c>
      <c r="AU11" s="188" t="s">
        <v>176</v>
      </c>
      <c r="AV11" s="73"/>
      <c r="AW11" s="73"/>
      <c r="AX11" s="164"/>
      <c r="AY11" s="89" t="s">
        <v>176</v>
      </c>
      <c r="AZ11" s="188" t="s">
        <v>176</v>
      </c>
      <c r="BA11" s="73"/>
      <c r="BB11" s="73"/>
      <c r="BC11" s="73"/>
      <c r="BD11" s="164"/>
      <c r="BE11" s="106"/>
      <c r="BF11" s="22"/>
      <c r="BG11" s="22"/>
      <c r="BH11" s="22"/>
      <c r="BI11" s="22"/>
      <c r="BJ11" s="105"/>
      <c r="BK11" s="116">
        <v>46079</v>
      </c>
      <c r="BL11" s="117">
        <v>46232</v>
      </c>
      <c r="BM11" s="112"/>
      <c r="BN11" s="150"/>
      <c r="BO11" s="151"/>
      <c r="BP11" s="152"/>
      <c r="BQ11" s="150"/>
      <c r="BR11" s="151"/>
      <c r="BS11" s="152"/>
      <c r="BT11" s="150"/>
      <c r="BU11" s="151"/>
      <c r="BV11" s="152"/>
      <c r="BW11" s="150"/>
      <c r="BX11" s="151"/>
      <c r="BY11" s="152"/>
      <c r="BZ11" s="150"/>
      <c r="CA11" s="151"/>
      <c r="CB11" s="152"/>
      <c r="CC11" s="150"/>
      <c r="CD11" s="151"/>
      <c r="CE11" s="152"/>
      <c r="CF11" s="113"/>
      <c r="CG11" s="114"/>
      <c r="CH11" s="115"/>
      <c r="CI11" s="119">
        <v>46241</v>
      </c>
      <c r="CJ11" s="114"/>
      <c r="CK11" s="115"/>
      <c r="CL11" s="113"/>
      <c r="CM11" s="114"/>
      <c r="CN11" s="115"/>
      <c r="CO11" s="203"/>
      <c r="CP11" s="204"/>
      <c r="CQ11" s="205"/>
      <c r="CR11" s="90" t="str">
        <f t="shared" si="0"/>
        <v>9.3</v>
      </c>
      <c r="CS11" s="71" t="b">
        <f t="shared" si="2"/>
        <v>0</v>
      </c>
    </row>
    <row r="12" spans="1:97" ht="20.100000000000001" customHeight="1">
      <c r="A12" s="71" t="b">
        <f t="shared" si="1"/>
        <v>1</v>
      </c>
      <c r="B12" s="9" t="s">
        <v>85</v>
      </c>
      <c r="C12" s="39"/>
      <c r="D12" s="40"/>
      <c r="E12" s="40"/>
      <c r="F12" s="40"/>
      <c r="G12" s="40"/>
      <c r="H12" s="43"/>
      <c r="I12" s="39"/>
      <c r="J12" s="40"/>
      <c r="K12" s="40"/>
      <c r="L12" s="40"/>
      <c r="M12" s="40"/>
      <c r="N12" s="43"/>
      <c r="O12" s="253"/>
      <c r="P12" s="262"/>
      <c r="Q12" s="262"/>
      <c r="R12" s="262"/>
      <c r="S12" s="262"/>
      <c r="T12" s="253"/>
      <c r="U12" s="39"/>
      <c r="V12" s="40"/>
      <c r="W12" s="40"/>
      <c r="X12" s="40"/>
      <c r="Y12" s="40"/>
      <c r="Z12" s="43"/>
      <c r="AA12" s="253"/>
      <c r="AB12" s="262"/>
      <c r="AC12" s="262"/>
      <c r="AD12" s="262"/>
      <c r="AE12" s="262"/>
      <c r="AF12" s="253"/>
      <c r="AG12" s="255"/>
      <c r="AH12" s="40"/>
      <c r="AI12" s="40"/>
      <c r="AJ12" s="40"/>
      <c r="AK12" s="40"/>
      <c r="AL12" s="256"/>
      <c r="AM12" s="89" t="s">
        <v>176</v>
      </c>
      <c r="AN12" s="188" t="s">
        <v>176</v>
      </c>
      <c r="AO12" s="73" t="s">
        <v>176</v>
      </c>
      <c r="AP12" s="73"/>
      <c r="AQ12" s="73"/>
      <c r="AR12" s="164"/>
      <c r="AS12" s="89" t="s">
        <v>176</v>
      </c>
      <c r="AT12" s="188" t="s">
        <v>176</v>
      </c>
      <c r="AU12" s="188" t="s">
        <v>176</v>
      </c>
      <c r="AV12" s="73"/>
      <c r="AW12" s="73"/>
      <c r="AX12" s="164"/>
      <c r="AY12" s="89" t="s">
        <v>176</v>
      </c>
      <c r="AZ12" s="188" t="s">
        <v>176</v>
      </c>
      <c r="BA12" s="73"/>
      <c r="BB12" s="73"/>
      <c r="BC12" s="73"/>
      <c r="BD12" s="164"/>
      <c r="BE12" s="106"/>
      <c r="BF12" s="22"/>
      <c r="BG12" s="22"/>
      <c r="BH12" s="22"/>
      <c r="BI12" s="22"/>
      <c r="BJ12" s="105"/>
      <c r="BK12" s="110">
        <v>46077</v>
      </c>
      <c r="BL12" s="117">
        <v>46238</v>
      </c>
      <c r="BM12" s="112"/>
      <c r="BN12" s="150"/>
      <c r="BO12" s="151"/>
      <c r="BP12" s="152"/>
      <c r="BQ12" s="150"/>
      <c r="BR12" s="151"/>
      <c r="BS12" s="152"/>
      <c r="BT12" s="150"/>
      <c r="BU12" s="151"/>
      <c r="BV12" s="152"/>
      <c r="BW12" s="150"/>
      <c r="BX12" s="151"/>
      <c r="BY12" s="152"/>
      <c r="BZ12" s="150"/>
      <c r="CA12" s="151"/>
      <c r="CB12" s="152"/>
      <c r="CC12" s="150"/>
      <c r="CD12" s="151"/>
      <c r="CE12" s="152"/>
      <c r="CF12" s="119">
        <v>46142</v>
      </c>
      <c r="CG12" s="114"/>
      <c r="CH12" s="115"/>
      <c r="CI12" s="119">
        <v>46248</v>
      </c>
      <c r="CJ12" s="114"/>
      <c r="CK12" s="115"/>
      <c r="CL12" s="113"/>
      <c r="CM12" s="114"/>
      <c r="CN12" s="115"/>
      <c r="CO12" s="203"/>
      <c r="CP12" s="204"/>
      <c r="CQ12" s="205"/>
      <c r="CR12" s="90" t="str">
        <f t="shared" si="0"/>
        <v>9.4</v>
      </c>
      <c r="CS12" s="71" t="b">
        <f t="shared" si="2"/>
        <v>0</v>
      </c>
    </row>
    <row r="13" spans="1:97" ht="20.100000000000001" customHeight="1">
      <c r="A13" s="71" t="b">
        <f t="shared" si="1"/>
        <v>1</v>
      </c>
      <c r="B13" s="9" t="s">
        <v>86</v>
      </c>
      <c r="C13" s="39"/>
      <c r="D13" s="40"/>
      <c r="E13" s="40"/>
      <c r="F13" s="40"/>
      <c r="G13" s="40"/>
      <c r="H13" s="43"/>
      <c r="I13" s="39"/>
      <c r="J13" s="40"/>
      <c r="K13" s="40"/>
      <c r="L13" s="40"/>
      <c r="M13" s="40"/>
      <c r="N13" s="43"/>
      <c r="O13" s="253"/>
      <c r="P13" s="262"/>
      <c r="Q13" s="262"/>
      <c r="R13" s="262"/>
      <c r="S13" s="262"/>
      <c r="T13" s="253"/>
      <c r="U13" s="89" t="s">
        <v>176</v>
      </c>
      <c r="V13" s="73" t="s">
        <v>176</v>
      </c>
      <c r="W13" s="188" t="s">
        <v>176</v>
      </c>
      <c r="X13" s="73"/>
      <c r="Y13" s="73"/>
      <c r="Z13" s="164"/>
      <c r="AA13" s="254" t="s">
        <v>176</v>
      </c>
      <c r="AB13" s="263"/>
      <c r="AC13" s="263"/>
      <c r="AD13" s="263"/>
      <c r="AE13" s="263"/>
      <c r="AF13" s="254"/>
      <c r="AG13" s="257" t="s">
        <v>176</v>
      </c>
      <c r="AH13" s="73" t="s">
        <v>176</v>
      </c>
      <c r="AI13" s="188" t="s">
        <v>176</v>
      </c>
      <c r="AJ13" s="73"/>
      <c r="AK13" s="73"/>
      <c r="AL13" s="258"/>
      <c r="AM13" s="39"/>
      <c r="AN13" s="40"/>
      <c r="AO13" s="40"/>
      <c r="AP13" s="40"/>
      <c r="AQ13" s="40"/>
      <c r="AR13" s="43"/>
      <c r="AS13" s="39"/>
      <c r="AT13" s="40"/>
      <c r="AU13" s="40"/>
      <c r="AV13" s="40"/>
      <c r="AW13" s="40"/>
      <c r="AX13" s="43"/>
      <c r="AY13" s="39"/>
      <c r="AZ13" s="40"/>
      <c r="BA13" s="40"/>
      <c r="BB13" s="40"/>
      <c r="BC13" s="40"/>
      <c r="BD13" s="43"/>
      <c r="BE13" s="106"/>
      <c r="BF13" s="22"/>
      <c r="BG13" s="22"/>
      <c r="BH13" s="22"/>
      <c r="BI13" s="22"/>
      <c r="BJ13" s="105"/>
      <c r="BK13" s="116">
        <v>46086</v>
      </c>
      <c r="BL13" s="117">
        <v>46148</v>
      </c>
      <c r="BM13" s="112"/>
      <c r="BN13" s="150"/>
      <c r="BO13" s="151"/>
      <c r="BP13" s="152"/>
      <c r="BQ13" s="150"/>
      <c r="BR13" s="151"/>
      <c r="BS13" s="152"/>
      <c r="BT13" s="150"/>
      <c r="BU13" s="151"/>
      <c r="BV13" s="152"/>
      <c r="BW13" s="119">
        <v>46240</v>
      </c>
      <c r="BX13" s="114"/>
      <c r="BY13" s="115"/>
      <c r="BZ13" s="113"/>
      <c r="CA13" s="114"/>
      <c r="CB13" s="115"/>
      <c r="CC13" s="119">
        <v>46239</v>
      </c>
      <c r="CD13" s="114"/>
      <c r="CE13" s="115"/>
      <c r="CF13" s="150"/>
      <c r="CG13" s="151"/>
      <c r="CH13" s="152"/>
      <c r="CI13" s="150"/>
      <c r="CJ13" s="151"/>
      <c r="CK13" s="152"/>
      <c r="CL13" s="150"/>
      <c r="CM13" s="151"/>
      <c r="CN13" s="152"/>
      <c r="CO13" s="203"/>
      <c r="CP13" s="204"/>
      <c r="CQ13" s="205"/>
      <c r="CR13" s="90" t="str">
        <f t="shared" si="0"/>
        <v>3B.1</v>
      </c>
      <c r="CS13" s="71" t="b">
        <f t="shared" si="2"/>
        <v>0</v>
      </c>
    </row>
    <row r="14" spans="1:97" ht="20.100000000000001" customHeight="1">
      <c r="A14" s="71" t="b">
        <f t="shared" si="1"/>
        <v>0</v>
      </c>
      <c r="B14" s="9" t="s">
        <v>87</v>
      </c>
      <c r="C14" s="39"/>
      <c r="D14" s="40"/>
      <c r="E14" s="40"/>
      <c r="F14" s="40"/>
      <c r="G14" s="40"/>
      <c r="H14" s="43"/>
      <c r="I14" s="39"/>
      <c r="J14" s="40"/>
      <c r="K14" s="40"/>
      <c r="L14" s="40"/>
      <c r="M14" s="40"/>
      <c r="N14" s="43"/>
      <c r="O14" s="253"/>
      <c r="P14" s="262"/>
      <c r="Q14" s="262"/>
      <c r="R14" s="262"/>
      <c r="S14" s="262"/>
      <c r="T14" s="253"/>
      <c r="U14" s="89" t="s">
        <v>176</v>
      </c>
      <c r="V14" s="73"/>
      <c r="W14" s="188"/>
      <c r="X14" s="73"/>
      <c r="Y14" s="73"/>
      <c r="Z14" s="164"/>
      <c r="AA14" s="254" t="s">
        <v>176</v>
      </c>
      <c r="AB14" s="263"/>
      <c r="AC14" s="263"/>
      <c r="AD14" s="263"/>
      <c r="AE14" s="263"/>
      <c r="AF14" s="254"/>
      <c r="AG14" s="257" t="s">
        <v>176</v>
      </c>
      <c r="AH14" s="73"/>
      <c r="AI14" s="188" t="s">
        <v>176</v>
      </c>
      <c r="AJ14" s="73"/>
      <c r="AK14" s="73"/>
      <c r="AL14" s="258"/>
      <c r="AM14" s="39"/>
      <c r="AN14" s="40"/>
      <c r="AO14" s="40"/>
      <c r="AP14" s="40"/>
      <c r="AQ14" s="40"/>
      <c r="AR14" s="43"/>
      <c r="AS14" s="39"/>
      <c r="AT14" s="40"/>
      <c r="AU14" s="40"/>
      <c r="AV14" s="40"/>
      <c r="AW14" s="40"/>
      <c r="AX14" s="43"/>
      <c r="AY14" s="39"/>
      <c r="AZ14" s="40"/>
      <c r="BA14" s="40"/>
      <c r="BB14" s="40"/>
      <c r="BC14" s="40"/>
      <c r="BD14" s="43"/>
      <c r="BE14" s="106"/>
      <c r="BF14" s="22"/>
      <c r="BG14" s="22"/>
      <c r="BH14" s="22"/>
      <c r="BI14" s="22"/>
      <c r="BJ14" s="105"/>
      <c r="BK14" s="116">
        <v>46086</v>
      </c>
      <c r="BL14" s="117"/>
      <c r="BM14" s="112"/>
      <c r="BN14" s="150"/>
      <c r="BO14" s="151"/>
      <c r="BP14" s="152"/>
      <c r="BQ14" s="150"/>
      <c r="BR14" s="151"/>
      <c r="BS14" s="152"/>
      <c r="BT14" s="150"/>
      <c r="BU14" s="151"/>
      <c r="BV14" s="152"/>
      <c r="BW14" s="113"/>
      <c r="BX14" s="114"/>
      <c r="BY14" s="115"/>
      <c r="BZ14" s="113"/>
      <c r="CA14" s="114"/>
      <c r="CB14" s="115"/>
      <c r="CC14" s="119">
        <v>46241</v>
      </c>
      <c r="CD14" s="114"/>
      <c r="CE14" s="115"/>
      <c r="CF14" s="150"/>
      <c r="CG14" s="151"/>
      <c r="CH14" s="152"/>
      <c r="CI14" s="150"/>
      <c r="CJ14" s="151"/>
      <c r="CK14" s="152"/>
      <c r="CL14" s="150"/>
      <c r="CM14" s="151"/>
      <c r="CN14" s="152"/>
      <c r="CO14" s="203"/>
      <c r="CP14" s="204"/>
      <c r="CQ14" s="205"/>
      <c r="CR14" s="90" t="str">
        <f t="shared" si="0"/>
        <v>3B.1</v>
      </c>
      <c r="CS14" s="71" t="b">
        <f t="shared" si="2"/>
        <v>0</v>
      </c>
    </row>
    <row r="15" spans="1:97" ht="20.100000000000001" customHeight="1">
      <c r="A15" s="71" t="b">
        <f t="shared" si="1"/>
        <v>1</v>
      </c>
      <c r="B15" s="9" t="s">
        <v>88</v>
      </c>
      <c r="C15" s="39"/>
      <c r="D15" s="40"/>
      <c r="E15" s="40"/>
      <c r="F15" s="40"/>
      <c r="G15" s="40"/>
      <c r="H15" s="43"/>
      <c r="I15" s="39"/>
      <c r="J15" s="40"/>
      <c r="K15" s="40"/>
      <c r="L15" s="40"/>
      <c r="M15" s="40"/>
      <c r="N15" s="43"/>
      <c r="O15" s="253"/>
      <c r="P15" s="262"/>
      <c r="Q15" s="262"/>
      <c r="R15" s="262"/>
      <c r="S15" s="262"/>
      <c r="T15" s="253"/>
      <c r="U15" s="89" t="s">
        <v>176</v>
      </c>
      <c r="V15" s="73" t="s">
        <v>176</v>
      </c>
      <c r="W15" s="188" t="s">
        <v>176</v>
      </c>
      <c r="X15" s="73"/>
      <c r="Y15" s="73"/>
      <c r="Z15" s="164"/>
      <c r="AA15" s="254" t="s">
        <v>176</v>
      </c>
      <c r="AB15" s="263"/>
      <c r="AC15" s="263"/>
      <c r="AD15" s="263"/>
      <c r="AE15" s="263"/>
      <c r="AF15" s="254"/>
      <c r="AG15" s="257" t="s">
        <v>29</v>
      </c>
      <c r="AH15" s="73" t="s">
        <v>176</v>
      </c>
      <c r="AI15" s="188"/>
      <c r="AJ15" s="73"/>
      <c r="AK15" s="73"/>
      <c r="AL15" s="258"/>
      <c r="AM15" s="39"/>
      <c r="AN15" s="40"/>
      <c r="AO15" s="40"/>
      <c r="AP15" s="40"/>
      <c r="AQ15" s="40"/>
      <c r="AR15" s="43"/>
      <c r="AS15" s="39"/>
      <c r="AT15" s="40"/>
      <c r="AU15" s="40"/>
      <c r="AV15" s="40"/>
      <c r="AW15" s="40"/>
      <c r="AX15" s="43"/>
      <c r="AY15" s="39" t="s">
        <v>176</v>
      </c>
      <c r="AZ15" s="40"/>
      <c r="BA15" s="40"/>
      <c r="BB15" s="40"/>
      <c r="BC15" s="40"/>
      <c r="BD15" s="43"/>
      <c r="BE15" s="106"/>
      <c r="BF15" s="22"/>
      <c r="BG15" s="22"/>
      <c r="BH15" s="22"/>
      <c r="BI15" s="22"/>
      <c r="BJ15" s="105"/>
      <c r="BK15" s="116">
        <v>46090</v>
      </c>
      <c r="BL15" s="117">
        <v>46155</v>
      </c>
      <c r="BM15" s="112"/>
      <c r="BN15" s="150"/>
      <c r="BO15" s="151"/>
      <c r="BP15" s="152"/>
      <c r="BQ15" s="150"/>
      <c r="BR15" s="151"/>
      <c r="BS15" s="152"/>
      <c r="BT15" s="150"/>
      <c r="BU15" s="151"/>
      <c r="BV15" s="152"/>
      <c r="BW15" s="119">
        <v>46240</v>
      </c>
      <c r="BX15" s="114"/>
      <c r="BY15" s="115"/>
      <c r="BZ15" s="113"/>
      <c r="CA15" s="114"/>
      <c r="CB15" s="115"/>
      <c r="CC15" s="113"/>
      <c r="CD15" s="114"/>
      <c r="CE15" s="115"/>
      <c r="CF15" s="150"/>
      <c r="CG15" s="151"/>
      <c r="CH15" s="152"/>
      <c r="CI15" s="150"/>
      <c r="CJ15" s="151"/>
      <c r="CK15" s="152"/>
      <c r="CL15" s="150"/>
      <c r="CM15" s="151"/>
      <c r="CN15" s="152"/>
      <c r="CO15" s="203"/>
      <c r="CP15" s="204"/>
      <c r="CQ15" s="205"/>
      <c r="CR15" s="90" t="str">
        <f t="shared" si="0"/>
        <v>3B.2</v>
      </c>
      <c r="CS15" s="71" t="b">
        <f t="shared" si="2"/>
        <v>0</v>
      </c>
    </row>
    <row r="16" spans="1:97" ht="20.100000000000001" customHeight="1">
      <c r="A16" s="71" t="b">
        <f t="shared" si="1"/>
        <v>1</v>
      </c>
      <c r="B16" s="9" t="s">
        <v>89</v>
      </c>
      <c r="C16" s="39"/>
      <c r="D16" s="40"/>
      <c r="E16" s="40"/>
      <c r="F16" s="40"/>
      <c r="G16" s="40"/>
      <c r="H16" s="43"/>
      <c r="I16" s="39"/>
      <c r="J16" s="40"/>
      <c r="K16" s="40"/>
      <c r="L16" s="40"/>
      <c r="M16" s="40"/>
      <c r="N16" s="43"/>
      <c r="O16" s="253"/>
      <c r="P16" s="262"/>
      <c r="Q16" s="262"/>
      <c r="R16" s="262"/>
      <c r="S16" s="262"/>
      <c r="T16" s="253"/>
      <c r="U16" s="89" t="s">
        <v>176</v>
      </c>
      <c r="V16" s="73" t="s">
        <v>176</v>
      </c>
      <c r="W16" s="188"/>
      <c r="X16" s="73"/>
      <c r="Y16" s="73"/>
      <c r="Z16" s="164"/>
      <c r="AA16" s="254"/>
      <c r="AB16" s="263"/>
      <c r="AC16" s="263"/>
      <c r="AD16" s="263"/>
      <c r="AE16" s="263"/>
      <c r="AF16" s="254"/>
      <c r="AG16" s="257" t="s">
        <v>29</v>
      </c>
      <c r="AH16" s="73" t="s">
        <v>176</v>
      </c>
      <c r="AI16" s="188"/>
      <c r="AJ16" s="73"/>
      <c r="AK16" s="73"/>
      <c r="AL16" s="258"/>
      <c r="AM16" s="39"/>
      <c r="AN16" s="40"/>
      <c r="AO16" s="40"/>
      <c r="AP16" s="40"/>
      <c r="AQ16" s="40"/>
      <c r="AR16" s="43"/>
      <c r="AS16" s="39"/>
      <c r="AT16" s="40"/>
      <c r="AU16" s="40"/>
      <c r="AV16" s="40"/>
      <c r="AW16" s="40"/>
      <c r="AX16" s="43"/>
      <c r="AY16" s="39"/>
      <c r="AZ16" s="40"/>
      <c r="BA16" s="40"/>
      <c r="BB16" s="40"/>
      <c r="BC16" s="40"/>
      <c r="BD16" s="43"/>
      <c r="BE16" s="106"/>
      <c r="BF16" s="22"/>
      <c r="BG16" s="22"/>
      <c r="BH16" s="22"/>
      <c r="BI16" s="22"/>
      <c r="BJ16" s="105"/>
      <c r="BK16" s="116">
        <v>46090</v>
      </c>
      <c r="BL16" s="117">
        <v>46155</v>
      </c>
      <c r="BM16" s="136"/>
      <c r="BN16" s="150"/>
      <c r="BO16" s="151"/>
      <c r="BP16" s="152"/>
      <c r="BQ16" s="150"/>
      <c r="BR16" s="151"/>
      <c r="BS16" s="152"/>
      <c r="BT16" s="150"/>
      <c r="BU16" s="151"/>
      <c r="BV16" s="152"/>
      <c r="BW16" s="113"/>
      <c r="BX16" s="114"/>
      <c r="BY16" s="115"/>
      <c r="BZ16" s="113"/>
      <c r="CA16" s="114"/>
      <c r="CB16" s="115"/>
      <c r="CC16" s="113"/>
      <c r="CD16" s="114"/>
      <c r="CE16" s="115"/>
      <c r="CF16" s="150"/>
      <c r="CG16" s="151"/>
      <c r="CH16" s="152"/>
      <c r="CI16" s="150"/>
      <c r="CJ16" s="151"/>
      <c r="CK16" s="152"/>
      <c r="CL16" s="150"/>
      <c r="CM16" s="151"/>
      <c r="CN16" s="152"/>
      <c r="CO16" s="203"/>
      <c r="CP16" s="204"/>
      <c r="CQ16" s="205"/>
      <c r="CR16" s="90" t="str">
        <f t="shared" si="0"/>
        <v>3B.2</v>
      </c>
      <c r="CS16" s="71" t="b">
        <f t="shared" si="2"/>
        <v>0</v>
      </c>
    </row>
    <row r="17" spans="1:97" ht="20.100000000000001" customHeight="1">
      <c r="A17" s="71" t="b">
        <f t="shared" si="1"/>
        <v>1</v>
      </c>
      <c r="B17" s="9" t="s">
        <v>90</v>
      </c>
      <c r="C17" s="39"/>
      <c r="D17" s="40"/>
      <c r="E17" s="40"/>
      <c r="F17" s="40"/>
      <c r="G17" s="40"/>
      <c r="H17" s="43"/>
      <c r="I17" s="39"/>
      <c r="J17" s="40"/>
      <c r="K17" s="40"/>
      <c r="L17" s="40"/>
      <c r="M17" s="40"/>
      <c r="N17" s="43"/>
      <c r="O17" s="253"/>
      <c r="P17" s="262"/>
      <c r="Q17" s="262"/>
      <c r="R17" s="262"/>
      <c r="S17" s="262"/>
      <c r="T17" s="253"/>
      <c r="U17" s="245"/>
      <c r="V17" s="73" t="s">
        <v>176</v>
      </c>
      <c r="W17" s="73"/>
      <c r="Y17" s="73"/>
      <c r="Z17" s="164"/>
      <c r="AA17" s="352"/>
      <c r="AB17" s="263"/>
      <c r="AC17" s="263"/>
      <c r="AD17" s="263"/>
      <c r="AE17" s="263"/>
      <c r="AF17" s="254"/>
      <c r="AG17" s="356"/>
      <c r="AH17" s="73" t="s">
        <v>176</v>
      </c>
      <c r="AI17" s="1"/>
      <c r="AJ17" s="73"/>
      <c r="AK17" s="73"/>
      <c r="AL17" s="258"/>
      <c r="AM17" s="39"/>
      <c r="AN17" s="40"/>
      <c r="AO17" s="40"/>
      <c r="AP17" s="40"/>
      <c r="AQ17" s="40"/>
      <c r="AR17" s="43"/>
      <c r="AS17" s="39"/>
      <c r="AT17" s="40"/>
      <c r="AU17" s="40"/>
      <c r="AV17" s="40"/>
      <c r="AW17" s="40"/>
      <c r="AX17" s="43"/>
      <c r="AY17" s="39"/>
      <c r="AZ17" s="40"/>
      <c r="BA17" s="40"/>
      <c r="BB17" s="40"/>
      <c r="BC17" s="40"/>
      <c r="BD17" s="43"/>
      <c r="BE17" s="106"/>
      <c r="BF17" s="22"/>
      <c r="BG17" s="22"/>
      <c r="BH17" s="22"/>
      <c r="BI17" s="22"/>
      <c r="BJ17" s="105"/>
      <c r="BK17" s="116"/>
      <c r="BL17" s="117">
        <v>46168</v>
      </c>
      <c r="BM17" s="112"/>
      <c r="BN17" s="150"/>
      <c r="BO17" s="151"/>
      <c r="BP17" s="152"/>
      <c r="BQ17" s="150"/>
      <c r="BR17" s="151"/>
      <c r="BS17" s="152"/>
      <c r="BT17" s="150"/>
      <c r="BU17" s="151"/>
      <c r="BV17" s="152"/>
      <c r="BW17" s="113"/>
      <c r="BX17" s="114"/>
      <c r="BY17" s="115"/>
      <c r="BZ17" s="113"/>
      <c r="CA17" s="114"/>
      <c r="CB17" s="115"/>
      <c r="CC17" s="113"/>
      <c r="CD17" s="114"/>
      <c r="CE17" s="115"/>
      <c r="CF17" s="150"/>
      <c r="CG17" s="151"/>
      <c r="CH17" s="152"/>
      <c r="CI17" s="150"/>
      <c r="CJ17" s="151"/>
      <c r="CK17" s="152"/>
      <c r="CL17" s="150"/>
      <c r="CM17" s="151"/>
      <c r="CN17" s="152"/>
      <c r="CO17" s="203"/>
      <c r="CP17" s="204"/>
      <c r="CQ17" s="205"/>
      <c r="CR17" s="90" t="str">
        <f t="shared" si="0"/>
        <v>3B.2</v>
      </c>
      <c r="CS17" s="71" t="b">
        <f t="shared" si="2"/>
        <v>0</v>
      </c>
    </row>
    <row r="18" spans="1:97" ht="20.100000000000001" customHeight="1">
      <c r="A18" s="71" t="b">
        <f t="shared" si="1"/>
        <v>1</v>
      </c>
      <c r="B18" s="9" t="s">
        <v>91</v>
      </c>
      <c r="C18" s="39"/>
      <c r="D18" s="40"/>
      <c r="E18" s="40"/>
      <c r="F18" s="40"/>
      <c r="G18" s="40"/>
      <c r="H18" s="43"/>
      <c r="I18" s="39"/>
      <c r="J18" s="40"/>
      <c r="K18" s="40"/>
      <c r="L18" s="40"/>
      <c r="M18" s="40"/>
      <c r="N18" s="43"/>
      <c r="O18" s="253"/>
      <c r="P18" s="262"/>
      <c r="Q18" s="262"/>
      <c r="R18" s="262"/>
      <c r="S18" s="262"/>
      <c r="T18" s="253"/>
      <c r="U18" s="89" t="s">
        <v>176</v>
      </c>
      <c r="V18" s="73" t="s">
        <v>176</v>
      </c>
      <c r="W18" s="188" t="s">
        <v>176</v>
      </c>
      <c r="X18" s="73"/>
      <c r="Y18" s="73"/>
      <c r="Z18" s="164"/>
      <c r="AA18" s="254"/>
      <c r="AB18" s="263"/>
      <c r="AC18" s="263"/>
      <c r="AD18" s="263"/>
      <c r="AE18" s="263"/>
      <c r="AF18" s="254"/>
      <c r="AG18" s="257" t="s">
        <v>176</v>
      </c>
      <c r="AH18" s="73" t="s">
        <v>176</v>
      </c>
      <c r="AI18" s="1"/>
      <c r="AJ18" s="73"/>
      <c r="AK18" s="73"/>
      <c r="AL18" s="258"/>
      <c r="AM18" s="39"/>
      <c r="AN18" s="40"/>
      <c r="AO18" s="40"/>
      <c r="AP18" s="40"/>
      <c r="AQ18" s="40"/>
      <c r="AR18" s="43"/>
      <c r="AS18" s="39"/>
      <c r="AT18" s="40"/>
      <c r="AU18" s="40"/>
      <c r="AV18" s="40"/>
      <c r="AW18" s="40"/>
      <c r="AX18" s="43"/>
      <c r="AY18" s="39"/>
      <c r="AZ18" s="40"/>
      <c r="BA18" s="40"/>
      <c r="BB18" s="40"/>
      <c r="BC18" s="40"/>
      <c r="BD18" s="43"/>
      <c r="BE18" s="106"/>
      <c r="BF18" s="22"/>
      <c r="BG18" s="22"/>
      <c r="BH18" s="22"/>
      <c r="BI18" s="22"/>
      <c r="BJ18" s="105"/>
      <c r="BK18" s="116">
        <v>46092</v>
      </c>
      <c r="BL18" s="117">
        <v>46170</v>
      </c>
      <c r="BM18" s="112"/>
      <c r="BN18" s="150"/>
      <c r="BO18" s="151"/>
      <c r="BP18" s="152"/>
      <c r="BQ18" s="150"/>
      <c r="BR18" s="151"/>
      <c r="BS18" s="152"/>
      <c r="BT18" s="150"/>
      <c r="BU18" s="151"/>
      <c r="BV18" s="152"/>
      <c r="BW18" s="113"/>
      <c r="BX18" s="114"/>
      <c r="BY18" s="115"/>
      <c r="BZ18" s="113"/>
      <c r="CA18" s="114"/>
      <c r="CB18" s="115"/>
      <c r="CC18" s="113"/>
      <c r="CD18" s="114"/>
      <c r="CE18" s="115"/>
      <c r="CF18" s="150"/>
      <c r="CG18" s="151"/>
      <c r="CH18" s="152"/>
      <c r="CI18" s="150"/>
      <c r="CJ18" s="151"/>
      <c r="CK18" s="152"/>
      <c r="CL18" s="150"/>
      <c r="CM18" s="151"/>
      <c r="CN18" s="152"/>
      <c r="CO18" s="203"/>
      <c r="CP18" s="204"/>
      <c r="CQ18" s="205"/>
      <c r="CR18" s="90" t="str">
        <f t="shared" si="0"/>
        <v>3B.3</v>
      </c>
      <c r="CS18" s="71" t="b">
        <f t="shared" si="2"/>
        <v>0</v>
      </c>
    </row>
    <row r="19" spans="1:97" ht="20.100000000000001" customHeight="1">
      <c r="A19" s="71" t="b">
        <f t="shared" si="1"/>
        <v>0</v>
      </c>
      <c r="B19" s="9" t="s">
        <v>92</v>
      </c>
      <c r="C19" s="39"/>
      <c r="D19" s="40"/>
      <c r="E19" s="40"/>
      <c r="F19" s="40"/>
      <c r="G19" s="40"/>
      <c r="H19" s="43"/>
      <c r="I19" s="39"/>
      <c r="J19" s="40"/>
      <c r="K19" s="40"/>
      <c r="L19" s="40"/>
      <c r="M19" s="40"/>
      <c r="N19" s="43"/>
      <c r="O19" s="253"/>
      <c r="P19" s="262"/>
      <c r="Q19" s="262"/>
      <c r="R19" s="262"/>
      <c r="S19" s="262"/>
      <c r="T19" s="253"/>
      <c r="U19" s="245" t="s">
        <v>176</v>
      </c>
      <c r="V19" s="73"/>
      <c r="W19" s="73"/>
      <c r="X19" s="73"/>
      <c r="Y19" s="73"/>
      <c r="Z19" s="164"/>
      <c r="AA19" s="352" t="s">
        <v>176</v>
      </c>
      <c r="AB19" s="263"/>
      <c r="AC19" s="263"/>
      <c r="AD19" s="263"/>
      <c r="AE19" s="263"/>
      <c r="AF19" s="254"/>
      <c r="AG19" s="356" t="s">
        <v>29</v>
      </c>
      <c r="AH19" s="73"/>
      <c r="AI19" s="73"/>
      <c r="AJ19" s="73"/>
      <c r="AK19" s="73"/>
      <c r="AL19" s="258"/>
      <c r="AM19" s="39"/>
      <c r="AN19" s="40"/>
      <c r="AO19" s="40"/>
      <c r="AP19" s="40"/>
      <c r="AQ19" s="40"/>
      <c r="AR19" s="43"/>
      <c r="AS19" s="39"/>
      <c r="AT19" s="40"/>
      <c r="AU19" s="40"/>
      <c r="AV19" s="40"/>
      <c r="AW19" s="40"/>
      <c r="AX19" s="43"/>
      <c r="AY19" s="39"/>
      <c r="AZ19" s="40"/>
      <c r="BA19" s="40"/>
      <c r="BB19" s="40"/>
      <c r="BC19" s="40"/>
      <c r="BD19" s="43"/>
      <c r="BE19" s="106"/>
      <c r="BF19" s="22"/>
      <c r="BG19" s="22"/>
      <c r="BH19" s="22"/>
      <c r="BI19" s="22"/>
      <c r="BJ19" s="105"/>
      <c r="BK19" s="116">
        <v>46254</v>
      </c>
      <c r="BL19" s="117"/>
      <c r="BM19" s="112"/>
      <c r="BN19" s="150"/>
      <c r="BO19" s="151"/>
      <c r="BP19" s="152"/>
      <c r="BQ19" s="150"/>
      <c r="BR19" s="151"/>
      <c r="BS19" s="152"/>
      <c r="BT19" s="150"/>
      <c r="BU19" s="151"/>
      <c r="BV19" s="152"/>
      <c r="BW19" s="113"/>
      <c r="BX19" s="114"/>
      <c r="BY19" s="115"/>
      <c r="BZ19" s="113"/>
      <c r="CA19" s="114"/>
      <c r="CB19" s="115"/>
      <c r="CC19" s="113"/>
      <c r="CD19" s="114"/>
      <c r="CE19" s="115"/>
      <c r="CF19" s="150"/>
      <c r="CG19" s="151"/>
      <c r="CH19" s="152"/>
      <c r="CI19" s="150"/>
      <c r="CJ19" s="151"/>
      <c r="CK19" s="152"/>
      <c r="CL19" s="150"/>
      <c r="CM19" s="151"/>
      <c r="CN19" s="152"/>
      <c r="CO19" s="203"/>
      <c r="CP19" s="204"/>
      <c r="CQ19" s="205"/>
      <c r="CR19" s="90" t="str">
        <f t="shared" si="0"/>
        <v>3B.3</v>
      </c>
      <c r="CS19" s="71" t="b">
        <f t="shared" si="2"/>
        <v>0</v>
      </c>
    </row>
    <row r="20" spans="1:97" ht="20.100000000000001" customHeight="1">
      <c r="A20" s="71" t="b">
        <f t="shared" si="1"/>
        <v>1</v>
      </c>
      <c r="B20" s="9" t="s">
        <v>93</v>
      </c>
      <c r="C20" s="89" t="s">
        <v>176</v>
      </c>
      <c r="D20" s="188" t="s">
        <v>176</v>
      </c>
      <c r="E20" s="73" t="s">
        <v>176</v>
      </c>
      <c r="F20" s="73"/>
      <c r="G20" s="73"/>
      <c r="H20" s="164"/>
      <c r="I20" s="89" t="s">
        <v>176</v>
      </c>
      <c r="J20" s="188" t="s">
        <v>176</v>
      </c>
      <c r="K20" s="73" t="s">
        <v>176</v>
      </c>
      <c r="L20" s="73"/>
      <c r="M20" s="73"/>
      <c r="N20" s="164"/>
      <c r="O20" s="352" t="s">
        <v>176</v>
      </c>
      <c r="P20" s="351" t="s">
        <v>176</v>
      </c>
      <c r="Q20" s="263"/>
      <c r="R20" s="263"/>
      <c r="S20" s="263"/>
      <c r="T20" s="254"/>
      <c r="U20" s="39"/>
      <c r="V20" s="40"/>
      <c r="W20" s="40"/>
      <c r="X20" s="40"/>
      <c r="Y20" s="40"/>
      <c r="Z20" s="43"/>
      <c r="AA20" s="253"/>
      <c r="AB20" s="262"/>
      <c r="AC20" s="262"/>
      <c r="AD20" s="262"/>
      <c r="AE20" s="262"/>
      <c r="AF20" s="253"/>
      <c r="AG20" s="255"/>
      <c r="AH20" s="40"/>
      <c r="AI20" s="40"/>
      <c r="AJ20" s="40"/>
      <c r="AK20" s="40"/>
      <c r="AL20" s="256"/>
      <c r="AM20" s="39"/>
      <c r="AN20" s="40"/>
      <c r="AO20" s="40"/>
      <c r="AP20" s="40"/>
      <c r="AQ20" s="40"/>
      <c r="AR20" s="43"/>
      <c r="AS20" s="39"/>
      <c r="AT20" s="40"/>
      <c r="AU20" s="40"/>
      <c r="AV20" s="40"/>
      <c r="AW20" s="40"/>
      <c r="AX20" s="43"/>
      <c r="AY20" s="39"/>
      <c r="AZ20" s="40"/>
      <c r="BA20" s="40"/>
      <c r="BB20" s="40"/>
      <c r="BC20" s="40"/>
      <c r="BD20" s="43"/>
      <c r="BE20" s="106"/>
      <c r="BF20" s="22"/>
      <c r="BG20" s="22"/>
      <c r="BH20" s="22"/>
      <c r="BI20" s="22"/>
      <c r="BJ20" s="105"/>
      <c r="BK20" s="116">
        <v>46083</v>
      </c>
      <c r="BL20" s="117">
        <v>46334</v>
      </c>
      <c r="BM20" s="112"/>
      <c r="BN20" s="119">
        <v>46139</v>
      </c>
      <c r="BO20" s="114"/>
      <c r="BP20" s="115"/>
      <c r="BQ20" s="119">
        <v>46139</v>
      </c>
      <c r="BR20" s="114"/>
      <c r="BS20" s="115"/>
      <c r="BT20" s="113"/>
      <c r="BU20" s="114"/>
      <c r="BV20" s="115"/>
      <c r="BW20" s="150"/>
      <c r="BX20" s="151"/>
      <c r="BY20" s="152"/>
      <c r="BZ20" s="150"/>
      <c r="CA20" s="151"/>
      <c r="CB20" s="152"/>
      <c r="CC20" s="150"/>
      <c r="CD20" s="151"/>
      <c r="CE20" s="152"/>
      <c r="CF20" s="150"/>
      <c r="CG20" s="151"/>
      <c r="CH20" s="152"/>
      <c r="CI20" s="150"/>
      <c r="CJ20" s="151"/>
      <c r="CK20" s="152"/>
      <c r="CL20" s="150"/>
      <c r="CM20" s="151"/>
      <c r="CN20" s="152"/>
      <c r="CO20" s="203"/>
      <c r="CP20" s="204"/>
      <c r="CQ20" s="205"/>
      <c r="CR20" s="90" t="str">
        <f t="shared" si="0"/>
        <v>4B.1</v>
      </c>
      <c r="CS20" s="71" t="b">
        <f t="shared" si="2"/>
        <v>0</v>
      </c>
    </row>
    <row r="21" spans="1:97" ht="20.100000000000001" customHeight="1">
      <c r="A21" s="71" t="b">
        <f t="shared" si="1"/>
        <v>1</v>
      </c>
      <c r="B21" s="9" t="s">
        <v>94</v>
      </c>
      <c r="C21" s="89" t="s">
        <v>176</v>
      </c>
      <c r="D21" s="188" t="s">
        <v>176</v>
      </c>
      <c r="E21" s="73" t="s">
        <v>176</v>
      </c>
      <c r="F21" s="73"/>
      <c r="G21" s="73"/>
      <c r="H21" s="164"/>
      <c r="I21" s="89" t="s">
        <v>176</v>
      </c>
      <c r="J21" s="188" t="s">
        <v>176</v>
      </c>
      <c r="K21" s="73" t="s">
        <v>176</v>
      </c>
      <c r="L21" s="73"/>
      <c r="M21" s="73"/>
      <c r="N21" s="164"/>
      <c r="O21" s="254"/>
      <c r="P21" s="263" t="s">
        <v>29</v>
      </c>
      <c r="Q21" s="263"/>
      <c r="R21" s="263"/>
      <c r="S21" s="263"/>
      <c r="T21" s="254"/>
      <c r="U21" s="39"/>
      <c r="V21" s="40"/>
      <c r="W21" s="40"/>
      <c r="X21" s="40"/>
      <c r="Y21" s="40"/>
      <c r="Z21" s="43"/>
      <c r="AA21" s="253"/>
      <c r="AB21" s="262"/>
      <c r="AC21" s="262"/>
      <c r="AD21" s="262"/>
      <c r="AE21" s="262"/>
      <c r="AF21" s="253"/>
      <c r="AG21" s="255"/>
      <c r="AH21" s="40"/>
      <c r="AI21" s="40"/>
      <c r="AJ21" s="40"/>
      <c r="AK21" s="40"/>
      <c r="AL21" s="256"/>
      <c r="AM21" s="39"/>
      <c r="AN21" s="40"/>
      <c r="AO21" s="40"/>
      <c r="AP21" s="40"/>
      <c r="AQ21" s="40"/>
      <c r="AR21" s="43"/>
      <c r="AS21" s="39"/>
      <c r="AT21" s="40"/>
      <c r="AU21" s="40"/>
      <c r="AV21" s="40"/>
      <c r="AW21" s="40"/>
      <c r="AX21" s="43"/>
      <c r="AY21" s="39"/>
      <c r="AZ21" s="40"/>
      <c r="BA21" s="40"/>
      <c r="BB21" s="40"/>
      <c r="BC21" s="40"/>
      <c r="BD21" s="43"/>
      <c r="BE21" s="106"/>
      <c r="BF21" s="22"/>
      <c r="BG21" s="22"/>
      <c r="BH21" s="22"/>
      <c r="BI21" s="22"/>
      <c r="BJ21" s="105"/>
      <c r="BK21" s="116">
        <v>46083</v>
      </c>
      <c r="BL21" s="117">
        <v>46252</v>
      </c>
      <c r="BM21" s="112"/>
      <c r="BN21" s="119">
        <v>46163</v>
      </c>
      <c r="BO21" s="114"/>
      <c r="BP21" s="115"/>
      <c r="BQ21" s="119">
        <v>46141</v>
      </c>
      <c r="BR21" s="114"/>
      <c r="BS21" s="115"/>
      <c r="BT21" s="113"/>
      <c r="BU21" s="114"/>
      <c r="BV21" s="115"/>
      <c r="BW21" s="150"/>
      <c r="BX21" s="151"/>
      <c r="BY21" s="152"/>
      <c r="BZ21" s="150"/>
      <c r="CA21" s="151"/>
      <c r="CB21" s="152"/>
      <c r="CC21" s="150"/>
      <c r="CD21" s="151"/>
      <c r="CE21" s="152"/>
      <c r="CF21" s="150"/>
      <c r="CG21" s="151"/>
      <c r="CH21" s="152"/>
      <c r="CI21" s="150"/>
      <c r="CJ21" s="151"/>
      <c r="CK21" s="152"/>
      <c r="CL21" s="150"/>
      <c r="CM21" s="151"/>
      <c r="CN21" s="152"/>
      <c r="CO21" s="203"/>
      <c r="CP21" s="204"/>
      <c r="CQ21" s="205"/>
      <c r="CR21" s="90" t="str">
        <f t="shared" si="0"/>
        <v>4B.1</v>
      </c>
      <c r="CS21" s="71" t="b">
        <f t="shared" si="2"/>
        <v>0</v>
      </c>
    </row>
    <row r="22" spans="1:97" ht="20.100000000000001" customHeight="1">
      <c r="A22" s="71" t="b">
        <f t="shared" si="1"/>
        <v>0</v>
      </c>
      <c r="B22" s="9" t="s">
        <v>200</v>
      </c>
      <c r="C22" s="89" t="s">
        <v>176</v>
      </c>
      <c r="D22" s="73"/>
      <c r="E22" s="188" t="s">
        <v>176</v>
      </c>
      <c r="F22" s="73"/>
      <c r="G22" s="73"/>
      <c r="H22" s="164"/>
      <c r="I22" s="89" t="s">
        <v>176</v>
      </c>
      <c r="J22" s="73"/>
      <c r="K22" s="188" t="s">
        <v>176</v>
      </c>
      <c r="L22" s="73"/>
      <c r="M22" s="73"/>
      <c r="N22" s="164"/>
      <c r="O22" s="254" t="s">
        <v>176</v>
      </c>
      <c r="P22" s="263"/>
      <c r="Q22" s="263"/>
      <c r="R22" s="263"/>
      <c r="S22" s="263"/>
      <c r="T22" s="254"/>
      <c r="U22" s="39"/>
      <c r="V22" s="40"/>
      <c r="W22" s="40"/>
      <c r="X22" s="40"/>
      <c r="Y22" s="40"/>
      <c r="Z22" s="43"/>
      <c r="AA22" s="253" t="s">
        <v>176</v>
      </c>
      <c r="AB22" s="262"/>
      <c r="AC22" s="262"/>
      <c r="AD22" s="262"/>
      <c r="AE22" s="262"/>
      <c r="AF22" s="253"/>
      <c r="AG22" s="255"/>
      <c r="AH22" s="40"/>
      <c r="AI22" s="40"/>
      <c r="AJ22" s="40"/>
      <c r="AK22" s="40"/>
      <c r="AL22" s="256"/>
      <c r="AM22" s="39"/>
      <c r="AN22" s="40"/>
      <c r="AO22" s="40"/>
      <c r="AP22" s="40"/>
      <c r="AQ22" s="40"/>
      <c r="AR22" s="43"/>
      <c r="AS22" s="39"/>
      <c r="AT22" s="40"/>
      <c r="AU22" s="40"/>
      <c r="AV22" s="40"/>
      <c r="AW22" s="40"/>
      <c r="AX22" s="43"/>
      <c r="AY22" s="39"/>
      <c r="AZ22" s="40"/>
      <c r="BA22" s="40"/>
      <c r="BB22" s="40"/>
      <c r="BC22" s="40"/>
      <c r="BD22" s="43"/>
      <c r="BE22" s="106"/>
      <c r="BF22" s="22"/>
      <c r="BG22" s="22"/>
      <c r="BH22" s="22"/>
      <c r="BI22" s="22"/>
      <c r="BJ22" s="105"/>
      <c r="BK22" s="116">
        <v>46084</v>
      </c>
      <c r="BL22" s="117"/>
      <c r="BM22" s="112"/>
      <c r="BN22" s="119">
        <v>46231</v>
      </c>
      <c r="BO22" s="114"/>
      <c r="BP22" s="115"/>
      <c r="BQ22" s="119">
        <v>46231</v>
      </c>
      <c r="BR22" s="114"/>
      <c r="BS22" s="115"/>
      <c r="BT22" s="113"/>
      <c r="BU22" s="114"/>
      <c r="BV22" s="115"/>
      <c r="BW22" s="150"/>
      <c r="BX22" s="151"/>
      <c r="BY22" s="152"/>
      <c r="BZ22" s="150"/>
      <c r="CA22" s="151"/>
      <c r="CB22" s="152"/>
      <c r="CC22" s="150"/>
      <c r="CD22" s="151"/>
      <c r="CE22" s="152"/>
      <c r="CF22" s="150"/>
      <c r="CG22" s="151"/>
      <c r="CH22" s="152"/>
      <c r="CI22" s="150"/>
      <c r="CJ22" s="151"/>
      <c r="CK22" s="152"/>
      <c r="CL22" s="150"/>
      <c r="CM22" s="151"/>
      <c r="CN22" s="152"/>
      <c r="CO22" s="203"/>
      <c r="CP22" s="204"/>
      <c r="CQ22" s="205"/>
      <c r="CR22" s="90" t="str">
        <f t="shared" si="0"/>
        <v>4B.1</v>
      </c>
      <c r="CS22" s="71" t="b">
        <f t="shared" si="2"/>
        <v>0</v>
      </c>
    </row>
    <row r="23" spans="1:97" ht="20.100000000000001" customHeight="1">
      <c r="A23" s="71" t="b">
        <f t="shared" si="1"/>
        <v>0</v>
      </c>
      <c r="B23" s="9" t="s">
        <v>96</v>
      </c>
      <c r="C23" s="89" t="s">
        <v>176</v>
      </c>
      <c r="D23" s="73"/>
      <c r="E23" s="73" t="s">
        <v>176</v>
      </c>
      <c r="F23" s="73"/>
      <c r="G23" s="73"/>
      <c r="H23" s="164"/>
      <c r="I23" s="89" t="s">
        <v>176</v>
      </c>
      <c r="J23" s="73"/>
      <c r="K23" s="73" t="s">
        <v>176</v>
      </c>
      <c r="L23" s="73"/>
      <c r="M23" s="73"/>
      <c r="N23" s="164"/>
      <c r="O23" s="254"/>
      <c r="P23" s="263"/>
      <c r="Q23" s="263"/>
      <c r="R23" s="263"/>
      <c r="S23" s="263"/>
      <c r="T23" s="254"/>
      <c r="U23" s="39"/>
      <c r="V23" s="40"/>
      <c r="W23" s="40"/>
      <c r="X23" s="40"/>
      <c r="Y23" s="40"/>
      <c r="Z23" s="43"/>
      <c r="AA23" s="253" t="s">
        <v>174</v>
      </c>
      <c r="AB23" s="262"/>
      <c r="AC23" s="262"/>
      <c r="AD23" s="262"/>
      <c r="AE23" s="262"/>
      <c r="AF23" s="253"/>
      <c r="AG23" s="255"/>
      <c r="AH23" s="40"/>
      <c r="AI23" s="40"/>
      <c r="AJ23" s="40"/>
      <c r="AK23" s="40"/>
      <c r="AL23" s="256"/>
      <c r="AM23" s="39"/>
      <c r="AN23" s="40"/>
      <c r="AO23" s="40"/>
      <c r="AP23" s="40"/>
      <c r="AQ23" s="40"/>
      <c r="AR23" s="43"/>
      <c r="AS23" s="39"/>
      <c r="AT23" s="40"/>
      <c r="AU23" s="40"/>
      <c r="AV23" s="40"/>
      <c r="AW23" s="40"/>
      <c r="AX23" s="43"/>
      <c r="AY23" s="39"/>
      <c r="AZ23" s="40"/>
      <c r="BA23" s="40"/>
      <c r="BB23" s="40"/>
      <c r="BC23" s="40"/>
      <c r="BD23" s="43"/>
      <c r="BE23" s="106"/>
      <c r="BF23" s="22"/>
      <c r="BG23" s="22"/>
      <c r="BH23" s="22"/>
      <c r="BI23" s="22"/>
      <c r="BJ23" s="105"/>
      <c r="BK23" s="116">
        <v>46084</v>
      </c>
      <c r="BL23" s="117"/>
      <c r="BM23" s="112"/>
      <c r="BN23" s="119">
        <v>46148</v>
      </c>
      <c r="BO23" s="114"/>
      <c r="BP23" s="115"/>
      <c r="BQ23" s="119">
        <v>46148</v>
      </c>
      <c r="BR23" s="114"/>
      <c r="BS23" s="115"/>
      <c r="BT23" s="113"/>
      <c r="BU23" s="114"/>
      <c r="BV23" s="115"/>
      <c r="BW23" s="150"/>
      <c r="BX23" s="151"/>
      <c r="BY23" s="152"/>
      <c r="BZ23" s="159">
        <v>46253</v>
      </c>
      <c r="CA23" s="151"/>
      <c r="CB23" s="152"/>
      <c r="CC23" s="150"/>
      <c r="CD23" s="151"/>
      <c r="CE23" s="152"/>
      <c r="CF23" s="150"/>
      <c r="CG23" s="151"/>
      <c r="CH23" s="152"/>
      <c r="CI23" s="150"/>
      <c r="CJ23" s="151"/>
      <c r="CK23" s="152"/>
      <c r="CL23" s="150"/>
      <c r="CM23" s="151"/>
      <c r="CN23" s="152"/>
      <c r="CO23" s="203"/>
      <c r="CP23" s="204"/>
      <c r="CQ23" s="205"/>
      <c r="CR23" s="90" t="str">
        <f t="shared" si="0"/>
        <v>4B.2</v>
      </c>
      <c r="CS23" s="71" t="b">
        <f t="shared" si="2"/>
        <v>0</v>
      </c>
    </row>
    <row r="24" spans="1:97" ht="20.100000000000001" customHeight="1">
      <c r="A24" s="71" t="b">
        <f t="shared" si="1"/>
        <v>0</v>
      </c>
      <c r="B24" s="9" t="s">
        <v>201</v>
      </c>
      <c r="C24" s="89" t="s">
        <v>176</v>
      </c>
      <c r="D24" s="73"/>
      <c r="E24" s="73" t="s">
        <v>176</v>
      </c>
      <c r="F24" s="73"/>
      <c r="G24" s="73"/>
      <c r="H24" s="164"/>
      <c r="I24" s="89" t="s">
        <v>176</v>
      </c>
      <c r="J24" s="73"/>
      <c r="K24" s="73" t="s">
        <v>176</v>
      </c>
      <c r="L24" s="73"/>
      <c r="M24" s="73"/>
      <c r="N24" s="164"/>
      <c r="O24" s="254"/>
      <c r="P24" s="263"/>
      <c r="Q24" s="263"/>
      <c r="R24" s="263"/>
      <c r="S24" s="263"/>
      <c r="T24" s="254"/>
      <c r="U24" s="39"/>
      <c r="V24" s="40"/>
      <c r="W24" s="40"/>
      <c r="X24" s="40"/>
      <c r="Y24" s="40"/>
      <c r="Z24" s="43"/>
      <c r="AA24" s="253"/>
      <c r="AB24" s="262"/>
      <c r="AC24" s="262"/>
      <c r="AD24" s="262"/>
      <c r="AE24" s="262"/>
      <c r="AF24" s="253"/>
      <c r="AG24" s="255"/>
      <c r="AH24" s="40"/>
      <c r="AI24" s="40"/>
      <c r="AJ24" s="40"/>
      <c r="AK24" s="40"/>
      <c r="AL24" s="256"/>
      <c r="AM24" s="39"/>
      <c r="AN24" s="40"/>
      <c r="AO24" s="40"/>
      <c r="AP24" s="40"/>
      <c r="AQ24" s="40"/>
      <c r="AR24" s="43"/>
      <c r="AS24" s="39"/>
      <c r="AT24" s="40"/>
      <c r="AU24" s="40"/>
      <c r="AV24" s="40"/>
      <c r="AW24" s="40"/>
      <c r="AX24" s="43"/>
      <c r="AY24" s="39"/>
      <c r="AZ24" s="40"/>
      <c r="BA24" s="40"/>
      <c r="BB24" s="40"/>
      <c r="BC24" s="40"/>
      <c r="BD24" s="43"/>
      <c r="BE24" s="106"/>
      <c r="BF24" s="22"/>
      <c r="BG24" s="22"/>
      <c r="BH24" s="22"/>
      <c r="BI24" s="22"/>
      <c r="BJ24" s="105"/>
      <c r="BK24" s="116">
        <v>46091</v>
      </c>
      <c r="BL24" s="117"/>
      <c r="BM24" s="112"/>
      <c r="BN24" s="119">
        <v>46155</v>
      </c>
      <c r="BO24" s="114"/>
      <c r="BP24" s="115"/>
      <c r="BQ24" s="119">
        <v>46232</v>
      </c>
      <c r="BR24" s="114"/>
      <c r="BS24" s="115"/>
      <c r="BT24" s="113"/>
      <c r="BU24" s="114"/>
      <c r="BV24" s="115"/>
      <c r="BW24" s="150"/>
      <c r="BX24" s="151"/>
      <c r="BY24" s="152"/>
      <c r="BZ24" s="150"/>
      <c r="CA24" s="151"/>
      <c r="CB24" s="152"/>
      <c r="CC24" s="150"/>
      <c r="CD24" s="151"/>
      <c r="CE24" s="152"/>
      <c r="CF24" s="150"/>
      <c r="CG24" s="151"/>
      <c r="CH24" s="152"/>
      <c r="CI24" s="150"/>
      <c r="CJ24" s="151"/>
      <c r="CK24" s="152"/>
      <c r="CL24" s="150"/>
      <c r="CM24" s="151"/>
      <c r="CN24" s="152"/>
      <c r="CO24" s="203"/>
      <c r="CP24" s="204"/>
      <c r="CQ24" s="205"/>
      <c r="CR24" s="90" t="str">
        <f t="shared" si="0"/>
        <v>4B.2</v>
      </c>
      <c r="CS24" s="71" t="b">
        <f t="shared" si="2"/>
        <v>0</v>
      </c>
    </row>
    <row r="25" spans="1:97" ht="20.100000000000001" customHeight="1">
      <c r="A25" s="71" t="b">
        <f t="shared" si="1"/>
        <v>0</v>
      </c>
      <c r="B25" s="9" t="s">
        <v>98</v>
      </c>
      <c r="C25" s="39"/>
      <c r="D25" s="40"/>
      <c r="E25" s="40"/>
      <c r="F25" s="40"/>
      <c r="G25" s="40"/>
      <c r="H25" s="43"/>
      <c r="I25" s="39"/>
      <c r="J25" s="40"/>
      <c r="K25" s="40"/>
      <c r="L25" s="40"/>
      <c r="M25" s="40"/>
      <c r="N25" s="43"/>
      <c r="O25" s="253" t="s">
        <v>176</v>
      </c>
      <c r="P25" s="262"/>
      <c r="Q25" s="262"/>
      <c r="R25" s="262"/>
      <c r="S25" s="262"/>
      <c r="T25" s="253"/>
      <c r="U25" s="89" t="s">
        <v>29</v>
      </c>
      <c r="V25" s="73"/>
      <c r="W25" s="73" t="s">
        <v>176</v>
      </c>
      <c r="X25" s="73"/>
      <c r="Y25" s="73"/>
      <c r="Z25" s="164"/>
      <c r="AA25" s="254"/>
      <c r="AB25" s="263"/>
      <c r="AC25" s="263"/>
      <c r="AD25" s="263"/>
      <c r="AE25" s="263"/>
      <c r="AF25" s="254"/>
      <c r="AG25" s="257" t="s">
        <v>176</v>
      </c>
      <c r="AH25" s="73"/>
      <c r="AI25" s="188" t="s">
        <v>176</v>
      </c>
      <c r="AJ25" s="73"/>
      <c r="AK25" s="73"/>
      <c r="AL25" s="258"/>
      <c r="AM25" s="39"/>
      <c r="AN25" s="40"/>
      <c r="AO25" s="40"/>
      <c r="AP25" s="40"/>
      <c r="AQ25" s="40"/>
      <c r="AR25" s="43"/>
      <c r="AS25" s="39"/>
      <c r="AT25" s="40"/>
      <c r="AU25" s="40"/>
      <c r="AV25" s="40"/>
      <c r="AW25" s="40"/>
      <c r="AX25" s="43"/>
      <c r="AY25" s="39"/>
      <c r="AZ25" s="40"/>
      <c r="BA25" s="40"/>
      <c r="BB25" s="40"/>
      <c r="BC25" s="40"/>
      <c r="BD25" s="43"/>
      <c r="BE25" s="106"/>
      <c r="BF25" s="22"/>
      <c r="BG25" s="22"/>
      <c r="BH25" s="22"/>
      <c r="BI25" s="22"/>
      <c r="BJ25" s="105"/>
      <c r="BK25" s="116">
        <v>46084</v>
      </c>
      <c r="BL25" s="117"/>
      <c r="BM25" s="112"/>
      <c r="BN25" s="150"/>
      <c r="BO25" s="151"/>
      <c r="BP25" s="152"/>
      <c r="BQ25" s="150"/>
      <c r="BR25" s="151"/>
      <c r="BS25" s="152"/>
      <c r="BT25" s="150"/>
      <c r="BU25" s="151"/>
      <c r="BV25" s="152"/>
      <c r="BW25" s="119">
        <v>46149</v>
      </c>
      <c r="BX25" s="114"/>
      <c r="BY25" s="115"/>
      <c r="BZ25" s="113"/>
      <c r="CA25" s="114"/>
      <c r="CB25" s="115"/>
      <c r="CC25" s="119">
        <v>46231</v>
      </c>
      <c r="CD25" s="114"/>
      <c r="CE25" s="115"/>
      <c r="CF25" s="150"/>
      <c r="CG25" s="151"/>
      <c r="CH25" s="152"/>
      <c r="CI25" s="150"/>
      <c r="CJ25" s="151"/>
      <c r="CK25" s="152"/>
      <c r="CL25" s="150"/>
      <c r="CM25" s="151"/>
      <c r="CN25" s="152"/>
      <c r="CO25" s="203"/>
      <c r="CP25" s="204"/>
      <c r="CQ25" s="205"/>
      <c r="CR25" s="90" t="str">
        <f t="shared" si="0"/>
        <v>4B.3</v>
      </c>
      <c r="CS25" s="71" t="b">
        <f t="shared" si="2"/>
        <v>0</v>
      </c>
    </row>
    <row r="26" spans="1:97" ht="20.100000000000001" customHeight="1">
      <c r="A26" s="71" t="b">
        <f t="shared" si="1"/>
        <v>1</v>
      </c>
      <c r="B26" s="9" t="s">
        <v>99</v>
      </c>
      <c r="C26" s="39"/>
      <c r="D26" s="40"/>
      <c r="E26" s="40"/>
      <c r="F26" s="40"/>
      <c r="G26" s="40"/>
      <c r="H26" s="43"/>
      <c r="I26" s="39"/>
      <c r="J26" s="40"/>
      <c r="K26" s="40"/>
      <c r="L26" s="40"/>
      <c r="M26" s="40"/>
      <c r="N26" s="43"/>
      <c r="O26" s="253"/>
      <c r="P26" s="262"/>
      <c r="Q26" s="262"/>
      <c r="R26" s="262"/>
      <c r="S26" s="262"/>
      <c r="T26" s="253"/>
      <c r="U26" s="89" t="s">
        <v>29</v>
      </c>
      <c r="V26" s="73" t="s">
        <v>176</v>
      </c>
      <c r="W26" s="188"/>
      <c r="X26" s="73"/>
      <c r="Y26" s="73"/>
      <c r="Z26" s="164"/>
      <c r="AA26" s="254"/>
      <c r="AB26" s="263"/>
      <c r="AC26" s="263"/>
      <c r="AD26" s="263"/>
      <c r="AE26" s="263"/>
      <c r="AF26" s="254"/>
      <c r="AG26" s="257" t="s">
        <v>176</v>
      </c>
      <c r="AH26" s="73" t="s">
        <v>176</v>
      </c>
      <c r="AI26" s="188"/>
      <c r="AJ26" s="73"/>
      <c r="AK26" s="73"/>
      <c r="AL26" s="258"/>
      <c r="AM26" s="39"/>
      <c r="AN26" s="40"/>
      <c r="AO26" s="40"/>
      <c r="AP26" s="40"/>
      <c r="AQ26" s="40"/>
      <c r="AR26" s="43"/>
      <c r="AS26" s="39"/>
      <c r="AT26" s="40"/>
      <c r="AU26" s="40"/>
      <c r="AV26" s="40"/>
      <c r="AW26" s="40"/>
      <c r="AX26" s="43"/>
      <c r="AY26" s="39"/>
      <c r="AZ26" s="40"/>
      <c r="BA26" s="40"/>
      <c r="BB26" s="40"/>
      <c r="BC26" s="40"/>
      <c r="BD26" s="43"/>
      <c r="BE26" s="106"/>
      <c r="BF26" s="22"/>
      <c r="BG26" s="22"/>
      <c r="BH26" s="22"/>
      <c r="BI26" s="22"/>
      <c r="BJ26" s="105"/>
      <c r="BK26" s="116">
        <v>46084</v>
      </c>
      <c r="BL26" s="117">
        <v>46149</v>
      </c>
      <c r="BM26" s="112"/>
      <c r="BN26" s="150"/>
      <c r="BO26" s="151"/>
      <c r="BP26" s="152"/>
      <c r="BQ26" s="150"/>
      <c r="BR26" s="151"/>
      <c r="BS26" s="152"/>
      <c r="BT26" s="150"/>
      <c r="BU26" s="151"/>
      <c r="BV26" s="152"/>
      <c r="BW26" s="113"/>
      <c r="BX26" s="114"/>
      <c r="BY26" s="115"/>
      <c r="BZ26" s="113"/>
      <c r="CA26" s="114"/>
      <c r="CB26" s="115"/>
      <c r="CC26" s="113"/>
      <c r="CD26" s="114"/>
      <c r="CE26" s="115"/>
      <c r="CF26" s="150"/>
      <c r="CG26" s="151"/>
      <c r="CH26" s="152"/>
      <c r="CI26" s="150"/>
      <c r="CJ26" s="151"/>
      <c r="CK26" s="152"/>
      <c r="CL26" s="150"/>
      <c r="CM26" s="151"/>
      <c r="CN26" s="152"/>
      <c r="CO26" s="203"/>
      <c r="CP26" s="204"/>
      <c r="CQ26" s="205"/>
      <c r="CR26" s="90" t="str">
        <f t="shared" si="0"/>
        <v>4B.3</v>
      </c>
      <c r="CS26" s="71" t="b">
        <f t="shared" si="2"/>
        <v>0</v>
      </c>
    </row>
    <row r="27" spans="1:97" ht="20.100000000000001" customHeight="1">
      <c r="A27" s="71" t="b">
        <f t="shared" si="1"/>
        <v>0</v>
      </c>
      <c r="B27" s="9" t="s">
        <v>100</v>
      </c>
      <c r="C27" s="39"/>
      <c r="D27" s="40"/>
      <c r="E27" s="40"/>
      <c r="F27" s="40"/>
      <c r="G27" s="40"/>
      <c r="H27" s="43"/>
      <c r="I27" s="39"/>
      <c r="J27" s="40"/>
      <c r="K27" s="40"/>
      <c r="L27" s="40"/>
      <c r="M27" s="40"/>
      <c r="N27" s="43"/>
      <c r="O27" s="253"/>
      <c r="P27" s="262"/>
      <c r="Q27" s="262"/>
      <c r="R27" s="262"/>
      <c r="S27" s="262"/>
      <c r="T27" s="253"/>
      <c r="U27" s="89" t="s">
        <v>176</v>
      </c>
      <c r="V27" s="73"/>
      <c r="W27" s="188"/>
      <c r="X27" s="73"/>
      <c r="Y27" s="73"/>
      <c r="Z27" s="164"/>
      <c r="AA27" s="254"/>
      <c r="AB27" s="263"/>
      <c r="AC27" s="263"/>
      <c r="AD27" s="263"/>
      <c r="AE27" s="263"/>
      <c r="AF27" s="254"/>
      <c r="AG27" s="257" t="s">
        <v>176</v>
      </c>
      <c r="AH27" s="73"/>
      <c r="AI27" s="188" t="s">
        <v>176</v>
      </c>
      <c r="AJ27" s="73"/>
      <c r="AK27" s="73"/>
      <c r="AL27" s="258"/>
      <c r="AM27" s="39"/>
      <c r="AN27" s="40"/>
      <c r="AO27" s="40"/>
      <c r="AP27" s="40"/>
      <c r="AQ27" s="40"/>
      <c r="AR27" s="43"/>
      <c r="AS27" s="39"/>
      <c r="AT27" s="40"/>
      <c r="AU27" s="40"/>
      <c r="AV27" s="40"/>
      <c r="AW27" s="40"/>
      <c r="AX27" s="43"/>
      <c r="AY27" s="39"/>
      <c r="AZ27" s="40"/>
      <c r="BA27" s="40"/>
      <c r="BB27" s="40"/>
      <c r="BC27" s="40"/>
      <c r="BD27" s="43"/>
      <c r="BE27" s="106"/>
      <c r="BF27" s="22"/>
      <c r="BG27" s="22"/>
      <c r="BH27" s="22"/>
      <c r="BI27" s="22"/>
      <c r="BJ27" s="105"/>
      <c r="BK27" s="116">
        <v>46091</v>
      </c>
      <c r="BL27" s="117"/>
      <c r="BM27" s="112"/>
      <c r="BN27" s="150"/>
      <c r="BO27" s="151"/>
      <c r="BP27" s="152"/>
      <c r="BQ27" s="150"/>
      <c r="BR27" s="151"/>
      <c r="BS27" s="152"/>
      <c r="BT27" s="150"/>
      <c r="BU27" s="151"/>
      <c r="BV27" s="152"/>
      <c r="BW27" s="113"/>
      <c r="BX27" s="114"/>
      <c r="BY27" s="115"/>
      <c r="BZ27" s="113"/>
      <c r="CA27" s="114"/>
      <c r="CB27" s="115"/>
      <c r="CC27" s="119">
        <v>46233</v>
      </c>
      <c r="CD27" s="114"/>
      <c r="CE27" s="115"/>
      <c r="CF27" s="150"/>
      <c r="CG27" s="151"/>
      <c r="CH27" s="152"/>
      <c r="CI27" s="150"/>
      <c r="CJ27" s="151"/>
      <c r="CK27" s="152"/>
      <c r="CL27" s="150"/>
      <c r="CM27" s="151"/>
      <c r="CN27" s="152"/>
      <c r="CO27" s="203"/>
      <c r="CP27" s="204"/>
      <c r="CQ27" s="205"/>
      <c r="CR27" s="90" t="str">
        <f t="shared" si="0"/>
        <v>4B.3</v>
      </c>
      <c r="CS27" s="71" t="b">
        <f t="shared" si="2"/>
        <v>0</v>
      </c>
    </row>
    <row r="28" spans="1:97" ht="20.100000000000001" customHeight="1">
      <c r="A28" s="71" t="b">
        <f t="shared" si="1"/>
        <v>0</v>
      </c>
      <c r="B28" s="9" t="s">
        <v>101</v>
      </c>
      <c r="C28" s="39"/>
      <c r="D28" s="40"/>
      <c r="E28" s="40"/>
      <c r="F28" s="40"/>
      <c r="G28" s="40"/>
      <c r="H28" s="43"/>
      <c r="I28" s="39"/>
      <c r="J28" s="40"/>
      <c r="K28" s="40"/>
      <c r="L28" s="40"/>
      <c r="M28" s="40"/>
      <c r="N28" s="43"/>
      <c r="O28" s="253"/>
      <c r="P28" s="262"/>
      <c r="Q28" s="262"/>
      <c r="R28" s="262"/>
      <c r="S28" s="262"/>
      <c r="T28" s="253"/>
      <c r="U28" s="89" t="s">
        <v>176</v>
      </c>
      <c r="V28" s="73"/>
      <c r="W28" s="188" t="s">
        <v>176</v>
      </c>
      <c r="X28" s="73"/>
      <c r="Y28" s="73"/>
      <c r="Z28" s="164"/>
      <c r="AA28" s="254"/>
      <c r="AB28" s="263"/>
      <c r="AC28" s="263"/>
      <c r="AD28" s="263"/>
      <c r="AE28" s="263"/>
      <c r="AF28" s="254"/>
      <c r="AG28" s="257" t="s">
        <v>176</v>
      </c>
      <c r="AH28" s="73"/>
      <c r="AI28" s="73" t="s">
        <v>176</v>
      </c>
      <c r="AJ28" s="73"/>
      <c r="AK28" s="73"/>
      <c r="AL28" s="258"/>
      <c r="AM28" s="39"/>
      <c r="AN28" s="40"/>
      <c r="AO28" s="40"/>
      <c r="AP28" s="40"/>
      <c r="AQ28" s="40"/>
      <c r="AR28" s="43"/>
      <c r="AS28" s="39"/>
      <c r="AT28" s="40"/>
      <c r="AU28" s="40"/>
      <c r="AV28" s="40"/>
      <c r="AW28" s="40"/>
      <c r="AX28" s="43"/>
      <c r="AY28" s="39"/>
      <c r="AZ28" s="40"/>
      <c r="BA28" s="40"/>
      <c r="BB28" s="40"/>
      <c r="BC28" s="40"/>
      <c r="BD28" s="43"/>
      <c r="BE28" s="106"/>
      <c r="BF28" s="22"/>
      <c r="BG28" s="22"/>
      <c r="BH28" s="22"/>
      <c r="BI28" s="22"/>
      <c r="BJ28" s="105"/>
      <c r="BK28" s="116">
        <v>46085</v>
      </c>
      <c r="BL28" s="117"/>
      <c r="BM28" s="112"/>
      <c r="BN28" s="150"/>
      <c r="BO28" s="151"/>
      <c r="BP28" s="152"/>
      <c r="BQ28" s="150"/>
      <c r="BR28" s="151"/>
      <c r="BS28" s="152"/>
      <c r="BT28" s="150"/>
      <c r="BU28" s="151"/>
      <c r="BV28" s="152"/>
      <c r="BW28" s="119">
        <v>46241</v>
      </c>
      <c r="BX28" s="114"/>
      <c r="BY28" s="115"/>
      <c r="BZ28" s="113"/>
      <c r="CA28" s="114"/>
      <c r="CB28" s="115"/>
      <c r="CC28" s="119">
        <v>46168</v>
      </c>
      <c r="CD28" s="114"/>
      <c r="CE28" s="115"/>
      <c r="CF28" s="150"/>
      <c r="CG28" s="151"/>
      <c r="CH28" s="152"/>
      <c r="CI28" s="150"/>
      <c r="CJ28" s="151"/>
      <c r="CK28" s="152"/>
      <c r="CL28" s="150"/>
      <c r="CM28" s="151"/>
      <c r="CN28" s="152"/>
      <c r="CO28" s="203"/>
      <c r="CP28" s="204"/>
      <c r="CQ28" s="205"/>
      <c r="CR28" s="90" t="str">
        <f t="shared" si="0"/>
        <v>4B.3</v>
      </c>
      <c r="CS28" s="71" t="b">
        <f t="shared" si="2"/>
        <v>0</v>
      </c>
    </row>
    <row r="29" spans="1:97" ht="20.100000000000001" customHeight="1">
      <c r="A29" s="71" t="b">
        <f t="shared" si="1"/>
        <v>0</v>
      </c>
      <c r="B29" s="9" t="s">
        <v>102</v>
      </c>
      <c r="C29" s="39"/>
      <c r="D29" s="40"/>
      <c r="E29" s="40"/>
      <c r="F29" s="40"/>
      <c r="G29" s="40"/>
      <c r="H29" s="43"/>
      <c r="I29" s="39"/>
      <c r="J29" s="40"/>
      <c r="K29" s="40"/>
      <c r="L29" s="40"/>
      <c r="M29" s="40"/>
      <c r="N29" s="43"/>
      <c r="O29" s="253"/>
      <c r="P29" s="262"/>
      <c r="Q29" s="262"/>
      <c r="R29" s="262"/>
      <c r="S29" s="262"/>
      <c r="T29" s="253"/>
      <c r="U29" s="89" t="s">
        <v>176</v>
      </c>
      <c r="V29" s="73"/>
      <c r="W29" s="73"/>
      <c r="X29" s="73"/>
      <c r="Y29" s="73"/>
      <c r="Z29" s="164"/>
      <c r="AA29" s="254"/>
      <c r="AB29" s="263"/>
      <c r="AC29" s="263"/>
      <c r="AD29" s="263"/>
      <c r="AE29" s="263"/>
      <c r="AF29" s="254"/>
      <c r="AG29" s="257" t="s">
        <v>176</v>
      </c>
      <c r="AH29" s="73"/>
      <c r="AI29" s="73" t="s">
        <v>176</v>
      </c>
      <c r="AJ29" s="73"/>
      <c r="AK29" s="73"/>
      <c r="AL29" s="258"/>
      <c r="AM29" s="39"/>
      <c r="AN29" s="40"/>
      <c r="AO29" s="40"/>
      <c r="AP29" s="40"/>
      <c r="AQ29" s="40"/>
      <c r="AR29" s="43"/>
      <c r="AS29" s="39"/>
      <c r="AT29" s="40"/>
      <c r="AU29" s="40"/>
      <c r="AV29" s="40"/>
      <c r="AW29" s="40"/>
      <c r="AX29" s="43"/>
      <c r="AY29" s="39"/>
      <c r="AZ29" s="40"/>
      <c r="BA29" s="40"/>
      <c r="BB29" s="40"/>
      <c r="BC29" s="40"/>
      <c r="BD29" s="43"/>
      <c r="BE29" s="106"/>
      <c r="BF29" s="22"/>
      <c r="BG29" s="22"/>
      <c r="BH29" s="22"/>
      <c r="BI29" s="22"/>
      <c r="BJ29" s="105"/>
      <c r="BK29" s="116">
        <v>46085</v>
      </c>
      <c r="BL29" s="117"/>
      <c r="BM29" s="112"/>
      <c r="BN29" s="150"/>
      <c r="BO29" s="151"/>
      <c r="BP29" s="152"/>
      <c r="BQ29" s="150"/>
      <c r="BR29" s="151"/>
      <c r="BS29" s="152"/>
      <c r="BT29" s="150"/>
      <c r="BU29" s="151"/>
      <c r="BV29" s="152"/>
      <c r="BW29" s="113"/>
      <c r="BX29" s="114"/>
      <c r="BY29" s="115"/>
      <c r="BZ29" s="113"/>
      <c r="CA29" s="114"/>
      <c r="CB29" s="115"/>
      <c r="CC29" s="119">
        <v>46168</v>
      </c>
      <c r="CD29" s="114"/>
      <c r="CE29" s="115"/>
      <c r="CF29" s="150"/>
      <c r="CG29" s="151"/>
      <c r="CH29" s="152"/>
      <c r="CI29" s="150"/>
      <c r="CJ29" s="151"/>
      <c r="CK29" s="152"/>
      <c r="CL29" s="150"/>
      <c r="CM29" s="151"/>
      <c r="CN29" s="152"/>
      <c r="CO29" s="203"/>
      <c r="CP29" s="204"/>
      <c r="CQ29" s="205"/>
      <c r="CR29" s="90" t="str">
        <f t="shared" si="0"/>
        <v>4B.3</v>
      </c>
      <c r="CS29" s="71" t="b">
        <f t="shared" si="2"/>
        <v>0</v>
      </c>
    </row>
    <row r="30" spans="1:97" ht="20.100000000000001" customHeight="1">
      <c r="A30" s="71" t="b">
        <f t="shared" si="1"/>
        <v>0</v>
      </c>
      <c r="B30" s="9" t="s">
        <v>103</v>
      </c>
      <c r="C30" s="39"/>
      <c r="D30" s="40"/>
      <c r="E30" s="40"/>
      <c r="F30" s="40"/>
      <c r="G30" s="40"/>
      <c r="H30" s="43"/>
      <c r="I30" s="39"/>
      <c r="J30" s="40"/>
      <c r="K30" s="40"/>
      <c r="L30" s="40"/>
      <c r="M30" s="40"/>
      <c r="N30" s="43"/>
      <c r="O30" s="253"/>
      <c r="P30" s="262"/>
      <c r="Q30" s="262"/>
      <c r="R30" s="262"/>
      <c r="S30" s="262"/>
      <c r="T30" s="253"/>
      <c r="U30" s="89" t="s">
        <v>176</v>
      </c>
      <c r="V30" s="73"/>
      <c r="W30" s="73"/>
      <c r="X30" s="73"/>
      <c r="Y30" s="73"/>
      <c r="Z30" s="164"/>
      <c r="AA30" s="254"/>
      <c r="AB30" s="263"/>
      <c r="AC30" s="263"/>
      <c r="AD30" s="263"/>
      <c r="AE30" s="263"/>
      <c r="AF30" s="254"/>
      <c r="AG30" s="257" t="s">
        <v>176</v>
      </c>
      <c r="AH30" s="73"/>
      <c r="AI30" s="188"/>
      <c r="AJ30" s="73"/>
      <c r="AK30" s="73"/>
      <c r="AL30" s="258"/>
      <c r="AM30" s="39"/>
      <c r="AN30" s="40"/>
      <c r="AO30" s="40"/>
      <c r="AP30" s="40"/>
      <c r="AQ30" s="40"/>
      <c r="AR30" s="43"/>
      <c r="AS30" s="39"/>
      <c r="AT30" s="40"/>
      <c r="AU30" s="40"/>
      <c r="AV30" s="40"/>
      <c r="AW30" s="40"/>
      <c r="AX30" s="43"/>
      <c r="AY30" s="39"/>
      <c r="AZ30" s="40"/>
      <c r="BA30" s="40"/>
      <c r="BB30" s="40"/>
      <c r="BC30" s="40"/>
      <c r="BD30" s="43"/>
      <c r="BE30" s="106"/>
      <c r="BF30" s="22"/>
      <c r="BG30" s="22"/>
      <c r="BH30" s="22"/>
      <c r="BI30" s="22"/>
      <c r="BJ30" s="105"/>
      <c r="BK30" s="116">
        <v>46092</v>
      </c>
      <c r="BL30" s="117"/>
      <c r="BM30" s="112"/>
      <c r="BN30" s="150"/>
      <c r="BO30" s="151"/>
      <c r="BP30" s="152"/>
      <c r="BQ30" s="150"/>
      <c r="BR30" s="151"/>
      <c r="BS30" s="152"/>
      <c r="BT30" s="150"/>
      <c r="BU30" s="151"/>
      <c r="BV30" s="152"/>
      <c r="BW30" s="113"/>
      <c r="BX30" s="114"/>
      <c r="BY30" s="115"/>
      <c r="BZ30" s="113"/>
      <c r="CA30" s="114"/>
      <c r="CB30" s="115"/>
      <c r="CC30" s="113"/>
      <c r="CD30" s="114"/>
      <c r="CE30" s="115"/>
      <c r="CF30" s="150"/>
      <c r="CG30" s="151"/>
      <c r="CH30" s="152"/>
      <c r="CI30" s="150"/>
      <c r="CJ30" s="151"/>
      <c r="CK30" s="152"/>
      <c r="CL30" s="150"/>
      <c r="CM30" s="151"/>
      <c r="CN30" s="152"/>
      <c r="CO30" s="203"/>
      <c r="CP30" s="204"/>
      <c r="CQ30" s="205"/>
      <c r="CR30" s="90" t="str">
        <f t="shared" si="0"/>
        <v>4B.3</v>
      </c>
      <c r="CS30" s="71" t="b">
        <f t="shared" si="2"/>
        <v>0</v>
      </c>
    </row>
    <row r="31" spans="1:97" ht="20.100000000000001" customHeight="1">
      <c r="A31" s="71" t="b">
        <f t="shared" si="1"/>
        <v>0</v>
      </c>
      <c r="B31" s="9" t="s">
        <v>104</v>
      </c>
      <c r="C31" s="39"/>
      <c r="D31" s="40"/>
      <c r="E31" s="40"/>
      <c r="F31" s="40"/>
      <c r="G31" s="40"/>
      <c r="H31" s="43"/>
      <c r="I31" s="39"/>
      <c r="J31" s="40"/>
      <c r="K31" s="40"/>
      <c r="L31" s="40"/>
      <c r="M31" s="40"/>
      <c r="N31" s="43"/>
      <c r="O31" s="253"/>
      <c r="P31" s="262"/>
      <c r="Q31" s="262"/>
      <c r="R31" s="262"/>
      <c r="S31" s="262"/>
      <c r="T31" s="253"/>
      <c r="U31" s="89" t="s">
        <v>176</v>
      </c>
      <c r="V31" s="73"/>
      <c r="W31" s="73"/>
      <c r="X31" s="73"/>
      <c r="Y31" s="73"/>
      <c r="Z31" s="164"/>
      <c r="AA31" s="254" t="s">
        <v>176</v>
      </c>
      <c r="AB31" s="263"/>
      <c r="AC31" s="263"/>
      <c r="AD31" s="263"/>
      <c r="AE31" s="263"/>
      <c r="AF31" s="254"/>
      <c r="AG31" s="257" t="s">
        <v>176</v>
      </c>
      <c r="AH31" s="73"/>
      <c r="AI31" s="188" t="s">
        <v>176</v>
      </c>
      <c r="AJ31" s="73"/>
      <c r="AK31" s="73"/>
      <c r="AL31" s="258"/>
      <c r="AM31" s="39"/>
      <c r="AN31" s="40"/>
      <c r="AO31" s="40"/>
      <c r="AP31" s="40"/>
      <c r="AQ31" s="40"/>
      <c r="AR31" s="43"/>
      <c r="AS31" s="39"/>
      <c r="AT31" s="40"/>
      <c r="AU31" s="40"/>
      <c r="AV31" s="40"/>
      <c r="AW31" s="40"/>
      <c r="AX31" s="43"/>
      <c r="AY31" s="39"/>
      <c r="AZ31" s="40"/>
      <c r="BA31" s="40"/>
      <c r="BB31" s="40"/>
      <c r="BC31" s="40"/>
      <c r="BD31" s="43"/>
      <c r="BE31" s="106"/>
      <c r="BF31" s="22"/>
      <c r="BG31" s="22"/>
      <c r="BH31" s="22"/>
      <c r="BI31" s="22"/>
      <c r="BJ31" s="105"/>
      <c r="BK31" s="116">
        <v>46093</v>
      </c>
      <c r="BL31" s="117"/>
      <c r="BM31" s="112"/>
      <c r="BN31" s="150"/>
      <c r="BO31" s="151"/>
      <c r="BP31" s="152"/>
      <c r="BQ31" s="150"/>
      <c r="BR31" s="151"/>
      <c r="BS31" s="152"/>
      <c r="BT31" s="150"/>
      <c r="BU31" s="151"/>
      <c r="BV31" s="152"/>
      <c r="BW31" s="113"/>
      <c r="BX31" s="114"/>
      <c r="BY31" s="115"/>
      <c r="BZ31" s="113"/>
      <c r="CA31" s="114"/>
      <c r="CB31" s="115"/>
      <c r="CC31" s="119">
        <v>46168</v>
      </c>
      <c r="CD31" s="114"/>
      <c r="CE31" s="115"/>
      <c r="CF31" s="150"/>
      <c r="CG31" s="151"/>
      <c r="CH31" s="152"/>
      <c r="CI31" s="150"/>
      <c r="CJ31" s="151"/>
      <c r="CK31" s="152"/>
      <c r="CL31" s="150"/>
      <c r="CM31" s="151"/>
      <c r="CN31" s="152"/>
      <c r="CO31" s="203"/>
      <c r="CP31" s="204"/>
      <c r="CQ31" s="205"/>
      <c r="CR31" s="90" t="str">
        <f t="shared" si="0"/>
        <v>4B.3</v>
      </c>
      <c r="CS31" s="71" t="b">
        <f t="shared" si="2"/>
        <v>0</v>
      </c>
    </row>
    <row r="32" spans="1:97" ht="20.100000000000001" customHeight="1">
      <c r="A32" s="71" t="b">
        <f t="shared" si="1"/>
        <v>0</v>
      </c>
      <c r="B32" s="9" t="s">
        <v>105</v>
      </c>
      <c r="C32" s="39"/>
      <c r="D32" s="40"/>
      <c r="E32" s="40"/>
      <c r="F32" s="40"/>
      <c r="G32" s="40"/>
      <c r="H32" s="43"/>
      <c r="I32" s="39"/>
      <c r="J32" s="40"/>
      <c r="K32" s="40"/>
      <c r="L32" s="40"/>
      <c r="M32" s="40"/>
      <c r="N32" s="43"/>
      <c r="O32" s="253"/>
      <c r="P32" s="262"/>
      <c r="Q32" s="262"/>
      <c r="R32" s="262"/>
      <c r="S32" s="262"/>
      <c r="T32" s="253"/>
      <c r="U32" s="89" t="s">
        <v>176</v>
      </c>
      <c r="V32" s="73"/>
      <c r="W32" s="73"/>
      <c r="X32" s="73"/>
      <c r="Y32" s="73"/>
      <c r="Z32" s="164"/>
      <c r="AA32" s="254"/>
      <c r="AB32" s="263"/>
      <c r="AC32" s="263"/>
      <c r="AD32" s="263"/>
      <c r="AE32" s="263"/>
      <c r="AF32" s="254"/>
      <c r="AG32" s="257" t="s">
        <v>176</v>
      </c>
      <c r="AH32" s="73"/>
      <c r="AI32" s="188"/>
      <c r="AJ32" s="73"/>
      <c r="AK32" s="73"/>
      <c r="AL32" s="258"/>
      <c r="AM32" s="39"/>
      <c r="AN32" s="40"/>
      <c r="AO32" s="40"/>
      <c r="AP32" s="40"/>
      <c r="AQ32" s="40"/>
      <c r="AR32" s="43"/>
      <c r="AS32" s="39"/>
      <c r="AT32" s="40"/>
      <c r="AU32" s="40"/>
      <c r="AV32" s="40"/>
      <c r="AW32" s="40"/>
      <c r="AX32" s="43"/>
      <c r="AY32" s="39"/>
      <c r="AZ32" s="40"/>
      <c r="BA32" s="40"/>
      <c r="BB32" s="40"/>
      <c r="BC32" s="40"/>
      <c r="BD32" s="43"/>
      <c r="BE32" s="106"/>
      <c r="BF32" s="22"/>
      <c r="BG32" s="22"/>
      <c r="BH32" s="22"/>
      <c r="BI32" s="22"/>
      <c r="BJ32" s="105"/>
      <c r="BK32" s="116">
        <v>46093</v>
      </c>
      <c r="BL32" s="117"/>
      <c r="BM32" s="112"/>
      <c r="BN32" s="150"/>
      <c r="BO32" s="151"/>
      <c r="BP32" s="152"/>
      <c r="BQ32" s="150"/>
      <c r="BR32" s="151"/>
      <c r="BS32" s="152"/>
      <c r="BT32" s="150"/>
      <c r="BU32" s="151"/>
      <c r="BV32" s="152"/>
      <c r="BW32" s="113"/>
      <c r="BX32" s="114"/>
      <c r="BY32" s="115"/>
      <c r="BZ32" s="113"/>
      <c r="CA32" s="114"/>
      <c r="CB32" s="115"/>
      <c r="CC32" s="113"/>
      <c r="CD32" s="114"/>
      <c r="CE32" s="115"/>
      <c r="CF32" s="150"/>
      <c r="CG32" s="151"/>
      <c r="CH32" s="152"/>
      <c r="CI32" s="150"/>
      <c r="CJ32" s="151"/>
      <c r="CK32" s="152"/>
      <c r="CL32" s="150"/>
      <c r="CM32" s="151"/>
      <c r="CN32" s="152"/>
      <c r="CO32" s="203"/>
      <c r="CP32" s="204"/>
      <c r="CQ32" s="205"/>
      <c r="CR32" s="90" t="str">
        <f t="shared" si="0"/>
        <v>4B.3</v>
      </c>
      <c r="CS32" s="71" t="b">
        <f t="shared" si="2"/>
        <v>0</v>
      </c>
    </row>
    <row r="33" spans="1:97" ht="20.100000000000001" customHeight="1">
      <c r="A33" s="71" t="b">
        <f t="shared" si="1"/>
        <v>0</v>
      </c>
      <c r="B33" s="9" t="s">
        <v>106</v>
      </c>
      <c r="C33" s="14" t="s">
        <v>176</v>
      </c>
      <c r="D33" s="1"/>
      <c r="E33" s="1" t="s">
        <v>176</v>
      </c>
      <c r="F33" s="1"/>
      <c r="G33" s="1"/>
      <c r="H33" s="15"/>
      <c r="I33" s="14" t="s">
        <v>176</v>
      </c>
      <c r="J33" s="1"/>
      <c r="K33" s="1" t="s">
        <v>176</v>
      </c>
      <c r="L33" s="1"/>
      <c r="M33" s="1"/>
      <c r="N33" s="15"/>
      <c r="O33" s="250"/>
      <c r="P33" s="194"/>
      <c r="Q33" s="194"/>
      <c r="R33" s="194"/>
      <c r="S33" s="194"/>
      <c r="T33" s="250"/>
      <c r="U33" s="39"/>
      <c r="V33" s="40"/>
      <c r="W33" s="40"/>
      <c r="X33" s="40"/>
      <c r="Y33" s="40"/>
      <c r="Z33" s="43"/>
      <c r="AA33" s="253"/>
      <c r="AB33" s="262"/>
      <c r="AC33" s="262"/>
      <c r="AD33" s="262"/>
      <c r="AE33" s="262"/>
      <c r="AF33" s="253"/>
      <c r="AG33" s="255"/>
      <c r="AH33" s="40"/>
      <c r="AI33" s="40"/>
      <c r="AJ33" s="40"/>
      <c r="AK33" s="40"/>
      <c r="AL33" s="256"/>
      <c r="AM33" s="39"/>
      <c r="AN33" s="40"/>
      <c r="AO33" s="40"/>
      <c r="AP33" s="40"/>
      <c r="AQ33" s="40"/>
      <c r="AR33" s="43"/>
      <c r="AS33" s="39"/>
      <c r="AT33" s="40"/>
      <c r="AU33" s="40"/>
      <c r="AV33" s="40"/>
      <c r="AW33" s="40"/>
      <c r="AX33" s="43"/>
      <c r="AY33" s="39"/>
      <c r="AZ33" s="40"/>
      <c r="BA33" s="40"/>
      <c r="BB33" s="40"/>
      <c r="BC33" s="40"/>
      <c r="BD33" s="43"/>
      <c r="BE33" s="106"/>
      <c r="BF33" s="22"/>
      <c r="BG33" s="22"/>
      <c r="BH33" s="22"/>
      <c r="BI33" s="22"/>
      <c r="BJ33" s="105"/>
      <c r="BK33" s="116">
        <v>46076</v>
      </c>
      <c r="BL33" s="117">
        <v>46140</v>
      </c>
      <c r="BM33" s="112"/>
      <c r="BN33" s="119">
        <v>46146</v>
      </c>
      <c r="BO33" s="114"/>
      <c r="BP33" s="115"/>
      <c r="BQ33" s="113" t="s">
        <v>459</v>
      </c>
      <c r="BR33" s="114"/>
      <c r="BS33" s="115"/>
      <c r="BT33" s="113"/>
      <c r="BU33" s="114"/>
      <c r="BV33" s="115"/>
      <c r="BW33" s="150"/>
      <c r="BX33" s="151"/>
      <c r="BY33" s="152"/>
      <c r="BZ33" s="150"/>
      <c r="CA33" s="151"/>
      <c r="CB33" s="152"/>
      <c r="CC33" s="150"/>
      <c r="CD33" s="151"/>
      <c r="CE33" s="152"/>
      <c r="CF33" s="150"/>
      <c r="CG33" s="151"/>
      <c r="CH33" s="152"/>
      <c r="CI33" s="150"/>
      <c r="CJ33" s="151"/>
      <c r="CK33" s="152"/>
      <c r="CL33" s="150"/>
      <c r="CM33" s="151"/>
      <c r="CN33" s="152"/>
      <c r="CO33" s="203"/>
      <c r="CP33" s="204"/>
      <c r="CQ33" s="205"/>
      <c r="CR33" s="90" t="str">
        <f t="shared" si="0"/>
        <v>5B.1</v>
      </c>
      <c r="CS33" s="71" t="b">
        <f t="shared" si="2"/>
        <v>0</v>
      </c>
    </row>
    <row r="34" spans="1:97" ht="20.100000000000001" customHeight="1">
      <c r="A34" s="71" t="b">
        <f t="shared" si="1"/>
        <v>0</v>
      </c>
      <c r="B34" s="9" t="s">
        <v>107</v>
      </c>
      <c r="C34" s="14" t="s">
        <v>176</v>
      </c>
      <c r="D34" s="1"/>
      <c r="E34" s="1" t="s">
        <v>176</v>
      </c>
      <c r="F34" s="1"/>
      <c r="G34" s="1"/>
      <c r="H34" s="15"/>
      <c r="I34" s="14" t="s">
        <v>176</v>
      </c>
      <c r="J34" s="1"/>
      <c r="K34" s="1" t="s">
        <v>176</v>
      </c>
      <c r="L34" s="1"/>
      <c r="M34" s="1"/>
      <c r="N34" s="15"/>
      <c r="O34" s="250"/>
      <c r="P34" s="194"/>
      <c r="Q34" s="194"/>
      <c r="R34" s="194"/>
      <c r="S34" s="194"/>
      <c r="T34" s="250"/>
      <c r="U34" s="39"/>
      <c r="V34" s="40"/>
      <c r="W34" s="40"/>
      <c r="X34" s="40"/>
      <c r="Y34" s="40"/>
      <c r="Z34" s="43"/>
      <c r="AA34" s="253"/>
      <c r="AB34" s="262"/>
      <c r="AC34" s="262"/>
      <c r="AD34" s="262"/>
      <c r="AE34" s="262"/>
      <c r="AF34" s="253"/>
      <c r="AG34" s="255"/>
      <c r="AH34" s="40"/>
      <c r="AI34" s="40"/>
      <c r="AJ34" s="40"/>
      <c r="AK34" s="40"/>
      <c r="AL34" s="256"/>
      <c r="AM34" s="39"/>
      <c r="AN34" s="40"/>
      <c r="AO34" s="40"/>
      <c r="AP34" s="40"/>
      <c r="AQ34" s="40"/>
      <c r="AR34" s="43"/>
      <c r="AS34" s="39"/>
      <c r="AT34" s="40"/>
      <c r="AU34" s="40"/>
      <c r="AV34" s="40"/>
      <c r="AW34" s="40"/>
      <c r="AX34" s="43"/>
      <c r="AY34" s="39"/>
      <c r="AZ34" s="40"/>
      <c r="BA34" s="40"/>
      <c r="BB34" s="40"/>
      <c r="BC34" s="40"/>
      <c r="BD34" s="43"/>
      <c r="BE34" s="106"/>
      <c r="BF34" s="22"/>
      <c r="BG34" s="22"/>
      <c r="BH34" s="22"/>
      <c r="BI34" s="22"/>
      <c r="BJ34" s="105"/>
      <c r="BK34" s="116">
        <v>46077</v>
      </c>
      <c r="BL34" s="117"/>
      <c r="BM34" s="112"/>
      <c r="BN34" s="119">
        <v>46161</v>
      </c>
      <c r="BO34" s="114"/>
      <c r="BP34" s="115"/>
      <c r="BQ34" s="119">
        <v>46091</v>
      </c>
      <c r="BR34" s="114"/>
      <c r="BS34" s="115"/>
      <c r="BT34" s="113"/>
      <c r="BU34" s="114"/>
      <c r="BV34" s="115"/>
      <c r="BW34" s="150"/>
      <c r="BX34" s="151"/>
      <c r="BY34" s="152"/>
      <c r="BZ34" s="150"/>
      <c r="CA34" s="151"/>
      <c r="CB34" s="152"/>
      <c r="CC34" s="150"/>
      <c r="CD34" s="151"/>
      <c r="CE34" s="152"/>
      <c r="CF34" s="150"/>
      <c r="CG34" s="151"/>
      <c r="CH34" s="152"/>
      <c r="CI34" s="150"/>
      <c r="CJ34" s="151"/>
      <c r="CK34" s="152"/>
      <c r="CL34" s="150"/>
      <c r="CM34" s="151"/>
      <c r="CN34" s="152"/>
      <c r="CO34" s="203"/>
      <c r="CP34" s="204"/>
      <c r="CQ34" s="205"/>
      <c r="CR34" s="90" t="str">
        <f t="shared" si="0"/>
        <v>5B.1</v>
      </c>
      <c r="CS34" s="71" t="b">
        <f t="shared" si="2"/>
        <v>0</v>
      </c>
    </row>
    <row r="35" spans="1:97" ht="20.100000000000001" customHeight="1">
      <c r="A35" s="71" t="b">
        <f t="shared" si="1"/>
        <v>0</v>
      </c>
      <c r="B35" s="9" t="s">
        <v>108</v>
      </c>
      <c r="C35" s="14" t="s">
        <v>176</v>
      </c>
      <c r="D35" s="1"/>
      <c r="E35" s="188" t="s">
        <v>176</v>
      </c>
      <c r="F35" s="1"/>
      <c r="G35" s="1"/>
      <c r="H35" s="15"/>
      <c r="I35" s="14" t="s">
        <v>176</v>
      </c>
      <c r="J35" s="1"/>
      <c r="K35" s="1" t="s">
        <v>176</v>
      </c>
      <c r="L35" s="1"/>
      <c r="M35" s="1"/>
      <c r="N35" s="15"/>
      <c r="O35" s="250"/>
      <c r="P35" s="194"/>
      <c r="Q35" s="194"/>
      <c r="R35" s="194"/>
      <c r="S35" s="194"/>
      <c r="T35" s="250"/>
      <c r="U35" s="39"/>
      <c r="V35" s="40"/>
      <c r="W35" s="40"/>
      <c r="X35" s="40"/>
      <c r="Y35" s="40"/>
      <c r="Z35" s="43"/>
      <c r="AA35" s="253"/>
      <c r="AB35" s="262"/>
      <c r="AC35" s="262"/>
      <c r="AD35" s="262"/>
      <c r="AE35" s="262"/>
      <c r="AF35" s="253"/>
      <c r="AG35" s="255"/>
      <c r="AH35" s="40"/>
      <c r="AI35" s="40"/>
      <c r="AJ35" s="40"/>
      <c r="AK35" s="40"/>
      <c r="AL35" s="256"/>
      <c r="AM35" s="39"/>
      <c r="AN35" s="40"/>
      <c r="AO35" s="40"/>
      <c r="AP35" s="40"/>
      <c r="AQ35" s="40"/>
      <c r="AR35" s="43"/>
      <c r="AS35" s="39"/>
      <c r="AT35" s="40"/>
      <c r="AU35" s="40"/>
      <c r="AV35" s="40"/>
      <c r="AW35" s="40"/>
      <c r="AX35" s="43"/>
      <c r="AY35" s="39"/>
      <c r="AZ35" s="40"/>
      <c r="BA35" s="40"/>
      <c r="BB35" s="40"/>
      <c r="BC35" s="40"/>
      <c r="BD35" s="43"/>
      <c r="BE35" s="106"/>
      <c r="BF35" s="22"/>
      <c r="BG35" s="22"/>
      <c r="BH35" s="22"/>
      <c r="BI35" s="22"/>
      <c r="BJ35" s="105"/>
      <c r="BK35" s="116">
        <v>46078</v>
      </c>
      <c r="BL35" s="117"/>
      <c r="BM35" s="112"/>
      <c r="BN35" s="119">
        <v>46238</v>
      </c>
      <c r="BO35" s="114"/>
      <c r="BP35" s="115"/>
      <c r="BQ35" s="119">
        <v>46090</v>
      </c>
      <c r="BR35" s="114"/>
      <c r="BS35" s="115"/>
      <c r="BT35" s="113"/>
      <c r="BU35" s="114"/>
      <c r="BV35" s="115"/>
      <c r="BW35" s="150"/>
      <c r="BX35" s="151"/>
      <c r="BY35" s="152"/>
      <c r="BZ35" s="150"/>
      <c r="CA35" s="151"/>
      <c r="CB35" s="152"/>
      <c r="CC35" s="150"/>
      <c r="CD35" s="151"/>
      <c r="CE35" s="152"/>
      <c r="CF35" s="150"/>
      <c r="CG35" s="151"/>
      <c r="CH35" s="152"/>
      <c r="CI35" s="150"/>
      <c r="CJ35" s="151"/>
      <c r="CK35" s="152"/>
      <c r="CL35" s="150"/>
      <c r="CM35" s="151"/>
      <c r="CN35" s="152"/>
      <c r="CO35" s="203"/>
      <c r="CP35" s="204"/>
      <c r="CQ35" s="205"/>
      <c r="CR35" s="90" t="str">
        <f t="shared" si="0"/>
        <v>5B.1</v>
      </c>
      <c r="CS35" s="71" t="b">
        <f t="shared" si="2"/>
        <v>0</v>
      </c>
    </row>
    <row r="36" spans="1:97" ht="20.100000000000001" customHeight="1">
      <c r="A36" s="71" t="b">
        <f t="shared" si="1"/>
        <v>1</v>
      </c>
      <c r="B36" s="9" t="s">
        <v>109</v>
      </c>
      <c r="C36" s="14" t="s">
        <v>176</v>
      </c>
      <c r="D36" s="1" t="s">
        <v>176</v>
      </c>
      <c r="E36" s="1" t="s">
        <v>176</v>
      </c>
      <c r="F36" s="1"/>
      <c r="G36" s="1"/>
      <c r="H36" s="15"/>
      <c r="I36" s="14" t="s">
        <v>176</v>
      </c>
      <c r="J36" s="1" t="s">
        <v>176</v>
      </c>
      <c r="K36" s="1" t="s">
        <v>176</v>
      </c>
      <c r="L36" s="1"/>
      <c r="M36" s="1"/>
      <c r="N36" s="15"/>
      <c r="O36" s="250"/>
      <c r="P36" s="194"/>
      <c r="Q36" s="194"/>
      <c r="R36" s="194"/>
      <c r="S36" s="194"/>
      <c r="T36" s="250"/>
      <c r="U36" s="39"/>
      <c r="V36" s="40"/>
      <c r="W36" s="40"/>
      <c r="X36" s="40"/>
      <c r="Y36" s="40"/>
      <c r="Z36" s="43"/>
      <c r="AA36" s="253"/>
      <c r="AB36" s="262"/>
      <c r="AC36" s="262"/>
      <c r="AD36" s="262"/>
      <c r="AE36" s="262"/>
      <c r="AF36" s="253"/>
      <c r="AG36" s="255"/>
      <c r="AH36" s="40"/>
      <c r="AI36" s="40"/>
      <c r="AJ36" s="40"/>
      <c r="AK36" s="40"/>
      <c r="AL36" s="256"/>
      <c r="AM36" s="39"/>
      <c r="AN36" s="40"/>
      <c r="AO36" s="40"/>
      <c r="AP36" s="40"/>
      <c r="AQ36" s="40"/>
      <c r="AR36" s="43"/>
      <c r="AS36" s="39"/>
      <c r="AT36" s="40"/>
      <c r="AU36" s="40"/>
      <c r="AV36" s="40"/>
      <c r="AW36" s="40"/>
      <c r="AX36" s="43"/>
      <c r="AY36" s="39"/>
      <c r="AZ36" s="40"/>
      <c r="BA36" s="40"/>
      <c r="BB36" s="40"/>
      <c r="BC36" s="40"/>
      <c r="BD36" s="43"/>
      <c r="BE36" s="106"/>
      <c r="BF36" s="22"/>
      <c r="BG36" s="22"/>
      <c r="BH36" s="22"/>
      <c r="BI36" s="22"/>
      <c r="BJ36" s="105"/>
      <c r="BK36" s="116">
        <v>46083</v>
      </c>
      <c r="BL36" s="117">
        <v>46142</v>
      </c>
      <c r="BM36" s="112"/>
      <c r="BN36" s="119">
        <v>46140</v>
      </c>
      <c r="BO36" s="114"/>
      <c r="BP36" s="115"/>
      <c r="BQ36" s="119">
        <v>46128</v>
      </c>
      <c r="BR36" s="114"/>
      <c r="BS36" s="115"/>
      <c r="BT36" s="113"/>
      <c r="BU36" s="114"/>
      <c r="BV36" s="115"/>
      <c r="BW36" s="150"/>
      <c r="BX36" s="151"/>
      <c r="BY36" s="152"/>
      <c r="BZ36" s="150"/>
      <c r="CA36" s="151"/>
      <c r="CB36" s="152"/>
      <c r="CC36" s="150"/>
      <c r="CD36" s="151"/>
      <c r="CE36" s="152"/>
      <c r="CF36" s="150"/>
      <c r="CG36" s="151"/>
      <c r="CH36" s="152"/>
      <c r="CI36" s="150"/>
      <c r="CJ36" s="151"/>
      <c r="CK36" s="152"/>
      <c r="CL36" s="150"/>
      <c r="CM36" s="151"/>
      <c r="CN36" s="152"/>
      <c r="CO36" s="203"/>
      <c r="CP36" s="204"/>
      <c r="CQ36" s="205"/>
      <c r="CR36" s="90" t="str">
        <f t="shared" si="0"/>
        <v>5B.2</v>
      </c>
      <c r="CS36" s="71" t="b">
        <f t="shared" si="2"/>
        <v>0</v>
      </c>
    </row>
    <row r="37" spans="1:97" ht="20.100000000000001" customHeight="1">
      <c r="A37" s="71" t="b">
        <f t="shared" si="1"/>
        <v>0</v>
      </c>
      <c r="B37" s="9" t="s">
        <v>110</v>
      </c>
      <c r="C37" s="14" t="s">
        <v>176</v>
      </c>
      <c r="D37" s="1"/>
      <c r="E37" s="188" t="s">
        <v>176</v>
      </c>
      <c r="F37" s="1"/>
      <c r="G37" s="1"/>
      <c r="H37" s="15"/>
      <c r="I37" s="14" t="s">
        <v>176</v>
      </c>
      <c r="J37" s="1"/>
      <c r="K37" s="188" t="s">
        <v>176</v>
      </c>
      <c r="L37" s="1"/>
      <c r="M37" s="1"/>
      <c r="N37" s="15"/>
      <c r="O37" s="250" t="s">
        <v>176</v>
      </c>
      <c r="P37" s="194"/>
      <c r="Q37" s="194"/>
      <c r="R37" s="194"/>
      <c r="S37" s="194"/>
      <c r="T37" s="250"/>
      <c r="U37" s="39"/>
      <c r="V37" s="40"/>
      <c r="W37" s="40"/>
      <c r="X37" s="40"/>
      <c r="Y37" s="40"/>
      <c r="Z37" s="43"/>
      <c r="AA37" s="253"/>
      <c r="AB37" s="262"/>
      <c r="AC37" s="262"/>
      <c r="AD37" s="262"/>
      <c r="AE37" s="262"/>
      <c r="AF37" s="253"/>
      <c r="AG37" s="255"/>
      <c r="AH37" s="40"/>
      <c r="AI37" s="40"/>
      <c r="AJ37" s="40"/>
      <c r="AK37" s="40"/>
      <c r="AL37" s="256"/>
      <c r="AM37" s="39"/>
      <c r="AN37" s="40"/>
      <c r="AO37" s="40"/>
      <c r="AP37" s="40"/>
      <c r="AQ37" s="40"/>
      <c r="AR37" s="43"/>
      <c r="AS37" s="39"/>
      <c r="AT37" s="40"/>
      <c r="AU37" s="40"/>
      <c r="AV37" s="40"/>
      <c r="AW37" s="40"/>
      <c r="AX37" s="43"/>
      <c r="AY37" s="39"/>
      <c r="AZ37" s="40"/>
      <c r="BA37" s="40"/>
      <c r="BB37" s="40"/>
      <c r="BC37" s="40"/>
      <c r="BD37" s="43"/>
      <c r="BE37" s="106"/>
      <c r="BF37" s="22"/>
      <c r="BG37" s="22"/>
      <c r="BH37" s="22"/>
      <c r="BI37" s="22"/>
      <c r="BJ37" s="105"/>
      <c r="BK37" s="116">
        <v>46084</v>
      </c>
      <c r="BL37" s="117"/>
      <c r="BM37" s="112"/>
      <c r="BN37" s="119">
        <v>46241</v>
      </c>
      <c r="BO37" s="114"/>
      <c r="BP37" s="115"/>
      <c r="BQ37" s="119">
        <v>46234</v>
      </c>
      <c r="BR37" s="114"/>
      <c r="BS37" s="115"/>
      <c r="BT37" s="113"/>
      <c r="BU37" s="114"/>
      <c r="BV37" s="115"/>
      <c r="BW37" s="150"/>
      <c r="BX37" s="151"/>
      <c r="BY37" s="152"/>
      <c r="BZ37" s="150"/>
      <c r="CA37" s="151"/>
      <c r="CB37" s="152"/>
      <c r="CC37" s="150"/>
      <c r="CD37" s="151"/>
      <c r="CE37" s="152"/>
      <c r="CF37" s="150"/>
      <c r="CG37" s="151"/>
      <c r="CH37" s="152"/>
      <c r="CI37" s="150"/>
      <c r="CJ37" s="151"/>
      <c r="CK37" s="152"/>
      <c r="CL37" s="150"/>
      <c r="CM37" s="151"/>
      <c r="CN37" s="152"/>
      <c r="CO37" s="203"/>
      <c r="CP37" s="204"/>
      <c r="CQ37" s="205"/>
      <c r="CR37" s="90" t="str">
        <f t="shared" si="0"/>
        <v>5B.3</v>
      </c>
      <c r="CS37" s="71" t="b">
        <f t="shared" si="2"/>
        <v>0</v>
      </c>
    </row>
    <row r="38" spans="1:97" ht="20.100000000000001" customHeight="1">
      <c r="A38" s="71" t="b">
        <f t="shared" si="1"/>
        <v>0</v>
      </c>
      <c r="B38" s="9" t="s">
        <v>111</v>
      </c>
      <c r="C38" s="14" t="s">
        <v>176</v>
      </c>
      <c r="D38" s="1"/>
      <c r="E38" s="188" t="s">
        <v>176</v>
      </c>
      <c r="F38" s="1"/>
      <c r="G38" s="1"/>
      <c r="H38" s="15"/>
      <c r="I38" s="14" t="s">
        <v>176</v>
      </c>
      <c r="J38" s="1"/>
      <c r="K38" s="188" t="s">
        <v>176</v>
      </c>
      <c r="L38" s="1"/>
      <c r="M38" s="1"/>
      <c r="N38" s="15"/>
      <c r="O38" s="250"/>
      <c r="P38" s="194"/>
      <c r="Q38" s="194"/>
      <c r="R38" s="194"/>
      <c r="S38" s="194"/>
      <c r="T38" s="250"/>
      <c r="U38" s="39"/>
      <c r="V38" s="40"/>
      <c r="W38" s="40"/>
      <c r="X38" s="40"/>
      <c r="Y38" s="40"/>
      <c r="Z38" s="43"/>
      <c r="AA38" s="253"/>
      <c r="AB38" s="262"/>
      <c r="AC38" s="262"/>
      <c r="AD38" s="262"/>
      <c r="AE38" s="262"/>
      <c r="AF38" s="253"/>
      <c r="AG38" s="255"/>
      <c r="AH38" s="40"/>
      <c r="AI38" s="40"/>
      <c r="AJ38" s="40"/>
      <c r="AK38" s="40"/>
      <c r="AL38" s="256"/>
      <c r="AM38" s="39"/>
      <c r="AN38" s="40"/>
      <c r="AO38" s="40"/>
      <c r="AP38" s="40"/>
      <c r="AQ38" s="40"/>
      <c r="AR38" s="43"/>
      <c r="AS38" s="39"/>
      <c r="AT38" s="40"/>
      <c r="AU38" s="40"/>
      <c r="AV38" s="40"/>
      <c r="AW38" s="40"/>
      <c r="AX38" s="43"/>
      <c r="AY38" s="39"/>
      <c r="AZ38" s="40"/>
      <c r="BA38" s="40"/>
      <c r="BB38" s="40"/>
      <c r="BC38" s="40"/>
      <c r="BD38" s="43"/>
      <c r="BE38" s="106"/>
      <c r="BF38" s="22"/>
      <c r="BG38" s="22"/>
      <c r="BH38" s="22"/>
      <c r="BI38" s="22"/>
      <c r="BJ38" s="105"/>
      <c r="BK38" s="116">
        <v>46085</v>
      </c>
      <c r="BL38" s="117"/>
      <c r="BM38" s="112"/>
      <c r="BN38" s="119">
        <v>46234</v>
      </c>
      <c r="BO38" s="114"/>
      <c r="BP38" s="115"/>
      <c r="BQ38" s="119">
        <v>46239</v>
      </c>
      <c r="BR38" s="114"/>
      <c r="BS38" s="115"/>
      <c r="BT38" s="113"/>
      <c r="BU38" s="114"/>
      <c r="BV38" s="115"/>
      <c r="BW38" s="150"/>
      <c r="BX38" s="151"/>
      <c r="BY38" s="152"/>
      <c r="BZ38" s="150"/>
      <c r="CA38" s="151"/>
      <c r="CB38" s="152"/>
      <c r="CC38" s="150"/>
      <c r="CD38" s="151"/>
      <c r="CE38" s="152"/>
      <c r="CF38" s="150"/>
      <c r="CG38" s="151"/>
      <c r="CH38" s="152"/>
      <c r="CI38" s="150"/>
      <c r="CJ38" s="151"/>
      <c r="CK38" s="152"/>
      <c r="CL38" s="150"/>
      <c r="CM38" s="151"/>
      <c r="CN38" s="152"/>
      <c r="CO38" s="203"/>
      <c r="CP38" s="204"/>
      <c r="CQ38" s="205"/>
      <c r="CR38" s="90" t="str">
        <f t="shared" si="0"/>
        <v>5B.3</v>
      </c>
      <c r="CS38" s="71" t="b">
        <f t="shared" si="2"/>
        <v>0</v>
      </c>
    </row>
    <row r="39" spans="1:97" ht="20.100000000000001" customHeight="1">
      <c r="A39" s="71" t="b">
        <f t="shared" si="1"/>
        <v>0</v>
      </c>
      <c r="B39" s="9" t="s">
        <v>112</v>
      </c>
      <c r="C39" s="14" t="s">
        <v>176</v>
      </c>
      <c r="D39" s="1"/>
      <c r="E39" s="1" t="s">
        <v>176</v>
      </c>
      <c r="F39" s="1"/>
      <c r="G39" s="1"/>
      <c r="H39" s="15"/>
      <c r="I39" s="14" t="s">
        <v>176</v>
      </c>
      <c r="J39" s="1"/>
      <c r="K39" s="188" t="s">
        <v>176</v>
      </c>
      <c r="L39" s="1"/>
      <c r="M39" s="1"/>
      <c r="N39" s="15"/>
      <c r="O39" s="250"/>
      <c r="P39" s="194"/>
      <c r="Q39" s="194"/>
      <c r="R39" s="194"/>
      <c r="S39" s="194"/>
      <c r="T39" s="250"/>
      <c r="U39" s="39"/>
      <c r="V39" s="40"/>
      <c r="W39" s="40"/>
      <c r="X39" s="40"/>
      <c r="Y39" s="40"/>
      <c r="Z39" s="43"/>
      <c r="AA39" s="253"/>
      <c r="AB39" s="262"/>
      <c r="AC39" s="262"/>
      <c r="AD39" s="262"/>
      <c r="AE39" s="262"/>
      <c r="AF39" s="253"/>
      <c r="AG39" s="255"/>
      <c r="AH39" s="40"/>
      <c r="AI39" s="40"/>
      <c r="AJ39" s="40"/>
      <c r="AK39" s="40"/>
      <c r="AL39" s="256"/>
      <c r="AM39" s="39"/>
      <c r="AN39" s="40"/>
      <c r="AO39" s="40"/>
      <c r="AP39" s="40"/>
      <c r="AQ39" s="40"/>
      <c r="AR39" s="43"/>
      <c r="AS39" s="39"/>
      <c r="AT39" s="40"/>
      <c r="AU39" s="40"/>
      <c r="AV39" s="40"/>
      <c r="AW39" s="40"/>
      <c r="AX39" s="43"/>
      <c r="AY39" s="39"/>
      <c r="AZ39" s="40"/>
      <c r="BA39" s="40"/>
      <c r="BB39" s="40"/>
      <c r="BC39" s="40"/>
      <c r="BD39" s="43"/>
      <c r="BE39" s="106"/>
      <c r="BF39" s="22"/>
      <c r="BG39" s="22"/>
      <c r="BH39" s="22"/>
      <c r="BI39" s="22"/>
      <c r="BJ39" s="105"/>
      <c r="BK39" s="116">
        <v>46086</v>
      </c>
      <c r="BL39" s="117"/>
      <c r="BM39" s="112"/>
      <c r="BN39" s="119">
        <v>46247</v>
      </c>
      <c r="BO39" s="114"/>
      <c r="BP39" s="115"/>
      <c r="BQ39" s="119">
        <v>46240</v>
      </c>
      <c r="BR39" s="114"/>
      <c r="BS39" s="115"/>
      <c r="BT39" s="113"/>
      <c r="BU39" s="114"/>
      <c r="BV39" s="115"/>
      <c r="BW39" s="150"/>
      <c r="BX39" s="151"/>
      <c r="BY39" s="152"/>
      <c r="BZ39" s="150"/>
      <c r="CA39" s="151"/>
      <c r="CB39" s="152"/>
      <c r="CC39" s="150"/>
      <c r="CD39" s="151"/>
      <c r="CE39" s="152"/>
      <c r="CF39" s="150"/>
      <c r="CG39" s="151"/>
      <c r="CH39" s="152"/>
      <c r="CI39" s="150"/>
      <c r="CJ39" s="151"/>
      <c r="CK39" s="152"/>
      <c r="CL39" s="150"/>
      <c r="CM39" s="151"/>
      <c r="CN39" s="152"/>
      <c r="CO39" s="203"/>
      <c r="CP39" s="204"/>
      <c r="CQ39" s="205"/>
      <c r="CR39" s="90" t="str">
        <f t="shared" si="0"/>
        <v>5B.3</v>
      </c>
      <c r="CS39" s="71" t="b">
        <f t="shared" si="2"/>
        <v>0</v>
      </c>
    </row>
    <row r="40" spans="1:97" ht="20.100000000000001" customHeight="1">
      <c r="A40" s="71" t="b">
        <f t="shared" si="1"/>
        <v>1</v>
      </c>
      <c r="B40" s="9" t="s">
        <v>113</v>
      </c>
      <c r="C40" s="39"/>
      <c r="D40" s="40"/>
      <c r="E40" s="40"/>
      <c r="F40" s="40"/>
      <c r="G40" s="40"/>
      <c r="H40" s="43"/>
      <c r="I40" s="39"/>
      <c r="J40" s="40"/>
      <c r="K40" s="40"/>
      <c r="L40" s="40"/>
      <c r="M40" s="40"/>
      <c r="N40" s="43"/>
      <c r="O40" s="253"/>
      <c r="P40" s="262"/>
      <c r="Q40" s="262"/>
      <c r="R40" s="262"/>
      <c r="S40" s="262"/>
      <c r="T40" s="253"/>
      <c r="U40" s="39"/>
      <c r="V40" s="40"/>
      <c r="W40" s="40"/>
      <c r="X40" s="40"/>
      <c r="Y40" s="40"/>
      <c r="Z40" s="43"/>
      <c r="AA40" s="253"/>
      <c r="AB40" s="262"/>
      <c r="AC40" s="262"/>
      <c r="AD40" s="262"/>
      <c r="AE40" s="262"/>
      <c r="AF40" s="253"/>
      <c r="AG40" s="255"/>
      <c r="AH40" s="40"/>
      <c r="AI40" s="40"/>
      <c r="AJ40" s="40"/>
      <c r="AK40" s="40"/>
      <c r="AL40" s="256"/>
      <c r="AM40" s="89" t="s">
        <v>176</v>
      </c>
      <c r="AN40" s="73" t="s">
        <v>176</v>
      </c>
      <c r="AO40" s="73" t="s">
        <v>176</v>
      </c>
      <c r="AP40" s="73"/>
      <c r="AQ40" s="73"/>
      <c r="AR40" s="164"/>
      <c r="AS40" s="89" t="s">
        <v>176</v>
      </c>
      <c r="AT40" s="73" t="s">
        <v>176</v>
      </c>
      <c r="AU40" s="73" t="s">
        <v>176</v>
      </c>
      <c r="AV40" s="73"/>
      <c r="AW40" s="73"/>
      <c r="AX40" s="164"/>
      <c r="AY40" s="89" t="s">
        <v>176</v>
      </c>
      <c r="AZ40" s="73" t="s">
        <v>176</v>
      </c>
      <c r="BA40" s="73"/>
      <c r="BB40" s="73"/>
      <c r="BC40" s="73"/>
      <c r="BD40" s="164"/>
      <c r="BE40" s="106"/>
      <c r="BF40" s="22"/>
      <c r="BG40" s="22"/>
      <c r="BH40" s="22"/>
      <c r="BI40" s="22"/>
      <c r="BJ40" s="105"/>
      <c r="BK40" s="116">
        <v>46119</v>
      </c>
      <c r="BL40" s="117">
        <v>46127</v>
      </c>
      <c r="BM40" s="112"/>
      <c r="BN40" s="150"/>
      <c r="BO40" s="151"/>
      <c r="BP40" s="152"/>
      <c r="BQ40" s="150"/>
      <c r="BR40" s="151"/>
      <c r="BS40" s="152"/>
      <c r="BT40" s="150"/>
      <c r="BU40" s="151"/>
      <c r="BV40" s="152"/>
      <c r="BW40" s="150"/>
      <c r="BX40" s="151"/>
      <c r="BY40" s="152"/>
      <c r="BZ40" s="150"/>
      <c r="CA40" s="151"/>
      <c r="CB40" s="152"/>
      <c r="CC40" s="150"/>
      <c r="CD40" s="151"/>
      <c r="CE40" s="152"/>
      <c r="CF40" s="119">
        <v>46154</v>
      </c>
      <c r="CG40" s="114"/>
      <c r="CH40" s="115"/>
      <c r="CI40" s="119">
        <v>46155</v>
      </c>
      <c r="CJ40" s="114"/>
      <c r="CK40" s="115"/>
      <c r="CL40" s="113"/>
      <c r="CM40" s="114"/>
      <c r="CN40" s="115"/>
      <c r="CO40" s="203"/>
      <c r="CP40" s="204"/>
      <c r="CQ40" s="205"/>
      <c r="CR40" s="90" t="str">
        <f t="shared" si="0"/>
        <v>10A.1</v>
      </c>
      <c r="CS40" s="71" t="b">
        <f t="shared" si="2"/>
        <v>0</v>
      </c>
    </row>
    <row r="41" spans="1:97" ht="20.100000000000001" customHeight="1">
      <c r="A41" s="71" t="b">
        <f t="shared" si="1"/>
        <v>1</v>
      </c>
      <c r="B41" s="9" t="s">
        <v>114</v>
      </c>
      <c r="C41" s="39"/>
      <c r="D41" s="40"/>
      <c r="E41" s="40"/>
      <c r="F41" s="40"/>
      <c r="G41" s="40"/>
      <c r="H41" s="43"/>
      <c r="I41" s="39"/>
      <c r="J41" s="40"/>
      <c r="K41" s="40"/>
      <c r="L41" s="40"/>
      <c r="M41" s="40"/>
      <c r="N41" s="43"/>
      <c r="O41" s="253"/>
      <c r="P41" s="262"/>
      <c r="Q41" s="262"/>
      <c r="R41" s="262"/>
      <c r="S41" s="262"/>
      <c r="T41" s="253"/>
      <c r="U41" s="39"/>
      <c r="V41" s="40"/>
      <c r="W41" s="40"/>
      <c r="X41" s="40"/>
      <c r="Y41" s="40"/>
      <c r="Z41" s="43"/>
      <c r="AA41" s="253"/>
      <c r="AB41" s="262"/>
      <c r="AC41" s="262"/>
      <c r="AD41" s="262"/>
      <c r="AE41" s="262"/>
      <c r="AF41" s="253"/>
      <c r="AG41" s="255"/>
      <c r="AH41" s="40"/>
      <c r="AI41" s="40"/>
      <c r="AJ41" s="40"/>
      <c r="AK41" s="40"/>
      <c r="AL41" s="256"/>
      <c r="AM41" s="89" t="s">
        <v>176</v>
      </c>
      <c r="AN41" s="73" t="s">
        <v>176</v>
      </c>
      <c r="AO41" s="73" t="s">
        <v>176</v>
      </c>
      <c r="AP41" s="73"/>
      <c r="AQ41" s="73"/>
      <c r="AR41" s="164"/>
      <c r="AS41" s="89" t="s">
        <v>176</v>
      </c>
      <c r="AT41" s="73" t="s">
        <v>176</v>
      </c>
      <c r="AU41" s="73" t="s">
        <v>176</v>
      </c>
      <c r="AV41" s="73"/>
      <c r="AW41" s="73"/>
      <c r="AX41" s="164"/>
      <c r="AY41" s="89" t="s">
        <v>176</v>
      </c>
      <c r="AZ41" s="73" t="s">
        <v>176</v>
      </c>
      <c r="BA41" s="73"/>
      <c r="BB41" s="73"/>
      <c r="BC41" s="73"/>
      <c r="BD41" s="164"/>
      <c r="BE41" s="106"/>
      <c r="BF41" s="22"/>
      <c r="BG41" s="22"/>
      <c r="BH41" s="22"/>
      <c r="BI41" s="22"/>
      <c r="BJ41" s="105"/>
      <c r="BK41" s="116">
        <v>46163</v>
      </c>
      <c r="BL41" s="117">
        <v>46127</v>
      </c>
      <c r="BM41" s="112"/>
      <c r="BN41" s="150"/>
      <c r="BO41" s="151"/>
      <c r="BP41" s="152"/>
      <c r="BQ41" s="150"/>
      <c r="BR41" s="151"/>
      <c r="BS41" s="152"/>
      <c r="BT41" s="150"/>
      <c r="BU41" s="151"/>
      <c r="BV41" s="152"/>
      <c r="BW41" s="150"/>
      <c r="BX41" s="151"/>
      <c r="BY41" s="152"/>
      <c r="BZ41" s="150"/>
      <c r="CA41" s="151"/>
      <c r="CB41" s="152"/>
      <c r="CC41" s="150"/>
      <c r="CD41" s="151"/>
      <c r="CE41" s="152"/>
      <c r="CF41" s="119">
        <v>46168</v>
      </c>
      <c r="CG41" s="114"/>
      <c r="CH41" s="115"/>
      <c r="CI41" s="119">
        <v>46167</v>
      </c>
      <c r="CJ41" s="114"/>
      <c r="CK41" s="115"/>
      <c r="CL41" s="113"/>
      <c r="CM41" s="114"/>
      <c r="CN41" s="115"/>
      <c r="CO41" s="203"/>
      <c r="CP41" s="204"/>
      <c r="CQ41" s="205"/>
      <c r="CR41" s="90" t="str">
        <f t="shared" si="0"/>
        <v>10A.1</v>
      </c>
      <c r="CS41" s="71" t="b">
        <f t="shared" si="2"/>
        <v>0</v>
      </c>
    </row>
    <row r="42" spans="1:97" ht="20.100000000000001" customHeight="1">
      <c r="A42" s="71" t="b">
        <f t="shared" si="1"/>
        <v>1</v>
      </c>
      <c r="B42" s="9" t="s">
        <v>115</v>
      </c>
      <c r="C42" s="39"/>
      <c r="D42" s="40"/>
      <c r="E42" s="40"/>
      <c r="F42" s="40"/>
      <c r="G42" s="40"/>
      <c r="H42" s="43"/>
      <c r="I42" s="39"/>
      <c r="J42" s="40"/>
      <c r="K42" s="40"/>
      <c r="L42" s="40"/>
      <c r="M42" s="40"/>
      <c r="N42" s="43"/>
      <c r="O42" s="253"/>
      <c r="P42" s="262"/>
      <c r="Q42" s="262"/>
      <c r="R42" s="262"/>
      <c r="S42" s="262"/>
      <c r="T42" s="253"/>
      <c r="U42" s="39"/>
      <c r="V42" s="40"/>
      <c r="W42" s="40"/>
      <c r="X42" s="40"/>
      <c r="Y42" s="40"/>
      <c r="Z42" s="43"/>
      <c r="AA42" s="253"/>
      <c r="AB42" s="262"/>
      <c r="AC42" s="262"/>
      <c r="AD42" s="262"/>
      <c r="AE42" s="262"/>
      <c r="AF42" s="253"/>
      <c r="AG42" s="255"/>
      <c r="AH42" s="40"/>
      <c r="AI42" s="40"/>
      <c r="AJ42" s="40"/>
      <c r="AK42" s="40"/>
      <c r="AL42" s="256"/>
      <c r="AM42" s="89" t="s">
        <v>176</v>
      </c>
      <c r="AN42" s="73" t="s">
        <v>176</v>
      </c>
      <c r="AO42" s="73" t="s">
        <v>176</v>
      </c>
      <c r="AP42" s="73"/>
      <c r="AQ42" s="73"/>
      <c r="AR42" s="164"/>
      <c r="AS42" s="89" t="s">
        <v>176</v>
      </c>
      <c r="AT42" s="73" t="s">
        <v>176</v>
      </c>
      <c r="AU42" s="73" t="s">
        <v>176</v>
      </c>
      <c r="AV42" s="73"/>
      <c r="AW42" s="73"/>
      <c r="AX42" s="164"/>
      <c r="AY42" s="89" t="s">
        <v>176</v>
      </c>
      <c r="AZ42" s="73" t="s">
        <v>176</v>
      </c>
      <c r="BA42" s="73"/>
      <c r="BB42" s="73"/>
      <c r="BC42" s="73"/>
      <c r="BD42" s="164"/>
      <c r="BE42" s="106"/>
      <c r="BF42" s="22"/>
      <c r="BG42" s="22"/>
      <c r="BH42" s="22"/>
      <c r="BI42" s="22"/>
      <c r="BJ42" s="105"/>
      <c r="BK42" s="116">
        <v>46126</v>
      </c>
      <c r="BL42" s="117">
        <v>46128</v>
      </c>
      <c r="BM42" s="112"/>
      <c r="BN42" s="150"/>
      <c r="BO42" s="151"/>
      <c r="BP42" s="152"/>
      <c r="BQ42" s="150"/>
      <c r="BR42" s="151"/>
      <c r="BS42" s="152"/>
      <c r="BT42" s="150"/>
      <c r="BU42" s="151"/>
      <c r="BV42" s="152"/>
      <c r="BW42" s="150"/>
      <c r="BX42" s="151"/>
      <c r="BY42" s="152"/>
      <c r="BZ42" s="150"/>
      <c r="CA42" s="151"/>
      <c r="CB42" s="152"/>
      <c r="CC42" s="150"/>
      <c r="CD42" s="151"/>
      <c r="CE42" s="152"/>
      <c r="CF42" s="119">
        <v>46168</v>
      </c>
      <c r="CG42" s="114"/>
      <c r="CH42" s="115"/>
      <c r="CI42" s="119">
        <v>46167</v>
      </c>
      <c r="CJ42" s="114"/>
      <c r="CK42" s="115"/>
      <c r="CL42" s="113"/>
      <c r="CM42" s="114"/>
      <c r="CN42" s="115"/>
      <c r="CO42" s="203"/>
      <c r="CP42" s="204"/>
      <c r="CQ42" s="205"/>
      <c r="CR42" s="90" t="str">
        <f t="shared" si="0"/>
        <v>10A.1</v>
      </c>
      <c r="CS42" s="71" t="b">
        <f t="shared" si="2"/>
        <v>0</v>
      </c>
    </row>
    <row r="43" spans="1:97" ht="20.100000000000001" customHeight="1">
      <c r="A43" s="71" t="b">
        <f t="shared" si="1"/>
        <v>1</v>
      </c>
      <c r="B43" s="9" t="s">
        <v>116</v>
      </c>
      <c r="C43" s="39"/>
      <c r="D43" s="40"/>
      <c r="E43" s="40"/>
      <c r="F43" s="40"/>
      <c r="G43" s="40"/>
      <c r="H43" s="43"/>
      <c r="I43" s="39"/>
      <c r="J43" s="40"/>
      <c r="K43" s="40"/>
      <c r="L43" s="40"/>
      <c r="M43" s="40"/>
      <c r="N43" s="43"/>
      <c r="O43" s="253"/>
      <c r="P43" s="262"/>
      <c r="Q43" s="262"/>
      <c r="R43" s="262"/>
      <c r="S43" s="262"/>
      <c r="T43" s="253"/>
      <c r="U43" s="39"/>
      <c r="V43" s="40"/>
      <c r="W43" s="40"/>
      <c r="X43" s="40"/>
      <c r="Y43" s="40"/>
      <c r="Z43" s="43"/>
      <c r="AA43" s="253"/>
      <c r="AB43" s="262"/>
      <c r="AC43" s="262"/>
      <c r="AD43" s="262"/>
      <c r="AE43" s="262"/>
      <c r="AF43" s="253"/>
      <c r="AG43" s="255"/>
      <c r="AH43" s="40"/>
      <c r="AI43" s="40"/>
      <c r="AJ43" s="40"/>
      <c r="AK43" s="40"/>
      <c r="AL43" s="256"/>
      <c r="AM43" s="89" t="s">
        <v>176</v>
      </c>
      <c r="AN43" s="73" t="s">
        <v>176</v>
      </c>
      <c r="AO43" s="73" t="s">
        <v>176</v>
      </c>
      <c r="AP43" s="73"/>
      <c r="AQ43" s="73"/>
      <c r="AR43" s="164"/>
      <c r="AS43" s="89" t="s">
        <v>176</v>
      </c>
      <c r="AT43" s="73" t="s">
        <v>176</v>
      </c>
      <c r="AU43" s="73" t="s">
        <v>176</v>
      </c>
      <c r="AV43" s="73"/>
      <c r="AW43" s="73"/>
      <c r="AX43" s="164"/>
      <c r="AY43" s="89" t="s">
        <v>176</v>
      </c>
      <c r="AZ43" s="73" t="s">
        <v>176</v>
      </c>
      <c r="BA43" s="73"/>
      <c r="BB43" s="73"/>
      <c r="BC43" s="73"/>
      <c r="BD43" s="164"/>
      <c r="BE43" s="106"/>
      <c r="BF43" s="22"/>
      <c r="BG43" s="22"/>
      <c r="BH43" s="22"/>
      <c r="BI43" s="22"/>
      <c r="BJ43" s="105"/>
      <c r="BK43" s="116">
        <v>46090</v>
      </c>
      <c r="BL43" s="117">
        <v>46146</v>
      </c>
      <c r="BM43" s="112"/>
      <c r="BN43" s="150"/>
      <c r="BO43" s="151"/>
      <c r="BP43" s="152"/>
      <c r="BQ43" s="150"/>
      <c r="BR43" s="151"/>
      <c r="BS43" s="152"/>
      <c r="BT43" s="150"/>
      <c r="BU43" s="151"/>
      <c r="BV43" s="152"/>
      <c r="BW43" s="150"/>
      <c r="BX43" s="151"/>
      <c r="BY43" s="152"/>
      <c r="BZ43" s="150"/>
      <c r="CA43" s="151"/>
      <c r="CB43" s="152"/>
      <c r="CC43" s="150"/>
      <c r="CD43" s="151"/>
      <c r="CE43" s="152"/>
      <c r="CF43" s="119">
        <v>46148</v>
      </c>
      <c r="CG43" s="114"/>
      <c r="CH43" s="115"/>
      <c r="CI43" s="119">
        <v>46147</v>
      </c>
      <c r="CJ43" s="114"/>
      <c r="CK43" s="115"/>
      <c r="CL43" s="113"/>
      <c r="CM43" s="114"/>
      <c r="CN43" s="115"/>
      <c r="CO43" s="203"/>
      <c r="CP43" s="204"/>
      <c r="CQ43" s="205"/>
      <c r="CR43" s="90" t="str">
        <f t="shared" si="0"/>
        <v>11A.1</v>
      </c>
      <c r="CS43" s="71" t="b">
        <f t="shared" si="2"/>
        <v>0</v>
      </c>
    </row>
    <row r="44" spans="1:97" ht="20.100000000000001" customHeight="1">
      <c r="A44" s="71" t="b">
        <f t="shared" si="1"/>
        <v>1</v>
      </c>
      <c r="B44" s="9" t="s">
        <v>117</v>
      </c>
      <c r="C44" s="39"/>
      <c r="D44" s="40"/>
      <c r="E44" s="40"/>
      <c r="F44" s="40"/>
      <c r="G44" s="40"/>
      <c r="H44" s="43"/>
      <c r="I44" s="39"/>
      <c r="J44" s="40"/>
      <c r="K44" s="40"/>
      <c r="L44" s="40"/>
      <c r="M44" s="40"/>
      <c r="N44" s="43"/>
      <c r="O44" s="253"/>
      <c r="P44" s="262"/>
      <c r="Q44" s="262"/>
      <c r="R44" s="262"/>
      <c r="S44" s="262"/>
      <c r="T44" s="253"/>
      <c r="U44" s="89" t="s">
        <v>29</v>
      </c>
      <c r="V44" s="73" t="s">
        <v>176</v>
      </c>
      <c r="W44" s="73"/>
      <c r="X44" s="73"/>
      <c r="Y44" s="73"/>
      <c r="Z44" s="164"/>
      <c r="AA44" s="254"/>
      <c r="AB44" s="263"/>
      <c r="AC44" s="263"/>
      <c r="AD44" s="263"/>
      <c r="AE44" s="263"/>
      <c r="AF44" s="254"/>
      <c r="AG44" s="257" t="s">
        <v>176</v>
      </c>
      <c r="AH44" s="73" t="s">
        <v>176</v>
      </c>
      <c r="AI44" s="73"/>
      <c r="AJ44" s="73"/>
      <c r="AK44" s="73"/>
      <c r="AL44" s="258"/>
      <c r="AM44" s="39"/>
      <c r="AN44" s="40"/>
      <c r="AO44" s="40"/>
      <c r="AP44" s="40"/>
      <c r="AQ44" s="40"/>
      <c r="AR44" s="43"/>
      <c r="AS44" s="39"/>
      <c r="AT44" s="40"/>
      <c r="AU44" s="40"/>
      <c r="AV44" s="40"/>
      <c r="AW44" s="40"/>
      <c r="AX44" s="43"/>
      <c r="AY44" s="39"/>
      <c r="AZ44" s="40"/>
      <c r="BA44" s="40"/>
      <c r="BB44" s="40"/>
      <c r="BC44" s="40"/>
      <c r="BD44" s="43"/>
      <c r="BE44" s="106"/>
      <c r="BF44" s="22"/>
      <c r="BG44" s="22"/>
      <c r="BH44" s="22"/>
      <c r="BI44" s="22"/>
      <c r="BJ44" s="105"/>
      <c r="BK44" s="116">
        <v>46128</v>
      </c>
      <c r="BL44" s="117">
        <v>46133</v>
      </c>
      <c r="BM44" s="112"/>
      <c r="BN44" s="150"/>
      <c r="BO44" s="151"/>
      <c r="BP44" s="152"/>
      <c r="BQ44" s="150"/>
      <c r="BR44" s="151"/>
      <c r="BS44" s="152"/>
      <c r="BT44" s="150"/>
      <c r="BU44" s="151"/>
      <c r="BV44" s="152"/>
      <c r="BW44" s="113"/>
      <c r="BX44" s="114"/>
      <c r="BY44" s="115"/>
      <c r="BZ44" s="113"/>
      <c r="CA44" s="114"/>
      <c r="CB44" s="115"/>
      <c r="CC44" s="113"/>
      <c r="CD44" s="114"/>
      <c r="CE44" s="115"/>
      <c r="CF44" s="150"/>
      <c r="CG44" s="151"/>
      <c r="CH44" s="152"/>
      <c r="CI44" s="150"/>
      <c r="CJ44" s="151"/>
      <c r="CK44" s="152"/>
      <c r="CL44" s="150"/>
      <c r="CM44" s="151"/>
      <c r="CN44" s="152"/>
      <c r="CO44" s="203"/>
      <c r="CP44" s="204"/>
      <c r="CQ44" s="205"/>
      <c r="CR44" s="90" t="str">
        <f t="shared" si="0"/>
        <v>11A.2</v>
      </c>
      <c r="CS44" s="71" t="b">
        <f t="shared" si="2"/>
        <v>0</v>
      </c>
    </row>
    <row r="45" spans="1:97" ht="20.100000000000001" customHeight="1">
      <c r="A45" s="71" t="b">
        <f t="shared" si="1"/>
        <v>1</v>
      </c>
      <c r="B45" s="9" t="s">
        <v>118</v>
      </c>
      <c r="C45" s="39"/>
      <c r="D45" s="40"/>
      <c r="E45" s="40"/>
      <c r="F45" s="40"/>
      <c r="G45" s="40"/>
      <c r="H45" s="43"/>
      <c r="I45" s="39"/>
      <c r="J45" s="40"/>
      <c r="K45" s="40"/>
      <c r="L45" s="40"/>
      <c r="M45" s="40"/>
      <c r="N45" s="43"/>
      <c r="O45" s="253"/>
      <c r="P45" s="262"/>
      <c r="Q45" s="262"/>
      <c r="R45" s="262"/>
      <c r="S45" s="262"/>
      <c r="T45" s="253"/>
      <c r="U45" s="39"/>
      <c r="V45" s="40"/>
      <c r="W45" s="40"/>
      <c r="X45" s="40"/>
      <c r="Y45" s="40"/>
      <c r="Z45" s="43"/>
      <c r="AA45" s="253"/>
      <c r="AB45" s="262"/>
      <c r="AC45" s="262"/>
      <c r="AD45" s="262"/>
      <c r="AE45" s="262"/>
      <c r="AF45" s="253"/>
      <c r="AG45" s="255"/>
      <c r="AH45" s="40"/>
      <c r="AI45" s="40"/>
      <c r="AJ45" s="40"/>
      <c r="AK45" s="40"/>
      <c r="AL45" s="256"/>
      <c r="AM45" s="89" t="s">
        <v>176</v>
      </c>
      <c r="AN45" s="73" t="s">
        <v>176</v>
      </c>
      <c r="AO45" s="188" t="s">
        <v>176</v>
      </c>
      <c r="AP45" s="73"/>
      <c r="AQ45" s="73"/>
      <c r="AR45" s="164"/>
      <c r="AS45" s="89" t="s">
        <v>176</v>
      </c>
      <c r="AT45" s="73" t="s">
        <v>176</v>
      </c>
      <c r="AU45" s="188"/>
      <c r="AV45" s="73"/>
      <c r="AW45" s="73"/>
      <c r="AX45" s="164"/>
      <c r="AY45" s="89" t="s">
        <v>176</v>
      </c>
      <c r="AZ45" s="73" t="s">
        <v>176</v>
      </c>
      <c r="BA45" s="73"/>
      <c r="BB45" s="73"/>
      <c r="BC45" s="73"/>
      <c r="BD45" s="164"/>
      <c r="BE45" s="106"/>
      <c r="BF45" s="22"/>
      <c r="BG45" s="22"/>
      <c r="BH45" s="22"/>
      <c r="BI45" s="22"/>
      <c r="BJ45" s="105"/>
      <c r="BK45" s="116">
        <v>46084</v>
      </c>
      <c r="BL45" s="117">
        <v>46140</v>
      </c>
      <c r="BM45" s="112"/>
      <c r="BN45" s="150"/>
      <c r="BO45" s="151"/>
      <c r="BP45" s="152"/>
      <c r="BQ45" s="150"/>
      <c r="BR45" s="151"/>
      <c r="BS45" s="152"/>
      <c r="BT45" s="150"/>
      <c r="BU45" s="151"/>
      <c r="BV45" s="152"/>
      <c r="BW45" s="150"/>
      <c r="BX45" s="151"/>
      <c r="BY45" s="152"/>
      <c r="BZ45" s="150"/>
      <c r="CA45" s="151"/>
      <c r="CB45" s="152"/>
      <c r="CC45" s="150"/>
      <c r="CD45" s="151"/>
      <c r="CE45" s="152"/>
      <c r="CF45" s="119">
        <v>46246</v>
      </c>
      <c r="CG45" s="114"/>
      <c r="CH45" s="115"/>
      <c r="CI45" s="113"/>
      <c r="CJ45" s="114"/>
      <c r="CK45" s="115"/>
      <c r="CL45" s="113"/>
      <c r="CM45" s="114"/>
      <c r="CN45" s="115"/>
      <c r="CO45" s="203"/>
      <c r="CP45" s="204"/>
      <c r="CQ45" s="205"/>
      <c r="CR45" s="90" t="str">
        <f t="shared" si="0"/>
        <v>7B.1</v>
      </c>
      <c r="CS45" s="71" t="b">
        <f t="shared" si="2"/>
        <v>0</v>
      </c>
    </row>
    <row r="46" spans="1:97" ht="20.100000000000001" customHeight="1">
      <c r="A46" s="71" t="b">
        <f t="shared" si="1"/>
        <v>1</v>
      </c>
      <c r="B46" s="9" t="s">
        <v>119</v>
      </c>
      <c r="C46" s="39"/>
      <c r="D46" s="40"/>
      <c r="E46" s="40"/>
      <c r="F46" s="40"/>
      <c r="G46" s="40"/>
      <c r="H46" s="43"/>
      <c r="I46" s="39"/>
      <c r="J46" s="40"/>
      <c r="K46" s="40"/>
      <c r="L46" s="40"/>
      <c r="M46" s="40"/>
      <c r="N46" s="43"/>
      <c r="O46" s="253"/>
      <c r="P46" s="262"/>
      <c r="Q46" s="262"/>
      <c r="R46" s="262"/>
      <c r="S46" s="262"/>
      <c r="T46" s="253"/>
      <c r="U46" s="39"/>
      <c r="V46" s="40"/>
      <c r="W46" s="40"/>
      <c r="X46" s="40"/>
      <c r="Y46" s="40"/>
      <c r="Z46" s="43"/>
      <c r="AA46" s="253"/>
      <c r="AB46" s="262"/>
      <c r="AC46" s="262"/>
      <c r="AD46" s="262"/>
      <c r="AE46" s="262"/>
      <c r="AF46" s="253"/>
      <c r="AG46" s="255"/>
      <c r="AH46" s="40"/>
      <c r="AI46" s="40"/>
      <c r="AJ46" s="40"/>
      <c r="AK46" s="40"/>
      <c r="AL46" s="256"/>
      <c r="AM46" s="89" t="s">
        <v>176</v>
      </c>
      <c r="AN46" s="73" t="s">
        <v>176</v>
      </c>
      <c r="AO46" s="188" t="s">
        <v>176</v>
      </c>
      <c r="AP46" s="73"/>
      <c r="AQ46" s="73"/>
      <c r="AR46" s="164"/>
      <c r="AS46" s="89" t="s">
        <v>176</v>
      </c>
      <c r="AT46" s="73" t="s">
        <v>176</v>
      </c>
      <c r="AU46" s="188" t="s">
        <v>176</v>
      </c>
      <c r="AV46" s="73"/>
      <c r="AW46" s="73"/>
      <c r="AX46" s="164"/>
      <c r="AY46" s="89" t="s">
        <v>176</v>
      </c>
      <c r="AZ46" s="73" t="s">
        <v>176</v>
      </c>
      <c r="BA46" s="73"/>
      <c r="BB46" s="73"/>
      <c r="BC46" s="73"/>
      <c r="BD46" s="164"/>
      <c r="BE46" s="106"/>
      <c r="BF46" s="22"/>
      <c r="BG46" s="22"/>
      <c r="BH46" s="22"/>
      <c r="BI46" s="22"/>
      <c r="BJ46" s="105"/>
      <c r="BK46" s="116">
        <v>46091</v>
      </c>
      <c r="BL46" s="117">
        <v>46141</v>
      </c>
      <c r="BM46" s="112"/>
      <c r="BN46" s="150"/>
      <c r="BO46" s="151"/>
      <c r="BP46" s="152"/>
      <c r="BQ46" s="150"/>
      <c r="BR46" s="151"/>
      <c r="BS46" s="152"/>
      <c r="BT46" s="150"/>
      <c r="BU46" s="151"/>
      <c r="BV46" s="152"/>
      <c r="BW46" s="150"/>
      <c r="BX46" s="151"/>
      <c r="BY46" s="152"/>
      <c r="BZ46" s="150"/>
      <c r="CA46" s="151"/>
      <c r="CB46" s="152"/>
      <c r="CC46" s="150"/>
      <c r="CD46" s="151"/>
      <c r="CE46" s="152"/>
      <c r="CF46" s="119">
        <v>46248</v>
      </c>
      <c r="CG46" s="114"/>
      <c r="CH46" s="115"/>
      <c r="CI46" s="119">
        <v>46254</v>
      </c>
      <c r="CJ46" s="114"/>
      <c r="CK46" s="115"/>
      <c r="CL46" s="113"/>
      <c r="CM46" s="114"/>
      <c r="CN46" s="115"/>
      <c r="CO46" s="203"/>
      <c r="CP46" s="204"/>
      <c r="CQ46" s="205"/>
      <c r="CR46" s="90" t="str">
        <f t="shared" si="0"/>
        <v>7B.1</v>
      </c>
      <c r="CS46" s="71" t="b">
        <f t="shared" si="2"/>
        <v>0</v>
      </c>
    </row>
    <row r="47" spans="1:97" ht="20.100000000000001" customHeight="1">
      <c r="A47" s="71" t="b">
        <f t="shared" si="1"/>
        <v>1</v>
      </c>
      <c r="B47" s="9" t="s">
        <v>120</v>
      </c>
      <c r="C47" s="39"/>
      <c r="D47" s="40"/>
      <c r="E47" s="40"/>
      <c r="F47" s="40"/>
      <c r="G47" s="40"/>
      <c r="H47" s="43"/>
      <c r="I47" s="39"/>
      <c r="J47" s="40"/>
      <c r="K47" s="40"/>
      <c r="L47" s="40"/>
      <c r="M47" s="40"/>
      <c r="N47" s="43"/>
      <c r="O47" s="253"/>
      <c r="P47" s="262"/>
      <c r="Q47" s="262"/>
      <c r="R47" s="262"/>
      <c r="S47" s="262"/>
      <c r="T47" s="253"/>
      <c r="U47" s="39"/>
      <c r="V47" s="40"/>
      <c r="W47" s="40"/>
      <c r="X47" s="40"/>
      <c r="Y47" s="40"/>
      <c r="Z47" s="43"/>
      <c r="AA47" s="253"/>
      <c r="AB47" s="262"/>
      <c r="AC47" s="262"/>
      <c r="AD47" s="262"/>
      <c r="AE47" s="262"/>
      <c r="AF47" s="253"/>
      <c r="AG47" s="255"/>
      <c r="AH47" s="40"/>
      <c r="AI47" s="40"/>
      <c r="AJ47" s="40"/>
      <c r="AK47" s="40"/>
      <c r="AL47" s="256"/>
      <c r="AM47" s="89" t="s">
        <v>176</v>
      </c>
      <c r="AN47" s="73" t="s">
        <v>176</v>
      </c>
      <c r="AO47" s="188"/>
      <c r="AP47" s="73"/>
      <c r="AQ47" s="73"/>
      <c r="AR47" s="164"/>
      <c r="AS47" s="89" t="s">
        <v>176</v>
      </c>
      <c r="AT47" s="73" t="s">
        <v>176</v>
      </c>
      <c r="AU47" s="188"/>
      <c r="AV47" s="73"/>
      <c r="AW47" s="73"/>
      <c r="AX47" s="164"/>
      <c r="AY47" s="89" t="s">
        <v>176</v>
      </c>
      <c r="AZ47" s="73" t="s">
        <v>176</v>
      </c>
      <c r="BA47" s="73"/>
      <c r="BB47" s="73"/>
      <c r="BC47" s="73"/>
      <c r="BD47" s="164"/>
      <c r="BE47" s="106"/>
      <c r="BF47" s="22"/>
      <c r="BG47" s="22"/>
      <c r="BH47" s="22"/>
      <c r="BI47" s="22"/>
      <c r="BJ47" s="105"/>
      <c r="BK47" s="116">
        <v>46092</v>
      </c>
      <c r="BL47" s="117">
        <v>46153</v>
      </c>
      <c r="BM47" s="112"/>
      <c r="BN47" s="150"/>
      <c r="BO47" s="151"/>
      <c r="BP47" s="152"/>
      <c r="BQ47" s="150"/>
      <c r="BR47" s="151"/>
      <c r="BS47" s="152"/>
      <c r="BT47" s="150"/>
      <c r="BU47" s="151"/>
      <c r="BV47" s="152"/>
      <c r="BW47" s="150"/>
      <c r="BX47" s="151"/>
      <c r="BY47" s="152"/>
      <c r="BZ47" s="150"/>
      <c r="CA47" s="151"/>
      <c r="CB47" s="152"/>
      <c r="CC47" s="150"/>
      <c r="CD47" s="151"/>
      <c r="CE47" s="152"/>
      <c r="CF47" s="113"/>
      <c r="CG47" s="114"/>
      <c r="CH47" s="115"/>
      <c r="CI47" s="113"/>
      <c r="CJ47" s="114"/>
      <c r="CK47" s="115"/>
      <c r="CL47" s="113"/>
      <c r="CM47" s="114"/>
      <c r="CN47" s="115"/>
      <c r="CO47" s="203"/>
      <c r="CP47" s="204"/>
      <c r="CQ47" s="205"/>
      <c r="CR47" s="90" t="str">
        <f t="shared" si="0"/>
        <v>7B.1</v>
      </c>
      <c r="CS47" s="71" t="b">
        <f t="shared" si="2"/>
        <v>0</v>
      </c>
    </row>
    <row r="48" spans="1:97" ht="20.100000000000001" customHeight="1" thickBot="1">
      <c r="A48" s="71" t="b">
        <f t="shared" si="1"/>
        <v>1</v>
      </c>
      <c r="B48" s="9" t="s">
        <v>121</v>
      </c>
      <c r="C48" s="39"/>
      <c r="D48" s="40"/>
      <c r="E48" s="40"/>
      <c r="F48" s="40"/>
      <c r="G48" s="40"/>
      <c r="H48" s="43"/>
      <c r="I48" s="39"/>
      <c r="J48" s="40"/>
      <c r="K48" s="40"/>
      <c r="L48" s="40"/>
      <c r="M48" s="40"/>
      <c r="N48" s="43"/>
      <c r="O48" s="253"/>
      <c r="P48" s="262"/>
      <c r="Q48" s="262"/>
      <c r="R48" s="262"/>
      <c r="S48" s="262"/>
      <c r="T48" s="253"/>
      <c r="U48" s="39"/>
      <c r="V48" s="40"/>
      <c r="W48" s="40"/>
      <c r="X48" s="40"/>
      <c r="Y48" s="40"/>
      <c r="Z48" s="43"/>
      <c r="AA48" s="253"/>
      <c r="AB48" s="262"/>
      <c r="AC48" s="262"/>
      <c r="AD48" s="262"/>
      <c r="AE48" s="262"/>
      <c r="AF48" s="253"/>
      <c r="AG48" s="264"/>
      <c r="AH48" s="265"/>
      <c r="AI48" s="265"/>
      <c r="AJ48" s="265"/>
      <c r="AK48" s="265"/>
      <c r="AL48" s="266"/>
      <c r="AM48" s="89" t="s">
        <v>176</v>
      </c>
      <c r="AN48" s="73" t="s">
        <v>176</v>
      </c>
      <c r="AO48" s="188"/>
      <c r="AP48" s="73"/>
      <c r="AQ48" s="73"/>
      <c r="AR48" s="164"/>
      <c r="AS48" s="89" t="s">
        <v>176</v>
      </c>
      <c r="AT48" s="73" t="s">
        <v>176</v>
      </c>
      <c r="AU48" s="188"/>
      <c r="AV48" s="73"/>
      <c r="AW48" s="73"/>
      <c r="AX48" s="164"/>
      <c r="AY48" s="89" t="s">
        <v>176</v>
      </c>
      <c r="AZ48" s="73" t="s">
        <v>176</v>
      </c>
      <c r="BA48" s="73"/>
      <c r="BB48" s="73"/>
      <c r="BC48" s="73"/>
      <c r="BD48" s="164"/>
      <c r="BE48" s="106"/>
      <c r="BF48" s="22"/>
      <c r="BG48" s="22"/>
      <c r="BH48" s="22"/>
      <c r="BI48" s="22"/>
      <c r="BJ48" s="105"/>
      <c r="BK48" s="116">
        <v>46094</v>
      </c>
      <c r="BL48" s="117">
        <v>46154</v>
      </c>
      <c r="BM48" s="112"/>
      <c r="BN48" s="150"/>
      <c r="BO48" s="151"/>
      <c r="BP48" s="152"/>
      <c r="BQ48" s="156"/>
      <c r="BR48" s="157"/>
      <c r="BS48" s="158"/>
      <c r="BT48" s="156"/>
      <c r="BU48" s="157"/>
      <c r="BV48" s="158"/>
      <c r="BW48" s="156"/>
      <c r="BX48" s="157"/>
      <c r="BY48" s="158"/>
      <c r="BZ48" s="156"/>
      <c r="CA48" s="157"/>
      <c r="CB48" s="158"/>
      <c r="CC48" s="156"/>
      <c r="CD48" s="157"/>
      <c r="CE48" s="158"/>
      <c r="CF48" s="125"/>
      <c r="CG48" s="123"/>
      <c r="CH48" s="124"/>
      <c r="CI48" s="125"/>
      <c r="CJ48" s="123"/>
      <c r="CK48" s="124"/>
      <c r="CL48" s="125"/>
      <c r="CM48" s="123"/>
      <c r="CN48" s="124"/>
      <c r="CO48" s="228"/>
      <c r="CP48" s="229"/>
      <c r="CQ48" s="230"/>
      <c r="CR48" s="90" t="str">
        <f t="shared" si="0"/>
        <v>7B.1</v>
      </c>
      <c r="CS48" s="71" t="b">
        <f t="shared" si="2"/>
        <v>0</v>
      </c>
    </row>
    <row r="49" spans="1:97" ht="19.5" customHeight="1">
      <c r="A49" s="344">
        <f>COUNTIF(A7:A48,TRUE)/COUNTA(B7:B48)</f>
        <v>0.5714285714285714</v>
      </c>
      <c r="AY49" s="90"/>
      <c r="AZ49" s="90"/>
      <c r="BA49" s="90"/>
      <c r="BB49" s="90"/>
      <c r="BC49" s="90"/>
      <c r="BD49" s="90"/>
      <c r="BQ49" s="90"/>
      <c r="BR49" s="90"/>
      <c r="BS49" s="90"/>
      <c r="BT49" s="90"/>
      <c r="BU49" s="90"/>
      <c r="BV49" s="90"/>
      <c r="CS49" s="344">
        <f>COUNTIF(CS7:CS48,TRUE)/COUNTA(B7:B48)</f>
        <v>0</v>
      </c>
    </row>
    <row r="50" spans="1:97" ht="19.5" customHeight="1"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</row>
    <row r="51" spans="1:97" ht="19.5" customHeight="1"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</row>
    <row r="52" spans="1:97" ht="19.5" customHeight="1"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</row>
    <row r="53" spans="1:97" ht="19.5" customHeight="1"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</row>
    <row r="54" spans="1:97" ht="19.5" customHeight="1">
      <c r="AS54" s="90"/>
      <c r="AT54" s="90"/>
      <c r="AU54" s="90"/>
      <c r="AV54" s="90"/>
      <c r="AW54" s="90"/>
      <c r="AX54" s="90"/>
      <c r="AY54" s="90"/>
      <c r="AZ54" s="90"/>
      <c r="BA54" s="90"/>
      <c r="BB54" s="90"/>
      <c r="BC54" s="90"/>
      <c r="BD54" s="90"/>
    </row>
    <row r="55" spans="1:97" ht="19.5" customHeight="1"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</row>
    <row r="56" spans="1:97" ht="19.5" customHeight="1"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</row>
    <row r="57" spans="1:97" ht="19.5" customHeight="1"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</row>
    <row r="58" spans="1:97" ht="19.5" customHeight="1"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</row>
    <row r="59" spans="1:97" ht="19.5" customHeight="1"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</row>
    <row r="60" spans="1:97" ht="19.5" customHeight="1"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</row>
    <row r="61" spans="1:97" ht="19.5" customHeight="1"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</row>
    <row r="62" spans="1:97" ht="19.5" customHeight="1"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</row>
    <row r="63" spans="1:97" ht="19.5" customHeight="1"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</row>
    <row r="64" spans="1:97" ht="19.5" customHeight="1"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</row>
    <row r="65" spans="4:56" ht="19.5" customHeight="1"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</row>
    <row r="66" spans="4:56" ht="19.5" customHeight="1"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</row>
    <row r="67" spans="4:56" ht="19.5" customHeight="1">
      <c r="D67" t="e">
        <v>#VALUE!</v>
      </c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</row>
    <row r="68" spans="4:56" ht="19.5" customHeight="1"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</row>
    <row r="69" spans="4:56" ht="19.5" customHeight="1"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</row>
    <row r="70" spans="4:56" ht="19.5" customHeight="1"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</row>
    <row r="71" spans="4:56" ht="19.5" customHeight="1"/>
    <row r="72" spans="4:56" ht="19.5" customHeight="1"/>
    <row r="73" spans="4:56" ht="19.5" customHeight="1"/>
    <row r="74" spans="4:56" ht="19.5" customHeight="1"/>
    <row r="75" spans="4:56" ht="19.5" customHeight="1"/>
    <row r="76" spans="4:56" ht="19.5" customHeight="1"/>
    <row r="77" spans="4:56" ht="19.5" customHeight="1"/>
    <row r="78" spans="4:56" ht="19.5" customHeight="1"/>
    <row r="79" spans="4:56" ht="19.5" customHeight="1"/>
    <row r="80" spans="4:56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spans="1:1" ht="19.5" customHeight="1"/>
    <row r="98" spans="1:1" ht="19.5" customHeight="1"/>
    <row r="99" spans="1:1" ht="19.5" customHeight="1"/>
    <row r="100" spans="1:1" ht="19.5" customHeight="1"/>
    <row r="101" spans="1:1" ht="19.5" customHeight="1"/>
    <row r="102" spans="1:1" ht="19.5" customHeight="1"/>
    <row r="103" spans="1:1" ht="19.5" customHeight="1"/>
    <row r="104" spans="1:1" ht="19.5" customHeight="1"/>
    <row r="105" spans="1:1" ht="19.5" customHeight="1"/>
    <row r="106" spans="1:1" ht="19.5" customHeight="1"/>
    <row r="107" spans="1:1" ht="19.5" customHeight="1"/>
    <row r="108" spans="1:1" ht="19.5" customHeight="1"/>
    <row r="109" spans="1:1" ht="15" customHeight="1">
      <c r="A109" s="25" t="e">
        <f>COUNTIF(A84:A108,TRUE)/COUNTA(B84:B108)</f>
        <v>#DIV/0!</v>
      </c>
    </row>
  </sheetData>
  <sheetProtection selectLockedCells="1"/>
  <autoFilter ref="A1:CR108" xr:uid="{39A8B494-ECCB-48AB-B582-4E7AF37D0993}"/>
  <mergeCells count="21">
    <mergeCell ref="I5:N5"/>
    <mergeCell ref="C5:H5"/>
    <mergeCell ref="AA5:AF5"/>
    <mergeCell ref="AM5:AR5"/>
    <mergeCell ref="AY5:BD5"/>
    <mergeCell ref="U5:Z5"/>
    <mergeCell ref="AS5:AX5"/>
    <mergeCell ref="CO5:CQ5"/>
    <mergeCell ref="AG5:AL5"/>
    <mergeCell ref="O5:T5"/>
    <mergeCell ref="BE5:BJ5"/>
    <mergeCell ref="CI5:CK5"/>
    <mergeCell ref="CL5:CN5"/>
    <mergeCell ref="CC5:CE5"/>
    <mergeCell ref="BZ5:CB5"/>
    <mergeCell ref="CF5:CH5"/>
    <mergeCell ref="BK5:BM5"/>
    <mergeCell ref="BT5:BV5"/>
    <mergeCell ref="BQ5:BS5"/>
    <mergeCell ref="BN5:BP5"/>
    <mergeCell ref="BW5:BY5"/>
  </mergeCells>
  <conditionalFormatting sqref="U7:Z16 U17:W17 Y17:Z17 C7:T48 AA7:BD48 BK7:BP48 U18:Z48">
    <cfRule type="expression" dxfId="58" priority="25">
      <formula>C7=$C$2</formula>
    </cfRule>
    <cfRule type="expression" dxfId="57" priority="26">
      <formula>C7=$C$1</formula>
    </cfRule>
  </conditionalFormatting>
  <conditionalFormatting sqref="U7:Z16 U17:W17 Y17:Z17 C7:T48 AA7:BP48 U18:Z48">
    <cfRule type="expression" dxfId="56" priority="21">
      <formula>C7=$C$4</formula>
    </cfRule>
  </conditionalFormatting>
  <conditionalFormatting sqref="U7:Z16 U17:W17 Y17:Z17 AA7:BP48 C7:T48 U18:Z48">
    <cfRule type="expression" dxfId="55" priority="18">
      <formula>C7=$P$1</formula>
    </cfRule>
  </conditionalFormatting>
  <conditionalFormatting sqref="BE7:BJ48">
    <cfRule type="expression" dxfId="54" priority="9">
      <formula>BE7=$P$2</formula>
    </cfRule>
    <cfRule type="expression" dxfId="53" priority="10">
      <formula>BE7=$C$2</formula>
    </cfRule>
    <cfRule type="expression" dxfId="52" priority="11">
      <formula>BE7=$C$3</formula>
    </cfRule>
    <cfRule type="expression" dxfId="51" priority="12">
      <formula>BE7=$C$1</formula>
    </cfRule>
  </conditionalFormatting>
  <conditionalFormatting sqref="BQ22:BQ23">
    <cfRule type="expression" dxfId="50" priority="5">
      <formula>BQ22=$P$1</formula>
    </cfRule>
    <cfRule type="expression" dxfId="49" priority="6">
      <formula>BQ22=$C$4</formula>
    </cfRule>
    <cfRule type="expression" dxfId="48" priority="7">
      <formula>BQ22=$C$2</formula>
    </cfRule>
    <cfRule type="expression" dxfId="47" priority="8">
      <formula>BQ22=$C$1</formula>
    </cfRule>
  </conditionalFormatting>
  <conditionalFormatting sqref="CC25">
    <cfRule type="expression" dxfId="46" priority="1">
      <formula>CC25=$P$1</formula>
    </cfRule>
    <cfRule type="expression" dxfId="45" priority="2">
      <formula>CC25=$C$4</formula>
    </cfRule>
    <cfRule type="expression" dxfId="44" priority="3">
      <formula>CC25=$C$2</formula>
    </cfRule>
    <cfRule type="expression" dxfId="43" priority="4">
      <formula>CC25=$C$1</formula>
    </cfRule>
  </conditionalFormatting>
  <dataValidations count="4">
    <dataValidation type="list" allowBlank="1" showInputMessage="1" showErrorMessage="1" sqref="W7:Z16 V34:V35 W17 Y17:Z17 BG7:BJ48 AO7:AR48 K7:T48 AA7:AF48 AU7:AX48 W18:Z48 AI7:AL48 BA7:BD48 E7:H48" xr:uid="{3330246E-0F99-4807-8BA0-F228D78C6232}">
      <formula1>"A,P,O,X,F"</formula1>
    </dataValidation>
    <dataValidation type="date" allowBlank="1" showInputMessage="1" showErrorMessage="1" sqref="BQ22:BQ23 CC25 BK7:BP48" xr:uid="{3B292E8C-6E62-473E-A575-9B4ADEB3762D}">
      <formula1>45880</formula1>
      <formula2>73050</formula2>
    </dataValidation>
    <dataValidation type="list" allowBlank="1" showInputMessage="1" showErrorMessage="1" sqref="Z53 V7:V33 O49:P1048576 U49:V1048576 AA49:AB1048576 AY71:AZ1048576 BE71:BF1048576 BE7:BF48 AY7:AZ48 AM7:AN1048576 V36:V48 AG7:AH1048576 U7:U48 AS7:AT1048576 C7:D1048576 J7:J1048576" xr:uid="{DF4A6164-6133-42AD-BE01-DFF439C88F02}">
      <formula1>"A,P,O,X,R"</formula1>
    </dataValidation>
    <dataValidation type="list" allowBlank="1" showInputMessage="1" showErrorMessage="1" sqref="I7:I48" xr:uid="{99EEE933-D7B1-46B7-A21B-CDC8D13CAA41}">
      <formula1>$C$1:$C$4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7F584-4699-4AB1-AB64-71A83A6A2DBB}">
  <sheetPr codeName="Feuil27">
    <tabColor rgb="FFFF6161"/>
  </sheetPr>
  <dimension ref="A1:CS94"/>
  <sheetViews>
    <sheetView showGridLines="0" zoomScale="55" zoomScaleNormal="55" workbookViewId="0">
      <pane xSplit="2" ySplit="6" topLeftCell="AK9" activePane="bottomRight" state="frozen"/>
      <selection pane="bottomRight" activeCell="C1" sqref="C1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3" max="62" width="3.42578125" customWidth="1"/>
    <col min="63" max="74" width="8.5703125" style="90" customWidth="1"/>
    <col min="75" max="83" width="8.5703125" customWidth="1"/>
  </cols>
  <sheetData>
    <row r="1" spans="1:97" ht="14.45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R1" t="b">
        <v>0</v>
      </c>
      <c r="BJ1" t="b">
        <v>0</v>
      </c>
    </row>
    <row r="2" spans="1:97" ht="14.45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97" ht="14.45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97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97" ht="37.5" customHeight="1" thickBot="1">
      <c r="B5" s="9"/>
      <c r="C5" s="373" t="s">
        <v>34</v>
      </c>
      <c r="D5" s="374"/>
      <c r="E5" s="374"/>
      <c r="F5" s="374"/>
      <c r="G5" s="374"/>
      <c r="H5" s="375"/>
      <c r="I5" s="373" t="s">
        <v>164</v>
      </c>
      <c r="J5" s="374"/>
      <c r="K5" s="374"/>
      <c r="L5" s="374"/>
      <c r="M5" s="374"/>
      <c r="N5" s="375"/>
      <c r="O5" s="366" t="s">
        <v>406</v>
      </c>
      <c r="P5" s="367"/>
      <c r="Q5" s="367"/>
      <c r="R5" s="367"/>
      <c r="S5" s="367"/>
      <c r="T5" s="368"/>
      <c r="U5" s="373" t="s">
        <v>166</v>
      </c>
      <c r="V5" s="374"/>
      <c r="W5" s="374"/>
      <c r="X5" s="374"/>
      <c r="Y5" s="374"/>
      <c r="Z5" s="375"/>
      <c r="AA5" s="367" t="s">
        <v>407</v>
      </c>
      <c r="AB5" s="367"/>
      <c r="AC5" s="367"/>
      <c r="AD5" s="367"/>
      <c r="AE5" s="367"/>
      <c r="AF5" s="368"/>
      <c r="AG5" s="392" t="s">
        <v>168</v>
      </c>
      <c r="AH5" s="393"/>
      <c r="AI5" s="393"/>
      <c r="AJ5" s="393"/>
      <c r="AK5" s="393"/>
      <c r="AL5" s="394"/>
      <c r="AM5" s="373" t="s">
        <v>169</v>
      </c>
      <c r="AN5" s="374"/>
      <c r="AO5" s="374"/>
      <c r="AP5" s="374"/>
      <c r="AQ5" s="374"/>
      <c r="AR5" s="375"/>
      <c r="AS5" s="373" t="s">
        <v>170</v>
      </c>
      <c r="AT5" s="374"/>
      <c r="AU5" s="374"/>
      <c r="AV5" s="374"/>
      <c r="AW5" s="374"/>
      <c r="AX5" s="375"/>
      <c r="AY5" s="373" t="s">
        <v>171</v>
      </c>
      <c r="AZ5" s="374"/>
      <c r="BA5" s="374"/>
      <c r="BB5" s="374"/>
      <c r="BC5" s="374"/>
      <c r="BD5" s="375"/>
      <c r="BE5" s="373" t="s">
        <v>172</v>
      </c>
      <c r="BF5" s="374"/>
      <c r="BG5" s="374"/>
      <c r="BH5" s="374"/>
      <c r="BI5" s="374"/>
      <c r="BJ5" s="375"/>
      <c r="BK5" s="379" t="s">
        <v>193</v>
      </c>
      <c r="BL5" s="380"/>
      <c r="BM5" s="380"/>
      <c r="BN5" s="373" t="str">
        <f>C5</f>
        <v>TASYA</v>
      </c>
      <c r="BO5" s="374"/>
      <c r="BP5" s="374"/>
      <c r="BQ5" s="373" t="str">
        <f>I5</f>
        <v>FAIZ</v>
      </c>
      <c r="BR5" s="374"/>
      <c r="BS5" s="375"/>
      <c r="BT5" s="373" t="str">
        <f>O5</f>
        <v>ANNISA</v>
      </c>
      <c r="BU5" s="374"/>
      <c r="BV5" s="375"/>
      <c r="BW5" s="373" t="str">
        <f>U5</f>
        <v>BIMA</v>
      </c>
      <c r="BX5" s="374"/>
      <c r="BY5" s="374"/>
      <c r="BZ5" s="373" t="str">
        <f>AA5</f>
        <v>AKHMAD</v>
      </c>
      <c r="CA5" s="374"/>
      <c r="CB5" s="375"/>
      <c r="CC5" s="373" t="str">
        <f>AG5</f>
        <v>ARIFAH</v>
      </c>
      <c r="CD5" s="374"/>
      <c r="CE5" s="375"/>
      <c r="CF5" s="373" t="str">
        <f>AM5</f>
        <v>DEVI</v>
      </c>
      <c r="CG5" s="374"/>
      <c r="CH5" s="375"/>
      <c r="CI5" s="373" t="str">
        <f>AS5</f>
        <v>AINUR</v>
      </c>
      <c r="CJ5" s="374"/>
      <c r="CK5" s="375"/>
      <c r="CL5" s="373" t="str">
        <f>AY5</f>
        <v>FAJAR</v>
      </c>
      <c r="CM5" s="374"/>
      <c r="CN5" s="375"/>
      <c r="CO5" s="373" t="str">
        <f>BE5</f>
        <v>ALIF</v>
      </c>
      <c r="CP5" s="374"/>
      <c r="CQ5" s="375"/>
    </row>
    <row r="6" spans="1:97" ht="16.5">
      <c r="A6" s="346" t="s">
        <v>194</v>
      </c>
      <c r="B6" s="271"/>
      <c r="C6" s="130" t="s">
        <v>29</v>
      </c>
      <c r="D6" s="131" t="s">
        <v>30</v>
      </c>
      <c r="E6" s="131" t="s">
        <v>195</v>
      </c>
      <c r="F6" s="131" t="s">
        <v>196</v>
      </c>
      <c r="G6" s="131" t="s">
        <v>197</v>
      </c>
      <c r="H6" s="132" t="s">
        <v>33</v>
      </c>
      <c r="I6" s="130" t="s">
        <v>29</v>
      </c>
      <c r="J6" s="131" t="s">
        <v>30</v>
      </c>
      <c r="K6" s="131" t="s">
        <v>195</v>
      </c>
      <c r="L6" s="131" t="s">
        <v>196</v>
      </c>
      <c r="M6" s="131" t="s">
        <v>197</v>
      </c>
      <c r="N6" s="132" t="s">
        <v>33</v>
      </c>
      <c r="O6" s="277" t="s">
        <v>29</v>
      </c>
      <c r="P6" s="131" t="s">
        <v>30</v>
      </c>
      <c r="Q6" s="131" t="s">
        <v>195</v>
      </c>
      <c r="R6" s="131" t="s">
        <v>196</v>
      </c>
      <c r="S6" s="131" t="s">
        <v>197</v>
      </c>
      <c r="T6" s="278" t="s">
        <v>33</v>
      </c>
      <c r="U6" s="130" t="s">
        <v>29</v>
      </c>
      <c r="V6" s="131" t="s">
        <v>30</v>
      </c>
      <c r="W6" s="131" t="s">
        <v>195</v>
      </c>
      <c r="X6" s="131" t="s">
        <v>196</v>
      </c>
      <c r="Y6" s="131" t="s">
        <v>197</v>
      </c>
      <c r="Z6" s="132" t="s">
        <v>33</v>
      </c>
      <c r="AA6" s="277" t="s">
        <v>29</v>
      </c>
      <c r="AB6" s="131" t="s">
        <v>30</v>
      </c>
      <c r="AC6" s="131" t="s">
        <v>195</v>
      </c>
      <c r="AD6" s="131" t="s">
        <v>196</v>
      </c>
      <c r="AE6" s="131" t="s">
        <v>197</v>
      </c>
      <c r="AF6" s="278" t="s">
        <v>33</v>
      </c>
      <c r="AG6" s="277" t="s">
        <v>29</v>
      </c>
      <c r="AH6" s="131" t="s">
        <v>30</v>
      </c>
      <c r="AI6" s="131" t="s">
        <v>195</v>
      </c>
      <c r="AJ6" s="131" t="s">
        <v>196</v>
      </c>
      <c r="AK6" s="131" t="s">
        <v>197</v>
      </c>
      <c r="AL6" s="278" t="s">
        <v>33</v>
      </c>
      <c r="AM6" s="130" t="s">
        <v>29</v>
      </c>
      <c r="AN6" s="131" t="s">
        <v>30</v>
      </c>
      <c r="AO6" s="131" t="s">
        <v>195</v>
      </c>
      <c r="AP6" s="131" t="s">
        <v>196</v>
      </c>
      <c r="AQ6" s="131" t="s">
        <v>197</v>
      </c>
      <c r="AR6" s="276" t="s">
        <v>33</v>
      </c>
      <c r="AS6" s="130" t="s">
        <v>29</v>
      </c>
      <c r="AT6" s="131" t="s">
        <v>30</v>
      </c>
      <c r="AU6" s="131" t="s">
        <v>195</v>
      </c>
      <c r="AV6" s="131" t="s">
        <v>196</v>
      </c>
      <c r="AW6" s="131" t="s">
        <v>197</v>
      </c>
      <c r="AX6" s="276" t="s">
        <v>33</v>
      </c>
      <c r="AY6" s="130" t="s">
        <v>29</v>
      </c>
      <c r="AZ6" s="131" t="s">
        <v>30</v>
      </c>
      <c r="BA6" s="131" t="s">
        <v>195</v>
      </c>
      <c r="BB6" s="131" t="s">
        <v>196</v>
      </c>
      <c r="BC6" s="131" t="s">
        <v>197</v>
      </c>
      <c r="BD6" s="276" t="s">
        <v>33</v>
      </c>
      <c r="BE6" s="272" t="s">
        <v>29</v>
      </c>
      <c r="BF6" s="268" t="s">
        <v>30</v>
      </c>
      <c r="BG6" s="268" t="s">
        <v>195</v>
      </c>
      <c r="BH6" s="268" t="s">
        <v>196</v>
      </c>
      <c r="BI6" s="268" t="s">
        <v>197</v>
      </c>
      <c r="BJ6" s="273" t="s">
        <v>33</v>
      </c>
      <c r="BK6" s="274" t="s">
        <v>29</v>
      </c>
      <c r="BL6" s="275" t="s">
        <v>30</v>
      </c>
      <c r="BM6" s="98" t="s">
        <v>33</v>
      </c>
      <c r="BN6" s="99" t="s">
        <v>195</v>
      </c>
      <c r="BO6" s="94" t="s">
        <v>196</v>
      </c>
      <c r="BP6" s="100" t="s">
        <v>197</v>
      </c>
      <c r="BQ6" s="99" t="s">
        <v>195</v>
      </c>
      <c r="BR6" s="94" t="s">
        <v>196</v>
      </c>
      <c r="BS6" s="100" t="s">
        <v>197</v>
      </c>
      <c r="BT6" s="99" t="s">
        <v>195</v>
      </c>
      <c r="BU6" s="94" t="s">
        <v>196</v>
      </c>
      <c r="BV6" s="100" t="s">
        <v>197</v>
      </c>
      <c r="BW6" s="99" t="s">
        <v>195</v>
      </c>
      <c r="BX6" s="94" t="s">
        <v>196</v>
      </c>
      <c r="BY6" s="100" t="s">
        <v>197</v>
      </c>
      <c r="BZ6" s="99" t="s">
        <v>195</v>
      </c>
      <c r="CA6" s="94" t="s">
        <v>196</v>
      </c>
      <c r="CB6" s="100" t="s">
        <v>197</v>
      </c>
      <c r="CC6" s="99" t="s">
        <v>195</v>
      </c>
      <c r="CD6" s="94" t="s">
        <v>196</v>
      </c>
      <c r="CE6" s="100" t="s">
        <v>197</v>
      </c>
      <c r="CF6" s="99" t="s">
        <v>195</v>
      </c>
      <c r="CG6" s="94" t="s">
        <v>196</v>
      </c>
      <c r="CH6" s="100" t="s">
        <v>197</v>
      </c>
      <c r="CI6" s="99" t="s">
        <v>195</v>
      </c>
      <c r="CJ6" s="94" t="s">
        <v>196</v>
      </c>
      <c r="CK6" s="100" t="s">
        <v>197</v>
      </c>
      <c r="CL6" s="99" t="s">
        <v>195</v>
      </c>
      <c r="CM6" s="94" t="s">
        <v>196</v>
      </c>
      <c r="CN6" s="100" t="s">
        <v>197</v>
      </c>
      <c r="CO6" s="99" t="s">
        <v>195</v>
      </c>
      <c r="CP6" s="94" t="s">
        <v>196</v>
      </c>
      <c r="CQ6" s="100" t="s">
        <v>197</v>
      </c>
      <c r="CS6" s="346" t="s">
        <v>198</v>
      </c>
    </row>
    <row r="7" spans="1:97" ht="20.100000000000001" customHeight="1">
      <c r="A7" s="71" t="b">
        <f>IF(OR(D7&lt;&gt;"",AB7&lt;&gt;"",J7&lt;&gt;"",P7&lt;&gt;"",AH7&lt;&gt;"",AN7&lt;&gt;"",AZ7&lt;&gt;"",BF7&lt;&gt;"",AT7&lt;&gt;"",V7&lt;&gt;""),TRUE,FALSE)</f>
        <v>0</v>
      </c>
      <c r="B7" s="284" t="s">
        <v>80</v>
      </c>
      <c r="C7" s="318"/>
      <c r="D7" s="319"/>
      <c r="E7" s="319"/>
      <c r="F7" s="319"/>
      <c r="G7" s="319"/>
      <c r="H7" s="320"/>
      <c r="I7" s="318"/>
      <c r="J7" s="319"/>
      <c r="K7" s="319"/>
      <c r="L7" s="319"/>
      <c r="M7" s="319"/>
      <c r="N7" s="320"/>
      <c r="O7" s="321"/>
      <c r="P7" s="262"/>
      <c r="Q7" s="262"/>
      <c r="R7" s="262"/>
      <c r="S7" s="262"/>
      <c r="T7" s="321"/>
      <c r="U7" s="322"/>
      <c r="V7" s="323"/>
      <c r="W7" s="323"/>
      <c r="X7" s="323"/>
      <c r="Y7" s="323"/>
      <c r="Z7" s="324"/>
      <c r="AA7" s="321"/>
      <c r="AB7" s="262"/>
      <c r="AC7" s="262"/>
      <c r="AD7" s="262"/>
      <c r="AE7" s="262"/>
      <c r="AF7" s="321"/>
      <c r="AG7" s="325"/>
      <c r="AH7" s="323"/>
      <c r="AI7" s="323"/>
      <c r="AJ7" s="323"/>
      <c r="AK7" s="323"/>
      <c r="AL7" s="326"/>
      <c r="AM7" s="327"/>
      <c r="AN7" s="328"/>
      <c r="AO7" s="328"/>
      <c r="AP7" s="328"/>
      <c r="AQ7" s="328"/>
      <c r="AR7" s="329"/>
      <c r="AS7" s="327"/>
      <c r="AT7" s="328"/>
      <c r="AU7" s="328"/>
      <c r="AV7" s="328"/>
      <c r="AW7" s="328"/>
      <c r="AX7" s="329"/>
      <c r="AY7" s="327"/>
      <c r="AZ7" s="328"/>
      <c r="BA7" s="328"/>
      <c r="BB7" s="328"/>
      <c r="BC7" s="328"/>
      <c r="BD7" s="329"/>
      <c r="BE7" s="295"/>
      <c r="BF7" s="296"/>
      <c r="BG7" s="296"/>
      <c r="BH7" s="296"/>
      <c r="BI7" s="296"/>
      <c r="BJ7" s="297"/>
      <c r="BK7" s="305"/>
      <c r="BL7" s="306"/>
      <c r="BM7" s="307"/>
      <c r="BN7" s="330"/>
      <c r="BO7" s="331"/>
      <c r="BP7" s="332"/>
      <c r="BQ7" s="330"/>
      <c r="BR7" s="331"/>
      <c r="BS7" s="332"/>
      <c r="BT7" s="330"/>
      <c r="BU7" s="331"/>
      <c r="BV7" s="332"/>
      <c r="BW7" s="330"/>
      <c r="BX7" s="331"/>
      <c r="BY7" s="332"/>
      <c r="BZ7" s="330"/>
      <c r="CA7" s="331"/>
      <c r="CB7" s="332"/>
      <c r="CC7" s="330"/>
      <c r="CD7" s="331"/>
      <c r="CE7" s="332"/>
      <c r="CF7" s="330"/>
      <c r="CG7" s="331"/>
      <c r="CH7" s="332"/>
      <c r="CI7" s="330"/>
      <c r="CJ7" s="331"/>
      <c r="CK7" s="332"/>
      <c r="CL7" s="330"/>
      <c r="CM7" s="331"/>
      <c r="CN7" s="332"/>
      <c r="CO7" s="330"/>
      <c r="CP7" s="331"/>
      <c r="CQ7" s="332"/>
      <c r="CR7" s="90" t="str">
        <f t="shared" ref="CR7:CR37" si="0">_xlfn.TEXTBEFORE($B7,".",2)</f>
        <v>9.1</v>
      </c>
      <c r="CS7" s="71" t="b">
        <f>IF(OR(H7&lt;&gt;"",N7&lt;&gt;"",T7&lt;&gt;"",Z7&lt;&gt;"",AF7&lt;&gt;"",AL7&lt;&gt;"",AR7&lt;&gt;"",AX7&lt;&gt;"",BD7&lt;&gt;"",BJ7&lt;&gt;"",BM7&lt;&gt;""),TRUE,FALSE)</f>
        <v>0</v>
      </c>
    </row>
    <row r="8" spans="1:97" ht="20.100000000000001" customHeight="1">
      <c r="A8" s="71" t="b">
        <f t="shared" ref="A8:A37" si="1">IF(OR(D8&lt;&gt;"",AB8&lt;&gt;"",J8&lt;&gt;"",P8&lt;&gt;"",AH8&lt;&gt;"",AN8&lt;&gt;"",AZ8&lt;&gt;"",BF8&lt;&gt;"",AT8&lt;&gt;"",V8&lt;&gt;""),TRUE,FALSE)</f>
        <v>0</v>
      </c>
      <c r="B8" s="9" t="s">
        <v>81</v>
      </c>
      <c r="C8" s="86"/>
      <c r="D8" s="79"/>
      <c r="E8" s="79"/>
      <c r="F8" s="79"/>
      <c r="G8" s="79"/>
      <c r="H8" s="87"/>
      <c r="I8" s="86"/>
      <c r="J8" s="79"/>
      <c r="K8" s="79"/>
      <c r="L8" s="79"/>
      <c r="M8" s="79"/>
      <c r="N8" s="87"/>
      <c r="O8" s="253"/>
      <c r="P8" s="262"/>
      <c r="Q8" s="262"/>
      <c r="R8" s="262"/>
      <c r="S8" s="262"/>
      <c r="T8" s="253"/>
      <c r="U8" s="39"/>
      <c r="V8" s="40"/>
      <c r="W8" s="40"/>
      <c r="X8" s="40"/>
      <c r="Y8" s="40"/>
      <c r="Z8" s="43"/>
      <c r="AA8" s="253"/>
      <c r="AB8" s="262"/>
      <c r="AC8" s="262"/>
      <c r="AD8" s="262"/>
      <c r="AE8" s="262"/>
      <c r="AF8" s="253"/>
      <c r="AG8" s="255"/>
      <c r="AH8" s="40"/>
      <c r="AI8" s="40"/>
      <c r="AJ8" s="40"/>
      <c r="AK8" s="40"/>
      <c r="AL8" s="256"/>
      <c r="AM8" s="89"/>
      <c r="AN8" s="73"/>
      <c r="AO8" s="73"/>
      <c r="AP8" s="73"/>
      <c r="AQ8" s="73"/>
      <c r="AR8" s="164"/>
      <c r="AS8" s="89"/>
      <c r="AT8" s="73"/>
      <c r="AU8" s="73"/>
      <c r="AV8" s="73"/>
      <c r="AW8" s="73"/>
      <c r="AX8" s="164"/>
      <c r="AY8" s="89"/>
      <c r="AZ8" s="73"/>
      <c r="BA8" s="73"/>
      <c r="BB8" s="73"/>
      <c r="BC8" s="73"/>
      <c r="BD8" s="164"/>
      <c r="BE8" s="104"/>
      <c r="BF8" s="22"/>
      <c r="BG8" s="22"/>
      <c r="BH8" s="22"/>
      <c r="BI8" s="22"/>
      <c r="BJ8" s="105"/>
      <c r="BK8" s="116"/>
      <c r="BL8" s="117"/>
      <c r="BM8" s="112"/>
      <c r="BN8" s="150"/>
      <c r="BO8" s="151"/>
      <c r="BP8" s="152"/>
      <c r="BQ8" s="150"/>
      <c r="BR8" s="151"/>
      <c r="BS8" s="152"/>
      <c r="BT8" s="150"/>
      <c r="BU8" s="151"/>
      <c r="BV8" s="152"/>
      <c r="BW8" s="150"/>
      <c r="BX8" s="151"/>
      <c r="BY8" s="152"/>
      <c r="BZ8" s="150"/>
      <c r="CA8" s="151"/>
      <c r="CB8" s="152"/>
      <c r="CC8" s="150"/>
      <c r="CD8" s="151"/>
      <c r="CE8" s="152"/>
      <c r="CF8" s="150"/>
      <c r="CG8" s="151"/>
      <c r="CH8" s="152"/>
      <c r="CI8" s="150"/>
      <c r="CJ8" s="151"/>
      <c r="CK8" s="152"/>
      <c r="CL8" s="150"/>
      <c r="CM8" s="151"/>
      <c r="CN8" s="152"/>
      <c r="CO8" s="150"/>
      <c r="CP8" s="151"/>
      <c r="CQ8" s="152"/>
      <c r="CR8" s="90" t="str">
        <f t="shared" si="0"/>
        <v>9.1</v>
      </c>
      <c r="CS8" s="71" t="b">
        <f t="shared" ref="CS8:CS37" si="2">IF(OR(H8&lt;&gt;"",N8&lt;&gt;"",T8&lt;&gt;"",Z8&lt;&gt;"",AF8&lt;&gt;"",AL8&lt;&gt;"",AR8&lt;&gt;"",AX8&lt;&gt;"",BD8&lt;&gt;"",BJ8&lt;&gt;"",BM8&lt;&gt;""),TRUE,FALSE)</f>
        <v>0</v>
      </c>
    </row>
    <row r="9" spans="1:97" ht="20.100000000000001" customHeight="1">
      <c r="A9" s="71" t="b">
        <f t="shared" si="1"/>
        <v>0</v>
      </c>
      <c r="B9" s="9" t="s">
        <v>82</v>
      </c>
      <c r="C9" s="86"/>
      <c r="D9" s="79"/>
      <c r="E9" s="79"/>
      <c r="F9" s="79"/>
      <c r="G9" s="79"/>
      <c r="H9" s="87"/>
      <c r="I9" s="86"/>
      <c r="J9" s="79"/>
      <c r="K9" s="79"/>
      <c r="L9" s="79"/>
      <c r="M9" s="79"/>
      <c r="N9" s="87"/>
      <c r="O9" s="253"/>
      <c r="P9" s="262"/>
      <c r="Q9" s="262"/>
      <c r="R9" s="262"/>
      <c r="S9" s="262"/>
      <c r="T9" s="253"/>
      <c r="U9" s="39"/>
      <c r="V9" s="40"/>
      <c r="W9" s="40"/>
      <c r="X9" s="40"/>
      <c r="Y9" s="40"/>
      <c r="Z9" s="43"/>
      <c r="AA9" s="253"/>
      <c r="AB9" s="262"/>
      <c r="AC9" s="262"/>
      <c r="AD9" s="262"/>
      <c r="AE9" s="262"/>
      <c r="AF9" s="253"/>
      <c r="AG9" s="255"/>
      <c r="AH9" s="40"/>
      <c r="AI9" s="40"/>
      <c r="AJ9" s="40"/>
      <c r="AK9" s="40"/>
      <c r="AL9" s="256"/>
      <c r="AM9" s="89"/>
      <c r="AN9" s="73"/>
      <c r="AO9" s="73"/>
      <c r="AP9" s="73"/>
      <c r="AQ9" s="73"/>
      <c r="AR9" s="164"/>
      <c r="AS9" s="89"/>
      <c r="AT9" s="73"/>
      <c r="AU9" s="73"/>
      <c r="AV9" s="73"/>
      <c r="AW9" s="73"/>
      <c r="AX9" s="164"/>
      <c r="AY9" s="89"/>
      <c r="AZ9" s="73"/>
      <c r="BA9" s="73"/>
      <c r="BB9" s="73"/>
      <c r="BC9" s="73"/>
      <c r="BD9" s="164"/>
      <c r="BE9" s="104"/>
      <c r="BF9" s="22"/>
      <c r="BG9" s="22"/>
      <c r="BH9" s="22"/>
      <c r="BI9" s="22"/>
      <c r="BJ9" s="105"/>
      <c r="BK9" s="116"/>
      <c r="BL9" s="117"/>
      <c r="BM9" s="112"/>
      <c r="BN9" s="150"/>
      <c r="BO9" s="151"/>
      <c r="BP9" s="152"/>
      <c r="BQ9" s="150"/>
      <c r="BR9" s="151"/>
      <c r="BS9" s="152"/>
      <c r="BT9" s="150"/>
      <c r="BU9" s="151"/>
      <c r="BV9" s="152"/>
      <c r="BW9" s="150"/>
      <c r="BX9" s="151"/>
      <c r="BY9" s="152"/>
      <c r="BZ9" s="150"/>
      <c r="CA9" s="151"/>
      <c r="CB9" s="152"/>
      <c r="CC9" s="150"/>
      <c r="CD9" s="151"/>
      <c r="CE9" s="152"/>
      <c r="CF9" s="150"/>
      <c r="CG9" s="151"/>
      <c r="CH9" s="152"/>
      <c r="CI9" s="150"/>
      <c r="CJ9" s="151"/>
      <c r="CK9" s="152"/>
      <c r="CL9" s="150"/>
      <c r="CM9" s="151"/>
      <c r="CN9" s="152"/>
      <c r="CO9" s="150"/>
      <c r="CP9" s="151"/>
      <c r="CQ9" s="152"/>
      <c r="CR9" s="90" t="str">
        <f t="shared" si="0"/>
        <v>9.1</v>
      </c>
      <c r="CS9" s="71" t="b">
        <f t="shared" si="2"/>
        <v>0</v>
      </c>
    </row>
    <row r="10" spans="1:97" ht="20.100000000000001" customHeight="1">
      <c r="A10" s="71" t="b">
        <f t="shared" si="1"/>
        <v>0</v>
      </c>
      <c r="B10" s="9" t="s">
        <v>83</v>
      </c>
      <c r="C10" s="86"/>
      <c r="D10" s="79"/>
      <c r="E10" s="79"/>
      <c r="F10" s="79"/>
      <c r="G10" s="79"/>
      <c r="H10" s="87"/>
      <c r="I10" s="86"/>
      <c r="J10" s="79"/>
      <c r="K10" s="79"/>
      <c r="L10" s="79"/>
      <c r="M10" s="79"/>
      <c r="N10" s="87"/>
      <c r="O10" s="253"/>
      <c r="P10" s="262"/>
      <c r="Q10" s="262"/>
      <c r="R10" s="262"/>
      <c r="S10" s="262"/>
      <c r="T10" s="253"/>
      <c r="U10" s="39"/>
      <c r="V10" s="40"/>
      <c r="W10" s="40"/>
      <c r="X10" s="40"/>
      <c r="Y10" s="40"/>
      <c r="Z10" s="43"/>
      <c r="AA10" s="253"/>
      <c r="AB10" s="262"/>
      <c r="AC10" s="262"/>
      <c r="AD10" s="262"/>
      <c r="AE10" s="262"/>
      <c r="AF10" s="253"/>
      <c r="AG10" s="255"/>
      <c r="AH10" s="40"/>
      <c r="AI10" s="40"/>
      <c r="AJ10" s="40"/>
      <c r="AK10" s="40"/>
      <c r="AL10" s="256"/>
      <c r="AM10" s="89"/>
      <c r="AN10" s="73"/>
      <c r="AO10" s="73"/>
      <c r="AP10" s="73"/>
      <c r="AQ10" s="73"/>
      <c r="AR10" s="164"/>
      <c r="AS10" s="89"/>
      <c r="AT10" s="73"/>
      <c r="AU10" s="73"/>
      <c r="AV10" s="73"/>
      <c r="AW10" s="73"/>
      <c r="AX10" s="164"/>
      <c r="AY10" s="89"/>
      <c r="AZ10" s="73"/>
      <c r="BA10" s="73"/>
      <c r="BB10" s="73"/>
      <c r="BC10" s="73"/>
      <c r="BD10" s="164"/>
      <c r="BE10" s="104"/>
      <c r="BF10" s="22"/>
      <c r="BG10" s="22"/>
      <c r="BH10" s="22"/>
      <c r="BI10" s="22"/>
      <c r="BJ10" s="105"/>
      <c r="BK10" s="116"/>
      <c r="BL10" s="117"/>
      <c r="BM10" s="112"/>
      <c r="BN10" s="150"/>
      <c r="BO10" s="151"/>
      <c r="BP10" s="152"/>
      <c r="BQ10" s="150"/>
      <c r="BR10" s="151"/>
      <c r="BS10" s="152"/>
      <c r="BT10" s="150"/>
      <c r="BU10" s="151"/>
      <c r="BV10" s="152"/>
      <c r="BW10" s="150"/>
      <c r="BX10" s="151"/>
      <c r="BY10" s="152"/>
      <c r="BZ10" s="150"/>
      <c r="CA10" s="151"/>
      <c r="CB10" s="152"/>
      <c r="CC10" s="150"/>
      <c r="CD10" s="151"/>
      <c r="CE10" s="152"/>
      <c r="CF10" s="150"/>
      <c r="CG10" s="151"/>
      <c r="CH10" s="152"/>
      <c r="CI10" s="150"/>
      <c r="CJ10" s="151"/>
      <c r="CK10" s="152"/>
      <c r="CL10" s="150"/>
      <c r="CM10" s="151"/>
      <c r="CN10" s="152"/>
      <c r="CO10" s="150"/>
      <c r="CP10" s="151"/>
      <c r="CQ10" s="152"/>
      <c r="CR10" s="90" t="str">
        <f t="shared" si="0"/>
        <v>9.2</v>
      </c>
      <c r="CS10" s="71" t="b">
        <f t="shared" si="2"/>
        <v>0</v>
      </c>
    </row>
    <row r="11" spans="1:97" ht="20.100000000000001" customHeight="1">
      <c r="A11" s="71" t="b">
        <f t="shared" si="1"/>
        <v>0</v>
      </c>
      <c r="B11" s="9" t="s">
        <v>84</v>
      </c>
      <c r="C11" s="86"/>
      <c r="D11" s="79"/>
      <c r="E11" s="79"/>
      <c r="F11" s="79"/>
      <c r="G11" s="79"/>
      <c r="H11" s="87"/>
      <c r="I11" s="86"/>
      <c r="J11" s="79"/>
      <c r="K11" s="79"/>
      <c r="L11" s="79"/>
      <c r="M11" s="79"/>
      <c r="N11" s="87"/>
      <c r="O11" s="253"/>
      <c r="P11" s="262"/>
      <c r="Q11" s="262"/>
      <c r="R11" s="262"/>
      <c r="S11" s="262"/>
      <c r="T11" s="253"/>
      <c r="U11" s="39"/>
      <c r="V11" s="40"/>
      <c r="W11" s="40"/>
      <c r="X11" s="40"/>
      <c r="Y11" s="40"/>
      <c r="Z11" s="43"/>
      <c r="AA11" s="253"/>
      <c r="AB11" s="262"/>
      <c r="AC11" s="262"/>
      <c r="AD11" s="262"/>
      <c r="AE11" s="262"/>
      <c r="AF11" s="253"/>
      <c r="AG11" s="255"/>
      <c r="AH11" s="40"/>
      <c r="AI11" s="40"/>
      <c r="AJ11" s="40"/>
      <c r="AK11" s="40"/>
      <c r="AL11" s="256"/>
      <c r="AM11" s="89"/>
      <c r="AN11" s="73"/>
      <c r="AO11" s="73"/>
      <c r="AP11" s="73"/>
      <c r="AQ11" s="73"/>
      <c r="AR11" s="164"/>
      <c r="AS11" s="89"/>
      <c r="AT11" s="73"/>
      <c r="AU11" s="73"/>
      <c r="AV11" s="73"/>
      <c r="AW11" s="73"/>
      <c r="AX11" s="164"/>
      <c r="AY11" s="89"/>
      <c r="AZ11" s="73"/>
      <c r="BA11" s="73"/>
      <c r="BB11" s="73"/>
      <c r="BC11" s="73"/>
      <c r="BD11" s="164"/>
      <c r="BE11" s="104"/>
      <c r="BF11" s="22"/>
      <c r="BG11" s="22"/>
      <c r="BH11" s="22"/>
      <c r="BI11" s="22"/>
      <c r="BJ11" s="105"/>
      <c r="BK11" s="116"/>
      <c r="BL11" s="117"/>
      <c r="BM11" s="112"/>
      <c r="BN11" s="150"/>
      <c r="BO11" s="151"/>
      <c r="BP11" s="152"/>
      <c r="BQ11" s="150"/>
      <c r="BR11" s="151"/>
      <c r="BS11" s="152"/>
      <c r="BT11" s="150"/>
      <c r="BU11" s="151"/>
      <c r="BV11" s="152"/>
      <c r="BW11" s="150"/>
      <c r="BX11" s="151"/>
      <c r="BY11" s="152"/>
      <c r="BZ11" s="150"/>
      <c r="CA11" s="151"/>
      <c r="CB11" s="152"/>
      <c r="CC11" s="150"/>
      <c r="CD11" s="151"/>
      <c r="CE11" s="152"/>
      <c r="CF11" s="150"/>
      <c r="CG11" s="151"/>
      <c r="CH11" s="152"/>
      <c r="CI11" s="150"/>
      <c r="CJ11" s="151"/>
      <c r="CK11" s="152"/>
      <c r="CL11" s="150"/>
      <c r="CM11" s="151"/>
      <c r="CN11" s="152"/>
      <c r="CO11" s="150"/>
      <c r="CP11" s="151"/>
      <c r="CQ11" s="152"/>
      <c r="CR11" s="90" t="str">
        <f t="shared" si="0"/>
        <v>9.3</v>
      </c>
      <c r="CS11" s="71" t="b">
        <f t="shared" si="2"/>
        <v>0</v>
      </c>
    </row>
    <row r="12" spans="1:97" ht="20.100000000000001" customHeight="1">
      <c r="A12" s="71" t="b">
        <f t="shared" si="1"/>
        <v>0</v>
      </c>
      <c r="B12" s="9" t="s">
        <v>85</v>
      </c>
      <c r="C12" s="39"/>
      <c r="D12" s="40"/>
      <c r="E12" s="40"/>
      <c r="F12" s="40"/>
      <c r="G12" s="40"/>
      <c r="H12" s="43"/>
      <c r="I12" s="39"/>
      <c r="J12" s="40"/>
      <c r="K12" s="40"/>
      <c r="L12" s="40"/>
      <c r="M12" s="40"/>
      <c r="N12" s="43"/>
      <c r="O12" s="253"/>
      <c r="P12" s="262"/>
      <c r="Q12" s="262"/>
      <c r="R12" s="262"/>
      <c r="S12" s="262"/>
      <c r="T12" s="253"/>
      <c r="U12" s="39"/>
      <c r="V12" s="40"/>
      <c r="W12" s="40"/>
      <c r="X12" s="40"/>
      <c r="Y12" s="40"/>
      <c r="Z12" s="43"/>
      <c r="AA12" s="253"/>
      <c r="AB12" s="262"/>
      <c r="AC12" s="262"/>
      <c r="AD12" s="262"/>
      <c r="AE12" s="262"/>
      <c r="AF12" s="253"/>
      <c r="AG12" s="255"/>
      <c r="AH12" s="40"/>
      <c r="AI12" s="40"/>
      <c r="AJ12" s="40"/>
      <c r="AK12" s="40"/>
      <c r="AL12" s="256"/>
      <c r="AM12" s="89"/>
      <c r="AN12" s="73"/>
      <c r="AO12" s="73"/>
      <c r="AP12" s="73"/>
      <c r="AQ12" s="73"/>
      <c r="AR12" s="164"/>
      <c r="AS12" s="89"/>
      <c r="AT12" s="73"/>
      <c r="AU12" s="73"/>
      <c r="AV12" s="73"/>
      <c r="AW12" s="73"/>
      <c r="AX12" s="164"/>
      <c r="AY12" s="89"/>
      <c r="AZ12" s="73"/>
      <c r="BA12" s="73"/>
      <c r="BB12" s="73"/>
      <c r="BC12" s="73"/>
      <c r="BD12" s="164"/>
      <c r="BE12" s="104"/>
      <c r="BF12" s="22"/>
      <c r="BG12" s="22"/>
      <c r="BH12" s="22"/>
      <c r="BI12" s="22"/>
      <c r="BJ12" s="105"/>
      <c r="BK12" s="116"/>
      <c r="BL12" s="117"/>
      <c r="BM12" s="112"/>
      <c r="BN12" s="150"/>
      <c r="BO12" s="151"/>
      <c r="BP12" s="152"/>
      <c r="BQ12" s="150"/>
      <c r="BR12" s="151"/>
      <c r="BS12" s="152"/>
      <c r="BT12" s="150"/>
      <c r="BU12" s="151"/>
      <c r="BV12" s="152"/>
      <c r="BW12" s="150"/>
      <c r="BX12" s="151"/>
      <c r="BY12" s="152"/>
      <c r="BZ12" s="150"/>
      <c r="CA12" s="151"/>
      <c r="CB12" s="152"/>
      <c r="CC12" s="150"/>
      <c r="CD12" s="151"/>
      <c r="CE12" s="152"/>
      <c r="CF12" s="150"/>
      <c r="CG12" s="151"/>
      <c r="CH12" s="152"/>
      <c r="CI12" s="150"/>
      <c r="CJ12" s="151"/>
      <c r="CK12" s="152"/>
      <c r="CL12" s="150"/>
      <c r="CM12" s="151"/>
      <c r="CN12" s="152"/>
      <c r="CO12" s="150"/>
      <c r="CP12" s="151"/>
      <c r="CQ12" s="152"/>
      <c r="CR12" s="90" t="str">
        <f t="shared" si="0"/>
        <v>9.4</v>
      </c>
      <c r="CS12" s="71" t="b">
        <f t="shared" si="2"/>
        <v>0</v>
      </c>
    </row>
    <row r="13" spans="1:97" ht="20.100000000000001" customHeight="1">
      <c r="A13" s="71" t="b">
        <f t="shared" si="1"/>
        <v>1</v>
      </c>
      <c r="B13" s="9" t="s">
        <v>86</v>
      </c>
      <c r="C13" s="39"/>
      <c r="D13" s="40"/>
      <c r="E13" s="40"/>
      <c r="F13" s="40"/>
      <c r="G13" s="40"/>
      <c r="H13" s="43"/>
      <c r="I13" s="39"/>
      <c r="J13" s="40"/>
      <c r="K13" s="40"/>
      <c r="L13" s="40"/>
      <c r="M13" s="40"/>
      <c r="N13" s="43"/>
      <c r="O13" s="253"/>
      <c r="P13" s="262"/>
      <c r="Q13" s="262"/>
      <c r="R13" s="262"/>
      <c r="S13" s="262"/>
      <c r="T13" s="253"/>
      <c r="U13" s="89" t="s">
        <v>176</v>
      </c>
      <c r="V13" s="73" t="s">
        <v>176</v>
      </c>
      <c r="W13" s="73"/>
      <c r="X13" s="73"/>
      <c r="Y13" s="73"/>
      <c r="Z13" s="164"/>
      <c r="AA13" s="254"/>
      <c r="AB13" s="263"/>
      <c r="AC13" s="263"/>
      <c r="AD13" s="263"/>
      <c r="AE13" s="263"/>
      <c r="AF13" s="254"/>
      <c r="AG13" s="257" t="s">
        <v>29</v>
      </c>
      <c r="AH13" s="73" t="s">
        <v>176</v>
      </c>
      <c r="AI13" s="73"/>
      <c r="AJ13" s="73"/>
      <c r="AK13" s="73"/>
      <c r="AL13" s="258"/>
      <c r="AM13" s="39"/>
      <c r="AN13" s="40"/>
      <c r="AO13" s="40"/>
      <c r="AP13" s="40"/>
      <c r="AQ13" s="40"/>
      <c r="AR13" s="43"/>
      <c r="AS13" s="39"/>
      <c r="AT13" s="40"/>
      <c r="AU13" s="40"/>
      <c r="AV13" s="40"/>
      <c r="AW13" s="40"/>
      <c r="AX13" s="43"/>
      <c r="AY13" s="39"/>
      <c r="AZ13" s="40"/>
      <c r="BA13" s="40"/>
      <c r="BB13" s="40"/>
      <c r="BC13" s="40"/>
      <c r="BD13" s="43"/>
      <c r="BE13" s="104"/>
      <c r="BF13" s="22"/>
      <c r="BG13" s="22"/>
      <c r="BH13" s="22"/>
      <c r="BI13" s="22"/>
      <c r="BJ13" s="105"/>
      <c r="BK13" s="116">
        <v>46142</v>
      </c>
      <c r="BL13" s="117">
        <v>46148</v>
      </c>
      <c r="BM13" s="112"/>
      <c r="BN13" s="150"/>
      <c r="BO13" s="151"/>
      <c r="BP13" s="152"/>
      <c r="BQ13" s="150"/>
      <c r="BR13" s="151"/>
      <c r="BS13" s="152"/>
      <c r="BT13" s="150"/>
      <c r="BU13" s="151"/>
      <c r="BV13" s="152"/>
      <c r="BW13" s="150"/>
      <c r="BX13" s="151"/>
      <c r="BY13" s="152"/>
      <c r="BZ13" s="150"/>
      <c r="CA13" s="151"/>
      <c r="CB13" s="152"/>
      <c r="CC13" s="150"/>
      <c r="CD13" s="151"/>
      <c r="CE13" s="152"/>
      <c r="CF13" s="150"/>
      <c r="CG13" s="151"/>
      <c r="CH13" s="152"/>
      <c r="CI13" s="150"/>
      <c r="CJ13" s="151"/>
      <c r="CK13" s="152"/>
      <c r="CL13" s="150"/>
      <c r="CM13" s="151"/>
      <c r="CN13" s="152"/>
      <c r="CO13" s="150"/>
      <c r="CP13" s="151"/>
      <c r="CQ13" s="152"/>
      <c r="CR13" s="90" t="str">
        <f t="shared" si="0"/>
        <v>3B.1</v>
      </c>
      <c r="CS13" s="71" t="b">
        <f t="shared" si="2"/>
        <v>0</v>
      </c>
    </row>
    <row r="14" spans="1:97" ht="20.100000000000001" customHeight="1">
      <c r="A14" s="71" t="b">
        <f t="shared" si="1"/>
        <v>1</v>
      </c>
      <c r="B14" s="9" t="s">
        <v>87</v>
      </c>
      <c r="C14" s="86"/>
      <c r="D14" s="79"/>
      <c r="E14" s="79"/>
      <c r="F14" s="79"/>
      <c r="G14" s="79"/>
      <c r="H14" s="87"/>
      <c r="I14" s="86"/>
      <c r="J14" s="79"/>
      <c r="K14" s="79"/>
      <c r="L14" s="79"/>
      <c r="M14" s="79"/>
      <c r="N14" s="87"/>
      <c r="O14" s="253"/>
      <c r="P14" s="262"/>
      <c r="Q14" s="262"/>
      <c r="R14" s="262"/>
      <c r="S14" s="262"/>
      <c r="T14" s="253"/>
      <c r="U14" s="89" t="s">
        <v>176</v>
      </c>
      <c r="V14" s="73" t="s">
        <v>176</v>
      </c>
      <c r="W14" s="73"/>
      <c r="X14" s="73"/>
      <c r="Y14" s="73"/>
      <c r="Z14" s="164"/>
      <c r="AA14" s="254"/>
      <c r="AB14" s="263"/>
      <c r="AC14" s="263"/>
      <c r="AD14" s="263"/>
      <c r="AE14" s="263"/>
      <c r="AF14" s="254"/>
      <c r="AG14" s="257" t="s">
        <v>176</v>
      </c>
      <c r="AH14" s="73" t="s">
        <v>176</v>
      </c>
      <c r="AI14" s="73"/>
      <c r="AJ14" s="73"/>
      <c r="AK14" s="73"/>
      <c r="AL14" s="258"/>
      <c r="AM14" s="39"/>
      <c r="AN14" s="40"/>
      <c r="AO14" s="40"/>
      <c r="AP14" s="40"/>
      <c r="AQ14" s="40"/>
      <c r="AR14" s="43"/>
      <c r="AS14" s="39"/>
      <c r="AT14" s="40"/>
      <c r="AU14" s="40"/>
      <c r="AV14" s="40"/>
      <c r="AW14" s="40"/>
      <c r="AX14" s="43"/>
      <c r="AY14" s="39"/>
      <c r="AZ14" s="40"/>
      <c r="BA14" s="40"/>
      <c r="BB14" s="40"/>
      <c r="BC14" s="40"/>
      <c r="BD14" s="43"/>
      <c r="BE14" s="104"/>
      <c r="BF14" s="22"/>
      <c r="BG14" s="22"/>
      <c r="BH14" s="22"/>
      <c r="BI14" s="22"/>
      <c r="BJ14" s="105"/>
      <c r="BK14" s="116">
        <v>46142</v>
      </c>
      <c r="BL14" s="117">
        <v>46160</v>
      </c>
      <c r="BM14" s="112"/>
      <c r="BN14" s="150"/>
      <c r="BO14" s="151"/>
      <c r="BP14" s="152"/>
      <c r="BQ14" s="150"/>
      <c r="BR14" s="151"/>
      <c r="BS14" s="152"/>
      <c r="BT14" s="150"/>
      <c r="BU14" s="151"/>
      <c r="BV14" s="152"/>
      <c r="BW14" s="150"/>
      <c r="BX14" s="151"/>
      <c r="BY14" s="152"/>
      <c r="BZ14" s="150"/>
      <c r="CA14" s="151"/>
      <c r="CB14" s="152"/>
      <c r="CC14" s="150"/>
      <c r="CD14" s="151"/>
      <c r="CE14" s="152"/>
      <c r="CF14" s="150"/>
      <c r="CG14" s="151"/>
      <c r="CH14" s="152"/>
      <c r="CI14" s="150"/>
      <c r="CJ14" s="151"/>
      <c r="CK14" s="152"/>
      <c r="CL14" s="150"/>
      <c r="CM14" s="151"/>
      <c r="CN14" s="152"/>
      <c r="CO14" s="150"/>
      <c r="CP14" s="151"/>
      <c r="CQ14" s="152"/>
      <c r="CR14" s="90" t="str">
        <f t="shared" si="0"/>
        <v>3B.1</v>
      </c>
      <c r="CS14" s="71" t="b">
        <f t="shared" si="2"/>
        <v>0</v>
      </c>
    </row>
    <row r="15" spans="1:97" ht="20.100000000000001" customHeight="1">
      <c r="A15" s="71" t="b">
        <f t="shared" si="1"/>
        <v>1</v>
      </c>
      <c r="B15" s="9" t="s">
        <v>88</v>
      </c>
      <c r="C15" s="86"/>
      <c r="D15" s="79"/>
      <c r="E15" s="79"/>
      <c r="F15" s="79"/>
      <c r="G15" s="79"/>
      <c r="H15" s="87"/>
      <c r="I15" s="86"/>
      <c r="J15" s="79"/>
      <c r="K15" s="79"/>
      <c r="L15" s="79"/>
      <c r="M15" s="79"/>
      <c r="N15" s="87"/>
      <c r="O15" s="253"/>
      <c r="P15" s="262"/>
      <c r="Q15" s="262"/>
      <c r="R15" s="262"/>
      <c r="S15" s="262"/>
      <c r="T15" s="253"/>
      <c r="U15" s="89" t="s">
        <v>176</v>
      </c>
      <c r="V15" s="73" t="s">
        <v>176</v>
      </c>
      <c r="W15" s="73"/>
      <c r="X15" s="73"/>
      <c r="Y15" s="73"/>
      <c r="Z15" s="164"/>
      <c r="AA15" s="254"/>
      <c r="AB15" s="263"/>
      <c r="AC15" s="263"/>
      <c r="AD15" s="263"/>
      <c r="AE15" s="263"/>
      <c r="AF15" s="254"/>
      <c r="AG15" s="257" t="s">
        <v>176</v>
      </c>
      <c r="AH15" s="73" t="s">
        <v>176</v>
      </c>
      <c r="AI15" s="73"/>
      <c r="AJ15" s="73"/>
      <c r="AK15" s="73"/>
      <c r="AL15" s="258"/>
      <c r="AM15" s="39"/>
      <c r="AN15" s="40"/>
      <c r="AO15" s="40"/>
      <c r="AP15" s="40"/>
      <c r="AQ15" s="40"/>
      <c r="AR15" s="43"/>
      <c r="AS15" s="39"/>
      <c r="AT15" s="40"/>
      <c r="AU15" s="40"/>
      <c r="AV15" s="40"/>
      <c r="AW15" s="40"/>
      <c r="AX15" s="43"/>
      <c r="AY15" s="39"/>
      <c r="AZ15" s="40"/>
      <c r="BA15" s="40"/>
      <c r="BB15" s="40"/>
      <c r="BC15" s="40"/>
      <c r="BD15" s="43"/>
      <c r="BE15" s="104"/>
      <c r="BF15" s="22"/>
      <c r="BG15" s="22"/>
      <c r="BH15" s="22"/>
      <c r="BI15" s="22"/>
      <c r="BJ15" s="105"/>
      <c r="BK15" s="116">
        <v>46152</v>
      </c>
      <c r="BL15" s="117">
        <v>46166</v>
      </c>
      <c r="BM15" s="112"/>
      <c r="BN15" s="150"/>
      <c r="BO15" s="151"/>
      <c r="BP15" s="152"/>
      <c r="BQ15" s="150"/>
      <c r="BR15" s="151"/>
      <c r="BS15" s="152"/>
      <c r="BT15" s="150"/>
      <c r="BU15" s="151"/>
      <c r="BV15" s="152"/>
      <c r="BW15" s="150"/>
      <c r="BX15" s="151"/>
      <c r="BY15" s="152"/>
      <c r="BZ15" s="150"/>
      <c r="CA15" s="151"/>
      <c r="CB15" s="152"/>
      <c r="CC15" s="150"/>
      <c r="CD15" s="151"/>
      <c r="CE15" s="152"/>
      <c r="CF15" s="150"/>
      <c r="CG15" s="151"/>
      <c r="CH15" s="152"/>
      <c r="CI15" s="150"/>
      <c r="CJ15" s="151"/>
      <c r="CK15" s="152"/>
      <c r="CL15" s="150"/>
      <c r="CM15" s="151"/>
      <c r="CN15" s="152"/>
      <c r="CO15" s="150"/>
      <c r="CP15" s="151"/>
      <c r="CQ15" s="152"/>
      <c r="CR15" s="90" t="str">
        <f t="shared" si="0"/>
        <v>3B.2</v>
      </c>
      <c r="CS15" s="71" t="b">
        <f t="shared" si="2"/>
        <v>0</v>
      </c>
    </row>
    <row r="16" spans="1:97" ht="20.100000000000001" customHeight="1">
      <c r="A16" s="71" t="b">
        <f t="shared" si="1"/>
        <v>1</v>
      </c>
      <c r="B16" s="9" t="s">
        <v>89</v>
      </c>
      <c r="C16" s="86"/>
      <c r="D16" s="79"/>
      <c r="E16" s="79"/>
      <c r="F16" s="79"/>
      <c r="G16" s="79"/>
      <c r="H16" s="87"/>
      <c r="I16" s="86"/>
      <c r="J16" s="79"/>
      <c r="K16" s="79"/>
      <c r="L16" s="79"/>
      <c r="M16" s="79"/>
      <c r="N16" s="87"/>
      <c r="O16" s="253"/>
      <c r="P16" s="262"/>
      <c r="Q16" s="262"/>
      <c r="R16" s="262"/>
      <c r="S16" s="262"/>
      <c r="T16" s="253"/>
      <c r="U16" s="89" t="s">
        <v>176</v>
      </c>
      <c r="V16" s="73" t="s">
        <v>176</v>
      </c>
      <c r="W16" s="73"/>
      <c r="X16" s="73"/>
      <c r="Y16" s="73"/>
      <c r="Z16" s="164"/>
      <c r="AA16" s="254"/>
      <c r="AB16" s="263"/>
      <c r="AC16" s="263"/>
      <c r="AD16" s="263"/>
      <c r="AE16" s="263"/>
      <c r="AF16" s="254"/>
      <c r="AG16" s="257" t="s">
        <v>176</v>
      </c>
      <c r="AH16" s="73" t="s">
        <v>176</v>
      </c>
      <c r="AI16" s="73"/>
      <c r="AJ16" s="73"/>
      <c r="AK16" s="73"/>
      <c r="AL16" s="258"/>
      <c r="AM16" s="39"/>
      <c r="AN16" s="40"/>
      <c r="AO16" s="40"/>
      <c r="AP16" s="40"/>
      <c r="AQ16" s="40"/>
      <c r="AR16" s="43"/>
      <c r="AS16" s="39"/>
      <c r="AT16" s="40"/>
      <c r="AU16" s="40"/>
      <c r="AV16" s="40"/>
      <c r="AW16" s="40"/>
      <c r="AX16" s="43"/>
      <c r="AY16" s="39"/>
      <c r="AZ16" s="40"/>
      <c r="BA16" s="40"/>
      <c r="BB16" s="40"/>
      <c r="BC16" s="40"/>
      <c r="BD16" s="43"/>
      <c r="BE16" s="104"/>
      <c r="BF16" s="22"/>
      <c r="BG16" s="22"/>
      <c r="BH16" s="22"/>
      <c r="BI16" s="22"/>
      <c r="BJ16" s="105"/>
      <c r="BK16" s="116">
        <v>46160</v>
      </c>
      <c r="BL16" s="117">
        <v>46168</v>
      </c>
      <c r="BM16" s="136"/>
      <c r="BN16" s="150"/>
      <c r="BO16" s="151"/>
      <c r="BP16" s="152"/>
      <c r="BQ16" s="150"/>
      <c r="BR16" s="151"/>
      <c r="BS16" s="152"/>
      <c r="BT16" s="150"/>
      <c r="BU16" s="151"/>
      <c r="BV16" s="152"/>
      <c r="BW16" s="150"/>
      <c r="BX16" s="151"/>
      <c r="BY16" s="152"/>
      <c r="BZ16" s="150"/>
      <c r="CA16" s="151"/>
      <c r="CB16" s="152"/>
      <c r="CC16" s="150"/>
      <c r="CD16" s="151"/>
      <c r="CE16" s="152"/>
      <c r="CF16" s="150"/>
      <c r="CG16" s="151"/>
      <c r="CH16" s="152"/>
      <c r="CI16" s="150"/>
      <c r="CJ16" s="151"/>
      <c r="CK16" s="152"/>
      <c r="CL16" s="150"/>
      <c r="CM16" s="151"/>
      <c r="CN16" s="152"/>
      <c r="CO16" s="150"/>
      <c r="CP16" s="151"/>
      <c r="CQ16" s="152"/>
      <c r="CR16" s="90" t="str">
        <f t="shared" si="0"/>
        <v>3B.2</v>
      </c>
      <c r="CS16" s="71" t="b">
        <f t="shared" si="2"/>
        <v>0</v>
      </c>
    </row>
    <row r="17" spans="1:97" ht="20.100000000000001" customHeight="1">
      <c r="A17" s="71" t="b">
        <f t="shared" si="1"/>
        <v>1</v>
      </c>
      <c r="B17" s="9" t="s">
        <v>91</v>
      </c>
      <c r="C17" s="39"/>
      <c r="D17" s="40"/>
      <c r="E17" s="40"/>
      <c r="F17" s="40"/>
      <c r="G17" s="40"/>
      <c r="H17" s="43"/>
      <c r="I17" s="39"/>
      <c r="J17" s="40"/>
      <c r="K17" s="40"/>
      <c r="L17" s="40"/>
      <c r="M17" s="40"/>
      <c r="N17" s="43"/>
      <c r="O17" s="253"/>
      <c r="P17" s="262"/>
      <c r="Q17" s="262"/>
      <c r="R17" s="262"/>
      <c r="S17" s="262"/>
      <c r="T17" s="253"/>
      <c r="U17" s="89" t="s">
        <v>176</v>
      </c>
      <c r="V17" s="73" t="s">
        <v>176</v>
      </c>
      <c r="W17" s="73"/>
      <c r="X17" s="73"/>
      <c r="Y17" s="73"/>
      <c r="Z17" s="164"/>
      <c r="AA17" s="254"/>
      <c r="AB17" s="263"/>
      <c r="AC17" s="263"/>
      <c r="AD17" s="263"/>
      <c r="AE17" s="263"/>
      <c r="AF17" s="254"/>
      <c r="AG17" s="257" t="s">
        <v>176</v>
      </c>
      <c r="AH17" s="73" t="s">
        <v>176</v>
      </c>
      <c r="AI17" s="73"/>
      <c r="AJ17" s="73"/>
      <c r="AK17" s="73"/>
      <c r="AL17" s="258"/>
      <c r="AM17" s="39"/>
      <c r="AN17" s="40"/>
      <c r="AO17" s="40"/>
      <c r="AP17" s="40"/>
      <c r="AQ17" s="40"/>
      <c r="AR17" s="43"/>
      <c r="AS17" s="39"/>
      <c r="AT17" s="40"/>
      <c r="AU17" s="40"/>
      <c r="AV17" s="40"/>
      <c r="AW17" s="40"/>
      <c r="AX17" s="43"/>
      <c r="AY17" s="39"/>
      <c r="AZ17" s="40"/>
      <c r="BA17" s="40"/>
      <c r="BB17" s="40"/>
      <c r="BC17" s="40"/>
      <c r="BD17" s="43"/>
      <c r="BE17" s="106"/>
      <c r="BF17" s="22"/>
      <c r="BG17" s="22"/>
      <c r="BH17" s="22"/>
      <c r="BI17" s="22"/>
      <c r="BJ17" s="105"/>
      <c r="BK17" s="116">
        <v>46155</v>
      </c>
      <c r="BL17" s="117">
        <v>46152</v>
      </c>
      <c r="BM17" s="112"/>
      <c r="BN17" s="150"/>
      <c r="BO17" s="151"/>
      <c r="BP17" s="152"/>
      <c r="BQ17" s="150"/>
      <c r="BR17" s="151"/>
      <c r="BS17" s="152"/>
      <c r="BT17" s="150"/>
      <c r="BU17" s="151"/>
      <c r="BV17" s="152"/>
      <c r="BW17" s="150"/>
      <c r="BX17" s="151"/>
      <c r="BY17" s="152"/>
      <c r="BZ17" s="150"/>
      <c r="CA17" s="151"/>
      <c r="CB17" s="152"/>
      <c r="CC17" s="150"/>
      <c r="CD17" s="151"/>
      <c r="CE17" s="152"/>
      <c r="CF17" s="150"/>
      <c r="CG17" s="151"/>
      <c r="CH17" s="152"/>
      <c r="CI17" s="150"/>
      <c r="CJ17" s="151"/>
      <c r="CK17" s="152"/>
      <c r="CL17" s="150"/>
      <c r="CM17" s="151"/>
      <c r="CN17" s="152"/>
      <c r="CO17" s="150"/>
      <c r="CP17" s="151"/>
      <c r="CQ17" s="152"/>
      <c r="CR17" s="90" t="str">
        <f t="shared" si="0"/>
        <v>3B.3</v>
      </c>
      <c r="CS17" s="71" t="b">
        <f t="shared" si="2"/>
        <v>0</v>
      </c>
    </row>
    <row r="18" spans="1:97" ht="20.100000000000001" customHeight="1">
      <c r="A18" s="71" t="b">
        <f t="shared" si="1"/>
        <v>0</v>
      </c>
      <c r="B18" s="9" t="s">
        <v>94</v>
      </c>
      <c r="C18" s="89"/>
      <c r="D18" s="73"/>
      <c r="E18" s="73"/>
      <c r="F18" s="73"/>
      <c r="G18" s="73"/>
      <c r="H18" s="164"/>
      <c r="I18" s="89"/>
      <c r="J18" s="73"/>
      <c r="K18" s="73"/>
      <c r="L18" s="73"/>
      <c r="M18" s="73"/>
      <c r="N18" s="164"/>
      <c r="O18" s="254"/>
      <c r="P18" s="263"/>
      <c r="Q18" s="263"/>
      <c r="R18" s="263"/>
      <c r="S18" s="263"/>
      <c r="T18" s="254"/>
      <c r="U18" s="39"/>
      <c r="V18" s="40"/>
      <c r="W18" s="40"/>
      <c r="X18" s="40"/>
      <c r="Y18" s="40"/>
      <c r="Z18" s="43"/>
      <c r="AA18" s="253"/>
      <c r="AB18" s="262"/>
      <c r="AC18" s="262"/>
      <c r="AD18" s="262"/>
      <c r="AE18" s="262"/>
      <c r="AF18" s="253"/>
      <c r="AG18" s="255"/>
      <c r="AH18" s="40"/>
      <c r="AI18" s="40"/>
      <c r="AJ18" s="40"/>
      <c r="AK18" s="40"/>
      <c r="AL18" s="256"/>
      <c r="AM18" s="39"/>
      <c r="AN18" s="40"/>
      <c r="AO18" s="40"/>
      <c r="AP18" s="40"/>
      <c r="AQ18" s="40"/>
      <c r="AR18" s="43"/>
      <c r="AS18" s="39"/>
      <c r="AT18" s="40"/>
      <c r="AU18" s="40"/>
      <c r="AV18" s="40"/>
      <c r="AW18" s="40"/>
      <c r="AX18" s="43"/>
      <c r="AY18" s="39"/>
      <c r="AZ18" s="40"/>
      <c r="BA18" s="40"/>
      <c r="BB18" s="40"/>
      <c r="BC18" s="40"/>
      <c r="BD18" s="43"/>
      <c r="BE18" s="106"/>
      <c r="BF18" s="22"/>
      <c r="BG18" s="22"/>
      <c r="BH18" s="22"/>
      <c r="BI18" s="22"/>
      <c r="BJ18" s="105"/>
      <c r="BK18" s="116"/>
      <c r="BL18" s="117"/>
      <c r="BM18" s="112"/>
      <c r="BN18" s="150"/>
      <c r="BO18" s="151"/>
      <c r="BP18" s="152"/>
      <c r="BQ18" s="150"/>
      <c r="BR18" s="151"/>
      <c r="BS18" s="152"/>
      <c r="BT18" s="150"/>
      <c r="BU18" s="151"/>
      <c r="BV18" s="152"/>
      <c r="BW18" s="150"/>
      <c r="BX18" s="151"/>
      <c r="BY18" s="152"/>
      <c r="BZ18" s="150"/>
      <c r="CA18" s="151"/>
      <c r="CB18" s="152"/>
      <c r="CC18" s="150"/>
      <c r="CD18" s="151"/>
      <c r="CE18" s="152"/>
      <c r="CF18" s="150"/>
      <c r="CG18" s="151"/>
      <c r="CH18" s="152"/>
      <c r="CI18" s="150"/>
      <c r="CJ18" s="151"/>
      <c r="CK18" s="152"/>
      <c r="CL18" s="150"/>
      <c r="CM18" s="151"/>
      <c r="CN18" s="152"/>
      <c r="CO18" s="150"/>
      <c r="CP18" s="151"/>
      <c r="CQ18" s="152"/>
      <c r="CR18" s="90" t="str">
        <f t="shared" si="0"/>
        <v>4B.1</v>
      </c>
      <c r="CS18" s="71" t="b">
        <f t="shared" si="2"/>
        <v>0</v>
      </c>
    </row>
    <row r="19" spans="1:97" ht="20.100000000000001" customHeight="1">
      <c r="A19" s="71" t="b">
        <f t="shared" si="1"/>
        <v>0</v>
      </c>
      <c r="B19" s="9" t="s">
        <v>95</v>
      </c>
      <c r="C19" s="89"/>
      <c r="D19" s="73"/>
      <c r="E19" s="73"/>
      <c r="F19" s="73"/>
      <c r="G19" s="73"/>
      <c r="H19" s="164"/>
      <c r="I19" s="89"/>
      <c r="J19" s="73"/>
      <c r="K19" s="73"/>
      <c r="L19" s="73"/>
      <c r="M19" s="73"/>
      <c r="N19" s="164"/>
      <c r="O19" s="254"/>
      <c r="P19" s="263"/>
      <c r="Q19" s="263"/>
      <c r="R19" s="263"/>
      <c r="S19" s="263"/>
      <c r="T19" s="254"/>
      <c r="U19" s="39"/>
      <c r="V19" s="40"/>
      <c r="W19" s="40"/>
      <c r="X19" s="40"/>
      <c r="Y19" s="40"/>
      <c r="Z19" s="43"/>
      <c r="AA19" s="253"/>
      <c r="AB19" s="262"/>
      <c r="AC19" s="262"/>
      <c r="AD19" s="262"/>
      <c r="AE19" s="262"/>
      <c r="AF19" s="253"/>
      <c r="AG19" s="255"/>
      <c r="AH19" s="40"/>
      <c r="AI19" s="40"/>
      <c r="AJ19" s="40"/>
      <c r="AK19" s="40"/>
      <c r="AL19" s="256"/>
      <c r="AM19" s="39"/>
      <c r="AN19" s="40"/>
      <c r="AO19" s="40"/>
      <c r="AP19" s="40"/>
      <c r="AQ19" s="40"/>
      <c r="AR19" s="43"/>
      <c r="AS19" s="39"/>
      <c r="AT19" s="40"/>
      <c r="AU19" s="40"/>
      <c r="AV19" s="40"/>
      <c r="AW19" s="40"/>
      <c r="AX19" s="43"/>
      <c r="AY19" s="39"/>
      <c r="AZ19" s="40"/>
      <c r="BA19" s="40"/>
      <c r="BB19" s="40"/>
      <c r="BC19" s="40"/>
      <c r="BD19" s="43"/>
      <c r="BE19" s="104"/>
      <c r="BF19" s="22"/>
      <c r="BG19" s="22"/>
      <c r="BH19" s="22"/>
      <c r="BI19" s="22"/>
      <c r="BJ19" s="105"/>
      <c r="BK19" s="116"/>
      <c r="BL19" s="117"/>
      <c r="BM19" s="112"/>
      <c r="BN19" s="150"/>
      <c r="BO19" s="151"/>
      <c r="BP19" s="152"/>
      <c r="BQ19" s="150"/>
      <c r="BR19" s="151"/>
      <c r="BS19" s="152"/>
      <c r="BT19" s="150"/>
      <c r="BU19" s="151"/>
      <c r="BV19" s="152"/>
      <c r="BW19" s="150"/>
      <c r="BX19" s="151"/>
      <c r="BY19" s="152"/>
      <c r="BZ19" s="150"/>
      <c r="CA19" s="151"/>
      <c r="CB19" s="152"/>
      <c r="CC19" s="150"/>
      <c r="CD19" s="151"/>
      <c r="CE19" s="152"/>
      <c r="CF19" s="150"/>
      <c r="CG19" s="151"/>
      <c r="CH19" s="152"/>
      <c r="CI19" s="150"/>
      <c r="CJ19" s="151"/>
      <c r="CK19" s="152"/>
      <c r="CL19" s="150"/>
      <c r="CM19" s="151"/>
      <c r="CN19" s="152"/>
      <c r="CO19" s="150"/>
      <c r="CP19" s="151"/>
      <c r="CQ19" s="152"/>
      <c r="CR19" s="90" t="str">
        <f t="shared" si="0"/>
        <v>4B.1</v>
      </c>
      <c r="CS19" s="71" t="b">
        <f t="shared" si="2"/>
        <v>0</v>
      </c>
    </row>
    <row r="20" spans="1:97" ht="20.100000000000001" customHeight="1">
      <c r="A20" s="71" t="b">
        <f t="shared" si="1"/>
        <v>0</v>
      </c>
      <c r="B20" s="9" t="s">
        <v>96</v>
      </c>
      <c r="C20" s="89"/>
      <c r="D20" s="73"/>
      <c r="E20" s="73"/>
      <c r="F20" s="73"/>
      <c r="G20" s="73"/>
      <c r="H20" s="164"/>
      <c r="I20" s="89"/>
      <c r="J20" s="73"/>
      <c r="K20" s="73"/>
      <c r="L20" s="73"/>
      <c r="M20" s="73"/>
      <c r="N20" s="164"/>
      <c r="O20" s="254"/>
      <c r="P20" s="263"/>
      <c r="Q20" s="263"/>
      <c r="R20" s="263"/>
      <c r="S20" s="263"/>
      <c r="T20" s="254"/>
      <c r="U20" s="39"/>
      <c r="V20" s="40"/>
      <c r="W20" s="40"/>
      <c r="X20" s="40"/>
      <c r="Y20" s="40"/>
      <c r="Z20" s="43"/>
      <c r="AA20" s="253"/>
      <c r="AB20" s="262"/>
      <c r="AC20" s="262"/>
      <c r="AD20" s="262"/>
      <c r="AE20" s="262"/>
      <c r="AF20" s="253"/>
      <c r="AG20" s="255"/>
      <c r="AH20" s="40"/>
      <c r="AI20" s="40"/>
      <c r="AJ20" s="40"/>
      <c r="AK20" s="40"/>
      <c r="AL20" s="256"/>
      <c r="AM20" s="39"/>
      <c r="AN20" s="40"/>
      <c r="AO20" s="40"/>
      <c r="AP20" s="40"/>
      <c r="AQ20" s="40"/>
      <c r="AR20" s="43"/>
      <c r="AS20" s="39"/>
      <c r="AT20" s="40"/>
      <c r="AU20" s="40"/>
      <c r="AV20" s="40"/>
      <c r="AW20" s="40"/>
      <c r="AX20" s="43"/>
      <c r="AY20" s="39"/>
      <c r="AZ20" s="40"/>
      <c r="BA20" s="40"/>
      <c r="BB20" s="40"/>
      <c r="BC20" s="40"/>
      <c r="BD20" s="43"/>
      <c r="BE20" s="104"/>
      <c r="BF20" s="22"/>
      <c r="BG20" s="22"/>
      <c r="BH20" s="22"/>
      <c r="BI20" s="22"/>
      <c r="BJ20" s="105"/>
      <c r="BK20" s="116"/>
      <c r="BL20" s="117"/>
      <c r="BM20" s="112"/>
      <c r="BN20" s="150"/>
      <c r="BO20" s="151"/>
      <c r="BP20" s="152"/>
      <c r="BQ20" s="150"/>
      <c r="BR20" s="151"/>
      <c r="BS20" s="152"/>
      <c r="BT20" s="150"/>
      <c r="BU20" s="151"/>
      <c r="BV20" s="152"/>
      <c r="BW20" s="150"/>
      <c r="BX20" s="151"/>
      <c r="BY20" s="152"/>
      <c r="BZ20" s="150"/>
      <c r="CA20" s="151"/>
      <c r="CB20" s="152"/>
      <c r="CC20" s="150"/>
      <c r="CD20" s="151"/>
      <c r="CE20" s="152"/>
      <c r="CF20" s="150"/>
      <c r="CG20" s="151"/>
      <c r="CH20" s="152"/>
      <c r="CI20" s="150"/>
      <c r="CJ20" s="151"/>
      <c r="CK20" s="152"/>
      <c r="CL20" s="150"/>
      <c r="CM20" s="151"/>
      <c r="CN20" s="152"/>
      <c r="CO20" s="150"/>
      <c r="CP20" s="151"/>
      <c r="CQ20" s="152"/>
      <c r="CR20" s="90" t="str">
        <f t="shared" si="0"/>
        <v>4B.2</v>
      </c>
      <c r="CS20" s="71" t="b">
        <f t="shared" si="2"/>
        <v>0</v>
      </c>
    </row>
    <row r="21" spans="1:97" ht="20.100000000000001" customHeight="1">
      <c r="A21" s="71" t="b">
        <f t="shared" si="1"/>
        <v>0</v>
      </c>
      <c r="B21" s="9" t="s">
        <v>97</v>
      </c>
      <c r="C21" s="89"/>
      <c r="D21" s="73"/>
      <c r="E21" s="73"/>
      <c r="F21" s="73"/>
      <c r="G21" s="73"/>
      <c r="H21" s="164"/>
      <c r="I21" s="89"/>
      <c r="J21" s="73"/>
      <c r="K21" s="73"/>
      <c r="L21" s="73"/>
      <c r="M21" s="73"/>
      <c r="N21" s="164"/>
      <c r="O21" s="254"/>
      <c r="P21" s="263"/>
      <c r="Q21" s="263"/>
      <c r="R21" s="263"/>
      <c r="S21" s="263"/>
      <c r="T21" s="254"/>
      <c r="U21" s="39"/>
      <c r="V21" s="40"/>
      <c r="W21" s="40"/>
      <c r="X21" s="40"/>
      <c r="Y21" s="40"/>
      <c r="Z21" s="43"/>
      <c r="AA21" s="253"/>
      <c r="AB21" s="262"/>
      <c r="AC21" s="262"/>
      <c r="AD21" s="262"/>
      <c r="AE21" s="262"/>
      <c r="AF21" s="253"/>
      <c r="AG21" s="255"/>
      <c r="AH21" s="40"/>
      <c r="AI21" s="40"/>
      <c r="AJ21" s="40"/>
      <c r="AK21" s="40"/>
      <c r="AL21" s="256"/>
      <c r="AM21" s="39"/>
      <c r="AN21" s="40"/>
      <c r="AO21" s="40"/>
      <c r="AP21" s="40"/>
      <c r="AQ21" s="40"/>
      <c r="AR21" s="43"/>
      <c r="AS21" s="39"/>
      <c r="AT21" s="40"/>
      <c r="AU21" s="40"/>
      <c r="AV21" s="40"/>
      <c r="AW21" s="40"/>
      <c r="AX21" s="43"/>
      <c r="AY21" s="39"/>
      <c r="AZ21" s="40"/>
      <c r="BA21" s="40"/>
      <c r="BB21" s="40"/>
      <c r="BC21" s="40"/>
      <c r="BD21" s="43"/>
      <c r="BE21" s="104"/>
      <c r="BF21" s="22"/>
      <c r="BG21" s="22"/>
      <c r="BH21" s="22"/>
      <c r="BI21" s="22"/>
      <c r="BJ21" s="105"/>
      <c r="BK21" s="116"/>
      <c r="BL21" s="117"/>
      <c r="BM21" s="112"/>
      <c r="BN21" s="150"/>
      <c r="BO21" s="151"/>
      <c r="BP21" s="152"/>
      <c r="BQ21" s="150"/>
      <c r="BR21" s="151"/>
      <c r="BS21" s="152"/>
      <c r="BT21" s="150"/>
      <c r="BU21" s="151"/>
      <c r="BV21" s="152"/>
      <c r="BW21" s="150"/>
      <c r="BX21" s="151"/>
      <c r="BY21" s="152"/>
      <c r="BZ21" s="150"/>
      <c r="CA21" s="151"/>
      <c r="CB21" s="152"/>
      <c r="CC21" s="150"/>
      <c r="CD21" s="151"/>
      <c r="CE21" s="152"/>
      <c r="CF21" s="150"/>
      <c r="CG21" s="151"/>
      <c r="CH21" s="152"/>
      <c r="CI21" s="150"/>
      <c r="CJ21" s="151"/>
      <c r="CK21" s="152"/>
      <c r="CL21" s="150"/>
      <c r="CM21" s="151"/>
      <c r="CN21" s="152"/>
      <c r="CO21" s="150"/>
      <c r="CP21" s="151"/>
      <c r="CQ21" s="152"/>
      <c r="CR21" s="90" t="str">
        <f t="shared" si="0"/>
        <v>4B.2</v>
      </c>
      <c r="CS21" s="71" t="b">
        <f t="shared" si="2"/>
        <v>0</v>
      </c>
    </row>
    <row r="22" spans="1:97" ht="20.100000000000001" customHeight="1">
      <c r="A22" s="71" t="b">
        <f t="shared" si="1"/>
        <v>0</v>
      </c>
      <c r="B22" s="9" t="s">
        <v>98</v>
      </c>
      <c r="C22" s="86"/>
      <c r="D22" s="79"/>
      <c r="E22" s="79"/>
      <c r="F22" s="79"/>
      <c r="G22" s="79"/>
      <c r="H22" s="87"/>
      <c r="I22" s="86"/>
      <c r="J22" s="79"/>
      <c r="K22" s="79"/>
      <c r="L22" s="79"/>
      <c r="M22" s="79"/>
      <c r="N22" s="87"/>
      <c r="O22" s="253"/>
      <c r="P22" s="262"/>
      <c r="Q22" s="262"/>
      <c r="R22" s="262"/>
      <c r="S22" s="262"/>
      <c r="T22" s="253"/>
      <c r="U22" s="89"/>
      <c r="V22" s="73"/>
      <c r="W22" s="73"/>
      <c r="X22" s="73"/>
      <c r="Y22" s="73"/>
      <c r="Z22" s="164"/>
      <c r="AA22" s="254"/>
      <c r="AB22" s="263"/>
      <c r="AC22" s="263"/>
      <c r="AD22" s="263"/>
      <c r="AE22" s="263"/>
      <c r="AF22" s="254"/>
      <c r="AG22" s="257"/>
      <c r="AH22" s="73"/>
      <c r="AI22" s="73"/>
      <c r="AJ22" s="73"/>
      <c r="AK22" s="73"/>
      <c r="AL22" s="258"/>
      <c r="AM22" s="39"/>
      <c r="AN22" s="40"/>
      <c r="AO22" s="40"/>
      <c r="AP22" s="40"/>
      <c r="AQ22" s="40"/>
      <c r="AR22" s="43"/>
      <c r="AS22" s="39"/>
      <c r="AT22" s="40"/>
      <c r="AU22" s="40"/>
      <c r="AV22" s="40"/>
      <c r="AW22" s="40"/>
      <c r="AX22" s="43"/>
      <c r="AY22" s="39"/>
      <c r="AZ22" s="40"/>
      <c r="BA22" s="40"/>
      <c r="BB22" s="40"/>
      <c r="BC22" s="40"/>
      <c r="BD22" s="43"/>
      <c r="BE22" s="104"/>
      <c r="BF22" s="22"/>
      <c r="BG22" s="22"/>
      <c r="BH22" s="22"/>
      <c r="BI22" s="22"/>
      <c r="BJ22" s="105"/>
      <c r="BK22" s="116"/>
      <c r="BL22" s="117"/>
      <c r="BM22" s="112"/>
      <c r="BN22" s="150"/>
      <c r="BO22" s="151"/>
      <c r="BP22" s="152"/>
      <c r="BQ22" s="150"/>
      <c r="BR22" s="151"/>
      <c r="BS22" s="152"/>
      <c r="BT22" s="150"/>
      <c r="BU22" s="151"/>
      <c r="BV22" s="152"/>
      <c r="BW22" s="150"/>
      <c r="BX22" s="151"/>
      <c r="BY22" s="152"/>
      <c r="BZ22" s="150"/>
      <c r="CA22" s="151"/>
      <c r="CB22" s="152"/>
      <c r="CC22" s="150"/>
      <c r="CD22" s="151"/>
      <c r="CE22" s="152"/>
      <c r="CF22" s="150"/>
      <c r="CG22" s="151"/>
      <c r="CH22" s="152"/>
      <c r="CI22" s="150"/>
      <c r="CJ22" s="151"/>
      <c r="CK22" s="152"/>
      <c r="CL22" s="150"/>
      <c r="CM22" s="151"/>
      <c r="CN22" s="152"/>
      <c r="CO22" s="150"/>
      <c r="CP22" s="151"/>
      <c r="CQ22" s="152"/>
      <c r="CR22" s="90" t="str">
        <f t="shared" si="0"/>
        <v>4B.3</v>
      </c>
      <c r="CS22" s="71" t="b">
        <f t="shared" si="2"/>
        <v>0</v>
      </c>
    </row>
    <row r="23" spans="1:97" ht="20.100000000000001" customHeight="1">
      <c r="A23" s="71" t="b">
        <f t="shared" si="1"/>
        <v>1</v>
      </c>
      <c r="B23" s="9" t="s">
        <v>99</v>
      </c>
      <c r="C23" s="86"/>
      <c r="D23" s="79"/>
      <c r="E23" s="79"/>
      <c r="F23" s="79"/>
      <c r="G23" s="79"/>
      <c r="H23" s="87"/>
      <c r="I23" s="86"/>
      <c r="J23" s="79"/>
      <c r="K23" s="79"/>
      <c r="L23" s="79"/>
      <c r="M23" s="79"/>
      <c r="N23" s="87"/>
      <c r="O23" s="253"/>
      <c r="P23" s="262"/>
      <c r="Q23" s="262"/>
      <c r="R23" s="262"/>
      <c r="S23" s="262"/>
      <c r="T23" s="253"/>
      <c r="U23" s="89" t="s">
        <v>176</v>
      </c>
      <c r="V23" s="73" t="s">
        <v>176</v>
      </c>
      <c r="W23" s="73"/>
      <c r="X23" s="73"/>
      <c r="Y23" s="73"/>
      <c r="Z23" s="164"/>
      <c r="AA23" s="254"/>
      <c r="AB23" s="263"/>
      <c r="AC23" s="263"/>
      <c r="AD23" s="263"/>
      <c r="AE23" s="263"/>
      <c r="AF23" s="254"/>
      <c r="AG23" s="257" t="s">
        <v>176</v>
      </c>
      <c r="AH23" s="73" t="s">
        <v>176</v>
      </c>
      <c r="AI23" s="73"/>
      <c r="AJ23" s="73"/>
      <c r="AK23" s="73"/>
      <c r="AL23" s="258"/>
      <c r="AM23" s="39"/>
      <c r="AN23" s="40"/>
      <c r="AO23" s="40"/>
      <c r="AP23" s="40"/>
      <c r="AQ23" s="40"/>
      <c r="AR23" s="43"/>
      <c r="AS23" s="39"/>
      <c r="AT23" s="40"/>
      <c r="AU23" s="40"/>
      <c r="AV23" s="40"/>
      <c r="AW23" s="40"/>
      <c r="AX23" s="43"/>
      <c r="AY23" s="39"/>
      <c r="AZ23" s="40"/>
      <c r="BA23" s="40"/>
      <c r="BB23" s="40"/>
      <c r="BC23" s="40"/>
      <c r="BD23" s="43"/>
      <c r="BE23" s="104"/>
      <c r="BF23" s="22"/>
      <c r="BG23" s="22"/>
      <c r="BH23" s="22"/>
      <c r="BI23" s="22"/>
      <c r="BJ23" s="105"/>
      <c r="BK23" s="116">
        <v>46147</v>
      </c>
      <c r="BL23" s="117">
        <v>46149</v>
      </c>
      <c r="BM23" s="112"/>
      <c r="BN23" s="150"/>
      <c r="BO23" s="151"/>
      <c r="BP23" s="152"/>
      <c r="BQ23" s="150"/>
      <c r="BR23" s="151"/>
      <c r="BS23" s="152"/>
      <c r="BT23" s="150"/>
      <c r="BU23" s="151"/>
      <c r="BV23" s="152"/>
      <c r="BW23" s="150"/>
      <c r="BX23" s="151"/>
      <c r="BY23" s="152"/>
      <c r="BZ23" s="150"/>
      <c r="CA23" s="151"/>
      <c r="CB23" s="152"/>
      <c r="CC23" s="150"/>
      <c r="CD23" s="151"/>
      <c r="CE23" s="152"/>
      <c r="CF23" s="150"/>
      <c r="CG23" s="151"/>
      <c r="CH23" s="152"/>
      <c r="CI23" s="150"/>
      <c r="CJ23" s="151"/>
      <c r="CK23" s="152"/>
      <c r="CL23" s="150"/>
      <c r="CM23" s="151"/>
      <c r="CN23" s="152"/>
      <c r="CO23" s="150"/>
      <c r="CP23" s="151"/>
      <c r="CQ23" s="152"/>
      <c r="CR23" s="90" t="str">
        <f t="shared" si="0"/>
        <v>4B.3</v>
      </c>
      <c r="CS23" s="71" t="b">
        <f t="shared" si="2"/>
        <v>0</v>
      </c>
    </row>
    <row r="24" spans="1:97" ht="20.100000000000001" customHeight="1">
      <c r="A24" s="71" t="b">
        <f t="shared" si="1"/>
        <v>0</v>
      </c>
      <c r="B24" s="9" t="s">
        <v>100</v>
      </c>
      <c r="C24" s="86"/>
      <c r="D24" s="79"/>
      <c r="E24" s="79"/>
      <c r="F24" s="79"/>
      <c r="G24" s="79"/>
      <c r="H24" s="87"/>
      <c r="I24" s="86"/>
      <c r="J24" s="79"/>
      <c r="K24" s="79"/>
      <c r="L24" s="79"/>
      <c r="M24" s="79"/>
      <c r="N24" s="87"/>
      <c r="O24" s="253"/>
      <c r="P24" s="262"/>
      <c r="Q24" s="262"/>
      <c r="R24" s="262"/>
      <c r="S24" s="262"/>
      <c r="T24" s="253"/>
      <c r="U24" s="89"/>
      <c r="V24" s="73"/>
      <c r="W24" s="73"/>
      <c r="X24" s="73"/>
      <c r="Y24" s="73"/>
      <c r="Z24" s="164"/>
      <c r="AA24" s="254"/>
      <c r="AB24" s="263"/>
      <c r="AC24" s="263"/>
      <c r="AD24" s="263"/>
      <c r="AE24" s="263"/>
      <c r="AF24" s="254"/>
      <c r="AG24" s="257"/>
      <c r="AH24" s="73"/>
      <c r="AI24" s="73"/>
      <c r="AJ24" s="73"/>
      <c r="AK24" s="73"/>
      <c r="AL24" s="258"/>
      <c r="AM24" s="39"/>
      <c r="AN24" s="40"/>
      <c r="AO24" s="40"/>
      <c r="AP24" s="40"/>
      <c r="AQ24" s="40"/>
      <c r="AR24" s="43"/>
      <c r="AS24" s="39"/>
      <c r="AT24" s="40"/>
      <c r="AU24" s="40"/>
      <c r="AV24" s="40"/>
      <c r="AW24" s="40"/>
      <c r="AX24" s="43"/>
      <c r="AY24" s="39"/>
      <c r="AZ24" s="40"/>
      <c r="BA24" s="40"/>
      <c r="BB24" s="40"/>
      <c r="BC24" s="40"/>
      <c r="BD24" s="43"/>
      <c r="BE24" s="104"/>
      <c r="BF24" s="22"/>
      <c r="BG24" s="22"/>
      <c r="BH24" s="22"/>
      <c r="BI24" s="22"/>
      <c r="BJ24" s="105"/>
      <c r="BK24" s="116"/>
      <c r="BL24" s="117"/>
      <c r="BM24" s="112"/>
      <c r="BN24" s="150"/>
      <c r="BO24" s="151"/>
      <c r="BP24" s="152"/>
      <c r="BQ24" s="150"/>
      <c r="BR24" s="151"/>
      <c r="BS24" s="152"/>
      <c r="BT24" s="150"/>
      <c r="BU24" s="151"/>
      <c r="BV24" s="152"/>
      <c r="BW24" s="150"/>
      <c r="BX24" s="151"/>
      <c r="BY24" s="152"/>
      <c r="BZ24" s="150"/>
      <c r="CA24" s="151"/>
      <c r="CB24" s="152"/>
      <c r="CC24" s="150"/>
      <c r="CD24" s="151"/>
      <c r="CE24" s="152"/>
      <c r="CF24" s="150"/>
      <c r="CG24" s="151"/>
      <c r="CH24" s="152"/>
      <c r="CI24" s="150"/>
      <c r="CJ24" s="151"/>
      <c r="CK24" s="152"/>
      <c r="CL24" s="150"/>
      <c r="CM24" s="151"/>
      <c r="CN24" s="152"/>
      <c r="CO24" s="150"/>
      <c r="CP24" s="151"/>
      <c r="CQ24" s="152"/>
      <c r="CR24" s="90" t="str">
        <f t="shared" si="0"/>
        <v>4B.3</v>
      </c>
      <c r="CS24" s="71" t="b">
        <f t="shared" si="2"/>
        <v>0</v>
      </c>
    </row>
    <row r="25" spans="1:97" ht="20.100000000000001" customHeight="1">
      <c r="A25" s="71" t="b">
        <f t="shared" si="1"/>
        <v>0</v>
      </c>
      <c r="B25" s="9" t="s">
        <v>101</v>
      </c>
      <c r="C25" s="86"/>
      <c r="D25" s="79"/>
      <c r="E25" s="79"/>
      <c r="F25" s="79"/>
      <c r="G25" s="79"/>
      <c r="H25" s="87"/>
      <c r="I25" s="86"/>
      <c r="J25" s="79"/>
      <c r="K25" s="79"/>
      <c r="L25" s="79"/>
      <c r="M25" s="79"/>
      <c r="N25" s="87"/>
      <c r="O25" s="253"/>
      <c r="P25" s="262"/>
      <c r="Q25" s="262"/>
      <c r="R25" s="262"/>
      <c r="S25" s="262"/>
      <c r="T25" s="253"/>
      <c r="U25" s="89"/>
      <c r="V25" s="73"/>
      <c r="W25" s="73"/>
      <c r="X25" s="73"/>
      <c r="Y25" s="73"/>
      <c r="Z25" s="164"/>
      <c r="AA25" s="254"/>
      <c r="AB25" s="263"/>
      <c r="AC25" s="263"/>
      <c r="AD25" s="263"/>
      <c r="AE25" s="263"/>
      <c r="AF25" s="254"/>
      <c r="AG25" s="257"/>
      <c r="AH25" s="73"/>
      <c r="AI25" s="73"/>
      <c r="AJ25" s="73"/>
      <c r="AK25" s="73"/>
      <c r="AL25" s="258"/>
      <c r="AM25" s="39"/>
      <c r="AN25" s="40"/>
      <c r="AO25" s="40"/>
      <c r="AP25" s="40"/>
      <c r="AQ25" s="40"/>
      <c r="AR25" s="43"/>
      <c r="AS25" s="39"/>
      <c r="AT25" s="40"/>
      <c r="AU25" s="40"/>
      <c r="AV25" s="40"/>
      <c r="AW25" s="40"/>
      <c r="AX25" s="43"/>
      <c r="AY25" s="39"/>
      <c r="AZ25" s="40"/>
      <c r="BA25" s="40"/>
      <c r="BB25" s="40"/>
      <c r="BC25" s="40"/>
      <c r="BD25" s="43"/>
      <c r="BE25" s="104"/>
      <c r="BF25" s="22"/>
      <c r="BG25" s="22"/>
      <c r="BH25" s="22"/>
      <c r="BI25" s="22"/>
      <c r="BJ25" s="105"/>
      <c r="BK25" s="116"/>
      <c r="BL25" s="117"/>
      <c r="BM25" s="112"/>
      <c r="BN25" s="150"/>
      <c r="BO25" s="151"/>
      <c r="BP25" s="152"/>
      <c r="BQ25" s="150"/>
      <c r="BR25" s="151"/>
      <c r="BS25" s="152"/>
      <c r="BT25" s="150"/>
      <c r="BU25" s="151"/>
      <c r="BV25" s="152"/>
      <c r="BW25" s="150"/>
      <c r="BX25" s="151"/>
      <c r="BY25" s="152"/>
      <c r="BZ25" s="150"/>
      <c r="CA25" s="151"/>
      <c r="CB25" s="152"/>
      <c r="CC25" s="150"/>
      <c r="CD25" s="151"/>
      <c r="CE25" s="152"/>
      <c r="CF25" s="150"/>
      <c r="CG25" s="151"/>
      <c r="CH25" s="152"/>
      <c r="CI25" s="150"/>
      <c r="CJ25" s="151"/>
      <c r="CK25" s="152"/>
      <c r="CL25" s="150"/>
      <c r="CM25" s="151"/>
      <c r="CN25" s="152"/>
      <c r="CO25" s="150"/>
      <c r="CP25" s="151"/>
      <c r="CQ25" s="152"/>
      <c r="CR25" s="90" t="str">
        <f t="shared" si="0"/>
        <v>4B.3</v>
      </c>
      <c r="CS25" s="71" t="b">
        <f t="shared" si="2"/>
        <v>0</v>
      </c>
    </row>
    <row r="26" spans="1:97" ht="20.100000000000001" customHeight="1">
      <c r="A26" s="71" t="b">
        <f t="shared" si="1"/>
        <v>0</v>
      </c>
      <c r="B26" s="9" t="s">
        <v>102</v>
      </c>
      <c r="C26" s="86"/>
      <c r="D26" s="79"/>
      <c r="E26" s="79"/>
      <c r="F26" s="79"/>
      <c r="G26" s="79"/>
      <c r="H26" s="87"/>
      <c r="I26" s="86"/>
      <c r="J26" s="79"/>
      <c r="K26" s="79"/>
      <c r="L26" s="79"/>
      <c r="M26" s="79"/>
      <c r="N26" s="87"/>
      <c r="O26" s="253"/>
      <c r="P26" s="262"/>
      <c r="Q26" s="262"/>
      <c r="R26" s="262"/>
      <c r="S26" s="262"/>
      <c r="T26" s="253"/>
      <c r="U26" s="89"/>
      <c r="V26" s="73"/>
      <c r="W26" s="73"/>
      <c r="X26" s="73"/>
      <c r="Y26" s="73"/>
      <c r="Z26" s="164"/>
      <c r="AA26" s="254"/>
      <c r="AB26" s="263"/>
      <c r="AC26" s="263"/>
      <c r="AD26" s="263"/>
      <c r="AE26" s="263"/>
      <c r="AF26" s="254"/>
      <c r="AG26" s="257"/>
      <c r="AH26" s="73"/>
      <c r="AI26" s="73"/>
      <c r="AJ26" s="73"/>
      <c r="AK26" s="73"/>
      <c r="AL26" s="258"/>
      <c r="AM26" s="39"/>
      <c r="AN26" s="40"/>
      <c r="AO26" s="40"/>
      <c r="AP26" s="40"/>
      <c r="AQ26" s="40"/>
      <c r="AR26" s="43"/>
      <c r="AS26" s="39"/>
      <c r="AT26" s="40"/>
      <c r="AU26" s="40"/>
      <c r="AV26" s="40"/>
      <c r="AW26" s="40"/>
      <c r="AX26" s="43"/>
      <c r="AY26" s="39"/>
      <c r="AZ26" s="40"/>
      <c r="BA26" s="40"/>
      <c r="BB26" s="40"/>
      <c r="BC26" s="40"/>
      <c r="BD26" s="43"/>
      <c r="BE26" s="104"/>
      <c r="BF26" s="22"/>
      <c r="BG26" s="22"/>
      <c r="BH26" s="22"/>
      <c r="BI26" s="22"/>
      <c r="BJ26" s="105"/>
      <c r="BK26" s="116"/>
      <c r="BL26" s="117"/>
      <c r="BM26" s="112"/>
      <c r="BN26" s="150"/>
      <c r="BO26" s="151"/>
      <c r="BP26" s="152"/>
      <c r="BQ26" s="150"/>
      <c r="BR26" s="151"/>
      <c r="BS26" s="152"/>
      <c r="BT26" s="150"/>
      <c r="BU26" s="151"/>
      <c r="BV26" s="152"/>
      <c r="BW26" s="150"/>
      <c r="BX26" s="151"/>
      <c r="BY26" s="152"/>
      <c r="BZ26" s="150"/>
      <c r="CA26" s="151"/>
      <c r="CB26" s="152"/>
      <c r="CC26" s="150"/>
      <c r="CD26" s="151"/>
      <c r="CE26" s="152"/>
      <c r="CF26" s="150"/>
      <c r="CG26" s="151"/>
      <c r="CH26" s="152"/>
      <c r="CI26" s="150"/>
      <c r="CJ26" s="151"/>
      <c r="CK26" s="152"/>
      <c r="CL26" s="150"/>
      <c r="CM26" s="151"/>
      <c r="CN26" s="152"/>
      <c r="CO26" s="150"/>
      <c r="CP26" s="151"/>
      <c r="CQ26" s="152"/>
      <c r="CR26" s="90" t="str">
        <f t="shared" si="0"/>
        <v>4B.3</v>
      </c>
      <c r="CS26" s="71" t="b">
        <f t="shared" si="2"/>
        <v>0</v>
      </c>
    </row>
    <row r="27" spans="1:97" ht="20.100000000000001" customHeight="1">
      <c r="A27" s="71" t="b">
        <f t="shared" si="1"/>
        <v>0</v>
      </c>
      <c r="B27" s="9" t="s">
        <v>103</v>
      </c>
      <c r="C27" s="86"/>
      <c r="D27" s="79"/>
      <c r="E27" s="79"/>
      <c r="F27" s="79"/>
      <c r="G27" s="79"/>
      <c r="H27" s="87"/>
      <c r="I27" s="86"/>
      <c r="J27" s="79"/>
      <c r="K27" s="79"/>
      <c r="L27" s="79"/>
      <c r="M27" s="79"/>
      <c r="N27" s="87"/>
      <c r="O27" s="253"/>
      <c r="P27" s="262"/>
      <c r="Q27" s="262"/>
      <c r="R27" s="262"/>
      <c r="S27" s="262"/>
      <c r="T27" s="253"/>
      <c r="U27" s="89"/>
      <c r="V27" s="73"/>
      <c r="W27" s="73"/>
      <c r="X27" s="73"/>
      <c r="Y27" s="73"/>
      <c r="Z27" s="164"/>
      <c r="AA27" s="254"/>
      <c r="AB27" s="263"/>
      <c r="AC27" s="263"/>
      <c r="AD27" s="263"/>
      <c r="AE27" s="263"/>
      <c r="AF27" s="254"/>
      <c r="AG27" s="257"/>
      <c r="AH27" s="73"/>
      <c r="AI27" s="73"/>
      <c r="AJ27" s="73"/>
      <c r="AK27" s="73"/>
      <c r="AL27" s="258"/>
      <c r="AM27" s="39"/>
      <c r="AN27" s="40"/>
      <c r="AO27" s="40"/>
      <c r="AP27" s="40"/>
      <c r="AQ27" s="40"/>
      <c r="AR27" s="43"/>
      <c r="AS27" s="39"/>
      <c r="AT27" s="40"/>
      <c r="AU27" s="40"/>
      <c r="AV27" s="40"/>
      <c r="AW27" s="40"/>
      <c r="AX27" s="43"/>
      <c r="AY27" s="39"/>
      <c r="AZ27" s="40"/>
      <c r="BA27" s="40"/>
      <c r="BB27" s="40"/>
      <c r="BC27" s="40"/>
      <c r="BD27" s="43"/>
      <c r="BE27" s="104"/>
      <c r="BF27" s="22"/>
      <c r="BG27" s="22"/>
      <c r="BH27" s="22"/>
      <c r="BI27" s="22"/>
      <c r="BJ27" s="105"/>
      <c r="BK27" s="116"/>
      <c r="BL27" s="117"/>
      <c r="BM27" s="112"/>
      <c r="BN27" s="150"/>
      <c r="BO27" s="151"/>
      <c r="BP27" s="152"/>
      <c r="BQ27" s="150"/>
      <c r="BR27" s="151"/>
      <c r="BS27" s="152"/>
      <c r="BT27" s="150"/>
      <c r="BU27" s="151"/>
      <c r="BV27" s="152"/>
      <c r="BW27" s="150"/>
      <c r="BX27" s="151"/>
      <c r="BY27" s="152"/>
      <c r="BZ27" s="150"/>
      <c r="CA27" s="151"/>
      <c r="CB27" s="152"/>
      <c r="CC27" s="150"/>
      <c r="CD27" s="151"/>
      <c r="CE27" s="152"/>
      <c r="CF27" s="150"/>
      <c r="CG27" s="151"/>
      <c r="CH27" s="152"/>
      <c r="CI27" s="150"/>
      <c r="CJ27" s="151"/>
      <c r="CK27" s="152"/>
      <c r="CL27" s="150"/>
      <c r="CM27" s="151"/>
      <c r="CN27" s="152"/>
      <c r="CO27" s="150"/>
      <c r="CP27" s="151"/>
      <c r="CQ27" s="152"/>
      <c r="CR27" s="90" t="str">
        <f t="shared" si="0"/>
        <v>4B.3</v>
      </c>
      <c r="CS27" s="71" t="b">
        <f t="shared" si="2"/>
        <v>0</v>
      </c>
    </row>
    <row r="28" spans="1:97" ht="20.100000000000001" customHeight="1">
      <c r="A28" s="71" t="b">
        <f t="shared" si="1"/>
        <v>0</v>
      </c>
      <c r="B28" s="9" t="s">
        <v>104</v>
      </c>
      <c r="C28" s="86"/>
      <c r="D28" s="79"/>
      <c r="E28" s="79"/>
      <c r="F28" s="79"/>
      <c r="G28" s="79"/>
      <c r="H28" s="87"/>
      <c r="I28" s="86"/>
      <c r="J28" s="79"/>
      <c r="K28" s="79"/>
      <c r="L28" s="79"/>
      <c r="M28" s="79"/>
      <c r="N28" s="87"/>
      <c r="O28" s="253"/>
      <c r="P28" s="262"/>
      <c r="Q28" s="262"/>
      <c r="R28" s="262"/>
      <c r="S28" s="262"/>
      <c r="T28" s="253"/>
      <c r="U28" s="89"/>
      <c r="V28" s="73"/>
      <c r="W28" s="73"/>
      <c r="X28" s="73"/>
      <c r="Y28" s="73"/>
      <c r="Z28" s="164"/>
      <c r="AA28" s="254"/>
      <c r="AB28" s="263"/>
      <c r="AC28" s="263"/>
      <c r="AD28" s="263"/>
      <c r="AE28" s="263"/>
      <c r="AF28" s="254"/>
      <c r="AG28" s="257"/>
      <c r="AH28" s="73"/>
      <c r="AI28" s="73"/>
      <c r="AJ28" s="73"/>
      <c r="AK28" s="73"/>
      <c r="AL28" s="258"/>
      <c r="AM28" s="39"/>
      <c r="AN28" s="40"/>
      <c r="AO28" s="40"/>
      <c r="AP28" s="40"/>
      <c r="AQ28" s="40"/>
      <c r="AR28" s="43"/>
      <c r="AS28" s="39"/>
      <c r="AT28" s="40"/>
      <c r="AU28" s="40"/>
      <c r="AV28" s="40"/>
      <c r="AW28" s="40"/>
      <c r="AX28" s="43"/>
      <c r="AY28" s="39"/>
      <c r="AZ28" s="40"/>
      <c r="BA28" s="40"/>
      <c r="BB28" s="40"/>
      <c r="BC28" s="40"/>
      <c r="BD28" s="43"/>
      <c r="BE28" s="104"/>
      <c r="BF28" s="22"/>
      <c r="BG28" s="22"/>
      <c r="BH28" s="22"/>
      <c r="BI28" s="22"/>
      <c r="BJ28" s="105"/>
      <c r="BK28" s="116"/>
      <c r="BL28" s="117"/>
      <c r="BM28" s="112"/>
      <c r="BN28" s="150"/>
      <c r="BO28" s="151"/>
      <c r="BP28" s="152"/>
      <c r="BQ28" s="150"/>
      <c r="BR28" s="151"/>
      <c r="BS28" s="152"/>
      <c r="BT28" s="150"/>
      <c r="BU28" s="151"/>
      <c r="BV28" s="152"/>
      <c r="BW28" s="150"/>
      <c r="BX28" s="151"/>
      <c r="BY28" s="152"/>
      <c r="BZ28" s="150"/>
      <c r="CA28" s="151"/>
      <c r="CB28" s="152"/>
      <c r="CC28" s="150"/>
      <c r="CD28" s="151"/>
      <c r="CE28" s="152"/>
      <c r="CF28" s="150"/>
      <c r="CG28" s="151"/>
      <c r="CH28" s="152"/>
      <c r="CI28" s="150"/>
      <c r="CJ28" s="151"/>
      <c r="CK28" s="152"/>
      <c r="CL28" s="150"/>
      <c r="CM28" s="151"/>
      <c r="CN28" s="152"/>
      <c r="CO28" s="150"/>
      <c r="CP28" s="151"/>
      <c r="CQ28" s="152"/>
      <c r="CR28" s="90" t="str">
        <f t="shared" si="0"/>
        <v>4B.3</v>
      </c>
      <c r="CS28" s="71" t="b">
        <f t="shared" si="2"/>
        <v>0</v>
      </c>
    </row>
    <row r="29" spans="1:97" ht="20.100000000000001" customHeight="1">
      <c r="A29" s="71" t="b">
        <f t="shared" si="1"/>
        <v>0</v>
      </c>
      <c r="B29" s="9" t="s">
        <v>105</v>
      </c>
      <c r="C29" s="39"/>
      <c r="D29" s="40"/>
      <c r="E29" s="40"/>
      <c r="F29" s="40"/>
      <c r="G29" s="40"/>
      <c r="H29" s="43"/>
      <c r="I29" s="39"/>
      <c r="J29" s="40"/>
      <c r="K29" s="40"/>
      <c r="L29" s="40"/>
      <c r="M29" s="40"/>
      <c r="N29" s="43"/>
      <c r="O29" s="253"/>
      <c r="P29" s="262"/>
      <c r="Q29" s="262"/>
      <c r="R29" s="262"/>
      <c r="S29" s="262"/>
      <c r="T29" s="253"/>
      <c r="U29" s="89"/>
      <c r="V29" s="73"/>
      <c r="W29" s="73"/>
      <c r="X29" s="73"/>
      <c r="Y29" s="73"/>
      <c r="Z29" s="164"/>
      <c r="AA29" s="254"/>
      <c r="AB29" s="263"/>
      <c r="AC29" s="263"/>
      <c r="AD29" s="263"/>
      <c r="AE29" s="263"/>
      <c r="AF29" s="254"/>
      <c r="AG29" s="257"/>
      <c r="AH29" s="73"/>
      <c r="AI29" s="73"/>
      <c r="AJ29" s="73"/>
      <c r="AK29" s="73"/>
      <c r="AL29" s="258"/>
      <c r="AM29" s="39"/>
      <c r="AN29" s="40"/>
      <c r="AO29" s="40"/>
      <c r="AP29" s="40"/>
      <c r="AQ29" s="40"/>
      <c r="AR29" s="43"/>
      <c r="AS29" s="39"/>
      <c r="AT29" s="40"/>
      <c r="AU29" s="40"/>
      <c r="AV29" s="40"/>
      <c r="AW29" s="40"/>
      <c r="AX29" s="43"/>
      <c r="AY29" s="39"/>
      <c r="AZ29" s="40"/>
      <c r="BA29" s="40"/>
      <c r="BB29" s="40"/>
      <c r="BC29" s="40"/>
      <c r="BD29" s="43"/>
      <c r="BE29" s="104"/>
      <c r="BF29" s="22"/>
      <c r="BG29" s="22"/>
      <c r="BH29" s="22"/>
      <c r="BI29" s="22"/>
      <c r="BJ29" s="105"/>
      <c r="BK29" s="116"/>
      <c r="BL29" s="117"/>
      <c r="BM29" s="112"/>
      <c r="BN29" s="150"/>
      <c r="BO29" s="151"/>
      <c r="BP29" s="152"/>
      <c r="BQ29" s="150"/>
      <c r="BR29" s="151"/>
      <c r="BS29" s="152"/>
      <c r="BT29" s="150"/>
      <c r="BU29" s="151"/>
      <c r="BV29" s="152"/>
      <c r="BW29" s="150"/>
      <c r="BX29" s="151"/>
      <c r="BY29" s="152"/>
      <c r="BZ29" s="150"/>
      <c r="CA29" s="151"/>
      <c r="CB29" s="152"/>
      <c r="CC29" s="150"/>
      <c r="CD29" s="151"/>
      <c r="CE29" s="152"/>
      <c r="CF29" s="150"/>
      <c r="CG29" s="151"/>
      <c r="CH29" s="152"/>
      <c r="CI29" s="150"/>
      <c r="CJ29" s="151"/>
      <c r="CK29" s="152"/>
      <c r="CL29" s="150"/>
      <c r="CM29" s="151"/>
      <c r="CN29" s="152"/>
      <c r="CO29" s="150"/>
      <c r="CP29" s="151"/>
      <c r="CQ29" s="152"/>
      <c r="CR29" s="90" t="str">
        <f t="shared" si="0"/>
        <v>4B.3</v>
      </c>
      <c r="CS29" s="71" t="b">
        <f t="shared" si="2"/>
        <v>0</v>
      </c>
    </row>
    <row r="30" spans="1:97" ht="20.100000000000001" customHeight="1">
      <c r="A30" s="71" t="b">
        <f t="shared" si="1"/>
        <v>0</v>
      </c>
      <c r="B30" s="9" t="s">
        <v>106</v>
      </c>
      <c r="C30" s="14"/>
      <c r="D30" s="1"/>
      <c r="E30" s="1"/>
      <c r="F30" s="1"/>
      <c r="G30" s="1"/>
      <c r="H30" s="15"/>
      <c r="I30" s="14"/>
      <c r="J30" s="1"/>
      <c r="K30" s="1"/>
      <c r="L30" s="1"/>
      <c r="M30" s="1"/>
      <c r="N30" s="15"/>
      <c r="O30" s="250"/>
      <c r="P30" s="194"/>
      <c r="Q30" s="194"/>
      <c r="R30" s="194"/>
      <c r="S30" s="194"/>
      <c r="T30" s="250"/>
      <c r="U30" s="39"/>
      <c r="V30" s="40"/>
      <c r="W30" s="40"/>
      <c r="X30" s="40"/>
      <c r="Y30" s="40"/>
      <c r="Z30" s="43"/>
      <c r="AA30" s="253"/>
      <c r="AB30" s="262"/>
      <c r="AC30" s="262"/>
      <c r="AD30" s="262"/>
      <c r="AE30" s="262"/>
      <c r="AF30" s="253"/>
      <c r="AG30" s="255"/>
      <c r="AH30" s="40"/>
      <c r="AI30" s="40"/>
      <c r="AJ30" s="40"/>
      <c r="AK30" s="40"/>
      <c r="AL30" s="256"/>
      <c r="AM30" s="39"/>
      <c r="AN30" s="40"/>
      <c r="AO30" s="40"/>
      <c r="AP30" s="40"/>
      <c r="AQ30" s="40"/>
      <c r="AR30" s="43"/>
      <c r="AS30" s="39"/>
      <c r="AT30" s="40"/>
      <c r="AU30" s="40"/>
      <c r="AV30" s="40"/>
      <c r="AW30" s="40"/>
      <c r="AX30" s="43"/>
      <c r="AY30" s="39"/>
      <c r="AZ30" s="40"/>
      <c r="BA30" s="40"/>
      <c r="BB30" s="40"/>
      <c r="BC30" s="40"/>
      <c r="BD30" s="43"/>
      <c r="BE30" s="104"/>
      <c r="BF30" s="22"/>
      <c r="BG30" s="22"/>
      <c r="BH30" s="22"/>
      <c r="BI30" s="22"/>
      <c r="BJ30" s="105"/>
      <c r="BK30" s="116"/>
      <c r="BL30" s="117"/>
      <c r="BM30" s="112"/>
      <c r="BN30" s="150"/>
      <c r="BO30" s="151"/>
      <c r="BP30" s="152"/>
      <c r="BQ30" s="150"/>
      <c r="BR30" s="151"/>
      <c r="BS30" s="152"/>
      <c r="BT30" s="150"/>
      <c r="BU30" s="151"/>
      <c r="BV30" s="152"/>
      <c r="BW30" s="150"/>
      <c r="BX30" s="151"/>
      <c r="BY30" s="152"/>
      <c r="BZ30" s="150"/>
      <c r="CA30" s="151"/>
      <c r="CB30" s="152"/>
      <c r="CC30" s="150"/>
      <c r="CD30" s="151"/>
      <c r="CE30" s="152"/>
      <c r="CF30" s="150"/>
      <c r="CG30" s="151"/>
      <c r="CH30" s="152"/>
      <c r="CI30" s="150"/>
      <c r="CJ30" s="151"/>
      <c r="CK30" s="152"/>
      <c r="CL30" s="150"/>
      <c r="CM30" s="151"/>
      <c r="CN30" s="152"/>
      <c r="CO30" s="150"/>
      <c r="CP30" s="151"/>
      <c r="CQ30" s="152"/>
      <c r="CR30" s="90" t="str">
        <f t="shared" si="0"/>
        <v>5B.1</v>
      </c>
      <c r="CS30" s="71" t="b">
        <f t="shared" si="2"/>
        <v>0</v>
      </c>
    </row>
    <row r="31" spans="1:97" ht="20.100000000000001" customHeight="1">
      <c r="A31" s="71" t="b">
        <f t="shared" si="1"/>
        <v>0</v>
      </c>
      <c r="B31" s="9" t="s">
        <v>107</v>
      </c>
      <c r="C31" s="14"/>
      <c r="D31" s="1"/>
      <c r="E31" s="1"/>
      <c r="F31" s="1"/>
      <c r="G31" s="1"/>
      <c r="H31" s="15"/>
      <c r="I31" s="14"/>
      <c r="J31" s="1"/>
      <c r="K31" s="1"/>
      <c r="L31" s="1"/>
      <c r="M31" s="1"/>
      <c r="N31" s="15"/>
      <c r="O31" s="250"/>
      <c r="P31" s="194"/>
      <c r="Q31" s="194"/>
      <c r="R31" s="194"/>
      <c r="S31" s="194"/>
      <c r="T31" s="250"/>
      <c r="U31" s="39"/>
      <c r="V31" s="40"/>
      <c r="W31" s="40"/>
      <c r="X31" s="40"/>
      <c r="Y31" s="40"/>
      <c r="Z31" s="43"/>
      <c r="AA31" s="253"/>
      <c r="AB31" s="262"/>
      <c r="AC31" s="262"/>
      <c r="AD31" s="262"/>
      <c r="AE31" s="262"/>
      <c r="AF31" s="253"/>
      <c r="AG31" s="255"/>
      <c r="AH31" s="40"/>
      <c r="AI31" s="40"/>
      <c r="AJ31" s="40"/>
      <c r="AK31" s="40"/>
      <c r="AL31" s="256"/>
      <c r="AM31" s="39"/>
      <c r="AN31" s="40"/>
      <c r="AO31" s="40"/>
      <c r="AP31" s="40"/>
      <c r="AQ31" s="40"/>
      <c r="AR31" s="43"/>
      <c r="AS31" s="39"/>
      <c r="AT31" s="40"/>
      <c r="AU31" s="40"/>
      <c r="AV31" s="40"/>
      <c r="AW31" s="40"/>
      <c r="AX31" s="43"/>
      <c r="AY31" s="39"/>
      <c r="AZ31" s="40"/>
      <c r="BA31" s="40"/>
      <c r="BB31" s="40"/>
      <c r="BC31" s="40"/>
      <c r="BD31" s="43"/>
      <c r="BE31" s="104"/>
      <c r="BF31" s="22"/>
      <c r="BG31" s="22"/>
      <c r="BH31" s="22"/>
      <c r="BI31" s="22"/>
      <c r="BJ31" s="105"/>
      <c r="BK31" s="116"/>
      <c r="BL31" s="117"/>
      <c r="BM31" s="112"/>
      <c r="BN31" s="150"/>
      <c r="BO31" s="151"/>
      <c r="BP31" s="152"/>
      <c r="BQ31" s="150"/>
      <c r="BR31" s="151"/>
      <c r="BS31" s="152"/>
      <c r="BT31" s="150"/>
      <c r="BU31" s="151"/>
      <c r="BV31" s="152"/>
      <c r="BW31" s="150"/>
      <c r="BX31" s="151"/>
      <c r="BY31" s="152"/>
      <c r="BZ31" s="150"/>
      <c r="CA31" s="151"/>
      <c r="CB31" s="152"/>
      <c r="CC31" s="150"/>
      <c r="CD31" s="151"/>
      <c r="CE31" s="152"/>
      <c r="CF31" s="150"/>
      <c r="CG31" s="151"/>
      <c r="CH31" s="152"/>
      <c r="CI31" s="150"/>
      <c r="CJ31" s="151"/>
      <c r="CK31" s="152"/>
      <c r="CL31" s="150"/>
      <c r="CM31" s="151"/>
      <c r="CN31" s="152"/>
      <c r="CO31" s="150"/>
      <c r="CP31" s="151"/>
      <c r="CQ31" s="152"/>
      <c r="CR31" s="90" t="str">
        <f t="shared" si="0"/>
        <v>5B.1</v>
      </c>
      <c r="CS31" s="71" t="b">
        <f t="shared" si="2"/>
        <v>0</v>
      </c>
    </row>
    <row r="32" spans="1:97" ht="20.100000000000001" customHeight="1">
      <c r="A32" s="71" t="b">
        <f t="shared" si="1"/>
        <v>0</v>
      </c>
      <c r="B32" s="9" t="s">
        <v>108</v>
      </c>
      <c r="C32" s="14"/>
      <c r="D32" s="1"/>
      <c r="E32" s="1"/>
      <c r="F32" s="1"/>
      <c r="G32" s="1"/>
      <c r="H32" s="15"/>
      <c r="I32" s="14"/>
      <c r="J32" s="1"/>
      <c r="K32" s="1"/>
      <c r="L32" s="1"/>
      <c r="M32" s="1"/>
      <c r="N32" s="15"/>
      <c r="O32" s="250"/>
      <c r="P32" s="194"/>
      <c r="Q32" s="194"/>
      <c r="R32" s="194"/>
      <c r="S32" s="194"/>
      <c r="T32" s="250"/>
      <c r="U32" s="39"/>
      <c r="V32" s="40"/>
      <c r="W32" s="40"/>
      <c r="X32" s="40"/>
      <c r="Y32" s="40"/>
      <c r="Z32" s="43"/>
      <c r="AA32" s="253"/>
      <c r="AB32" s="262"/>
      <c r="AC32" s="262"/>
      <c r="AD32" s="262"/>
      <c r="AE32" s="262"/>
      <c r="AF32" s="253"/>
      <c r="AG32" s="255"/>
      <c r="AH32" s="40"/>
      <c r="AI32" s="40"/>
      <c r="AJ32" s="40"/>
      <c r="AK32" s="40"/>
      <c r="AL32" s="256"/>
      <c r="AM32" s="39"/>
      <c r="AN32" s="40"/>
      <c r="AO32" s="40"/>
      <c r="AP32" s="40"/>
      <c r="AQ32" s="40"/>
      <c r="AR32" s="43"/>
      <c r="AS32" s="39"/>
      <c r="AT32" s="40"/>
      <c r="AU32" s="40"/>
      <c r="AV32" s="40"/>
      <c r="AW32" s="40"/>
      <c r="AX32" s="43"/>
      <c r="AY32" s="39"/>
      <c r="AZ32" s="40"/>
      <c r="BA32" s="40"/>
      <c r="BB32" s="40"/>
      <c r="BC32" s="40"/>
      <c r="BD32" s="43"/>
      <c r="BE32" s="104"/>
      <c r="BF32" s="22"/>
      <c r="BG32" s="22"/>
      <c r="BH32" s="22"/>
      <c r="BI32" s="22"/>
      <c r="BJ32" s="105"/>
      <c r="BK32" s="116"/>
      <c r="BL32" s="117"/>
      <c r="BM32" s="112"/>
      <c r="BN32" s="243"/>
      <c r="BO32" s="244"/>
      <c r="BP32" s="152"/>
      <c r="BQ32" s="150"/>
      <c r="BR32" s="151"/>
      <c r="BS32" s="152"/>
      <c r="BT32" s="150"/>
      <c r="BU32" s="151"/>
      <c r="BV32" s="152"/>
      <c r="BW32" s="150"/>
      <c r="BX32" s="151"/>
      <c r="BY32" s="152"/>
      <c r="BZ32" s="150"/>
      <c r="CA32" s="151"/>
      <c r="CB32" s="152"/>
      <c r="CC32" s="150"/>
      <c r="CD32" s="151"/>
      <c r="CE32" s="152"/>
      <c r="CF32" s="150"/>
      <c r="CG32" s="151"/>
      <c r="CH32" s="152"/>
      <c r="CI32" s="150"/>
      <c r="CJ32" s="151"/>
      <c r="CK32" s="152"/>
      <c r="CL32" s="150"/>
      <c r="CM32" s="151"/>
      <c r="CN32" s="152"/>
      <c r="CO32" s="150"/>
      <c r="CP32" s="151"/>
      <c r="CQ32" s="152"/>
      <c r="CR32" s="90" t="str">
        <f t="shared" si="0"/>
        <v>5B.1</v>
      </c>
      <c r="CS32" s="71" t="b">
        <f t="shared" si="2"/>
        <v>0</v>
      </c>
    </row>
    <row r="33" spans="1:97" ht="20.100000000000001" customHeight="1">
      <c r="A33" s="71" t="b">
        <f t="shared" si="1"/>
        <v>0</v>
      </c>
      <c r="B33" s="9" t="s">
        <v>109</v>
      </c>
      <c r="C33" s="14"/>
      <c r="D33" s="1"/>
      <c r="E33" s="1"/>
      <c r="F33" s="1"/>
      <c r="G33" s="1"/>
      <c r="H33" s="15"/>
      <c r="I33" s="14"/>
      <c r="J33" s="1"/>
      <c r="K33" s="1"/>
      <c r="L33" s="1"/>
      <c r="M33" s="1"/>
      <c r="N33" s="15"/>
      <c r="O33" s="250"/>
      <c r="P33" s="194"/>
      <c r="Q33" s="194"/>
      <c r="R33" s="194"/>
      <c r="S33" s="194"/>
      <c r="T33" s="250"/>
      <c r="U33" s="39"/>
      <c r="V33" s="40"/>
      <c r="W33" s="40"/>
      <c r="X33" s="40"/>
      <c r="Y33" s="40"/>
      <c r="Z33" s="43"/>
      <c r="AA33" s="253"/>
      <c r="AB33" s="262"/>
      <c r="AC33" s="262"/>
      <c r="AD33" s="262"/>
      <c r="AE33" s="262"/>
      <c r="AF33" s="253"/>
      <c r="AG33" s="255"/>
      <c r="AH33" s="40"/>
      <c r="AI33" s="40"/>
      <c r="AJ33" s="40"/>
      <c r="AK33" s="40"/>
      <c r="AL33" s="256"/>
      <c r="AM33" s="39"/>
      <c r="AN33" s="40"/>
      <c r="AO33" s="40"/>
      <c r="AP33" s="40"/>
      <c r="AQ33" s="40"/>
      <c r="AR33" s="43"/>
      <c r="AS33" s="39"/>
      <c r="AT33" s="40"/>
      <c r="AU33" s="40"/>
      <c r="AV33" s="40"/>
      <c r="AW33" s="40"/>
      <c r="AX33" s="43"/>
      <c r="AY33" s="39"/>
      <c r="AZ33" s="40"/>
      <c r="BA33" s="40"/>
      <c r="BB33" s="40"/>
      <c r="BC33" s="40"/>
      <c r="BD33" s="43"/>
      <c r="BE33" s="104"/>
      <c r="BF33" s="22"/>
      <c r="BG33" s="22"/>
      <c r="BH33" s="22"/>
      <c r="BI33" s="22"/>
      <c r="BJ33" s="105"/>
      <c r="BK33" s="116"/>
      <c r="BL33" s="117"/>
      <c r="BM33" s="112"/>
      <c r="BN33" s="150"/>
      <c r="BO33" s="151"/>
      <c r="BP33" s="152"/>
      <c r="BQ33" s="150"/>
      <c r="BR33" s="151"/>
      <c r="BS33" s="152"/>
      <c r="BT33" s="150"/>
      <c r="BU33" s="151"/>
      <c r="BV33" s="152"/>
      <c r="BW33" s="150"/>
      <c r="BX33" s="151"/>
      <c r="BY33" s="152"/>
      <c r="BZ33" s="150"/>
      <c r="CA33" s="151"/>
      <c r="CB33" s="152"/>
      <c r="CC33" s="150"/>
      <c r="CD33" s="151"/>
      <c r="CE33" s="152"/>
      <c r="CF33" s="150"/>
      <c r="CG33" s="151"/>
      <c r="CH33" s="152"/>
      <c r="CI33" s="150"/>
      <c r="CJ33" s="151"/>
      <c r="CK33" s="152"/>
      <c r="CL33" s="150"/>
      <c r="CM33" s="151"/>
      <c r="CN33" s="152"/>
      <c r="CO33" s="150"/>
      <c r="CP33" s="151"/>
      <c r="CQ33" s="152"/>
      <c r="CR33" s="90" t="str">
        <f t="shared" si="0"/>
        <v>5B.2</v>
      </c>
      <c r="CS33" s="71" t="b">
        <f t="shared" si="2"/>
        <v>0</v>
      </c>
    </row>
    <row r="34" spans="1:97" ht="20.100000000000001" customHeight="1">
      <c r="A34" s="71" t="b">
        <f t="shared" si="1"/>
        <v>0</v>
      </c>
      <c r="B34" s="9" t="s">
        <v>110</v>
      </c>
      <c r="C34" s="14"/>
      <c r="D34" s="1"/>
      <c r="E34" s="1"/>
      <c r="F34" s="1"/>
      <c r="G34" s="1"/>
      <c r="H34" s="15"/>
      <c r="I34" s="14"/>
      <c r="J34" s="1"/>
      <c r="K34" s="1"/>
      <c r="L34" s="1"/>
      <c r="M34" s="1"/>
      <c r="N34" s="15"/>
      <c r="O34" s="250"/>
      <c r="P34" s="194"/>
      <c r="Q34" s="194"/>
      <c r="R34" s="194"/>
      <c r="S34" s="194"/>
      <c r="T34" s="250"/>
      <c r="U34" s="39"/>
      <c r="V34" s="40"/>
      <c r="W34" s="40"/>
      <c r="X34" s="40"/>
      <c r="Y34" s="40"/>
      <c r="Z34" s="43"/>
      <c r="AA34" s="253"/>
      <c r="AB34" s="262"/>
      <c r="AC34" s="262"/>
      <c r="AD34" s="262"/>
      <c r="AE34" s="262"/>
      <c r="AF34" s="253"/>
      <c r="AG34" s="255"/>
      <c r="AH34" s="40"/>
      <c r="AI34" s="40"/>
      <c r="AJ34" s="40"/>
      <c r="AK34" s="40"/>
      <c r="AL34" s="256"/>
      <c r="AM34" s="39"/>
      <c r="AN34" s="40"/>
      <c r="AO34" s="40"/>
      <c r="AP34" s="40"/>
      <c r="AQ34" s="40"/>
      <c r="AR34" s="43"/>
      <c r="AS34" s="39"/>
      <c r="AT34" s="40"/>
      <c r="AU34" s="40"/>
      <c r="AV34" s="40"/>
      <c r="AW34" s="40"/>
      <c r="AX34" s="43"/>
      <c r="AY34" s="39"/>
      <c r="AZ34" s="40"/>
      <c r="BA34" s="40"/>
      <c r="BB34" s="40"/>
      <c r="BC34" s="40"/>
      <c r="BD34" s="43"/>
      <c r="BE34" s="104"/>
      <c r="BF34" s="22"/>
      <c r="BG34" s="22"/>
      <c r="BH34" s="22"/>
      <c r="BI34" s="22"/>
      <c r="BJ34" s="105"/>
      <c r="BK34" s="116"/>
      <c r="BL34" s="117"/>
      <c r="BM34" s="112"/>
      <c r="BN34" s="150"/>
      <c r="BO34" s="151"/>
      <c r="BP34" s="152"/>
      <c r="BQ34" s="150"/>
      <c r="BR34" s="151"/>
      <c r="BS34" s="152"/>
      <c r="BT34" s="150"/>
      <c r="BU34" s="151"/>
      <c r="BV34" s="152"/>
      <c r="BW34" s="150"/>
      <c r="BX34" s="151"/>
      <c r="BY34" s="152"/>
      <c r="BZ34" s="150"/>
      <c r="CA34" s="151"/>
      <c r="CB34" s="152"/>
      <c r="CC34" s="150"/>
      <c r="CD34" s="151"/>
      <c r="CE34" s="152"/>
      <c r="CF34" s="150"/>
      <c r="CG34" s="151"/>
      <c r="CH34" s="152"/>
      <c r="CI34" s="150"/>
      <c r="CJ34" s="151"/>
      <c r="CK34" s="152"/>
      <c r="CL34" s="150"/>
      <c r="CM34" s="151"/>
      <c r="CN34" s="152"/>
      <c r="CO34" s="150"/>
      <c r="CP34" s="151"/>
      <c r="CQ34" s="152"/>
      <c r="CR34" s="90" t="str">
        <f t="shared" si="0"/>
        <v>5B.3</v>
      </c>
      <c r="CS34" s="71" t="b">
        <f t="shared" si="2"/>
        <v>0</v>
      </c>
    </row>
    <row r="35" spans="1:97" ht="19.5" customHeight="1">
      <c r="A35" s="71" t="b">
        <f t="shared" si="1"/>
        <v>0</v>
      </c>
      <c r="B35" s="9" t="s">
        <v>111</v>
      </c>
      <c r="C35" s="14"/>
      <c r="D35" s="1"/>
      <c r="E35" s="1"/>
      <c r="F35" s="1"/>
      <c r="G35" s="1"/>
      <c r="H35" s="15"/>
      <c r="I35" s="14"/>
      <c r="J35" s="1"/>
      <c r="K35" s="1"/>
      <c r="L35" s="1"/>
      <c r="M35" s="1"/>
      <c r="N35" s="15"/>
      <c r="O35" s="250"/>
      <c r="P35" s="194"/>
      <c r="Q35" s="194"/>
      <c r="R35" s="194"/>
      <c r="S35" s="194"/>
      <c r="T35" s="250"/>
      <c r="U35" s="39"/>
      <c r="V35" s="40"/>
      <c r="W35" s="40"/>
      <c r="X35" s="40"/>
      <c r="Y35" s="40"/>
      <c r="Z35" s="43"/>
      <c r="AA35" s="253"/>
      <c r="AB35" s="262"/>
      <c r="AC35" s="262"/>
      <c r="AD35" s="262"/>
      <c r="AE35" s="262"/>
      <c r="AF35" s="253"/>
      <c r="AG35" s="255"/>
      <c r="AH35" s="40"/>
      <c r="AI35" s="40"/>
      <c r="AJ35" s="40"/>
      <c r="AK35" s="40"/>
      <c r="AL35" s="256"/>
      <c r="AM35" s="39"/>
      <c r="AN35" s="40"/>
      <c r="AO35" s="40"/>
      <c r="AP35" s="40"/>
      <c r="AQ35" s="40"/>
      <c r="AR35" s="43"/>
      <c r="AS35" s="39"/>
      <c r="AT35" s="40"/>
      <c r="AU35" s="40"/>
      <c r="AV35" s="40"/>
      <c r="AW35" s="40"/>
      <c r="AX35" s="43"/>
      <c r="AY35" s="39"/>
      <c r="AZ35" s="40"/>
      <c r="BA35" s="40"/>
      <c r="BB35" s="40"/>
      <c r="BC35" s="40"/>
      <c r="BD35" s="43"/>
      <c r="BE35" s="104"/>
      <c r="BF35" s="22"/>
      <c r="BG35" s="22"/>
      <c r="BH35" s="22"/>
      <c r="BI35" s="22"/>
      <c r="BJ35" s="105"/>
      <c r="BK35" s="116"/>
      <c r="BL35" s="117"/>
      <c r="BM35" s="112"/>
      <c r="BN35" s="150"/>
      <c r="BO35" s="151"/>
      <c r="BP35" s="152"/>
      <c r="BQ35" s="150"/>
      <c r="BR35" s="151"/>
      <c r="BS35" s="152"/>
      <c r="BT35" s="150"/>
      <c r="BU35" s="151"/>
      <c r="BV35" s="152"/>
      <c r="BW35" s="150"/>
      <c r="BX35" s="151"/>
      <c r="BY35" s="152"/>
      <c r="BZ35" s="150"/>
      <c r="CA35" s="151"/>
      <c r="CB35" s="152"/>
      <c r="CC35" s="150"/>
      <c r="CD35" s="151"/>
      <c r="CE35" s="152"/>
      <c r="CF35" s="150"/>
      <c r="CG35" s="151"/>
      <c r="CH35" s="152"/>
      <c r="CI35" s="150"/>
      <c r="CJ35" s="151"/>
      <c r="CK35" s="152"/>
      <c r="CL35" s="150"/>
      <c r="CM35" s="151"/>
      <c r="CN35" s="152"/>
      <c r="CO35" s="150"/>
      <c r="CP35" s="151"/>
      <c r="CQ35" s="152"/>
      <c r="CR35" s="90" t="str">
        <f t="shared" si="0"/>
        <v>5B.3</v>
      </c>
      <c r="CS35" s="71" t="b">
        <f t="shared" si="2"/>
        <v>0</v>
      </c>
    </row>
    <row r="36" spans="1:97" ht="19.5" customHeight="1">
      <c r="A36" s="71" t="b">
        <f t="shared" si="1"/>
        <v>0</v>
      </c>
      <c r="B36" s="9" t="s">
        <v>112</v>
      </c>
      <c r="C36" s="14"/>
      <c r="D36" s="1"/>
      <c r="E36" s="1"/>
      <c r="F36" s="1"/>
      <c r="G36" s="1"/>
      <c r="H36" s="15"/>
      <c r="I36" s="14"/>
      <c r="J36" s="1"/>
      <c r="K36" s="1"/>
      <c r="L36" s="1"/>
      <c r="M36" s="1"/>
      <c r="N36" s="15"/>
      <c r="O36" s="250"/>
      <c r="P36" s="194"/>
      <c r="Q36" s="194"/>
      <c r="R36" s="194"/>
      <c r="S36" s="194"/>
      <c r="T36" s="250"/>
      <c r="U36" s="39"/>
      <c r="V36" s="40"/>
      <c r="W36" s="40"/>
      <c r="X36" s="40"/>
      <c r="Y36" s="40"/>
      <c r="Z36" s="43"/>
      <c r="AA36" s="253"/>
      <c r="AB36" s="262"/>
      <c r="AC36" s="262"/>
      <c r="AD36" s="262"/>
      <c r="AE36" s="262"/>
      <c r="AF36" s="253"/>
      <c r="AG36" s="255"/>
      <c r="AH36" s="40"/>
      <c r="AI36" s="40"/>
      <c r="AJ36" s="40"/>
      <c r="AK36" s="40"/>
      <c r="AL36" s="256"/>
      <c r="AM36" s="39"/>
      <c r="AN36" s="40"/>
      <c r="AO36" s="40"/>
      <c r="AP36" s="40"/>
      <c r="AQ36" s="40"/>
      <c r="AR36" s="43"/>
      <c r="AS36" s="39"/>
      <c r="AT36" s="40"/>
      <c r="AU36" s="40"/>
      <c r="AV36" s="40"/>
      <c r="AW36" s="40"/>
      <c r="AX36" s="43"/>
      <c r="AY36" s="39"/>
      <c r="AZ36" s="40"/>
      <c r="BA36" s="40"/>
      <c r="BB36" s="40"/>
      <c r="BC36" s="40"/>
      <c r="BD36" s="43"/>
      <c r="BE36" s="104"/>
      <c r="BF36" s="22"/>
      <c r="BG36" s="22"/>
      <c r="BH36" s="22"/>
      <c r="BI36" s="22"/>
      <c r="BJ36" s="105"/>
      <c r="BK36" s="116"/>
      <c r="BL36" s="117"/>
      <c r="BM36" s="112"/>
      <c r="BN36" s="150"/>
      <c r="BO36" s="151"/>
      <c r="BP36" s="152"/>
      <c r="BQ36" s="150"/>
      <c r="BR36" s="151"/>
      <c r="BS36" s="152"/>
      <c r="BT36" s="150"/>
      <c r="BU36" s="151"/>
      <c r="BV36" s="152"/>
      <c r="BW36" s="150"/>
      <c r="BX36" s="151"/>
      <c r="BY36" s="152"/>
      <c r="BZ36" s="150"/>
      <c r="CA36" s="151"/>
      <c r="CB36" s="152"/>
      <c r="CC36" s="150"/>
      <c r="CD36" s="151"/>
      <c r="CE36" s="152"/>
      <c r="CF36" s="150"/>
      <c r="CG36" s="151"/>
      <c r="CH36" s="152"/>
      <c r="CI36" s="150"/>
      <c r="CJ36" s="151"/>
      <c r="CK36" s="152"/>
      <c r="CL36" s="150"/>
      <c r="CM36" s="151"/>
      <c r="CN36" s="152"/>
      <c r="CO36" s="150"/>
      <c r="CP36" s="151"/>
      <c r="CQ36" s="152"/>
      <c r="CR36" s="90" t="str">
        <f t="shared" si="0"/>
        <v>5B.3</v>
      </c>
      <c r="CS36" s="71" t="b">
        <f t="shared" si="2"/>
        <v>0</v>
      </c>
    </row>
    <row r="37" spans="1:97" ht="19.5" customHeight="1">
      <c r="A37" s="71" t="b">
        <f t="shared" si="1"/>
        <v>0</v>
      </c>
      <c r="B37" s="9" t="s">
        <v>113</v>
      </c>
      <c r="C37" s="39"/>
      <c r="D37" s="40"/>
      <c r="E37" s="40"/>
      <c r="F37" s="40"/>
      <c r="G37" s="40"/>
      <c r="H37" s="43"/>
      <c r="I37" s="39"/>
      <c r="J37" s="40"/>
      <c r="K37" s="40"/>
      <c r="L37" s="40"/>
      <c r="M37" s="40"/>
      <c r="N37" s="43"/>
      <c r="O37" s="253"/>
      <c r="P37" s="262"/>
      <c r="Q37" s="262"/>
      <c r="R37" s="262"/>
      <c r="S37" s="262"/>
      <c r="T37" s="253"/>
      <c r="U37" s="39"/>
      <c r="V37" s="40"/>
      <c r="W37" s="40"/>
      <c r="X37" s="40"/>
      <c r="Y37" s="40"/>
      <c r="Z37" s="43"/>
      <c r="AA37" s="253"/>
      <c r="AB37" s="262"/>
      <c r="AC37" s="262"/>
      <c r="AD37" s="262"/>
      <c r="AE37" s="262"/>
      <c r="AF37" s="253"/>
      <c r="AG37" s="259"/>
      <c r="AH37" s="260"/>
      <c r="AI37" s="260"/>
      <c r="AJ37" s="260"/>
      <c r="AK37" s="260"/>
      <c r="AL37" s="261"/>
      <c r="AM37" s="89"/>
      <c r="AN37" s="73"/>
      <c r="AO37" s="73"/>
      <c r="AP37" s="73"/>
      <c r="AQ37" s="73"/>
      <c r="AR37" s="164"/>
      <c r="AS37" s="89"/>
      <c r="AT37" s="73"/>
      <c r="AU37" s="73"/>
      <c r="AV37" s="73"/>
      <c r="AW37" s="73"/>
      <c r="AX37" s="164"/>
      <c r="AY37" s="89"/>
      <c r="AZ37" s="73"/>
      <c r="BA37" s="73"/>
      <c r="BB37" s="73"/>
      <c r="BC37" s="73"/>
      <c r="BD37" s="164"/>
      <c r="BE37" s="104"/>
      <c r="BF37" s="22"/>
      <c r="BG37" s="22"/>
      <c r="BH37" s="22"/>
      <c r="BI37" s="22"/>
      <c r="BJ37" s="105"/>
      <c r="BK37" s="116"/>
      <c r="BL37" s="117"/>
      <c r="BM37" s="112"/>
      <c r="BN37" s="150"/>
      <c r="BO37" s="151"/>
      <c r="BP37" s="152"/>
      <c r="BQ37" s="150"/>
      <c r="BR37" s="151"/>
      <c r="BS37" s="152"/>
      <c r="BT37" s="150"/>
      <c r="BU37" s="151"/>
      <c r="BV37" s="152"/>
      <c r="BW37" s="150"/>
      <c r="BX37" s="151"/>
      <c r="BY37" s="152"/>
      <c r="BZ37" s="150"/>
      <c r="CA37" s="151"/>
      <c r="CB37" s="152"/>
      <c r="CC37" s="150"/>
      <c r="CD37" s="151"/>
      <c r="CE37" s="152"/>
      <c r="CF37" s="150"/>
      <c r="CG37" s="151"/>
      <c r="CH37" s="152"/>
      <c r="CI37" s="150"/>
      <c r="CJ37" s="151"/>
      <c r="CK37" s="152"/>
      <c r="CL37" s="150"/>
      <c r="CM37" s="151"/>
      <c r="CN37" s="152"/>
      <c r="CO37" s="150"/>
      <c r="CP37" s="151"/>
      <c r="CQ37" s="152"/>
      <c r="CR37" s="90" t="str">
        <f t="shared" si="0"/>
        <v>10A.1</v>
      </c>
      <c r="CS37" s="71" t="b">
        <f t="shared" si="2"/>
        <v>0</v>
      </c>
    </row>
    <row r="38" spans="1:97" ht="19.5" customHeight="1">
      <c r="A38" s="344">
        <f>COUNTIF(A7:A37,TRUE)/COUNTA(B7:B37)</f>
        <v>0.19354838709677419</v>
      </c>
      <c r="B38" s="181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  <c r="AA38" s="182"/>
      <c r="AB38" s="182"/>
      <c r="AC38" s="182"/>
      <c r="AD38" s="182"/>
      <c r="AE38" s="182"/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182"/>
      <c r="AR38" s="182"/>
      <c r="AS38" s="182"/>
      <c r="AT38" s="182"/>
      <c r="AU38" s="182"/>
      <c r="AV38" s="182"/>
      <c r="AW38" s="182"/>
      <c r="AX38" s="182"/>
      <c r="AY38" s="183"/>
      <c r="AZ38" s="183"/>
      <c r="BA38" s="183"/>
      <c r="BB38" s="184"/>
      <c r="BC38" s="184"/>
      <c r="BD38" s="184"/>
      <c r="BE38" s="183"/>
      <c r="BF38" s="184"/>
      <c r="BG38" s="184"/>
      <c r="BH38" s="184"/>
      <c r="BI38" s="184"/>
      <c r="BJ38" s="184"/>
      <c r="BK38" s="185"/>
      <c r="BL38" s="184"/>
      <c r="BM38" s="184"/>
      <c r="BN38" s="184"/>
      <c r="BO38" s="184"/>
      <c r="BP38" s="184"/>
      <c r="BQ38" s="184"/>
      <c r="BR38" s="184"/>
      <c r="BS38" s="184"/>
      <c r="BT38" s="184"/>
      <c r="BU38" s="184"/>
      <c r="BV38" s="184"/>
      <c r="BW38" s="186"/>
      <c r="CS38" s="344">
        <f>COUNTIF(CS7:CS37,TRUE)/COUNTA(B7:B37)</f>
        <v>0</v>
      </c>
    </row>
    <row r="39" spans="1:97" ht="19.5" customHeight="1"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</row>
    <row r="40" spans="1:97" ht="19.5" customHeight="1"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</row>
    <row r="41" spans="1:97" ht="19.5" customHeight="1"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</row>
    <row r="42" spans="1:97" ht="19.5" customHeight="1"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</row>
    <row r="43" spans="1:97" ht="19.5" customHeight="1"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</row>
    <row r="44" spans="1:97" ht="19.5" customHeight="1"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</row>
    <row r="45" spans="1:97" ht="19.5" customHeight="1"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</row>
    <row r="46" spans="1:97" ht="19.5" customHeight="1"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</row>
    <row r="47" spans="1:97" ht="19.5" customHeight="1"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</row>
    <row r="48" spans="1:97" ht="19.5" customHeight="1"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</row>
    <row r="49" spans="4:62" ht="19.5" customHeight="1"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</row>
    <row r="50" spans="4:62" ht="19.5" customHeight="1"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</row>
    <row r="51" spans="4:62" ht="19.5" customHeight="1"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</row>
    <row r="52" spans="4:62" ht="19.5" customHeight="1"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</row>
    <row r="53" spans="4:62" ht="19.5" customHeight="1">
      <c r="D53" t="e">
        <v>#VALUE!</v>
      </c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</row>
    <row r="54" spans="4:62" ht="19.5" customHeight="1">
      <c r="AY54" s="90"/>
      <c r="AZ54" s="90"/>
      <c r="BA54" s="90"/>
      <c r="BB54" s="90"/>
      <c r="BC54" s="90"/>
      <c r="BD54" s="90"/>
      <c r="BE54" s="90"/>
      <c r="BF54" s="90"/>
      <c r="BG54" s="90"/>
      <c r="BH54" s="90"/>
      <c r="BI54" s="90"/>
      <c r="BJ54" s="90"/>
    </row>
    <row r="55" spans="4:62" ht="19.5" customHeight="1"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</row>
    <row r="56" spans="4:62" ht="19.5" customHeight="1"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</row>
    <row r="57" spans="4:62" ht="19.5" customHeight="1"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</row>
    <row r="58" spans="4:62" ht="19.5" customHeight="1"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</row>
    <row r="59" spans="4:62" ht="19.5" customHeight="1"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</row>
    <row r="60" spans="4:62" ht="19.5" customHeight="1"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</row>
    <row r="61" spans="4:62" ht="19.5" customHeight="1"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</row>
    <row r="62" spans="4:62" ht="19.5" customHeight="1"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</row>
    <row r="63" spans="4:62" ht="19.5" customHeight="1"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</row>
    <row r="64" spans="4:62" ht="19.5" customHeight="1"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</row>
    <row r="65" spans="51:62" ht="19.5" customHeight="1"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</row>
    <row r="66" spans="51:62" ht="19.5" customHeight="1"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</row>
    <row r="67" spans="51:62" ht="19.5" customHeight="1"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</row>
    <row r="68" spans="51:62" ht="19.5" customHeight="1"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</row>
    <row r="69" spans="51:62" ht="19.5" customHeight="1"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</row>
    <row r="70" spans="51:62" ht="19.5" customHeight="1"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</row>
    <row r="71" spans="51:62" ht="19.5" customHeight="1"/>
    <row r="72" spans="51:62" ht="19.5" customHeight="1"/>
    <row r="73" spans="51:62" ht="19.5" customHeight="1"/>
    <row r="74" spans="51:62" ht="19.5" customHeight="1"/>
    <row r="75" spans="51:62" ht="19.5" customHeight="1"/>
    <row r="76" spans="51:62" ht="19.5" customHeight="1"/>
    <row r="77" spans="51:62" ht="19.5" customHeight="1"/>
    <row r="78" spans="51:62" ht="19.5" customHeight="1"/>
    <row r="79" spans="51:62" ht="19.5" customHeight="1"/>
    <row r="80" spans="51:62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</sheetData>
  <sheetProtection selectLockedCells="1"/>
  <mergeCells count="21">
    <mergeCell ref="C5:H5"/>
    <mergeCell ref="I5:N5"/>
    <mergeCell ref="O5:T5"/>
    <mergeCell ref="AA5:AF5"/>
    <mergeCell ref="AG5:AL5"/>
    <mergeCell ref="U5:Z5"/>
    <mergeCell ref="CI5:CK5"/>
    <mergeCell ref="CL5:CN5"/>
    <mergeCell ref="CO5:CQ5"/>
    <mergeCell ref="AM5:AR5"/>
    <mergeCell ref="BZ5:CB5"/>
    <mergeCell ref="CC5:CE5"/>
    <mergeCell ref="CF5:CH5"/>
    <mergeCell ref="AY5:BD5"/>
    <mergeCell ref="BK5:BM5"/>
    <mergeCell ref="BN5:BP5"/>
    <mergeCell ref="BQ5:BS5"/>
    <mergeCell ref="BT5:BV5"/>
    <mergeCell ref="BW5:BY5"/>
    <mergeCell ref="BE5:BJ5"/>
    <mergeCell ref="AS5:AX5"/>
  </mergeCells>
  <conditionalFormatting sqref="C14:T37 U22:AL30 U37:BD37">
    <cfRule type="expression" dxfId="42" priority="20">
      <formula>C14=$C$4</formula>
    </cfRule>
  </conditionalFormatting>
  <conditionalFormatting sqref="C14:T37 U22:AL37 AM31:BD37">
    <cfRule type="expression" dxfId="41" priority="21">
      <formula>C14=$C$2</formula>
    </cfRule>
    <cfRule type="expression" dxfId="40" priority="22">
      <formula>C14=$C$1</formula>
    </cfRule>
  </conditionalFormatting>
  <conditionalFormatting sqref="C38:BA38 U19:AL21 AM19:BD36 BE7:BJ16 BE19:BJ37 U31:AL36 AM14:BD16">
    <cfRule type="expression" dxfId="39" priority="52">
      <formula>C7=$C$4</formula>
    </cfRule>
  </conditionalFormatting>
  <conditionalFormatting sqref="C38:BA38 BK7:BM37">
    <cfRule type="expression" dxfId="38" priority="60">
      <formula>C7=$C$2</formula>
    </cfRule>
  </conditionalFormatting>
  <conditionalFormatting sqref="C38:BA38">
    <cfRule type="expression" dxfId="37" priority="49">
      <formula>C38=$P$1</formula>
    </cfRule>
  </conditionalFormatting>
  <conditionalFormatting sqref="C7:BD13">
    <cfRule type="expression" dxfId="36" priority="36">
      <formula>C7=$C$4</formula>
    </cfRule>
    <cfRule type="expression" dxfId="35" priority="37">
      <formula>C7=$C$2</formula>
    </cfRule>
    <cfRule type="expression" dxfId="34" priority="38">
      <formula>C7=$C$1</formula>
    </cfRule>
  </conditionalFormatting>
  <conditionalFormatting sqref="U14:Z21">
    <cfRule type="expression" dxfId="33" priority="17">
      <formula>U14=$C$1</formula>
    </cfRule>
  </conditionalFormatting>
  <conditionalFormatting sqref="U14:AL18">
    <cfRule type="expression" dxfId="32" priority="15">
      <formula>U14=$C$4</formula>
    </cfRule>
  </conditionalFormatting>
  <conditionalFormatting sqref="U14:AL21">
    <cfRule type="expression" dxfId="31" priority="16">
      <formula>U14=$C$2</formula>
    </cfRule>
  </conditionalFormatting>
  <conditionalFormatting sqref="U31:BJ36 C7:BM13 BK31:BM37">
    <cfRule type="expression" dxfId="30" priority="28">
      <formula>C7=$P$1</formula>
    </cfRule>
  </conditionalFormatting>
  <conditionalFormatting sqref="U14:BM18">
    <cfRule type="expression" dxfId="29" priority="14">
      <formula>U14=$P$1</formula>
    </cfRule>
  </conditionalFormatting>
  <conditionalFormatting sqref="U19:BM30 U37:BJ37 C14:T37">
    <cfRule type="expression" dxfId="28" priority="19">
      <formula>C14=$P$1</formula>
    </cfRule>
  </conditionalFormatting>
  <conditionalFormatting sqref="AM14:AX16 AM22:AX30">
    <cfRule type="expression" dxfId="27" priority="10">
      <formula>AM14=$C$2</formula>
    </cfRule>
    <cfRule type="expression" dxfId="26" priority="11">
      <formula>AM14=$C$1</formula>
    </cfRule>
  </conditionalFormatting>
  <conditionalFormatting sqref="AM17:BD21 AA14:AL21">
    <cfRule type="expression" dxfId="25" priority="34">
      <formula>AA14=$C$1</formula>
    </cfRule>
  </conditionalFormatting>
  <conditionalFormatting sqref="AM17:BD21">
    <cfRule type="expression" dxfId="24" priority="33">
      <formula>AM17=$C$2</formula>
    </cfRule>
  </conditionalFormatting>
  <conditionalFormatting sqref="AY14:BD16 AY22:BD30">
    <cfRule type="expression" dxfId="23" priority="56">
      <formula>AY14=$C$2</formula>
    </cfRule>
    <cfRule type="expression" dxfId="22" priority="57">
      <formula>AY14=$C$1</formula>
    </cfRule>
  </conditionalFormatting>
  <conditionalFormatting sqref="BE38">
    <cfRule type="expression" dxfId="21" priority="7">
      <formula>BE38=$C$4</formula>
    </cfRule>
    <cfRule type="expression" dxfId="20" priority="8">
      <formula>BE38=$C$2</formula>
    </cfRule>
    <cfRule type="expression" dxfId="19" priority="9">
      <formula>BE38=$C$1</formula>
    </cfRule>
  </conditionalFormatting>
  <conditionalFormatting sqref="BE7:BJ37">
    <cfRule type="expression" dxfId="18" priority="1">
      <formula>BE7=$P$2</formula>
    </cfRule>
    <cfRule type="expression" dxfId="17" priority="2">
      <formula>BE7=$C$2</formula>
    </cfRule>
    <cfRule type="expression" dxfId="16" priority="3">
      <formula>BE7=$C$3</formula>
    </cfRule>
    <cfRule type="expression" dxfId="15" priority="4">
      <formula>BE7=$C$1</formula>
    </cfRule>
  </conditionalFormatting>
  <conditionalFormatting sqref="BK14">
    <cfRule type="expression" dxfId="14" priority="18">
      <formula>BK14=$P$1</formula>
    </cfRule>
  </conditionalFormatting>
  <conditionalFormatting sqref="BK7:BM37 C38:BA38">
    <cfRule type="expression" dxfId="13" priority="61">
      <formula>C7=$C$1</formula>
    </cfRule>
  </conditionalFormatting>
  <conditionalFormatting sqref="BK7:BM37 AM17:BJ18">
    <cfRule type="expression" dxfId="12" priority="31">
      <formula>AM7=$C$4</formula>
    </cfRule>
  </conditionalFormatting>
  <dataValidations count="4">
    <dataValidation type="date" allowBlank="1" showInputMessage="1" showErrorMessage="1" sqref="BK7:BM34" xr:uid="{19A04E38-0D46-4230-9D2E-B8B01425EC45}">
      <formula1>45880</formula1>
      <formula2>73050</formula2>
    </dataValidation>
    <dataValidation type="list" allowBlank="1" showInputMessage="1" showErrorMessage="1" sqref="AU7:AX37 BA7:BD37 W7:AF37 AI7:AL37 E7:H37 K7:T37 AO7:AR37 BG7:BJ37" xr:uid="{6A71B08D-E929-407F-9967-5CCDE4090C4B}">
      <formula1>"A,P,O,X,F"</formula1>
    </dataValidation>
    <dataValidation type="list" allowBlank="1" showInputMessage="1" showErrorMessage="1" sqref="I7:I37" xr:uid="{07E9E171-F09D-426A-B247-B6BBC8CB917B}">
      <formula1>$C$1:$C$4</formula1>
    </dataValidation>
    <dataValidation type="list" allowBlank="1" showInputMessage="1" showErrorMessage="1" sqref="AG7:AH1048576 C7:D1048576 J7:J1048576 AS7:AT1048576 U7:V1048576 Z53 O38:P1048576 AA38:AB1048576 AM7:AN1048576 AY7:AZ37 AY71:AZ1048576 BE71:BF1048576 BE7:BF37" xr:uid="{C57BCD8A-FD92-4E7A-9F21-63587FD7F744}">
      <formula1>"A,P,O,X,R"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87C2-82A3-4D39-8846-EFB1CEEB42CE}">
  <sheetPr codeName="Feuil7">
    <tabColor rgb="FFFF9F9F"/>
  </sheetPr>
  <dimension ref="A1:DC104"/>
  <sheetViews>
    <sheetView showGridLines="0" zoomScale="55" zoomScaleNormal="55" workbookViewId="0">
      <pane xSplit="2" ySplit="6" topLeftCell="C27" activePane="bottomRight" state="frozen"/>
      <selection pane="bottomRight" activeCell="C1" sqref="C1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3" max="44" width="3.42578125" customWidth="1"/>
    <col min="45" max="62" width="3.42578125" style="90" customWidth="1"/>
    <col min="63" max="83" width="8.5703125" customWidth="1"/>
  </cols>
  <sheetData>
    <row r="1" spans="1:107" ht="14.45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R1" t="b">
        <v>0</v>
      </c>
    </row>
    <row r="2" spans="1:107" ht="14.45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107" ht="14.45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107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107" ht="37.5" customHeight="1" thickBot="1">
      <c r="B5" s="9"/>
      <c r="C5" s="373" t="s">
        <v>34</v>
      </c>
      <c r="D5" s="374"/>
      <c r="E5" s="374"/>
      <c r="F5" s="374"/>
      <c r="G5" s="374"/>
      <c r="H5" s="375"/>
      <c r="I5" s="373" t="s">
        <v>164</v>
      </c>
      <c r="J5" s="374"/>
      <c r="K5" s="374"/>
      <c r="L5" s="374"/>
      <c r="M5" s="374"/>
      <c r="N5" s="375"/>
      <c r="O5" s="373" t="s">
        <v>406</v>
      </c>
      <c r="P5" s="374"/>
      <c r="Q5" s="374"/>
      <c r="R5" s="374"/>
      <c r="S5" s="374"/>
      <c r="T5" s="375"/>
      <c r="U5" s="373" t="s">
        <v>166</v>
      </c>
      <c r="V5" s="374"/>
      <c r="W5" s="374"/>
      <c r="X5" s="374"/>
      <c r="Y5" s="374"/>
      <c r="Z5" s="375"/>
      <c r="AA5" s="373" t="s">
        <v>407</v>
      </c>
      <c r="AB5" s="374"/>
      <c r="AC5" s="374"/>
      <c r="AD5" s="374"/>
      <c r="AE5" s="374"/>
      <c r="AF5" s="375"/>
      <c r="AG5" s="373" t="s">
        <v>168</v>
      </c>
      <c r="AH5" s="374"/>
      <c r="AI5" s="374"/>
      <c r="AJ5" s="374"/>
      <c r="AK5" s="374"/>
      <c r="AL5" s="375"/>
      <c r="AM5" s="373" t="s">
        <v>170</v>
      </c>
      <c r="AN5" s="374"/>
      <c r="AO5" s="374"/>
      <c r="AP5" s="374"/>
      <c r="AQ5" s="374"/>
      <c r="AR5" s="375"/>
      <c r="AS5" s="373" t="s">
        <v>169</v>
      </c>
      <c r="AT5" s="374"/>
      <c r="AU5" s="374"/>
      <c r="AV5" s="374"/>
      <c r="AW5" s="374"/>
      <c r="AX5" s="375"/>
      <c r="AY5" s="373" t="s">
        <v>171</v>
      </c>
      <c r="AZ5" s="374"/>
      <c r="BA5" s="374"/>
      <c r="BB5" s="374"/>
      <c r="BC5" s="374"/>
      <c r="BD5" s="375"/>
      <c r="BE5" s="373" t="s">
        <v>172</v>
      </c>
      <c r="BF5" s="374"/>
      <c r="BG5" s="374"/>
      <c r="BH5" s="374"/>
      <c r="BI5" s="374"/>
      <c r="BJ5" s="375"/>
      <c r="BK5" s="379" t="s">
        <v>193</v>
      </c>
      <c r="BL5" s="380"/>
      <c r="BM5" s="380"/>
      <c r="BN5" s="373" t="str">
        <f>C5</f>
        <v>TASYA</v>
      </c>
      <c r="BO5" s="374"/>
      <c r="BP5" s="374"/>
      <c r="BQ5" s="373" t="str">
        <f>I5</f>
        <v>FAIZ</v>
      </c>
      <c r="BR5" s="374"/>
      <c r="BS5" s="375"/>
      <c r="BT5" s="373" t="str">
        <f>O5</f>
        <v>ANNISA</v>
      </c>
      <c r="BU5" s="374"/>
      <c r="BV5" s="375"/>
      <c r="BW5" s="373" t="str">
        <f>U5</f>
        <v>BIMA</v>
      </c>
      <c r="BX5" s="374"/>
      <c r="BY5" s="374"/>
      <c r="BZ5" s="373" t="str">
        <f>AA5</f>
        <v>AKHMAD</v>
      </c>
      <c r="CA5" s="374"/>
      <c r="CB5" s="375"/>
      <c r="CC5" s="373" t="str">
        <f>AG5</f>
        <v>ARIFAH</v>
      </c>
      <c r="CD5" s="374"/>
      <c r="CE5" s="375"/>
      <c r="CF5" s="373" t="str">
        <f>AM5</f>
        <v>AINUR</v>
      </c>
      <c r="CG5" s="374"/>
      <c r="CH5" s="375"/>
      <c r="CI5" s="373" t="str">
        <f>AS5</f>
        <v>DEVI</v>
      </c>
      <c r="CJ5" s="374"/>
      <c r="CK5" s="375"/>
      <c r="CL5" s="373" t="str">
        <f>AY5</f>
        <v>FAJAR</v>
      </c>
      <c r="CM5" s="374"/>
      <c r="CN5" s="375"/>
      <c r="CO5" s="373" t="str">
        <f>BE5</f>
        <v>ALIF</v>
      </c>
      <c r="CP5" s="374"/>
      <c r="CQ5" s="375"/>
    </row>
    <row r="6" spans="1:107" ht="18" thickBot="1">
      <c r="A6" s="346" t="s">
        <v>194</v>
      </c>
      <c r="B6" s="271"/>
      <c r="C6" s="130" t="s">
        <v>29</v>
      </c>
      <c r="D6" s="131" t="s">
        <v>30</v>
      </c>
      <c r="E6" s="131" t="s">
        <v>195</v>
      </c>
      <c r="F6" s="131" t="s">
        <v>196</v>
      </c>
      <c r="G6" s="131" t="s">
        <v>197</v>
      </c>
      <c r="H6" s="132" t="s">
        <v>33</v>
      </c>
      <c r="I6" s="130" t="s">
        <v>29</v>
      </c>
      <c r="J6" s="131" t="s">
        <v>30</v>
      </c>
      <c r="K6" s="131" t="s">
        <v>195</v>
      </c>
      <c r="L6" s="131" t="s">
        <v>196</v>
      </c>
      <c r="M6" s="131" t="s">
        <v>197</v>
      </c>
      <c r="N6" s="132" t="s">
        <v>33</v>
      </c>
      <c r="O6" s="130" t="s">
        <v>29</v>
      </c>
      <c r="P6" s="131" t="s">
        <v>30</v>
      </c>
      <c r="Q6" s="131" t="s">
        <v>195</v>
      </c>
      <c r="R6" s="131" t="s">
        <v>196</v>
      </c>
      <c r="S6" s="131" t="s">
        <v>197</v>
      </c>
      <c r="T6" s="132" t="s">
        <v>33</v>
      </c>
      <c r="U6" s="130" t="s">
        <v>29</v>
      </c>
      <c r="V6" s="131" t="s">
        <v>30</v>
      </c>
      <c r="W6" s="131" t="s">
        <v>195</v>
      </c>
      <c r="X6" s="131" t="s">
        <v>196</v>
      </c>
      <c r="Y6" s="131" t="s">
        <v>197</v>
      </c>
      <c r="Z6" s="132" t="s">
        <v>33</v>
      </c>
      <c r="AA6" s="130" t="s">
        <v>29</v>
      </c>
      <c r="AB6" s="131" t="s">
        <v>30</v>
      </c>
      <c r="AC6" s="131" t="s">
        <v>195</v>
      </c>
      <c r="AD6" s="131" t="s">
        <v>196</v>
      </c>
      <c r="AE6" s="131" t="s">
        <v>197</v>
      </c>
      <c r="AF6" s="276" t="s">
        <v>33</v>
      </c>
      <c r="AG6" s="130" t="s">
        <v>29</v>
      </c>
      <c r="AH6" s="131" t="s">
        <v>30</v>
      </c>
      <c r="AI6" s="131" t="s">
        <v>195</v>
      </c>
      <c r="AJ6" s="131" t="s">
        <v>196</v>
      </c>
      <c r="AK6" s="131" t="s">
        <v>197</v>
      </c>
      <c r="AL6" s="132" t="s">
        <v>33</v>
      </c>
      <c r="AM6" s="130" t="s">
        <v>29</v>
      </c>
      <c r="AN6" s="131" t="s">
        <v>30</v>
      </c>
      <c r="AO6" s="131" t="s">
        <v>195</v>
      </c>
      <c r="AP6" s="131" t="s">
        <v>196</v>
      </c>
      <c r="AQ6" s="131" t="s">
        <v>197</v>
      </c>
      <c r="AR6" s="276" t="s">
        <v>33</v>
      </c>
      <c r="AS6" s="130" t="s">
        <v>29</v>
      </c>
      <c r="AT6" s="131" t="s">
        <v>30</v>
      </c>
      <c r="AU6" s="131" t="s">
        <v>195</v>
      </c>
      <c r="AV6" s="131" t="s">
        <v>196</v>
      </c>
      <c r="AW6" s="131" t="s">
        <v>197</v>
      </c>
      <c r="AX6" s="276" t="s">
        <v>33</v>
      </c>
      <c r="AY6" s="130" t="s">
        <v>29</v>
      </c>
      <c r="AZ6" s="131" t="s">
        <v>30</v>
      </c>
      <c r="BA6" s="131" t="s">
        <v>195</v>
      </c>
      <c r="BB6" s="131" t="s">
        <v>196</v>
      </c>
      <c r="BC6" s="131" t="s">
        <v>197</v>
      </c>
      <c r="BD6" s="132" t="s">
        <v>33</v>
      </c>
      <c r="BE6" s="130" t="s">
        <v>29</v>
      </c>
      <c r="BF6" s="131" t="s">
        <v>30</v>
      </c>
      <c r="BG6" s="131" t="s">
        <v>195</v>
      </c>
      <c r="BH6" s="131" t="s">
        <v>196</v>
      </c>
      <c r="BI6" s="131" t="s">
        <v>197</v>
      </c>
      <c r="BJ6" s="276" t="s">
        <v>33</v>
      </c>
      <c r="BK6" s="274" t="s">
        <v>29</v>
      </c>
      <c r="BL6" s="275" t="s">
        <v>30</v>
      </c>
      <c r="BM6" s="98" t="s">
        <v>33</v>
      </c>
      <c r="BN6" s="99" t="s">
        <v>195</v>
      </c>
      <c r="BO6" s="94" t="s">
        <v>196</v>
      </c>
      <c r="BP6" s="100" t="s">
        <v>197</v>
      </c>
      <c r="BQ6" s="99" t="s">
        <v>195</v>
      </c>
      <c r="BR6" s="94" t="s">
        <v>196</v>
      </c>
      <c r="BS6" s="100" t="s">
        <v>197</v>
      </c>
      <c r="BT6" s="99" t="s">
        <v>195</v>
      </c>
      <c r="BU6" s="94" t="s">
        <v>196</v>
      </c>
      <c r="BV6" s="100" t="s">
        <v>197</v>
      </c>
      <c r="BW6" s="99" t="s">
        <v>195</v>
      </c>
      <c r="BX6" s="94" t="s">
        <v>196</v>
      </c>
      <c r="BY6" s="100" t="s">
        <v>197</v>
      </c>
      <c r="BZ6" s="99" t="s">
        <v>195</v>
      </c>
      <c r="CA6" s="94" t="s">
        <v>196</v>
      </c>
      <c r="CB6" s="100" t="s">
        <v>197</v>
      </c>
      <c r="CC6" s="99" t="s">
        <v>195</v>
      </c>
      <c r="CD6" s="94" t="s">
        <v>196</v>
      </c>
      <c r="CE6" s="100" t="s">
        <v>197</v>
      </c>
      <c r="CF6" s="99" t="s">
        <v>195</v>
      </c>
      <c r="CG6" s="94" t="s">
        <v>196</v>
      </c>
      <c r="CH6" s="100" t="s">
        <v>197</v>
      </c>
      <c r="CI6" s="99" t="s">
        <v>195</v>
      </c>
      <c r="CJ6" s="94" t="s">
        <v>196</v>
      </c>
      <c r="CK6" s="100" t="s">
        <v>197</v>
      </c>
      <c r="CL6" s="99" t="s">
        <v>195</v>
      </c>
      <c r="CM6" s="94" t="s">
        <v>196</v>
      </c>
      <c r="CN6" s="100" t="s">
        <v>197</v>
      </c>
      <c r="CO6" s="99" t="s">
        <v>195</v>
      </c>
      <c r="CP6" s="94" t="s">
        <v>196</v>
      </c>
      <c r="CQ6" s="100" t="s">
        <v>197</v>
      </c>
      <c r="CS6" s="346" t="s">
        <v>198</v>
      </c>
    </row>
    <row r="7" spans="1:107" ht="20.100000000000001" customHeight="1">
      <c r="A7" s="71" t="b">
        <f t="shared" ref="A7:A44" si="0">IF(OR(D7&lt;&gt;"",AN7&lt;&gt;"",J7&lt;&gt;"",V7&lt;&gt;"",AT7&lt;&gt;"",AZ7&lt;&gt;"",BL7&lt;&gt;"",BR7&lt;&gt;"",BF7&lt;&gt;"",AB7&lt;&gt;""),TRUE,FALSE)</f>
        <v>0</v>
      </c>
      <c r="B7" s="284" t="s">
        <v>122</v>
      </c>
      <c r="C7" s="290"/>
      <c r="D7" s="291"/>
      <c r="E7" s="291"/>
      <c r="F7" s="291"/>
      <c r="G7" s="291"/>
      <c r="H7" s="292"/>
      <c r="I7" s="290"/>
      <c r="J7" s="291"/>
      <c r="K7" s="291"/>
      <c r="L7" s="291"/>
      <c r="M7" s="291"/>
      <c r="N7" s="292"/>
      <c r="O7" s="290"/>
      <c r="P7" s="291"/>
      <c r="Q7" s="291"/>
      <c r="R7" s="291"/>
      <c r="S7" s="291"/>
      <c r="T7" s="292"/>
      <c r="U7" s="285"/>
      <c r="V7" s="286"/>
      <c r="W7" s="286"/>
      <c r="X7" s="286"/>
      <c r="Y7" s="286"/>
      <c r="Z7" s="287"/>
      <c r="AA7" s="285"/>
      <c r="AB7" s="286"/>
      <c r="AC7" s="286"/>
      <c r="AD7" s="286"/>
      <c r="AE7" s="286"/>
      <c r="AF7" s="359"/>
      <c r="AG7" s="285"/>
      <c r="AH7" s="286"/>
      <c r="AI7" s="286"/>
      <c r="AJ7" s="286"/>
      <c r="AK7" s="286"/>
      <c r="AL7" s="287"/>
      <c r="AM7" s="290"/>
      <c r="AN7" s="291"/>
      <c r="AO7" s="291"/>
      <c r="AP7" s="291"/>
      <c r="AQ7" s="291"/>
      <c r="AR7" s="304"/>
      <c r="AS7" s="290"/>
      <c r="AT7" s="291"/>
      <c r="AU7" s="291"/>
      <c r="AV7" s="291"/>
      <c r="AW7" s="291"/>
      <c r="AX7" s="304"/>
      <c r="AY7" s="290"/>
      <c r="AZ7" s="291"/>
      <c r="BA7" s="291"/>
      <c r="BB7" s="291"/>
      <c r="BC7" s="291"/>
      <c r="BD7" s="292"/>
      <c r="BE7" s="290"/>
      <c r="BF7" s="291"/>
      <c r="BG7" s="291"/>
      <c r="BH7" s="291"/>
      <c r="BI7" s="291"/>
      <c r="BJ7" s="304"/>
      <c r="BK7" s="305"/>
      <c r="BL7" s="306"/>
      <c r="BM7" s="307"/>
      <c r="BN7" s="308"/>
      <c r="BO7" s="309"/>
      <c r="BP7" s="310"/>
      <c r="BQ7" s="311"/>
      <c r="BR7" s="309"/>
      <c r="BS7" s="310"/>
      <c r="BT7" s="311"/>
      <c r="BU7" s="309"/>
      <c r="BV7" s="310"/>
      <c r="BW7" s="312"/>
      <c r="BX7" s="309"/>
      <c r="BY7" s="310"/>
      <c r="BZ7" s="311"/>
      <c r="CA7" s="309"/>
      <c r="CB7" s="310"/>
      <c r="CC7" s="311"/>
      <c r="CD7" s="309"/>
      <c r="CE7" s="310"/>
      <c r="CF7" s="311"/>
      <c r="CG7" s="309"/>
      <c r="CH7" s="310"/>
      <c r="CI7" s="311"/>
      <c r="CJ7" s="309"/>
      <c r="CK7" s="310"/>
      <c r="CL7" s="311"/>
      <c r="CM7" s="309"/>
      <c r="CN7" s="310"/>
      <c r="CO7" s="311"/>
      <c r="CP7" s="309"/>
      <c r="CQ7" s="310"/>
      <c r="CR7" s="313" t="str">
        <f t="shared" ref="CR7:CR44" si="1">_xlfn.TEXTBEFORE($B7,".",2)</f>
        <v>3C.1</v>
      </c>
      <c r="CS7" s="71" t="b">
        <f>IF(OR(H7&lt;&gt;"",N7&lt;&gt;"",T7&lt;&gt;"",Z7&lt;&gt;"",AF7&lt;&gt;"",AL7&lt;&gt;"",AR7&lt;&gt;"",AX7&lt;&gt;"",BD7&lt;&gt;"",BJ7&lt;&gt;"",BM7&lt;&gt;""),TRUE,FALSE)</f>
        <v>0</v>
      </c>
      <c r="CT7" s="314"/>
      <c r="CU7" s="314"/>
      <c r="CV7" s="314"/>
      <c r="CW7" s="314"/>
      <c r="CX7" s="314"/>
      <c r="CY7" s="314"/>
      <c r="CZ7" s="314"/>
      <c r="DA7" s="314"/>
      <c r="DB7" s="314"/>
      <c r="DC7" s="314"/>
    </row>
    <row r="8" spans="1:107" ht="20.100000000000001" customHeight="1">
      <c r="A8" s="71" t="b">
        <f t="shared" si="0"/>
        <v>0</v>
      </c>
      <c r="B8" s="9" t="s">
        <v>123</v>
      </c>
      <c r="C8" s="12"/>
      <c r="D8" s="8"/>
      <c r="E8" s="8"/>
      <c r="F8" s="8"/>
      <c r="G8" s="8"/>
      <c r="H8" s="13"/>
      <c r="I8" s="12"/>
      <c r="J8" s="8"/>
      <c r="K8" s="8"/>
      <c r="L8" s="8"/>
      <c r="M8" s="8"/>
      <c r="N8" s="13"/>
      <c r="O8" s="12"/>
      <c r="P8" s="8"/>
      <c r="Q8" s="8"/>
      <c r="R8" s="8"/>
      <c r="S8" s="8"/>
      <c r="T8" s="13"/>
      <c r="U8" s="14"/>
      <c r="V8" s="1"/>
      <c r="W8" s="1"/>
      <c r="X8" s="1"/>
      <c r="Y8" s="1"/>
      <c r="Z8" s="15"/>
      <c r="AA8" s="14"/>
      <c r="AB8" s="1"/>
      <c r="AC8" s="1"/>
      <c r="AD8" s="1"/>
      <c r="AE8" s="1"/>
      <c r="AF8" s="46"/>
      <c r="AG8" s="14"/>
      <c r="AH8" s="1"/>
      <c r="AI8" s="1"/>
      <c r="AJ8" s="1"/>
      <c r="AK8" s="1"/>
      <c r="AL8" s="15"/>
      <c r="AM8" s="12"/>
      <c r="AN8" s="8"/>
      <c r="AO8" s="8"/>
      <c r="AP8" s="8"/>
      <c r="AQ8" s="8"/>
      <c r="AR8" s="211"/>
      <c r="AS8" s="12"/>
      <c r="AT8" s="8"/>
      <c r="AU8" s="8"/>
      <c r="AV8" s="8"/>
      <c r="AW8" s="8"/>
      <c r="AX8" s="211"/>
      <c r="AY8" s="12"/>
      <c r="AZ8" s="8"/>
      <c r="BA8" s="8"/>
      <c r="BB8" s="8"/>
      <c r="BC8" s="8"/>
      <c r="BD8" s="13"/>
      <c r="BE8" s="12"/>
      <c r="BF8" s="8"/>
      <c r="BG8" s="8"/>
      <c r="BH8" s="8"/>
      <c r="BI8" s="8"/>
      <c r="BJ8" s="211"/>
      <c r="BK8" s="116"/>
      <c r="BL8" s="117"/>
      <c r="BM8" s="112"/>
      <c r="BN8" s="203"/>
      <c r="BO8" s="214"/>
      <c r="BP8" s="205"/>
      <c r="BQ8" s="203"/>
      <c r="BR8" s="204"/>
      <c r="BS8" s="205"/>
      <c r="BT8" s="203"/>
      <c r="BU8" s="204"/>
      <c r="BV8" s="205"/>
      <c r="BW8" s="203"/>
      <c r="BX8" s="204"/>
      <c r="BY8" s="205"/>
      <c r="BZ8" s="212"/>
      <c r="CA8" s="204"/>
      <c r="CB8" s="205"/>
      <c r="CC8" s="215"/>
      <c r="CD8" s="204"/>
      <c r="CE8" s="205"/>
      <c r="CF8" s="203"/>
      <c r="CG8" s="204"/>
      <c r="CH8" s="205"/>
      <c r="CI8" s="212"/>
      <c r="CJ8" s="204"/>
      <c r="CK8" s="205"/>
      <c r="CL8" s="215"/>
      <c r="CM8" s="204"/>
      <c r="CN8" s="205"/>
      <c r="CO8" s="203"/>
      <c r="CP8" s="204"/>
      <c r="CQ8" s="205"/>
      <c r="CR8" s="90" t="str">
        <f t="shared" si="1"/>
        <v>3C.1</v>
      </c>
      <c r="CS8" s="71" t="b">
        <f t="shared" ref="CS8:CS44" si="2">IF(OR(H8&lt;&gt;"",N8&lt;&gt;"",T8&lt;&gt;"",Z8&lt;&gt;"",AF8&lt;&gt;"",AL8&lt;&gt;"",AR8&lt;&gt;"",AX8&lt;&gt;"",BD8&lt;&gt;"",BJ8&lt;&gt;"",BM8&lt;&gt;""),TRUE,FALSE)</f>
        <v>0</v>
      </c>
    </row>
    <row r="9" spans="1:107" ht="20.100000000000001" customHeight="1">
      <c r="A9" s="71" t="b">
        <f t="shared" si="0"/>
        <v>0</v>
      </c>
      <c r="B9" s="9" t="s">
        <v>124</v>
      </c>
      <c r="C9" s="12"/>
      <c r="D9" s="8"/>
      <c r="E9" s="8"/>
      <c r="F9" s="8"/>
      <c r="G9" s="8"/>
      <c r="H9" s="13"/>
      <c r="I9" s="12"/>
      <c r="J9" s="8"/>
      <c r="K9" s="8"/>
      <c r="L9" s="8"/>
      <c r="M9" s="8"/>
      <c r="N9" s="13"/>
      <c r="O9" s="12"/>
      <c r="P9" s="8"/>
      <c r="Q9" s="8"/>
      <c r="R9" s="8"/>
      <c r="S9" s="8"/>
      <c r="T9" s="13"/>
      <c r="U9" s="14"/>
      <c r="V9" s="1"/>
      <c r="W9" s="1"/>
      <c r="X9" s="1"/>
      <c r="Y9" s="1"/>
      <c r="Z9" s="15"/>
      <c r="AA9" s="14"/>
      <c r="AB9" s="1"/>
      <c r="AC9" s="1"/>
      <c r="AD9" s="1"/>
      <c r="AE9" s="1"/>
      <c r="AF9" s="46"/>
      <c r="AG9" s="14"/>
      <c r="AH9" s="1"/>
      <c r="AI9" s="1"/>
      <c r="AJ9" s="1"/>
      <c r="AK9" s="1"/>
      <c r="AL9" s="15"/>
      <c r="AM9" s="12"/>
      <c r="AN9" s="8"/>
      <c r="AO9" s="8"/>
      <c r="AP9" s="8"/>
      <c r="AQ9" s="8"/>
      <c r="AR9" s="211"/>
      <c r="AS9" s="12"/>
      <c r="AT9" s="8"/>
      <c r="AU9" s="8"/>
      <c r="AV9" s="8"/>
      <c r="AW9" s="8"/>
      <c r="AX9" s="211"/>
      <c r="AY9" s="12"/>
      <c r="AZ9" s="8"/>
      <c r="BA9" s="8"/>
      <c r="BB9" s="8"/>
      <c r="BC9" s="8"/>
      <c r="BD9" s="13"/>
      <c r="BE9" s="12"/>
      <c r="BF9" s="8"/>
      <c r="BG9" s="8"/>
      <c r="BH9" s="8"/>
      <c r="BI9" s="8"/>
      <c r="BJ9" s="211"/>
      <c r="BK9" s="116"/>
      <c r="BL9" s="117"/>
      <c r="BM9" s="112"/>
      <c r="BN9" s="203"/>
      <c r="BO9" s="204"/>
      <c r="BP9" s="205"/>
      <c r="BQ9" s="203"/>
      <c r="BR9" s="204"/>
      <c r="BS9" s="205"/>
      <c r="BT9" s="203"/>
      <c r="BU9" s="204"/>
      <c r="BV9" s="205"/>
      <c r="BW9" s="203"/>
      <c r="BX9" s="204"/>
      <c r="BY9" s="205"/>
      <c r="BZ9" s="212"/>
      <c r="CA9" s="204"/>
      <c r="CB9" s="205"/>
      <c r="CC9" s="215"/>
      <c r="CD9" s="204"/>
      <c r="CE9" s="205"/>
      <c r="CF9" s="203"/>
      <c r="CG9" s="204"/>
      <c r="CH9" s="205"/>
      <c r="CI9" s="212"/>
      <c r="CJ9" s="204"/>
      <c r="CK9" s="205"/>
      <c r="CL9" s="215"/>
      <c r="CM9" s="204"/>
      <c r="CN9" s="205"/>
      <c r="CO9" s="203"/>
      <c r="CP9" s="204"/>
      <c r="CQ9" s="205"/>
      <c r="CR9" s="90" t="str">
        <f t="shared" si="1"/>
        <v>3C.1</v>
      </c>
      <c r="CS9" s="71" t="b">
        <f t="shared" si="2"/>
        <v>0</v>
      </c>
    </row>
    <row r="10" spans="1:107" ht="20.100000000000001" customHeight="1">
      <c r="A10" s="71" t="b">
        <f t="shared" si="0"/>
        <v>0</v>
      </c>
      <c r="B10" s="9" t="s">
        <v>125</v>
      </c>
      <c r="C10" s="12"/>
      <c r="D10" s="8"/>
      <c r="E10" s="8"/>
      <c r="F10" s="8"/>
      <c r="G10" s="8"/>
      <c r="H10" s="13"/>
      <c r="I10" s="12"/>
      <c r="J10" s="8"/>
      <c r="K10" s="8"/>
      <c r="L10" s="8"/>
      <c r="M10" s="8"/>
      <c r="N10" s="13"/>
      <c r="O10" s="12"/>
      <c r="P10" s="8"/>
      <c r="Q10" s="8"/>
      <c r="R10" s="8"/>
      <c r="S10" s="8"/>
      <c r="T10" s="13"/>
      <c r="U10" s="14"/>
      <c r="V10" s="1"/>
      <c r="W10" s="1"/>
      <c r="X10" s="1"/>
      <c r="Y10" s="1"/>
      <c r="Z10" s="15"/>
      <c r="AA10" s="14"/>
      <c r="AB10" s="1"/>
      <c r="AC10" s="1"/>
      <c r="AD10" s="1"/>
      <c r="AE10" s="1"/>
      <c r="AF10" s="46"/>
      <c r="AG10" s="14"/>
      <c r="AH10" s="1"/>
      <c r="AI10" s="1"/>
      <c r="AJ10" s="1"/>
      <c r="AK10" s="1"/>
      <c r="AL10" s="15"/>
      <c r="AM10" s="12"/>
      <c r="AN10" s="8"/>
      <c r="AO10" s="8"/>
      <c r="AP10" s="8"/>
      <c r="AQ10" s="8"/>
      <c r="AR10" s="211"/>
      <c r="AS10" s="12"/>
      <c r="AT10" s="8"/>
      <c r="AU10" s="8"/>
      <c r="AV10" s="8"/>
      <c r="AW10" s="8"/>
      <c r="AX10" s="211"/>
      <c r="AY10" s="12"/>
      <c r="AZ10" s="8"/>
      <c r="BA10" s="8"/>
      <c r="BB10" s="8"/>
      <c r="BC10" s="8"/>
      <c r="BD10" s="13"/>
      <c r="BE10" s="12"/>
      <c r="BF10" s="8"/>
      <c r="BG10" s="8"/>
      <c r="BH10" s="8"/>
      <c r="BI10" s="8"/>
      <c r="BJ10" s="211"/>
      <c r="BK10" s="116"/>
      <c r="BL10" s="117"/>
      <c r="BM10" s="112"/>
      <c r="BN10" s="203"/>
      <c r="BO10" s="204"/>
      <c r="BP10" s="205"/>
      <c r="BQ10" s="203"/>
      <c r="BR10" s="204"/>
      <c r="BS10" s="205"/>
      <c r="BT10" s="203"/>
      <c r="BU10" s="204"/>
      <c r="BV10" s="205"/>
      <c r="BW10" s="203"/>
      <c r="BX10" s="204"/>
      <c r="BY10" s="205"/>
      <c r="BZ10" s="212"/>
      <c r="CA10" s="204"/>
      <c r="CB10" s="205"/>
      <c r="CC10" s="215"/>
      <c r="CD10" s="204"/>
      <c r="CE10" s="205"/>
      <c r="CF10" s="203"/>
      <c r="CG10" s="204"/>
      <c r="CH10" s="205"/>
      <c r="CI10" s="212"/>
      <c r="CJ10" s="204"/>
      <c r="CK10" s="205"/>
      <c r="CL10" s="215"/>
      <c r="CM10" s="204"/>
      <c r="CN10" s="205"/>
      <c r="CO10" s="203"/>
      <c r="CP10" s="204"/>
      <c r="CQ10" s="205"/>
      <c r="CR10" s="90" t="str">
        <f t="shared" si="1"/>
        <v>3C.2</v>
      </c>
      <c r="CS10" s="71" t="b">
        <f t="shared" si="2"/>
        <v>0</v>
      </c>
    </row>
    <row r="11" spans="1:107" ht="20.100000000000001" customHeight="1">
      <c r="A11" s="71" t="b">
        <f t="shared" si="0"/>
        <v>0</v>
      </c>
      <c r="B11" s="9" t="s">
        <v>126</v>
      </c>
      <c r="C11" s="12"/>
      <c r="D11" s="8"/>
      <c r="E11" s="8"/>
      <c r="F11" s="8"/>
      <c r="G11" s="8"/>
      <c r="H11" s="13"/>
      <c r="I11" s="12"/>
      <c r="J11" s="8"/>
      <c r="K11" s="8"/>
      <c r="L11" s="8"/>
      <c r="M11" s="8"/>
      <c r="N11" s="13"/>
      <c r="O11" s="12"/>
      <c r="P11" s="8"/>
      <c r="Q11" s="8"/>
      <c r="R11" s="8"/>
      <c r="S11" s="8"/>
      <c r="T11" s="13"/>
      <c r="U11" s="12"/>
      <c r="V11" s="8"/>
      <c r="W11" s="8"/>
      <c r="X11" s="8"/>
      <c r="Y11" s="8"/>
      <c r="Z11" s="13"/>
      <c r="AA11" s="12"/>
      <c r="AB11" s="8"/>
      <c r="AC11" s="8"/>
      <c r="AD11" s="8"/>
      <c r="AE11" s="8"/>
      <c r="AF11" s="211"/>
      <c r="AG11" s="12"/>
      <c r="AH11" s="8"/>
      <c r="AI11" s="8"/>
      <c r="AJ11" s="8"/>
      <c r="AK11" s="8"/>
      <c r="AL11" s="13"/>
      <c r="AM11" s="14"/>
      <c r="AN11" s="1"/>
      <c r="AO11" s="1"/>
      <c r="AP11" s="1"/>
      <c r="AQ11" s="1"/>
      <c r="AR11" s="46"/>
      <c r="AS11" s="14"/>
      <c r="AT11" s="1"/>
      <c r="AU11" s="1"/>
      <c r="AV11" s="1"/>
      <c r="AW11" s="1"/>
      <c r="AX11" s="46"/>
      <c r="AY11" s="14"/>
      <c r="AZ11" s="1"/>
      <c r="BA11" s="1"/>
      <c r="BB11" s="1"/>
      <c r="BC11" s="1"/>
      <c r="BD11" s="15"/>
      <c r="BE11" s="12"/>
      <c r="BF11" s="8"/>
      <c r="BG11" s="8"/>
      <c r="BH11" s="8"/>
      <c r="BI11" s="8"/>
      <c r="BJ11" s="211"/>
      <c r="BK11" s="116"/>
      <c r="BL11" s="117"/>
      <c r="BM11" s="112"/>
      <c r="BN11" s="203"/>
      <c r="BO11" s="204"/>
      <c r="BP11" s="205"/>
      <c r="BQ11" s="203"/>
      <c r="BR11" s="204"/>
      <c r="BS11" s="205"/>
      <c r="BT11" s="203"/>
      <c r="BU11" s="204"/>
      <c r="BV11" s="205"/>
      <c r="BW11" s="203"/>
      <c r="BX11" s="204"/>
      <c r="BY11" s="205"/>
      <c r="BZ11" s="212"/>
      <c r="CA11" s="204"/>
      <c r="CB11" s="205"/>
      <c r="CC11" s="215"/>
      <c r="CD11" s="204"/>
      <c r="CE11" s="205"/>
      <c r="CF11" s="203"/>
      <c r="CG11" s="204"/>
      <c r="CH11" s="205"/>
      <c r="CI11" s="212"/>
      <c r="CJ11" s="204"/>
      <c r="CK11" s="205"/>
      <c r="CL11" s="215"/>
      <c r="CM11" s="204"/>
      <c r="CN11" s="205"/>
      <c r="CO11" s="203"/>
      <c r="CP11" s="204"/>
      <c r="CQ11" s="205"/>
      <c r="CR11" s="90" t="str">
        <f t="shared" si="1"/>
        <v>4C.1</v>
      </c>
      <c r="CS11" s="71" t="b">
        <f t="shared" si="2"/>
        <v>0</v>
      </c>
    </row>
    <row r="12" spans="1:107" ht="20.100000000000001" customHeight="1">
      <c r="A12" s="71" t="b">
        <f t="shared" si="0"/>
        <v>0</v>
      </c>
      <c r="B12" s="9" t="s">
        <v>127</v>
      </c>
      <c r="C12" s="12"/>
      <c r="D12" s="8"/>
      <c r="E12" s="8"/>
      <c r="F12" s="8"/>
      <c r="G12" s="8"/>
      <c r="H12" s="13"/>
      <c r="I12" s="12"/>
      <c r="J12" s="8"/>
      <c r="K12" s="8"/>
      <c r="L12" s="8"/>
      <c r="M12" s="8"/>
      <c r="N12" s="13"/>
      <c r="O12" s="12"/>
      <c r="P12" s="8"/>
      <c r="Q12" s="8"/>
      <c r="R12" s="8"/>
      <c r="S12" s="8"/>
      <c r="T12" s="13"/>
      <c r="U12" s="12"/>
      <c r="V12" s="8"/>
      <c r="W12" s="8"/>
      <c r="X12" s="8"/>
      <c r="Y12" s="8"/>
      <c r="Z12" s="13"/>
      <c r="AA12" s="12"/>
      <c r="AB12" s="8"/>
      <c r="AC12" s="8"/>
      <c r="AD12" s="8"/>
      <c r="AE12" s="8"/>
      <c r="AF12" s="211"/>
      <c r="AG12" s="12"/>
      <c r="AH12" s="8"/>
      <c r="AI12" s="8"/>
      <c r="AJ12" s="8"/>
      <c r="AK12" s="8"/>
      <c r="AL12" s="13"/>
      <c r="AM12" s="14"/>
      <c r="AN12" s="1"/>
      <c r="AO12" s="1"/>
      <c r="AP12" s="1"/>
      <c r="AQ12" s="1"/>
      <c r="AR12" s="46"/>
      <c r="AS12" s="14"/>
      <c r="AT12" s="1"/>
      <c r="AU12" s="1"/>
      <c r="AV12" s="1"/>
      <c r="AW12" s="1"/>
      <c r="AX12" s="46"/>
      <c r="AY12" s="14"/>
      <c r="AZ12" s="1"/>
      <c r="BA12" s="1"/>
      <c r="BB12" s="1"/>
      <c r="BC12" s="1"/>
      <c r="BD12" s="15"/>
      <c r="BE12" s="12"/>
      <c r="BF12" s="8"/>
      <c r="BG12" s="8"/>
      <c r="BH12" s="8"/>
      <c r="BI12" s="8"/>
      <c r="BJ12" s="211"/>
      <c r="BK12" s="116"/>
      <c r="BL12" s="117"/>
      <c r="BM12" s="112"/>
      <c r="BN12" s="203"/>
      <c r="BO12" s="204"/>
      <c r="BP12" s="205"/>
      <c r="BQ12" s="203"/>
      <c r="BR12" s="204"/>
      <c r="BS12" s="205"/>
      <c r="BT12" s="203"/>
      <c r="BU12" s="204"/>
      <c r="BV12" s="205"/>
      <c r="BW12" s="203"/>
      <c r="BX12" s="204"/>
      <c r="BY12" s="205"/>
      <c r="BZ12" s="212"/>
      <c r="CA12" s="204"/>
      <c r="CB12" s="205"/>
      <c r="CC12" s="215"/>
      <c r="CD12" s="204"/>
      <c r="CE12" s="205"/>
      <c r="CF12" s="203"/>
      <c r="CG12" s="204"/>
      <c r="CH12" s="205"/>
      <c r="CI12" s="212"/>
      <c r="CJ12" s="204"/>
      <c r="CK12" s="205"/>
      <c r="CL12" s="215"/>
      <c r="CM12" s="204"/>
      <c r="CN12" s="205"/>
      <c r="CO12" s="203"/>
      <c r="CP12" s="204"/>
      <c r="CQ12" s="205"/>
      <c r="CR12" s="90" t="str">
        <f t="shared" si="1"/>
        <v>4C.2</v>
      </c>
      <c r="CS12" s="71" t="b">
        <f t="shared" si="2"/>
        <v>0</v>
      </c>
    </row>
    <row r="13" spans="1:107" ht="20.100000000000001" customHeight="1">
      <c r="A13" s="71" t="b">
        <f t="shared" si="0"/>
        <v>0</v>
      </c>
      <c r="B13" s="9" t="s">
        <v>128</v>
      </c>
      <c r="C13" s="12"/>
      <c r="D13" s="8"/>
      <c r="E13" s="8"/>
      <c r="F13" s="8"/>
      <c r="G13" s="8"/>
      <c r="H13" s="13"/>
      <c r="I13" s="12"/>
      <c r="J13" s="8"/>
      <c r="K13" s="8"/>
      <c r="L13" s="8"/>
      <c r="M13" s="8"/>
      <c r="N13" s="13"/>
      <c r="O13" s="12"/>
      <c r="P13" s="8"/>
      <c r="Q13" s="8"/>
      <c r="R13" s="8"/>
      <c r="S13" s="8"/>
      <c r="T13" s="13"/>
      <c r="U13" s="12"/>
      <c r="V13" s="8"/>
      <c r="W13" s="8"/>
      <c r="X13" s="8"/>
      <c r="Y13" s="8"/>
      <c r="Z13" s="13"/>
      <c r="AA13" s="12"/>
      <c r="AB13" s="8"/>
      <c r="AC13" s="8"/>
      <c r="AD13" s="8"/>
      <c r="AE13" s="8"/>
      <c r="AF13" s="211"/>
      <c r="AG13" s="12"/>
      <c r="AH13" s="8"/>
      <c r="AI13" s="8"/>
      <c r="AJ13" s="8"/>
      <c r="AK13" s="8"/>
      <c r="AL13" s="13"/>
      <c r="AM13" s="14"/>
      <c r="AN13" s="1"/>
      <c r="AO13" s="1"/>
      <c r="AP13" s="1"/>
      <c r="AQ13" s="1"/>
      <c r="AR13" s="46"/>
      <c r="AS13" s="14"/>
      <c r="AT13" s="1"/>
      <c r="AU13" s="1"/>
      <c r="AV13" s="1"/>
      <c r="AW13" s="1"/>
      <c r="AX13" s="46"/>
      <c r="AY13" s="14"/>
      <c r="AZ13" s="1"/>
      <c r="BA13" s="1"/>
      <c r="BB13" s="1"/>
      <c r="BC13" s="1"/>
      <c r="BD13" s="15"/>
      <c r="BE13" s="12"/>
      <c r="BF13" s="8"/>
      <c r="BG13" s="8"/>
      <c r="BH13" s="8"/>
      <c r="BI13" s="8"/>
      <c r="BJ13" s="211"/>
      <c r="BK13" s="116"/>
      <c r="BL13" s="117"/>
      <c r="BM13" s="112"/>
      <c r="BN13" s="203"/>
      <c r="BO13" s="204"/>
      <c r="BP13" s="205"/>
      <c r="BQ13" s="203"/>
      <c r="BR13" s="204"/>
      <c r="BS13" s="205"/>
      <c r="BT13" s="203"/>
      <c r="BU13" s="204"/>
      <c r="BV13" s="205"/>
      <c r="BW13" s="203"/>
      <c r="BX13" s="204"/>
      <c r="BY13" s="205"/>
      <c r="BZ13" s="212"/>
      <c r="CA13" s="204"/>
      <c r="CB13" s="205"/>
      <c r="CC13" s="215"/>
      <c r="CD13" s="204"/>
      <c r="CE13" s="205"/>
      <c r="CF13" s="203"/>
      <c r="CG13" s="204"/>
      <c r="CH13" s="205"/>
      <c r="CI13" s="212"/>
      <c r="CJ13" s="204"/>
      <c r="CK13" s="205"/>
      <c r="CL13" s="215"/>
      <c r="CM13" s="204"/>
      <c r="CN13" s="205"/>
      <c r="CO13" s="203"/>
      <c r="CP13" s="204"/>
      <c r="CQ13" s="205"/>
      <c r="CR13" s="90" t="str">
        <f t="shared" si="1"/>
        <v>4C.3</v>
      </c>
      <c r="CS13" s="71" t="b">
        <f t="shared" si="2"/>
        <v>0</v>
      </c>
    </row>
    <row r="14" spans="1:107" ht="20.100000000000001" customHeight="1">
      <c r="A14" s="71" t="b">
        <f t="shared" si="0"/>
        <v>0</v>
      </c>
      <c r="B14" s="9" t="s">
        <v>129</v>
      </c>
      <c r="C14" s="12"/>
      <c r="D14" s="8"/>
      <c r="E14" s="8"/>
      <c r="F14" s="8"/>
      <c r="G14" s="8"/>
      <c r="H14" s="13"/>
      <c r="I14" s="12"/>
      <c r="J14" s="8"/>
      <c r="K14" s="8"/>
      <c r="L14" s="8"/>
      <c r="M14" s="8"/>
      <c r="N14" s="13"/>
      <c r="O14" s="12"/>
      <c r="P14" s="8"/>
      <c r="Q14" s="8"/>
      <c r="R14" s="8"/>
      <c r="S14" s="8"/>
      <c r="T14" s="13"/>
      <c r="U14" s="12"/>
      <c r="V14" s="8"/>
      <c r="W14" s="8"/>
      <c r="X14" s="8"/>
      <c r="Y14" s="8"/>
      <c r="Z14" s="13"/>
      <c r="AA14" s="12"/>
      <c r="AB14" s="8"/>
      <c r="AC14" s="8"/>
      <c r="AD14" s="8"/>
      <c r="AE14" s="8"/>
      <c r="AF14" s="211"/>
      <c r="AG14" s="12"/>
      <c r="AH14" s="8"/>
      <c r="AI14" s="8"/>
      <c r="AJ14" s="8"/>
      <c r="AK14" s="8"/>
      <c r="AL14" s="13"/>
      <c r="AM14" s="14"/>
      <c r="AN14" s="1"/>
      <c r="AO14" s="1"/>
      <c r="AP14" s="1"/>
      <c r="AQ14" s="1"/>
      <c r="AR14" s="46"/>
      <c r="AS14" s="14"/>
      <c r="AT14" s="1"/>
      <c r="AU14" s="1"/>
      <c r="AV14" s="1"/>
      <c r="AW14" s="1"/>
      <c r="AX14" s="46"/>
      <c r="AY14" s="14"/>
      <c r="AZ14" s="1"/>
      <c r="BA14" s="1"/>
      <c r="BB14" s="1"/>
      <c r="BC14" s="1"/>
      <c r="BD14" s="15"/>
      <c r="BE14" s="12"/>
      <c r="BF14" s="8"/>
      <c r="BG14" s="8"/>
      <c r="BH14" s="8"/>
      <c r="BI14" s="8"/>
      <c r="BJ14" s="211"/>
      <c r="BK14" s="116"/>
      <c r="BL14" s="117"/>
      <c r="BM14" s="112"/>
      <c r="BN14" s="203"/>
      <c r="BO14" s="204"/>
      <c r="BP14" s="205"/>
      <c r="BQ14" s="203"/>
      <c r="BR14" s="204"/>
      <c r="BS14" s="205"/>
      <c r="BT14" s="203"/>
      <c r="BU14" s="204"/>
      <c r="BV14" s="205"/>
      <c r="BW14" s="203"/>
      <c r="BX14" s="204"/>
      <c r="BY14" s="205"/>
      <c r="BZ14" s="212"/>
      <c r="CA14" s="204"/>
      <c r="CB14" s="205"/>
      <c r="CC14" s="215"/>
      <c r="CD14" s="204"/>
      <c r="CE14" s="205"/>
      <c r="CF14" s="203"/>
      <c r="CG14" s="204"/>
      <c r="CH14" s="205"/>
      <c r="CI14" s="212"/>
      <c r="CJ14" s="204"/>
      <c r="CK14" s="205"/>
      <c r="CL14" s="215"/>
      <c r="CM14" s="204"/>
      <c r="CN14" s="205"/>
      <c r="CO14" s="203"/>
      <c r="CP14" s="204"/>
      <c r="CQ14" s="205"/>
      <c r="CR14" s="90" t="str">
        <f t="shared" si="1"/>
        <v>4C.4</v>
      </c>
      <c r="CS14" s="71" t="b">
        <f t="shared" si="2"/>
        <v>0</v>
      </c>
    </row>
    <row r="15" spans="1:107" ht="20.100000000000001" customHeight="1">
      <c r="A15" s="71" t="b">
        <f t="shared" si="0"/>
        <v>0</v>
      </c>
      <c r="B15" s="9" t="s">
        <v>130</v>
      </c>
      <c r="C15" s="363"/>
      <c r="D15" s="364"/>
      <c r="E15" s="364"/>
      <c r="F15" s="364"/>
      <c r="G15" s="364"/>
      <c r="H15" s="365"/>
      <c r="I15" s="363"/>
      <c r="J15" s="364"/>
      <c r="K15" s="364"/>
      <c r="L15" s="364"/>
      <c r="M15" s="364"/>
      <c r="N15" s="365"/>
      <c r="O15" s="363"/>
      <c r="P15" s="364"/>
      <c r="Q15" s="364"/>
      <c r="R15" s="364"/>
      <c r="S15" s="364"/>
      <c r="T15" s="365"/>
      <c r="U15" s="12"/>
      <c r="V15" s="8"/>
      <c r="W15" s="8"/>
      <c r="X15" s="8"/>
      <c r="Y15" s="8"/>
      <c r="Z15" s="13"/>
      <c r="AA15" s="12"/>
      <c r="AB15" s="8"/>
      <c r="AC15" s="8"/>
      <c r="AD15" s="8"/>
      <c r="AE15" s="8"/>
      <c r="AF15" s="211"/>
      <c r="AG15" s="12"/>
      <c r="AH15" s="8"/>
      <c r="AI15" s="8"/>
      <c r="AJ15" s="8"/>
      <c r="AK15" s="8"/>
      <c r="AL15" s="13"/>
      <c r="AM15" s="12"/>
      <c r="AN15" s="8"/>
      <c r="AO15" s="8"/>
      <c r="AP15" s="8"/>
      <c r="AQ15" s="8"/>
      <c r="AR15" s="211"/>
      <c r="AS15" s="12"/>
      <c r="AT15" s="8"/>
      <c r="AU15" s="8"/>
      <c r="AV15" s="8"/>
      <c r="AW15" s="8"/>
      <c r="AX15" s="211"/>
      <c r="AY15" s="12"/>
      <c r="AZ15" s="8"/>
      <c r="BA15" s="8"/>
      <c r="BB15" s="8"/>
      <c r="BC15" s="8"/>
      <c r="BD15" s="13"/>
      <c r="BE15" s="12"/>
      <c r="BF15" s="8"/>
      <c r="BG15" s="8"/>
      <c r="BH15" s="8"/>
      <c r="BI15" s="8"/>
      <c r="BJ15" s="211"/>
      <c r="BK15" s="116"/>
      <c r="BL15" s="117"/>
      <c r="BM15" s="112"/>
      <c r="BN15" s="203"/>
      <c r="BO15" s="204"/>
      <c r="BP15" s="205"/>
      <c r="BQ15" s="203"/>
      <c r="BR15" s="204"/>
      <c r="BS15" s="205"/>
      <c r="BT15" s="203"/>
      <c r="BU15" s="204"/>
      <c r="BV15" s="205"/>
      <c r="BW15" s="203"/>
      <c r="BX15" s="204"/>
      <c r="BY15" s="205"/>
      <c r="BZ15" s="212"/>
      <c r="CA15" s="204"/>
      <c r="CB15" s="205"/>
      <c r="CC15" s="215"/>
      <c r="CD15" s="204"/>
      <c r="CE15" s="205"/>
      <c r="CF15" s="203"/>
      <c r="CG15" s="204"/>
      <c r="CH15" s="205"/>
      <c r="CI15" s="212"/>
      <c r="CJ15" s="204"/>
      <c r="CK15" s="205"/>
      <c r="CL15" s="215"/>
      <c r="CM15" s="204"/>
      <c r="CN15" s="205"/>
      <c r="CO15" s="203"/>
      <c r="CP15" s="204"/>
      <c r="CQ15" s="205"/>
      <c r="CR15" s="90" t="str">
        <f t="shared" si="1"/>
        <v>4C.5</v>
      </c>
      <c r="CS15" s="71" t="b">
        <f t="shared" si="2"/>
        <v>0</v>
      </c>
    </row>
    <row r="16" spans="1:107" ht="20.100000000000001" customHeight="1">
      <c r="A16" s="71" t="b">
        <f t="shared" si="0"/>
        <v>0</v>
      </c>
      <c r="B16" s="9" t="s">
        <v>131</v>
      </c>
      <c r="C16" s="360"/>
      <c r="D16" s="361"/>
      <c r="E16" s="361"/>
      <c r="F16" s="361"/>
      <c r="G16" s="361"/>
      <c r="H16" s="362"/>
      <c r="I16" s="360"/>
      <c r="J16" s="361"/>
      <c r="K16" s="361"/>
      <c r="L16" s="361"/>
      <c r="M16" s="361"/>
      <c r="N16" s="362"/>
      <c r="O16" s="360"/>
      <c r="P16" s="361"/>
      <c r="Q16" s="361"/>
      <c r="R16" s="361"/>
      <c r="S16" s="361"/>
      <c r="T16" s="362"/>
      <c r="U16" s="12"/>
      <c r="V16" s="8"/>
      <c r="W16" s="8"/>
      <c r="X16" s="8"/>
      <c r="Y16" s="8"/>
      <c r="Z16" s="13"/>
      <c r="AA16" s="12"/>
      <c r="AB16" s="8"/>
      <c r="AC16" s="8"/>
      <c r="AD16" s="8"/>
      <c r="AE16" s="8"/>
      <c r="AF16" s="211"/>
      <c r="AG16" s="12"/>
      <c r="AH16" s="8"/>
      <c r="AI16" s="8"/>
      <c r="AJ16" s="8"/>
      <c r="AK16" s="8"/>
      <c r="AL16" s="13"/>
      <c r="AM16" s="14"/>
      <c r="AN16" s="1"/>
      <c r="AO16" s="1"/>
      <c r="AP16" s="1"/>
      <c r="AQ16" s="1"/>
      <c r="AR16" s="46"/>
      <c r="AS16" s="14"/>
      <c r="AT16" s="1"/>
      <c r="AU16" s="1"/>
      <c r="AV16" s="1"/>
      <c r="AW16" s="1"/>
      <c r="AX16" s="46"/>
      <c r="AY16" s="14"/>
      <c r="AZ16" s="1"/>
      <c r="BA16" s="1"/>
      <c r="BB16" s="1"/>
      <c r="BC16" s="1"/>
      <c r="BD16" s="15"/>
      <c r="BE16" s="12"/>
      <c r="BF16" s="8"/>
      <c r="BG16" s="8"/>
      <c r="BH16" s="8"/>
      <c r="BI16" s="8"/>
      <c r="BJ16" s="211"/>
      <c r="BK16" s="116"/>
      <c r="BL16" s="117"/>
      <c r="BM16" s="136"/>
      <c r="BN16" s="203"/>
      <c r="BO16" s="204"/>
      <c r="BP16" s="205"/>
      <c r="BQ16" s="203"/>
      <c r="BR16" s="204"/>
      <c r="BS16" s="205"/>
      <c r="BT16" s="203"/>
      <c r="BU16" s="204"/>
      <c r="BV16" s="205"/>
      <c r="BW16" s="203"/>
      <c r="BX16" s="204"/>
      <c r="BY16" s="205"/>
      <c r="BZ16" s="212"/>
      <c r="CA16" s="204"/>
      <c r="CB16" s="205"/>
      <c r="CC16" s="215"/>
      <c r="CD16" s="204"/>
      <c r="CE16" s="205"/>
      <c r="CF16" s="203"/>
      <c r="CG16" s="204"/>
      <c r="CH16" s="205"/>
      <c r="CI16" s="212"/>
      <c r="CJ16" s="204"/>
      <c r="CK16" s="205"/>
      <c r="CL16" s="215"/>
      <c r="CM16" s="204"/>
      <c r="CN16" s="205"/>
      <c r="CO16" s="203"/>
      <c r="CP16" s="204"/>
      <c r="CQ16" s="205"/>
      <c r="CR16" s="90" t="str">
        <f t="shared" si="1"/>
        <v>4C.6</v>
      </c>
      <c r="CS16" s="71" t="b">
        <f t="shared" si="2"/>
        <v>0</v>
      </c>
    </row>
    <row r="17" spans="1:97" ht="20.100000000000001" customHeight="1">
      <c r="A17" s="71" t="b">
        <f t="shared" si="0"/>
        <v>0</v>
      </c>
      <c r="B17" s="9" t="s">
        <v>132</v>
      </c>
      <c r="C17" s="14"/>
      <c r="D17" s="1"/>
      <c r="E17" s="1"/>
      <c r="F17" s="1"/>
      <c r="G17" s="1"/>
      <c r="H17" s="15"/>
      <c r="I17" s="14"/>
      <c r="J17" s="1"/>
      <c r="K17" s="1"/>
      <c r="L17" s="1"/>
      <c r="M17" s="1"/>
      <c r="N17" s="15"/>
      <c r="O17" s="14"/>
      <c r="P17" s="1"/>
      <c r="Q17" s="1"/>
      <c r="R17" s="1"/>
      <c r="S17" s="1"/>
      <c r="T17" s="15"/>
      <c r="U17" s="12"/>
      <c r="V17" s="8"/>
      <c r="W17" s="8"/>
      <c r="X17" s="8"/>
      <c r="Y17" s="8"/>
      <c r="Z17" s="13"/>
      <c r="AA17" s="12"/>
      <c r="AB17" s="8"/>
      <c r="AC17" s="8"/>
      <c r="AD17" s="8"/>
      <c r="AE17" s="8"/>
      <c r="AF17" s="211"/>
      <c r="AG17" s="12"/>
      <c r="AH17" s="8"/>
      <c r="AI17" s="8"/>
      <c r="AJ17" s="8"/>
      <c r="AK17" s="8"/>
      <c r="AL17" s="13"/>
      <c r="AM17" s="12"/>
      <c r="AN17" s="8"/>
      <c r="AO17" s="8"/>
      <c r="AP17" s="8"/>
      <c r="AQ17" s="8"/>
      <c r="AR17" s="211"/>
      <c r="AS17" s="12"/>
      <c r="AT17" s="8"/>
      <c r="AU17" s="8"/>
      <c r="AV17" s="8"/>
      <c r="AW17" s="8"/>
      <c r="AX17" s="211"/>
      <c r="AY17" s="12"/>
      <c r="AZ17" s="8"/>
      <c r="BA17" s="8"/>
      <c r="BB17" s="8"/>
      <c r="BC17" s="8"/>
      <c r="BD17" s="13"/>
      <c r="BE17" s="12"/>
      <c r="BF17" s="8"/>
      <c r="BG17" s="8"/>
      <c r="BH17" s="8"/>
      <c r="BI17" s="8"/>
      <c r="BJ17" s="211"/>
      <c r="BK17" s="116"/>
      <c r="BL17" s="117"/>
      <c r="BM17" s="112"/>
      <c r="BN17" s="203"/>
      <c r="BO17" s="204"/>
      <c r="BP17" s="205"/>
      <c r="BQ17" s="203"/>
      <c r="BR17" s="204"/>
      <c r="BS17" s="205"/>
      <c r="BT17" s="203"/>
      <c r="BU17" s="204"/>
      <c r="BV17" s="205"/>
      <c r="BW17" s="203"/>
      <c r="BX17" s="204"/>
      <c r="BY17" s="205"/>
      <c r="BZ17" s="212"/>
      <c r="CA17" s="204"/>
      <c r="CB17" s="205"/>
      <c r="CC17" s="215"/>
      <c r="CD17" s="204"/>
      <c r="CE17" s="205"/>
      <c r="CF17" s="203"/>
      <c r="CG17" s="204"/>
      <c r="CH17" s="205"/>
      <c r="CI17" s="212"/>
      <c r="CJ17" s="204"/>
      <c r="CK17" s="205"/>
      <c r="CL17" s="215"/>
      <c r="CM17" s="204"/>
      <c r="CN17" s="205"/>
      <c r="CO17" s="203"/>
      <c r="CP17" s="204"/>
      <c r="CQ17" s="205"/>
      <c r="CR17" s="90" t="str">
        <f t="shared" si="1"/>
        <v>5C.1</v>
      </c>
      <c r="CS17" s="71" t="b">
        <f t="shared" si="2"/>
        <v>0</v>
      </c>
    </row>
    <row r="18" spans="1:97" ht="20.100000000000001" customHeight="1">
      <c r="A18" s="71" t="b">
        <f t="shared" si="0"/>
        <v>0</v>
      </c>
      <c r="B18" s="9" t="s">
        <v>133</v>
      </c>
      <c r="C18" s="14"/>
      <c r="D18" s="1"/>
      <c r="E18" s="1"/>
      <c r="F18" s="1"/>
      <c r="G18" s="1"/>
      <c r="H18" s="15"/>
      <c r="I18" s="14"/>
      <c r="J18" s="1"/>
      <c r="K18" s="1"/>
      <c r="L18" s="1"/>
      <c r="M18" s="1"/>
      <c r="N18" s="15"/>
      <c r="O18" s="14"/>
      <c r="P18" s="1"/>
      <c r="Q18" s="1"/>
      <c r="R18" s="1"/>
      <c r="S18" s="1"/>
      <c r="T18" s="15"/>
      <c r="U18" s="12"/>
      <c r="V18" s="8"/>
      <c r="W18" s="8"/>
      <c r="X18" s="8"/>
      <c r="Y18" s="8"/>
      <c r="Z18" s="13"/>
      <c r="AA18" s="12"/>
      <c r="AB18" s="8"/>
      <c r="AC18" s="8"/>
      <c r="AD18" s="8"/>
      <c r="AE18" s="8"/>
      <c r="AF18" s="211"/>
      <c r="AG18" s="12"/>
      <c r="AH18" s="8"/>
      <c r="AI18" s="8"/>
      <c r="AJ18" s="8"/>
      <c r="AK18" s="8"/>
      <c r="AL18" s="13"/>
      <c r="AM18" s="12"/>
      <c r="AN18" s="8"/>
      <c r="AO18" s="8"/>
      <c r="AP18" s="8"/>
      <c r="AQ18" s="8"/>
      <c r="AR18" s="211"/>
      <c r="AS18" s="12"/>
      <c r="AT18" s="8"/>
      <c r="AU18" s="8"/>
      <c r="AV18" s="8"/>
      <c r="AW18" s="8"/>
      <c r="AX18" s="211"/>
      <c r="AY18" s="12"/>
      <c r="AZ18" s="8"/>
      <c r="BA18" s="8"/>
      <c r="BB18" s="8"/>
      <c r="BC18" s="8"/>
      <c r="BD18" s="13"/>
      <c r="BE18" s="12"/>
      <c r="BF18" s="8"/>
      <c r="BG18" s="8"/>
      <c r="BH18" s="8"/>
      <c r="BI18" s="8"/>
      <c r="BJ18" s="211"/>
      <c r="BK18" s="116"/>
      <c r="BL18" s="117"/>
      <c r="BM18" s="112"/>
      <c r="BN18" s="203"/>
      <c r="BO18" s="204"/>
      <c r="BP18" s="205"/>
      <c r="BQ18" s="203"/>
      <c r="BR18" s="204"/>
      <c r="BS18" s="205"/>
      <c r="BT18" s="203"/>
      <c r="BU18" s="204"/>
      <c r="BV18" s="205"/>
      <c r="BW18" s="203"/>
      <c r="BX18" s="204"/>
      <c r="BY18" s="205"/>
      <c r="BZ18" s="212"/>
      <c r="CA18" s="204"/>
      <c r="CB18" s="205"/>
      <c r="CC18" s="215"/>
      <c r="CD18" s="204"/>
      <c r="CE18" s="205"/>
      <c r="CF18" s="203"/>
      <c r="CG18" s="204"/>
      <c r="CH18" s="205"/>
      <c r="CI18" s="212"/>
      <c r="CJ18" s="204"/>
      <c r="CK18" s="205"/>
      <c r="CL18" s="215"/>
      <c r="CM18" s="204"/>
      <c r="CN18" s="205"/>
      <c r="CO18" s="203"/>
      <c r="CP18" s="204"/>
      <c r="CQ18" s="205"/>
      <c r="CR18" s="90" t="str">
        <f t="shared" si="1"/>
        <v>5C.1</v>
      </c>
      <c r="CS18" s="71" t="b">
        <f t="shared" si="2"/>
        <v>0</v>
      </c>
    </row>
    <row r="19" spans="1:97" ht="20.100000000000001" customHeight="1">
      <c r="A19" s="71" t="b">
        <f t="shared" si="0"/>
        <v>0</v>
      </c>
      <c r="B19" s="9" t="s">
        <v>134</v>
      </c>
      <c r="C19" s="14"/>
      <c r="D19" s="1"/>
      <c r="E19" s="1"/>
      <c r="F19" s="1"/>
      <c r="G19" s="1"/>
      <c r="H19" s="15"/>
      <c r="I19" s="14"/>
      <c r="J19" s="1"/>
      <c r="K19" s="1"/>
      <c r="L19" s="1"/>
      <c r="M19" s="1"/>
      <c r="N19" s="15"/>
      <c r="O19" s="14"/>
      <c r="P19" s="1"/>
      <c r="Q19" s="1"/>
      <c r="R19" s="1"/>
      <c r="S19" s="1"/>
      <c r="T19" s="15"/>
      <c r="U19" s="12"/>
      <c r="V19" s="8"/>
      <c r="W19" s="8"/>
      <c r="X19" s="8"/>
      <c r="Y19" s="8"/>
      <c r="Z19" s="13"/>
      <c r="AA19" s="12"/>
      <c r="AB19" s="8"/>
      <c r="AC19" s="8"/>
      <c r="AD19" s="8"/>
      <c r="AE19" s="8"/>
      <c r="AF19" s="211"/>
      <c r="AG19" s="12"/>
      <c r="AH19" s="8"/>
      <c r="AI19" s="8"/>
      <c r="AJ19" s="8"/>
      <c r="AK19" s="8"/>
      <c r="AL19" s="13"/>
      <c r="AM19" s="12"/>
      <c r="AN19" s="8"/>
      <c r="AO19" s="8"/>
      <c r="AP19" s="8"/>
      <c r="AQ19" s="8"/>
      <c r="AR19" s="211"/>
      <c r="AS19" s="12"/>
      <c r="AT19" s="8"/>
      <c r="AU19" s="8"/>
      <c r="AV19" s="8"/>
      <c r="AW19" s="8"/>
      <c r="AX19" s="211"/>
      <c r="AY19" s="12"/>
      <c r="AZ19" s="8"/>
      <c r="BA19" s="8"/>
      <c r="BB19" s="8"/>
      <c r="BC19" s="8"/>
      <c r="BD19" s="13"/>
      <c r="BE19" s="12"/>
      <c r="BF19" s="8"/>
      <c r="BG19" s="8"/>
      <c r="BH19" s="8"/>
      <c r="BI19" s="8"/>
      <c r="BJ19" s="211"/>
      <c r="BK19" s="116"/>
      <c r="BL19" s="117"/>
      <c r="BM19" s="112"/>
      <c r="BN19" s="203"/>
      <c r="BO19" s="204"/>
      <c r="BP19" s="205"/>
      <c r="BQ19" s="203"/>
      <c r="BR19" s="204"/>
      <c r="BS19" s="205"/>
      <c r="BT19" s="203"/>
      <c r="BU19" s="204"/>
      <c r="BV19" s="205"/>
      <c r="BW19" s="203"/>
      <c r="BX19" s="204"/>
      <c r="BY19" s="205"/>
      <c r="BZ19" s="212"/>
      <c r="CA19" s="204"/>
      <c r="CB19" s="205"/>
      <c r="CC19" s="215"/>
      <c r="CD19" s="204"/>
      <c r="CE19" s="205"/>
      <c r="CF19" s="203"/>
      <c r="CG19" s="204"/>
      <c r="CH19" s="205"/>
      <c r="CI19" s="212"/>
      <c r="CJ19" s="204"/>
      <c r="CK19" s="205"/>
      <c r="CL19" s="215"/>
      <c r="CM19" s="204"/>
      <c r="CN19" s="205"/>
      <c r="CO19" s="203"/>
      <c r="CP19" s="204"/>
      <c r="CQ19" s="205"/>
      <c r="CR19" s="90" t="str">
        <f t="shared" si="1"/>
        <v>5C.1</v>
      </c>
      <c r="CS19" s="71" t="b">
        <f t="shared" si="2"/>
        <v>0</v>
      </c>
    </row>
    <row r="20" spans="1:97" ht="20.100000000000001" customHeight="1">
      <c r="A20" s="71" t="b">
        <f t="shared" si="0"/>
        <v>0</v>
      </c>
      <c r="B20" s="9" t="s">
        <v>135</v>
      </c>
      <c r="C20" s="14"/>
      <c r="D20" s="1"/>
      <c r="E20" s="1"/>
      <c r="F20" s="1"/>
      <c r="G20" s="1"/>
      <c r="H20" s="15"/>
      <c r="I20" s="14"/>
      <c r="J20" s="1"/>
      <c r="K20" s="1"/>
      <c r="L20" s="1"/>
      <c r="M20" s="1"/>
      <c r="N20" s="15"/>
      <c r="O20" s="14"/>
      <c r="P20" s="1"/>
      <c r="Q20" s="1"/>
      <c r="R20" s="1"/>
      <c r="S20" s="1"/>
      <c r="T20" s="15"/>
      <c r="U20" s="12"/>
      <c r="V20" s="8"/>
      <c r="W20" s="8"/>
      <c r="X20" s="8"/>
      <c r="Y20" s="8"/>
      <c r="Z20" s="13"/>
      <c r="AA20" s="12"/>
      <c r="AB20" s="8"/>
      <c r="AC20" s="8"/>
      <c r="AD20" s="8"/>
      <c r="AE20" s="8"/>
      <c r="AF20" s="211"/>
      <c r="AG20" s="12"/>
      <c r="AH20" s="8"/>
      <c r="AI20" s="8"/>
      <c r="AJ20" s="8"/>
      <c r="AK20" s="8"/>
      <c r="AL20" s="13"/>
      <c r="AM20" s="12"/>
      <c r="AN20" s="8"/>
      <c r="AO20" s="8"/>
      <c r="AP20" s="8"/>
      <c r="AQ20" s="8"/>
      <c r="AR20" s="211"/>
      <c r="AS20" s="12"/>
      <c r="AT20" s="8"/>
      <c r="AU20" s="8"/>
      <c r="AV20" s="8"/>
      <c r="AW20" s="8"/>
      <c r="AX20" s="211"/>
      <c r="AY20" s="12"/>
      <c r="AZ20" s="8"/>
      <c r="BA20" s="8"/>
      <c r="BB20" s="8"/>
      <c r="BC20" s="8"/>
      <c r="BD20" s="13"/>
      <c r="BE20" s="12"/>
      <c r="BF20" s="8"/>
      <c r="BG20" s="8"/>
      <c r="BH20" s="8"/>
      <c r="BI20" s="8"/>
      <c r="BJ20" s="211"/>
      <c r="BK20" s="116"/>
      <c r="BL20" s="117"/>
      <c r="BM20" s="112"/>
      <c r="BN20" s="203"/>
      <c r="BO20" s="204"/>
      <c r="BP20" s="205"/>
      <c r="BQ20" s="203"/>
      <c r="BR20" s="204"/>
      <c r="BS20" s="205"/>
      <c r="BT20" s="203"/>
      <c r="BU20" s="204"/>
      <c r="BV20" s="205"/>
      <c r="BW20" s="203"/>
      <c r="BX20" s="204"/>
      <c r="BY20" s="205"/>
      <c r="BZ20" s="212"/>
      <c r="CA20" s="204"/>
      <c r="CB20" s="205"/>
      <c r="CC20" s="215"/>
      <c r="CD20" s="204"/>
      <c r="CE20" s="205"/>
      <c r="CF20" s="203"/>
      <c r="CG20" s="204"/>
      <c r="CH20" s="205"/>
      <c r="CI20" s="212"/>
      <c r="CJ20" s="204"/>
      <c r="CK20" s="205"/>
      <c r="CL20" s="215"/>
      <c r="CM20" s="204"/>
      <c r="CN20" s="205"/>
      <c r="CO20" s="203"/>
      <c r="CP20" s="204"/>
      <c r="CQ20" s="205"/>
      <c r="CR20" s="90" t="str">
        <f t="shared" si="1"/>
        <v>5C.1</v>
      </c>
      <c r="CS20" s="71" t="b">
        <f t="shared" si="2"/>
        <v>0</v>
      </c>
    </row>
    <row r="21" spans="1:97" ht="20.100000000000001" customHeight="1">
      <c r="A21" s="71" t="b">
        <f t="shared" si="0"/>
        <v>0</v>
      </c>
      <c r="B21" s="9" t="s">
        <v>136</v>
      </c>
      <c r="C21" s="14"/>
      <c r="D21" s="1"/>
      <c r="E21" s="1"/>
      <c r="F21" s="1"/>
      <c r="G21" s="1"/>
      <c r="H21" s="15"/>
      <c r="I21" s="14"/>
      <c r="J21" s="1"/>
      <c r="K21" s="1"/>
      <c r="L21" s="1"/>
      <c r="M21" s="1"/>
      <c r="N21" s="15"/>
      <c r="O21" s="14"/>
      <c r="P21" s="1"/>
      <c r="Q21" s="1"/>
      <c r="R21" s="1"/>
      <c r="S21" s="1"/>
      <c r="T21" s="15"/>
      <c r="U21" s="12"/>
      <c r="V21" s="8"/>
      <c r="W21" s="8"/>
      <c r="X21" s="8"/>
      <c r="Y21" s="8"/>
      <c r="Z21" s="13"/>
      <c r="AA21" s="12"/>
      <c r="AB21" s="8"/>
      <c r="AC21" s="8"/>
      <c r="AD21" s="8"/>
      <c r="AE21" s="8"/>
      <c r="AF21" s="211"/>
      <c r="AG21" s="12"/>
      <c r="AH21" s="8"/>
      <c r="AI21" s="8"/>
      <c r="AJ21" s="8"/>
      <c r="AK21" s="8"/>
      <c r="AL21" s="13"/>
      <c r="AM21" s="12"/>
      <c r="AN21" s="8"/>
      <c r="AO21" s="8"/>
      <c r="AP21" s="8"/>
      <c r="AQ21" s="8"/>
      <c r="AR21" s="211"/>
      <c r="AS21" s="12"/>
      <c r="AT21" s="8"/>
      <c r="AU21" s="8"/>
      <c r="AV21" s="8"/>
      <c r="AW21" s="8"/>
      <c r="AX21" s="211"/>
      <c r="AY21" s="12"/>
      <c r="AZ21" s="8"/>
      <c r="BA21" s="8"/>
      <c r="BB21" s="8"/>
      <c r="BC21" s="8"/>
      <c r="BD21" s="13"/>
      <c r="BE21" s="12"/>
      <c r="BF21" s="8"/>
      <c r="BG21" s="8"/>
      <c r="BH21" s="8"/>
      <c r="BI21" s="8"/>
      <c r="BJ21" s="211"/>
      <c r="BK21" s="116"/>
      <c r="BL21" s="117"/>
      <c r="BM21" s="112"/>
      <c r="BN21" s="203"/>
      <c r="BO21" s="204"/>
      <c r="BP21" s="205"/>
      <c r="BQ21" s="212"/>
      <c r="BR21" s="204"/>
      <c r="BS21" s="205"/>
      <c r="BT21" s="215"/>
      <c r="BU21" s="204"/>
      <c r="BV21" s="205"/>
      <c r="BW21" s="203"/>
      <c r="BX21" s="204"/>
      <c r="BY21" s="205"/>
      <c r="BZ21" s="203"/>
      <c r="CA21" s="204"/>
      <c r="CB21" s="205"/>
      <c r="CC21" s="203"/>
      <c r="CD21" s="204"/>
      <c r="CE21" s="205"/>
      <c r="CF21" s="203"/>
      <c r="CG21" s="204"/>
      <c r="CH21" s="205"/>
      <c r="CI21" s="203"/>
      <c r="CJ21" s="204"/>
      <c r="CK21" s="205"/>
      <c r="CL21" s="203"/>
      <c r="CM21" s="204"/>
      <c r="CN21" s="205"/>
      <c r="CO21" s="203"/>
      <c r="CP21" s="204"/>
      <c r="CQ21" s="205"/>
      <c r="CR21" s="90" t="str">
        <f t="shared" si="1"/>
        <v>5C.1</v>
      </c>
      <c r="CS21" s="71" t="b">
        <f t="shared" si="2"/>
        <v>0</v>
      </c>
    </row>
    <row r="22" spans="1:97" ht="20.100000000000001" customHeight="1">
      <c r="A22" s="71" t="b">
        <f t="shared" si="0"/>
        <v>0</v>
      </c>
      <c r="B22" s="9" t="s">
        <v>137</v>
      </c>
      <c r="C22" s="14"/>
      <c r="D22" s="1"/>
      <c r="E22" s="1"/>
      <c r="F22" s="1"/>
      <c r="G22" s="1"/>
      <c r="H22" s="15"/>
      <c r="I22" s="14"/>
      <c r="J22" s="1"/>
      <c r="K22" s="1"/>
      <c r="L22" s="1"/>
      <c r="M22" s="1"/>
      <c r="N22" s="15"/>
      <c r="O22" s="14"/>
      <c r="P22" s="1"/>
      <c r="Q22" s="1"/>
      <c r="R22" s="1"/>
      <c r="S22" s="1"/>
      <c r="T22" s="15"/>
      <c r="U22" s="12"/>
      <c r="V22" s="8"/>
      <c r="W22" s="8"/>
      <c r="X22" s="8"/>
      <c r="Y22" s="8"/>
      <c r="Z22" s="13"/>
      <c r="AA22" s="12"/>
      <c r="AB22" s="8"/>
      <c r="AC22" s="8"/>
      <c r="AD22" s="8"/>
      <c r="AE22" s="8"/>
      <c r="AF22" s="211"/>
      <c r="AG22" s="12"/>
      <c r="AH22" s="8"/>
      <c r="AI22" s="8"/>
      <c r="AJ22" s="8"/>
      <c r="AK22" s="8"/>
      <c r="AL22" s="13"/>
      <c r="AM22" s="12"/>
      <c r="AN22" s="8"/>
      <c r="AO22" s="8"/>
      <c r="AP22" s="8"/>
      <c r="AQ22" s="8"/>
      <c r="AR22" s="211"/>
      <c r="AS22" s="12"/>
      <c r="AT22" s="8"/>
      <c r="AU22" s="8"/>
      <c r="AV22" s="8"/>
      <c r="AW22" s="8"/>
      <c r="AX22" s="211"/>
      <c r="AY22" s="12"/>
      <c r="AZ22" s="8"/>
      <c r="BA22" s="8"/>
      <c r="BB22" s="8"/>
      <c r="BC22" s="8"/>
      <c r="BD22" s="13"/>
      <c r="BE22" s="12"/>
      <c r="BF22" s="8"/>
      <c r="BG22" s="8"/>
      <c r="BH22" s="8"/>
      <c r="BI22" s="8"/>
      <c r="BJ22" s="211"/>
      <c r="BK22" s="116"/>
      <c r="BL22" s="117"/>
      <c r="BM22" s="112"/>
      <c r="BN22" s="203"/>
      <c r="BO22" s="204"/>
      <c r="BP22" s="205"/>
      <c r="BQ22" s="212"/>
      <c r="BR22" s="204"/>
      <c r="BS22" s="205"/>
      <c r="BT22" s="215"/>
      <c r="BU22" s="204"/>
      <c r="BV22" s="205"/>
      <c r="BW22" s="203"/>
      <c r="BX22" s="204"/>
      <c r="BY22" s="205"/>
      <c r="BZ22" s="203"/>
      <c r="CA22" s="204"/>
      <c r="CB22" s="205"/>
      <c r="CC22" s="203"/>
      <c r="CD22" s="204"/>
      <c r="CE22" s="205"/>
      <c r="CF22" s="203"/>
      <c r="CG22" s="204"/>
      <c r="CH22" s="205"/>
      <c r="CI22" s="203"/>
      <c r="CJ22" s="204"/>
      <c r="CK22" s="205"/>
      <c r="CL22" s="203"/>
      <c r="CM22" s="204"/>
      <c r="CN22" s="205"/>
      <c r="CO22" s="203"/>
      <c r="CP22" s="204"/>
      <c r="CQ22" s="205"/>
      <c r="CR22" s="90" t="str">
        <f t="shared" si="1"/>
        <v>5C.2</v>
      </c>
      <c r="CS22" s="71" t="b">
        <f t="shared" si="2"/>
        <v>0</v>
      </c>
    </row>
    <row r="23" spans="1:97" ht="20.100000000000001" customHeight="1">
      <c r="A23" s="71" t="b">
        <f t="shared" si="0"/>
        <v>0</v>
      </c>
      <c r="B23" s="9" t="s">
        <v>138</v>
      </c>
      <c r="C23" s="14"/>
      <c r="D23" s="1"/>
      <c r="E23" s="1"/>
      <c r="F23" s="1"/>
      <c r="G23" s="1"/>
      <c r="H23" s="15"/>
      <c r="I23" s="14"/>
      <c r="J23" s="1"/>
      <c r="K23" s="1"/>
      <c r="L23" s="1"/>
      <c r="M23" s="1"/>
      <c r="N23" s="15"/>
      <c r="O23" s="14"/>
      <c r="P23" s="1"/>
      <c r="Q23" s="1"/>
      <c r="R23" s="1"/>
      <c r="S23" s="1"/>
      <c r="T23" s="15"/>
      <c r="U23" s="12"/>
      <c r="V23" s="8"/>
      <c r="W23" s="8"/>
      <c r="X23" s="8"/>
      <c r="Y23" s="8"/>
      <c r="Z23" s="13"/>
      <c r="AA23" s="12"/>
      <c r="AB23" s="8"/>
      <c r="AC23" s="8"/>
      <c r="AD23" s="8"/>
      <c r="AE23" s="8"/>
      <c r="AF23" s="211"/>
      <c r="AG23" s="12"/>
      <c r="AH23" s="8"/>
      <c r="AI23" s="8"/>
      <c r="AJ23" s="8"/>
      <c r="AK23" s="8"/>
      <c r="AL23" s="13"/>
      <c r="AM23" s="12"/>
      <c r="AN23" s="8"/>
      <c r="AO23" s="8"/>
      <c r="AP23" s="8"/>
      <c r="AQ23" s="8"/>
      <c r="AR23" s="211"/>
      <c r="AS23" s="12"/>
      <c r="AT23" s="8"/>
      <c r="AU23" s="8"/>
      <c r="AV23" s="8"/>
      <c r="AW23" s="8"/>
      <c r="AX23" s="211"/>
      <c r="AY23" s="12"/>
      <c r="AZ23" s="8"/>
      <c r="BA23" s="8"/>
      <c r="BB23" s="8"/>
      <c r="BC23" s="8"/>
      <c r="BD23" s="13"/>
      <c r="BE23" s="12"/>
      <c r="BF23" s="8"/>
      <c r="BG23" s="8"/>
      <c r="BH23" s="8"/>
      <c r="BI23" s="8"/>
      <c r="BJ23" s="211"/>
      <c r="BK23" s="116"/>
      <c r="BL23" s="117"/>
      <c r="BM23" s="112"/>
      <c r="BN23" s="203"/>
      <c r="BO23" s="204"/>
      <c r="BP23" s="205"/>
      <c r="BQ23" s="203"/>
      <c r="BR23" s="204"/>
      <c r="BS23" s="205"/>
      <c r="BT23" s="203"/>
      <c r="BU23" s="204"/>
      <c r="BV23" s="205"/>
      <c r="BW23" s="203"/>
      <c r="BX23" s="204"/>
      <c r="BY23" s="205"/>
      <c r="BZ23" s="215"/>
      <c r="CA23" s="204"/>
      <c r="CB23" s="205"/>
      <c r="CC23" s="215"/>
      <c r="CD23" s="204"/>
      <c r="CE23" s="205"/>
      <c r="CF23" s="203"/>
      <c r="CG23" s="204"/>
      <c r="CH23" s="205"/>
      <c r="CI23" s="215"/>
      <c r="CJ23" s="204"/>
      <c r="CK23" s="205"/>
      <c r="CL23" s="215"/>
      <c r="CM23" s="204"/>
      <c r="CN23" s="205"/>
      <c r="CO23" s="203"/>
      <c r="CP23" s="204"/>
      <c r="CQ23" s="205"/>
      <c r="CR23" s="90" t="str">
        <f t="shared" si="1"/>
        <v>5C.3</v>
      </c>
      <c r="CS23" s="71" t="b">
        <f t="shared" si="2"/>
        <v>0</v>
      </c>
    </row>
    <row r="24" spans="1:97" ht="20.100000000000001" customHeight="1">
      <c r="A24" s="71" t="b">
        <f t="shared" si="0"/>
        <v>0</v>
      </c>
      <c r="B24" s="9" t="s">
        <v>139</v>
      </c>
      <c r="C24" s="14"/>
      <c r="D24" s="1"/>
      <c r="E24" s="1"/>
      <c r="F24" s="1"/>
      <c r="G24" s="1"/>
      <c r="H24" s="15"/>
      <c r="I24" s="14"/>
      <c r="J24" s="1"/>
      <c r="K24" s="1"/>
      <c r="L24" s="1"/>
      <c r="M24" s="1"/>
      <c r="N24" s="15"/>
      <c r="O24" s="14"/>
      <c r="P24" s="1"/>
      <c r="Q24" s="1"/>
      <c r="R24" s="1"/>
      <c r="S24" s="1"/>
      <c r="T24" s="15"/>
      <c r="U24" s="12"/>
      <c r="V24" s="8"/>
      <c r="W24" s="8"/>
      <c r="X24" s="8"/>
      <c r="Y24" s="8"/>
      <c r="Z24" s="13"/>
      <c r="AA24" s="12"/>
      <c r="AB24" s="8"/>
      <c r="AC24" s="8"/>
      <c r="AD24" s="8"/>
      <c r="AE24" s="8"/>
      <c r="AF24" s="211"/>
      <c r="AG24" s="12"/>
      <c r="AH24" s="8"/>
      <c r="AI24" s="8"/>
      <c r="AJ24" s="8"/>
      <c r="AK24" s="8"/>
      <c r="AL24" s="13"/>
      <c r="AM24" s="12"/>
      <c r="AN24" s="8"/>
      <c r="AO24" s="8"/>
      <c r="AP24" s="8"/>
      <c r="AQ24" s="8"/>
      <c r="AR24" s="211"/>
      <c r="AS24" s="12"/>
      <c r="AT24" s="8"/>
      <c r="AU24" s="8"/>
      <c r="AV24" s="8"/>
      <c r="AW24" s="8"/>
      <c r="AX24" s="211"/>
      <c r="AY24" s="12"/>
      <c r="AZ24" s="8"/>
      <c r="BA24" s="8"/>
      <c r="BB24" s="8"/>
      <c r="BC24" s="8"/>
      <c r="BD24" s="13"/>
      <c r="BE24" s="12"/>
      <c r="BF24" s="8"/>
      <c r="BG24" s="8"/>
      <c r="BH24" s="8"/>
      <c r="BI24" s="8"/>
      <c r="BJ24" s="211"/>
      <c r="BK24" s="116"/>
      <c r="BL24" s="117"/>
      <c r="BM24" s="112"/>
      <c r="BN24" s="203"/>
      <c r="BO24" s="204"/>
      <c r="BP24" s="205"/>
      <c r="BQ24" s="203"/>
      <c r="BR24" s="204"/>
      <c r="BS24" s="205"/>
      <c r="BT24" s="203"/>
      <c r="BU24" s="204"/>
      <c r="BV24" s="205"/>
      <c r="BW24" s="203"/>
      <c r="BX24" s="204"/>
      <c r="BY24" s="205"/>
      <c r="BZ24" s="215"/>
      <c r="CA24" s="204"/>
      <c r="CB24" s="205"/>
      <c r="CC24" s="212"/>
      <c r="CD24" s="204"/>
      <c r="CE24" s="205"/>
      <c r="CF24" s="203"/>
      <c r="CG24" s="204"/>
      <c r="CH24" s="205"/>
      <c r="CI24" s="215"/>
      <c r="CJ24" s="204"/>
      <c r="CK24" s="205"/>
      <c r="CL24" s="212"/>
      <c r="CM24" s="204"/>
      <c r="CN24" s="205"/>
      <c r="CO24" s="203"/>
      <c r="CP24" s="204"/>
      <c r="CQ24" s="205"/>
      <c r="CR24" s="90" t="str">
        <f t="shared" si="1"/>
        <v>5C.3</v>
      </c>
      <c r="CS24" s="71" t="b">
        <f t="shared" si="2"/>
        <v>0</v>
      </c>
    </row>
    <row r="25" spans="1:97" ht="20.100000000000001" customHeight="1">
      <c r="A25" s="71" t="b">
        <f t="shared" si="0"/>
        <v>0</v>
      </c>
      <c r="B25" s="9" t="s">
        <v>140</v>
      </c>
      <c r="C25" s="14"/>
      <c r="D25" s="1"/>
      <c r="E25" s="1"/>
      <c r="F25" s="1"/>
      <c r="G25" s="1"/>
      <c r="H25" s="15"/>
      <c r="I25" s="14"/>
      <c r="J25" s="1"/>
      <c r="K25" s="1"/>
      <c r="L25" s="1"/>
      <c r="M25" s="1"/>
      <c r="N25" s="15"/>
      <c r="O25" s="14"/>
      <c r="P25" s="1"/>
      <c r="Q25" s="1"/>
      <c r="R25" s="1"/>
      <c r="S25" s="1"/>
      <c r="T25" s="15"/>
      <c r="U25" s="12"/>
      <c r="V25" s="8"/>
      <c r="W25" s="8"/>
      <c r="X25" s="8"/>
      <c r="Y25" s="8"/>
      <c r="Z25" s="13"/>
      <c r="AA25" s="12"/>
      <c r="AB25" s="8"/>
      <c r="AC25" s="8"/>
      <c r="AD25" s="8"/>
      <c r="AE25" s="8"/>
      <c r="AF25" s="211"/>
      <c r="AG25" s="12"/>
      <c r="AH25" s="8"/>
      <c r="AI25" s="8"/>
      <c r="AJ25" s="8"/>
      <c r="AK25" s="8"/>
      <c r="AL25" s="13"/>
      <c r="AM25" s="12"/>
      <c r="AN25" s="8"/>
      <c r="AO25" s="8"/>
      <c r="AP25" s="8"/>
      <c r="AQ25" s="8"/>
      <c r="AR25" s="211"/>
      <c r="AS25" s="12"/>
      <c r="AT25" s="8"/>
      <c r="AU25" s="8"/>
      <c r="AV25" s="8"/>
      <c r="AW25" s="8"/>
      <c r="AX25" s="211"/>
      <c r="AY25" s="12"/>
      <c r="AZ25" s="8"/>
      <c r="BA25" s="8"/>
      <c r="BB25" s="8"/>
      <c r="BC25" s="8"/>
      <c r="BD25" s="13"/>
      <c r="BE25" s="12"/>
      <c r="BF25" s="8"/>
      <c r="BG25" s="8"/>
      <c r="BH25" s="8"/>
      <c r="BI25" s="8"/>
      <c r="BJ25" s="211"/>
      <c r="BK25" s="116"/>
      <c r="BL25" s="117"/>
      <c r="BM25" s="112"/>
      <c r="BN25" s="203"/>
      <c r="BO25" s="204"/>
      <c r="BP25" s="205"/>
      <c r="BQ25" s="203"/>
      <c r="BR25" s="204"/>
      <c r="BS25" s="205"/>
      <c r="BT25" s="203"/>
      <c r="BU25" s="204"/>
      <c r="BV25" s="205"/>
      <c r="BW25" s="203"/>
      <c r="BX25" s="204"/>
      <c r="BY25" s="205"/>
      <c r="BZ25" s="215"/>
      <c r="CA25" s="204"/>
      <c r="CB25" s="205"/>
      <c r="CC25" s="212"/>
      <c r="CD25" s="204"/>
      <c r="CE25" s="205"/>
      <c r="CF25" s="203"/>
      <c r="CG25" s="204"/>
      <c r="CH25" s="205"/>
      <c r="CI25" s="215"/>
      <c r="CJ25" s="204"/>
      <c r="CK25" s="205"/>
      <c r="CL25" s="212"/>
      <c r="CM25" s="204"/>
      <c r="CN25" s="205"/>
      <c r="CO25" s="203"/>
      <c r="CP25" s="204"/>
      <c r="CQ25" s="205"/>
      <c r="CR25" s="90" t="str">
        <f t="shared" si="1"/>
        <v>5C.3</v>
      </c>
      <c r="CS25" s="71" t="b">
        <f t="shared" si="2"/>
        <v>0</v>
      </c>
    </row>
    <row r="26" spans="1:97" ht="20.100000000000001" customHeight="1">
      <c r="A26" s="71" t="b">
        <f t="shared" si="0"/>
        <v>0</v>
      </c>
      <c r="B26" s="9" t="s">
        <v>141</v>
      </c>
      <c r="C26" s="14"/>
      <c r="D26" s="1"/>
      <c r="E26" s="1"/>
      <c r="F26" s="1"/>
      <c r="G26" s="1"/>
      <c r="H26" s="15"/>
      <c r="I26" s="14"/>
      <c r="J26" s="1"/>
      <c r="K26" s="1"/>
      <c r="L26" s="1"/>
      <c r="M26" s="1"/>
      <c r="N26" s="15"/>
      <c r="O26" s="14"/>
      <c r="P26" s="1"/>
      <c r="Q26" s="1"/>
      <c r="R26" s="1"/>
      <c r="S26" s="1"/>
      <c r="T26" s="15"/>
      <c r="U26" s="12"/>
      <c r="V26" s="8"/>
      <c r="W26" s="8"/>
      <c r="X26" s="8"/>
      <c r="Y26" s="8"/>
      <c r="Z26" s="13"/>
      <c r="AA26" s="12"/>
      <c r="AB26" s="8"/>
      <c r="AC26" s="8"/>
      <c r="AD26" s="8"/>
      <c r="AE26" s="8"/>
      <c r="AF26" s="211"/>
      <c r="AG26" s="12"/>
      <c r="AH26" s="8"/>
      <c r="AI26" s="8"/>
      <c r="AJ26" s="8"/>
      <c r="AK26" s="8"/>
      <c r="AL26" s="13"/>
      <c r="AM26" s="12"/>
      <c r="AN26" s="8"/>
      <c r="AO26" s="8"/>
      <c r="AP26" s="8"/>
      <c r="AQ26" s="8"/>
      <c r="AR26" s="211"/>
      <c r="AS26" s="12"/>
      <c r="AT26" s="8"/>
      <c r="AU26" s="8"/>
      <c r="AV26" s="8"/>
      <c r="AW26" s="8"/>
      <c r="AX26" s="211"/>
      <c r="AY26" s="12"/>
      <c r="AZ26" s="8"/>
      <c r="BA26" s="8"/>
      <c r="BB26" s="8"/>
      <c r="BC26" s="8"/>
      <c r="BD26" s="13"/>
      <c r="BE26" s="12"/>
      <c r="BF26" s="8"/>
      <c r="BG26" s="8"/>
      <c r="BH26" s="8"/>
      <c r="BI26" s="8"/>
      <c r="BJ26" s="211"/>
      <c r="BK26" s="116"/>
      <c r="BL26" s="117"/>
      <c r="BM26" s="112"/>
      <c r="BN26" s="203"/>
      <c r="BO26" s="204"/>
      <c r="BP26" s="205"/>
      <c r="BQ26" s="203"/>
      <c r="BR26" s="204"/>
      <c r="BS26" s="205"/>
      <c r="BT26" s="203"/>
      <c r="BU26" s="204"/>
      <c r="BV26" s="205"/>
      <c r="BW26" s="203"/>
      <c r="BX26" s="204"/>
      <c r="BY26" s="205"/>
      <c r="BZ26" s="215"/>
      <c r="CA26" s="214"/>
      <c r="CB26" s="205"/>
      <c r="CC26" s="212"/>
      <c r="CD26" s="214"/>
      <c r="CE26" s="205"/>
      <c r="CF26" s="203"/>
      <c r="CG26" s="204"/>
      <c r="CH26" s="205"/>
      <c r="CI26" s="215"/>
      <c r="CJ26" s="214"/>
      <c r="CK26" s="205"/>
      <c r="CL26" s="212"/>
      <c r="CM26" s="214"/>
      <c r="CN26" s="205"/>
      <c r="CO26" s="203"/>
      <c r="CP26" s="204"/>
      <c r="CQ26" s="205"/>
      <c r="CR26" s="90" t="str">
        <f t="shared" si="1"/>
        <v>5C.3</v>
      </c>
      <c r="CS26" s="71" t="b">
        <f t="shared" si="2"/>
        <v>0</v>
      </c>
    </row>
    <row r="27" spans="1:97" ht="20.100000000000001" customHeight="1">
      <c r="A27" s="71" t="b">
        <f t="shared" si="0"/>
        <v>0</v>
      </c>
      <c r="B27" s="9" t="s">
        <v>142</v>
      </c>
      <c r="C27" s="12"/>
      <c r="D27" s="8"/>
      <c r="E27" s="8"/>
      <c r="F27" s="8"/>
      <c r="G27" s="8"/>
      <c r="H27" s="13"/>
      <c r="I27" s="12"/>
      <c r="J27" s="8"/>
      <c r="K27" s="8"/>
      <c r="L27" s="8"/>
      <c r="M27" s="8"/>
      <c r="N27" s="13"/>
      <c r="O27" s="12"/>
      <c r="P27" s="8"/>
      <c r="Q27" s="8"/>
      <c r="R27" s="8"/>
      <c r="S27" s="8"/>
      <c r="T27" s="13"/>
      <c r="U27" s="12"/>
      <c r="V27" s="8"/>
      <c r="W27" s="8"/>
      <c r="X27" s="8"/>
      <c r="Y27" s="8"/>
      <c r="Z27" s="13"/>
      <c r="AA27" s="12"/>
      <c r="AB27" s="8"/>
      <c r="AC27" s="8"/>
      <c r="AD27" s="8"/>
      <c r="AE27" s="8"/>
      <c r="AF27" s="211"/>
      <c r="AG27" s="12"/>
      <c r="AH27" s="8"/>
      <c r="AI27" s="8"/>
      <c r="AJ27" s="8"/>
      <c r="AK27" s="8"/>
      <c r="AL27" s="13"/>
      <c r="AM27" s="14"/>
      <c r="AN27" s="1"/>
      <c r="AO27" s="1"/>
      <c r="AP27" s="1"/>
      <c r="AQ27" s="1"/>
      <c r="AR27" s="46"/>
      <c r="AS27" s="14"/>
      <c r="AT27" s="1"/>
      <c r="AU27" s="1"/>
      <c r="AV27" s="1"/>
      <c r="AW27" s="1"/>
      <c r="AX27" s="46"/>
      <c r="AY27" s="14"/>
      <c r="AZ27" s="1"/>
      <c r="BA27" s="1"/>
      <c r="BB27" s="1"/>
      <c r="BC27" s="1"/>
      <c r="BD27" s="15"/>
      <c r="BE27" s="12"/>
      <c r="BF27" s="8"/>
      <c r="BG27" s="8"/>
      <c r="BH27" s="8"/>
      <c r="BI27" s="8"/>
      <c r="BJ27" s="211"/>
      <c r="BK27" s="116"/>
      <c r="BL27" s="117"/>
      <c r="BM27" s="112"/>
      <c r="BN27" s="203"/>
      <c r="BO27" s="204"/>
      <c r="BP27" s="205"/>
      <c r="BQ27" s="203"/>
      <c r="BR27" s="204"/>
      <c r="BS27" s="205"/>
      <c r="BT27" s="203"/>
      <c r="BU27" s="204"/>
      <c r="BV27" s="205"/>
      <c r="BW27" s="203"/>
      <c r="BX27" s="204"/>
      <c r="BY27" s="205"/>
      <c r="BZ27" s="215"/>
      <c r="CA27" s="204"/>
      <c r="CB27" s="205"/>
      <c r="CC27" s="212"/>
      <c r="CD27" s="204"/>
      <c r="CE27" s="205"/>
      <c r="CF27" s="203"/>
      <c r="CG27" s="204"/>
      <c r="CH27" s="205"/>
      <c r="CI27" s="215"/>
      <c r="CJ27" s="204"/>
      <c r="CK27" s="205"/>
      <c r="CL27" s="212"/>
      <c r="CM27" s="204"/>
      <c r="CN27" s="205"/>
      <c r="CO27" s="203"/>
      <c r="CP27" s="204"/>
      <c r="CQ27" s="205"/>
      <c r="CR27" s="90" t="str">
        <f t="shared" si="1"/>
        <v>10B.1</v>
      </c>
      <c r="CS27" s="71" t="b">
        <f t="shared" si="2"/>
        <v>0</v>
      </c>
    </row>
    <row r="28" spans="1:97" ht="20.100000000000001" customHeight="1">
      <c r="A28" s="71" t="b">
        <f t="shared" si="0"/>
        <v>0</v>
      </c>
      <c r="B28" s="9" t="s">
        <v>143</v>
      </c>
      <c r="C28" s="12"/>
      <c r="D28" s="8"/>
      <c r="E28" s="8"/>
      <c r="F28" s="8"/>
      <c r="G28" s="8"/>
      <c r="H28" s="13"/>
      <c r="I28" s="12"/>
      <c r="J28" s="8"/>
      <c r="K28" s="8"/>
      <c r="L28" s="8"/>
      <c r="M28" s="8"/>
      <c r="N28" s="13"/>
      <c r="O28" s="12"/>
      <c r="P28" s="8"/>
      <c r="Q28" s="8"/>
      <c r="R28" s="8"/>
      <c r="S28" s="8"/>
      <c r="T28" s="13"/>
      <c r="U28" s="12"/>
      <c r="V28" s="8"/>
      <c r="W28" s="8"/>
      <c r="X28" s="8"/>
      <c r="Y28" s="8"/>
      <c r="Z28" s="13"/>
      <c r="AA28" s="12"/>
      <c r="AB28" s="8"/>
      <c r="AC28" s="8"/>
      <c r="AD28" s="8"/>
      <c r="AE28" s="8"/>
      <c r="AF28" s="211"/>
      <c r="AG28" s="12"/>
      <c r="AH28" s="8"/>
      <c r="AI28" s="8"/>
      <c r="AJ28" s="8"/>
      <c r="AK28" s="8"/>
      <c r="AL28" s="13"/>
      <c r="AM28" s="14"/>
      <c r="AN28" s="1"/>
      <c r="AO28" s="1"/>
      <c r="AP28" s="1"/>
      <c r="AQ28" s="1"/>
      <c r="AR28" s="46"/>
      <c r="AS28" s="14"/>
      <c r="AT28" s="1"/>
      <c r="AU28" s="1"/>
      <c r="AV28" s="1"/>
      <c r="AW28" s="1"/>
      <c r="AX28" s="46"/>
      <c r="AY28" s="14"/>
      <c r="AZ28" s="1"/>
      <c r="BA28" s="1"/>
      <c r="BB28" s="1"/>
      <c r="BC28" s="1"/>
      <c r="BD28" s="15"/>
      <c r="BE28" s="12"/>
      <c r="BF28" s="8"/>
      <c r="BG28" s="8"/>
      <c r="BH28" s="8"/>
      <c r="BI28" s="8"/>
      <c r="BJ28" s="211"/>
      <c r="BK28" s="116"/>
      <c r="BL28" s="117"/>
      <c r="BM28" s="112"/>
      <c r="BN28" s="203"/>
      <c r="BO28" s="204"/>
      <c r="BP28" s="205"/>
      <c r="BQ28" s="203"/>
      <c r="BR28" s="204"/>
      <c r="BS28" s="205"/>
      <c r="BT28" s="203"/>
      <c r="BU28" s="204"/>
      <c r="BV28" s="205"/>
      <c r="BW28" s="203"/>
      <c r="BX28" s="204"/>
      <c r="BY28" s="205"/>
      <c r="BZ28" s="215"/>
      <c r="CA28" s="204"/>
      <c r="CB28" s="205"/>
      <c r="CC28" s="212"/>
      <c r="CD28" s="204"/>
      <c r="CE28" s="205"/>
      <c r="CF28" s="203"/>
      <c r="CG28" s="204"/>
      <c r="CH28" s="205"/>
      <c r="CI28" s="215"/>
      <c r="CJ28" s="204"/>
      <c r="CK28" s="205"/>
      <c r="CL28" s="212"/>
      <c r="CM28" s="204"/>
      <c r="CN28" s="205"/>
      <c r="CO28" s="203"/>
      <c r="CP28" s="204"/>
      <c r="CQ28" s="205"/>
      <c r="CR28" s="90" t="str">
        <f t="shared" si="1"/>
        <v>10B.1</v>
      </c>
      <c r="CS28" s="71" t="b">
        <f t="shared" si="2"/>
        <v>0</v>
      </c>
    </row>
    <row r="29" spans="1:97" ht="20.100000000000001" customHeight="1">
      <c r="A29" s="71" t="b">
        <f t="shared" si="0"/>
        <v>0</v>
      </c>
      <c r="B29" s="9" t="s">
        <v>144</v>
      </c>
      <c r="C29" s="12"/>
      <c r="D29" s="8"/>
      <c r="E29" s="8"/>
      <c r="F29" s="8"/>
      <c r="G29" s="8"/>
      <c r="H29" s="13"/>
      <c r="I29" s="12"/>
      <c r="J29" s="8"/>
      <c r="K29" s="8"/>
      <c r="L29" s="8"/>
      <c r="M29" s="8"/>
      <c r="N29" s="13"/>
      <c r="O29" s="12"/>
      <c r="P29" s="8"/>
      <c r="Q29" s="8"/>
      <c r="R29" s="8"/>
      <c r="S29" s="8"/>
      <c r="T29" s="13"/>
      <c r="U29" s="12"/>
      <c r="V29" s="8"/>
      <c r="W29" s="8"/>
      <c r="X29" s="8"/>
      <c r="Y29" s="8"/>
      <c r="Z29" s="13"/>
      <c r="AA29" s="12"/>
      <c r="AB29" s="8"/>
      <c r="AC29" s="8"/>
      <c r="AD29" s="8"/>
      <c r="AE29" s="8"/>
      <c r="AF29" s="211"/>
      <c r="AG29" s="12"/>
      <c r="AH29" s="8"/>
      <c r="AI29" s="8"/>
      <c r="AJ29" s="8"/>
      <c r="AK29" s="8"/>
      <c r="AL29" s="13"/>
      <c r="AM29" s="14"/>
      <c r="AN29" s="1"/>
      <c r="AO29" s="1"/>
      <c r="AP29" s="1"/>
      <c r="AQ29" s="1"/>
      <c r="AR29" s="46"/>
      <c r="AS29" s="14"/>
      <c r="AT29" s="1"/>
      <c r="AU29" s="1"/>
      <c r="AV29" s="1"/>
      <c r="AW29" s="1"/>
      <c r="AX29" s="46"/>
      <c r="AY29" s="14"/>
      <c r="AZ29" s="1"/>
      <c r="BA29" s="1"/>
      <c r="BB29" s="1"/>
      <c r="BC29" s="1"/>
      <c r="BD29" s="15"/>
      <c r="BE29" s="12"/>
      <c r="BF29" s="8"/>
      <c r="BG29" s="8"/>
      <c r="BH29" s="8"/>
      <c r="BI29" s="8"/>
      <c r="BJ29" s="211"/>
      <c r="BK29" s="116"/>
      <c r="BL29" s="117"/>
      <c r="BM29" s="112"/>
      <c r="BN29" s="203"/>
      <c r="BO29" s="204"/>
      <c r="BP29" s="205"/>
      <c r="BQ29" s="203"/>
      <c r="BR29" s="204"/>
      <c r="BS29" s="205"/>
      <c r="BT29" s="203"/>
      <c r="BU29" s="204"/>
      <c r="BV29" s="205"/>
      <c r="BW29" s="203"/>
      <c r="BX29" s="204"/>
      <c r="BY29" s="205"/>
      <c r="BZ29" s="215"/>
      <c r="CA29" s="204"/>
      <c r="CB29" s="205"/>
      <c r="CC29" s="212"/>
      <c r="CD29" s="204"/>
      <c r="CE29" s="205"/>
      <c r="CF29" s="203"/>
      <c r="CG29" s="204"/>
      <c r="CH29" s="205"/>
      <c r="CI29" s="215"/>
      <c r="CJ29" s="204"/>
      <c r="CK29" s="205"/>
      <c r="CL29" s="212"/>
      <c r="CM29" s="204"/>
      <c r="CN29" s="205"/>
      <c r="CO29" s="203"/>
      <c r="CP29" s="204"/>
      <c r="CQ29" s="205"/>
      <c r="CR29" s="90" t="str">
        <f t="shared" si="1"/>
        <v>10B.1</v>
      </c>
      <c r="CS29" s="71" t="b">
        <f t="shared" si="2"/>
        <v>0</v>
      </c>
    </row>
    <row r="30" spans="1:97" ht="20.100000000000001" customHeight="1">
      <c r="A30" s="71" t="b">
        <f t="shared" si="0"/>
        <v>0</v>
      </c>
      <c r="B30" s="9" t="s">
        <v>145</v>
      </c>
      <c r="C30" s="12"/>
      <c r="D30" s="8"/>
      <c r="E30" s="8"/>
      <c r="F30" s="8"/>
      <c r="G30" s="8"/>
      <c r="H30" s="13"/>
      <c r="I30" s="12"/>
      <c r="J30" s="8"/>
      <c r="K30" s="8"/>
      <c r="L30" s="8"/>
      <c r="M30" s="8"/>
      <c r="N30" s="13"/>
      <c r="O30" s="12"/>
      <c r="P30" s="8"/>
      <c r="Q30" s="8"/>
      <c r="R30" s="8"/>
      <c r="S30" s="8"/>
      <c r="T30" s="13"/>
      <c r="U30" s="12"/>
      <c r="V30" s="8"/>
      <c r="W30" s="8"/>
      <c r="X30" s="8"/>
      <c r="Y30" s="8"/>
      <c r="Z30" s="13"/>
      <c r="AA30" s="12"/>
      <c r="AB30" s="8"/>
      <c r="AC30" s="8"/>
      <c r="AD30" s="8"/>
      <c r="AE30" s="8"/>
      <c r="AF30" s="211"/>
      <c r="AG30" s="12"/>
      <c r="AH30" s="8"/>
      <c r="AI30" s="8"/>
      <c r="AJ30" s="8"/>
      <c r="AK30" s="8"/>
      <c r="AL30" s="13"/>
      <c r="AM30" s="14"/>
      <c r="AN30" s="1"/>
      <c r="AO30" s="1"/>
      <c r="AP30" s="1"/>
      <c r="AQ30" s="1"/>
      <c r="AR30" s="46"/>
      <c r="AS30" s="14"/>
      <c r="AT30" s="1"/>
      <c r="AU30" s="1"/>
      <c r="AV30" s="1"/>
      <c r="AW30" s="1"/>
      <c r="AX30" s="46"/>
      <c r="AY30" s="14"/>
      <c r="AZ30" s="1"/>
      <c r="BA30" s="1"/>
      <c r="BB30" s="1"/>
      <c r="BC30" s="1"/>
      <c r="BD30" s="15"/>
      <c r="BE30" s="12"/>
      <c r="BF30" s="8"/>
      <c r="BG30" s="8"/>
      <c r="BH30" s="8"/>
      <c r="BI30" s="8"/>
      <c r="BJ30" s="211"/>
      <c r="BK30" s="116"/>
      <c r="BL30" s="117"/>
      <c r="BM30" s="112"/>
      <c r="BN30" s="203"/>
      <c r="BO30" s="204"/>
      <c r="BP30" s="205"/>
      <c r="BQ30" s="203"/>
      <c r="BR30" s="204"/>
      <c r="BS30" s="205"/>
      <c r="BT30" s="203"/>
      <c r="BU30" s="204"/>
      <c r="BV30" s="205"/>
      <c r="BW30" s="203"/>
      <c r="BX30" s="204"/>
      <c r="BY30" s="205"/>
      <c r="BZ30" s="215"/>
      <c r="CA30" s="204"/>
      <c r="CB30" s="205"/>
      <c r="CC30" s="212"/>
      <c r="CD30" s="204"/>
      <c r="CE30" s="205"/>
      <c r="CF30" s="203"/>
      <c r="CG30" s="204"/>
      <c r="CH30" s="205"/>
      <c r="CI30" s="215"/>
      <c r="CJ30" s="204"/>
      <c r="CK30" s="205"/>
      <c r="CL30" s="212"/>
      <c r="CM30" s="204"/>
      <c r="CN30" s="205"/>
      <c r="CO30" s="203"/>
      <c r="CP30" s="204"/>
      <c r="CQ30" s="205"/>
      <c r="CR30" s="90" t="str">
        <f t="shared" si="1"/>
        <v>10B.1</v>
      </c>
      <c r="CS30" s="71" t="b">
        <f t="shared" si="2"/>
        <v>0</v>
      </c>
    </row>
    <row r="31" spans="1:97" ht="20.100000000000001" customHeight="1">
      <c r="A31" s="71" t="b">
        <f t="shared" si="0"/>
        <v>0</v>
      </c>
      <c r="B31" s="9" t="s">
        <v>146</v>
      </c>
      <c r="C31" s="12"/>
      <c r="D31" s="8"/>
      <c r="E31" s="8"/>
      <c r="F31" s="8"/>
      <c r="G31" s="8"/>
      <c r="H31" s="13"/>
      <c r="I31" s="12"/>
      <c r="J31" s="8"/>
      <c r="K31" s="8"/>
      <c r="L31" s="8"/>
      <c r="M31" s="8"/>
      <c r="N31" s="13"/>
      <c r="O31" s="12"/>
      <c r="P31" s="8"/>
      <c r="Q31" s="8"/>
      <c r="R31" s="8"/>
      <c r="S31" s="8"/>
      <c r="T31" s="13"/>
      <c r="U31" s="12"/>
      <c r="V31" s="8"/>
      <c r="W31" s="8"/>
      <c r="X31" s="8"/>
      <c r="Y31" s="8"/>
      <c r="Z31" s="13"/>
      <c r="AA31" s="8"/>
      <c r="AB31" s="8"/>
      <c r="AC31" s="8"/>
      <c r="AD31" s="8"/>
      <c r="AE31" s="8"/>
      <c r="AF31" s="211"/>
      <c r="AG31" s="12"/>
      <c r="AH31" s="8"/>
      <c r="AI31" s="8"/>
      <c r="AJ31" s="8"/>
      <c r="AK31" s="8"/>
      <c r="AL31" s="13"/>
      <c r="AM31" s="14"/>
      <c r="AN31" s="1"/>
      <c r="AO31" s="1"/>
      <c r="AP31" s="1"/>
      <c r="AQ31" s="1"/>
      <c r="AR31" s="46"/>
      <c r="AS31" s="14"/>
      <c r="AT31" s="1"/>
      <c r="AU31" s="1"/>
      <c r="AV31" s="1"/>
      <c r="AW31" s="1"/>
      <c r="AX31" s="46"/>
      <c r="AY31" s="14"/>
      <c r="AZ31" s="1"/>
      <c r="BA31" s="1"/>
      <c r="BB31" s="1"/>
      <c r="BC31" s="1"/>
      <c r="BD31" s="15"/>
      <c r="BE31" s="12"/>
      <c r="BF31" s="8"/>
      <c r="BG31" s="8"/>
      <c r="BH31" s="8"/>
      <c r="BI31" s="8"/>
      <c r="BJ31" s="211"/>
      <c r="BK31" s="116"/>
      <c r="BL31" s="117"/>
      <c r="BM31" s="112"/>
      <c r="BN31" s="203"/>
      <c r="BO31" s="204"/>
      <c r="BP31" s="205"/>
      <c r="BQ31" s="203"/>
      <c r="BR31" s="204"/>
      <c r="BS31" s="205"/>
      <c r="BT31" s="203"/>
      <c r="BU31" s="204"/>
      <c r="BV31" s="205"/>
      <c r="BW31" s="203"/>
      <c r="BX31" s="204"/>
      <c r="BY31" s="205"/>
      <c r="BZ31" s="215"/>
      <c r="CA31" s="204"/>
      <c r="CB31" s="205"/>
      <c r="CC31" s="212"/>
      <c r="CD31" s="204"/>
      <c r="CE31" s="205"/>
      <c r="CF31" s="203"/>
      <c r="CG31" s="204"/>
      <c r="CH31" s="205"/>
      <c r="CI31" s="215"/>
      <c r="CJ31" s="204"/>
      <c r="CK31" s="205"/>
      <c r="CL31" s="212"/>
      <c r="CM31" s="204"/>
      <c r="CN31" s="205"/>
      <c r="CO31" s="203"/>
      <c r="CP31" s="204"/>
      <c r="CQ31" s="205"/>
      <c r="CR31" s="90" t="str">
        <f t="shared" si="1"/>
        <v>10B.1</v>
      </c>
      <c r="CS31" s="71" t="b">
        <f t="shared" si="2"/>
        <v>0</v>
      </c>
    </row>
    <row r="32" spans="1:97" ht="20.100000000000001" customHeight="1">
      <c r="A32" s="71" t="b">
        <f t="shared" si="0"/>
        <v>0</v>
      </c>
      <c r="B32" s="9" t="s">
        <v>147</v>
      </c>
      <c r="C32" s="12"/>
      <c r="D32" s="8"/>
      <c r="E32" s="8"/>
      <c r="F32" s="8"/>
      <c r="G32" s="8"/>
      <c r="H32" s="13"/>
      <c r="I32" s="12"/>
      <c r="J32" s="8"/>
      <c r="K32" s="8"/>
      <c r="L32" s="8"/>
      <c r="M32" s="8"/>
      <c r="N32" s="13"/>
      <c r="O32" s="12"/>
      <c r="P32" s="8"/>
      <c r="Q32" s="8"/>
      <c r="R32" s="8"/>
      <c r="S32" s="8"/>
      <c r="T32" s="13"/>
      <c r="U32" s="12"/>
      <c r="V32" s="8"/>
      <c r="W32" s="8"/>
      <c r="X32" s="8"/>
      <c r="Y32" s="8"/>
      <c r="Z32" s="13"/>
      <c r="AA32" s="8"/>
      <c r="AB32" s="8"/>
      <c r="AC32" s="8"/>
      <c r="AD32" s="8"/>
      <c r="AE32" s="8"/>
      <c r="AF32" s="211"/>
      <c r="AG32" s="12"/>
      <c r="AH32" s="8"/>
      <c r="AI32" s="8"/>
      <c r="AJ32" s="8"/>
      <c r="AK32" s="8"/>
      <c r="AL32" s="13"/>
      <c r="AM32" s="14"/>
      <c r="AN32" s="1"/>
      <c r="AO32" s="1"/>
      <c r="AP32" s="1"/>
      <c r="AQ32" s="1"/>
      <c r="AR32" s="46"/>
      <c r="AS32" s="14"/>
      <c r="AT32" s="1"/>
      <c r="AU32" s="1"/>
      <c r="AV32" s="1"/>
      <c r="AW32" s="1"/>
      <c r="AX32" s="46"/>
      <c r="AY32" s="14"/>
      <c r="AZ32" s="1"/>
      <c r="BA32" s="1"/>
      <c r="BB32" s="1"/>
      <c r="BC32" s="1"/>
      <c r="BD32" s="15"/>
      <c r="BE32" s="12"/>
      <c r="BF32" s="8"/>
      <c r="BG32" s="8"/>
      <c r="BH32" s="8"/>
      <c r="BI32" s="8"/>
      <c r="BJ32" s="211"/>
      <c r="BK32" s="116"/>
      <c r="BL32" s="117"/>
      <c r="BM32" s="112"/>
      <c r="BN32" s="203"/>
      <c r="BO32" s="204"/>
      <c r="BP32" s="205"/>
      <c r="BQ32" s="203"/>
      <c r="BR32" s="204"/>
      <c r="BS32" s="205"/>
      <c r="BT32" s="203"/>
      <c r="BU32" s="204"/>
      <c r="BV32" s="205"/>
      <c r="BW32" s="203"/>
      <c r="BX32" s="204"/>
      <c r="BY32" s="205"/>
      <c r="BZ32" s="215"/>
      <c r="CA32" s="204"/>
      <c r="CB32" s="205"/>
      <c r="CC32" s="212"/>
      <c r="CD32" s="204"/>
      <c r="CE32" s="205"/>
      <c r="CF32" s="203"/>
      <c r="CG32" s="204"/>
      <c r="CH32" s="205"/>
      <c r="CI32" s="215"/>
      <c r="CJ32" s="204"/>
      <c r="CK32" s="205"/>
      <c r="CL32" s="212"/>
      <c r="CM32" s="204"/>
      <c r="CN32" s="205"/>
      <c r="CO32" s="203"/>
      <c r="CP32" s="204"/>
      <c r="CQ32" s="205"/>
      <c r="CR32" s="90" t="str">
        <f t="shared" si="1"/>
        <v>10B.1</v>
      </c>
      <c r="CS32" s="71" t="b">
        <f t="shared" si="2"/>
        <v>0</v>
      </c>
    </row>
    <row r="33" spans="1:97" ht="20.100000000000001" customHeight="1">
      <c r="A33" s="71" t="b">
        <f t="shared" si="0"/>
        <v>0</v>
      </c>
      <c r="B33" s="9" t="s">
        <v>148</v>
      </c>
      <c r="C33" s="12"/>
      <c r="D33" s="8"/>
      <c r="E33" s="8"/>
      <c r="F33" s="8"/>
      <c r="G33" s="8"/>
      <c r="H33" s="13"/>
      <c r="I33" s="12"/>
      <c r="J33" s="8"/>
      <c r="K33" s="8"/>
      <c r="L33" s="8"/>
      <c r="M33" s="8"/>
      <c r="N33" s="13"/>
      <c r="O33" s="12"/>
      <c r="P33" s="8"/>
      <c r="Q33" s="8"/>
      <c r="R33" s="8"/>
      <c r="S33" s="8"/>
      <c r="T33" s="13"/>
      <c r="U33" s="245"/>
      <c r="V33" s="1"/>
      <c r="W33" s="1"/>
      <c r="X33" s="1"/>
      <c r="Y33" s="1"/>
      <c r="Z33" s="15"/>
      <c r="AA33" s="188"/>
      <c r="AB33" s="1"/>
      <c r="AC33" s="1"/>
      <c r="AD33" s="1"/>
      <c r="AE33" s="1"/>
      <c r="AF33" s="46"/>
      <c r="AG33" s="245"/>
      <c r="AH33" s="1"/>
      <c r="AI33" s="1"/>
      <c r="AJ33" s="1"/>
      <c r="AK33" s="1"/>
      <c r="AL33" s="15"/>
      <c r="AM33" s="12"/>
      <c r="AN33" s="8"/>
      <c r="AO33" s="8"/>
      <c r="AP33" s="8"/>
      <c r="AQ33" s="8"/>
      <c r="AR33" s="211"/>
      <c r="AS33" s="12"/>
      <c r="AT33" s="8"/>
      <c r="AU33" s="8"/>
      <c r="AV33" s="8"/>
      <c r="AW33" s="8"/>
      <c r="AX33" s="211"/>
      <c r="AY33" s="12"/>
      <c r="AZ33" s="8"/>
      <c r="BA33" s="8"/>
      <c r="BB33" s="8"/>
      <c r="BC33" s="8"/>
      <c r="BD33" s="13"/>
      <c r="BE33" s="12"/>
      <c r="BF33" s="8"/>
      <c r="BG33" s="8"/>
      <c r="BH33" s="8"/>
      <c r="BI33" s="8"/>
      <c r="BJ33" s="211"/>
      <c r="BK33" s="116"/>
      <c r="BL33" s="117"/>
      <c r="BM33" s="112"/>
      <c r="BN33" s="203"/>
      <c r="BO33" s="204"/>
      <c r="BP33" s="205"/>
      <c r="BQ33" s="203"/>
      <c r="BR33" s="204"/>
      <c r="BS33" s="205"/>
      <c r="BT33" s="203"/>
      <c r="BU33" s="204"/>
      <c r="BV33" s="205"/>
      <c r="BW33" s="203"/>
      <c r="BX33" s="204"/>
      <c r="BY33" s="205"/>
      <c r="BZ33" s="215"/>
      <c r="CA33" s="204"/>
      <c r="CB33" s="205"/>
      <c r="CC33" s="212"/>
      <c r="CD33" s="204"/>
      <c r="CE33" s="205"/>
      <c r="CF33" s="203"/>
      <c r="CG33" s="204"/>
      <c r="CH33" s="205"/>
      <c r="CI33" s="215"/>
      <c r="CJ33" s="204"/>
      <c r="CK33" s="205"/>
      <c r="CL33" s="212"/>
      <c r="CM33" s="204"/>
      <c r="CN33" s="205"/>
      <c r="CO33" s="203"/>
      <c r="CP33" s="204"/>
      <c r="CQ33" s="205"/>
      <c r="CR33" s="90" t="str">
        <f t="shared" si="1"/>
        <v>11B.1</v>
      </c>
      <c r="CS33" s="71" t="b">
        <f t="shared" si="2"/>
        <v>0</v>
      </c>
    </row>
    <row r="34" spans="1:97" ht="20.100000000000001" customHeight="1">
      <c r="A34" s="71" t="b">
        <f t="shared" si="0"/>
        <v>0</v>
      </c>
      <c r="B34" s="9" t="s">
        <v>149</v>
      </c>
      <c r="C34" s="12"/>
      <c r="D34" s="8"/>
      <c r="E34" s="8"/>
      <c r="F34" s="8"/>
      <c r="G34" s="8"/>
      <c r="H34" s="13"/>
      <c r="I34" s="12"/>
      <c r="J34" s="8"/>
      <c r="K34" s="8"/>
      <c r="L34" s="8"/>
      <c r="M34" s="8"/>
      <c r="N34" s="13"/>
      <c r="O34" s="12"/>
      <c r="P34" s="8"/>
      <c r="Q34" s="8"/>
      <c r="R34" s="8"/>
      <c r="S34" s="8"/>
      <c r="T34" s="13"/>
      <c r="U34" s="14"/>
      <c r="V34" s="1"/>
      <c r="W34" s="1"/>
      <c r="X34" s="1"/>
      <c r="Y34" s="1"/>
      <c r="Z34" s="15"/>
      <c r="AA34" s="14"/>
      <c r="AB34" s="1"/>
      <c r="AC34" s="1"/>
      <c r="AD34" s="1"/>
      <c r="AE34" s="1"/>
      <c r="AF34" s="46"/>
      <c r="AG34" s="14"/>
      <c r="AH34" s="1"/>
      <c r="AI34" s="1"/>
      <c r="AJ34" s="1"/>
      <c r="AK34" s="1"/>
      <c r="AL34" s="15"/>
      <c r="AM34" s="12"/>
      <c r="AN34" s="8"/>
      <c r="AO34" s="8"/>
      <c r="AP34" s="8"/>
      <c r="AQ34" s="8"/>
      <c r="AR34" s="211"/>
      <c r="AS34" s="12"/>
      <c r="AT34" s="8"/>
      <c r="AU34" s="8"/>
      <c r="AV34" s="8"/>
      <c r="AW34" s="8"/>
      <c r="AX34" s="211"/>
      <c r="AY34" s="12"/>
      <c r="AZ34" s="8"/>
      <c r="BA34" s="8"/>
      <c r="BB34" s="8"/>
      <c r="BC34" s="8"/>
      <c r="BD34" s="13"/>
      <c r="BE34" s="12"/>
      <c r="BF34" s="8"/>
      <c r="BG34" s="8"/>
      <c r="BH34" s="8"/>
      <c r="BI34" s="8"/>
      <c r="BJ34" s="211"/>
      <c r="BK34" s="116"/>
      <c r="BL34" s="117"/>
      <c r="BM34" s="112"/>
      <c r="BN34" s="203"/>
      <c r="BO34" s="204"/>
      <c r="BP34" s="205"/>
      <c r="BQ34" s="203"/>
      <c r="BR34" s="204"/>
      <c r="BS34" s="205"/>
      <c r="BT34" s="203"/>
      <c r="BU34" s="204"/>
      <c r="BV34" s="205"/>
      <c r="BW34" s="203"/>
      <c r="BX34" s="204"/>
      <c r="BY34" s="205"/>
      <c r="BZ34" s="215"/>
      <c r="CA34" s="204"/>
      <c r="CB34" s="205"/>
      <c r="CC34" s="212"/>
      <c r="CD34" s="204"/>
      <c r="CE34" s="205"/>
      <c r="CF34" s="203"/>
      <c r="CG34" s="204"/>
      <c r="CH34" s="205"/>
      <c r="CI34" s="215"/>
      <c r="CJ34" s="204"/>
      <c r="CK34" s="205"/>
      <c r="CL34" s="212"/>
      <c r="CM34" s="204"/>
      <c r="CN34" s="205"/>
      <c r="CO34" s="203"/>
      <c r="CP34" s="204"/>
      <c r="CQ34" s="205"/>
      <c r="CR34" s="90" t="str">
        <f t="shared" si="1"/>
        <v>11B.1</v>
      </c>
      <c r="CS34" s="71" t="b">
        <f t="shared" si="2"/>
        <v>0</v>
      </c>
    </row>
    <row r="35" spans="1:97" ht="20.100000000000001" customHeight="1">
      <c r="A35" s="71" t="b">
        <f t="shared" si="0"/>
        <v>0</v>
      </c>
      <c r="B35" s="9" t="s">
        <v>150</v>
      </c>
      <c r="C35" s="12"/>
      <c r="D35" s="8"/>
      <c r="E35" s="8"/>
      <c r="F35" s="8"/>
      <c r="G35" s="8"/>
      <c r="H35" s="13"/>
      <c r="I35" s="12"/>
      <c r="J35" s="8"/>
      <c r="K35" s="8"/>
      <c r="L35" s="8"/>
      <c r="M35" s="8"/>
      <c r="N35" s="13"/>
      <c r="O35" s="12"/>
      <c r="P35" s="8"/>
      <c r="Q35" s="8"/>
      <c r="R35" s="8"/>
      <c r="S35" s="8"/>
      <c r="T35" s="13"/>
      <c r="U35" s="14"/>
      <c r="V35" s="1"/>
      <c r="W35" s="1"/>
      <c r="X35" s="1"/>
      <c r="Y35" s="1"/>
      <c r="Z35" s="15"/>
      <c r="AA35" s="14"/>
      <c r="AB35" s="1"/>
      <c r="AC35" s="1"/>
      <c r="AD35" s="1"/>
      <c r="AE35" s="1"/>
      <c r="AF35" s="46"/>
      <c r="AG35" s="14"/>
      <c r="AH35" s="1"/>
      <c r="AI35" s="1"/>
      <c r="AJ35" s="1"/>
      <c r="AK35" s="1"/>
      <c r="AL35" s="15"/>
      <c r="AM35" s="12"/>
      <c r="AN35" s="8"/>
      <c r="AO35" s="8"/>
      <c r="AP35" s="8"/>
      <c r="AQ35" s="8"/>
      <c r="AR35" s="211"/>
      <c r="AS35" s="12"/>
      <c r="AT35" s="8"/>
      <c r="AU35" s="8"/>
      <c r="AV35" s="8"/>
      <c r="AW35" s="8"/>
      <c r="AX35" s="211"/>
      <c r="AY35" s="12"/>
      <c r="AZ35" s="8"/>
      <c r="BA35" s="8"/>
      <c r="BB35" s="8"/>
      <c r="BC35" s="8"/>
      <c r="BD35" s="13"/>
      <c r="BE35" s="12"/>
      <c r="BF35" s="8"/>
      <c r="BG35" s="8"/>
      <c r="BH35" s="8"/>
      <c r="BI35" s="8"/>
      <c r="BJ35" s="211"/>
      <c r="BK35" s="116"/>
      <c r="BL35" s="117"/>
      <c r="BM35" s="112"/>
      <c r="BN35" s="203"/>
      <c r="BO35" s="204"/>
      <c r="BP35" s="205"/>
      <c r="BQ35" s="215"/>
      <c r="BR35" s="214"/>
      <c r="BS35" s="205"/>
      <c r="BT35" s="203"/>
      <c r="BU35" s="204"/>
      <c r="BV35" s="205"/>
      <c r="BW35" s="212"/>
      <c r="BX35" s="214"/>
      <c r="BY35" s="205"/>
      <c r="BZ35" s="203"/>
      <c r="CA35" s="204"/>
      <c r="CB35" s="205"/>
      <c r="CC35" s="203"/>
      <c r="CD35" s="204"/>
      <c r="CE35" s="205"/>
      <c r="CF35" s="203"/>
      <c r="CG35" s="204"/>
      <c r="CH35" s="205"/>
      <c r="CI35" s="203"/>
      <c r="CJ35" s="204"/>
      <c r="CK35" s="205"/>
      <c r="CL35" s="203"/>
      <c r="CM35" s="204"/>
      <c r="CN35" s="205"/>
      <c r="CO35" s="203"/>
      <c r="CP35" s="204"/>
      <c r="CQ35" s="205"/>
      <c r="CR35" s="90" t="str">
        <f t="shared" si="1"/>
        <v>11B.1</v>
      </c>
      <c r="CS35" s="71" t="b">
        <f t="shared" si="2"/>
        <v>0</v>
      </c>
    </row>
    <row r="36" spans="1:97" ht="20.100000000000001" customHeight="1">
      <c r="A36" s="71" t="b">
        <f t="shared" si="0"/>
        <v>0</v>
      </c>
      <c r="B36" s="9" t="s">
        <v>151</v>
      </c>
      <c r="C36" s="12"/>
      <c r="D36" s="8"/>
      <c r="E36" s="8"/>
      <c r="F36" s="8"/>
      <c r="G36" s="8"/>
      <c r="H36" s="13"/>
      <c r="I36" s="12"/>
      <c r="J36" s="8"/>
      <c r="K36" s="8"/>
      <c r="L36" s="8"/>
      <c r="M36" s="8"/>
      <c r="N36" s="13"/>
      <c r="O36" s="12"/>
      <c r="P36" s="8"/>
      <c r="Q36" s="8"/>
      <c r="R36" s="8"/>
      <c r="S36" s="8"/>
      <c r="T36" s="13"/>
      <c r="U36" s="12"/>
      <c r="V36" s="8"/>
      <c r="W36" s="8"/>
      <c r="X36" s="8"/>
      <c r="Y36" s="8"/>
      <c r="Z36" s="13"/>
      <c r="AA36" s="12"/>
      <c r="AB36" s="8"/>
      <c r="AC36" s="8"/>
      <c r="AD36" s="8"/>
      <c r="AE36" s="8"/>
      <c r="AF36" s="211"/>
      <c r="AG36" s="12"/>
      <c r="AH36" s="8"/>
      <c r="AI36" s="8"/>
      <c r="AJ36" s="8"/>
      <c r="AK36" s="8"/>
      <c r="AL36" s="13"/>
      <c r="AM36" s="245"/>
      <c r="AN36" s="1"/>
      <c r="AO36" s="1"/>
      <c r="AP36" s="1"/>
      <c r="AQ36" s="1"/>
      <c r="AR36" s="46"/>
      <c r="AS36" s="245"/>
      <c r="AT36" s="1"/>
      <c r="AU36" s="1"/>
      <c r="AV36" s="1"/>
      <c r="AW36" s="1"/>
      <c r="AX36" s="46"/>
      <c r="AY36" s="245"/>
      <c r="AZ36" s="1"/>
      <c r="BA36" s="1"/>
      <c r="BB36" s="1"/>
      <c r="BC36" s="1"/>
      <c r="BD36" s="15"/>
      <c r="BE36" s="12"/>
      <c r="BF36" s="8"/>
      <c r="BG36" s="8"/>
      <c r="BH36" s="8"/>
      <c r="BI36" s="8"/>
      <c r="BJ36" s="211"/>
      <c r="BK36" s="116"/>
      <c r="BL36" s="117"/>
      <c r="BM36" s="112"/>
      <c r="BN36" s="203"/>
      <c r="BO36" s="204"/>
      <c r="BP36" s="205"/>
      <c r="BQ36" s="215"/>
      <c r="BR36" s="204"/>
      <c r="BS36" s="205"/>
      <c r="BT36" s="203"/>
      <c r="BU36" s="204"/>
      <c r="BV36" s="205"/>
      <c r="BW36" s="212"/>
      <c r="BX36" s="204"/>
      <c r="BY36" s="205"/>
      <c r="BZ36" s="203"/>
      <c r="CA36" s="204"/>
      <c r="CB36" s="205"/>
      <c r="CC36" s="203"/>
      <c r="CD36" s="204"/>
      <c r="CE36" s="205"/>
      <c r="CF36" s="203"/>
      <c r="CG36" s="204"/>
      <c r="CH36" s="205"/>
      <c r="CI36" s="203"/>
      <c r="CJ36" s="204"/>
      <c r="CK36" s="205"/>
      <c r="CL36" s="203"/>
      <c r="CM36" s="204"/>
      <c r="CN36" s="205"/>
      <c r="CO36" s="203"/>
      <c r="CP36" s="204"/>
      <c r="CQ36" s="205"/>
      <c r="CR36" s="90" t="str">
        <f t="shared" si="1"/>
        <v>7C.1</v>
      </c>
      <c r="CS36" s="71" t="b">
        <f t="shared" si="2"/>
        <v>0</v>
      </c>
    </row>
    <row r="37" spans="1:97" ht="20.100000000000001" customHeight="1">
      <c r="A37" s="71" t="b">
        <f t="shared" si="0"/>
        <v>0</v>
      </c>
      <c r="B37" s="9" t="s">
        <v>152</v>
      </c>
      <c r="C37" s="12"/>
      <c r="D37" s="8"/>
      <c r="E37" s="8"/>
      <c r="F37" s="8"/>
      <c r="G37" s="8"/>
      <c r="H37" s="13"/>
      <c r="I37" s="12"/>
      <c r="J37" s="8"/>
      <c r="K37" s="8"/>
      <c r="L37" s="8"/>
      <c r="M37" s="8"/>
      <c r="N37" s="13"/>
      <c r="O37" s="12"/>
      <c r="P37" s="8"/>
      <c r="Q37" s="8"/>
      <c r="R37" s="8"/>
      <c r="S37" s="8"/>
      <c r="T37" s="13"/>
      <c r="U37" s="12"/>
      <c r="V37" s="8"/>
      <c r="W37" s="8"/>
      <c r="X37" s="8"/>
      <c r="Y37" s="8"/>
      <c r="Z37" s="13"/>
      <c r="AA37" s="12"/>
      <c r="AB37" s="8"/>
      <c r="AC37" s="8"/>
      <c r="AD37" s="8"/>
      <c r="AE37" s="8"/>
      <c r="AF37" s="211"/>
      <c r="AG37" s="12"/>
      <c r="AH37" s="8"/>
      <c r="AI37" s="8"/>
      <c r="AJ37" s="8"/>
      <c r="AK37" s="8"/>
      <c r="AL37" s="13"/>
      <c r="AM37" s="14"/>
      <c r="AN37" s="1"/>
      <c r="AO37" s="1"/>
      <c r="AP37" s="1"/>
      <c r="AQ37" s="1"/>
      <c r="AR37" s="46"/>
      <c r="AS37" s="14"/>
      <c r="AT37" s="1"/>
      <c r="AU37" s="1"/>
      <c r="AV37" s="1"/>
      <c r="AW37" s="1"/>
      <c r="AX37" s="46"/>
      <c r="AY37" s="14"/>
      <c r="AZ37" s="1"/>
      <c r="BA37" s="1"/>
      <c r="BB37" s="1"/>
      <c r="BC37" s="1"/>
      <c r="BD37" s="15"/>
      <c r="BE37" s="12"/>
      <c r="BF37" s="8"/>
      <c r="BG37" s="8"/>
      <c r="BH37" s="8"/>
      <c r="BI37" s="8"/>
      <c r="BJ37" s="211"/>
      <c r="BK37" s="116"/>
      <c r="BL37" s="117"/>
      <c r="BM37" s="112"/>
      <c r="BN37" s="203"/>
      <c r="BO37" s="204"/>
      <c r="BP37" s="205"/>
      <c r="BQ37" s="215"/>
      <c r="BR37" s="204"/>
      <c r="BS37" s="205"/>
      <c r="BT37" s="203"/>
      <c r="BU37" s="204"/>
      <c r="BV37" s="205"/>
      <c r="BW37" s="212"/>
      <c r="BX37" s="204"/>
      <c r="BY37" s="205"/>
      <c r="BZ37" s="203"/>
      <c r="CA37" s="204"/>
      <c r="CB37" s="205"/>
      <c r="CC37" s="203"/>
      <c r="CD37" s="204"/>
      <c r="CE37" s="205"/>
      <c r="CF37" s="203"/>
      <c r="CG37" s="204"/>
      <c r="CH37" s="205"/>
      <c r="CI37" s="203"/>
      <c r="CJ37" s="204"/>
      <c r="CK37" s="205"/>
      <c r="CL37" s="203"/>
      <c r="CM37" s="204"/>
      <c r="CN37" s="205"/>
      <c r="CO37" s="203"/>
      <c r="CP37" s="204"/>
      <c r="CQ37" s="205"/>
      <c r="CR37" s="90" t="str">
        <f t="shared" si="1"/>
        <v>7C.1</v>
      </c>
      <c r="CS37" s="71" t="b">
        <f t="shared" si="2"/>
        <v>0</v>
      </c>
    </row>
    <row r="38" spans="1:97" ht="20.100000000000001" customHeight="1">
      <c r="A38" s="71" t="b">
        <f t="shared" si="0"/>
        <v>0</v>
      </c>
      <c r="B38" s="9" t="s">
        <v>153</v>
      </c>
      <c r="C38" s="12"/>
      <c r="D38" s="8"/>
      <c r="E38" s="8"/>
      <c r="F38" s="8"/>
      <c r="G38" s="8"/>
      <c r="H38" s="13"/>
      <c r="I38" s="12"/>
      <c r="J38" s="8"/>
      <c r="K38" s="8"/>
      <c r="L38" s="8"/>
      <c r="M38" s="8"/>
      <c r="N38" s="13"/>
      <c r="O38" s="12"/>
      <c r="P38" s="8"/>
      <c r="Q38" s="8"/>
      <c r="R38" s="8"/>
      <c r="S38" s="8"/>
      <c r="T38" s="13"/>
      <c r="U38" s="12"/>
      <c r="V38" s="8"/>
      <c r="W38" s="8"/>
      <c r="X38" s="8"/>
      <c r="Y38" s="8"/>
      <c r="Z38" s="13"/>
      <c r="AA38" s="12"/>
      <c r="AB38" s="8"/>
      <c r="AC38" s="8"/>
      <c r="AD38" s="8"/>
      <c r="AE38" s="8"/>
      <c r="AF38" s="211"/>
      <c r="AG38" s="12"/>
      <c r="AH38" s="8"/>
      <c r="AI38" s="8"/>
      <c r="AJ38" s="8"/>
      <c r="AK38" s="8"/>
      <c r="AL38" s="13"/>
      <c r="AM38" s="14"/>
      <c r="AN38" s="1"/>
      <c r="AO38" s="1"/>
      <c r="AP38" s="1"/>
      <c r="AQ38" s="1"/>
      <c r="AR38" s="46"/>
      <c r="AS38" s="14"/>
      <c r="AT38" s="1"/>
      <c r="AU38" s="1"/>
      <c r="AV38" s="1"/>
      <c r="AW38" s="1"/>
      <c r="AX38" s="46"/>
      <c r="AY38" s="14"/>
      <c r="AZ38" s="1"/>
      <c r="BA38" s="1"/>
      <c r="BB38" s="1"/>
      <c r="BC38" s="1"/>
      <c r="BD38" s="15"/>
      <c r="BE38" s="12"/>
      <c r="BF38" s="8"/>
      <c r="BG38" s="8"/>
      <c r="BH38" s="8"/>
      <c r="BI38" s="8"/>
      <c r="BJ38" s="211"/>
      <c r="BK38" s="116"/>
      <c r="BL38" s="117"/>
      <c r="BM38" s="112"/>
      <c r="BN38" s="203"/>
      <c r="BO38" s="204"/>
      <c r="BP38" s="205"/>
      <c r="BQ38" s="215"/>
      <c r="BR38" s="204"/>
      <c r="BS38" s="205"/>
      <c r="BT38" s="203"/>
      <c r="BU38" s="204"/>
      <c r="BV38" s="205"/>
      <c r="BW38" s="212"/>
      <c r="BX38" s="204"/>
      <c r="BY38" s="205"/>
      <c r="BZ38" s="203"/>
      <c r="CA38" s="204"/>
      <c r="CB38" s="205"/>
      <c r="CC38" s="203"/>
      <c r="CD38" s="204"/>
      <c r="CE38" s="205"/>
      <c r="CF38" s="203"/>
      <c r="CG38" s="204"/>
      <c r="CH38" s="205"/>
      <c r="CI38" s="203"/>
      <c r="CJ38" s="204"/>
      <c r="CK38" s="205"/>
      <c r="CL38" s="203"/>
      <c r="CM38" s="204"/>
      <c r="CN38" s="205"/>
      <c r="CO38" s="203"/>
      <c r="CP38" s="204"/>
      <c r="CQ38" s="205"/>
      <c r="CR38" s="90" t="str">
        <f t="shared" si="1"/>
        <v>7C.1</v>
      </c>
      <c r="CS38" s="71" t="b">
        <f t="shared" si="2"/>
        <v>0</v>
      </c>
    </row>
    <row r="39" spans="1:97" ht="20.100000000000001" customHeight="1">
      <c r="A39" s="71" t="b">
        <f t="shared" si="0"/>
        <v>0</v>
      </c>
      <c r="B39" s="9" t="s">
        <v>154</v>
      </c>
      <c r="C39" s="12"/>
      <c r="D39" s="8"/>
      <c r="E39" s="8"/>
      <c r="F39" s="8"/>
      <c r="G39" s="8"/>
      <c r="H39" s="13"/>
      <c r="I39" s="12"/>
      <c r="J39" s="8"/>
      <c r="K39" s="8"/>
      <c r="L39" s="8"/>
      <c r="M39" s="8"/>
      <c r="N39" s="13"/>
      <c r="O39" s="12"/>
      <c r="P39" s="8"/>
      <c r="Q39" s="8"/>
      <c r="R39" s="8"/>
      <c r="S39" s="8"/>
      <c r="T39" s="13"/>
      <c r="U39" s="12"/>
      <c r="V39" s="8"/>
      <c r="W39" s="8"/>
      <c r="X39" s="8"/>
      <c r="Y39" s="8"/>
      <c r="Z39" s="13"/>
      <c r="AA39" s="12"/>
      <c r="AB39" s="8"/>
      <c r="AC39" s="8"/>
      <c r="AD39" s="8"/>
      <c r="AE39" s="8"/>
      <c r="AF39" s="211"/>
      <c r="AG39" s="12"/>
      <c r="AH39" s="8"/>
      <c r="AI39" s="8"/>
      <c r="AJ39" s="8"/>
      <c r="AK39" s="8"/>
      <c r="AL39" s="13"/>
      <c r="AM39" s="14"/>
      <c r="AN39" s="1"/>
      <c r="AO39" s="1"/>
      <c r="AP39" s="1"/>
      <c r="AQ39" s="1"/>
      <c r="AR39" s="46"/>
      <c r="AS39" s="14"/>
      <c r="AT39" s="1"/>
      <c r="AU39" s="1"/>
      <c r="AV39" s="1"/>
      <c r="AW39" s="1"/>
      <c r="AX39" s="46"/>
      <c r="AY39" s="14"/>
      <c r="AZ39" s="1"/>
      <c r="BA39" s="1"/>
      <c r="BB39" s="1"/>
      <c r="BC39" s="1"/>
      <c r="BD39" s="15"/>
      <c r="BE39" s="12"/>
      <c r="BF39" s="8"/>
      <c r="BG39" s="8"/>
      <c r="BH39" s="8"/>
      <c r="BI39" s="8"/>
      <c r="BJ39" s="211"/>
      <c r="BK39" s="116"/>
      <c r="BL39" s="117"/>
      <c r="BM39" s="112"/>
      <c r="BN39" s="203"/>
      <c r="BO39" s="204"/>
      <c r="BP39" s="205"/>
      <c r="BQ39" s="203"/>
      <c r="BR39" s="204"/>
      <c r="BS39" s="205"/>
      <c r="BT39" s="215"/>
      <c r="BU39" s="204"/>
      <c r="BV39" s="205"/>
      <c r="BW39" s="212"/>
      <c r="BX39" s="204"/>
      <c r="BY39" s="205"/>
      <c r="BZ39" s="203"/>
      <c r="CA39" s="204"/>
      <c r="CB39" s="205"/>
      <c r="CC39" s="203"/>
      <c r="CD39" s="204"/>
      <c r="CE39" s="205"/>
      <c r="CF39" s="212"/>
      <c r="CG39" s="204"/>
      <c r="CH39" s="205"/>
      <c r="CI39" s="203"/>
      <c r="CJ39" s="204"/>
      <c r="CK39" s="205"/>
      <c r="CL39" s="203"/>
      <c r="CM39" s="204"/>
      <c r="CN39" s="205"/>
      <c r="CO39" s="212"/>
      <c r="CP39" s="204"/>
      <c r="CQ39" s="205"/>
      <c r="CR39" s="90" t="str">
        <f t="shared" si="1"/>
        <v>7C.1</v>
      </c>
      <c r="CS39" s="71" t="b">
        <f t="shared" si="2"/>
        <v>0</v>
      </c>
    </row>
    <row r="40" spans="1:97" ht="20.100000000000001" customHeight="1">
      <c r="A40" s="71" t="b">
        <f t="shared" si="0"/>
        <v>0</v>
      </c>
      <c r="B40" s="9" t="s">
        <v>155</v>
      </c>
      <c r="C40" s="12"/>
      <c r="D40" s="8"/>
      <c r="E40" s="8"/>
      <c r="F40" s="8"/>
      <c r="G40" s="8"/>
      <c r="H40" s="13"/>
      <c r="I40" s="12"/>
      <c r="J40" s="8"/>
      <c r="K40" s="8"/>
      <c r="L40" s="8"/>
      <c r="M40" s="8"/>
      <c r="N40" s="13"/>
      <c r="O40" s="12"/>
      <c r="P40" s="8"/>
      <c r="Q40" s="8"/>
      <c r="R40" s="8"/>
      <c r="S40" s="8"/>
      <c r="T40" s="13"/>
      <c r="U40" s="12"/>
      <c r="V40" s="8"/>
      <c r="W40" s="8"/>
      <c r="X40" s="8"/>
      <c r="Y40" s="8"/>
      <c r="Z40" s="13"/>
      <c r="AA40" s="12"/>
      <c r="AB40" s="8"/>
      <c r="AC40" s="8"/>
      <c r="AD40" s="8"/>
      <c r="AE40" s="8"/>
      <c r="AF40" s="211"/>
      <c r="AG40" s="12"/>
      <c r="AH40" s="8"/>
      <c r="AI40" s="8"/>
      <c r="AJ40" s="8"/>
      <c r="AK40" s="8"/>
      <c r="AL40" s="13"/>
      <c r="AM40" s="14"/>
      <c r="AN40" s="1"/>
      <c r="AO40" s="1"/>
      <c r="AP40" s="1"/>
      <c r="AQ40" s="1"/>
      <c r="AR40" s="46"/>
      <c r="AS40" s="14"/>
      <c r="AT40" s="1"/>
      <c r="AU40" s="1"/>
      <c r="AV40" s="1"/>
      <c r="AW40" s="1"/>
      <c r="AX40" s="46"/>
      <c r="AY40" s="14"/>
      <c r="AZ40" s="1"/>
      <c r="BA40" s="1"/>
      <c r="BB40" s="1"/>
      <c r="BC40" s="1"/>
      <c r="BD40" s="15"/>
      <c r="BE40" s="12"/>
      <c r="BF40" s="8"/>
      <c r="BG40" s="8"/>
      <c r="BH40" s="8"/>
      <c r="BI40" s="8"/>
      <c r="BJ40" s="211"/>
      <c r="BK40" s="116"/>
      <c r="BL40" s="117"/>
      <c r="BM40" s="112"/>
      <c r="BN40" s="203"/>
      <c r="BO40" s="204"/>
      <c r="BP40" s="205"/>
      <c r="BQ40" s="203"/>
      <c r="BR40" s="204"/>
      <c r="BS40" s="205"/>
      <c r="BT40" s="215"/>
      <c r="BU40" s="204"/>
      <c r="BV40" s="205"/>
      <c r="BW40" s="212"/>
      <c r="BX40" s="204"/>
      <c r="BY40" s="205"/>
      <c r="BZ40" s="203"/>
      <c r="CA40" s="204"/>
      <c r="CB40" s="205"/>
      <c r="CC40" s="203"/>
      <c r="CD40" s="204"/>
      <c r="CE40" s="205"/>
      <c r="CF40" s="203"/>
      <c r="CG40" s="204"/>
      <c r="CH40" s="205"/>
      <c r="CI40" s="203"/>
      <c r="CJ40" s="204"/>
      <c r="CK40" s="205"/>
      <c r="CL40" s="203"/>
      <c r="CM40" s="204"/>
      <c r="CN40" s="205"/>
      <c r="CO40" s="203"/>
      <c r="CP40" s="204"/>
      <c r="CQ40" s="205"/>
      <c r="CR40" s="90" t="str">
        <f t="shared" si="1"/>
        <v>7C.1</v>
      </c>
      <c r="CS40" s="71" t="b">
        <f t="shared" si="2"/>
        <v>0</v>
      </c>
    </row>
    <row r="41" spans="1:97" ht="20.100000000000001" customHeight="1">
      <c r="A41" s="71" t="b">
        <f t="shared" si="0"/>
        <v>0</v>
      </c>
      <c r="B41" s="9" t="s">
        <v>156</v>
      </c>
      <c r="C41" s="12"/>
      <c r="D41" s="8"/>
      <c r="E41" s="8"/>
      <c r="F41" s="8"/>
      <c r="G41" s="8"/>
      <c r="H41" s="13"/>
      <c r="I41" s="12"/>
      <c r="J41" s="8"/>
      <c r="K41" s="8"/>
      <c r="L41" s="8"/>
      <c r="M41" s="8"/>
      <c r="N41" s="13"/>
      <c r="O41" s="12"/>
      <c r="P41" s="8"/>
      <c r="Q41" s="8"/>
      <c r="R41" s="8"/>
      <c r="S41" s="8"/>
      <c r="T41" s="13"/>
      <c r="U41" s="12"/>
      <c r="V41" s="8"/>
      <c r="W41" s="8"/>
      <c r="X41" s="8"/>
      <c r="Y41" s="8"/>
      <c r="Z41" s="13"/>
      <c r="AA41" s="12"/>
      <c r="AB41" s="8"/>
      <c r="AC41" s="8"/>
      <c r="AD41" s="8"/>
      <c r="AE41" s="8"/>
      <c r="AF41" s="211"/>
      <c r="AG41" s="12"/>
      <c r="AH41" s="8"/>
      <c r="AI41" s="8"/>
      <c r="AJ41" s="8"/>
      <c r="AK41" s="8"/>
      <c r="AL41" s="13"/>
      <c r="AM41" s="14"/>
      <c r="AN41" s="1"/>
      <c r="AO41" s="1"/>
      <c r="AP41" s="1"/>
      <c r="AQ41" s="1"/>
      <c r="AR41" s="46"/>
      <c r="AS41" s="14"/>
      <c r="AT41" s="1"/>
      <c r="AU41" s="1"/>
      <c r="AV41" s="1"/>
      <c r="AW41" s="1"/>
      <c r="AX41" s="46"/>
      <c r="AY41" s="14"/>
      <c r="AZ41" s="1"/>
      <c r="BA41" s="1"/>
      <c r="BB41" s="1"/>
      <c r="BC41" s="1"/>
      <c r="BD41" s="15"/>
      <c r="BE41" s="12"/>
      <c r="BF41" s="8"/>
      <c r="BG41" s="8"/>
      <c r="BH41" s="8"/>
      <c r="BI41" s="8"/>
      <c r="BJ41" s="211"/>
      <c r="BK41" s="116"/>
      <c r="BL41" s="117"/>
      <c r="BM41" s="112"/>
      <c r="BN41" s="203"/>
      <c r="BO41" s="204"/>
      <c r="BP41" s="205"/>
      <c r="BQ41" s="203"/>
      <c r="BR41" s="204"/>
      <c r="BS41" s="205"/>
      <c r="BT41" s="215"/>
      <c r="BU41" s="204"/>
      <c r="BV41" s="205"/>
      <c r="BW41" s="212"/>
      <c r="BX41" s="204"/>
      <c r="BY41" s="205"/>
      <c r="BZ41" s="203"/>
      <c r="CA41" s="204"/>
      <c r="CB41" s="205"/>
      <c r="CC41" s="203"/>
      <c r="CD41" s="204"/>
      <c r="CE41" s="205"/>
      <c r="CF41" s="212"/>
      <c r="CG41" s="204"/>
      <c r="CH41" s="205"/>
      <c r="CI41" s="203"/>
      <c r="CJ41" s="204"/>
      <c r="CK41" s="205"/>
      <c r="CL41" s="203"/>
      <c r="CM41" s="204"/>
      <c r="CN41" s="205"/>
      <c r="CO41" s="212"/>
      <c r="CP41" s="204"/>
      <c r="CQ41" s="205"/>
      <c r="CR41" s="90" t="str">
        <f t="shared" si="1"/>
        <v>7C.1</v>
      </c>
      <c r="CS41" s="71" t="b">
        <f t="shared" si="2"/>
        <v>0</v>
      </c>
    </row>
    <row r="42" spans="1:97" ht="20.100000000000001" customHeight="1">
      <c r="A42" s="71" t="b">
        <f t="shared" si="0"/>
        <v>0</v>
      </c>
      <c r="B42" s="9" t="s">
        <v>159</v>
      </c>
      <c r="C42" s="14"/>
      <c r="D42" s="1"/>
      <c r="E42" s="1"/>
      <c r="F42" s="1"/>
      <c r="G42" s="1"/>
      <c r="H42" s="15"/>
      <c r="I42" s="14"/>
      <c r="J42" s="1"/>
      <c r="K42" s="1"/>
      <c r="L42" s="1"/>
      <c r="M42" s="1"/>
      <c r="N42" s="15"/>
      <c r="O42" s="14"/>
      <c r="P42" s="1"/>
      <c r="Q42" s="1"/>
      <c r="R42" s="1"/>
      <c r="S42" s="1"/>
      <c r="T42" s="15"/>
      <c r="U42" s="12"/>
      <c r="V42" s="8"/>
      <c r="W42" s="8"/>
      <c r="X42" s="8"/>
      <c r="Y42" s="8"/>
      <c r="Z42" s="13"/>
      <c r="AA42" s="12"/>
      <c r="AB42" s="8"/>
      <c r="AC42" s="8"/>
      <c r="AD42" s="8"/>
      <c r="AE42" s="8"/>
      <c r="AF42" s="211"/>
      <c r="AG42" s="12"/>
      <c r="AH42" s="8"/>
      <c r="AI42" s="8"/>
      <c r="AJ42" s="8"/>
      <c r="AK42" s="8"/>
      <c r="AL42" s="13"/>
      <c r="AM42" s="12"/>
      <c r="AN42" s="8"/>
      <c r="AO42" s="8"/>
      <c r="AP42" s="8"/>
      <c r="AQ42" s="8"/>
      <c r="AR42" s="211"/>
      <c r="AS42" s="12"/>
      <c r="AT42" s="8"/>
      <c r="AU42" s="8"/>
      <c r="AV42" s="8"/>
      <c r="AW42" s="8"/>
      <c r="AX42" s="211"/>
      <c r="AY42" s="12"/>
      <c r="AZ42" s="8"/>
      <c r="BA42" s="8"/>
      <c r="BB42" s="8"/>
      <c r="BC42" s="8"/>
      <c r="BD42" s="13"/>
      <c r="BE42" s="12"/>
      <c r="BF42" s="8"/>
      <c r="BG42" s="8"/>
      <c r="BH42" s="8"/>
      <c r="BI42" s="8"/>
      <c r="BJ42" s="211"/>
      <c r="BK42" s="116"/>
      <c r="BL42" s="117"/>
      <c r="BM42" s="112"/>
      <c r="BN42" s="215"/>
      <c r="BO42" s="204"/>
      <c r="BP42" s="205"/>
      <c r="BQ42" s="203"/>
      <c r="BR42" s="204"/>
      <c r="BS42" s="205"/>
      <c r="BT42" s="203"/>
      <c r="BU42" s="204"/>
      <c r="BV42" s="205"/>
      <c r="BW42" s="212"/>
      <c r="BX42" s="204"/>
      <c r="BY42" s="205"/>
      <c r="BZ42" s="203"/>
      <c r="CA42" s="204"/>
      <c r="CB42" s="205"/>
      <c r="CC42" s="203"/>
      <c r="CD42" s="204"/>
      <c r="CE42" s="205"/>
      <c r="CF42" s="212"/>
      <c r="CG42" s="204"/>
      <c r="CH42" s="205"/>
      <c r="CI42" s="203"/>
      <c r="CJ42" s="204"/>
      <c r="CK42" s="205"/>
      <c r="CL42" s="203"/>
      <c r="CM42" s="204"/>
      <c r="CN42" s="205"/>
      <c r="CO42" s="212"/>
      <c r="CP42" s="204"/>
      <c r="CQ42" s="205"/>
      <c r="CR42" s="90" t="str">
        <f t="shared" si="1"/>
        <v>12.2</v>
      </c>
      <c r="CS42" s="71" t="b">
        <f t="shared" si="2"/>
        <v>0</v>
      </c>
    </row>
    <row r="43" spans="1:97" ht="20.100000000000001" customHeight="1">
      <c r="A43" s="71" t="b">
        <f t="shared" si="0"/>
        <v>0</v>
      </c>
      <c r="B43" s="9" t="s">
        <v>160</v>
      </c>
      <c r="C43" s="14"/>
      <c r="D43" s="1"/>
      <c r="E43" s="1"/>
      <c r="F43" s="1"/>
      <c r="G43" s="1"/>
      <c r="H43" s="15"/>
      <c r="I43" s="14"/>
      <c r="J43" s="1"/>
      <c r="K43" s="1"/>
      <c r="L43" s="1"/>
      <c r="M43" s="1"/>
      <c r="N43" s="15"/>
      <c r="O43" s="14"/>
      <c r="P43" s="1"/>
      <c r="Q43" s="1"/>
      <c r="R43" s="1"/>
      <c r="S43" s="1"/>
      <c r="T43" s="15"/>
      <c r="U43" s="12"/>
      <c r="V43" s="8"/>
      <c r="W43" s="8"/>
      <c r="X43" s="8"/>
      <c r="Y43" s="8"/>
      <c r="Z43" s="13"/>
      <c r="AA43" s="12"/>
      <c r="AB43" s="8"/>
      <c r="AC43" s="8"/>
      <c r="AD43" s="8"/>
      <c r="AE43" s="8"/>
      <c r="AF43" s="211"/>
      <c r="AG43" s="12"/>
      <c r="AH43" s="8"/>
      <c r="AI43" s="8"/>
      <c r="AJ43" s="8"/>
      <c r="AK43" s="8"/>
      <c r="AL43" s="13"/>
      <c r="AM43" s="12"/>
      <c r="AN43" s="8"/>
      <c r="AO43" s="8"/>
      <c r="AP43" s="8"/>
      <c r="AQ43" s="8"/>
      <c r="AR43" s="211"/>
      <c r="AS43" s="12"/>
      <c r="AT43" s="8"/>
      <c r="AU43" s="8"/>
      <c r="AV43" s="8"/>
      <c r="AW43" s="8"/>
      <c r="AX43" s="211"/>
      <c r="AY43" s="12"/>
      <c r="AZ43" s="8"/>
      <c r="BA43" s="8"/>
      <c r="BB43" s="8"/>
      <c r="BC43" s="8"/>
      <c r="BD43" s="13"/>
      <c r="BE43" s="12"/>
      <c r="BF43" s="8"/>
      <c r="BG43" s="8"/>
      <c r="BH43" s="8"/>
      <c r="BI43" s="8"/>
      <c r="BJ43" s="211"/>
      <c r="BK43" s="116"/>
      <c r="BL43" s="117"/>
      <c r="BM43" s="112"/>
      <c r="BN43" s="215"/>
      <c r="BO43" s="204"/>
      <c r="BP43" s="205"/>
      <c r="BQ43" s="203"/>
      <c r="BR43" s="204"/>
      <c r="BS43" s="205"/>
      <c r="BT43" s="203"/>
      <c r="BU43" s="204"/>
      <c r="BV43" s="205"/>
      <c r="BW43" s="212"/>
      <c r="BX43" s="204"/>
      <c r="BY43" s="205"/>
      <c r="BZ43" s="203"/>
      <c r="CA43" s="204"/>
      <c r="CB43" s="205"/>
      <c r="CC43" s="203"/>
      <c r="CD43" s="204"/>
      <c r="CE43" s="205"/>
      <c r="CF43" s="212"/>
      <c r="CG43" s="204"/>
      <c r="CH43" s="205"/>
      <c r="CI43" s="203"/>
      <c r="CJ43" s="204"/>
      <c r="CK43" s="205"/>
      <c r="CL43" s="203"/>
      <c r="CM43" s="204"/>
      <c r="CN43" s="205"/>
      <c r="CO43" s="212"/>
      <c r="CP43" s="204"/>
      <c r="CQ43" s="205"/>
      <c r="CR43" s="90" t="str">
        <f t="shared" si="1"/>
        <v>12.3</v>
      </c>
      <c r="CS43" s="71" t="b">
        <f t="shared" si="2"/>
        <v>0</v>
      </c>
    </row>
    <row r="44" spans="1:97" ht="20.100000000000001" customHeight="1">
      <c r="A44" s="71" t="b">
        <f t="shared" si="0"/>
        <v>0</v>
      </c>
      <c r="B44" s="9" t="s">
        <v>161</v>
      </c>
      <c r="C44" s="14"/>
      <c r="D44" s="1"/>
      <c r="E44" s="1"/>
      <c r="F44" s="1"/>
      <c r="G44" s="1"/>
      <c r="H44" s="15"/>
      <c r="I44" s="14"/>
      <c r="J44" s="1"/>
      <c r="K44" s="1"/>
      <c r="L44" s="1"/>
      <c r="M44" s="1"/>
      <c r="N44" s="15"/>
      <c r="O44" s="14"/>
      <c r="P44" s="1"/>
      <c r="Q44" s="1"/>
      <c r="R44" s="1"/>
      <c r="S44" s="1"/>
      <c r="T44" s="15"/>
      <c r="U44" s="12"/>
      <c r="V44" s="8"/>
      <c r="W44" s="8"/>
      <c r="X44" s="8"/>
      <c r="Y44" s="8"/>
      <c r="Z44" s="13"/>
      <c r="AA44" s="12"/>
      <c r="AB44" s="8"/>
      <c r="AC44" s="8"/>
      <c r="AD44" s="8"/>
      <c r="AE44" s="8"/>
      <c r="AF44" s="211"/>
      <c r="AG44" s="12"/>
      <c r="AH44" s="8"/>
      <c r="AI44" s="8"/>
      <c r="AJ44" s="8"/>
      <c r="AK44" s="8"/>
      <c r="AL44" s="13"/>
      <c r="AM44" s="12"/>
      <c r="AN44" s="8"/>
      <c r="AO44" s="8"/>
      <c r="AP44" s="8"/>
      <c r="AQ44" s="8"/>
      <c r="AR44" s="211"/>
      <c r="AS44" s="12"/>
      <c r="AT44" s="8"/>
      <c r="AU44" s="8"/>
      <c r="AV44" s="8"/>
      <c r="AW44" s="8"/>
      <c r="AX44" s="211"/>
      <c r="AY44" s="12"/>
      <c r="AZ44" s="8"/>
      <c r="BA44" s="8"/>
      <c r="BB44" s="8"/>
      <c r="BC44" s="8"/>
      <c r="BD44" s="13"/>
      <c r="BE44" s="12"/>
      <c r="BF44" s="8"/>
      <c r="BG44" s="8"/>
      <c r="BH44" s="8"/>
      <c r="BI44" s="8"/>
      <c r="BJ44" s="211"/>
      <c r="BK44" s="116"/>
      <c r="BL44" s="117"/>
      <c r="BM44" s="112"/>
      <c r="BN44" s="215"/>
      <c r="BO44" s="204"/>
      <c r="BP44" s="205"/>
      <c r="BQ44" s="203"/>
      <c r="BR44" s="204"/>
      <c r="BS44" s="205"/>
      <c r="BT44" s="203"/>
      <c r="BU44" s="204"/>
      <c r="BV44" s="205"/>
      <c r="BW44" s="212"/>
      <c r="BX44" s="204"/>
      <c r="BY44" s="205"/>
      <c r="BZ44" s="203"/>
      <c r="CA44" s="204"/>
      <c r="CB44" s="205"/>
      <c r="CC44" s="203"/>
      <c r="CD44" s="204"/>
      <c r="CE44" s="205"/>
      <c r="CF44" s="203"/>
      <c r="CG44" s="204"/>
      <c r="CH44" s="205"/>
      <c r="CI44" s="203"/>
      <c r="CJ44" s="204"/>
      <c r="CK44" s="205"/>
      <c r="CL44" s="203"/>
      <c r="CM44" s="204"/>
      <c r="CN44" s="205"/>
      <c r="CO44" s="203"/>
      <c r="CP44" s="204"/>
      <c r="CQ44" s="205"/>
      <c r="CR44" s="90" t="str">
        <f t="shared" si="1"/>
        <v>12.3</v>
      </c>
      <c r="CS44" s="71" t="b">
        <f t="shared" si="2"/>
        <v>0</v>
      </c>
    </row>
    <row r="45" spans="1:97" ht="19.5" customHeight="1">
      <c r="A45" s="344">
        <f>COUNTIF(A7:A44,TRUE)/COUNTA(B7:B44)</f>
        <v>0</v>
      </c>
      <c r="AA45" s="90"/>
      <c r="AB45" s="90"/>
      <c r="AC45" s="90"/>
      <c r="AD45" s="90"/>
      <c r="AE45" s="90"/>
      <c r="AF45" s="90"/>
      <c r="AM45" s="90"/>
      <c r="AN45" s="90"/>
      <c r="AO45" s="90"/>
      <c r="AP45" s="90"/>
      <c r="AQ45" s="90"/>
      <c r="AR45" s="90"/>
      <c r="BE45"/>
      <c r="BF45"/>
      <c r="BG45"/>
      <c r="BH45"/>
      <c r="BI45"/>
      <c r="BJ45"/>
      <c r="CS45" s="344">
        <f>COUNTIF(CS7:CS44,TRUE)/COUNTA(B7:B44)</f>
        <v>0</v>
      </c>
    </row>
    <row r="46" spans="1:97" ht="19.5" customHeight="1">
      <c r="B46" t="s">
        <v>22</v>
      </c>
      <c r="AA46" s="90"/>
      <c r="AB46" s="90"/>
      <c r="AC46" s="90"/>
      <c r="AD46" s="90"/>
      <c r="AE46" s="90"/>
      <c r="AF46" s="90"/>
      <c r="AM46" s="90"/>
      <c r="AN46" s="90"/>
      <c r="AO46" s="90"/>
      <c r="AP46" s="90"/>
      <c r="AQ46" s="90"/>
      <c r="AR46" s="90"/>
      <c r="BE46"/>
      <c r="BF46"/>
      <c r="BG46"/>
      <c r="BH46"/>
      <c r="BI46"/>
      <c r="BJ46"/>
    </row>
    <row r="47" spans="1:97" ht="19.5" customHeight="1">
      <c r="B47" t="s">
        <v>22</v>
      </c>
      <c r="AA47" s="90"/>
      <c r="AB47" s="90"/>
      <c r="AC47" s="90"/>
      <c r="AD47" s="90"/>
      <c r="AE47" s="90"/>
      <c r="AF47" s="90"/>
      <c r="AM47" s="90"/>
      <c r="AN47" s="90"/>
      <c r="AO47" s="90"/>
      <c r="AP47" s="90"/>
      <c r="AQ47" s="90"/>
      <c r="AR47" s="90"/>
      <c r="BE47"/>
      <c r="BF47"/>
      <c r="BG47"/>
      <c r="BH47"/>
      <c r="BI47"/>
      <c r="BJ47"/>
    </row>
    <row r="48" spans="1:97" ht="19.5" customHeight="1">
      <c r="AA48" s="90"/>
      <c r="AB48" s="90"/>
      <c r="AC48" s="90"/>
      <c r="AD48" s="90"/>
      <c r="AE48" s="90"/>
      <c r="AF48" s="90"/>
      <c r="AM48" s="90"/>
      <c r="AN48" s="90"/>
      <c r="AO48" s="90"/>
      <c r="AP48" s="90"/>
      <c r="AQ48" s="90"/>
      <c r="AR48" s="90"/>
      <c r="BE48"/>
      <c r="BF48"/>
      <c r="BG48"/>
      <c r="BH48"/>
      <c r="BI48"/>
      <c r="BJ48"/>
    </row>
    <row r="49" spans="4:62" ht="19.5" customHeight="1">
      <c r="AA49" s="90"/>
      <c r="AB49" s="90"/>
      <c r="AC49" s="90"/>
      <c r="AD49" s="90"/>
      <c r="AE49" s="90"/>
      <c r="AF49" s="90"/>
      <c r="AM49" s="90"/>
      <c r="AN49" s="90"/>
      <c r="AO49" s="90"/>
      <c r="AP49" s="90"/>
      <c r="AQ49" s="90"/>
      <c r="AR49" s="90"/>
      <c r="BE49"/>
      <c r="BF49"/>
      <c r="BG49"/>
      <c r="BH49"/>
      <c r="BI49"/>
      <c r="BJ49"/>
    </row>
    <row r="50" spans="4:62" ht="19.5" customHeight="1">
      <c r="AA50" s="90"/>
      <c r="AB50" s="90"/>
      <c r="AC50" s="90"/>
      <c r="AD50" s="90"/>
      <c r="AE50" s="90"/>
      <c r="AF50" s="90"/>
      <c r="AM50" s="90"/>
      <c r="AN50" s="90"/>
      <c r="AO50" s="90"/>
      <c r="AP50" s="90"/>
      <c r="AQ50" s="90"/>
      <c r="AR50" s="90"/>
      <c r="BE50"/>
      <c r="BF50"/>
      <c r="BG50"/>
      <c r="BH50"/>
      <c r="BI50"/>
      <c r="BJ50"/>
    </row>
    <row r="51" spans="4:62" ht="19.5" customHeight="1">
      <c r="AA51" s="90"/>
      <c r="AB51" s="90"/>
      <c r="AC51" s="90"/>
      <c r="AD51" s="90"/>
      <c r="AE51" s="90"/>
      <c r="AF51" s="90"/>
      <c r="AM51" s="90"/>
      <c r="AN51" s="90"/>
      <c r="AO51" s="90"/>
      <c r="AP51" s="90"/>
      <c r="AQ51" s="90"/>
      <c r="AR51" s="90"/>
      <c r="BE51"/>
      <c r="BF51"/>
      <c r="BG51"/>
      <c r="BH51"/>
      <c r="BI51"/>
      <c r="BJ51"/>
    </row>
    <row r="52" spans="4:62" ht="19.5" customHeight="1">
      <c r="AA52" s="90"/>
      <c r="AB52" s="90"/>
      <c r="AC52" s="90"/>
      <c r="AD52" s="90"/>
      <c r="AE52" s="90"/>
      <c r="AF52" s="90"/>
      <c r="AM52" s="90"/>
      <c r="AN52" s="90"/>
      <c r="AO52" s="90"/>
      <c r="AP52" s="90"/>
      <c r="AQ52" s="90"/>
      <c r="AR52" s="90"/>
      <c r="BE52"/>
      <c r="BF52"/>
      <c r="BG52"/>
      <c r="BH52"/>
      <c r="BI52"/>
      <c r="BJ52"/>
    </row>
    <row r="53" spans="4:62" ht="19.5" customHeight="1">
      <c r="AA53" s="90"/>
      <c r="AB53" s="90"/>
      <c r="AC53" s="90"/>
      <c r="AD53" s="90"/>
      <c r="AE53" s="90"/>
      <c r="AF53" s="90"/>
      <c r="AM53" s="90"/>
      <c r="AN53" s="90"/>
      <c r="AO53" s="90"/>
      <c r="AP53" s="90"/>
      <c r="AQ53" s="90"/>
      <c r="AR53" s="90"/>
      <c r="BE53"/>
      <c r="BF53"/>
      <c r="BG53"/>
      <c r="BH53"/>
      <c r="BI53"/>
      <c r="BJ53"/>
    </row>
    <row r="54" spans="4:62" ht="19.5" customHeight="1">
      <c r="AA54" s="90"/>
      <c r="AB54" s="90"/>
      <c r="AC54" s="90"/>
      <c r="AD54" s="90"/>
      <c r="AE54" s="90"/>
      <c r="AF54" s="90"/>
      <c r="AM54" s="90"/>
      <c r="AN54" s="90"/>
      <c r="AO54" s="90"/>
      <c r="AP54" s="90"/>
      <c r="AQ54" s="90"/>
      <c r="AR54" s="90"/>
      <c r="BE54"/>
      <c r="BF54"/>
      <c r="BG54"/>
      <c r="BH54"/>
      <c r="BI54"/>
      <c r="BJ54"/>
    </row>
    <row r="55" spans="4:62" ht="19.5" customHeight="1">
      <c r="AA55" s="90"/>
      <c r="AB55" s="90"/>
      <c r="AC55" s="90"/>
      <c r="AD55" s="90"/>
      <c r="AE55" s="90"/>
      <c r="AF55" s="90"/>
      <c r="AM55" s="90"/>
      <c r="AN55" s="90"/>
      <c r="AO55" s="90"/>
      <c r="AP55" s="90"/>
      <c r="AQ55" s="90"/>
      <c r="AR55" s="90"/>
      <c r="BE55"/>
      <c r="BF55"/>
      <c r="BG55"/>
      <c r="BH55"/>
      <c r="BI55"/>
      <c r="BJ55"/>
    </row>
    <row r="56" spans="4:62" ht="19.5" customHeight="1">
      <c r="AA56" s="90"/>
      <c r="AB56" s="90"/>
      <c r="AC56" s="90"/>
      <c r="AD56" s="90"/>
      <c r="AE56" s="90"/>
      <c r="AF56" s="90"/>
      <c r="AM56" s="90"/>
      <c r="AN56" s="90"/>
      <c r="AO56" s="90"/>
      <c r="AP56" s="90"/>
      <c r="AQ56" s="90"/>
      <c r="AR56" s="90"/>
      <c r="BE56"/>
      <c r="BF56"/>
      <c r="BG56"/>
      <c r="BH56"/>
      <c r="BI56"/>
      <c r="BJ56"/>
    </row>
    <row r="57" spans="4:62" ht="19.5" customHeight="1">
      <c r="AA57" s="90"/>
      <c r="AB57" s="90"/>
      <c r="AC57" s="90"/>
      <c r="AD57" s="90"/>
      <c r="AE57" s="90"/>
      <c r="AF57" s="90"/>
      <c r="AM57" s="90"/>
      <c r="AN57" s="90"/>
      <c r="AO57" s="90"/>
      <c r="AP57" s="90"/>
      <c r="AQ57" s="90"/>
      <c r="AR57" s="90"/>
      <c r="BE57"/>
      <c r="BF57"/>
      <c r="BG57"/>
      <c r="BH57"/>
      <c r="BI57"/>
      <c r="BJ57"/>
    </row>
    <row r="58" spans="4:62" ht="19.5" customHeight="1">
      <c r="AA58" s="90"/>
      <c r="AB58" s="90"/>
      <c r="AC58" s="90"/>
      <c r="AD58" s="90"/>
      <c r="AE58" s="90"/>
      <c r="AF58" s="90"/>
      <c r="AM58" s="90"/>
      <c r="AN58" s="90"/>
      <c r="AO58" s="90"/>
      <c r="AP58" s="90"/>
      <c r="AQ58" s="90"/>
      <c r="AR58" s="90"/>
      <c r="BE58"/>
      <c r="BF58"/>
      <c r="BG58"/>
      <c r="BH58"/>
      <c r="BI58"/>
      <c r="BJ58"/>
    </row>
    <row r="59" spans="4:62" ht="19.5" customHeight="1">
      <c r="AA59" s="90"/>
      <c r="AB59" s="90"/>
      <c r="AC59" s="90"/>
      <c r="AD59" s="90"/>
      <c r="AE59" s="90"/>
      <c r="AF59" s="90"/>
      <c r="AM59" s="90"/>
      <c r="AN59" s="90"/>
      <c r="AO59" s="90"/>
      <c r="AP59" s="90"/>
      <c r="AQ59" s="90"/>
      <c r="AR59" s="90"/>
      <c r="BE59"/>
      <c r="BF59"/>
      <c r="BG59"/>
      <c r="BH59"/>
      <c r="BI59"/>
      <c r="BJ59"/>
    </row>
    <row r="60" spans="4:62" ht="19.5" customHeight="1">
      <c r="AA60" s="90"/>
      <c r="AB60" s="90"/>
      <c r="AC60" s="90"/>
      <c r="AD60" s="90"/>
      <c r="AE60" s="90"/>
      <c r="AF60" s="90"/>
      <c r="AM60" s="90"/>
      <c r="AN60" s="90"/>
      <c r="AO60" s="90"/>
      <c r="AP60" s="90"/>
      <c r="AQ60" s="90"/>
      <c r="AR60" s="90"/>
      <c r="BE60"/>
      <c r="BF60"/>
      <c r="BG60"/>
      <c r="BH60"/>
      <c r="BI60"/>
      <c r="BJ60"/>
    </row>
    <row r="61" spans="4:62" ht="19.5" customHeight="1">
      <c r="AA61" s="90"/>
      <c r="AB61" s="90"/>
      <c r="AC61" s="90"/>
      <c r="AD61" s="90"/>
      <c r="AE61" s="90"/>
      <c r="AF61" s="90"/>
      <c r="AM61" s="90"/>
      <c r="AN61" s="90"/>
      <c r="AO61" s="90"/>
      <c r="AP61" s="90"/>
      <c r="AQ61" s="90"/>
      <c r="AR61" s="90"/>
      <c r="BE61"/>
      <c r="BF61"/>
      <c r="BG61"/>
      <c r="BH61"/>
      <c r="BI61"/>
      <c r="BJ61"/>
    </row>
    <row r="62" spans="4:62" ht="19.5" customHeight="1">
      <c r="AA62" s="90"/>
      <c r="AB62" s="90"/>
      <c r="AC62" s="90"/>
      <c r="AD62" s="90"/>
      <c r="AE62" s="90"/>
      <c r="AF62" s="90"/>
      <c r="AM62" s="90"/>
      <c r="AN62" s="90"/>
      <c r="AO62" s="90"/>
      <c r="AP62" s="90"/>
      <c r="AQ62" s="90"/>
      <c r="AR62" s="90"/>
      <c r="BE62"/>
      <c r="BF62"/>
      <c r="BG62"/>
      <c r="BH62"/>
      <c r="BI62"/>
      <c r="BJ62"/>
    </row>
    <row r="63" spans="4:62" ht="19.5" customHeight="1">
      <c r="D63" t="e">
        <v>#VALUE!</v>
      </c>
      <c r="AA63" s="90"/>
      <c r="AB63" s="90"/>
      <c r="AC63" s="90"/>
      <c r="AD63" s="90"/>
      <c r="AE63" s="90"/>
      <c r="AF63" s="90"/>
      <c r="AM63" s="90"/>
      <c r="AN63" s="90"/>
      <c r="AO63" s="90"/>
      <c r="AP63" s="90"/>
      <c r="AQ63" s="90"/>
      <c r="AR63" s="90"/>
      <c r="BE63"/>
      <c r="BF63"/>
      <c r="BG63"/>
      <c r="BH63"/>
      <c r="BI63"/>
      <c r="BJ63"/>
    </row>
    <row r="64" spans="4:62" ht="19.5" customHeight="1">
      <c r="AA64" s="90"/>
      <c r="AB64" s="90"/>
      <c r="AC64" s="90"/>
      <c r="AD64" s="90"/>
      <c r="AE64" s="90"/>
      <c r="AF64" s="90"/>
      <c r="AM64" s="90"/>
      <c r="AN64" s="90"/>
      <c r="AO64" s="90"/>
      <c r="AP64" s="90"/>
      <c r="AQ64" s="90"/>
      <c r="AR64" s="90"/>
      <c r="BE64"/>
      <c r="BF64"/>
      <c r="BG64"/>
      <c r="BH64"/>
      <c r="BI64"/>
      <c r="BJ64"/>
    </row>
    <row r="65" spans="27:62" ht="19.5" customHeight="1">
      <c r="AA65" s="90"/>
      <c r="AB65" s="90"/>
      <c r="AC65" s="90"/>
      <c r="AD65" s="90"/>
      <c r="AE65" s="90"/>
      <c r="AF65" s="90"/>
      <c r="AM65" s="90"/>
      <c r="AN65" s="90"/>
      <c r="AO65" s="90"/>
      <c r="AP65" s="90"/>
      <c r="AQ65" s="90"/>
      <c r="AR65" s="90"/>
      <c r="BE65"/>
      <c r="BF65"/>
      <c r="BG65"/>
      <c r="BH65"/>
      <c r="BI65"/>
      <c r="BJ65"/>
    </row>
    <row r="66" spans="27:62" ht="19.5" customHeight="1">
      <c r="AA66" s="90"/>
      <c r="AB66" s="90"/>
      <c r="AC66" s="90"/>
      <c r="AD66" s="90"/>
      <c r="AE66" s="90"/>
      <c r="AF66" s="90"/>
      <c r="AM66" s="90"/>
      <c r="AN66" s="90"/>
      <c r="AO66" s="90"/>
      <c r="AP66" s="90"/>
      <c r="AQ66" s="90"/>
      <c r="AR66" s="90"/>
      <c r="BE66"/>
      <c r="BF66"/>
      <c r="BG66"/>
      <c r="BH66"/>
      <c r="BI66"/>
      <c r="BJ66"/>
    </row>
    <row r="67" spans="27:62" ht="19.5" customHeight="1">
      <c r="AA67" s="90"/>
      <c r="AB67" s="90"/>
      <c r="AC67" s="90"/>
      <c r="AD67" s="90"/>
      <c r="AE67" s="90"/>
      <c r="AF67" s="90"/>
      <c r="AM67" s="90"/>
      <c r="AN67" s="90"/>
      <c r="AO67" s="90"/>
      <c r="AP67" s="90"/>
      <c r="AQ67" s="90"/>
      <c r="AR67" s="90"/>
      <c r="BE67"/>
      <c r="BF67"/>
      <c r="BG67"/>
      <c r="BH67"/>
      <c r="BI67"/>
      <c r="BJ67"/>
    </row>
    <row r="68" spans="27:62" ht="19.5" customHeight="1">
      <c r="AA68" s="90"/>
      <c r="AB68" s="90"/>
      <c r="AC68" s="90"/>
      <c r="AD68" s="90"/>
      <c r="AE68" s="90"/>
      <c r="AF68" s="90"/>
      <c r="AM68" s="90"/>
      <c r="AN68" s="90"/>
      <c r="AO68" s="90"/>
      <c r="AP68" s="90"/>
      <c r="AQ68" s="90"/>
      <c r="AR68" s="90"/>
      <c r="BE68"/>
      <c r="BF68"/>
      <c r="BG68"/>
      <c r="BH68"/>
      <c r="BI68"/>
      <c r="BJ68"/>
    </row>
    <row r="69" spans="27:62" ht="19.5" customHeight="1">
      <c r="AA69" s="90"/>
      <c r="AB69" s="90"/>
      <c r="AC69" s="90"/>
      <c r="AD69" s="90"/>
      <c r="AE69" s="90"/>
      <c r="AF69" s="90"/>
      <c r="AM69" s="90"/>
      <c r="AN69" s="90"/>
      <c r="AO69" s="90"/>
      <c r="AP69" s="90"/>
      <c r="AQ69" s="90"/>
      <c r="AR69" s="90"/>
      <c r="BE69"/>
      <c r="BF69"/>
      <c r="BG69"/>
      <c r="BH69"/>
      <c r="BI69"/>
      <c r="BJ69"/>
    </row>
    <row r="70" spans="27:62" ht="19.5" customHeight="1">
      <c r="AA70" s="90"/>
      <c r="AB70" s="90"/>
      <c r="AC70" s="90"/>
      <c r="AD70" s="90"/>
      <c r="AE70" s="90"/>
      <c r="AF70" s="90"/>
      <c r="AM70" s="90"/>
      <c r="AN70" s="90"/>
      <c r="AO70" s="90"/>
      <c r="AP70" s="90"/>
      <c r="AQ70" s="90"/>
      <c r="AR70" s="90"/>
      <c r="BE70"/>
      <c r="BF70"/>
      <c r="BG70"/>
      <c r="BH70"/>
      <c r="BI70"/>
      <c r="BJ70"/>
    </row>
    <row r="71" spans="27:62" ht="19.5" customHeight="1"/>
    <row r="72" spans="27:62" ht="19.5" customHeight="1"/>
    <row r="73" spans="27:62" ht="19.5" customHeight="1"/>
    <row r="74" spans="27:62" ht="19.5" customHeight="1"/>
    <row r="75" spans="27:62" ht="19.5" customHeight="1"/>
    <row r="76" spans="27:62" ht="19.5" customHeight="1"/>
    <row r="77" spans="27:62" ht="19.5" customHeight="1"/>
    <row r="78" spans="27:62" ht="19.5" customHeight="1"/>
    <row r="79" spans="27:62" ht="19.5" customHeight="1"/>
    <row r="80" spans="27:62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</sheetData>
  <sheetProtection selectLockedCells="1"/>
  <mergeCells count="21">
    <mergeCell ref="CI5:CK5"/>
    <mergeCell ref="CL5:CN5"/>
    <mergeCell ref="CO5:CQ5"/>
    <mergeCell ref="BQ5:BS5"/>
    <mergeCell ref="BT5:BV5"/>
    <mergeCell ref="BW5:BY5"/>
    <mergeCell ref="BZ5:CB5"/>
    <mergeCell ref="CC5:CE5"/>
    <mergeCell ref="CF5:CH5"/>
    <mergeCell ref="BN5:BP5"/>
    <mergeCell ref="C5:H5"/>
    <mergeCell ref="I5:N5"/>
    <mergeCell ref="O5:T5"/>
    <mergeCell ref="U5:Z5"/>
    <mergeCell ref="AA5:AF5"/>
    <mergeCell ref="AG5:AL5"/>
    <mergeCell ref="AM5:AR5"/>
    <mergeCell ref="AS5:AX5"/>
    <mergeCell ref="AY5:BD5"/>
    <mergeCell ref="BE5:BJ5"/>
    <mergeCell ref="BK5:BM5"/>
  </mergeCells>
  <conditionalFormatting sqref="C7:BJ44">
    <cfRule type="expression" dxfId="11" priority="1">
      <formula>C7=$P$2</formula>
    </cfRule>
    <cfRule type="expression" dxfId="10" priority="2">
      <formula>C7=$C$3</formula>
    </cfRule>
    <cfRule type="expression" dxfId="9" priority="3">
      <formula>C7=$P$1</formula>
    </cfRule>
    <cfRule type="expression" dxfId="8" priority="4">
      <formula>C7=$C$4</formula>
    </cfRule>
    <cfRule type="expression" dxfId="7" priority="5">
      <formula>C7=$C$2</formula>
    </cfRule>
    <cfRule type="expression" dxfId="6" priority="6">
      <formula>C7=$C$1</formula>
    </cfRule>
  </conditionalFormatting>
  <dataValidations count="4">
    <dataValidation type="list" allowBlank="1" showInputMessage="1" showErrorMessage="1" sqref="J7:J1048576 C7:D1048576 AY71:AZ1048576 Z53 BE71:BF1048576 BE7:BF44 AA7:AB1048576 U7:V1048576 O7:P1048576 AY7:AZ44 AG7:AH1048576 AS7:AT1048576 AM7:AN1048576" xr:uid="{45B22F29-4153-4657-A17D-AA7D84DF6814}">
      <formula1>"A,P,O,X,R"</formula1>
    </dataValidation>
    <dataValidation type="list" allowBlank="1" showInputMessage="1" showErrorMessage="1" sqref="I7:I44" xr:uid="{9CF991F4-54B4-4EE1-A858-3B97EA7EE9B1}">
      <formula1>$C$1:$C$4</formula1>
    </dataValidation>
    <dataValidation type="list" allowBlank="1" showInputMessage="1" showErrorMessage="1" sqref="BA7:BD44 BG7:BJ44 AO7:AR44 E7:H44 W7:Z44 AU7:AX44 K7:N44 Q7:T44 AC7:AL44" xr:uid="{EFAF3CBF-0DD1-43DC-A3C9-53E8038FB7CE}">
      <formula1>"A,P,O,X,F"</formula1>
    </dataValidation>
    <dataValidation type="date" allowBlank="1" showInputMessage="1" showErrorMessage="1" sqref="CC8:CC20 BZ23:BZ34 CC23 BW7 CL8:CL20 CI23:CI34 CL23 BN42:BN44 BK7:BM44 BT21:BT22 BQ35:BQ38 BT39:BT41" xr:uid="{9BA013C0-CBA8-4231-9DF7-CC63955E5C29}">
      <formula1>45880</formula1>
      <formula2>73050</formula2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10FA-F70D-4776-AC54-1C0F4765A04F}">
  <sheetPr codeName="Feuil9">
    <tabColor rgb="FFFF9F9F"/>
  </sheetPr>
  <dimension ref="A1:CS94"/>
  <sheetViews>
    <sheetView showGridLines="0" zoomScale="55" zoomScaleNormal="55" workbookViewId="0">
      <pane xSplit="2" ySplit="6" topLeftCell="C7" activePane="bottomRight" state="frozen"/>
      <selection pane="bottomRight" activeCell="U28" sqref="U28"/>
      <selection pane="bottomLeft" activeCell="C1" sqref="C1:W4"/>
      <selection pane="topRight" activeCell="C1" sqref="C1:W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11.42578125" defaultRowHeight="15" customHeight="1"/>
  <cols>
    <col min="3" max="44" width="3.42578125" customWidth="1"/>
    <col min="45" max="62" width="3.42578125" style="90" customWidth="1"/>
    <col min="63" max="83" width="8.5703125" customWidth="1"/>
  </cols>
  <sheetData>
    <row r="1" spans="1:97" ht="14.45">
      <c r="C1" s="216" t="s">
        <v>29</v>
      </c>
      <c r="D1" s="6" t="s">
        <v>173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17" t="s">
        <v>174</v>
      </c>
      <c r="Q1" s="163" t="s">
        <v>175</v>
      </c>
      <c r="R1" s="163"/>
      <c r="S1" s="163"/>
      <c r="T1" s="163"/>
      <c r="U1" s="163"/>
      <c r="V1" s="163"/>
      <c r="W1" s="163"/>
      <c r="AR1" t="b">
        <v>0</v>
      </c>
    </row>
    <row r="2" spans="1:97" ht="14.45">
      <c r="C2" s="218" t="s">
        <v>176</v>
      </c>
      <c r="D2" s="5" t="s">
        <v>177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19" t="s">
        <v>178</v>
      </c>
      <c r="Q2" s="220" t="s">
        <v>179</v>
      </c>
      <c r="R2" s="220"/>
      <c r="S2" s="220"/>
      <c r="T2" s="220"/>
      <c r="U2" s="220"/>
      <c r="V2" s="220"/>
      <c r="W2" s="220"/>
    </row>
    <row r="3" spans="1:97" ht="14.45">
      <c r="C3" s="221" t="s">
        <v>180</v>
      </c>
      <c r="D3" s="26" t="s">
        <v>181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47" t="s">
        <v>182</v>
      </c>
      <c r="Q3" s="247"/>
      <c r="R3" s="247"/>
      <c r="S3" s="247"/>
      <c r="T3" s="246"/>
      <c r="U3" s="246"/>
      <c r="V3" s="246"/>
      <c r="W3" s="246"/>
    </row>
    <row r="4" spans="1:97" thickBot="1">
      <c r="C4" s="222" t="s">
        <v>183</v>
      </c>
      <c r="D4" s="4" t="s">
        <v>184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349" t="s">
        <v>185</v>
      </c>
      <c r="Q4" s="348"/>
      <c r="R4" s="348"/>
      <c r="S4" s="348"/>
      <c r="T4" s="348"/>
      <c r="U4" s="348"/>
      <c r="V4" s="348"/>
      <c r="W4" s="348"/>
    </row>
    <row r="5" spans="1:97" ht="37.5" customHeight="1" thickBot="1">
      <c r="B5" s="9"/>
      <c r="C5" s="373" t="s">
        <v>34</v>
      </c>
      <c r="D5" s="374"/>
      <c r="E5" s="374"/>
      <c r="F5" s="374"/>
      <c r="G5" s="374"/>
      <c r="H5" s="375"/>
      <c r="I5" s="373" t="s">
        <v>164</v>
      </c>
      <c r="J5" s="374"/>
      <c r="K5" s="374"/>
      <c r="L5" s="374"/>
      <c r="M5" s="374"/>
      <c r="N5" s="375"/>
      <c r="O5" s="373" t="s">
        <v>406</v>
      </c>
      <c r="P5" s="374"/>
      <c r="Q5" s="374"/>
      <c r="R5" s="374"/>
      <c r="S5" s="374"/>
      <c r="T5" s="375"/>
      <c r="U5" s="373" t="s">
        <v>166</v>
      </c>
      <c r="V5" s="374"/>
      <c r="W5" s="374"/>
      <c r="X5" s="374"/>
      <c r="Y5" s="374"/>
      <c r="Z5" s="375"/>
      <c r="AA5" s="373" t="s">
        <v>407</v>
      </c>
      <c r="AB5" s="374"/>
      <c r="AC5" s="374"/>
      <c r="AD5" s="374"/>
      <c r="AE5" s="374"/>
      <c r="AF5" s="375"/>
      <c r="AG5" s="373" t="s">
        <v>168</v>
      </c>
      <c r="AH5" s="374"/>
      <c r="AI5" s="374"/>
      <c r="AJ5" s="374"/>
      <c r="AK5" s="374"/>
      <c r="AL5" s="375"/>
      <c r="AM5" s="373" t="s">
        <v>170</v>
      </c>
      <c r="AN5" s="374"/>
      <c r="AO5" s="374"/>
      <c r="AP5" s="374"/>
      <c r="AQ5" s="374"/>
      <c r="AR5" s="375"/>
      <c r="AS5" s="373" t="s">
        <v>169</v>
      </c>
      <c r="AT5" s="374"/>
      <c r="AU5" s="374"/>
      <c r="AV5" s="374"/>
      <c r="AW5" s="374"/>
      <c r="AX5" s="375"/>
      <c r="AY5" s="373" t="s">
        <v>171</v>
      </c>
      <c r="AZ5" s="374"/>
      <c r="BA5" s="374"/>
      <c r="BB5" s="374"/>
      <c r="BC5" s="374"/>
      <c r="BD5" s="375"/>
      <c r="BE5" s="373" t="s">
        <v>172</v>
      </c>
      <c r="BF5" s="374"/>
      <c r="BG5" s="374"/>
      <c r="BH5" s="374"/>
      <c r="BI5" s="374"/>
      <c r="BJ5" s="375"/>
      <c r="BK5" s="379" t="s">
        <v>193</v>
      </c>
      <c r="BL5" s="380"/>
      <c r="BM5" s="380"/>
      <c r="BN5" s="373" t="str">
        <f>C5</f>
        <v>TASYA</v>
      </c>
      <c r="BO5" s="374"/>
      <c r="BP5" s="374"/>
      <c r="BQ5" s="373" t="str">
        <f>I5</f>
        <v>FAIZ</v>
      </c>
      <c r="BR5" s="374"/>
      <c r="BS5" s="375"/>
      <c r="BT5" s="373" t="str">
        <f>O5</f>
        <v>ANNISA</v>
      </c>
      <c r="BU5" s="374"/>
      <c r="BV5" s="375"/>
      <c r="BW5" s="373" t="str">
        <f>U5</f>
        <v>BIMA</v>
      </c>
      <c r="BX5" s="374"/>
      <c r="BY5" s="374"/>
      <c r="BZ5" s="373" t="str">
        <f>AA5</f>
        <v>AKHMAD</v>
      </c>
      <c r="CA5" s="374"/>
      <c r="CB5" s="375"/>
      <c r="CC5" s="373" t="str">
        <f>AG5</f>
        <v>ARIFAH</v>
      </c>
      <c r="CD5" s="374"/>
      <c r="CE5" s="375"/>
      <c r="CF5" s="373" t="str">
        <f>AM5</f>
        <v>AINUR</v>
      </c>
      <c r="CG5" s="374"/>
      <c r="CH5" s="375"/>
      <c r="CI5" s="373" t="str">
        <f>AS5</f>
        <v>DEVI</v>
      </c>
      <c r="CJ5" s="374"/>
      <c r="CK5" s="375"/>
      <c r="CL5" s="373" t="str">
        <f>AY5</f>
        <v>FAJAR</v>
      </c>
      <c r="CM5" s="374"/>
      <c r="CN5" s="375"/>
      <c r="CO5" s="373" t="str">
        <f>BE5</f>
        <v>ALIF</v>
      </c>
      <c r="CP5" s="374"/>
      <c r="CQ5" s="375"/>
    </row>
    <row r="6" spans="1:97" ht="18" thickBot="1">
      <c r="A6" s="346" t="s">
        <v>194</v>
      </c>
      <c r="B6" s="271"/>
      <c r="C6" s="130" t="s">
        <v>29</v>
      </c>
      <c r="D6" s="131" t="s">
        <v>30</v>
      </c>
      <c r="E6" s="131" t="s">
        <v>195</v>
      </c>
      <c r="F6" s="131" t="s">
        <v>196</v>
      </c>
      <c r="G6" s="131" t="s">
        <v>197</v>
      </c>
      <c r="H6" s="132" t="s">
        <v>33</v>
      </c>
      <c r="I6" s="130" t="s">
        <v>29</v>
      </c>
      <c r="J6" s="131" t="s">
        <v>30</v>
      </c>
      <c r="K6" s="131" t="s">
        <v>195</v>
      </c>
      <c r="L6" s="131" t="s">
        <v>196</v>
      </c>
      <c r="M6" s="131" t="s">
        <v>197</v>
      </c>
      <c r="N6" s="132" t="s">
        <v>33</v>
      </c>
      <c r="O6" s="130" t="s">
        <v>29</v>
      </c>
      <c r="P6" s="131" t="s">
        <v>30</v>
      </c>
      <c r="Q6" s="131" t="s">
        <v>195</v>
      </c>
      <c r="R6" s="131" t="s">
        <v>196</v>
      </c>
      <c r="S6" s="131" t="s">
        <v>197</v>
      </c>
      <c r="T6" s="132" t="s">
        <v>33</v>
      </c>
      <c r="U6" s="130" t="s">
        <v>29</v>
      </c>
      <c r="V6" s="131" t="s">
        <v>30</v>
      </c>
      <c r="W6" s="131" t="s">
        <v>195</v>
      </c>
      <c r="X6" s="131" t="s">
        <v>196</v>
      </c>
      <c r="Y6" s="131" t="s">
        <v>197</v>
      </c>
      <c r="Z6" s="132" t="s">
        <v>33</v>
      </c>
      <c r="AA6" s="130" t="s">
        <v>29</v>
      </c>
      <c r="AB6" s="131" t="s">
        <v>30</v>
      </c>
      <c r="AC6" s="131" t="s">
        <v>195</v>
      </c>
      <c r="AD6" s="131" t="s">
        <v>196</v>
      </c>
      <c r="AE6" s="131" t="s">
        <v>197</v>
      </c>
      <c r="AF6" s="276" t="s">
        <v>33</v>
      </c>
      <c r="AG6" s="130" t="s">
        <v>29</v>
      </c>
      <c r="AH6" s="131" t="s">
        <v>30</v>
      </c>
      <c r="AI6" s="131" t="s">
        <v>195</v>
      </c>
      <c r="AJ6" s="131" t="s">
        <v>196</v>
      </c>
      <c r="AK6" s="131" t="s">
        <v>197</v>
      </c>
      <c r="AL6" s="132" t="s">
        <v>33</v>
      </c>
      <c r="AM6" s="130" t="s">
        <v>29</v>
      </c>
      <c r="AN6" s="131" t="s">
        <v>30</v>
      </c>
      <c r="AO6" s="131" t="s">
        <v>195</v>
      </c>
      <c r="AP6" s="131" t="s">
        <v>196</v>
      </c>
      <c r="AQ6" s="131" t="s">
        <v>197</v>
      </c>
      <c r="AR6" s="276" t="s">
        <v>33</v>
      </c>
      <c r="AS6" s="130" t="s">
        <v>29</v>
      </c>
      <c r="AT6" s="131" t="s">
        <v>30</v>
      </c>
      <c r="AU6" s="131" t="s">
        <v>195</v>
      </c>
      <c r="AV6" s="131" t="s">
        <v>196</v>
      </c>
      <c r="AW6" s="131" t="s">
        <v>197</v>
      </c>
      <c r="AX6" s="276" t="s">
        <v>33</v>
      </c>
      <c r="AY6" s="130" t="s">
        <v>29</v>
      </c>
      <c r="AZ6" s="131" t="s">
        <v>30</v>
      </c>
      <c r="BA6" s="131" t="s">
        <v>195</v>
      </c>
      <c r="BB6" s="131" t="s">
        <v>196</v>
      </c>
      <c r="BC6" s="131" t="s">
        <v>197</v>
      </c>
      <c r="BD6" s="132" t="s">
        <v>33</v>
      </c>
      <c r="BE6" s="130" t="s">
        <v>29</v>
      </c>
      <c r="BF6" s="131" t="s">
        <v>30</v>
      </c>
      <c r="BG6" s="131" t="s">
        <v>195</v>
      </c>
      <c r="BH6" s="131" t="s">
        <v>196</v>
      </c>
      <c r="BI6" s="131" t="s">
        <v>197</v>
      </c>
      <c r="BJ6" s="276" t="s">
        <v>33</v>
      </c>
      <c r="BK6" s="274" t="s">
        <v>29</v>
      </c>
      <c r="BL6" s="275" t="s">
        <v>30</v>
      </c>
      <c r="BM6" s="98" t="s">
        <v>33</v>
      </c>
      <c r="BN6" s="99" t="s">
        <v>195</v>
      </c>
      <c r="BO6" s="94" t="s">
        <v>196</v>
      </c>
      <c r="BP6" s="100" t="s">
        <v>197</v>
      </c>
      <c r="BQ6" s="99" t="s">
        <v>195</v>
      </c>
      <c r="BR6" s="94" t="s">
        <v>196</v>
      </c>
      <c r="BS6" s="100" t="s">
        <v>197</v>
      </c>
      <c r="BT6" s="99" t="s">
        <v>195</v>
      </c>
      <c r="BU6" s="94" t="s">
        <v>196</v>
      </c>
      <c r="BV6" s="100" t="s">
        <v>197</v>
      </c>
      <c r="BW6" s="99" t="s">
        <v>195</v>
      </c>
      <c r="BX6" s="94" t="s">
        <v>196</v>
      </c>
      <c r="BY6" s="100" t="s">
        <v>197</v>
      </c>
      <c r="BZ6" s="99" t="s">
        <v>195</v>
      </c>
      <c r="CA6" s="94" t="s">
        <v>196</v>
      </c>
      <c r="CB6" s="100" t="s">
        <v>197</v>
      </c>
      <c r="CC6" s="99" t="s">
        <v>195</v>
      </c>
      <c r="CD6" s="94" t="s">
        <v>196</v>
      </c>
      <c r="CE6" s="100" t="s">
        <v>197</v>
      </c>
      <c r="CF6" s="99" t="s">
        <v>195</v>
      </c>
      <c r="CG6" s="94" t="s">
        <v>196</v>
      </c>
      <c r="CH6" s="100" t="s">
        <v>197</v>
      </c>
      <c r="CI6" s="99" t="s">
        <v>195</v>
      </c>
      <c r="CJ6" s="94" t="s">
        <v>196</v>
      </c>
      <c r="CK6" s="100" t="s">
        <v>197</v>
      </c>
      <c r="CL6" s="99" t="s">
        <v>195</v>
      </c>
      <c r="CM6" s="94" t="s">
        <v>196</v>
      </c>
      <c r="CN6" s="100" t="s">
        <v>197</v>
      </c>
      <c r="CO6" s="99" t="s">
        <v>195</v>
      </c>
      <c r="CP6" s="94" t="s">
        <v>196</v>
      </c>
      <c r="CQ6" s="100" t="s">
        <v>197</v>
      </c>
      <c r="CS6" s="346" t="s">
        <v>198</v>
      </c>
    </row>
    <row r="7" spans="1:97" ht="20.100000000000001" customHeight="1">
      <c r="A7" s="71" t="b">
        <f>IF(OR(D7&lt;&gt;"",AB7&lt;&gt;"",J7&lt;&gt;"",P7&lt;&gt;"",AH7&lt;&gt;"",AN7&lt;&gt;"",AZ7&lt;&gt;"",BF7&lt;&gt;"",AT7&lt;&gt;"",V7&lt;&gt;""),TRUE,FALSE)</f>
        <v>0</v>
      </c>
      <c r="B7" s="284" t="s">
        <v>122</v>
      </c>
      <c r="C7" s="290"/>
      <c r="D7" s="291"/>
      <c r="E7" s="291"/>
      <c r="F7" s="291"/>
      <c r="G7" s="291"/>
      <c r="H7" s="292"/>
      <c r="I7" s="290"/>
      <c r="J7" s="291"/>
      <c r="K7" s="291"/>
      <c r="L7" s="291"/>
      <c r="M7" s="291"/>
      <c r="N7" s="292"/>
      <c r="O7" s="290"/>
      <c r="P7" s="291"/>
      <c r="Q7" s="291"/>
      <c r="R7" s="291"/>
      <c r="S7" s="291"/>
      <c r="T7" s="292"/>
      <c r="U7" s="285"/>
      <c r="V7" s="286"/>
      <c r="W7" s="286"/>
      <c r="X7" s="286"/>
      <c r="Y7" s="286"/>
      <c r="Z7" s="287"/>
      <c r="AA7" s="285"/>
      <c r="AB7" s="286"/>
      <c r="AC7" s="286"/>
      <c r="AD7" s="286"/>
      <c r="AE7" s="286"/>
      <c r="AF7" s="359"/>
      <c r="AG7" s="285"/>
      <c r="AH7" s="286"/>
      <c r="AI7" s="286"/>
      <c r="AJ7" s="286"/>
      <c r="AK7" s="286"/>
      <c r="AL7" s="287"/>
      <c r="AM7" s="290"/>
      <c r="AN7" s="291"/>
      <c r="AO7" s="291"/>
      <c r="AP7" s="291"/>
      <c r="AQ7" s="291"/>
      <c r="AR7" s="304"/>
      <c r="AS7" s="290"/>
      <c r="AT7" s="291"/>
      <c r="AU7" s="291"/>
      <c r="AV7" s="291"/>
      <c r="AW7" s="291"/>
      <c r="AX7" s="304"/>
      <c r="AY7" s="290"/>
      <c r="AZ7" s="291"/>
      <c r="BA7" s="291"/>
      <c r="BB7" s="291"/>
      <c r="BC7" s="291"/>
      <c r="BD7" s="292"/>
      <c r="BE7" s="290"/>
      <c r="BF7" s="291"/>
      <c r="BG7" s="291"/>
      <c r="BH7" s="291"/>
      <c r="BI7" s="291"/>
      <c r="BJ7" s="304"/>
      <c r="BK7" s="305"/>
      <c r="BL7" s="306"/>
      <c r="BM7" s="307"/>
      <c r="BN7" s="308"/>
      <c r="BO7" s="309"/>
      <c r="BP7" s="310"/>
      <c r="BQ7" s="311"/>
      <c r="BR7" s="309"/>
      <c r="BS7" s="310"/>
      <c r="BT7" s="311"/>
      <c r="BU7" s="309"/>
      <c r="BV7" s="310"/>
      <c r="BW7" s="312"/>
      <c r="BX7" s="309"/>
      <c r="BY7" s="310"/>
      <c r="BZ7" s="311"/>
      <c r="CA7" s="309"/>
      <c r="CB7" s="310"/>
      <c r="CC7" s="311"/>
      <c r="CD7" s="309"/>
      <c r="CE7" s="310"/>
      <c r="CF7" s="311"/>
      <c r="CG7" s="309"/>
      <c r="CH7" s="310"/>
      <c r="CI7" s="311"/>
      <c r="CJ7" s="309"/>
      <c r="CK7" s="310"/>
      <c r="CL7" s="311"/>
      <c r="CM7" s="309"/>
      <c r="CN7" s="310"/>
      <c r="CO7" s="311"/>
      <c r="CP7" s="309"/>
      <c r="CQ7" s="310"/>
      <c r="CR7" s="313" t="str">
        <f t="shared" ref="CR7:CR34" si="0">_xlfn.TEXTBEFORE($B7,".",2)</f>
        <v>3C.1</v>
      </c>
      <c r="CS7" s="71" t="b">
        <f>IF(OR(H7&lt;&gt;"",N7&lt;&gt;"",T7&lt;&gt;"",Z7&lt;&gt;"",AF7&lt;&gt;"",AL7&lt;&gt;"",AR7&lt;&gt;"",AX7&lt;&gt;"",BD7&lt;&gt;"",BJ7&lt;&gt;"",BM7&lt;&gt;""),TRUE,FALSE)</f>
        <v>0</v>
      </c>
    </row>
    <row r="8" spans="1:97" ht="20.100000000000001" customHeight="1">
      <c r="A8" s="71" t="b">
        <f t="shared" ref="A8:A34" si="1">IF(OR(D8&lt;&gt;"",AB8&lt;&gt;"",J8&lt;&gt;"",P8&lt;&gt;"",AH8&lt;&gt;"",AN8&lt;&gt;"",AZ8&lt;&gt;"",BF8&lt;&gt;"",AT8&lt;&gt;"",V8&lt;&gt;""),TRUE,FALSE)</f>
        <v>0</v>
      </c>
      <c r="B8" s="9" t="s">
        <v>123</v>
      </c>
      <c r="C8" s="12"/>
      <c r="D8" s="8"/>
      <c r="E8" s="8"/>
      <c r="F8" s="8"/>
      <c r="G8" s="8"/>
      <c r="H8" s="13"/>
      <c r="I8" s="12"/>
      <c r="J8" s="8"/>
      <c r="K8" s="8"/>
      <c r="L8" s="8"/>
      <c r="M8" s="8"/>
      <c r="N8" s="13"/>
      <c r="O8" s="12"/>
      <c r="P8" s="8"/>
      <c r="Q8" s="8"/>
      <c r="R8" s="8"/>
      <c r="S8" s="8"/>
      <c r="T8" s="13"/>
      <c r="U8" s="14"/>
      <c r="V8" s="1"/>
      <c r="W8" s="1"/>
      <c r="X8" s="1"/>
      <c r="Y8" s="1"/>
      <c r="Z8" s="15"/>
      <c r="AA8" s="14"/>
      <c r="AB8" s="1"/>
      <c r="AC8" s="1"/>
      <c r="AD8" s="1"/>
      <c r="AE8" s="1"/>
      <c r="AF8" s="46"/>
      <c r="AG8" s="14"/>
      <c r="AH8" s="1"/>
      <c r="AI8" s="1"/>
      <c r="AJ8" s="1"/>
      <c r="AK8" s="1"/>
      <c r="AL8" s="15"/>
      <c r="AM8" s="12"/>
      <c r="AN8" s="8"/>
      <c r="AO8" s="8"/>
      <c r="AP8" s="8"/>
      <c r="AQ8" s="8"/>
      <c r="AR8" s="211"/>
      <c r="AS8" s="12"/>
      <c r="AT8" s="8"/>
      <c r="AU8" s="8"/>
      <c r="AV8" s="8"/>
      <c r="AW8" s="8"/>
      <c r="AX8" s="211"/>
      <c r="AY8" s="12"/>
      <c r="AZ8" s="8"/>
      <c r="BA8" s="8"/>
      <c r="BB8" s="8"/>
      <c r="BC8" s="8"/>
      <c r="BD8" s="13"/>
      <c r="BE8" s="12"/>
      <c r="BF8" s="8"/>
      <c r="BG8" s="8"/>
      <c r="BH8" s="8"/>
      <c r="BI8" s="8"/>
      <c r="BJ8" s="211"/>
      <c r="BK8" s="116"/>
      <c r="BL8" s="117"/>
      <c r="BM8" s="112"/>
      <c r="BN8" s="203"/>
      <c r="BO8" s="214"/>
      <c r="BP8" s="205"/>
      <c r="BQ8" s="203"/>
      <c r="BR8" s="204"/>
      <c r="BS8" s="205"/>
      <c r="BT8" s="203"/>
      <c r="BU8" s="204"/>
      <c r="BV8" s="205"/>
      <c r="BW8" s="203"/>
      <c r="BX8" s="204"/>
      <c r="BY8" s="205"/>
      <c r="BZ8" s="212"/>
      <c r="CA8" s="204"/>
      <c r="CB8" s="205"/>
      <c r="CC8" s="215"/>
      <c r="CD8" s="204"/>
      <c r="CE8" s="205"/>
      <c r="CF8" s="203"/>
      <c r="CG8" s="204"/>
      <c r="CH8" s="205"/>
      <c r="CI8" s="212"/>
      <c r="CJ8" s="204"/>
      <c r="CK8" s="205"/>
      <c r="CL8" s="215"/>
      <c r="CM8" s="204"/>
      <c r="CN8" s="205"/>
      <c r="CO8" s="203"/>
      <c r="CP8" s="204"/>
      <c r="CQ8" s="205"/>
      <c r="CR8" s="90" t="str">
        <f t="shared" si="0"/>
        <v>3C.1</v>
      </c>
      <c r="CS8" s="71" t="b">
        <f t="shared" ref="CS8:CS34" si="2">IF(OR(H8&lt;&gt;"",N8&lt;&gt;"",T8&lt;&gt;"",Z8&lt;&gt;"",AF8&lt;&gt;"",AL8&lt;&gt;"",AR8&lt;&gt;"",AX8&lt;&gt;"",BD8&lt;&gt;"",BJ8&lt;&gt;"",BM8&lt;&gt;""),TRUE,FALSE)</f>
        <v>0</v>
      </c>
    </row>
    <row r="9" spans="1:97" ht="20.100000000000001" customHeight="1">
      <c r="A9" s="71" t="b">
        <f t="shared" si="1"/>
        <v>0</v>
      </c>
      <c r="B9" s="9" t="s">
        <v>125</v>
      </c>
      <c r="C9" s="12"/>
      <c r="D9" s="8"/>
      <c r="E9" s="8"/>
      <c r="F9" s="8"/>
      <c r="G9" s="8"/>
      <c r="H9" s="13"/>
      <c r="I9" s="12"/>
      <c r="J9" s="8"/>
      <c r="K9" s="8"/>
      <c r="L9" s="8"/>
      <c r="M9" s="8"/>
      <c r="N9" s="13"/>
      <c r="O9" s="12"/>
      <c r="P9" s="8"/>
      <c r="Q9" s="8"/>
      <c r="R9" s="8"/>
      <c r="S9" s="8"/>
      <c r="T9" s="13"/>
      <c r="U9" s="14"/>
      <c r="V9" s="1"/>
      <c r="W9" s="1"/>
      <c r="X9" s="1"/>
      <c r="Y9" s="1"/>
      <c r="Z9" s="15"/>
      <c r="AA9" s="14"/>
      <c r="AB9" s="1"/>
      <c r="AC9" s="1"/>
      <c r="AD9" s="1"/>
      <c r="AE9" s="1"/>
      <c r="AF9" s="46"/>
      <c r="AG9" s="14"/>
      <c r="AH9" s="1"/>
      <c r="AI9" s="1"/>
      <c r="AJ9" s="1"/>
      <c r="AK9" s="1"/>
      <c r="AL9" s="15"/>
      <c r="AM9" s="12"/>
      <c r="AN9" s="8"/>
      <c r="AO9" s="8"/>
      <c r="AP9" s="8"/>
      <c r="AQ9" s="8"/>
      <c r="AR9" s="211"/>
      <c r="AS9" s="12"/>
      <c r="AT9" s="8"/>
      <c r="AU9" s="8"/>
      <c r="AV9" s="8"/>
      <c r="AW9" s="8"/>
      <c r="AX9" s="211"/>
      <c r="AY9" s="12"/>
      <c r="AZ9" s="8"/>
      <c r="BA9" s="8"/>
      <c r="BB9" s="8"/>
      <c r="BC9" s="8"/>
      <c r="BD9" s="13"/>
      <c r="BE9" s="12"/>
      <c r="BF9" s="8"/>
      <c r="BG9" s="8"/>
      <c r="BH9" s="8"/>
      <c r="BI9" s="8"/>
      <c r="BJ9" s="211"/>
      <c r="BK9" s="116"/>
      <c r="BL9" s="117"/>
      <c r="BM9" s="112"/>
      <c r="BN9" s="203"/>
      <c r="BO9" s="204"/>
      <c r="BP9" s="205"/>
      <c r="BQ9" s="203"/>
      <c r="BR9" s="204"/>
      <c r="BS9" s="205"/>
      <c r="BT9" s="203"/>
      <c r="BU9" s="204"/>
      <c r="BV9" s="205"/>
      <c r="BW9" s="203"/>
      <c r="BX9" s="204"/>
      <c r="BY9" s="205"/>
      <c r="BZ9" s="212"/>
      <c r="CA9" s="204"/>
      <c r="CB9" s="205"/>
      <c r="CC9" s="215"/>
      <c r="CD9" s="204"/>
      <c r="CE9" s="205"/>
      <c r="CF9" s="203"/>
      <c r="CG9" s="204"/>
      <c r="CH9" s="205"/>
      <c r="CI9" s="212"/>
      <c r="CJ9" s="204"/>
      <c r="CK9" s="205"/>
      <c r="CL9" s="215"/>
      <c r="CM9" s="204"/>
      <c r="CN9" s="205"/>
      <c r="CO9" s="203"/>
      <c r="CP9" s="204"/>
      <c r="CQ9" s="205"/>
      <c r="CR9" s="90" t="str">
        <f t="shared" si="0"/>
        <v>3C.2</v>
      </c>
      <c r="CS9" s="71" t="b">
        <f t="shared" si="2"/>
        <v>0</v>
      </c>
    </row>
    <row r="10" spans="1:97" ht="20.100000000000001" customHeight="1">
      <c r="A10" s="71" t="b">
        <f t="shared" si="1"/>
        <v>0</v>
      </c>
      <c r="B10" s="9" t="s">
        <v>126</v>
      </c>
      <c r="C10" s="12"/>
      <c r="D10" s="8"/>
      <c r="E10" s="8"/>
      <c r="F10" s="8"/>
      <c r="G10" s="8"/>
      <c r="H10" s="13"/>
      <c r="I10" s="12"/>
      <c r="J10" s="8"/>
      <c r="K10" s="8"/>
      <c r="L10" s="8"/>
      <c r="M10" s="8"/>
      <c r="N10" s="13"/>
      <c r="O10" s="12"/>
      <c r="P10" s="8"/>
      <c r="Q10" s="8"/>
      <c r="R10" s="8"/>
      <c r="S10" s="8"/>
      <c r="T10" s="13"/>
      <c r="U10" s="12"/>
      <c r="V10" s="8"/>
      <c r="W10" s="8"/>
      <c r="X10" s="8"/>
      <c r="Y10" s="8"/>
      <c r="Z10" s="13"/>
      <c r="AA10" s="12"/>
      <c r="AB10" s="8"/>
      <c r="AC10" s="8"/>
      <c r="AD10" s="8"/>
      <c r="AE10" s="8"/>
      <c r="AF10" s="211"/>
      <c r="AG10" s="12"/>
      <c r="AH10" s="8"/>
      <c r="AI10" s="8"/>
      <c r="AJ10" s="8"/>
      <c r="AK10" s="8"/>
      <c r="AL10" s="13"/>
      <c r="AM10" s="14"/>
      <c r="AN10" s="1"/>
      <c r="AO10" s="1"/>
      <c r="AP10" s="1"/>
      <c r="AQ10" s="1"/>
      <c r="AR10" s="46"/>
      <c r="AS10" s="14"/>
      <c r="AT10" s="1"/>
      <c r="AU10" s="1"/>
      <c r="AV10" s="1"/>
      <c r="AW10" s="1"/>
      <c r="AX10" s="46"/>
      <c r="AY10" s="14"/>
      <c r="AZ10" s="1"/>
      <c r="BA10" s="1"/>
      <c r="BB10" s="1"/>
      <c r="BC10" s="1"/>
      <c r="BD10" s="15"/>
      <c r="BE10" s="12"/>
      <c r="BF10" s="8"/>
      <c r="BG10" s="8"/>
      <c r="BH10" s="8"/>
      <c r="BI10" s="8"/>
      <c r="BJ10" s="211"/>
      <c r="BK10" s="116"/>
      <c r="BL10" s="117"/>
      <c r="BM10" s="112"/>
      <c r="BN10" s="203"/>
      <c r="BO10" s="204"/>
      <c r="BP10" s="205"/>
      <c r="BQ10" s="203"/>
      <c r="BR10" s="204"/>
      <c r="BS10" s="205"/>
      <c r="BT10" s="203"/>
      <c r="BU10" s="204"/>
      <c r="BV10" s="205"/>
      <c r="BW10" s="203"/>
      <c r="BX10" s="204"/>
      <c r="BY10" s="205"/>
      <c r="BZ10" s="212"/>
      <c r="CA10" s="204"/>
      <c r="CB10" s="205"/>
      <c r="CC10" s="215"/>
      <c r="CD10" s="204"/>
      <c r="CE10" s="205"/>
      <c r="CF10" s="203"/>
      <c r="CG10" s="204"/>
      <c r="CH10" s="205"/>
      <c r="CI10" s="212"/>
      <c r="CJ10" s="204"/>
      <c r="CK10" s="205"/>
      <c r="CL10" s="215"/>
      <c r="CM10" s="204"/>
      <c r="CN10" s="205"/>
      <c r="CO10" s="203"/>
      <c r="CP10" s="204"/>
      <c r="CQ10" s="205"/>
      <c r="CR10" s="90" t="str">
        <f t="shared" si="0"/>
        <v>4C.1</v>
      </c>
      <c r="CS10" s="71" t="b">
        <f t="shared" si="2"/>
        <v>0</v>
      </c>
    </row>
    <row r="11" spans="1:97" ht="20.100000000000001" customHeight="1">
      <c r="A11" s="71" t="b">
        <f t="shared" si="1"/>
        <v>0</v>
      </c>
      <c r="B11" s="9" t="s">
        <v>127</v>
      </c>
      <c r="C11" s="12"/>
      <c r="D11" s="8"/>
      <c r="E11" s="8"/>
      <c r="F11" s="8"/>
      <c r="G11" s="8"/>
      <c r="H11" s="13"/>
      <c r="I11" s="12"/>
      <c r="J11" s="8"/>
      <c r="K11" s="8"/>
      <c r="L11" s="8"/>
      <c r="M11" s="8"/>
      <c r="N11" s="13"/>
      <c r="O11" s="12"/>
      <c r="P11" s="8"/>
      <c r="Q11" s="8"/>
      <c r="R11" s="8"/>
      <c r="S11" s="8"/>
      <c r="T11" s="13"/>
      <c r="U11" s="12"/>
      <c r="V11" s="8"/>
      <c r="W11" s="8"/>
      <c r="X11" s="8"/>
      <c r="Y11" s="8"/>
      <c r="Z11" s="13"/>
      <c r="AA11" s="12"/>
      <c r="AB11" s="8"/>
      <c r="AC11" s="8"/>
      <c r="AD11" s="8"/>
      <c r="AE11" s="8"/>
      <c r="AF11" s="211"/>
      <c r="AG11" s="12"/>
      <c r="AH11" s="8"/>
      <c r="AI11" s="8"/>
      <c r="AJ11" s="8"/>
      <c r="AK11" s="8"/>
      <c r="AL11" s="13"/>
      <c r="AM11" s="14"/>
      <c r="AN11" s="1"/>
      <c r="AO11" s="1"/>
      <c r="AP11" s="1"/>
      <c r="AQ11" s="1"/>
      <c r="AR11" s="46"/>
      <c r="AS11" s="14"/>
      <c r="AT11" s="1"/>
      <c r="AU11" s="1"/>
      <c r="AV11" s="1"/>
      <c r="AW11" s="1"/>
      <c r="AX11" s="46"/>
      <c r="AY11" s="14"/>
      <c r="AZ11" s="1"/>
      <c r="BA11" s="1"/>
      <c r="BB11" s="1"/>
      <c r="BC11" s="1"/>
      <c r="BD11" s="15"/>
      <c r="BE11" s="12"/>
      <c r="BF11" s="8"/>
      <c r="BG11" s="8"/>
      <c r="BH11" s="8"/>
      <c r="BI11" s="8"/>
      <c r="BJ11" s="211"/>
      <c r="BK11" s="116"/>
      <c r="BL11" s="117"/>
      <c r="BM11" s="112"/>
      <c r="BN11" s="203"/>
      <c r="BO11" s="204"/>
      <c r="BP11" s="205"/>
      <c r="BQ11" s="203"/>
      <c r="BR11" s="204"/>
      <c r="BS11" s="205"/>
      <c r="BT11" s="203"/>
      <c r="BU11" s="204"/>
      <c r="BV11" s="205"/>
      <c r="BW11" s="203"/>
      <c r="BX11" s="204"/>
      <c r="BY11" s="205"/>
      <c r="BZ11" s="212"/>
      <c r="CA11" s="204"/>
      <c r="CB11" s="205"/>
      <c r="CC11" s="215"/>
      <c r="CD11" s="204"/>
      <c r="CE11" s="205"/>
      <c r="CF11" s="203"/>
      <c r="CG11" s="204"/>
      <c r="CH11" s="205"/>
      <c r="CI11" s="212"/>
      <c r="CJ11" s="204"/>
      <c r="CK11" s="205"/>
      <c r="CL11" s="215"/>
      <c r="CM11" s="204"/>
      <c r="CN11" s="205"/>
      <c r="CO11" s="203"/>
      <c r="CP11" s="204"/>
      <c r="CQ11" s="205"/>
      <c r="CR11" s="90" t="str">
        <f t="shared" si="0"/>
        <v>4C.2</v>
      </c>
      <c r="CS11" s="71" t="b">
        <f t="shared" si="2"/>
        <v>0</v>
      </c>
    </row>
    <row r="12" spans="1:97" ht="20.100000000000001" customHeight="1">
      <c r="A12" s="71" t="b">
        <f t="shared" si="1"/>
        <v>0</v>
      </c>
      <c r="B12" s="9" t="s">
        <v>128</v>
      </c>
      <c r="C12" s="12"/>
      <c r="D12" s="8"/>
      <c r="E12" s="8"/>
      <c r="F12" s="8"/>
      <c r="G12" s="8"/>
      <c r="H12" s="13"/>
      <c r="I12" s="12"/>
      <c r="J12" s="8"/>
      <c r="K12" s="8"/>
      <c r="L12" s="8"/>
      <c r="M12" s="8"/>
      <c r="N12" s="13"/>
      <c r="O12" s="12"/>
      <c r="P12" s="8"/>
      <c r="Q12" s="8"/>
      <c r="R12" s="8"/>
      <c r="S12" s="8"/>
      <c r="T12" s="13"/>
      <c r="U12" s="12"/>
      <c r="V12" s="8"/>
      <c r="W12" s="8"/>
      <c r="X12" s="8"/>
      <c r="Y12" s="8"/>
      <c r="Z12" s="13"/>
      <c r="AA12" s="12"/>
      <c r="AB12" s="8"/>
      <c r="AC12" s="8"/>
      <c r="AD12" s="8"/>
      <c r="AE12" s="8"/>
      <c r="AF12" s="211"/>
      <c r="AG12" s="12"/>
      <c r="AH12" s="8"/>
      <c r="AI12" s="8"/>
      <c r="AJ12" s="8"/>
      <c r="AK12" s="8"/>
      <c r="AL12" s="13"/>
      <c r="AM12" s="14"/>
      <c r="AN12" s="1"/>
      <c r="AO12" s="1"/>
      <c r="AP12" s="1"/>
      <c r="AQ12" s="1"/>
      <c r="AR12" s="46"/>
      <c r="AS12" s="14"/>
      <c r="AT12" s="1"/>
      <c r="AU12" s="1"/>
      <c r="AV12" s="1"/>
      <c r="AW12" s="1"/>
      <c r="AX12" s="46"/>
      <c r="AY12" s="14"/>
      <c r="AZ12" s="1"/>
      <c r="BA12" s="1"/>
      <c r="BB12" s="1"/>
      <c r="BC12" s="1"/>
      <c r="BD12" s="15"/>
      <c r="BE12" s="12"/>
      <c r="BF12" s="8"/>
      <c r="BG12" s="8"/>
      <c r="BH12" s="8"/>
      <c r="BI12" s="8"/>
      <c r="BJ12" s="211"/>
      <c r="BK12" s="116"/>
      <c r="BL12" s="117"/>
      <c r="BM12" s="112"/>
      <c r="BN12" s="203"/>
      <c r="BO12" s="204"/>
      <c r="BP12" s="205"/>
      <c r="BQ12" s="203"/>
      <c r="BR12" s="204"/>
      <c r="BS12" s="205"/>
      <c r="BT12" s="203"/>
      <c r="BU12" s="204"/>
      <c r="BV12" s="205"/>
      <c r="BW12" s="203"/>
      <c r="BX12" s="204"/>
      <c r="BY12" s="205"/>
      <c r="BZ12" s="212"/>
      <c r="CA12" s="204"/>
      <c r="CB12" s="205"/>
      <c r="CC12" s="215"/>
      <c r="CD12" s="204"/>
      <c r="CE12" s="205"/>
      <c r="CF12" s="203"/>
      <c r="CG12" s="204"/>
      <c r="CH12" s="205"/>
      <c r="CI12" s="212"/>
      <c r="CJ12" s="204"/>
      <c r="CK12" s="205"/>
      <c r="CL12" s="215"/>
      <c r="CM12" s="204"/>
      <c r="CN12" s="205"/>
      <c r="CO12" s="203"/>
      <c r="CP12" s="204"/>
      <c r="CQ12" s="205"/>
      <c r="CR12" s="90" t="str">
        <f t="shared" si="0"/>
        <v>4C.3</v>
      </c>
      <c r="CS12" s="71" t="b">
        <f t="shared" si="2"/>
        <v>0</v>
      </c>
    </row>
    <row r="13" spans="1:97" ht="20.100000000000001" customHeight="1">
      <c r="A13" s="71" t="b">
        <f t="shared" si="1"/>
        <v>0</v>
      </c>
      <c r="B13" s="9" t="s">
        <v>130</v>
      </c>
      <c r="C13" s="14"/>
      <c r="D13" s="1"/>
      <c r="E13" s="1"/>
      <c r="F13" s="1"/>
      <c r="G13" s="1"/>
      <c r="H13" s="15"/>
      <c r="I13" s="14"/>
      <c r="J13" s="1"/>
      <c r="K13" s="1"/>
      <c r="L13" s="1"/>
      <c r="M13" s="1"/>
      <c r="N13" s="15"/>
      <c r="O13" s="14"/>
      <c r="P13" s="1"/>
      <c r="Q13" s="1"/>
      <c r="R13" s="1"/>
      <c r="S13" s="1"/>
      <c r="T13" s="15"/>
      <c r="U13" s="12"/>
      <c r="V13" s="8"/>
      <c r="W13" s="8"/>
      <c r="X13" s="8"/>
      <c r="Y13" s="8"/>
      <c r="Z13" s="13"/>
      <c r="AA13" s="12"/>
      <c r="AB13" s="8"/>
      <c r="AC13" s="8"/>
      <c r="AD13" s="8"/>
      <c r="AE13" s="8"/>
      <c r="AF13" s="211"/>
      <c r="AG13" s="12"/>
      <c r="AH13" s="8"/>
      <c r="AI13" s="8"/>
      <c r="AJ13" s="8"/>
      <c r="AK13" s="8"/>
      <c r="AL13" s="13"/>
      <c r="AM13" s="12"/>
      <c r="AN13" s="8"/>
      <c r="AO13" s="8"/>
      <c r="AP13" s="8"/>
      <c r="AQ13" s="8"/>
      <c r="AR13" s="211"/>
      <c r="AS13" s="12"/>
      <c r="AT13" s="8"/>
      <c r="AU13" s="8"/>
      <c r="AV13" s="8"/>
      <c r="AW13" s="8"/>
      <c r="AX13" s="211"/>
      <c r="AY13" s="12"/>
      <c r="AZ13" s="8"/>
      <c r="BA13" s="8"/>
      <c r="BB13" s="8"/>
      <c r="BC13" s="8"/>
      <c r="BD13" s="13"/>
      <c r="BE13" s="12"/>
      <c r="BF13" s="8"/>
      <c r="BG13" s="8"/>
      <c r="BH13" s="8"/>
      <c r="BI13" s="8"/>
      <c r="BJ13" s="211"/>
      <c r="BK13" s="116"/>
      <c r="BL13" s="117"/>
      <c r="BM13" s="112"/>
      <c r="BN13" s="203"/>
      <c r="BO13" s="204"/>
      <c r="BP13" s="205"/>
      <c r="BQ13" s="203"/>
      <c r="BR13" s="204"/>
      <c r="BS13" s="205"/>
      <c r="BT13" s="203"/>
      <c r="BU13" s="204"/>
      <c r="BV13" s="205"/>
      <c r="BW13" s="203"/>
      <c r="BX13" s="204"/>
      <c r="BY13" s="205"/>
      <c r="BZ13" s="212"/>
      <c r="CA13" s="204"/>
      <c r="CB13" s="205"/>
      <c r="CC13" s="215"/>
      <c r="CD13" s="204"/>
      <c r="CE13" s="205"/>
      <c r="CF13" s="203"/>
      <c r="CG13" s="204"/>
      <c r="CH13" s="205"/>
      <c r="CI13" s="212"/>
      <c r="CJ13" s="204"/>
      <c r="CK13" s="205"/>
      <c r="CL13" s="215"/>
      <c r="CM13" s="204"/>
      <c r="CN13" s="205"/>
      <c r="CO13" s="203"/>
      <c r="CP13" s="204"/>
      <c r="CQ13" s="205"/>
      <c r="CR13" s="90" t="str">
        <f t="shared" si="0"/>
        <v>4C.5</v>
      </c>
      <c r="CS13" s="71" t="b">
        <f t="shared" si="2"/>
        <v>0</v>
      </c>
    </row>
    <row r="14" spans="1:97" ht="20.100000000000001" customHeight="1">
      <c r="A14" s="71" t="b">
        <f t="shared" si="1"/>
        <v>0</v>
      </c>
      <c r="B14" s="9" t="s">
        <v>131</v>
      </c>
      <c r="C14" s="12"/>
      <c r="D14" s="8"/>
      <c r="E14" s="8"/>
      <c r="F14" s="8"/>
      <c r="G14" s="8"/>
      <c r="H14" s="13"/>
      <c r="I14" s="12"/>
      <c r="J14" s="8"/>
      <c r="K14" s="8"/>
      <c r="L14" s="8"/>
      <c r="M14" s="8"/>
      <c r="N14" s="13"/>
      <c r="O14" s="12"/>
      <c r="P14" s="8"/>
      <c r="Q14" s="8"/>
      <c r="R14" s="8"/>
      <c r="S14" s="8"/>
      <c r="T14" s="13"/>
      <c r="U14" s="12"/>
      <c r="V14" s="8"/>
      <c r="W14" s="8"/>
      <c r="X14" s="8"/>
      <c r="Y14" s="8"/>
      <c r="Z14" s="13"/>
      <c r="AA14" s="12"/>
      <c r="AB14" s="8"/>
      <c r="AC14" s="8"/>
      <c r="AD14" s="8"/>
      <c r="AE14" s="8"/>
      <c r="AF14" s="211"/>
      <c r="AG14" s="12"/>
      <c r="AH14" s="8"/>
      <c r="AI14" s="8"/>
      <c r="AJ14" s="8"/>
      <c r="AK14" s="8"/>
      <c r="AL14" s="13"/>
      <c r="AM14" s="14"/>
      <c r="AN14" s="1"/>
      <c r="AO14" s="1"/>
      <c r="AP14" s="1"/>
      <c r="AQ14" s="1"/>
      <c r="AR14" s="46"/>
      <c r="AS14" s="14"/>
      <c r="AT14" s="1"/>
      <c r="AU14" s="1"/>
      <c r="AV14" s="1"/>
      <c r="AW14" s="1"/>
      <c r="AX14" s="46"/>
      <c r="AY14" s="14"/>
      <c r="AZ14" s="1"/>
      <c r="BA14" s="1"/>
      <c r="BB14" s="1"/>
      <c r="BC14" s="1"/>
      <c r="BD14" s="15"/>
      <c r="BE14" s="12"/>
      <c r="BF14" s="8"/>
      <c r="BG14" s="8"/>
      <c r="BH14" s="8"/>
      <c r="BI14" s="8"/>
      <c r="BJ14" s="211"/>
      <c r="BK14" s="116"/>
      <c r="BL14" s="117"/>
      <c r="BM14" s="112"/>
      <c r="BN14" s="203"/>
      <c r="BO14" s="204"/>
      <c r="BP14" s="205"/>
      <c r="BQ14" s="203"/>
      <c r="BR14" s="204"/>
      <c r="BS14" s="205"/>
      <c r="BT14" s="203"/>
      <c r="BU14" s="204"/>
      <c r="BV14" s="205"/>
      <c r="BW14" s="203"/>
      <c r="BX14" s="204"/>
      <c r="BY14" s="205"/>
      <c r="BZ14" s="212"/>
      <c r="CA14" s="204"/>
      <c r="CB14" s="205"/>
      <c r="CC14" s="215"/>
      <c r="CD14" s="204"/>
      <c r="CE14" s="205"/>
      <c r="CF14" s="203"/>
      <c r="CG14" s="204"/>
      <c r="CH14" s="205"/>
      <c r="CI14" s="212"/>
      <c r="CJ14" s="204"/>
      <c r="CK14" s="205"/>
      <c r="CL14" s="215"/>
      <c r="CM14" s="204"/>
      <c r="CN14" s="205"/>
      <c r="CO14" s="203"/>
      <c r="CP14" s="204"/>
      <c r="CQ14" s="205"/>
      <c r="CR14" s="90" t="str">
        <f t="shared" si="0"/>
        <v>4C.6</v>
      </c>
      <c r="CS14" s="71" t="b">
        <f t="shared" si="2"/>
        <v>0</v>
      </c>
    </row>
    <row r="15" spans="1:97" ht="20.100000000000001" customHeight="1">
      <c r="A15" s="71" t="b">
        <f t="shared" si="1"/>
        <v>0</v>
      </c>
      <c r="B15" s="9" t="s">
        <v>132</v>
      </c>
      <c r="C15" s="14"/>
      <c r="D15" s="1"/>
      <c r="E15" s="1"/>
      <c r="F15" s="1"/>
      <c r="G15" s="1"/>
      <c r="H15" s="15"/>
      <c r="I15" s="14"/>
      <c r="J15" s="1"/>
      <c r="K15" s="1"/>
      <c r="L15" s="1"/>
      <c r="M15" s="1"/>
      <c r="N15" s="15"/>
      <c r="O15" s="14"/>
      <c r="P15" s="1"/>
      <c r="Q15" s="1"/>
      <c r="R15" s="1"/>
      <c r="S15" s="1"/>
      <c r="T15" s="15"/>
      <c r="U15" s="12"/>
      <c r="V15" s="8"/>
      <c r="W15" s="8"/>
      <c r="X15" s="8"/>
      <c r="Y15" s="8"/>
      <c r="Z15" s="13"/>
      <c r="AA15" s="12"/>
      <c r="AB15" s="8"/>
      <c r="AC15" s="8"/>
      <c r="AD15" s="8"/>
      <c r="AE15" s="8"/>
      <c r="AF15" s="211"/>
      <c r="AG15" s="12"/>
      <c r="AH15" s="8"/>
      <c r="AI15" s="8"/>
      <c r="AJ15" s="8"/>
      <c r="AK15" s="8"/>
      <c r="AL15" s="13"/>
      <c r="AM15" s="12"/>
      <c r="AN15" s="8"/>
      <c r="AO15" s="8"/>
      <c r="AP15" s="8"/>
      <c r="AQ15" s="8"/>
      <c r="AR15" s="211"/>
      <c r="AS15" s="12"/>
      <c r="AT15" s="8"/>
      <c r="AU15" s="8"/>
      <c r="AV15" s="8"/>
      <c r="AW15" s="8"/>
      <c r="AX15" s="211"/>
      <c r="AY15" s="12"/>
      <c r="AZ15" s="8"/>
      <c r="BA15" s="8"/>
      <c r="BB15" s="8"/>
      <c r="BC15" s="8"/>
      <c r="BD15" s="13"/>
      <c r="BE15" s="12"/>
      <c r="BF15" s="8"/>
      <c r="BG15" s="8"/>
      <c r="BH15" s="8"/>
      <c r="BI15" s="8"/>
      <c r="BJ15" s="211"/>
      <c r="BK15" s="116"/>
      <c r="BL15" s="117"/>
      <c r="BM15" s="112"/>
      <c r="BN15" s="203"/>
      <c r="BO15" s="204"/>
      <c r="BP15" s="205"/>
      <c r="BQ15" s="203"/>
      <c r="BR15" s="204"/>
      <c r="BS15" s="205"/>
      <c r="BT15" s="203"/>
      <c r="BU15" s="204"/>
      <c r="BV15" s="205"/>
      <c r="BW15" s="203"/>
      <c r="BX15" s="204"/>
      <c r="BY15" s="205"/>
      <c r="BZ15" s="212"/>
      <c r="CA15" s="204"/>
      <c r="CB15" s="205"/>
      <c r="CC15" s="215"/>
      <c r="CD15" s="204"/>
      <c r="CE15" s="205"/>
      <c r="CF15" s="203"/>
      <c r="CG15" s="204"/>
      <c r="CH15" s="205"/>
      <c r="CI15" s="212"/>
      <c r="CJ15" s="204"/>
      <c r="CK15" s="205"/>
      <c r="CL15" s="215"/>
      <c r="CM15" s="204"/>
      <c r="CN15" s="205"/>
      <c r="CO15" s="203"/>
      <c r="CP15" s="204"/>
      <c r="CQ15" s="205"/>
      <c r="CR15" s="90" t="str">
        <f t="shared" si="0"/>
        <v>5C.1</v>
      </c>
      <c r="CS15" s="71" t="b">
        <f t="shared" si="2"/>
        <v>0</v>
      </c>
    </row>
    <row r="16" spans="1:97" ht="20.100000000000001" customHeight="1">
      <c r="A16" s="71" t="b">
        <f t="shared" si="1"/>
        <v>0</v>
      </c>
      <c r="B16" s="9" t="s">
        <v>134</v>
      </c>
      <c r="C16" s="14"/>
      <c r="D16" s="1"/>
      <c r="E16" s="1"/>
      <c r="F16" s="1"/>
      <c r="G16" s="1"/>
      <c r="H16" s="15"/>
      <c r="I16" s="14"/>
      <c r="J16" s="1"/>
      <c r="K16" s="1"/>
      <c r="L16" s="1"/>
      <c r="M16" s="1"/>
      <c r="N16" s="15"/>
      <c r="O16" s="14"/>
      <c r="P16" s="1"/>
      <c r="Q16" s="1"/>
      <c r="R16" s="1"/>
      <c r="S16" s="1"/>
      <c r="T16" s="15"/>
      <c r="U16" s="12"/>
      <c r="V16" s="8"/>
      <c r="W16" s="8"/>
      <c r="X16" s="8"/>
      <c r="Y16" s="8"/>
      <c r="Z16" s="13"/>
      <c r="AA16" s="12"/>
      <c r="AB16" s="8"/>
      <c r="AC16" s="8"/>
      <c r="AD16" s="8"/>
      <c r="AE16" s="8"/>
      <c r="AF16" s="211"/>
      <c r="AG16" s="12"/>
      <c r="AH16" s="8"/>
      <c r="AI16" s="8"/>
      <c r="AJ16" s="8"/>
      <c r="AK16" s="8"/>
      <c r="AL16" s="13"/>
      <c r="AM16" s="12"/>
      <c r="AN16" s="8"/>
      <c r="AO16" s="8"/>
      <c r="AP16" s="8"/>
      <c r="AQ16" s="8"/>
      <c r="AR16" s="211"/>
      <c r="AS16" s="12"/>
      <c r="AT16" s="8"/>
      <c r="AU16" s="8"/>
      <c r="AV16" s="8"/>
      <c r="AW16" s="8"/>
      <c r="AX16" s="211"/>
      <c r="AY16" s="12"/>
      <c r="AZ16" s="8"/>
      <c r="BA16" s="8"/>
      <c r="BB16" s="8"/>
      <c r="BC16" s="8"/>
      <c r="BD16" s="13"/>
      <c r="BE16" s="12"/>
      <c r="BF16" s="8"/>
      <c r="BG16" s="8"/>
      <c r="BH16" s="8"/>
      <c r="BI16" s="8"/>
      <c r="BJ16" s="211"/>
      <c r="BK16" s="116"/>
      <c r="BL16" s="117"/>
      <c r="BM16" s="136"/>
      <c r="BN16" s="203"/>
      <c r="BO16" s="204"/>
      <c r="BP16" s="205"/>
      <c r="BQ16" s="203"/>
      <c r="BR16" s="204"/>
      <c r="BS16" s="205"/>
      <c r="BT16" s="203"/>
      <c r="BU16" s="204"/>
      <c r="BV16" s="205"/>
      <c r="BW16" s="203"/>
      <c r="BX16" s="204"/>
      <c r="BY16" s="205"/>
      <c r="BZ16" s="212"/>
      <c r="CA16" s="204"/>
      <c r="CB16" s="205"/>
      <c r="CC16" s="215"/>
      <c r="CD16" s="204"/>
      <c r="CE16" s="205"/>
      <c r="CF16" s="203"/>
      <c r="CG16" s="204"/>
      <c r="CH16" s="205"/>
      <c r="CI16" s="212"/>
      <c r="CJ16" s="204"/>
      <c r="CK16" s="205"/>
      <c r="CL16" s="215"/>
      <c r="CM16" s="204"/>
      <c r="CN16" s="205"/>
      <c r="CO16" s="203"/>
      <c r="CP16" s="204"/>
      <c r="CQ16" s="205"/>
      <c r="CR16" s="90" t="str">
        <f t="shared" si="0"/>
        <v>5C.1</v>
      </c>
      <c r="CS16" s="71" t="b">
        <f t="shared" si="2"/>
        <v>0</v>
      </c>
    </row>
    <row r="17" spans="1:97" ht="20.100000000000001" customHeight="1">
      <c r="A17" s="71" t="b">
        <f t="shared" si="1"/>
        <v>0</v>
      </c>
      <c r="B17" s="9" t="s">
        <v>135</v>
      </c>
      <c r="C17" s="14"/>
      <c r="D17" s="1"/>
      <c r="E17" s="1"/>
      <c r="F17" s="1"/>
      <c r="G17" s="1"/>
      <c r="H17" s="15"/>
      <c r="I17" s="14"/>
      <c r="J17" s="1"/>
      <c r="K17" s="1"/>
      <c r="L17" s="1"/>
      <c r="M17" s="1"/>
      <c r="N17" s="15"/>
      <c r="O17" s="14"/>
      <c r="P17" s="1"/>
      <c r="Q17" s="1"/>
      <c r="R17" s="1"/>
      <c r="S17" s="1"/>
      <c r="T17" s="15"/>
      <c r="U17" s="12"/>
      <c r="V17" s="8"/>
      <c r="W17" s="8"/>
      <c r="X17" s="8"/>
      <c r="Y17" s="8"/>
      <c r="Z17" s="13"/>
      <c r="AA17" s="12"/>
      <c r="AB17" s="8"/>
      <c r="AC17" s="8"/>
      <c r="AD17" s="8"/>
      <c r="AE17" s="8"/>
      <c r="AF17" s="211"/>
      <c r="AG17" s="12"/>
      <c r="AH17" s="8"/>
      <c r="AI17" s="8"/>
      <c r="AJ17" s="8"/>
      <c r="AK17" s="8"/>
      <c r="AL17" s="13"/>
      <c r="AM17" s="12"/>
      <c r="AN17" s="8"/>
      <c r="AO17" s="8"/>
      <c r="AP17" s="8"/>
      <c r="AQ17" s="8"/>
      <c r="AR17" s="211"/>
      <c r="AS17" s="12"/>
      <c r="AT17" s="8"/>
      <c r="AU17" s="8"/>
      <c r="AV17" s="8"/>
      <c r="AW17" s="8"/>
      <c r="AX17" s="211"/>
      <c r="AY17" s="12"/>
      <c r="AZ17" s="8"/>
      <c r="BA17" s="8"/>
      <c r="BB17" s="8"/>
      <c r="BC17" s="8"/>
      <c r="BD17" s="13"/>
      <c r="BE17" s="12"/>
      <c r="BF17" s="8"/>
      <c r="BG17" s="8"/>
      <c r="BH17" s="8"/>
      <c r="BI17" s="8"/>
      <c r="BJ17" s="211"/>
      <c r="BK17" s="116"/>
      <c r="BL17" s="117"/>
      <c r="BM17" s="112"/>
      <c r="BN17" s="203"/>
      <c r="BO17" s="204"/>
      <c r="BP17" s="205"/>
      <c r="BQ17" s="203"/>
      <c r="BR17" s="204"/>
      <c r="BS17" s="205"/>
      <c r="BT17" s="203"/>
      <c r="BU17" s="204"/>
      <c r="BV17" s="205"/>
      <c r="BW17" s="203"/>
      <c r="BX17" s="204"/>
      <c r="BY17" s="205"/>
      <c r="BZ17" s="212"/>
      <c r="CA17" s="204"/>
      <c r="CB17" s="205"/>
      <c r="CC17" s="215"/>
      <c r="CD17" s="204"/>
      <c r="CE17" s="205"/>
      <c r="CF17" s="203"/>
      <c r="CG17" s="204"/>
      <c r="CH17" s="205"/>
      <c r="CI17" s="212"/>
      <c r="CJ17" s="204"/>
      <c r="CK17" s="205"/>
      <c r="CL17" s="215"/>
      <c r="CM17" s="204"/>
      <c r="CN17" s="205"/>
      <c r="CO17" s="203"/>
      <c r="CP17" s="204"/>
      <c r="CQ17" s="205"/>
      <c r="CR17" s="90" t="str">
        <f t="shared" si="0"/>
        <v>5C.1</v>
      </c>
      <c r="CS17" s="71" t="b">
        <f t="shared" si="2"/>
        <v>0</v>
      </c>
    </row>
    <row r="18" spans="1:97" ht="20.100000000000001" customHeight="1">
      <c r="A18" s="71" t="b">
        <f t="shared" si="1"/>
        <v>0</v>
      </c>
      <c r="B18" s="9" t="s">
        <v>136</v>
      </c>
      <c r="C18" s="14"/>
      <c r="D18" s="1"/>
      <c r="E18" s="1"/>
      <c r="F18" s="1"/>
      <c r="G18" s="1"/>
      <c r="H18" s="15"/>
      <c r="I18" s="14"/>
      <c r="J18" s="1"/>
      <c r="K18" s="1"/>
      <c r="L18" s="1"/>
      <c r="M18" s="1"/>
      <c r="N18" s="15"/>
      <c r="O18" s="14"/>
      <c r="P18" s="1"/>
      <c r="Q18" s="1"/>
      <c r="R18" s="1"/>
      <c r="S18" s="1"/>
      <c r="T18" s="15"/>
      <c r="U18" s="12"/>
      <c r="V18" s="8"/>
      <c r="W18" s="8"/>
      <c r="X18" s="8"/>
      <c r="Y18" s="8"/>
      <c r="Z18" s="13"/>
      <c r="AA18" s="12"/>
      <c r="AB18" s="8"/>
      <c r="AC18" s="8"/>
      <c r="AD18" s="8"/>
      <c r="AE18" s="8"/>
      <c r="AF18" s="211"/>
      <c r="AG18" s="12"/>
      <c r="AH18" s="8"/>
      <c r="AI18" s="8"/>
      <c r="AJ18" s="8"/>
      <c r="AK18" s="8"/>
      <c r="AL18" s="13"/>
      <c r="AM18" s="12"/>
      <c r="AN18" s="8"/>
      <c r="AO18" s="8"/>
      <c r="AP18" s="8"/>
      <c r="AQ18" s="8"/>
      <c r="AR18" s="211"/>
      <c r="AS18" s="12"/>
      <c r="AT18" s="8"/>
      <c r="AU18" s="8"/>
      <c r="AV18" s="8"/>
      <c r="AW18" s="8"/>
      <c r="AX18" s="211"/>
      <c r="AY18" s="12"/>
      <c r="AZ18" s="8"/>
      <c r="BA18" s="8"/>
      <c r="BB18" s="8"/>
      <c r="BC18" s="8"/>
      <c r="BD18" s="13"/>
      <c r="BE18" s="12"/>
      <c r="BF18" s="8"/>
      <c r="BG18" s="8"/>
      <c r="BH18" s="8"/>
      <c r="BI18" s="8"/>
      <c r="BJ18" s="211"/>
      <c r="BK18" s="116"/>
      <c r="BL18" s="117"/>
      <c r="BM18" s="112"/>
      <c r="BN18" s="203"/>
      <c r="BO18" s="204"/>
      <c r="BP18" s="205"/>
      <c r="BQ18" s="203"/>
      <c r="BR18" s="204"/>
      <c r="BS18" s="205"/>
      <c r="BT18" s="203"/>
      <c r="BU18" s="204"/>
      <c r="BV18" s="205"/>
      <c r="BW18" s="203"/>
      <c r="BX18" s="204"/>
      <c r="BY18" s="205"/>
      <c r="BZ18" s="212"/>
      <c r="CA18" s="204"/>
      <c r="CB18" s="205"/>
      <c r="CC18" s="215"/>
      <c r="CD18" s="204"/>
      <c r="CE18" s="205"/>
      <c r="CF18" s="203"/>
      <c r="CG18" s="204"/>
      <c r="CH18" s="205"/>
      <c r="CI18" s="212"/>
      <c r="CJ18" s="204"/>
      <c r="CK18" s="205"/>
      <c r="CL18" s="215"/>
      <c r="CM18" s="204"/>
      <c r="CN18" s="205"/>
      <c r="CO18" s="203"/>
      <c r="CP18" s="204"/>
      <c r="CQ18" s="205"/>
      <c r="CR18" s="90" t="str">
        <f t="shared" si="0"/>
        <v>5C.1</v>
      </c>
      <c r="CS18" s="71" t="b">
        <f t="shared" si="2"/>
        <v>0</v>
      </c>
    </row>
    <row r="19" spans="1:97" ht="20.100000000000001" customHeight="1">
      <c r="A19" s="71" t="b">
        <f t="shared" si="1"/>
        <v>0</v>
      </c>
      <c r="B19" s="9" t="s">
        <v>137</v>
      </c>
      <c r="C19" s="14"/>
      <c r="D19" s="1"/>
      <c r="E19" s="1"/>
      <c r="F19" s="1"/>
      <c r="G19" s="1"/>
      <c r="H19" s="15"/>
      <c r="I19" s="14"/>
      <c r="J19" s="1"/>
      <c r="K19" s="1"/>
      <c r="L19" s="1"/>
      <c r="M19" s="1"/>
      <c r="N19" s="15"/>
      <c r="O19" s="14"/>
      <c r="P19" s="1"/>
      <c r="Q19" s="1"/>
      <c r="R19" s="1"/>
      <c r="S19" s="1"/>
      <c r="T19" s="15"/>
      <c r="U19" s="12"/>
      <c r="V19" s="8"/>
      <c r="W19" s="8"/>
      <c r="X19" s="8"/>
      <c r="Y19" s="8"/>
      <c r="Z19" s="13"/>
      <c r="AA19" s="12"/>
      <c r="AB19" s="8"/>
      <c r="AC19" s="8"/>
      <c r="AD19" s="8"/>
      <c r="AE19" s="8"/>
      <c r="AF19" s="211"/>
      <c r="AG19" s="12"/>
      <c r="AH19" s="8"/>
      <c r="AI19" s="8"/>
      <c r="AJ19" s="8"/>
      <c r="AK19" s="8"/>
      <c r="AL19" s="13"/>
      <c r="AM19" s="12"/>
      <c r="AN19" s="8"/>
      <c r="AO19" s="8"/>
      <c r="AP19" s="8"/>
      <c r="AQ19" s="8"/>
      <c r="AR19" s="211"/>
      <c r="AS19" s="12"/>
      <c r="AT19" s="8"/>
      <c r="AU19" s="8"/>
      <c r="AV19" s="8"/>
      <c r="AW19" s="8"/>
      <c r="AX19" s="211"/>
      <c r="AY19" s="12"/>
      <c r="AZ19" s="8"/>
      <c r="BA19" s="8"/>
      <c r="BB19" s="8"/>
      <c r="BC19" s="8"/>
      <c r="BD19" s="13"/>
      <c r="BE19" s="12"/>
      <c r="BF19" s="8"/>
      <c r="BG19" s="8"/>
      <c r="BH19" s="8"/>
      <c r="BI19" s="8"/>
      <c r="BJ19" s="211"/>
      <c r="BK19" s="116"/>
      <c r="BL19" s="117"/>
      <c r="BM19" s="112"/>
      <c r="BN19" s="203"/>
      <c r="BO19" s="204"/>
      <c r="BP19" s="205"/>
      <c r="BQ19" s="203"/>
      <c r="BR19" s="204"/>
      <c r="BS19" s="205"/>
      <c r="BT19" s="203"/>
      <c r="BU19" s="204"/>
      <c r="BV19" s="205"/>
      <c r="BW19" s="203"/>
      <c r="BX19" s="204"/>
      <c r="BY19" s="205"/>
      <c r="BZ19" s="212"/>
      <c r="CA19" s="204"/>
      <c r="CB19" s="205"/>
      <c r="CC19" s="215"/>
      <c r="CD19" s="204"/>
      <c r="CE19" s="205"/>
      <c r="CF19" s="203"/>
      <c r="CG19" s="204"/>
      <c r="CH19" s="205"/>
      <c r="CI19" s="212"/>
      <c r="CJ19" s="204"/>
      <c r="CK19" s="205"/>
      <c r="CL19" s="215"/>
      <c r="CM19" s="204"/>
      <c r="CN19" s="205"/>
      <c r="CO19" s="203"/>
      <c r="CP19" s="204"/>
      <c r="CQ19" s="205"/>
      <c r="CR19" s="90" t="str">
        <f t="shared" si="0"/>
        <v>5C.2</v>
      </c>
      <c r="CS19" s="71" t="b">
        <f t="shared" si="2"/>
        <v>0</v>
      </c>
    </row>
    <row r="20" spans="1:97" ht="20.100000000000001" customHeight="1">
      <c r="A20" s="71" t="b">
        <f t="shared" si="1"/>
        <v>0</v>
      </c>
      <c r="B20" s="9" t="s">
        <v>138</v>
      </c>
      <c r="C20" s="14"/>
      <c r="D20" s="1"/>
      <c r="E20" s="1"/>
      <c r="F20" s="1"/>
      <c r="G20" s="1"/>
      <c r="H20" s="15"/>
      <c r="I20" s="14"/>
      <c r="J20" s="1"/>
      <c r="K20" s="1"/>
      <c r="L20" s="1"/>
      <c r="M20" s="1"/>
      <c r="N20" s="15"/>
      <c r="O20" s="14"/>
      <c r="P20" s="1"/>
      <c r="Q20" s="1"/>
      <c r="R20" s="1"/>
      <c r="S20" s="1"/>
      <c r="T20" s="15"/>
      <c r="U20" s="12"/>
      <c r="V20" s="8"/>
      <c r="W20" s="8"/>
      <c r="X20" s="8"/>
      <c r="Y20" s="8"/>
      <c r="Z20" s="13"/>
      <c r="AA20" s="12"/>
      <c r="AB20" s="8"/>
      <c r="AC20" s="8"/>
      <c r="AD20" s="8"/>
      <c r="AE20" s="8"/>
      <c r="AF20" s="211"/>
      <c r="AG20" s="12"/>
      <c r="AH20" s="8"/>
      <c r="AI20" s="8"/>
      <c r="AJ20" s="8"/>
      <c r="AK20" s="8"/>
      <c r="AL20" s="13"/>
      <c r="AM20" s="12"/>
      <c r="AN20" s="8"/>
      <c r="AO20" s="8"/>
      <c r="AP20" s="8"/>
      <c r="AQ20" s="8"/>
      <c r="AR20" s="211"/>
      <c r="AS20" s="12"/>
      <c r="AT20" s="8"/>
      <c r="AU20" s="8"/>
      <c r="AV20" s="8"/>
      <c r="AW20" s="8"/>
      <c r="AX20" s="211"/>
      <c r="AY20" s="12"/>
      <c r="AZ20" s="8"/>
      <c r="BA20" s="8"/>
      <c r="BB20" s="8"/>
      <c r="BC20" s="8"/>
      <c r="BD20" s="13"/>
      <c r="BE20" s="12"/>
      <c r="BF20" s="8"/>
      <c r="BG20" s="8"/>
      <c r="BH20" s="8"/>
      <c r="BI20" s="8"/>
      <c r="BJ20" s="211"/>
      <c r="BK20" s="116"/>
      <c r="BL20" s="117"/>
      <c r="BM20" s="112"/>
      <c r="BN20" s="203"/>
      <c r="BO20" s="204"/>
      <c r="BP20" s="205"/>
      <c r="BQ20" s="203"/>
      <c r="BR20" s="204"/>
      <c r="BS20" s="205"/>
      <c r="BT20" s="203"/>
      <c r="BU20" s="204"/>
      <c r="BV20" s="205"/>
      <c r="BW20" s="203"/>
      <c r="BX20" s="204"/>
      <c r="BY20" s="205"/>
      <c r="BZ20" s="212"/>
      <c r="CA20" s="204"/>
      <c r="CB20" s="205"/>
      <c r="CC20" s="215"/>
      <c r="CD20" s="204"/>
      <c r="CE20" s="205"/>
      <c r="CF20" s="203"/>
      <c r="CG20" s="204"/>
      <c r="CH20" s="205"/>
      <c r="CI20" s="212"/>
      <c r="CJ20" s="204"/>
      <c r="CK20" s="205"/>
      <c r="CL20" s="215"/>
      <c r="CM20" s="204"/>
      <c r="CN20" s="205"/>
      <c r="CO20" s="203"/>
      <c r="CP20" s="204"/>
      <c r="CQ20" s="205"/>
      <c r="CR20" s="90" t="str">
        <f t="shared" si="0"/>
        <v>5C.3</v>
      </c>
      <c r="CS20" s="71" t="b">
        <f t="shared" si="2"/>
        <v>0</v>
      </c>
    </row>
    <row r="21" spans="1:97" ht="20.100000000000001" customHeight="1">
      <c r="A21" s="71" t="b">
        <f t="shared" si="1"/>
        <v>0</v>
      </c>
      <c r="B21" s="9" t="s">
        <v>139</v>
      </c>
      <c r="C21" s="14"/>
      <c r="D21" s="1"/>
      <c r="E21" s="1"/>
      <c r="F21" s="1"/>
      <c r="G21" s="1"/>
      <c r="H21" s="15"/>
      <c r="I21" s="14"/>
      <c r="J21" s="1"/>
      <c r="K21" s="1"/>
      <c r="L21" s="1"/>
      <c r="M21" s="1"/>
      <c r="N21" s="15"/>
      <c r="O21" s="14"/>
      <c r="P21" s="1"/>
      <c r="Q21" s="1"/>
      <c r="R21" s="1"/>
      <c r="S21" s="1"/>
      <c r="T21" s="15"/>
      <c r="U21" s="12"/>
      <c r="V21" s="8"/>
      <c r="W21" s="8"/>
      <c r="X21" s="8"/>
      <c r="Y21" s="8"/>
      <c r="Z21" s="13"/>
      <c r="AA21" s="12"/>
      <c r="AB21" s="8"/>
      <c r="AC21" s="8"/>
      <c r="AD21" s="8"/>
      <c r="AE21" s="8"/>
      <c r="AF21" s="211"/>
      <c r="AG21" s="12"/>
      <c r="AH21" s="8"/>
      <c r="AI21" s="8"/>
      <c r="AJ21" s="8"/>
      <c r="AK21" s="8"/>
      <c r="AL21" s="13"/>
      <c r="AM21" s="12"/>
      <c r="AN21" s="8"/>
      <c r="AO21" s="8"/>
      <c r="AP21" s="8"/>
      <c r="AQ21" s="8"/>
      <c r="AR21" s="211"/>
      <c r="AS21" s="12"/>
      <c r="AT21" s="8"/>
      <c r="AU21" s="8"/>
      <c r="AV21" s="8"/>
      <c r="AW21" s="8"/>
      <c r="AX21" s="211"/>
      <c r="AY21" s="12"/>
      <c r="AZ21" s="8"/>
      <c r="BA21" s="8"/>
      <c r="BB21" s="8"/>
      <c r="BC21" s="8"/>
      <c r="BD21" s="13"/>
      <c r="BE21" s="12"/>
      <c r="BF21" s="8"/>
      <c r="BG21" s="8"/>
      <c r="BH21" s="8"/>
      <c r="BI21" s="8"/>
      <c r="BJ21" s="211"/>
      <c r="BK21" s="116"/>
      <c r="BL21" s="117"/>
      <c r="BM21" s="112"/>
      <c r="BN21" s="203"/>
      <c r="BO21" s="204"/>
      <c r="BP21" s="205"/>
      <c r="BQ21" s="212"/>
      <c r="BR21" s="204"/>
      <c r="BS21" s="205"/>
      <c r="BT21" s="215"/>
      <c r="BU21" s="204"/>
      <c r="BV21" s="205"/>
      <c r="BW21" s="203"/>
      <c r="BX21" s="204"/>
      <c r="BY21" s="205"/>
      <c r="BZ21" s="203"/>
      <c r="CA21" s="204"/>
      <c r="CB21" s="205"/>
      <c r="CC21" s="203"/>
      <c r="CD21" s="204"/>
      <c r="CE21" s="205"/>
      <c r="CF21" s="203"/>
      <c r="CG21" s="204"/>
      <c r="CH21" s="205"/>
      <c r="CI21" s="203"/>
      <c r="CJ21" s="204"/>
      <c r="CK21" s="205"/>
      <c r="CL21" s="203"/>
      <c r="CM21" s="204"/>
      <c r="CN21" s="205"/>
      <c r="CO21" s="203"/>
      <c r="CP21" s="204"/>
      <c r="CQ21" s="205"/>
      <c r="CR21" s="90" t="str">
        <f t="shared" si="0"/>
        <v>5C.3</v>
      </c>
      <c r="CS21" s="71" t="b">
        <f t="shared" si="2"/>
        <v>0</v>
      </c>
    </row>
    <row r="22" spans="1:97" ht="20.100000000000001" customHeight="1">
      <c r="A22" s="71" t="b">
        <f t="shared" si="1"/>
        <v>0</v>
      </c>
      <c r="B22" s="9" t="s">
        <v>140</v>
      </c>
      <c r="C22" s="14"/>
      <c r="D22" s="1"/>
      <c r="E22" s="1"/>
      <c r="F22" s="1"/>
      <c r="G22" s="1"/>
      <c r="H22" s="15"/>
      <c r="I22" s="14"/>
      <c r="J22" s="1"/>
      <c r="K22" s="1"/>
      <c r="L22" s="1"/>
      <c r="M22" s="1"/>
      <c r="N22" s="15"/>
      <c r="O22" s="14"/>
      <c r="P22" s="1"/>
      <c r="Q22" s="1"/>
      <c r="R22" s="1"/>
      <c r="S22" s="1"/>
      <c r="T22" s="15"/>
      <c r="U22" s="12"/>
      <c r="V22" s="8"/>
      <c r="W22" s="8"/>
      <c r="X22" s="8"/>
      <c r="Y22" s="8"/>
      <c r="Z22" s="13"/>
      <c r="AA22" s="12"/>
      <c r="AB22" s="8"/>
      <c r="AC22" s="8"/>
      <c r="AD22" s="8"/>
      <c r="AE22" s="8"/>
      <c r="AF22" s="211"/>
      <c r="AG22" s="12"/>
      <c r="AH22" s="8"/>
      <c r="AI22" s="8"/>
      <c r="AJ22" s="8"/>
      <c r="AK22" s="8"/>
      <c r="AL22" s="13"/>
      <c r="AM22" s="12"/>
      <c r="AN22" s="8"/>
      <c r="AO22" s="8"/>
      <c r="AP22" s="8"/>
      <c r="AQ22" s="8"/>
      <c r="AR22" s="211"/>
      <c r="AS22" s="12"/>
      <c r="AT22" s="8"/>
      <c r="AU22" s="8"/>
      <c r="AV22" s="8"/>
      <c r="AW22" s="8"/>
      <c r="AX22" s="211"/>
      <c r="AY22" s="12"/>
      <c r="AZ22" s="8"/>
      <c r="BA22" s="8"/>
      <c r="BB22" s="8"/>
      <c r="BC22" s="8"/>
      <c r="BD22" s="13"/>
      <c r="BE22" s="12"/>
      <c r="BF22" s="8"/>
      <c r="BG22" s="8"/>
      <c r="BH22" s="8"/>
      <c r="BI22" s="8"/>
      <c r="BJ22" s="211"/>
      <c r="BK22" s="116"/>
      <c r="BL22" s="117"/>
      <c r="BM22" s="112"/>
      <c r="BN22" s="203"/>
      <c r="BO22" s="204"/>
      <c r="BP22" s="205"/>
      <c r="BQ22" s="212"/>
      <c r="BR22" s="204"/>
      <c r="BS22" s="205"/>
      <c r="BT22" s="215"/>
      <c r="BU22" s="204"/>
      <c r="BV22" s="205"/>
      <c r="BW22" s="203"/>
      <c r="BX22" s="204"/>
      <c r="BY22" s="205"/>
      <c r="BZ22" s="203"/>
      <c r="CA22" s="204"/>
      <c r="CB22" s="205"/>
      <c r="CC22" s="203"/>
      <c r="CD22" s="204"/>
      <c r="CE22" s="205"/>
      <c r="CF22" s="203"/>
      <c r="CG22" s="204"/>
      <c r="CH22" s="205"/>
      <c r="CI22" s="203"/>
      <c r="CJ22" s="204"/>
      <c r="CK22" s="205"/>
      <c r="CL22" s="203"/>
      <c r="CM22" s="204"/>
      <c r="CN22" s="205"/>
      <c r="CO22" s="203"/>
      <c r="CP22" s="204"/>
      <c r="CQ22" s="205"/>
      <c r="CR22" s="90" t="str">
        <f t="shared" si="0"/>
        <v>5C.3</v>
      </c>
      <c r="CS22" s="71" t="b">
        <f t="shared" si="2"/>
        <v>0</v>
      </c>
    </row>
    <row r="23" spans="1:97" ht="20.100000000000001" customHeight="1">
      <c r="A23" s="71" t="b">
        <f t="shared" si="1"/>
        <v>0</v>
      </c>
      <c r="B23" s="9" t="s">
        <v>141</v>
      </c>
      <c r="C23" s="14"/>
      <c r="D23" s="1"/>
      <c r="E23" s="1"/>
      <c r="F23" s="1"/>
      <c r="G23" s="1"/>
      <c r="H23" s="15"/>
      <c r="I23" s="14"/>
      <c r="J23" s="1"/>
      <c r="K23" s="1"/>
      <c r="L23" s="1"/>
      <c r="M23" s="1"/>
      <c r="N23" s="15"/>
      <c r="O23" s="14"/>
      <c r="P23" s="1"/>
      <c r="Q23" s="1"/>
      <c r="R23" s="1"/>
      <c r="S23" s="1"/>
      <c r="T23" s="15"/>
      <c r="U23" s="12"/>
      <c r="V23" s="8"/>
      <c r="W23" s="8"/>
      <c r="X23" s="8"/>
      <c r="Y23" s="8"/>
      <c r="Z23" s="13"/>
      <c r="AA23" s="12"/>
      <c r="AB23" s="8"/>
      <c r="AC23" s="8"/>
      <c r="AD23" s="8"/>
      <c r="AE23" s="8"/>
      <c r="AF23" s="211"/>
      <c r="AG23" s="12"/>
      <c r="AH23" s="8"/>
      <c r="AI23" s="8"/>
      <c r="AJ23" s="8"/>
      <c r="AK23" s="8"/>
      <c r="AL23" s="13"/>
      <c r="AM23" s="12"/>
      <c r="AN23" s="8"/>
      <c r="AO23" s="8"/>
      <c r="AP23" s="8"/>
      <c r="AQ23" s="8"/>
      <c r="AR23" s="211"/>
      <c r="AS23" s="12"/>
      <c r="AT23" s="8"/>
      <c r="AU23" s="8"/>
      <c r="AV23" s="8"/>
      <c r="AW23" s="8"/>
      <c r="AX23" s="211"/>
      <c r="AY23" s="12"/>
      <c r="AZ23" s="8"/>
      <c r="BA23" s="8"/>
      <c r="BB23" s="8"/>
      <c r="BC23" s="8"/>
      <c r="BD23" s="13"/>
      <c r="BE23" s="12"/>
      <c r="BF23" s="8"/>
      <c r="BG23" s="8"/>
      <c r="BH23" s="8"/>
      <c r="BI23" s="8"/>
      <c r="BJ23" s="211"/>
      <c r="BK23" s="116"/>
      <c r="BL23" s="117"/>
      <c r="BM23" s="112"/>
      <c r="BN23" s="203"/>
      <c r="BO23" s="204"/>
      <c r="BP23" s="205"/>
      <c r="BQ23" s="203"/>
      <c r="BR23" s="204"/>
      <c r="BS23" s="205"/>
      <c r="BT23" s="203"/>
      <c r="BU23" s="204"/>
      <c r="BV23" s="205"/>
      <c r="BW23" s="203"/>
      <c r="BX23" s="204"/>
      <c r="BY23" s="205"/>
      <c r="BZ23" s="215"/>
      <c r="CA23" s="204"/>
      <c r="CB23" s="205"/>
      <c r="CC23" s="215"/>
      <c r="CD23" s="204"/>
      <c r="CE23" s="205"/>
      <c r="CF23" s="203"/>
      <c r="CG23" s="204"/>
      <c r="CH23" s="205"/>
      <c r="CI23" s="215"/>
      <c r="CJ23" s="204"/>
      <c r="CK23" s="205"/>
      <c r="CL23" s="215"/>
      <c r="CM23" s="204"/>
      <c r="CN23" s="205"/>
      <c r="CO23" s="203"/>
      <c r="CP23" s="204"/>
      <c r="CQ23" s="205"/>
      <c r="CR23" s="90" t="str">
        <f t="shared" si="0"/>
        <v>5C.3</v>
      </c>
      <c r="CS23" s="71" t="b">
        <f t="shared" si="2"/>
        <v>0</v>
      </c>
    </row>
    <row r="24" spans="1:97" ht="20.100000000000001" customHeight="1">
      <c r="A24" s="71" t="b">
        <f t="shared" si="1"/>
        <v>0</v>
      </c>
      <c r="B24" s="9" t="s">
        <v>142</v>
      </c>
      <c r="C24" s="12"/>
      <c r="D24" s="8"/>
      <c r="E24" s="8"/>
      <c r="F24" s="8"/>
      <c r="G24" s="8"/>
      <c r="H24" s="13"/>
      <c r="I24" s="12"/>
      <c r="J24" s="8"/>
      <c r="K24" s="8"/>
      <c r="L24" s="8"/>
      <c r="M24" s="8"/>
      <c r="N24" s="13"/>
      <c r="O24" s="12"/>
      <c r="P24" s="8"/>
      <c r="Q24" s="8"/>
      <c r="R24" s="8"/>
      <c r="S24" s="8"/>
      <c r="T24" s="13"/>
      <c r="U24" s="12"/>
      <c r="V24" s="8"/>
      <c r="W24" s="8"/>
      <c r="X24" s="8"/>
      <c r="Y24" s="8"/>
      <c r="Z24" s="13"/>
      <c r="AA24" s="12"/>
      <c r="AB24" s="8"/>
      <c r="AC24" s="8"/>
      <c r="AD24" s="8"/>
      <c r="AE24" s="8"/>
      <c r="AF24" s="211"/>
      <c r="AG24" s="12"/>
      <c r="AH24" s="8"/>
      <c r="AI24" s="8"/>
      <c r="AJ24" s="8"/>
      <c r="AK24" s="8"/>
      <c r="AL24" s="13"/>
      <c r="AM24" s="14"/>
      <c r="AN24" s="1"/>
      <c r="AO24" s="1"/>
      <c r="AP24" s="1"/>
      <c r="AQ24" s="1"/>
      <c r="AR24" s="46"/>
      <c r="AS24" s="14"/>
      <c r="AT24" s="1"/>
      <c r="AU24" s="1"/>
      <c r="AV24" s="1"/>
      <c r="AW24" s="1"/>
      <c r="AX24" s="46"/>
      <c r="AY24" s="14"/>
      <c r="AZ24" s="1"/>
      <c r="BA24" s="1"/>
      <c r="BB24" s="1"/>
      <c r="BC24" s="1"/>
      <c r="BD24" s="15"/>
      <c r="BE24" s="12"/>
      <c r="BF24" s="8"/>
      <c r="BG24" s="8"/>
      <c r="BH24" s="8"/>
      <c r="BI24" s="8"/>
      <c r="BJ24" s="211"/>
      <c r="BK24" s="116"/>
      <c r="BL24" s="117"/>
      <c r="BM24" s="112"/>
      <c r="BN24" s="203"/>
      <c r="BO24" s="204"/>
      <c r="BP24" s="205"/>
      <c r="BQ24" s="203"/>
      <c r="BR24" s="204"/>
      <c r="BS24" s="205"/>
      <c r="BT24" s="203"/>
      <c r="BU24" s="204"/>
      <c r="BV24" s="205"/>
      <c r="BW24" s="203"/>
      <c r="BX24" s="204"/>
      <c r="BY24" s="205"/>
      <c r="BZ24" s="215"/>
      <c r="CA24" s="204"/>
      <c r="CB24" s="205"/>
      <c r="CC24" s="212"/>
      <c r="CD24" s="204"/>
      <c r="CE24" s="205"/>
      <c r="CF24" s="203"/>
      <c r="CG24" s="204"/>
      <c r="CH24" s="205"/>
      <c r="CI24" s="215"/>
      <c r="CJ24" s="204"/>
      <c r="CK24" s="205"/>
      <c r="CL24" s="212"/>
      <c r="CM24" s="204"/>
      <c r="CN24" s="205"/>
      <c r="CO24" s="203"/>
      <c r="CP24" s="204"/>
      <c r="CQ24" s="205"/>
      <c r="CR24" s="90" t="str">
        <f t="shared" si="0"/>
        <v>10B.1</v>
      </c>
      <c r="CS24" s="71" t="b">
        <f t="shared" si="2"/>
        <v>0</v>
      </c>
    </row>
    <row r="25" spans="1:97" ht="20.100000000000001" customHeight="1">
      <c r="A25" s="71" t="b">
        <f t="shared" si="1"/>
        <v>0</v>
      </c>
      <c r="B25" s="9" t="s">
        <v>143</v>
      </c>
      <c r="C25" s="12"/>
      <c r="D25" s="8"/>
      <c r="E25" s="8"/>
      <c r="F25" s="8"/>
      <c r="G25" s="8"/>
      <c r="H25" s="13"/>
      <c r="I25" s="12"/>
      <c r="J25" s="8"/>
      <c r="K25" s="8"/>
      <c r="L25" s="8"/>
      <c r="M25" s="8"/>
      <c r="N25" s="13"/>
      <c r="O25" s="12"/>
      <c r="P25" s="8"/>
      <c r="Q25" s="8"/>
      <c r="R25" s="8"/>
      <c r="S25" s="8"/>
      <c r="T25" s="13"/>
      <c r="U25" s="12"/>
      <c r="V25" s="8"/>
      <c r="W25" s="8"/>
      <c r="X25" s="8"/>
      <c r="Y25" s="8"/>
      <c r="Z25" s="13"/>
      <c r="AA25" s="12"/>
      <c r="AB25" s="8"/>
      <c r="AC25" s="8"/>
      <c r="AD25" s="8"/>
      <c r="AE25" s="8"/>
      <c r="AF25" s="211"/>
      <c r="AG25" s="12"/>
      <c r="AH25" s="8"/>
      <c r="AI25" s="8"/>
      <c r="AJ25" s="8"/>
      <c r="AK25" s="8"/>
      <c r="AL25" s="13"/>
      <c r="AM25" s="14"/>
      <c r="AN25" s="1"/>
      <c r="AO25" s="1"/>
      <c r="AP25" s="1"/>
      <c r="AQ25" s="1"/>
      <c r="AR25" s="46"/>
      <c r="AS25" s="14"/>
      <c r="AT25" s="1"/>
      <c r="AU25" s="1"/>
      <c r="AV25" s="1"/>
      <c r="AW25" s="1"/>
      <c r="AX25" s="46"/>
      <c r="AY25" s="14"/>
      <c r="AZ25" s="1"/>
      <c r="BA25" s="1"/>
      <c r="BB25" s="1"/>
      <c r="BC25" s="1"/>
      <c r="BD25" s="15"/>
      <c r="BE25" s="12"/>
      <c r="BF25" s="8"/>
      <c r="BG25" s="8"/>
      <c r="BH25" s="8"/>
      <c r="BI25" s="8"/>
      <c r="BJ25" s="211"/>
      <c r="BK25" s="116"/>
      <c r="BL25" s="117"/>
      <c r="BM25" s="112"/>
      <c r="BN25" s="203"/>
      <c r="BO25" s="204"/>
      <c r="BP25" s="205"/>
      <c r="BQ25" s="203"/>
      <c r="BR25" s="204"/>
      <c r="BS25" s="205"/>
      <c r="BT25" s="203"/>
      <c r="BU25" s="204"/>
      <c r="BV25" s="205"/>
      <c r="BW25" s="203"/>
      <c r="BX25" s="204"/>
      <c r="BY25" s="205"/>
      <c r="BZ25" s="215"/>
      <c r="CA25" s="204"/>
      <c r="CB25" s="205"/>
      <c r="CC25" s="212"/>
      <c r="CD25" s="204"/>
      <c r="CE25" s="205"/>
      <c r="CF25" s="203"/>
      <c r="CG25" s="204"/>
      <c r="CH25" s="205"/>
      <c r="CI25" s="215"/>
      <c r="CJ25" s="204"/>
      <c r="CK25" s="205"/>
      <c r="CL25" s="212"/>
      <c r="CM25" s="204"/>
      <c r="CN25" s="205"/>
      <c r="CO25" s="203"/>
      <c r="CP25" s="204"/>
      <c r="CQ25" s="205"/>
      <c r="CR25" s="90" t="str">
        <f t="shared" si="0"/>
        <v>10B.1</v>
      </c>
      <c r="CS25" s="71" t="b">
        <f t="shared" si="2"/>
        <v>0</v>
      </c>
    </row>
    <row r="26" spans="1:97" ht="20.100000000000001" customHeight="1">
      <c r="A26" s="71" t="b">
        <f t="shared" si="1"/>
        <v>0</v>
      </c>
      <c r="B26" s="9" t="s">
        <v>144</v>
      </c>
      <c r="C26" s="12"/>
      <c r="D26" s="8"/>
      <c r="E26" s="8"/>
      <c r="F26" s="8"/>
      <c r="G26" s="8"/>
      <c r="H26" s="13"/>
      <c r="I26" s="12"/>
      <c r="J26" s="8"/>
      <c r="K26" s="8"/>
      <c r="L26" s="8"/>
      <c r="M26" s="8"/>
      <c r="N26" s="13"/>
      <c r="O26" s="12"/>
      <c r="P26" s="8"/>
      <c r="Q26" s="8"/>
      <c r="R26" s="8"/>
      <c r="S26" s="8"/>
      <c r="T26" s="13"/>
      <c r="U26" s="12"/>
      <c r="V26" s="8"/>
      <c r="W26" s="8"/>
      <c r="X26" s="8"/>
      <c r="Y26" s="8"/>
      <c r="Z26" s="13"/>
      <c r="AA26" s="12"/>
      <c r="AB26" s="8"/>
      <c r="AC26" s="8"/>
      <c r="AD26" s="8"/>
      <c r="AE26" s="8"/>
      <c r="AF26" s="211"/>
      <c r="AG26" s="12"/>
      <c r="AH26" s="8"/>
      <c r="AI26" s="8"/>
      <c r="AJ26" s="8"/>
      <c r="AK26" s="8"/>
      <c r="AL26" s="13"/>
      <c r="AM26" s="14"/>
      <c r="AN26" s="1"/>
      <c r="AO26" s="1"/>
      <c r="AP26" s="1"/>
      <c r="AQ26" s="1"/>
      <c r="AR26" s="46"/>
      <c r="AS26" s="14"/>
      <c r="AT26" s="1"/>
      <c r="AU26" s="1"/>
      <c r="AV26" s="1"/>
      <c r="AW26" s="1"/>
      <c r="AX26" s="46"/>
      <c r="AY26" s="14"/>
      <c r="AZ26" s="1"/>
      <c r="BA26" s="1"/>
      <c r="BB26" s="1"/>
      <c r="BC26" s="1"/>
      <c r="BD26" s="15"/>
      <c r="BE26" s="12"/>
      <c r="BF26" s="8"/>
      <c r="BG26" s="8"/>
      <c r="BH26" s="8"/>
      <c r="BI26" s="8"/>
      <c r="BJ26" s="211"/>
      <c r="BK26" s="116"/>
      <c r="BL26" s="117"/>
      <c r="BM26" s="112"/>
      <c r="BN26" s="203"/>
      <c r="BO26" s="204"/>
      <c r="BP26" s="205"/>
      <c r="BQ26" s="203"/>
      <c r="BR26" s="204"/>
      <c r="BS26" s="205"/>
      <c r="BT26" s="203"/>
      <c r="BU26" s="204"/>
      <c r="BV26" s="205"/>
      <c r="BW26" s="203"/>
      <c r="BX26" s="204"/>
      <c r="BY26" s="205"/>
      <c r="BZ26" s="215"/>
      <c r="CA26" s="214"/>
      <c r="CB26" s="205"/>
      <c r="CC26" s="212"/>
      <c r="CD26" s="214"/>
      <c r="CE26" s="205"/>
      <c r="CF26" s="203"/>
      <c r="CG26" s="204"/>
      <c r="CH26" s="205"/>
      <c r="CI26" s="215"/>
      <c r="CJ26" s="214"/>
      <c r="CK26" s="205"/>
      <c r="CL26" s="212"/>
      <c r="CM26" s="214"/>
      <c r="CN26" s="205"/>
      <c r="CO26" s="203"/>
      <c r="CP26" s="204"/>
      <c r="CQ26" s="205"/>
      <c r="CR26" s="90" t="str">
        <f t="shared" si="0"/>
        <v>10B.1</v>
      </c>
      <c r="CS26" s="71" t="b">
        <f t="shared" si="2"/>
        <v>0</v>
      </c>
    </row>
    <row r="27" spans="1:97" ht="20.100000000000001" customHeight="1">
      <c r="A27" s="71" t="b">
        <f t="shared" si="1"/>
        <v>0</v>
      </c>
      <c r="B27" s="9" t="s">
        <v>147</v>
      </c>
      <c r="C27" s="12"/>
      <c r="D27" s="8"/>
      <c r="E27" s="8"/>
      <c r="F27" s="8"/>
      <c r="G27" s="8"/>
      <c r="H27" s="13"/>
      <c r="I27" s="12"/>
      <c r="J27" s="8"/>
      <c r="K27" s="8"/>
      <c r="L27" s="8"/>
      <c r="M27" s="8"/>
      <c r="N27" s="13"/>
      <c r="O27" s="12"/>
      <c r="P27" s="8"/>
      <c r="Q27" s="8"/>
      <c r="R27" s="8"/>
      <c r="S27" s="8"/>
      <c r="T27" s="13"/>
      <c r="U27" s="12"/>
      <c r="V27" s="8"/>
      <c r="W27" s="8"/>
      <c r="X27" s="8"/>
      <c r="Y27" s="8"/>
      <c r="Z27" s="13"/>
      <c r="AA27" s="12"/>
      <c r="AB27" s="8"/>
      <c r="AC27" s="8"/>
      <c r="AD27" s="8"/>
      <c r="AE27" s="8"/>
      <c r="AF27" s="211"/>
      <c r="AG27" s="12"/>
      <c r="AH27" s="8"/>
      <c r="AI27" s="8"/>
      <c r="AJ27" s="8"/>
      <c r="AK27" s="8"/>
      <c r="AL27" s="13"/>
      <c r="AM27" s="14"/>
      <c r="AN27" s="1"/>
      <c r="AO27" s="1"/>
      <c r="AP27" s="1"/>
      <c r="AQ27" s="1"/>
      <c r="AR27" s="46"/>
      <c r="AS27" s="14"/>
      <c r="AT27" s="1"/>
      <c r="AU27" s="1"/>
      <c r="AV27" s="1"/>
      <c r="AW27" s="1"/>
      <c r="AX27" s="46"/>
      <c r="AY27" s="14"/>
      <c r="AZ27" s="1"/>
      <c r="BA27" s="1"/>
      <c r="BB27" s="1"/>
      <c r="BC27" s="1"/>
      <c r="BD27" s="15"/>
      <c r="BE27" s="12"/>
      <c r="BF27" s="8"/>
      <c r="BG27" s="8"/>
      <c r="BH27" s="8"/>
      <c r="BI27" s="8"/>
      <c r="BJ27" s="211"/>
      <c r="BK27" s="116"/>
      <c r="BL27" s="117"/>
      <c r="BM27" s="112"/>
      <c r="BN27" s="203"/>
      <c r="BO27" s="204"/>
      <c r="BP27" s="205"/>
      <c r="BQ27" s="203"/>
      <c r="BR27" s="204"/>
      <c r="BS27" s="205"/>
      <c r="BT27" s="203"/>
      <c r="BU27" s="204"/>
      <c r="BV27" s="205"/>
      <c r="BW27" s="203"/>
      <c r="BX27" s="204"/>
      <c r="BY27" s="205"/>
      <c r="BZ27" s="215"/>
      <c r="CA27" s="204"/>
      <c r="CB27" s="205"/>
      <c r="CC27" s="212"/>
      <c r="CD27" s="204"/>
      <c r="CE27" s="205"/>
      <c r="CF27" s="203"/>
      <c r="CG27" s="204"/>
      <c r="CH27" s="205"/>
      <c r="CI27" s="215"/>
      <c r="CJ27" s="204"/>
      <c r="CK27" s="205"/>
      <c r="CL27" s="212"/>
      <c r="CM27" s="204"/>
      <c r="CN27" s="205"/>
      <c r="CO27" s="203"/>
      <c r="CP27" s="204"/>
      <c r="CQ27" s="205"/>
      <c r="CR27" s="90" t="str">
        <f t="shared" si="0"/>
        <v>10B.1</v>
      </c>
      <c r="CS27" s="71" t="b">
        <f t="shared" si="2"/>
        <v>0</v>
      </c>
    </row>
    <row r="28" spans="1:97" ht="20.100000000000001" customHeight="1">
      <c r="A28" s="71" t="b">
        <f t="shared" si="1"/>
        <v>0</v>
      </c>
      <c r="B28" s="9" t="s">
        <v>148</v>
      </c>
      <c r="C28" s="12"/>
      <c r="D28" s="8"/>
      <c r="E28" s="8"/>
      <c r="F28" s="8"/>
      <c r="G28" s="8"/>
      <c r="H28" s="13"/>
      <c r="I28" s="12"/>
      <c r="J28" s="8"/>
      <c r="K28" s="8"/>
      <c r="L28" s="8"/>
      <c r="M28" s="8"/>
      <c r="N28" s="13"/>
      <c r="O28" s="12"/>
      <c r="P28" s="8"/>
      <c r="Q28" s="8"/>
      <c r="R28" s="8"/>
      <c r="S28" s="8"/>
      <c r="T28" s="13"/>
      <c r="U28" s="89"/>
      <c r="V28" s="73"/>
      <c r="W28" s="73"/>
      <c r="X28" s="73"/>
      <c r="Y28" s="73"/>
      <c r="Z28" s="164"/>
      <c r="AA28" s="89"/>
      <c r="AB28" s="73"/>
      <c r="AC28" s="73"/>
      <c r="AD28" s="73"/>
      <c r="AE28" s="73"/>
      <c r="AF28" s="95"/>
      <c r="AG28" s="89"/>
      <c r="AH28" s="73"/>
      <c r="AI28" s="73"/>
      <c r="AJ28" s="1"/>
      <c r="AK28" s="1"/>
      <c r="AL28" s="15"/>
      <c r="AM28" s="12"/>
      <c r="AN28" s="8"/>
      <c r="AO28" s="8"/>
      <c r="AP28" s="8"/>
      <c r="AQ28" s="8"/>
      <c r="AR28" s="211"/>
      <c r="AS28" s="12"/>
      <c r="AT28" s="8"/>
      <c r="AU28" s="8"/>
      <c r="AV28" s="8"/>
      <c r="AW28" s="8"/>
      <c r="AX28" s="211"/>
      <c r="AY28" s="12"/>
      <c r="AZ28" s="8"/>
      <c r="BA28" s="8"/>
      <c r="BB28" s="8"/>
      <c r="BC28" s="8"/>
      <c r="BD28" s="13"/>
      <c r="BE28" s="12"/>
      <c r="BF28" s="8"/>
      <c r="BG28" s="8"/>
      <c r="BH28" s="8"/>
      <c r="BI28" s="8"/>
      <c r="BJ28" s="211"/>
      <c r="BK28" s="116"/>
      <c r="BL28" s="117"/>
      <c r="BM28" s="112"/>
      <c r="BN28" s="203"/>
      <c r="BO28" s="204"/>
      <c r="BP28" s="205"/>
      <c r="BQ28" s="203"/>
      <c r="BR28" s="204"/>
      <c r="BS28" s="205"/>
      <c r="BT28" s="203"/>
      <c r="BU28" s="204"/>
      <c r="BV28" s="205"/>
      <c r="BW28" s="203"/>
      <c r="BX28" s="204"/>
      <c r="BY28" s="205"/>
      <c r="BZ28" s="215"/>
      <c r="CA28" s="204"/>
      <c r="CB28" s="205"/>
      <c r="CC28" s="212"/>
      <c r="CD28" s="204"/>
      <c r="CE28" s="205"/>
      <c r="CF28" s="203"/>
      <c r="CG28" s="204"/>
      <c r="CH28" s="205"/>
      <c r="CI28" s="215"/>
      <c r="CJ28" s="204"/>
      <c r="CK28" s="205"/>
      <c r="CL28" s="212"/>
      <c r="CM28" s="204"/>
      <c r="CN28" s="205"/>
      <c r="CO28" s="203"/>
      <c r="CP28" s="204"/>
      <c r="CQ28" s="205"/>
      <c r="CR28" s="90" t="str">
        <f t="shared" si="0"/>
        <v>11B.1</v>
      </c>
      <c r="CS28" s="71" t="b">
        <f t="shared" si="2"/>
        <v>0</v>
      </c>
    </row>
    <row r="29" spans="1:97" ht="20.100000000000001" customHeight="1">
      <c r="A29" s="71" t="b">
        <f t="shared" si="1"/>
        <v>0</v>
      </c>
      <c r="B29" s="9" t="s">
        <v>157</v>
      </c>
      <c r="C29" s="12"/>
      <c r="D29" s="8"/>
      <c r="E29" s="8"/>
      <c r="F29" s="8"/>
      <c r="G29" s="8"/>
      <c r="H29" s="13"/>
      <c r="I29" s="12"/>
      <c r="J29" s="8"/>
      <c r="K29" s="8"/>
      <c r="L29" s="8"/>
      <c r="M29" s="8"/>
      <c r="N29" s="13"/>
      <c r="O29" s="12"/>
      <c r="P29" s="8"/>
      <c r="Q29" s="8"/>
      <c r="R29" s="8"/>
      <c r="S29" s="8"/>
      <c r="T29" s="13"/>
      <c r="U29" s="14"/>
      <c r="V29" s="1"/>
      <c r="W29" s="1"/>
      <c r="X29" s="1"/>
      <c r="Y29" s="1"/>
      <c r="Z29" s="15"/>
      <c r="AA29" s="14"/>
      <c r="AB29" s="1"/>
      <c r="AC29" s="1"/>
      <c r="AD29" s="1"/>
      <c r="AE29" s="1"/>
      <c r="AF29" s="46"/>
      <c r="AG29" s="14"/>
      <c r="AH29" s="1"/>
      <c r="AI29" s="1"/>
      <c r="AJ29" s="1"/>
      <c r="AK29" s="1"/>
      <c r="AL29" s="15"/>
      <c r="AM29" s="12"/>
      <c r="AN29" s="8"/>
      <c r="AO29" s="8"/>
      <c r="AP29" s="8"/>
      <c r="AQ29" s="8"/>
      <c r="AR29" s="211"/>
      <c r="AS29" s="12"/>
      <c r="AT29" s="8"/>
      <c r="AU29" s="8"/>
      <c r="AV29" s="8"/>
      <c r="AW29" s="8"/>
      <c r="AX29" s="211"/>
      <c r="AY29" s="12"/>
      <c r="AZ29" s="8"/>
      <c r="BA29" s="8"/>
      <c r="BB29" s="8"/>
      <c r="BC29" s="8"/>
      <c r="BD29" s="13"/>
      <c r="BE29" s="12"/>
      <c r="BF29" s="8"/>
      <c r="BG29" s="8"/>
      <c r="BH29" s="8"/>
      <c r="BI29" s="8"/>
      <c r="BJ29" s="211"/>
      <c r="BK29" s="116"/>
      <c r="BL29" s="117"/>
      <c r="BM29" s="112"/>
      <c r="BN29" s="203"/>
      <c r="BO29" s="204"/>
      <c r="BP29" s="205"/>
      <c r="BQ29" s="203"/>
      <c r="BR29" s="204"/>
      <c r="BS29" s="205"/>
      <c r="BT29" s="203"/>
      <c r="BU29" s="204"/>
      <c r="BV29" s="205"/>
      <c r="BW29" s="203"/>
      <c r="BX29" s="204"/>
      <c r="BY29" s="205"/>
      <c r="BZ29" s="215"/>
      <c r="CA29" s="204"/>
      <c r="CB29" s="205"/>
      <c r="CC29" s="212"/>
      <c r="CD29" s="204"/>
      <c r="CE29" s="205"/>
      <c r="CF29" s="203"/>
      <c r="CG29" s="204"/>
      <c r="CH29" s="205"/>
      <c r="CI29" s="215"/>
      <c r="CJ29" s="204"/>
      <c r="CK29" s="205"/>
      <c r="CL29" s="212"/>
      <c r="CM29" s="204"/>
      <c r="CN29" s="205"/>
      <c r="CO29" s="203"/>
      <c r="CP29" s="204"/>
      <c r="CQ29" s="205"/>
      <c r="CR29" s="90" t="str">
        <f t="shared" si="0"/>
        <v>12.1</v>
      </c>
      <c r="CS29" s="71" t="b">
        <f t="shared" si="2"/>
        <v>0</v>
      </c>
    </row>
    <row r="30" spans="1:97" ht="20.100000000000001" customHeight="1">
      <c r="A30" s="71" t="b">
        <f t="shared" si="1"/>
        <v>0</v>
      </c>
      <c r="B30" s="9" t="s">
        <v>158</v>
      </c>
      <c r="C30" s="12"/>
      <c r="D30" s="8"/>
      <c r="E30" s="8"/>
      <c r="F30" s="8"/>
      <c r="G30" s="8"/>
      <c r="H30" s="13"/>
      <c r="I30" s="12"/>
      <c r="J30" s="8"/>
      <c r="K30" s="8"/>
      <c r="L30" s="8"/>
      <c r="M30" s="8"/>
      <c r="N30" s="13"/>
      <c r="O30" s="12"/>
      <c r="P30" s="8"/>
      <c r="Q30" s="8"/>
      <c r="R30" s="8"/>
      <c r="S30" s="8"/>
      <c r="T30" s="13"/>
      <c r="U30" s="14"/>
      <c r="V30" s="1"/>
      <c r="W30" s="1"/>
      <c r="X30" s="1"/>
      <c r="Y30" s="1"/>
      <c r="Z30" s="15"/>
      <c r="AA30" s="14"/>
      <c r="AB30" s="1"/>
      <c r="AC30" s="1"/>
      <c r="AD30" s="1"/>
      <c r="AE30" s="1"/>
      <c r="AF30" s="46"/>
      <c r="AG30" s="14"/>
      <c r="AH30" s="1"/>
      <c r="AI30" s="1"/>
      <c r="AJ30" s="1"/>
      <c r="AK30" s="1"/>
      <c r="AL30" s="15"/>
      <c r="AM30" s="12"/>
      <c r="AN30" s="8"/>
      <c r="AO30" s="8"/>
      <c r="AP30" s="8"/>
      <c r="AQ30" s="8"/>
      <c r="AR30" s="211"/>
      <c r="AS30" s="12"/>
      <c r="AT30" s="8"/>
      <c r="AU30" s="8"/>
      <c r="AV30" s="8"/>
      <c r="AW30" s="8"/>
      <c r="AX30" s="211"/>
      <c r="AY30" s="12"/>
      <c r="AZ30" s="8"/>
      <c r="BA30" s="8"/>
      <c r="BB30" s="8"/>
      <c r="BC30" s="8"/>
      <c r="BD30" s="13"/>
      <c r="BE30" s="12"/>
      <c r="BF30" s="8"/>
      <c r="BG30" s="8"/>
      <c r="BH30" s="8"/>
      <c r="BI30" s="8"/>
      <c r="BJ30" s="211"/>
      <c r="BK30" s="116"/>
      <c r="BL30" s="117"/>
      <c r="BM30" s="112"/>
      <c r="BN30" s="203"/>
      <c r="BO30" s="204"/>
      <c r="BP30" s="205"/>
      <c r="BQ30" s="203"/>
      <c r="BR30" s="204"/>
      <c r="BS30" s="205"/>
      <c r="BT30" s="203"/>
      <c r="BU30" s="204"/>
      <c r="BV30" s="205"/>
      <c r="BW30" s="203"/>
      <c r="BX30" s="204"/>
      <c r="BY30" s="205"/>
      <c r="BZ30" s="215"/>
      <c r="CA30" s="204"/>
      <c r="CB30" s="205"/>
      <c r="CC30" s="212"/>
      <c r="CD30" s="204"/>
      <c r="CE30" s="205"/>
      <c r="CF30" s="203"/>
      <c r="CG30" s="204"/>
      <c r="CH30" s="205"/>
      <c r="CI30" s="215"/>
      <c r="CJ30" s="204"/>
      <c r="CK30" s="205"/>
      <c r="CL30" s="212"/>
      <c r="CM30" s="204"/>
      <c r="CN30" s="205"/>
      <c r="CO30" s="203"/>
      <c r="CP30" s="204"/>
      <c r="CQ30" s="205"/>
      <c r="CR30" s="90" t="str">
        <f t="shared" si="0"/>
        <v>12.1</v>
      </c>
      <c r="CS30" s="71" t="b">
        <f t="shared" si="2"/>
        <v>0</v>
      </c>
    </row>
    <row r="31" spans="1:97" ht="20.100000000000001" customHeight="1">
      <c r="A31" s="71" t="b">
        <f t="shared" si="1"/>
        <v>0</v>
      </c>
      <c r="B31" s="9" t="s">
        <v>159</v>
      </c>
      <c r="C31" s="14"/>
      <c r="D31" s="1"/>
      <c r="E31" s="1"/>
      <c r="F31" s="1"/>
      <c r="G31" s="1"/>
      <c r="H31" s="15"/>
      <c r="I31" s="14"/>
      <c r="J31" s="1"/>
      <c r="K31" s="1"/>
      <c r="L31" s="1"/>
      <c r="M31" s="1"/>
      <c r="N31" s="15"/>
      <c r="O31" s="14"/>
      <c r="P31" s="1"/>
      <c r="Q31" s="1"/>
      <c r="R31" s="1"/>
      <c r="S31" s="1"/>
      <c r="T31" s="15"/>
      <c r="U31" s="12"/>
      <c r="V31" s="8"/>
      <c r="W31" s="8"/>
      <c r="X31" s="8"/>
      <c r="Y31" s="8"/>
      <c r="Z31" s="13"/>
      <c r="AA31" s="8"/>
      <c r="AB31" s="8"/>
      <c r="AC31" s="8"/>
      <c r="AD31" s="8"/>
      <c r="AE31" s="8"/>
      <c r="AF31" s="211"/>
      <c r="AG31" s="12"/>
      <c r="AH31" s="8"/>
      <c r="AI31" s="8"/>
      <c r="AJ31" s="8"/>
      <c r="AK31" s="8"/>
      <c r="AL31" s="13"/>
      <c r="AM31" s="12"/>
      <c r="AN31" s="8"/>
      <c r="AO31" s="8"/>
      <c r="AP31" s="8"/>
      <c r="AQ31" s="8"/>
      <c r="AR31" s="211"/>
      <c r="AS31" s="12"/>
      <c r="AT31" s="8"/>
      <c r="AU31" s="8"/>
      <c r="AV31" s="8"/>
      <c r="AW31" s="8"/>
      <c r="AX31" s="211"/>
      <c r="AY31" s="12"/>
      <c r="AZ31" s="8"/>
      <c r="BA31" s="8"/>
      <c r="BB31" s="8"/>
      <c r="BC31" s="8"/>
      <c r="BD31" s="13"/>
      <c r="BE31" s="12"/>
      <c r="BF31" s="8"/>
      <c r="BG31" s="8"/>
      <c r="BH31" s="8"/>
      <c r="BI31" s="8"/>
      <c r="BJ31" s="211"/>
      <c r="BK31" s="116"/>
      <c r="BL31" s="117"/>
      <c r="BM31" s="112"/>
      <c r="BN31" s="203"/>
      <c r="BO31" s="204"/>
      <c r="BP31" s="205"/>
      <c r="BQ31" s="203"/>
      <c r="BR31" s="204"/>
      <c r="BS31" s="205"/>
      <c r="BT31" s="203"/>
      <c r="BU31" s="204"/>
      <c r="BV31" s="205"/>
      <c r="BW31" s="203"/>
      <c r="BX31" s="204"/>
      <c r="BY31" s="205"/>
      <c r="BZ31" s="215"/>
      <c r="CA31" s="204"/>
      <c r="CB31" s="205"/>
      <c r="CC31" s="212"/>
      <c r="CD31" s="204"/>
      <c r="CE31" s="205"/>
      <c r="CF31" s="203"/>
      <c r="CG31" s="204"/>
      <c r="CH31" s="205"/>
      <c r="CI31" s="215"/>
      <c r="CJ31" s="204"/>
      <c r="CK31" s="205"/>
      <c r="CL31" s="212"/>
      <c r="CM31" s="204"/>
      <c r="CN31" s="205"/>
      <c r="CO31" s="203"/>
      <c r="CP31" s="204"/>
      <c r="CQ31" s="205"/>
      <c r="CR31" s="90" t="str">
        <f t="shared" si="0"/>
        <v>12.2</v>
      </c>
      <c r="CS31" s="71" t="b">
        <f t="shared" si="2"/>
        <v>0</v>
      </c>
    </row>
    <row r="32" spans="1:97" ht="20.100000000000001" customHeight="1">
      <c r="A32" s="71" t="b">
        <f t="shared" si="1"/>
        <v>0</v>
      </c>
      <c r="B32" s="9" t="s">
        <v>160</v>
      </c>
      <c r="C32" s="14"/>
      <c r="D32" s="1"/>
      <c r="E32" s="1"/>
      <c r="F32" s="1"/>
      <c r="G32" s="1"/>
      <c r="H32" s="15"/>
      <c r="I32" s="14"/>
      <c r="J32" s="1"/>
      <c r="K32" s="1"/>
      <c r="L32" s="1"/>
      <c r="M32" s="1"/>
      <c r="N32" s="15"/>
      <c r="O32" s="14"/>
      <c r="P32" s="1"/>
      <c r="Q32" s="1"/>
      <c r="R32" s="1"/>
      <c r="S32" s="1"/>
      <c r="T32" s="15"/>
      <c r="U32" s="12"/>
      <c r="V32" s="8"/>
      <c r="W32" s="8"/>
      <c r="X32" s="8"/>
      <c r="Y32" s="8"/>
      <c r="Z32" s="13"/>
      <c r="AA32" s="8"/>
      <c r="AB32" s="8"/>
      <c r="AC32" s="8"/>
      <c r="AD32" s="8"/>
      <c r="AE32" s="8"/>
      <c r="AF32" s="211"/>
      <c r="AG32" s="12"/>
      <c r="AH32" s="8"/>
      <c r="AI32" s="8"/>
      <c r="AJ32" s="8"/>
      <c r="AK32" s="8"/>
      <c r="AL32" s="13"/>
      <c r="AM32" s="12"/>
      <c r="AN32" s="8"/>
      <c r="AO32" s="8"/>
      <c r="AP32" s="8"/>
      <c r="AQ32" s="8"/>
      <c r="AR32" s="211"/>
      <c r="AS32" s="12"/>
      <c r="AT32" s="8"/>
      <c r="AU32" s="8"/>
      <c r="AV32" s="8"/>
      <c r="AW32" s="8"/>
      <c r="AX32" s="211"/>
      <c r="AY32" s="12"/>
      <c r="AZ32" s="8"/>
      <c r="BA32" s="8"/>
      <c r="BB32" s="8"/>
      <c r="BC32" s="8"/>
      <c r="BD32" s="13"/>
      <c r="BE32" s="12"/>
      <c r="BF32" s="8"/>
      <c r="BG32" s="8"/>
      <c r="BH32" s="8"/>
      <c r="BI32" s="8"/>
      <c r="BJ32" s="211"/>
      <c r="BK32" s="116"/>
      <c r="BL32" s="117"/>
      <c r="BM32" s="112"/>
      <c r="BN32" s="203"/>
      <c r="BO32" s="204"/>
      <c r="BP32" s="205"/>
      <c r="BQ32" s="203"/>
      <c r="BR32" s="204"/>
      <c r="BS32" s="205"/>
      <c r="BT32" s="203"/>
      <c r="BU32" s="204"/>
      <c r="BV32" s="205"/>
      <c r="BW32" s="203"/>
      <c r="BX32" s="204"/>
      <c r="BY32" s="205"/>
      <c r="BZ32" s="215"/>
      <c r="CA32" s="204"/>
      <c r="CB32" s="205"/>
      <c r="CC32" s="212"/>
      <c r="CD32" s="204"/>
      <c r="CE32" s="205"/>
      <c r="CF32" s="203"/>
      <c r="CG32" s="204"/>
      <c r="CH32" s="205"/>
      <c r="CI32" s="215"/>
      <c r="CJ32" s="204"/>
      <c r="CK32" s="205"/>
      <c r="CL32" s="212"/>
      <c r="CM32" s="204"/>
      <c r="CN32" s="205"/>
      <c r="CO32" s="203"/>
      <c r="CP32" s="204"/>
      <c r="CQ32" s="205"/>
      <c r="CR32" s="90" t="str">
        <f t="shared" si="0"/>
        <v>12.3</v>
      </c>
      <c r="CS32" s="71" t="b">
        <f t="shared" si="2"/>
        <v>0</v>
      </c>
    </row>
    <row r="33" spans="1:97" ht="20.100000000000001" customHeight="1">
      <c r="A33" s="71" t="b">
        <f t="shared" si="1"/>
        <v>0</v>
      </c>
      <c r="B33" s="9" t="s">
        <v>162</v>
      </c>
      <c r="C33" s="14"/>
      <c r="D33" s="1"/>
      <c r="E33" s="1"/>
      <c r="F33" s="1"/>
      <c r="G33" s="1"/>
      <c r="H33" s="15"/>
      <c r="I33" s="14"/>
      <c r="J33" s="1"/>
      <c r="K33" s="1"/>
      <c r="L33" s="1"/>
      <c r="M33" s="1"/>
      <c r="N33" s="15"/>
      <c r="O33" s="14"/>
      <c r="P33" s="1"/>
      <c r="Q33" s="1"/>
      <c r="R33" s="1"/>
      <c r="S33" s="1"/>
      <c r="T33" s="15"/>
      <c r="U33" s="12"/>
      <c r="V33" s="8"/>
      <c r="W33" s="8"/>
      <c r="X33" s="8"/>
      <c r="Y33" s="8"/>
      <c r="Z33" s="13"/>
      <c r="AA33" s="8"/>
      <c r="AB33" s="8"/>
      <c r="AC33" s="8"/>
      <c r="AD33" s="8"/>
      <c r="AE33" s="8"/>
      <c r="AF33" s="211"/>
      <c r="AG33" s="12"/>
      <c r="AH33" s="8"/>
      <c r="AI33" s="8"/>
      <c r="AJ33" s="8"/>
      <c r="AK33" s="8"/>
      <c r="AL33" s="13"/>
      <c r="AM33" s="12"/>
      <c r="AN33" s="8"/>
      <c r="AO33" s="8"/>
      <c r="AP33" s="8"/>
      <c r="AQ33" s="8"/>
      <c r="AR33" s="211"/>
      <c r="AS33" s="12"/>
      <c r="AT33" s="8"/>
      <c r="AU33" s="8"/>
      <c r="AV33" s="8"/>
      <c r="AW33" s="8"/>
      <c r="AX33" s="211"/>
      <c r="AY33" s="12"/>
      <c r="AZ33" s="8"/>
      <c r="BA33" s="8"/>
      <c r="BB33" s="8"/>
      <c r="BC33" s="8"/>
      <c r="BD33" s="13"/>
      <c r="BE33" s="12"/>
      <c r="BF33" s="8"/>
      <c r="BG33" s="8"/>
      <c r="BH33" s="8"/>
      <c r="BI33" s="8"/>
      <c r="BJ33" s="211"/>
      <c r="BK33" s="116"/>
      <c r="BL33" s="117"/>
      <c r="BM33" s="112"/>
      <c r="BN33" s="203"/>
      <c r="BO33" s="204"/>
      <c r="BP33" s="205"/>
      <c r="BQ33" s="203"/>
      <c r="BR33" s="204"/>
      <c r="BS33" s="205"/>
      <c r="BT33" s="203"/>
      <c r="BU33" s="204"/>
      <c r="BV33" s="205"/>
      <c r="BW33" s="203"/>
      <c r="BX33" s="204"/>
      <c r="BY33" s="205"/>
      <c r="BZ33" s="215"/>
      <c r="CA33" s="204"/>
      <c r="CB33" s="205"/>
      <c r="CC33" s="212"/>
      <c r="CD33" s="204"/>
      <c r="CE33" s="205"/>
      <c r="CF33" s="203"/>
      <c r="CG33" s="204"/>
      <c r="CH33" s="205"/>
      <c r="CI33" s="215"/>
      <c r="CJ33" s="204"/>
      <c r="CK33" s="205"/>
      <c r="CL33" s="212"/>
      <c r="CM33" s="204"/>
      <c r="CN33" s="205"/>
      <c r="CO33" s="203"/>
      <c r="CP33" s="204"/>
      <c r="CQ33" s="205"/>
      <c r="CR33" s="90" t="str">
        <f t="shared" si="0"/>
        <v>12.3</v>
      </c>
      <c r="CS33" s="71" t="b">
        <f t="shared" si="2"/>
        <v>0</v>
      </c>
    </row>
    <row r="34" spans="1:97" ht="20.100000000000001" customHeight="1">
      <c r="A34" s="71" t="b">
        <f t="shared" si="1"/>
        <v>0</v>
      </c>
      <c r="B34" s="9" t="s">
        <v>163</v>
      </c>
      <c r="C34" s="14"/>
      <c r="D34" s="1"/>
      <c r="E34" s="1"/>
      <c r="F34" s="1"/>
      <c r="G34" s="1"/>
      <c r="H34" s="15"/>
      <c r="I34" s="14"/>
      <c r="J34" s="1"/>
      <c r="K34" s="1"/>
      <c r="L34" s="1"/>
      <c r="M34" s="1"/>
      <c r="N34" s="15"/>
      <c r="O34" s="14"/>
      <c r="P34" s="1"/>
      <c r="Q34" s="1"/>
      <c r="R34" s="1"/>
      <c r="S34" s="1"/>
      <c r="T34" s="15"/>
      <c r="U34" s="14"/>
      <c r="V34" s="1"/>
      <c r="W34" s="1"/>
      <c r="X34" s="1"/>
      <c r="Y34" s="1"/>
      <c r="Z34" s="15"/>
      <c r="AA34" s="14"/>
      <c r="AB34" s="1"/>
      <c r="AC34" s="1"/>
      <c r="AD34" s="1"/>
      <c r="AE34" s="1"/>
      <c r="AF34" s="46"/>
      <c r="AG34" s="14"/>
      <c r="AH34" s="1"/>
      <c r="AI34" s="1"/>
      <c r="AJ34" s="1"/>
      <c r="AK34" s="1"/>
      <c r="AL34" s="15"/>
      <c r="AM34" s="14"/>
      <c r="AN34" s="1"/>
      <c r="AO34" s="1"/>
      <c r="AP34" s="1"/>
      <c r="AQ34" s="1"/>
      <c r="AR34" s="46"/>
      <c r="AS34" s="14"/>
      <c r="AT34" s="1"/>
      <c r="AU34" s="1"/>
      <c r="AV34" s="1"/>
      <c r="AW34" s="1"/>
      <c r="AX34" s="46"/>
      <c r="AY34" s="14"/>
      <c r="AZ34" s="1"/>
      <c r="BA34" s="1"/>
      <c r="BB34" s="1"/>
      <c r="BC34" s="1"/>
      <c r="BD34" s="15"/>
      <c r="BE34" s="12"/>
      <c r="BF34" s="8"/>
      <c r="BG34" s="8"/>
      <c r="BH34" s="8"/>
      <c r="BI34" s="8"/>
      <c r="BJ34" s="211"/>
      <c r="BK34" s="116"/>
      <c r="BL34" s="117"/>
      <c r="BM34" s="112"/>
      <c r="BN34" s="203"/>
      <c r="BO34" s="204"/>
      <c r="BP34" s="205"/>
      <c r="BQ34" s="203"/>
      <c r="BR34" s="204"/>
      <c r="BS34" s="205"/>
      <c r="BT34" s="203"/>
      <c r="BU34" s="204"/>
      <c r="BV34" s="205"/>
      <c r="BW34" s="203"/>
      <c r="BX34" s="204"/>
      <c r="BY34" s="205"/>
      <c r="BZ34" s="215"/>
      <c r="CA34" s="204"/>
      <c r="CB34" s="205"/>
      <c r="CC34" s="212"/>
      <c r="CD34" s="204"/>
      <c r="CE34" s="205"/>
      <c r="CF34" s="203"/>
      <c r="CG34" s="204"/>
      <c r="CH34" s="205"/>
      <c r="CI34" s="215"/>
      <c r="CJ34" s="204"/>
      <c r="CK34" s="205"/>
      <c r="CL34" s="212"/>
      <c r="CM34" s="204"/>
      <c r="CN34" s="205"/>
      <c r="CO34" s="203"/>
      <c r="CP34" s="204"/>
      <c r="CQ34" s="205"/>
      <c r="CR34" s="90" t="str">
        <f t="shared" si="0"/>
        <v>12.3</v>
      </c>
      <c r="CS34" s="71" t="b">
        <f t="shared" si="2"/>
        <v>0</v>
      </c>
    </row>
    <row r="35" spans="1:97" ht="19.5" customHeight="1">
      <c r="A35" s="344">
        <f>COUNTIF(A7:A34,TRUE)/COUNTA(B7:B34)</f>
        <v>0</v>
      </c>
      <c r="AA35" s="90"/>
      <c r="AB35" s="90"/>
      <c r="AC35" s="90"/>
      <c r="AD35" s="90"/>
      <c r="AE35" s="90"/>
      <c r="AF35" s="90"/>
      <c r="AM35" s="90"/>
      <c r="AN35" s="90"/>
      <c r="AO35" s="90"/>
      <c r="AP35" s="90"/>
      <c r="AQ35" s="90"/>
      <c r="AR35" s="90"/>
      <c r="BE35"/>
      <c r="BF35"/>
      <c r="BG35"/>
      <c r="BH35"/>
      <c r="BI35"/>
      <c r="BJ35"/>
      <c r="CS35" s="344">
        <f>COUNTIF(CS7:CS34,TRUE)/COUNTA(B$7:B$34)</f>
        <v>0</v>
      </c>
    </row>
    <row r="36" spans="1:97" ht="19.5" customHeight="1">
      <c r="AA36" s="90"/>
      <c r="AB36" s="90"/>
      <c r="AC36" s="90"/>
      <c r="AD36" s="90"/>
      <c r="AE36" s="90"/>
      <c r="AF36" s="90"/>
      <c r="AM36" s="90"/>
      <c r="AN36" s="90"/>
      <c r="AO36" s="90"/>
      <c r="AP36" s="90"/>
      <c r="AQ36" s="90"/>
      <c r="AR36" s="90"/>
      <c r="BE36"/>
      <c r="BF36"/>
      <c r="BG36"/>
      <c r="BH36"/>
      <c r="BI36"/>
      <c r="BJ36"/>
    </row>
    <row r="37" spans="1:97" ht="19.5" customHeight="1">
      <c r="AA37" s="90"/>
      <c r="AB37" s="90"/>
      <c r="AC37" s="90"/>
      <c r="AD37" s="90"/>
      <c r="AE37" s="90"/>
      <c r="AF37" s="90"/>
      <c r="AM37" s="90"/>
      <c r="AN37" s="90"/>
      <c r="AO37" s="90"/>
      <c r="AP37" s="90"/>
      <c r="AQ37" s="90"/>
      <c r="AR37" s="90"/>
      <c r="BE37"/>
      <c r="BF37"/>
      <c r="BG37"/>
      <c r="BH37"/>
      <c r="BI37"/>
      <c r="BJ37"/>
    </row>
    <row r="38" spans="1:97" ht="19.5" customHeight="1">
      <c r="D38" t="e">
        <v>#VALUE!</v>
      </c>
      <c r="AA38" s="90"/>
      <c r="AB38" s="90"/>
      <c r="AC38" s="90"/>
      <c r="AD38" s="90"/>
      <c r="AE38" s="90"/>
      <c r="AF38" s="90"/>
      <c r="AM38" s="90"/>
      <c r="AN38" s="90"/>
      <c r="AO38" s="90"/>
      <c r="AP38" s="90"/>
      <c r="AQ38" s="90"/>
      <c r="AR38" s="90"/>
      <c r="BE38"/>
      <c r="BF38"/>
      <c r="BG38"/>
      <c r="BH38"/>
      <c r="BI38"/>
      <c r="BJ38"/>
    </row>
    <row r="39" spans="1:97" ht="19.5" customHeight="1">
      <c r="AA39" s="90"/>
      <c r="AB39" s="90"/>
      <c r="AC39" s="90"/>
      <c r="AD39" s="90"/>
      <c r="AE39" s="90"/>
      <c r="AF39" s="90"/>
      <c r="AM39" s="90"/>
      <c r="AN39" s="90"/>
      <c r="AO39" s="90"/>
      <c r="AP39" s="90"/>
      <c r="AQ39" s="90"/>
      <c r="AR39" s="90"/>
      <c r="BE39"/>
      <c r="BF39"/>
      <c r="BG39"/>
      <c r="BH39"/>
      <c r="BI39"/>
      <c r="BJ39"/>
    </row>
    <row r="40" spans="1:97" ht="19.5" customHeight="1">
      <c r="AA40" s="90"/>
      <c r="AB40" s="90"/>
      <c r="AC40" s="90"/>
      <c r="AD40" s="90"/>
      <c r="AE40" s="90"/>
      <c r="AF40" s="90"/>
      <c r="AM40" s="90"/>
      <c r="AN40" s="90"/>
      <c r="AO40" s="90"/>
      <c r="AP40" s="90"/>
      <c r="AQ40" s="90"/>
      <c r="AR40" s="90"/>
      <c r="BE40"/>
      <c r="BF40"/>
      <c r="BG40"/>
      <c r="BH40"/>
      <c r="BI40"/>
      <c r="BJ40"/>
    </row>
    <row r="41" spans="1:97" ht="19.5" customHeight="1">
      <c r="AA41" s="90"/>
      <c r="AB41" s="90"/>
      <c r="AC41" s="90"/>
      <c r="AD41" s="90"/>
      <c r="AE41" s="90"/>
      <c r="AF41" s="90"/>
      <c r="AM41" s="90"/>
      <c r="AN41" s="90"/>
      <c r="AO41" s="90"/>
      <c r="AP41" s="90"/>
      <c r="AQ41" s="90"/>
      <c r="AR41" s="90"/>
      <c r="BE41"/>
      <c r="BF41"/>
      <c r="BG41"/>
      <c r="BH41"/>
      <c r="BI41"/>
      <c r="BJ41"/>
    </row>
    <row r="42" spans="1:97" ht="19.5" customHeight="1">
      <c r="AA42" s="90"/>
      <c r="AB42" s="90"/>
      <c r="AC42" s="90"/>
      <c r="AD42" s="90"/>
      <c r="AE42" s="90"/>
      <c r="AF42" s="90"/>
      <c r="AM42" s="90"/>
      <c r="AN42" s="90"/>
      <c r="AO42" s="90"/>
      <c r="AP42" s="90"/>
      <c r="AQ42" s="90"/>
      <c r="AR42" s="90"/>
      <c r="BE42"/>
      <c r="BF42"/>
      <c r="BG42"/>
      <c r="BH42"/>
      <c r="BI42"/>
      <c r="BJ42"/>
    </row>
    <row r="43" spans="1:97" ht="19.5" customHeight="1">
      <c r="AA43" s="90"/>
      <c r="AB43" s="90"/>
      <c r="AC43" s="90"/>
      <c r="AD43" s="90"/>
      <c r="AE43" s="90"/>
      <c r="AF43" s="90"/>
      <c r="AM43" s="90"/>
      <c r="AN43" s="90"/>
      <c r="AO43" s="90"/>
      <c r="AP43" s="90"/>
      <c r="AQ43" s="90"/>
      <c r="AR43" s="90"/>
      <c r="BE43"/>
      <c r="BF43"/>
      <c r="BG43"/>
      <c r="BH43"/>
      <c r="BI43"/>
      <c r="BJ43"/>
    </row>
    <row r="44" spans="1:97" ht="19.5" customHeight="1">
      <c r="AA44" s="90"/>
      <c r="AB44" s="90"/>
      <c r="AC44" s="90"/>
      <c r="AD44" s="90"/>
      <c r="AE44" s="90"/>
      <c r="AF44" s="90"/>
      <c r="AM44" s="90"/>
      <c r="AN44" s="90"/>
      <c r="AO44" s="90"/>
      <c r="AP44" s="90"/>
      <c r="AQ44" s="90"/>
      <c r="AR44" s="90"/>
      <c r="BE44"/>
      <c r="BF44"/>
      <c r="BG44"/>
      <c r="BH44"/>
      <c r="BI44"/>
      <c r="BJ44"/>
    </row>
    <row r="45" spans="1:97" ht="19.5" customHeight="1">
      <c r="AA45" s="90"/>
      <c r="AB45" s="90"/>
      <c r="AC45" s="90"/>
      <c r="AD45" s="90"/>
      <c r="AE45" s="90"/>
      <c r="AF45" s="90"/>
      <c r="AM45" s="90"/>
      <c r="AN45" s="90"/>
      <c r="AO45" s="90"/>
      <c r="AP45" s="90"/>
      <c r="AQ45" s="90"/>
      <c r="AR45" s="90"/>
      <c r="BE45"/>
      <c r="BF45"/>
      <c r="BG45"/>
      <c r="BH45"/>
      <c r="BI45"/>
      <c r="BJ45"/>
    </row>
    <row r="46" spans="1:97" ht="19.5" customHeight="1">
      <c r="AA46" s="90"/>
      <c r="AB46" s="90"/>
      <c r="AC46" s="90"/>
      <c r="AD46" s="90"/>
      <c r="AE46" s="90"/>
      <c r="AF46" s="90"/>
      <c r="AM46" s="90"/>
      <c r="AN46" s="90"/>
      <c r="AO46" s="90"/>
      <c r="AP46" s="90"/>
      <c r="AQ46" s="90"/>
      <c r="AR46" s="90"/>
      <c r="BE46"/>
      <c r="BF46"/>
      <c r="BG46"/>
      <c r="BH46"/>
      <c r="BI46"/>
      <c r="BJ46"/>
    </row>
    <row r="47" spans="1:97" ht="19.5" customHeight="1">
      <c r="AA47" s="90"/>
      <c r="AB47" s="90"/>
      <c r="AC47" s="90"/>
      <c r="AD47" s="90"/>
      <c r="AE47" s="90"/>
      <c r="AF47" s="90"/>
      <c r="AM47" s="90"/>
      <c r="AN47" s="90"/>
      <c r="AO47" s="90"/>
      <c r="AP47" s="90"/>
      <c r="AQ47" s="90"/>
      <c r="AR47" s="90"/>
      <c r="BE47"/>
      <c r="BF47"/>
      <c r="BG47"/>
      <c r="BH47"/>
      <c r="BI47"/>
      <c r="BJ47"/>
    </row>
    <row r="48" spans="1:97" ht="19.5" customHeight="1">
      <c r="AA48" s="90"/>
      <c r="AB48" s="90"/>
      <c r="AC48" s="90"/>
      <c r="AD48" s="90"/>
      <c r="AE48" s="90"/>
      <c r="AF48" s="90"/>
      <c r="AM48" s="90"/>
      <c r="AN48" s="90"/>
      <c r="AO48" s="90"/>
      <c r="AP48" s="90"/>
      <c r="AQ48" s="90"/>
      <c r="AR48" s="90"/>
      <c r="BE48"/>
      <c r="BF48"/>
      <c r="BG48"/>
      <c r="BH48"/>
      <c r="BI48"/>
      <c r="BJ48"/>
    </row>
    <row r="49" spans="27:62" ht="19.5" customHeight="1">
      <c r="AA49" s="90"/>
      <c r="AB49" s="90"/>
      <c r="AC49" s="90"/>
      <c r="AD49" s="90"/>
      <c r="AE49" s="90"/>
      <c r="AF49" s="90"/>
      <c r="AM49" s="90"/>
      <c r="AN49" s="90"/>
      <c r="AO49" s="90"/>
      <c r="AP49" s="90"/>
      <c r="AQ49" s="90"/>
      <c r="AR49" s="90"/>
      <c r="BE49"/>
      <c r="BF49"/>
      <c r="BG49"/>
      <c r="BH49"/>
      <c r="BI49"/>
      <c r="BJ49"/>
    </row>
    <row r="50" spans="27:62" ht="19.5" customHeight="1">
      <c r="AA50" s="90"/>
      <c r="AB50" s="90"/>
      <c r="AC50" s="90"/>
      <c r="AD50" s="90"/>
      <c r="AE50" s="90"/>
      <c r="AF50" s="90"/>
      <c r="AM50" s="90"/>
      <c r="AN50" s="90"/>
      <c r="AO50" s="90"/>
      <c r="AP50" s="90"/>
      <c r="AQ50" s="90"/>
      <c r="AR50" s="90"/>
      <c r="BE50"/>
      <c r="BF50"/>
      <c r="BG50"/>
      <c r="BH50"/>
      <c r="BI50"/>
      <c r="BJ50"/>
    </row>
    <row r="51" spans="27:62" ht="19.5" customHeight="1">
      <c r="AA51" s="90"/>
      <c r="AB51" s="90"/>
      <c r="AC51" s="90"/>
      <c r="AD51" s="90"/>
      <c r="AE51" s="90"/>
      <c r="AF51" s="90"/>
      <c r="AM51" s="90"/>
      <c r="AN51" s="90"/>
      <c r="AO51" s="90"/>
      <c r="AP51" s="90"/>
      <c r="AQ51" s="90"/>
      <c r="AR51" s="90"/>
      <c r="BE51"/>
      <c r="BF51"/>
      <c r="BG51"/>
      <c r="BH51"/>
      <c r="BI51"/>
      <c r="BJ51"/>
    </row>
    <row r="52" spans="27:62" ht="19.5" customHeight="1">
      <c r="AA52" s="90"/>
      <c r="AB52" s="90"/>
      <c r="AC52" s="90"/>
      <c r="AD52" s="90"/>
      <c r="AE52" s="90"/>
      <c r="AF52" s="90"/>
      <c r="AM52" s="90"/>
      <c r="AN52" s="90"/>
      <c r="AO52" s="90"/>
      <c r="AP52" s="90"/>
      <c r="AQ52" s="90"/>
      <c r="AR52" s="90"/>
      <c r="BE52"/>
      <c r="BF52"/>
      <c r="BG52"/>
      <c r="BH52"/>
      <c r="BI52"/>
      <c r="BJ52"/>
    </row>
    <row r="53" spans="27:62" ht="19.5" customHeight="1">
      <c r="AA53" s="90"/>
      <c r="AB53" s="90"/>
      <c r="AC53" s="90"/>
      <c r="AD53" s="90"/>
      <c r="AE53" s="90"/>
      <c r="AF53" s="90"/>
      <c r="AM53" s="90"/>
      <c r="AN53" s="90"/>
      <c r="AO53" s="90"/>
      <c r="AP53" s="90"/>
      <c r="AQ53" s="90"/>
      <c r="AR53" s="90"/>
      <c r="BE53"/>
      <c r="BF53"/>
      <c r="BG53"/>
      <c r="BH53"/>
      <c r="BI53"/>
      <c r="BJ53"/>
    </row>
    <row r="54" spans="27:62" ht="19.5" customHeight="1">
      <c r="AA54" s="90"/>
      <c r="AB54" s="90"/>
      <c r="AC54" s="90"/>
      <c r="AD54" s="90"/>
      <c r="AE54" s="90"/>
      <c r="AF54" s="90"/>
      <c r="AM54" s="90"/>
      <c r="AN54" s="90"/>
      <c r="AO54" s="90"/>
      <c r="AP54" s="90"/>
      <c r="AQ54" s="90"/>
      <c r="AR54" s="90"/>
      <c r="BE54"/>
      <c r="BF54"/>
      <c r="BG54"/>
      <c r="BH54"/>
      <c r="BI54"/>
      <c r="BJ54"/>
    </row>
    <row r="55" spans="27:62" ht="19.5" customHeight="1">
      <c r="AA55" s="90"/>
      <c r="AB55" s="90"/>
      <c r="AC55" s="90"/>
      <c r="AD55" s="90"/>
      <c r="AE55" s="90"/>
      <c r="AF55" s="90"/>
      <c r="AM55" s="90"/>
      <c r="AN55" s="90"/>
      <c r="AO55" s="90"/>
      <c r="AP55" s="90"/>
      <c r="AQ55" s="90"/>
      <c r="AR55" s="90"/>
      <c r="BE55"/>
      <c r="BF55"/>
      <c r="BG55"/>
      <c r="BH55"/>
      <c r="BI55"/>
      <c r="BJ55"/>
    </row>
    <row r="56" spans="27:62" ht="19.5" customHeight="1"/>
    <row r="57" spans="27:62" ht="19.5" customHeight="1"/>
    <row r="58" spans="27:62" ht="19.5" customHeight="1"/>
    <row r="59" spans="27:62" ht="19.5" customHeight="1"/>
    <row r="60" spans="27:62" ht="19.5" customHeight="1"/>
    <row r="61" spans="27:62" ht="19.5" customHeight="1"/>
    <row r="62" spans="27:62" ht="19.5" customHeight="1"/>
    <row r="63" spans="27:62" ht="19.5" customHeight="1"/>
    <row r="64" spans="27:62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</sheetData>
  <sheetProtection selectLockedCells="1"/>
  <mergeCells count="21">
    <mergeCell ref="CI5:CK5"/>
    <mergeCell ref="CL5:CN5"/>
    <mergeCell ref="CO5:CQ5"/>
    <mergeCell ref="BQ5:BS5"/>
    <mergeCell ref="BT5:BV5"/>
    <mergeCell ref="BW5:BY5"/>
    <mergeCell ref="BZ5:CB5"/>
    <mergeCell ref="CC5:CE5"/>
    <mergeCell ref="CF5:CH5"/>
    <mergeCell ref="BN5:BP5"/>
    <mergeCell ref="C5:H5"/>
    <mergeCell ref="I5:N5"/>
    <mergeCell ref="O5:T5"/>
    <mergeCell ref="U5:Z5"/>
    <mergeCell ref="AA5:AF5"/>
    <mergeCell ref="AG5:AL5"/>
    <mergeCell ref="AM5:AR5"/>
    <mergeCell ref="AS5:AX5"/>
    <mergeCell ref="AY5:BD5"/>
    <mergeCell ref="BE5:BJ5"/>
    <mergeCell ref="BK5:BM5"/>
  </mergeCells>
  <conditionalFormatting sqref="C7:BJ34">
    <cfRule type="expression" dxfId="5" priority="1">
      <formula>C7=$P$2</formula>
    </cfRule>
    <cfRule type="expression" dxfId="4" priority="2">
      <formula>C7=$C$3</formula>
    </cfRule>
    <cfRule type="expression" dxfId="3" priority="3">
      <formula>C7=$P$1</formula>
    </cfRule>
    <cfRule type="expression" dxfId="2" priority="4">
      <formula>C7=$C$4</formula>
    </cfRule>
    <cfRule type="expression" dxfId="1" priority="5">
      <formula>C7=$C$2</formula>
    </cfRule>
    <cfRule type="expression" dxfId="0" priority="6">
      <formula>C7=$C$1</formula>
    </cfRule>
  </conditionalFormatting>
  <dataValidations count="4">
    <dataValidation type="list" allowBlank="1" showInputMessage="1" showErrorMessage="1" sqref="AY56:AZ1048576 Z38 BE56:BF1048576 BE7:BF34 AY7:AZ34 J7:J1048576 AS7:AT1048576 AM7:AN1048576 AA7:AB1048576 U7:V1048576 O7:P1048576 C7:D1048576 AG7:AH1048576" xr:uid="{6F12D795-7683-49CA-B60C-9993FA6122AC}">
      <formula1>"A,P,O,X,R"</formula1>
    </dataValidation>
    <dataValidation type="list" allowBlank="1" showInputMessage="1" showErrorMessage="1" sqref="I7:I34" xr:uid="{BE1EE9B5-5D7B-490C-8B77-63443925C8D2}">
      <formula1>$C$1:$C$4</formula1>
    </dataValidation>
    <dataValidation type="list" allowBlank="1" showInputMessage="1" showErrorMessage="1" sqref="BA7:BD34 BG7:BJ34 AO7:AR34 E7:H34 W7:Z34 AU7:AX34 K7:N34 Q7:T34 AC7:AL34" xr:uid="{59D316D3-581E-484D-87A1-617F8588DA6A}">
      <formula1>"A,P,O,X,F"</formula1>
    </dataValidation>
    <dataValidation type="date" allowBlank="1" showInputMessage="1" showErrorMessage="1" sqref="BK7:BM34 CC8:CC20 BZ23:BZ34 CC23 BW7 CL8:CL20 CI23:CI34 CL23 BT21:BT22" xr:uid="{9BF661B8-E113-47C8-BFD8-A53FC2519B65}">
      <formula1>45880</formula1>
      <formula2>73050</formula2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9D2E-1284-471A-850E-C621558BA576}">
  <sheetPr codeName="Feuil16"/>
  <dimension ref="A1:M185"/>
  <sheetViews>
    <sheetView topLeftCell="A124" workbookViewId="0">
      <selection activeCell="K8" sqref="K8"/>
    </sheetView>
  </sheetViews>
  <sheetFormatPr defaultColWidth="8.5703125" defaultRowHeight="14.45"/>
  <cols>
    <col min="1" max="1" width="10.5703125" bestFit="1" customWidth="1"/>
    <col min="4" max="4" width="39.85546875" customWidth="1"/>
    <col min="5" max="5" width="8.5703125" style="25"/>
    <col min="11" max="11" width="103.5703125" customWidth="1"/>
  </cols>
  <sheetData>
    <row r="1" spans="1:10">
      <c r="B1" t="s">
        <v>202</v>
      </c>
      <c r="F1" t="s">
        <v>203</v>
      </c>
    </row>
    <row r="2" spans="1:10">
      <c r="A2" t="s">
        <v>28</v>
      </c>
      <c r="B2" s="140" t="s">
        <v>204</v>
      </c>
      <c r="C2" s="140" t="s">
        <v>205</v>
      </c>
      <c r="D2" s="140"/>
      <c r="E2" s="143" t="s">
        <v>206</v>
      </c>
      <c r="F2" s="138" t="s">
        <v>28</v>
      </c>
      <c r="G2" s="138" t="s">
        <v>204</v>
      </c>
      <c r="H2" s="138" t="s">
        <v>205</v>
      </c>
      <c r="I2" s="138"/>
      <c r="J2" s="142" t="s">
        <v>206</v>
      </c>
    </row>
    <row r="3" spans="1:10">
      <c r="A3" s="24" t="s">
        <v>207</v>
      </c>
      <c r="B3">
        <v>2</v>
      </c>
      <c r="C3">
        <f>IFERROR(
 --(INDEX('TH_MLG GRADE 10'!$C$7:$C$49,MATCH(LEFT($A3,LEN($A3)-2),'TH_MLG GRADE 10'!$B$7:$B$49,0))="P")+
 --(INDEX('TH_MLG GRADE 10'!$I$7:$I$49,MATCH(LEFT($A3,LEN($A3)-2),'TH_MLG GRADE 10'!$B$7:$B$49,0))="P")+
 --(INDEX('TH_MLG GRADE 10'!$O$7:$O$49,MATCH(LEFT($A3,LEN($A3)-2),'TH_MLG GRADE 10'!$B$7:$B$49,0))="P")+
 --(INDEX('TH_MLG GRADE 10'!$AA$7:$AA$49,MATCH(LEFT($A3,LEN($A3)-2),'TH_MLG GRADE 10'!$B$7:$B$49,0))="P")+
 --(INDEX('TH_MLG GRADE 10'!$AG$7:$AG$49,MATCH(LEFT($A3,LEN($A3)-2),'TH_MLG GRADE 10'!$B$7:$B$49,0))="P")+
 --(INDEX('TH_MLG GRADE 10'!$AM$7:$AM$49,MATCH(LEFT($A3,LEN($A3)-2),'TH_MLG GRADE 10'!$B$7:$B$49,0))="P")+
 --(INDEX('TH_MLG GRADE 10'!$AY$7:$AY$49,MATCH(LEFT($A3,LEN($A3)-2),'TH_MLG GRADE 10'!$B$7:$B$49,0))="P")+
 --(INDEX('TH_MLG GRADE 10'!$BE$7:$BE$49,MATCH(LEFT($A3,LEN($A3)-2),'TH_MLG GRADE 10'!$B$7:$B$49,0))="P")+
 --(INDEX('TH_MLG GRADE 10'!$U$7:$U$49,MATCH(LEFT($A3,LEN($A3)-2),'TH_MLG GRADE 10'!$B$7:$B$49,0))="P")+
 --(INDEX('TH_MLG GRADE 10'!$AS$7:$AS$49,MATCH(LEFT($A3,LEN($A3)-2),'TH_MLG GRADE 10'!$B$7:$B$49,0))="P"),
0)</f>
        <v>3</v>
      </c>
      <c r="D3" s="24" t="b">
        <f ca="1">IF(IF(_xlfn.XLOOKUP(LEFT($A3,LEN($A3)-2),'TH_MLG GRADE 10'!$B$7:$B$49,'TH_MLG GRADE 10'!$BK$7:$BK$49,"",0,1)=0,"",_xlfn.XLOOKUP(LEFT($A3,LEN($A3)-2),'TH_MLG GRADE 10'!$B$7:$B$49,'TH_MLG GRADE 10'!$BK$7:$BK$49,"",0,1))&lt;=TODAY(),TRUE,FALSE)</f>
        <v>1</v>
      </c>
      <c r="E3" s="25">
        <f ca="1">IFERROR(IF(AND(D3=TRUE(),C3/B3&lt;=1),C3/B3,IF(AND(D3=TRUE(),C3/B3&gt;1),1,"")),0)</f>
        <v>1</v>
      </c>
      <c r="F3" s="24" t="s">
        <v>207</v>
      </c>
      <c r="G3">
        <v>2</v>
      </c>
      <c r="H3">
        <f>IFERROR(
 --(INDEX('PW_MLG GRADE 10'!$C$7:$C$31,MATCH(LEFT($A3,LEN($A3)-2),'PW_MLG GRADE 10'!$B$7:$B$31,0))="P")+
 --(INDEX('PW_MLG GRADE 10'!$I$7:$I$31,MATCH(LEFT($A3,LEN($A3)-2),'PW_MLG GRADE 10'!$B$7:$B$31,0))="P")+
 --(INDEX('PW_MLG GRADE 10'!$O$7:$O$31,MATCH(LEFT($A3,LEN($A3)-2),'PW_MLG GRADE 10'!$B$7:$B$31,0))="P")+
 --(INDEX('PW_MLG GRADE 10'!$AA$7:$AA$31,MATCH(LEFT($A3,LEN($A3)-2),'PW_MLG GRADE 10'!$B$7:$B$31,0))="P")+
 --(INDEX('PW_MLG GRADE 10'!$AG$7:$AG$31,MATCH(LEFT($A3,LEN($A3)-2),'PW_MLG GRADE 10'!$B$7:$B$31,0))="P")+
 --(INDEX('PW_MLG GRADE 10'!$AM$7:$AM$31,MATCH(LEFT($A3,LEN($A3)-2),'PW_MLG GRADE 10'!$B$7:$B$31,0))="P")+
 --(INDEX('PW_MLG GRADE 10'!$AY$7:$AY$31,MATCH(LEFT($A3,LEN($A3)-2),'PW_MLG GRADE 10'!$B$7:$B$31,0))="P")+
 --(INDEX('PW_MLG GRADE 10'!$BE$7:$BE$31,MATCH(LEFT($A3,LEN($A3)-2),'PW_MLG GRADE 10'!$B$7:$B$31,0))="P")+
 --(INDEX('PW_MLG GRADE 10'!$U$7:$U$31,MATCH(LEFT($A3,LEN($A3)-2),'PW_MLG GRADE 10'!$B$7:$B$31,0))="P")+
 --(INDEX('PW_MLG GRADE 10'!$AS$7:$AS$31,MATCH(LEFT($A3,LEN($A3)-2),'PW_MLG GRADE 10'!$B$7:$B$31,0))="P"),
0)</f>
        <v>0</v>
      </c>
      <c r="I3" s="24" t="b">
        <f ca="1">IF(IF(_xlfn.XLOOKUP(LEFT($A3,LEN($A3)-2),'PW_MLG GRADE 10'!$B$7:$B$31,'PW_MLG GRADE 10'!$BK$7:$BK$31,"",0,1)=0,"",_xlfn.XLOOKUP(LEFT($A3,LEN($A3)-2),'PW_MLG GRADE 10'!$B$7:$B$31,'PW_MLG GRADE 10'!$BK$7:$BK$31,"",0,1))&lt;=TODAY(),TRUE,FALSE)</f>
        <v>0</v>
      </c>
      <c r="J3" s="25" t="str">
        <f ca="1">IFERROR(IF(AND(I3=TRUE(),H3/G3&lt;=1),H3/G3,IF(AND(I3=TRUE(),H3/G3&gt;1),1,"")),0)</f>
        <v/>
      </c>
    </row>
    <row r="4" spans="1:10">
      <c r="A4" s="24" t="s">
        <v>208</v>
      </c>
      <c r="B4">
        <v>2</v>
      </c>
      <c r="C4">
        <f>IFERROR(
 --(INDEX('TH_MLG GRADE 10'!$C$7:$C$49,MATCH(LEFT($A4,LEN($A4)-2),'TH_MLG GRADE 10'!$B$7:$B$49,0))="P")+
 --(INDEX('TH_MLG GRADE 10'!$I$7:$I$49,MATCH(LEFT($A4,LEN($A4)-2),'TH_MLG GRADE 10'!$B$7:$B$49,0))="P")+
 --(INDEX('TH_MLG GRADE 10'!$O$7:$O$49,MATCH(LEFT($A4,LEN($A4)-2),'TH_MLG GRADE 10'!$B$7:$B$49,0))="P")+
 --(INDEX('TH_MLG GRADE 10'!$AA$7:$AA$49,MATCH(LEFT($A4,LEN($A4)-2),'TH_MLG GRADE 10'!$B$7:$B$49,0))="P")+
 --(INDEX('TH_MLG GRADE 10'!$AG$7:$AG$49,MATCH(LEFT($A4,LEN($A4)-2),'TH_MLG GRADE 10'!$B$7:$B$49,0))="P")+
 --(INDEX('TH_MLG GRADE 10'!$AM$7:$AM$49,MATCH(LEFT($A4,LEN($A4)-2),'TH_MLG GRADE 10'!$B$7:$B$49,0))="P")+
 --(INDEX('TH_MLG GRADE 10'!$AY$7:$AY$49,MATCH(LEFT($A4,LEN($A4)-2),'TH_MLG GRADE 10'!$B$7:$B$49,0))="P")+
 --(INDEX('TH_MLG GRADE 10'!$BE$7:$BE$49,MATCH(LEFT($A4,LEN($A4)-2),'TH_MLG GRADE 10'!$B$7:$B$49,0))="P")+
 --(INDEX('TH_MLG GRADE 10'!$U$7:$U$49,MATCH(LEFT($A4,LEN($A4)-2),'TH_MLG GRADE 10'!$B$7:$B$49,0))="P")+
 --(INDEX('TH_MLG GRADE 10'!$AS$7:$AS$49,MATCH(LEFT($A4,LEN($A4)-2),'TH_MLG GRADE 10'!$B$7:$B$49,0))="P"),
0)</f>
        <v>3</v>
      </c>
      <c r="D4" s="24" t="b">
        <f ca="1">IF(IF(_xlfn.XLOOKUP(LEFT($A4,LEN($A4)-2),'TH_MLG GRADE 10'!$B$7:$B$49,'TH_MLG GRADE 10'!$BK$7:$BK$49,"",0,1)=0,"",_xlfn.XLOOKUP(LEFT($A4,LEN($A4)-2),'TH_MLG GRADE 10'!$B$7:$B$49,'TH_MLG GRADE 10'!$BK$7:$BK$49,"",0,1))&lt;=TODAY(),TRUE,FALSE)</f>
        <v>1</v>
      </c>
      <c r="E4" s="25">
        <f t="shared" ref="E4:E67" ca="1" si="0">IFERROR(IF(AND(D4=TRUE(),C4/B4&lt;=1),C4/B4,IF(AND(D4=TRUE(),C4/B4&gt;1),1,"")),0)</f>
        <v>1</v>
      </c>
      <c r="F4" s="24" t="s">
        <v>208</v>
      </c>
      <c r="G4">
        <v>2</v>
      </c>
      <c r="H4">
        <f>IFERROR(
 --(INDEX('PW_MLG GRADE 10'!$C$7:$C$31,MATCH(LEFT($A4,LEN($A4)-2),'PW_MLG GRADE 10'!$B$7:$B$31,0))="P")+
 --(INDEX('PW_MLG GRADE 10'!$I$7:$I$31,MATCH(LEFT($A4,LEN($A4)-2),'PW_MLG GRADE 10'!$B$7:$B$31,0))="P")+
 --(INDEX('PW_MLG GRADE 10'!$O$7:$O$31,MATCH(LEFT($A4,LEN($A4)-2),'PW_MLG GRADE 10'!$B$7:$B$31,0))="P")+
 --(INDEX('PW_MLG GRADE 10'!$AA$7:$AA$31,MATCH(LEFT($A4,LEN($A4)-2),'PW_MLG GRADE 10'!$B$7:$B$31,0))="P")+
 --(INDEX('PW_MLG GRADE 10'!$AG$7:$AG$31,MATCH(LEFT($A4,LEN($A4)-2),'PW_MLG GRADE 10'!$B$7:$B$31,0))="P")+
 --(INDEX('PW_MLG GRADE 10'!$AM$7:$AM$31,MATCH(LEFT($A4,LEN($A4)-2),'PW_MLG GRADE 10'!$B$7:$B$31,0))="P")+
 --(INDEX('PW_MLG GRADE 10'!$AY$7:$AY$31,MATCH(LEFT($A4,LEN($A4)-2),'PW_MLG GRADE 10'!$B$7:$B$31,0))="P")+
 --(INDEX('PW_MLG GRADE 10'!$BE$7:$BE$31,MATCH(LEFT($A4,LEN($A4)-2),'PW_MLG GRADE 10'!$B$7:$B$31,0))="P")+
 --(INDEX('PW_MLG GRADE 10'!$U$7:$U$31,MATCH(LEFT($A4,LEN($A4)-2),'PW_MLG GRADE 10'!$B$7:$B$31,0))="P")+
 --(INDEX('PW_MLG GRADE 10'!$AS$7:$AS$31,MATCH(LEFT($A4,LEN($A4)-2),'PW_MLG GRADE 10'!$B$7:$B$31,0))="P"),
0)</f>
        <v>0</v>
      </c>
      <c r="I4" s="24" t="b">
        <f ca="1">IF(IF(_xlfn.XLOOKUP(LEFT($A4,LEN($A4)-2),'PW_MLG GRADE 10'!$B$7:$B$31,'PW_MLG GRADE 10'!$BK$7:$BK$31,"",0,1)=0,"",_xlfn.XLOOKUP(LEFT($A4,LEN($A4)-2),'PW_MLG GRADE 10'!$B$7:$B$31,'PW_MLG GRADE 10'!$BK$7:$BK$31,"",0,1))&lt;=TODAY(),TRUE,FALSE)</f>
        <v>0</v>
      </c>
      <c r="J4" s="25" t="str">
        <f t="shared" ref="J4:J67" ca="1" si="1">IFERROR(IF(AND(I4=TRUE(),H4/G4&lt;=1),H4/G4,IF(AND(I4=TRUE(),H4/G4&gt;1),1,"")),0)</f>
        <v/>
      </c>
    </row>
    <row r="5" spans="1:10">
      <c r="A5" s="24" t="s">
        <v>209</v>
      </c>
      <c r="B5">
        <v>2</v>
      </c>
      <c r="C5">
        <f>IFERROR(
 --(INDEX('TH_MLG GRADE 10'!$C$7:$C$49,MATCH(LEFT($A5,LEN($A5)-2),'TH_MLG GRADE 10'!$B$7:$B$49,0))="P")+
 --(INDEX('TH_MLG GRADE 10'!$I$7:$I$49,MATCH(LEFT($A5,LEN($A5)-2),'TH_MLG GRADE 10'!$B$7:$B$49,0))="P")+
 --(INDEX('TH_MLG GRADE 10'!$O$7:$O$49,MATCH(LEFT($A5,LEN($A5)-2),'TH_MLG GRADE 10'!$B$7:$B$49,0))="P")+
 --(INDEX('TH_MLG GRADE 10'!$AA$7:$AA$49,MATCH(LEFT($A5,LEN($A5)-2),'TH_MLG GRADE 10'!$B$7:$B$49,0))="P")+
 --(INDEX('TH_MLG GRADE 10'!$AG$7:$AG$49,MATCH(LEFT($A5,LEN($A5)-2),'TH_MLG GRADE 10'!$B$7:$B$49,0))="P")+
 --(INDEX('TH_MLG GRADE 10'!$AM$7:$AM$49,MATCH(LEFT($A5,LEN($A5)-2),'TH_MLG GRADE 10'!$B$7:$B$49,0))="P")+
 --(INDEX('TH_MLG GRADE 10'!$AY$7:$AY$49,MATCH(LEFT($A5,LEN($A5)-2),'TH_MLG GRADE 10'!$B$7:$B$49,0))="P")+
 --(INDEX('TH_MLG GRADE 10'!$BE$7:$BE$49,MATCH(LEFT($A5,LEN($A5)-2),'TH_MLG GRADE 10'!$B$7:$B$49,0))="P")+
 --(INDEX('TH_MLG GRADE 10'!$U$7:$U$49,MATCH(LEFT($A5,LEN($A5)-2),'TH_MLG GRADE 10'!$B$7:$B$49,0))="P")+
 --(INDEX('TH_MLG GRADE 10'!$AS$7:$AS$49,MATCH(LEFT($A5,LEN($A5)-2),'TH_MLG GRADE 10'!$B$7:$B$49,0))="P"),
0)</f>
        <v>3</v>
      </c>
      <c r="D5" s="24" t="b">
        <f ca="1">IF(IF(_xlfn.XLOOKUP(LEFT($A5,LEN($A5)-2),'TH_MLG GRADE 10'!$B$7:$B$49,'TH_MLG GRADE 10'!$BK$7:$BK$49,"",0,1)=0,"",_xlfn.XLOOKUP(LEFT($A5,LEN($A5)-2),'TH_MLG GRADE 10'!$B$7:$B$49,'TH_MLG GRADE 10'!$BK$7:$BK$49,"",0,1))&lt;=TODAY(),TRUE,FALSE)</f>
        <v>1</v>
      </c>
      <c r="E5" s="25">
        <f t="shared" ca="1" si="0"/>
        <v>1</v>
      </c>
      <c r="F5" s="24" t="s">
        <v>209</v>
      </c>
      <c r="G5">
        <v>2</v>
      </c>
      <c r="H5">
        <f>IFERROR(
 --(INDEX('PW_MLG GRADE 10'!$C$7:$C$31,MATCH(LEFT($A5,LEN($A5)-2),'PW_MLG GRADE 10'!$B$7:$B$31,0))="P")+
 --(INDEX('PW_MLG GRADE 10'!$I$7:$I$31,MATCH(LEFT($A5,LEN($A5)-2),'PW_MLG GRADE 10'!$B$7:$B$31,0))="P")+
 --(INDEX('PW_MLG GRADE 10'!$O$7:$O$31,MATCH(LEFT($A5,LEN($A5)-2),'PW_MLG GRADE 10'!$B$7:$B$31,0))="P")+
 --(INDEX('PW_MLG GRADE 10'!$AA$7:$AA$31,MATCH(LEFT($A5,LEN($A5)-2),'PW_MLG GRADE 10'!$B$7:$B$31,0))="P")+
 --(INDEX('PW_MLG GRADE 10'!$AG$7:$AG$31,MATCH(LEFT($A5,LEN($A5)-2),'PW_MLG GRADE 10'!$B$7:$B$31,0))="P")+
 --(INDEX('PW_MLG GRADE 10'!$AM$7:$AM$31,MATCH(LEFT($A5,LEN($A5)-2),'PW_MLG GRADE 10'!$B$7:$B$31,0))="P")+
 --(INDEX('PW_MLG GRADE 10'!$AY$7:$AY$31,MATCH(LEFT($A5,LEN($A5)-2),'PW_MLG GRADE 10'!$B$7:$B$31,0))="P")+
 --(INDEX('PW_MLG GRADE 10'!$BE$7:$BE$31,MATCH(LEFT($A5,LEN($A5)-2),'PW_MLG GRADE 10'!$B$7:$B$31,0))="P")+
 --(INDEX('PW_MLG GRADE 10'!$U$7:$U$31,MATCH(LEFT($A5,LEN($A5)-2),'PW_MLG GRADE 10'!$B$7:$B$31,0))="P")+
 --(INDEX('PW_MLG GRADE 10'!$AS$7:$AS$31,MATCH(LEFT($A5,LEN($A5)-2),'PW_MLG GRADE 10'!$B$7:$B$31,0))="P"),
0)</f>
        <v>0</v>
      </c>
      <c r="I5" s="24" t="b">
        <f ca="1">IF(IF(_xlfn.XLOOKUP(LEFT($A5,LEN($A5)-2),'PW_MLG GRADE 10'!$B$7:$B$31,'PW_MLG GRADE 10'!$BK$7:$BK$31,"",0,1)=0,"",_xlfn.XLOOKUP(LEFT($A5,LEN($A5)-2),'PW_MLG GRADE 10'!$B$7:$B$31,'PW_MLG GRADE 10'!$BK$7:$BK$31,"",0,1))&lt;=TODAY(),TRUE,FALSE)</f>
        <v>0</v>
      </c>
      <c r="J5" s="25" t="str">
        <f t="shared" ca="1" si="1"/>
        <v/>
      </c>
    </row>
    <row r="6" spans="1:10">
      <c r="A6" s="24" t="s">
        <v>210</v>
      </c>
      <c r="B6">
        <v>2</v>
      </c>
      <c r="C6">
        <f>IFERROR(
 --(INDEX('TH_MLG GRADE 10'!$C$7:$C$49,MATCH(LEFT($A6,LEN($A6)-2),'TH_MLG GRADE 10'!$B$7:$B$49,0))="P")+
 --(INDEX('TH_MLG GRADE 10'!$I$7:$I$49,MATCH(LEFT($A6,LEN($A6)-2),'TH_MLG GRADE 10'!$B$7:$B$49,0))="P")+
 --(INDEX('TH_MLG GRADE 10'!$O$7:$O$49,MATCH(LEFT($A6,LEN($A6)-2),'TH_MLG GRADE 10'!$B$7:$B$49,0))="P")+
 --(INDEX('TH_MLG GRADE 10'!$AA$7:$AA$49,MATCH(LEFT($A6,LEN($A6)-2),'TH_MLG GRADE 10'!$B$7:$B$49,0))="P")+
 --(INDEX('TH_MLG GRADE 10'!$AG$7:$AG$49,MATCH(LEFT($A6,LEN($A6)-2),'TH_MLG GRADE 10'!$B$7:$B$49,0))="P")+
 --(INDEX('TH_MLG GRADE 10'!$AM$7:$AM$49,MATCH(LEFT($A6,LEN($A6)-2),'TH_MLG GRADE 10'!$B$7:$B$49,0))="P")+
 --(INDEX('TH_MLG GRADE 10'!$AY$7:$AY$49,MATCH(LEFT($A6,LEN($A6)-2),'TH_MLG GRADE 10'!$B$7:$B$49,0))="P")+
 --(INDEX('TH_MLG GRADE 10'!$BE$7:$BE$49,MATCH(LEFT($A6,LEN($A6)-2),'TH_MLG GRADE 10'!$B$7:$B$49,0))="P")+
 --(INDEX('TH_MLG GRADE 10'!$U$7:$U$49,MATCH(LEFT($A6,LEN($A6)-2),'TH_MLG GRADE 10'!$B$7:$B$49,0))="P")+
 --(INDEX('TH_MLG GRADE 10'!$AS$7:$AS$49,MATCH(LEFT($A6,LEN($A6)-2),'TH_MLG GRADE 10'!$B$7:$B$49,0))="P"),
0)</f>
        <v>3</v>
      </c>
      <c r="D6" s="24" t="b">
        <f ca="1">IF(IF(_xlfn.XLOOKUP(LEFT($A6,LEN($A6)-2),'TH_MLG GRADE 10'!$B$7:$B$49,'TH_MLG GRADE 10'!$BK$7:$BK$49,"",0,1)=0,"",_xlfn.XLOOKUP(LEFT($A6,LEN($A6)-2),'TH_MLG GRADE 10'!$B$7:$B$49,'TH_MLG GRADE 10'!$BK$7:$BK$49,"",0,1))&lt;=TODAY(),TRUE,FALSE)</f>
        <v>1</v>
      </c>
      <c r="E6" s="25">
        <f t="shared" ca="1" si="0"/>
        <v>1</v>
      </c>
      <c r="F6" s="24" t="s">
        <v>210</v>
      </c>
      <c r="G6">
        <v>2</v>
      </c>
      <c r="H6">
        <f>IFERROR(
 --(INDEX('PW_MLG GRADE 10'!$C$7:$C$31,MATCH(LEFT($A6,LEN($A6)-2),'PW_MLG GRADE 10'!$B$7:$B$31,0))="P")+
 --(INDEX('PW_MLG GRADE 10'!$I$7:$I$31,MATCH(LEFT($A6,LEN($A6)-2),'PW_MLG GRADE 10'!$B$7:$B$31,0))="P")+
 --(INDEX('PW_MLG GRADE 10'!$O$7:$O$31,MATCH(LEFT($A6,LEN($A6)-2),'PW_MLG GRADE 10'!$B$7:$B$31,0))="P")+
 --(INDEX('PW_MLG GRADE 10'!$AA$7:$AA$31,MATCH(LEFT($A6,LEN($A6)-2),'PW_MLG GRADE 10'!$B$7:$B$31,0))="P")+
 --(INDEX('PW_MLG GRADE 10'!$AG$7:$AG$31,MATCH(LEFT($A6,LEN($A6)-2),'PW_MLG GRADE 10'!$B$7:$B$31,0))="P")+
 --(INDEX('PW_MLG GRADE 10'!$AM$7:$AM$31,MATCH(LEFT($A6,LEN($A6)-2),'PW_MLG GRADE 10'!$B$7:$B$31,0))="P")+
 --(INDEX('PW_MLG GRADE 10'!$AY$7:$AY$31,MATCH(LEFT($A6,LEN($A6)-2),'PW_MLG GRADE 10'!$B$7:$B$31,0))="P")+
 --(INDEX('PW_MLG GRADE 10'!$BE$7:$BE$31,MATCH(LEFT($A6,LEN($A6)-2),'PW_MLG GRADE 10'!$B$7:$B$31,0))="P")+
 --(INDEX('PW_MLG GRADE 10'!$U$7:$U$31,MATCH(LEFT($A6,LEN($A6)-2),'PW_MLG GRADE 10'!$B$7:$B$31,0))="P")+
 --(INDEX('PW_MLG GRADE 10'!$AS$7:$AS$31,MATCH(LEFT($A6,LEN($A6)-2),'PW_MLG GRADE 10'!$B$7:$B$31,0))="P"),
0)</f>
        <v>0</v>
      </c>
      <c r="I6" s="24" t="b">
        <f ca="1">IF(IF(_xlfn.XLOOKUP(LEFT($A6,LEN($A6)-2),'PW_MLG GRADE 10'!$B$7:$B$31,'PW_MLG GRADE 10'!$BK$7:$BK$31,"",0,1)=0,"",_xlfn.XLOOKUP(LEFT($A6,LEN($A6)-2),'PW_MLG GRADE 10'!$B$7:$B$31,'PW_MLG GRADE 10'!$BK$7:$BK$31,"",0,1))&lt;=TODAY(),TRUE,FALSE)</f>
        <v>0</v>
      </c>
      <c r="J6" s="25" t="str">
        <f t="shared" ca="1" si="1"/>
        <v/>
      </c>
    </row>
    <row r="7" spans="1:10">
      <c r="A7" s="24" t="s">
        <v>211</v>
      </c>
      <c r="B7">
        <v>2</v>
      </c>
      <c r="C7">
        <f>IFERROR(
 --(INDEX('TH_MLG GRADE 10'!$C$7:$C$49,MATCH(LEFT($A7,LEN($A7)-2),'TH_MLG GRADE 10'!$B$7:$B$49,0))="P")+
 --(INDEX('TH_MLG GRADE 10'!$I$7:$I$49,MATCH(LEFT($A7,LEN($A7)-2),'TH_MLG GRADE 10'!$B$7:$B$49,0))="P")+
 --(INDEX('TH_MLG GRADE 10'!$O$7:$O$49,MATCH(LEFT($A7,LEN($A7)-2),'TH_MLG GRADE 10'!$B$7:$B$49,0))="P")+
 --(INDEX('TH_MLG GRADE 10'!$AA$7:$AA$49,MATCH(LEFT($A7,LEN($A7)-2),'TH_MLG GRADE 10'!$B$7:$B$49,0))="P")+
 --(INDEX('TH_MLG GRADE 10'!$AG$7:$AG$49,MATCH(LEFT($A7,LEN($A7)-2),'TH_MLG GRADE 10'!$B$7:$B$49,0))="P")+
 --(INDEX('TH_MLG GRADE 10'!$AM$7:$AM$49,MATCH(LEFT($A7,LEN($A7)-2),'TH_MLG GRADE 10'!$B$7:$B$49,0))="P")+
 --(INDEX('TH_MLG GRADE 10'!$AY$7:$AY$49,MATCH(LEFT($A7,LEN($A7)-2),'TH_MLG GRADE 10'!$B$7:$B$49,0))="P")+
 --(INDEX('TH_MLG GRADE 10'!$BE$7:$BE$49,MATCH(LEFT($A7,LEN($A7)-2),'TH_MLG GRADE 10'!$B$7:$B$49,0))="P")+
 --(INDEX('TH_MLG GRADE 10'!$U$7:$U$49,MATCH(LEFT($A7,LEN($A7)-2),'TH_MLG GRADE 10'!$B$7:$B$49,0))="P")+
 --(INDEX('TH_MLG GRADE 10'!$AS$7:$AS$49,MATCH(LEFT($A7,LEN($A7)-2),'TH_MLG GRADE 10'!$B$7:$B$49,0))="P"),
0)</f>
        <v>3</v>
      </c>
      <c r="D7" s="24" t="b">
        <f ca="1">IF(IF(_xlfn.XLOOKUP(LEFT($A7,LEN($A7)-2),'TH_MLG GRADE 10'!$B$7:$B$49,'TH_MLG GRADE 10'!$BK$7:$BK$49,"",0,1)=0,"",_xlfn.XLOOKUP(LEFT($A7,LEN($A7)-2),'TH_MLG GRADE 10'!$B$7:$B$49,'TH_MLG GRADE 10'!$BK$7:$BK$49,"",0,1))&lt;=TODAY(),TRUE,FALSE)</f>
        <v>1</v>
      </c>
      <c r="E7" s="25">
        <f t="shared" ca="1" si="0"/>
        <v>1</v>
      </c>
      <c r="F7" s="24" t="s">
        <v>211</v>
      </c>
      <c r="G7">
        <v>2</v>
      </c>
      <c r="H7">
        <f>IFERROR(
 --(INDEX('PW_MLG GRADE 10'!$C$7:$C$31,MATCH(LEFT($A7,LEN($A7)-2),'PW_MLG GRADE 10'!$B$7:$B$31,0))="P")+
 --(INDEX('PW_MLG GRADE 10'!$I$7:$I$31,MATCH(LEFT($A7,LEN($A7)-2),'PW_MLG GRADE 10'!$B$7:$B$31,0))="P")+
 --(INDEX('PW_MLG GRADE 10'!$O$7:$O$31,MATCH(LEFT($A7,LEN($A7)-2),'PW_MLG GRADE 10'!$B$7:$B$31,0))="P")+
 --(INDEX('PW_MLG GRADE 10'!$AA$7:$AA$31,MATCH(LEFT($A7,LEN($A7)-2),'PW_MLG GRADE 10'!$B$7:$B$31,0))="P")+
 --(INDEX('PW_MLG GRADE 10'!$AG$7:$AG$31,MATCH(LEFT($A7,LEN($A7)-2),'PW_MLG GRADE 10'!$B$7:$B$31,0))="P")+
 --(INDEX('PW_MLG GRADE 10'!$AM$7:$AM$31,MATCH(LEFT($A7,LEN($A7)-2),'PW_MLG GRADE 10'!$B$7:$B$31,0))="P")+
 --(INDEX('PW_MLG GRADE 10'!$AY$7:$AY$31,MATCH(LEFT($A7,LEN($A7)-2),'PW_MLG GRADE 10'!$B$7:$B$31,0))="P")+
 --(INDEX('PW_MLG GRADE 10'!$BE$7:$BE$31,MATCH(LEFT($A7,LEN($A7)-2),'PW_MLG GRADE 10'!$B$7:$B$31,0))="P")+
 --(INDEX('PW_MLG GRADE 10'!$U$7:$U$31,MATCH(LEFT($A7,LEN($A7)-2),'PW_MLG GRADE 10'!$B$7:$B$31,0))="P")+
 --(INDEX('PW_MLG GRADE 10'!$AS$7:$AS$31,MATCH(LEFT($A7,LEN($A7)-2),'PW_MLG GRADE 10'!$B$7:$B$31,0))="P"),
0)</f>
        <v>3</v>
      </c>
      <c r="I7" s="24" t="b">
        <f ca="1">IF(IF(_xlfn.XLOOKUP(LEFT($A7,LEN($A7)-2),'PW_MLG GRADE 10'!$B$7:$B$31,'PW_MLG GRADE 10'!$BK$7:$BK$31,"",0,1)=0,"",_xlfn.XLOOKUP(LEFT($A7,LEN($A7)-2),'PW_MLG GRADE 10'!$B$7:$B$31,'PW_MLG GRADE 10'!$BK$7:$BK$31,"",0,1))&lt;=TODAY(),TRUE,FALSE)</f>
        <v>1</v>
      </c>
      <c r="J7" s="25">
        <f t="shared" ca="1" si="1"/>
        <v>1</v>
      </c>
    </row>
    <row r="8" spans="1:10">
      <c r="A8" s="24" t="s">
        <v>212</v>
      </c>
      <c r="B8">
        <v>2</v>
      </c>
      <c r="C8">
        <f>IFERROR(
 --(INDEX('TH_MLG GRADE 10'!$C$7:$C$49,MATCH(LEFT($A8,LEN($A8)-2),'TH_MLG GRADE 10'!$B$7:$B$49,0))="P")+
 --(INDEX('TH_MLG GRADE 10'!$I$7:$I$49,MATCH(LEFT($A8,LEN($A8)-2),'TH_MLG GRADE 10'!$B$7:$B$49,0))="P")+
 --(INDEX('TH_MLG GRADE 10'!$O$7:$O$49,MATCH(LEFT($A8,LEN($A8)-2),'TH_MLG GRADE 10'!$B$7:$B$49,0))="P")+
 --(INDEX('TH_MLG GRADE 10'!$AA$7:$AA$49,MATCH(LEFT($A8,LEN($A8)-2),'TH_MLG GRADE 10'!$B$7:$B$49,0))="P")+
 --(INDEX('TH_MLG GRADE 10'!$AG$7:$AG$49,MATCH(LEFT($A8,LEN($A8)-2),'TH_MLG GRADE 10'!$B$7:$B$49,0))="P")+
 --(INDEX('TH_MLG GRADE 10'!$AM$7:$AM$49,MATCH(LEFT($A8,LEN($A8)-2),'TH_MLG GRADE 10'!$B$7:$B$49,0))="P")+
 --(INDEX('TH_MLG GRADE 10'!$AY$7:$AY$49,MATCH(LEFT($A8,LEN($A8)-2),'TH_MLG GRADE 10'!$B$7:$B$49,0))="P")+
 --(INDEX('TH_MLG GRADE 10'!$BE$7:$BE$49,MATCH(LEFT($A8,LEN($A8)-2),'TH_MLG GRADE 10'!$B$7:$B$49,0))="P")+
 --(INDEX('TH_MLG GRADE 10'!$U$7:$U$49,MATCH(LEFT($A8,LEN($A8)-2),'TH_MLG GRADE 10'!$B$7:$B$49,0))="P")+
 --(INDEX('TH_MLG GRADE 10'!$AS$7:$AS$49,MATCH(LEFT($A8,LEN($A8)-2),'TH_MLG GRADE 10'!$B$7:$B$49,0))="P"),
0)</f>
        <v>3</v>
      </c>
      <c r="D8" s="24" t="b">
        <f ca="1">IF(IF(_xlfn.XLOOKUP(LEFT($A8,LEN($A8)-2),'TH_MLG GRADE 10'!$B$7:$B$49,'TH_MLG GRADE 10'!$BK$7:$BK$49,"",0,1)=0,"",_xlfn.XLOOKUP(LEFT($A8,LEN($A8)-2),'TH_MLG GRADE 10'!$B$7:$B$49,'TH_MLG GRADE 10'!$BK$7:$BK$49,"",0,1))&lt;=TODAY(),TRUE,FALSE)</f>
        <v>1</v>
      </c>
      <c r="E8" s="25">
        <f t="shared" ca="1" si="0"/>
        <v>1</v>
      </c>
      <c r="F8" s="24" t="s">
        <v>212</v>
      </c>
      <c r="G8">
        <v>2</v>
      </c>
      <c r="H8">
        <f>IFERROR(
 --(INDEX('PW_MLG GRADE 10'!$C$7:$C$31,MATCH(LEFT($A8,LEN($A8)-2),'PW_MLG GRADE 10'!$B$7:$B$31,0))="P")+
 --(INDEX('PW_MLG GRADE 10'!$I$7:$I$31,MATCH(LEFT($A8,LEN($A8)-2),'PW_MLG GRADE 10'!$B$7:$B$31,0))="P")+
 --(INDEX('PW_MLG GRADE 10'!$O$7:$O$31,MATCH(LEFT($A8,LEN($A8)-2),'PW_MLG GRADE 10'!$B$7:$B$31,0))="P")+
 --(INDEX('PW_MLG GRADE 10'!$AA$7:$AA$31,MATCH(LEFT($A8,LEN($A8)-2),'PW_MLG GRADE 10'!$B$7:$B$31,0))="P")+
 --(INDEX('PW_MLG GRADE 10'!$AG$7:$AG$31,MATCH(LEFT($A8,LEN($A8)-2),'PW_MLG GRADE 10'!$B$7:$B$31,0))="P")+
 --(INDEX('PW_MLG GRADE 10'!$AM$7:$AM$31,MATCH(LEFT($A8,LEN($A8)-2),'PW_MLG GRADE 10'!$B$7:$B$31,0))="P")+
 --(INDEX('PW_MLG GRADE 10'!$AY$7:$AY$31,MATCH(LEFT($A8,LEN($A8)-2),'PW_MLG GRADE 10'!$B$7:$B$31,0))="P")+
 --(INDEX('PW_MLG GRADE 10'!$BE$7:$BE$31,MATCH(LEFT($A8,LEN($A8)-2),'PW_MLG GRADE 10'!$B$7:$B$31,0))="P")+
 --(INDEX('PW_MLG GRADE 10'!$U$7:$U$31,MATCH(LEFT($A8,LEN($A8)-2),'PW_MLG GRADE 10'!$B$7:$B$31,0))="P")+
 --(INDEX('PW_MLG GRADE 10'!$AS$7:$AS$31,MATCH(LEFT($A8,LEN($A8)-2),'PW_MLG GRADE 10'!$B$7:$B$31,0))="P"),
0)</f>
        <v>2</v>
      </c>
      <c r="I8" s="24" t="b">
        <f ca="1">IF(IF(_xlfn.XLOOKUP(LEFT($A8,LEN($A8)-2),'PW_MLG GRADE 10'!$B$7:$B$31,'PW_MLG GRADE 10'!$BK$7:$BK$31,"",0,1)=0,"",_xlfn.XLOOKUP(LEFT($A8,LEN($A8)-2),'PW_MLG GRADE 10'!$B$7:$B$31,'PW_MLG GRADE 10'!$BK$7:$BK$31,"",0,1))&lt;=TODAY(),TRUE,FALSE)</f>
        <v>1</v>
      </c>
      <c r="J8" s="25">
        <f t="shared" ca="1" si="1"/>
        <v>1</v>
      </c>
    </row>
    <row r="9" spans="1:10">
      <c r="A9" s="24" t="s">
        <v>213</v>
      </c>
      <c r="B9">
        <v>2</v>
      </c>
      <c r="C9">
        <f>IFERROR(
 --(INDEX('TH_MLG GRADE 10'!$C$7:$C$49,MATCH(LEFT($A9,LEN($A9)-2),'TH_MLG GRADE 10'!$B$7:$B$49,0))="P")+
 --(INDEX('TH_MLG GRADE 10'!$I$7:$I$49,MATCH(LEFT($A9,LEN($A9)-2),'TH_MLG GRADE 10'!$B$7:$B$49,0))="P")+
 --(INDEX('TH_MLG GRADE 10'!$O$7:$O$49,MATCH(LEFT($A9,LEN($A9)-2),'TH_MLG GRADE 10'!$B$7:$B$49,0))="P")+
 --(INDEX('TH_MLG GRADE 10'!$AA$7:$AA$49,MATCH(LEFT($A9,LEN($A9)-2),'TH_MLG GRADE 10'!$B$7:$B$49,0))="P")+
 --(INDEX('TH_MLG GRADE 10'!$AG$7:$AG$49,MATCH(LEFT($A9,LEN($A9)-2),'TH_MLG GRADE 10'!$B$7:$B$49,0))="P")+
 --(INDEX('TH_MLG GRADE 10'!$AM$7:$AM$49,MATCH(LEFT($A9,LEN($A9)-2),'TH_MLG GRADE 10'!$B$7:$B$49,0))="P")+
 --(INDEX('TH_MLG GRADE 10'!$AY$7:$AY$49,MATCH(LEFT($A9,LEN($A9)-2),'TH_MLG GRADE 10'!$B$7:$B$49,0))="P")+
 --(INDEX('TH_MLG GRADE 10'!$BE$7:$BE$49,MATCH(LEFT($A9,LEN($A9)-2),'TH_MLG GRADE 10'!$B$7:$B$49,0))="P")+
 --(INDEX('TH_MLG GRADE 10'!$U$7:$U$49,MATCH(LEFT($A9,LEN($A9)-2),'TH_MLG GRADE 10'!$B$7:$B$49,0))="P")+
 --(INDEX('TH_MLG GRADE 10'!$AS$7:$AS$49,MATCH(LEFT($A9,LEN($A9)-2),'TH_MLG GRADE 10'!$B$7:$B$49,0))="P"),
0)</f>
        <v>2</v>
      </c>
      <c r="D9" s="24" t="b">
        <f ca="1">IF(IF(_xlfn.XLOOKUP(LEFT($A9,LEN($A9)-2),'TH_MLG GRADE 10'!$B$7:$B$49,'TH_MLG GRADE 10'!$BK$7:$BK$49,"",0,1)=0,"",_xlfn.XLOOKUP(LEFT($A9,LEN($A9)-2),'TH_MLG GRADE 10'!$B$7:$B$49,'TH_MLG GRADE 10'!$BK$7:$BK$49,"",0,1))&lt;=TODAY(),TRUE,FALSE)</f>
        <v>1</v>
      </c>
      <c r="E9" s="25">
        <f t="shared" ca="1" si="0"/>
        <v>1</v>
      </c>
      <c r="F9" s="24" t="s">
        <v>213</v>
      </c>
      <c r="G9">
        <v>2</v>
      </c>
      <c r="H9">
        <f>IFERROR(
 --(INDEX('PW_MLG GRADE 10'!$C$7:$C$31,MATCH(LEFT($A9,LEN($A9)-2),'PW_MLG GRADE 10'!$B$7:$B$31,0))="P")+
 --(INDEX('PW_MLG GRADE 10'!$I$7:$I$31,MATCH(LEFT($A9,LEN($A9)-2),'PW_MLG GRADE 10'!$B$7:$B$31,0))="P")+
 --(INDEX('PW_MLG GRADE 10'!$O$7:$O$31,MATCH(LEFT($A9,LEN($A9)-2),'PW_MLG GRADE 10'!$B$7:$B$31,0))="P")+
 --(INDEX('PW_MLG GRADE 10'!$AA$7:$AA$31,MATCH(LEFT($A9,LEN($A9)-2),'PW_MLG GRADE 10'!$B$7:$B$31,0))="P")+
 --(INDEX('PW_MLG GRADE 10'!$AG$7:$AG$31,MATCH(LEFT($A9,LEN($A9)-2),'PW_MLG GRADE 10'!$B$7:$B$31,0))="P")+
 --(INDEX('PW_MLG GRADE 10'!$AM$7:$AM$31,MATCH(LEFT($A9,LEN($A9)-2),'PW_MLG GRADE 10'!$B$7:$B$31,0))="P")+
 --(INDEX('PW_MLG GRADE 10'!$AY$7:$AY$31,MATCH(LEFT($A9,LEN($A9)-2),'PW_MLG GRADE 10'!$B$7:$B$31,0))="P")+
 --(INDEX('PW_MLG GRADE 10'!$BE$7:$BE$31,MATCH(LEFT($A9,LEN($A9)-2),'PW_MLG GRADE 10'!$B$7:$B$31,0))="P")+
 --(INDEX('PW_MLG GRADE 10'!$U$7:$U$31,MATCH(LEFT($A9,LEN($A9)-2),'PW_MLG GRADE 10'!$B$7:$B$31,0))="P")+
 --(INDEX('PW_MLG GRADE 10'!$AS$7:$AS$31,MATCH(LEFT($A9,LEN($A9)-2),'PW_MLG GRADE 10'!$B$7:$B$31,0))="P"),
0)</f>
        <v>0</v>
      </c>
      <c r="I9" s="24" t="b">
        <f ca="1">IF(IF(_xlfn.XLOOKUP(LEFT($A9,LEN($A9)-2),'PW_MLG GRADE 10'!$B$7:$B$31,'PW_MLG GRADE 10'!$BK$7:$BK$31,"",0,1)=0,"",_xlfn.XLOOKUP(LEFT($A9,LEN($A9)-2),'PW_MLG GRADE 10'!$B$7:$B$31,'PW_MLG GRADE 10'!$BK$7:$BK$31,"",0,1))&lt;=TODAY(),TRUE,FALSE)</f>
        <v>0</v>
      </c>
      <c r="J9" s="25" t="str">
        <f t="shared" ca="1" si="1"/>
        <v/>
      </c>
    </row>
    <row r="10" spans="1:10">
      <c r="A10" s="24" t="s">
        <v>214</v>
      </c>
      <c r="B10">
        <v>2</v>
      </c>
      <c r="C10">
        <f>IFERROR(
 --(INDEX('TH_MLG GRADE 10'!$C$7:$C$49,MATCH(LEFT($A10,LEN($A10)-2),'TH_MLG GRADE 10'!$B$7:$B$49,0))="P")+
 --(INDEX('TH_MLG GRADE 10'!$I$7:$I$49,MATCH(LEFT($A10,LEN($A10)-2),'TH_MLG GRADE 10'!$B$7:$B$49,0))="P")+
 --(INDEX('TH_MLG GRADE 10'!$O$7:$O$49,MATCH(LEFT($A10,LEN($A10)-2),'TH_MLG GRADE 10'!$B$7:$B$49,0))="P")+
 --(INDEX('TH_MLG GRADE 10'!$AA$7:$AA$49,MATCH(LEFT($A10,LEN($A10)-2),'TH_MLG GRADE 10'!$B$7:$B$49,0))="P")+
 --(INDEX('TH_MLG GRADE 10'!$AG$7:$AG$49,MATCH(LEFT($A10,LEN($A10)-2),'TH_MLG GRADE 10'!$B$7:$B$49,0))="P")+
 --(INDEX('TH_MLG GRADE 10'!$AM$7:$AM$49,MATCH(LEFT($A10,LEN($A10)-2),'TH_MLG GRADE 10'!$B$7:$B$49,0))="P")+
 --(INDEX('TH_MLG GRADE 10'!$AY$7:$AY$49,MATCH(LEFT($A10,LEN($A10)-2),'TH_MLG GRADE 10'!$B$7:$B$49,0))="P")+
 --(INDEX('TH_MLG GRADE 10'!$BE$7:$BE$49,MATCH(LEFT($A10,LEN($A10)-2),'TH_MLG GRADE 10'!$B$7:$B$49,0))="P")+
 --(INDEX('TH_MLG GRADE 10'!$U$7:$U$49,MATCH(LEFT($A10,LEN($A10)-2),'TH_MLG GRADE 10'!$B$7:$B$49,0))="P")+
 --(INDEX('TH_MLG GRADE 10'!$AS$7:$AS$49,MATCH(LEFT($A10,LEN($A10)-2),'TH_MLG GRADE 10'!$B$7:$B$49,0))="P"),
0)</f>
        <v>3</v>
      </c>
      <c r="D10" s="24" t="b">
        <f ca="1">IF(IF(_xlfn.XLOOKUP(LEFT($A10,LEN($A10)-2),'TH_MLG GRADE 10'!$B$7:$B$49,'TH_MLG GRADE 10'!$BK$7:$BK$49,"",0,1)=0,"",_xlfn.XLOOKUP(LEFT($A10,LEN($A10)-2),'TH_MLG GRADE 10'!$B$7:$B$49,'TH_MLG GRADE 10'!$BK$7:$BK$49,"",0,1))&lt;=TODAY(),TRUE,FALSE)</f>
        <v>1</v>
      </c>
      <c r="E10" s="25">
        <f t="shared" ca="1" si="0"/>
        <v>1</v>
      </c>
      <c r="F10" s="24" t="s">
        <v>214</v>
      </c>
      <c r="G10">
        <v>2</v>
      </c>
      <c r="H10">
        <f>IFERROR(
 --(INDEX('PW_MLG GRADE 10'!$C$7:$C$31,MATCH(LEFT($A10,LEN($A10)-2),'PW_MLG GRADE 10'!$B$7:$B$31,0))="P")+
 --(INDEX('PW_MLG GRADE 10'!$I$7:$I$31,MATCH(LEFT($A10,LEN($A10)-2),'PW_MLG GRADE 10'!$B$7:$B$31,0))="P")+
 --(INDEX('PW_MLG GRADE 10'!$O$7:$O$31,MATCH(LEFT($A10,LEN($A10)-2),'PW_MLG GRADE 10'!$B$7:$B$31,0))="P")+
 --(INDEX('PW_MLG GRADE 10'!$AA$7:$AA$31,MATCH(LEFT($A10,LEN($A10)-2),'PW_MLG GRADE 10'!$B$7:$B$31,0))="P")+
 --(INDEX('PW_MLG GRADE 10'!$AG$7:$AG$31,MATCH(LEFT($A10,LEN($A10)-2),'PW_MLG GRADE 10'!$B$7:$B$31,0))="P")+
 --(INDEX('PW_MLG GRADE 10'!$AM$7:$AM$31,MATCH(LEFT($A10,LEN($A10)-2),'PW_MLG GRADE 10'!$B$7:$B$31,0))="P")+
 --(INDEX('PW_MLG GRADE 10'!$AY$7:$AY$31,MATCH(LEFT($A10,LEN($A10)-2),'PW_MLG GRADE 10'!$B$7:$B$31,0))="P")+
 --(INDEX('PW_MLG GRADE 10'!$BE$7:$BE$31,MATCH(LEFT($A10,LEN($A10)-2),'PW_MLG GRADE 10'!$B$7:$B$31,0))="P")+
 --(INDEX('PW_MLG GRADE 10'!$U$7:$U$31,MATCH(LEFT($A10,LEN($A10)-2),'PW_MLG GRADE 10'!$B$7:$B$31,0))="P")+
 --(INDEX('PW_MLG GRADE 10'!$AS$7:$AS$31,MATCH(LEFT($A10,LEN($A10)-2),'PW_MLG GRADE 10'!$B$7:$B$31,0))="P"),
0)</f>
        <v>0</v>
      </c>
      <c r="I10" s="24" t="b">
        <f ca="1">IF(IF(_xlfn.XLOOKUP(LEFT($A10,LEN($A10)-2),'PW_MLG GRADE 10'!$B$7:$B$31,'PW_MLG GRADE 10'!$BK$7:$BK$31,"",0,1)=0,"",_xlfn.XLOOKUP(LEFT($A10,LEN($A10)-2),'PW_MLG GRADE 10'!$B$7:$B$31,'PW_MLG GRADE 10'!$BK$7:$BK$31,"",0,1))&lt;=TODAY(),TRUE,FALSE)</f>
        <v>0</v>
      </c>
      <c r="J10" s="25" t="str">
        <f t="shared" ca="1" si="1"/>
        <v/>
      </c>
    </row>
    <row r="11" spans="1:10">
      <c r="A11" s="24" t="s">
        <v>215</v>
      </c>
      <c r="B11">
        <v>2</v>
      </c>
      <c r="C11">
        <f>IFERROR(
 --(INDEX('TH_MLG GRADE 10'!$C$7:$C$49,MATCH(LEFT($A11,LEN($A11)-2),'TH_MLG GRADE 10'!$B$7:$B$49,0))="P")+
 --(INDEX('TH_MLG GRADE 10'!$I$7:$I$49,MATCH(LEFT($A11,LEN($A11)-2),'TH_MLG GRADE 10'!$B$7:$B$49,0))="P")+
 --(INDEX('TH_MLG GRADE 10'!$O$7:$O$49,MATCH(LEFT($A11,LEN($A11)-2),'TH_MLG GRADE 10'!$B$7:$B$49,0))="P")+
 --(INDEX('TH_MLG GRADE 10'!$AA$7:$AA$49,MATCH(LEFT($A11,LEN($A11)-2),'TH_MLG GRADE 10'!$B$7:$B$49,0))="P")+
 --(INDEX('TH_MLG GRADE 10'!$AG$7:$AG$49,MATCH(LEFT($A11,LEN($A11)-2),'TH_MLG GRADE 10'!$B$7:$B$49,0))="P")+
 --(INDEX('TH_MLG GRADE 10'!$AM$7:$AM$49,MATCH(LEFT($A11,LEN($A11)-2),'TH_MLG GRADE 10'!$B$7:$B$49,0))="P")+
 --(INDEX('TH_MLG GRADE 10'!$AY$7:$AY$49,MATCH(LEFT($A11,LEN($A11)-2),'TH_MLG GRADE 10'!$B$7:$B$49,0))="P")+
 --(INDEX('TH_MLG GRADE 10'!$BE$7:$BE$49,MATCH(LEFT($A11,LEN($A11)-2),'TH_MLG GRADE 10'!$B$7:$B$49,0))="P")+
 --(INDEX('TH_MLG GRADE 10'!$U$7:$U$49,MATCH(LEFT($A11,LEN($A11)-2),'TH_MLG GRADE 10'!$B$7:$B$49,0))="P")+
 --(INDEX('TH_MLG GRADE 10'!$AS$7:$AS$49,MATCH(LEFT($A11,LEN($A11)-2),'TH_MLG GRADE 10'!$B$7:$B$49,0))="P"),
0)</f>
        <v>3</v>
      </c>
      <c r="D11" s="24" t="b">
        <f ca="1">IF(IF(_xlfn.XLOOKUP(LEFT($A11,LEN($A11)-2),'TH_MLG GRADE 10'!$B$7:$B$49,'TH_MLG GRADE 10'!$BK$7:$BK$49,"",0,1)=0,"",_xlfn.XLOOKUP(LEFT($A11,LEN($A11)-2),'TH_MLG GRADE 10'!$B$7:$B$49,'TH_MLG GRADE 10'!$BK$7:$BK$49,"",0,1))&lt;=TODAY(),TRUE,FALSE)</f>
        <v>1</v>
      </c>
      <c r="E11" s="25">
        <f t="shared" ca="1" si="0"/>
        <v>1</v>
      </c>
      <c r="F11" s="24" t="s">
        <v>215</v>
      </c>
      <c r="G11">
        <v>2</v>
      </c>
      <c r="H11">
        <f>IFERROR(
 --(INDEX('PW_MLG GRADE 10'!$C$7:$C$31,MATCH(LEFT($A11,LEN($A11)-2),'PW_MLG GRADE 10'!$B$7:$B$31,0))="P")+
 --(INDEX('PW_MLG GRADE 10'!$I$7:$I$31,MATCH(LEFT($A11,LEN($A11)-2),'PW_MLG GRADE 10'!$B$7:$B$31,0))="P")+
 --(INDEX('PW_MLG GRADE 10'!$O$7:$O$31,MATCH(LEFT($A11,LEN($A11)-2),'PW_MLG GRADE 10'!$B$7:$B$31,0))="P")+
 --(INDEX('PW_MLG GRADE 10'!$AA$7:$AA$31,MATCH(LEFT($A11,LEN($A11)-2),'PW_MLG GRADE 10'!$B$7:$B$31,0))="P")+
 --(INDEX('PW_MLG GRADE 10'!$AG$7:$AG$31,MATCH(LEFT($A11,LEN($A11)-2),'PW_MLG GRADE 10'!$B$7:$B$31,0))="P")+
 --(INDEX('PW_MLG GRADE 10'!$AM$7:$AM$31,MATCH(LEFT($A11,LEN($A11)-2),'PW_MLG GRADE 10'!$B$7:$B$31,0))="P")+
 --(INDEX('PW_MLG GRADE 10'!$AY$7:$AY$31,MATCH(LEFT($A11,LEN($A11)-2),'PW_MLG GRADE 10'!$B$7:$B$31,0))="P")+
 --(INDEX('PW_MLG GRADE 10'!$BE$7:$BE$31,MATCH(LEFT($A11,LEN($A11)-2),'PW_MLG GRADE 10'!$B$7:$B$31,0))="P")+
 --(INDEX('PW_MLG GRADE 10'!$U$7:$U$31,MATCH(LEFT($A11,LEN($A11)-2),'PW_MLG GRADE 10'!$B$7:$B$31,0))="P")+
 --(INDEX('PW_MLG GRADE 10'!$AS$7:$AS$31,MATCH(LEFT($A11,LEN($A11)-2),'PW_MLG GRADE 10'!$B$7:$B$31,0))="P"),
0)</f>
        <v>0</v>
      </c>
      <c r="I11" s="24" t="b">
        <f ca="1">IF(IF(_xlfn.XLOOKUP(LEFT($A11,LEN($A11)-2),'PW_MLG GRADE 10'!$B$7:$B$31,'PW_MLG GRADE 10'!$BK$7:$BK$31,"",0,1)=0,"",_xlfn.XLOOKUP(LEFT($A11,LEN($A11)-2),'PW_MLG GRADE 10'!$B$7:$B$31,'PW_MLG GRADE 10'!$BK$7:$BK$31,"",0,1))&lt;=TODAY(),TRUE,FALSE)</f>
        <v>0</v>
      </c>
      <c r="J11" s="25" t="str">
        <f t="shared" ca="1" si="1"/>
        <v/>
      </c>
    </row>
    <row r="12" spans="1:10">
      <c r="A12" s="24" t="s">
        <v>216</v>
      </c>
      <c r="B12">
        <v>2</v>
      </c>
      <c r="C12">
        <f>IFERROR(
 --(INDEX('TH_MLG GRADE 10'!$C$7:$C$49,MATCH(LEFT($A12,LEN($A12)-2),'TH_MLG GRADE 10'!$B$7:$B$49,0))="P")+
 --(INDEX('TH_MLG GRADE 10'!$I$7:$I$49,MATCH(LEFT($A12,LEN($A12)-2),'TH_MLG GRADE 10'!$B$7:$B$49,0))="P")+
 --(INDEX('TH_MLG GRADE 10'!$O$7:$O$49,MATCH(LEFT($A12,LEN($A12)-2),'TH_MLG GRADE 10'!$B$7:$B$49,0))="P")+
 --(INDEX('TH_MLG GRADE 10'!$AA$7:$AA$49,MATCH(LEFT($A12,LEN($A12)-2),'TH_MLG GRADE 10'!$B$7:$B$49,0))="P")+
 --(INDEX('TH_MLG GRADE 10'!$AG$7:$AG$49,MATCH(LEFT($A12,LEN($A12)-2),'TH_MLG GRADE 10'!$B$7:$B$49,0))="P")+
 --(INDEX('TH_MLG GRADE 10'!$AM$7:$AM$49,MATCH(LEFT($A12,LEN($A12)-2),'TH_MLG GRADE 10'!$B$7:$B$49,0))="P")+
 --(INDEX('TH_MLG GRADE 10'!$AY$7:$AY$49,MATCH(LEFT($A12,LEN($A12)-2),'TH_MLG GRADE 10'!$B$7:$B$49,0))="P")+
 --(INDEX('TH_MLG GRADE 10'!$BE$7:$BE$49,MATCH(LEFT($A12,LEN($A12)-2),'TH_MLG GRADE 10'!$B$7:$B$49,0))="P")+
 --(INDEX('TH_MLG GRADE 10'!$U$7:$U$49,MATCH(LEFT($A12,LEN($A12)-2),'TH_MLG GRADE 10'!$B$7:$B$49,0))="P")+
 --(INDEX('TH_MLG GRADE 10'!$AS$7:$AS$49,MATCH(LEFT($A12,LEN($A12)-2),'TH_MLG GRADE 10'!$B$7:$B$49,0))="P"),
0)</f>
        <v>2</v>
      </c>
      <c r="D12" s="24" t="b">
        <f ca="1">IF(IF(_xlfn.XLOOKUP(LEFT($A12,LEN($A12)-2),'TH_MLG GRADE 10'!$B$7:$B$49,'TH_MLG GRADE 10'!$BK$7:$BK$49,"",0,1)=0,"",_xlfn.XLOOKUP(LEFT($A12,LEN($A12)-2),'TH_MLG GRADE 10'!$B$7:$B$49,'TH_MLG GRADE 10'!$BK$7:$BK$49,"",0,1))&lt;=TODAY(),TRUE,FALSE)</f>
        <v>1</v>
      </c>
      <c r="E12" s="25">
        <f t="shared" ca="1" si="0"/>
        <v>1</v>
      </c>
      <c r="F12" s="24" t="s">
        <v>216</v>
      </c>
      <c r="G12">
        <v>2</v>
      </c>
      <c r="H12">
        <f>IFERROR(
 --(INDEX('PW_MLG GRADE 10'!$C$7:$C$31,MATCH(LEFT($A12,LEN($A12)-2),'PW_MLG GRADE 10'!$B$7:$B$31,0))="P")+
 --(INDEX('PW_MLG GRADE 10'!$I$7:$I$31,MATCH(LEFT($A12,LEN($A12)-2),'PW_MLG GRADE 10'!$B$7:$B$31,0))="P")+
 --(INDEX('PW_MLG GRADE 10'!$O$7:$O$31,MATCH(LEFT($A12,LEN($A12)-2),'PW_MLG GRADE 10'!$B$7:$B$31,0))="P")+
 --(INDEX('PW_MLG GRADE 10'!$AA$7:$AA$31,MATCH(LEFT($A12,LEN($A12)-2),'PW_MLG GRADE 10'!$B$7:$B$31,0))="P")+
 --(INDEX('PW_MLG GRADE 10'!$AG$7:$AG$31,MATCH(LEFT($A12,LEN($A12)-2),'PW_MLG GRADE 10'!$B$7:$B$31,0))="P")+
 --(INDEX('PW_MLG GRADE 10'!$AM$7:$AM$31,MATCH(LEFT($A12,LEN($A12)-2),'PW_MLG GRADE 10'!$B$7:$B$31,0))="P")+
 --(INDEX('PW_MLG GRADE 10'!$AY$7:$AY$31,MATCH(LEFT($A12,LEN($A12)-2),'PW_MLG GRADE 10'!$B$7:$B$31,0))="P")+
 --(INDEX('PW_MLG GRADE 10'!$BE$7:$BE$31,MATCH(LEFT($A12,LEN($A12)-2),'PW_MLG GRADE 10'!$B$7:$B$31,0))="P")+
 --(INDEX('PW_MLG GRADE 10'!$U$7:$U$31,MATCH(LEFT($A12,LEN($A12)-2),'PW_MLG GRADE 10'!$B$7:$B$31,0))="P")+
 --(INDEX('PW_MLG GRADE 10'!$AS$7:$AS$31,MATCH(LEFT($A12,LEN($A12)-2),'PW_MLG GRADE 10'!$B$7:$B$31,0))="P"),
0)</f>
        <v>0</v>
      </c>
      <c r="I12" s="24" t="b">
        <f ca="1">IF(IF(_xlfn.XLOOKUP(LEFT($A12,LEN($A12)-2),'PW_MLG GRADE 10'!$B$7:$B$31,'PW_MLG GRADE 10'!$BK$7:$BK$31,"",0,1)=0,"",_xlfn.XLOOKUP(LEFT($A12,LEN($A12)-2),'PW_MLG GRADE 10'!$B$7:$B$31,'PW_MLG GRADE 10'!$BK$7:$BK$31,"",0,1))&lt;=TODAY(),TRUE,FALSE)</f>
        <v>0</v>
      </c>
      <c r="J12" s="25" t="str">
        <f t="shared" ca="1" si="1"/>
        <v/>
      </c>
    </row>
    <row r="13" spans="1:10">
      <c r="A13" s="24" t="s">
        <v>217</v>
      </c>
      <c r="B13">
        <v>2</v>
      </c>
      <c r="C13">
        <f>IFERROR(
 --(INDEX('TH_MLG GRADE 10'!$C$7:$C$49,MATCH(LEFT($A13,LEN($A13)-2),'TH_MLG GRADE 10'!$B$7:$B$49,0))="P")+
 --(INDEX('TH_MLG GRADE 10'!$I$7:$I$49,MATCH(LEFT($A13,LEN($A13)-2),'TH_MLG GRADE 10'!$B$7:$B$49,0))="P")+
 --(INDEX('TH_MLG GRADE 10'!$O$7:$O$49,MATCH(LEFT($A13,LEN($A13)-2),'TH_MLG GRADE 10'!$B$7:$B$49,0))="P")+
 --(INDEX('TH_MLG GRADE 10'!$AA$7:$AA$49,MATCH(LEFT($A13,LEN($A13)-2),'TH_MLG GRADE 10'!$B$7:$B$49,0))="P")+
 --(INDEX('TH_MLG GRADE 10'!$AG$7:$AG$49,MATCH(LEFT($A13,LEN($A13)-2),'TH_MLG GRADE 10'!$B$7:$B$49,0))="P")+
 --(INDEX('TH_MLG GRADE 10'!$AM$7:$AM$49,MATCH(LEFT($A13,LEN($A13)-2),'TH_MLG GRADE 10'!$B$7:$B$49,0))="P")+
 --(INDEX('TH_MLG GRADE 10'!$AY$7:$AY$49,MATCH(LEFT($A13,LEN($A13)-2),'TH_MLG GRADE 10'!$B$7:$B$49,0))="P")+
 --(INDEX('TH_MLG GRADE 10'!$BE$7:$BE$49,MATCH(LEFT($A13,LEN($A13)-2),'TH_MLG GRADE 10'!$B$7:$B$49,0))="P")+
 --(INDEX('TH_MLG GRADE 10'!$U$7:$U$49,MATCH(LEFT($A13,LEN($A13)-2),'TH_MLG GRADE 10'!$B$7:$B$49,0))="P")+
 --(INDEX('TH_MLG GRADE 10'!$AS$7:$AS$49,MATCH(LEFT($A13,LEN($A13)-2),'TH_MLG GRADE 10'!$B$7:$B$49,0))="P"),
0)</f>
        <v>3</v>
      </c>
      <c r="D13" s="24" t="b">
        <f ca="1">IF(IF(_xlfn.XLOOKUP(LEFT($A13,LEN($A13)-2),'TH_MLG GRADE 10'!$B$7:$B$49,'TH_MLG GRADE 10'!$BK$7:$BK$49,"",0,1)=0,"",_xlfn.XLOOKUP(LEFT($A13,LEN($A13)-2),'TH_MLG GRADE 10'!$B$7:$B$49,'TH_MLG GRADE 10'!$BK$7:$BK$49,"",0,1))&lt;=TODAY(),TRUE,FALSE)</f>
        <v>1</v>
      </c>
      <c r="E13" s="25">
        <f t="shared" ca="1" si="0"/>
        <v>1</v>
      </c>
      <c r="F13" s="24" t="s">
        <v>217</v>
      </c>
      <c r="G13">
        <v>2</v>
      </c>
      <c r="H13">
        <f>IFERROR(
 --(INDEX('PW_MLG GRADE 10'!$C$7:$C$31,MATCH(LEFT($A13,LEN($A13)-2),'PW_MLG GRADE 10'!$B$7:$B$31,0))="P")+
 --(INDEX('PW_MLG GRADE 10'!$I$7:$I$31,MATCH(LEFT($A13,LEN($A13)-2),'PW_MLG GRADE 10'!$B$7:$B$31,0))="P")+
 --(INDEX('PW_MLG GRADE 10'!$O$7:$O$31,MATCH(LEFT($A13,LEN($A13)-2),'PW_MLG GRADE 10'!$B$7:$B$31,0))="P")+
 --(INDEX('PW_MLG GRADE 10'!$AA$7:$AA$31,MATCH(LEFT($A13,LEN($A13)-2),'PW_MLG GRADE 10'!$B$7:$B$31,0))="P")+
 --(INDEX('PW_MLG GRADE 10'!$AG$7:$AG$31,MATCH(LEFT($A13,LEN($A13)-2),'PW_MLG GRADE 10'!$B$7:$B$31,0))="P")+
 --(INDEX('PW_MLG GRADE 10'!$AM$7:$AM$31,MATCH(LEFT($A13,LEN($A13)-2),'PW_MLG GRADE 10'!$B$7:$B$31,0))="P")+
 --(INDEX('PW_MLG GRADE 10'!$AY$7:$AY$31,MATCH(LEFT($A13,LEN($A13)-2),'PW_MLG GRADE 10'!$B$7:$B$31,0))="P")+
 --(INDEX('PW_MLG GRADE 10'!$BE$7:$BE$31,MATCH(LEFT($A13,LEN($A13)-2),'PW_MLG GRADE 10'!$B$7:$B$31,0))="P")+
 --(INDEX('PW_MLG GRADE 10'!$U$7:$U$31,MATCH(LEFT($A13,LEN($A13)-2),'PW_MLG GRADE 10'!$B$7:$B$31,0))="P")+
 --(INDEX('PW_MLG GRADE 10'!$AS$7:$AS$31,MATCH(LEFT($A13,LEN($A13)-2),'PW_MLG GRADE 10'!$B$7:$B$31,0))="P"),
0)</f>
        <v>0</v>
      </c>
      <c r="I13" s="24" t="b">
        <f ca="1">IF(IF(_xlfn.XLOOKUP(LEFT($A13,LEN($A13)-2),'PW_MLG GRADE 10'!$B$7:$B$31,'PW_MLG GRADE 10'!$BK$7:$BK$31,"",0,1)=0,"",_xlfn.XLOOKUP(LEFT($A13,LEN($A13)-2),'PW_MLG GRADE 10'!$B$7:$B$31,'PW_MLG GRADE 10'!$BK$7:$BK$31,"",0,1))&lt;=TODAY(),TRUE,FALSE)</f>
        <v>0</v>
      </c>
      <c r="J13" s="25" t="str">
        <f t="shared" ca="1" si="1"/>
        <v/>
      </c>
    </row>
    <row r="14" spans="1:10">
      <c r="A14" s="24" t="s">
        <v>218</v>
      </c>
      <c r="B14">
        <v>2</v>
      </c>
      <c r="C14">
        <f>IFERROR(
 --(INDEX('TH_MLG GRADE 10'!$C$7:$C$49,MATCH(LEFT($A14,LEN($A14)-2),'TH_MLG GRADE 10'!$B$7:$B$49,0))="P")+
 --(INDEX('TH_MLG GRADE 10'!$I$7:$I$49,MATCH(LEFT($A14,LEN($A14)-2),'TH_MLG GRADE 10'!$B$7:$B$49,0))="P")+
 --(INDEX('TH_MLG GRADE 10'!$O$7:$O$49,MATCH(LEFT($A14,LEN($A14)-2),'TH_MLG GRADE 10'!$B$7:$B$49,0))="P")+
 --(INDEX('TH_MLG GRADE 10'!$AA$7:$AA$49,MATCH(LEFT($A14,LEN($A14)-2),'TH_MLG GRADE 10'!$B$7:$B$49,0))="P")+
 --(INDEX('TH_MLG GRADE 10'!$AG$7:$AG$49,MATCH(LEFT($A14,LEN($A14)-2),'TH_MLG GRADE 10'!$B$7:$B$49,0))="P")+
 --(INDEX('TH_MLG GRADE 10'!$AM$7:$AM$49,MATCH(LEFT($A14,LEN($A14)-2),'TH_MLG GRADE 10'!$B$7:$B$49,0))="P")+
 --(INDEX('TH_MLG GRADE 10'!$AY$7:$AY$49,MATCH(LEFT($A14,LEN($A14)-2),'TH_MLG GRADE 10'!$B$7:$B$49,0))="P")+
 --(INDEX('TH_MLG GRADE 10'!$BE$7:$BE$49,MATCH(LEFT($A14,LEN($A14)-2),'TH_MLG GRADE 10'!$B$7:$B$49,0))="P")+
 --(INDEX('TH_MLG GRADE 10'!$U$7:$U$49,MATCH(LEFT($A14,LEN($A14)-2),'TH_MLG GRADE 10'!$B$7:$B$49,0))="P")+
 --(INDEX('TH_MLG GRADE 10'!$AS$7:$AS$49,MATCH(LEFT($A14,LEN($A14)-2),'TH_MLG GRADE 10'!$B$7:$B$49,0))="P"),
0)</f>
        <v>3</v>
      </c>
      <c r="D14" s="24" t="b">
        <f ca="1">IF(IF(_xlfn.XLOOKUP(LEFT($A14,LEN($A14)-2),'TH_MLG GRADE 10'!$B$7:$B$49,'TH_MLG GRADE 10'!$BK$7:$BK$49,"",0,1)=0,"",_xlfn.XLOOKUP(LEFT($A14,LEN($A14)-2),'TH_MLG GRADE 10'!$B$7:$B$49,'TH_MLG GRADE 10'!$BK$7:$BK$49,"",0,1))&lt;=TODAY(),TRUE,FALSE)</f>
        <v>1</v>
      </c>
      <c r="E14" s="25">
        <f t="shared" ca="1" si="0"/>
        <v>1</v>
      </c>
      <c r="F14" s="24" t="s">
        <v>218</v>
      </c>
      <c r="G14">
        <v>2</v>
      </c>
      <c r="H14">
        <f>IFERROR(
 --(INDEX('PW_MLG GRADE 10'!$C$7:$C$31,MATCH(LEFT($A14,LEN($A14)-2),'PW_MLG GRADE 10'!$B$7:$B$31,0))="P")+
 --(INDEX('PW_MLG GRADE 10'!$I$7:$I$31,MATCH(LEFT($A14,LEN($A14)-2),'PW_MLG GRADE 10'!$B$7:$B$31,0))="P")+
 --(INDEX('PW_MLG GRADE 10'!$O$7:$O$31,MATCH(LEFT($A14,LEN($A14)-2),'PW_MLG GRADE 10'!$B$7:$B$31,0))="P")+
 --(INDEX('PW_MLG GRADE 10'!$AA$7:$AA$31,MATCH(LEFT($A14,LEN($A14)-2),'PW_MLG GRADE 10'!$B$7:$B$31,0))="P")+
 --(INDEX('PW_MLG GRADE 10'!$AG$7:$AG$31,MATCH(LEFT($A14,LEN($A14)-2),'PW_MLG GRADE 10'!$B$7:$B$31,0))="P")+
 --(INDEX('PW_MLG GRADE 10'!$AM$7:$AM$31,MATCH(LEFT($A14,LEN($A14)-2),'PW_MLG GRADE 10'!$B$7:$B$31,0))="P")+
 --(INDEX('PW_MLG GRADE 10'!$AY$7:$AY$31,MATCH(LEFT($A14,LEN($A14)-2),'PW_MLG GRADE 10'!$B$7:$B$31,0))="P")+
 --(INDEX('PW_MLG GRADE 10'!$BE$7:$BE$31,MATCH(LEFT($A14,LEN($A14)-2),'PW_MLG GRADE 10'!$B$7:$B$31,0))="P")+
 --(INDEX('PW_MLG GRADE 10'!$U$7:$U$31,MATCH(LEFT($A14,LEN($A14)-2),'PW_MLG GRADE 10'!$B$7:$B$31,0))="P")+
 --(INDEX('PW_MLG GRADE 10'!$AS$7:$AS$31,MATCH(LEFT($A14,LEN($A14)-2),'PW_MLG GRADE 10'!$B$7:$B$31,0))="P"),
0)</f>
        <v>0</v>
      </c>
      <c r="I14" s="24" t="b">
        <f ca="1">IF(IF(_xlfn.XLOOKUP(LEFT($A14,LEN($A14)-2),'PW_MLG GRADE 10'!$B$7:$B$31,'PW_MLG GRADE 10'!$BK$7:$BK$31,"",0,1)=0,"",_xlfn.XLOOKUP(LEFT($A14,LEN($A14)-2),'PW_MLG GRADE 10'!$B$7:$B$31,'PW_MLG GRADE 10'!$BK$7:$BK$31,"",0,1))&lt;=TODAY(),TRUE,FALSE)</f>
        <v>0</v>
      </c>
      <c r="J14" s="25" t="str">
        <f t="shared" ca="1" si="1"/>
        <v/>
      </c>
    </row>
    <row r="15" spans="1:10">
      <c r="A15" s="24" t="s">
        <v>219</v>
      </c>
      <c r="B15">
        <v>2</v>
      </c>
      <c r="C15">
        <f>IFERROR(
 --(INDEX('TH_MLG GRADE 10'!$C$7:$C$49,MATCH(LEFT($A15,LEN($A15)-2),'TH_MLG GRADE 10'!$B$7:$B$49,0))="P")+
 --(INDEX('TH_MLG GRADE 10'!$I$7:$I$49,MATCH(LEFT($A15,LEN($A15)-2),'TH_MLG GRADE 10'!$B$7:$B$49,0))="P")+
 --(INDEX('TH_MLG GRADE 10'!$O$7:$O$49,MATCH(LEFT($A15,LEN($A15)-2),'TH_MLG GRADE 10'!$B$7:$B$49,0))="P")+
 --(INDEX('TH_MLG GRADE 10'!$AA$7:$AA$49,MATCH(LEFT($A15,LEN($A15)-2),'TH_MLG GRADE 10'!$B$7:$B$49,0))="P")+
 --(INDEX('TH_MLG GRADE 10'!$AG$7:$AG$49,MATCH(LEFT($A15,LEN($A15)-2),'TH_MLG GRADE 10'!$B$7:$B$49,0))="P")+
 --(INDEX('TH_MLG GRADE 10'!$AM$7:$AM$49,MATCH(LEFT($A15,LEN($A15)-2),'TH_MLG GRADE 10'!$B$7:$B$49,0))="P")+
 --(INDEX('TH_MLG GRADE 10'!$AY$7:$AY$49,MATCH(LEFT($A15,LEN($A15)-2),'TH_MLG GRADE 10'!$B$7:$B$49,0))="P")+
 --(INDEX('TH_MLG GRADE 10'!$BE$7:$BE$49,MATCH(LEFT($A15,LEN($A15)-2),'TH_MLG GRADE 10'!$B$7:$B$49,0))="P")+
 --(INDEX('TH_MLG GRADE 10'!$U$7:$U$49,MATCH(LEFT($A15,LEN($A15)-2),'TH_MLG GRADE 10'!$B$7:$B$49,0))="P")+
 --(INDEX('TH_MLG GRADE 10'!$AS$7:$AS$49,MATCH(LEFT($A15,LEN($A15)-2),'TH_MLG GRADE 10'!$B$7:$B$49,0))="P"),
0)</f>
        <v>6</v>
      </c>
      <c r="D15" s="24" t="b">
        <f ca="1">IF(IF(_xlfn.XLOOKUP(LEFT($A15,LEN($A15)-2),'TH_MLG GRADE 10'!$B$7:$B$49,'TH_MLG GRADE 10'!$BK$7:$BK$49,"",0,1)=0,"",_xlfn.XLOOKUP(LEFT($A15,LEN($A15)-2),'TH_MLG GRADE 10'!$B$7:$B$49,'TH_MLG GRADE 10'!$BK$7:$BK$49,"",0,1))&lt;=TODAY(),TRUE,FALSE)</f>
        <v>1</v>
      </c>
      <c r="E15" s="25">
        <f t="shared" ca="1" si="0"/>
        <v>1</v>
      </c>
      <c r="F15" s="24" t="s">
        <v>219</v>
      </c>
      <c r="G15">
        <v>2</v>
      </c>
      <c r="H15">
        <f>IFERROR(
 --(INDEX('PW_MLG GRADE 10'!$C$7:$C$31,MATCH(LEFT($A15,LEN($A15)-2),'PW_MLG GRADE 10'!$B$7:$B$31,0))="P")+
 --(INDEX('PW_MLG GRADE 10'!$I$7:$I$31,MATCH(LEFT($A15,LEN($A15)-2),'PW_MLG GRADE 10'!$B$7:$B$31,0))="P")+
 --(INDEX('PW_MLG GRADE 10'!$O$7:$O$31,MATCH(LEFT($A15,LEN($A15)-2),'PW_MLG GRADE 10'!$B$7:$B$31,0))="P")+
 --(INDEX('PW_MLG GRADE 10'!$AA$7:$AA$31,MATCH(LEFT($A15,LEN($A15)-2),'PW_MLG GRADE 10'!$B$7:$B$31,0))="P")+
 --(INDEX('PW_MLG GRADE 10'!$AG$7:$AG$31,MATCH(LEFT($A15,LEN($A15)-2),'PW_MLG GRADE 10'!$B$7:$B$31,0))="P")+
 --(INDEX('PW_MLG GRADE 10'!$AM$7:$AM$31,MATCH(LEFT($A15,LEN($A15)-2),'PW_MLG GRADE 10'!$B$7:$B$31,0))="P")+
 --(INDEX('PW_MLG GRADE 10'!$AY$7:$AY$31,MATCH(LEFT($A15,LEN($A15)-2),'PW_MLG GRADE 10'!$B$7:$B$31,0))="P")+
 --(INDEX('PW_MLG GRADE 10'!$BE$7:$BE$31,MATCH(LEFT($A15,LEN($A15)-2),'PW_MLG GRADE 10'!$B$7:$B$31,0))="P")+
 --(INDEX('PW_MLG GRADE 10'!$U$7:$U$31,MATCH(LEFT($A15,LEN($A15)-2),'PW_MLG GRADE 10'!$B$7:$B$31,0))="P")+
 --(INDEX('PW_MLG GRADE 10'!$AS$7:$AS$31,MATCH(LEFT($A15,LEN($A15)-2),'PW_MLG GRADE 10'!$B$7:$B$31,0))="P"),
0)</f>
        <v>0</v>
      </c>
      <c r="I15" s="24" t="b">
        <f ca="1">IF(IF(_xlfn.XLOOKUP(LEFT($A15,LEN($A15)-2),'PW_MLG GRADE 10'!$B$7:$B$31,'PW_MLG GRADE 10'!$BK$7:$BK$31,"",0,1)=0,"",_xlfn.XLOOKUP(LEFT($A15,LEN($A15)-2),'PW_MLG GRADE 10'!$B$7:$B$31,'PW_MLG GRADE 10'!$BK$7:$BK$31,"",0,1))&lt;=TODAY(),TRUE,FALSE)</f>
        <v>0</v>
      </c>
      <c r="J15" s="25" t="str">
        <f t="shared" ca="1" si="1"/>
        <v/>
      </c>
    </row>
    <row r="16" spans="1:10">
      <c r="A16" s="24" t="s">
        <v>220</v>
      </c>
      <c r="B16">
        <v>2</v>
      </c>
      <c r="C16">
        <f>IFERROR(
 --(INDEX('TH_MLG GRADE 10'!$C$7:$C$49,MATCH(LEFT($A16,LEN($A16)-2),'TH_MLG GRADE 10'!$B$7:$B$49,0))="P")+
 --(INDEX('TH_MLG GRADE 10'!$I$7:$I$49,MATCH(LEFT($A16,LEN($A16)-2),'TH_MLG GRADE 10'!$B$7:$B$49,0))="P")+
 --(INDEX('TH_MLG GRADE 10'!$O$7:$O$49,MATCH(LEFT($A16,LEN($A16)-2),'TH_MLG GRADE 10'!$B$7:$B$49,0))="P")+
 --(INDEX('TH_MLG GRADE 10'!$AA$7:$AA$49,MATCH(LEFT($A16,LEN($A16)-2),'TH_MLG GRADE 10'!$B$7:$B$49,0))="P")+
 --(INDEX('TH_MLG GRADE 10'!$AG$7:$AG$49,MATCH(LEFT($A16,LEN($A16)-2),'TH_MLG GRADE 10'!$B$7:$B$49,0))="P")+
 --(INDEX('TH_MLG GRADE 10'!$AM$7:$AM$49,MATCH(LEFT($A16,LEN($A16)-2),'TH_MLG GRADE 10'!$B$7:$B$49,0))="P")+
 --(INDEX('TH_MLG GRADE 10'!$AY$7:$AY$49,MATCH(LEFT($A16,LEN($A16)-2),'TH_MLG GRADE 10'!$B$7:$B$49,0))="P")+
 --(INDEX('TH_MLG GRADE 10'!$BE$7:$BE$49,MATCH(LEFT($A16,LEN($A16)-2),'TH_MLG GRADE 10'!$B$7:$B$49,0))="P")+
 --(INDEX('TH_MLG GRADE 10'!$U$7:$U$49,MATCH(LEFT($A16,LEN($A16)-2),'TH_MLG GRADE 10'!$B$7:$B$49,0))="P")+
 --(INDEX('TH_MLG GRADE 10'!$AS$7:$AS$49,MATCH(LEFT($A16,LEN($A16)-2),'TH_MLG GRADE 10'!$B$7:$B$49,0))="P"),
0)</f>
        <v>3</v>
      </c>
      <c r="D16" s="24" t="b">
        <f ca="1">IF(IF(_xlfn.XLOOKUP(LEFT($A16,LEN($A16)-2),'TH_MLG GRADE 10'!$B$7:$B$49,'TH_MLG GRADE 10'!$BK$7:$BK$49,"",0,1)=0,"",_xlfn.XLOOKUP(LEFT($A16,LEN($A16)-2),'TH_MLG GRADE 10'!$B$7:$B$49,'TH_MLG GRADE 10'!$BK$7:$BK$49,"",0,1))&lt;=TODAY(),TRUE,FALSE)</f>
        <v>1</v>
      </c>
      <c r="E16" s="25">
        <f t="shared" ca="1" si="0"/>
        <v>1</v>
      </c>
      <c r="F16" s="24" t="s">
        <v>220</v>
      </c>
      <c r="G16">
        <v>2</v>
      </c>
      <c r="H16">
        <f>IFERROR(
 --(INDEX('PW_MLG GRADE 10'!$C$7:$C$31,MATCH(LEFT($A16,LEN($A16)-2),'PW_MLG GRADE 10'!$B$7:$B$31,0))="P")+
 --(INDEX('PW_MLG GRADE 10'!$I$7:$I$31,MATCH(LEFT($A16,LEN($A16)-2),'PW_MLG GRADE 10'!$B$7:$B$31,0))="P")+
 --(INDEX('PW_MLG GRADE 10'!$O$7:$O$31,MATCH(LEFT($A16,LEN($A16)-2),'PW_MLG GRADE 10'!$B$7:$B$31,0))="P")+
 --(INDEX('PW_MLG GRADE 10'!$AA$7:$AA$31,MATCH(LEFT($A16,LEN($A16)-2),'PW_MLG GRADE 10'!$B$7:$B$31,0))="P")+
 --(INDEX('PW_MLG GRADE 10'!$AG$7:$AG$31,MATCH(LEFT($A16,LEN($A16)-2),'PW_MLG GRADE 10'!$B$7:$B$31,0))="P")+
 --(INDEX('PW_MLG GRADE 10'!$AM$7:$AM$31,MATCH(LEFT($A16,LEN($A16)-2),'PW_MLG GRADE 10'!$B$7:$B$31,0))="P")+
 --(INDEX('PW_MLG GRADE 10'!$AY$7:$AY$31,MATCH(LEFT($A16,LEN($A16)-2),'PW_MLG GRADE 10'!$B$7:$B$31,0))="P")+
 --(INDEX('PW_MLG GRADE 10'!$BE$7:$BE$31,MATCH(LEFT($A16,LEN($A16)-2),'PW_MLG GRADE 10'!$B$7:$B$31,0))="P")+
 --(INDEX('PW_MLG GRADE 10'!$U$7:$U$31,MATCH(LEFT($A16,LEN($A16)-2),'PW_MLG GRADE 10'!$B$7:$B$31,0))="P")+
 --(INDEX('PW_MLG GRADE 10'!$AS$7:$AS$31,MATCH(LEFT($A16,LEN($A16)-2),'PW_MLG GRADE 10'!$B$7:$B$31,0))="P"),
0)</f>
        <v>0</v>
      </c>
      <c r="I16" s="24" t="b">
        <f ca="1">IF(IF(_xlfn.XLOOKUP(LEFT($A16,LEN($A16)-2),'PW_MLG GRADE 10'!$B$7:$B$31,'PW_MLG GRADE 10'!$BK$7:$BK$31,"",0,1)=0,"",_xlfn.XLOOKUP(LEFT($A16,LEN($A16)-2),'PW_MLG GRADE 10'!$B$7:$B$31,'PW_MLG GRADE 10'!$BK$7:$BK$31,"",0,1))&lt;=TODAY(),TRUE,FALSE)</f>
        <v>0</v>
      </c>
      <c r="J16" s="25" t="str">
        <f t="shared" ca="1" si="1"/>
        <v/>
      </c>
    </row>
    <row r="17" spans="1:10">
      <c r="A17" s="24" t="s">
        <v>221</v>
      </c>
      <c r="B17">
        <v>2</v>
      </c>
      <c r="C17">
        <f>IFERROR(
 --(INDEX('TH_MLG GRADE 10'!$C$7:$C$49,MATCH(LEFT($A17,LEN($A17)-2),'TH_MLG GRADE 10'!$B$7:$B$49,0))="P")+
 --(INDEX('TH_MLG GRADE 10'!$I$7:$I$49,MATCH(LEFT($A17,LEN($A17)-2),'TH_MLG GRADE 10'!$B$7:$B$49,0))="P")+
 --(INDEX('TH_MLG GRADE 10'!$O$7:$O$49,MATCH(LEFT($A17,LEN($A17)-2),'TH_MLG GRADE 10'!$B$7:$B$49,0))="P")+
 --(INDEX('TH_MLG GRADE 10'!$AA$7:$AA$49,MATCH(LEFT($A17,LEN($A17)-2),'TH_MLG GRADE 10'!$B$7:$B$49,0))="P")+
 --(INDEX('TH_MLG GRADE 10'!$AG$7:$AG$49,MATCH(LEFT($A17,LEN($A17)-2),'TH_MLG GRADE 10'!$B$7:$B$49,0))="P")+
 --(INDEX('TH_MLG GRADE 10'!$AM$7:$AM$49,MATCH(LEFT($A17,LEN($A17)-2),'TH_MLG GRADE 10'!$B$7:$B$49,0))="P")+
 --(INDEX('TH_MLG GRADE 10'!$AY$7:$AY$49,MATCH(LEFT($A17,LEN($A17)-2),'TH_MLG GRADE 10'!$B$7:$B$49,0))="P")+
 --(INDEX('TH_MLG GRADE 10'!$BE$7:$BE$49,MATCH(LEFT($A17,LEN($A17)-2),'TH_MLG GRADE 10'!$B$7:$B$49,0))="P")+
 --(INDEX('TH_MLG GRADE 10'!$U$7:$U$49,MATCH(LEFT($A17,LEN($A17)-2),'TH_MLG GRADE 10'!$B$7:$B$49,0))="P")+
 --(INDEX('TH_MLG GRADE 10'!$AS$7:$AS$49,MATCH(LEFT($A17,LEN($A17)-2),'TH_MLG GRADE 10'!$B$7:$B$49,0))="P"),
0)</f>
        <v>6</v>
      </c>
      <c r="D17" s="24" t="b">
        <f ca="1">IF(IF(_xlfn.XLOOKUP(LEFT($A17,LEN($A17)-2),'TH_MLG GRADE 10'!$B$7:$B$49,'TH_MLG GRADE 10'!$BK$7:$BK$49,"",0,1)=0,"",_xlfn.XLOOKUP(LEFT($A17,LEN($A17)-2),'TH_MLG GRADE 10'!$B$7:$B$49,'TH_MLG GRADE 10'!$BK$7:$BK$49,"",0,1))&lt;=TODAY(),TRUE,FALSE)</f>
        <v>1</v>
      </c>
      <c r="E17" s="25">
        <f t="shared" ca="1" si="0"/>
        <v>1</v>
      </c>
      <c r="F17" s="24" t="s">
        <v>221</v>
      </c>
      <c r="G17">
        <v>2</v>
      </c>
      <c r="H17">
        <f>IFERROR(
 --(INDEX('PW_MLG GRADE 10'!$C$7:$C$31,MATCH(LEFT($A17,LEN($A17)-2),'PW_MLG GRADE 10'!$B$7:$B$31,0))="P")+
 --(INDEX('PW_MLG GRADE 10'!$I$7:$I$31,MATCH(LEFT($A17,LEN($A17)-2),'PW_MLG GRADE 10'!$B$7:$B$31,0))="P")+
 --(INDEX('PW_MLG GRADE 10'!$O$7:$O$31,MATCH(LEFT($A17,LEN($A17)-2),'PW_MLG GRADE 10'!$B$7:$B$31,0))="P")+
 --(INDEX('PW_MLG GRADE 10'!$AA$7:$AA$31,MATCH(LEFT($A17,LEN($A17)-2),'PW_MLG GRADE 10'!$B$7:$B$31,0))="P")+
 --(INDEX('PW_MLG GRADE 10'!$AG$7:$AG$31,MATCH(LEFT($A17,LEN($A17)-2),'PW_MLG GRADE 10'!$B$7:$B$31,0))="P")+
 --(INDEX('PW_MLG GRADE 10'!$AM$7:$AM$31,MATCH(LEFT($A17,LEN($A17)-2),'PW_MLG GRADE 10'!$B$7:$B$31,0))="P")+
 --(INDEX('PW_MLG GRADE 10'!$AY$7:$AY$31,MATCH(LEFT($A17,LEN($A17)-2),'PW_MLG GRADE 10'!$B$7:$B$31,0))="P")+
 --(INDEX('PW_MLG GRADE 10'!$BE$7:$BE$31,MATCH(LEFT($A17,LEN($A17)-2),'PW_MLG GRADE 10'!$B$7:$B$31,0))="P")+
 --(INDEX('PW_MLG GRADE 10'!$U$7:$U$31,MATCH(LEFT($A17,LEN($A17)-2),'PW_MLG GRADE 10'!$B$7:$B$31,0))="P")+
 --(INDEX('PW_MLG GRADE 10'!$AS$7:$AS$31,MATCH(LEFT($A17,LEN($A17)-2),'PW_MLG GRADE 10'!$B$7:$B$31,0))="P"),
0)</f>
        <v>0</v>
      </c>
      <c r="I17" s="24" t="b">
        <f ca="1">IF(IF(_xlfn.XLOOKUP(LEFT($A17,LEN($A17)-2),'PW_MLG GRADE 10'!$B$7:$B$31,'PW_MLG GRADE 10'!$BK$7:$BK$31,"",0,1)=0,"",_xlfn.XLOOKUP(LEFT($A17,LEN($A17)-2),'PW_MLG GRADE 10'!$B$7:$B$31,'PW_MLG GRADE 10'!$BK$7:$BK$31,"",0,1))&lt;=TODAY(),TRUE,FALSE)</f>
        <v>0</v>
      </c>
      <c r="J17" s="25" t="str">
        <f t="shared" ca="1" si="1"/>
        <v/>
      </c>
    </row>
    <row r="18" spans="1:10">
      <c r="A18" s="24" t="s">
        <v>222</v>
      </c>
      <c r="B18">
        <v>2</v>
      </c>
      <c r="C18">
        <f>IFERROR(
 --(INDEX('TH_MLG GRADE 10'!$C$7:$C$49,MATCH(LEFT($A18,LEN($A18)-2),'TH_MLG GRADE 10'!$B$7:$B$49,0))="P")+
 --(INDEX('TH_MLG GRADE 10'!$I$7:$I$49,MATCH(LEFT($A18,LEN($A18)-2),'TH_MLG GRADE 10'!$B$7:$B$49,0))="P")+
 --(INDEX('TH_MLG GRADE 10'!$O$7:$O$49,MATCH(LEFT($A18,LEN($A18)-2),'TH_MLG GRADE 10'!$B$7:$B$49,0))="P")+
 --(INDEX('TH_MLG GRADE 10'!$AA$7:$AA$49,MATCH(LEFT($A18,LEN($A18)-2),'TH_MLG GRADE 10'!$B$7:$B$49,0))="P")+
 --(INDEX('TH_MLG GRADE 10'!$AG$7:$AG$49,MATCH(LEFT($A18,LEN($A18)-2),'TH_MLG GRADE 10'!$B$7:$B$49,0))="P")+
 --(INDEX('TH_MLG GRADE 10'!$AM$7:$AM$49,MATCH(LEFT($A18,LEN($A18)-2),'TH_MLG GRADE 10'!$B$7:$B$49,0))="P")+
 --(INDEX('TH_MLG GRADE 10'!$AY$7:$AY$49,MATCH(LEFT($A18,LEN($A18)-2),'TH_MLG GRADE 10'!$B$7:$B$49,0))="P")+
 --(INDEX('TH_MLG GRADE 10'!$BE$7:$BE$49,MATCH(LEFT($A18,LEN($A18)-2),'TH_MLG GRADE 10'!$B$7:$B$49,0))="P")+
 --(INDEX('TH_MLG GRADE 10'!$U$7:$U$49,MATCH(LEFT($A18,LEN($A18)-2),'TH_MLG GRADE 10'!$B$7:$B$49,0))="P")+
 --(INDEX('TH_MLG GRADE 10'!$AS$7:$AS$49,MATCH(LEFT($A18,LEN($A18)-2),'TH_MLG GRADE 10'!$B$7:$B$49,0))="P"),
0)</f>
        <v>2</v>
      </c>
      <c r="D18" s="24" t="b">
        <f ca="1">IF(IF(_xlfn.XLOOKUP(LEFT($A18,LEN($A18)-2),'TH_MLG GRADE 10'!$B$7:$B$49,'TH_MLG GRADE 10'!$BK$7:$BK$49,"",0,1)=0,"",_xlfn.XLOOKUP(LEFT($A18,LEN($A18)-2),'TH_MLG GRADE 10'!$B$7:$B$49,'TH_MLG GRADE 10'!$BK$7:$BK$49,"",0,1))&lt;=TODAY(),TRUE,FALSE)</f>
        <v>1</v>
      </c>
      <c r="E18" s="25">
        <f t="shared" ca="1" si="0"/>
        <v>1</v>
      </c>
      <c r="F18" s="24" t="s">
        <v>222</v>
      </c>
      <c r="G18">
        <v>2</v>
      </c>
      <c r="H18">
        <f>IFERROR(
 --(INDEX('PW_MLG GRADE 10'!$C$7:$C$31,MATCH(LEFT($A18,LEN($A18)-2),'PW_MLG GRADE 10'!$B$7:$B$31,0))="P")+
 --(INDEX('PW_MLG GRADE 10'!$I$7:$I$31,MATCH(LEFT($A18,LEN($A18)-2),'PW_MLG GRADE 10'!$B$7:$B$31,0))="P")+
 --(INDEX('PW_MLG GRADE 10'!$O$7:$O$31,MATCH(LEFT($A18,LEN($A18)-2),'PW_MLG GRADE 10'!$B$7:$B$31,0))="P")+
 --(INDEX('PW_MLG GRADE 10'!$AA$7:$AA$31,MATCH(LEFT($A18,LEN($A18)-2),'PW_MLG GRADE 10'!$B$7:$B$31,0))="P")+
 --(INDEX('PW_MLG GRADE 10'!$AG$7:$AG$31,MATCH(LEFT($A18,LEN($A18)-2),'PW_MLG GRADE 10'!$B$7:$B$31,0))="P")+
 --(INDEX('PW_MLG GRADE 10'!$AM$7:$AM$31,MATCH(LEFT($A18,LEN($A18)-2),'PW_MLG GRADE 10'!$B$7:$B$31,0))="P")+
 --(INDEX('PW_MLG GRADE 10'!$AY$7:$AY$31,MATCH(LEFT($A18,LEN($A18)-2),'PW_MLG GRADE 10'!$B$7:$B$31,0))="P")+
 --(INDEX('PW_MLG GRADE 10'!$BE$7:$BE$31,MATCH(LEFT($A18,LEN($A18)-2),'PW_MLG GRADE 10'!$B$7:$B$31,0))="P")+
 --(INDEX('PW_MLG GRADE 10'!$U$7:$U$31,MATCH(LEFT($A18,LEN($A18)-2),'PW_MLG GRADE 10'!$B$7:$B$31,0))="P")+
 --(INDEX('PW_MLG GRADE 10'!$AS$7:$AS$31,MATCH(LEFT($A18,LEN($A18)-2),'PW_MLG GRADE 10'!$B$7:$B$31,0))="P"),
0)</f>
        <v>0</v>
      </c>
      <c r="I18" s="24" t="b">
        <f ca="1">IF(IF(_xlfn.XLOOKUP(LEFT($A18,LEN($A18)-2),'PW_MLG GRADE 10'!$B$7:$B$31,'PW_MLG GRADE 10'!$BK$7:$BK$31,"",0,1)=0,"",_xlfn.XLOOKUP(LEFT($A18,LEN($A18)-2),'PW_MLG GRADE 10'!$B$7:$B$31,'PW_MLG GRADE 10'!$BK$7:$BK$31,"",0,1))&lt;=TODAY(),TRUE,FALSE)</f>
        <v>0</v>
      </c>
      <c r="J18" s="25" t="str">
        <f t="shared" ca="1" si="1"/>
        <v/>
      </c>
    </row>
    <row r="19" spans="1:10">
      <c r="A19" s="24" t="s">
        <v>223</v>
      </c>
      <c r="B19">
        <v>2</v>
      </c>
      <c r="C19">
        <f>IFERROR(
 --(INDEX('TH_MLG GRADE 10'!$C$7:$C$49,MATCH(LEFT($A19,LEN($A19)-2),'TH_MLG GRADE 10'!$B$7:$B$49,0))="P")+
 --(INDEX('TH_MLG GRADE 10'!$I$7:$I$49,MATCH(LEFT($A19,LEN($A19)-2),'TH_MLG GRADE 10'!$B$7:$B$49,0))="P")+
 --(INDEX('TH_MLG GRADE 10'!$O$7:$O$49,MATCH(LEFT($A19,LEN($A19)-2),'TH_MLG GRADE 10'!$B$7:$B$49,0))="P")+
 --(INDEX('TH_MLG GRADE 10'!$AA$7:$AA$49,MATCH(LEFT($A19,LEN($A19)-2),'TH_MLG GRADE 10'!$B$7:$B$49,0))="P")+
 --(INDEX('TH_MLG GRADE 10'!$AG$7:$AG$49,MATCH(LEFT($A19,LEN($A19)-2),'TH_MLG GRADE 10'!$B$7:$B$49,0))="P")+
 --(INDEX('TH_MLG GRADE 10'!$AM$7:$AM$49,MATCH(LEFT($A19,LEN($A19)-2),'TH_MLG GRADE 10'!$B$7:$B$49,0))="P")+
 --(INDEX('TH_MLG GRADE 10'!$AY$7:$AY$49,MATCH(LEFT($A19,LEN($A19)-2),'TH_MLG GRADE 10'!$B$7:$B$49,0))="P")+
 --(INDEX('TH_MLG GRADE 10'!$BE$7:$BE$49,MATCH(LEFT($A19,LEN($A19)-2),'TH_MLG GRADE 10'!$B$7:$B$49,0))="P")+
 --(INDEX('TH_MLG GRADE 10'!$U$7:$U$49,MATCH(LEFT($A19,LEN($A19)-2),'TH_MLG GRADE 10'!$B$7:$B$49,0))="P")+
 --(INDEX('TH_MLG GRADE 10'!$AS$7:$AS$49,MATCH(LEFT($A19,LEN($A19)-2),'TH_MLG GRADE 10'!$B$7:$B$49,0))="P"),
0)</f>
        <v>0</v>
      </c>
      <c r="D19" s="24" t="b">
        <f ca="1">IF(IF(_xlfn.XLOOKUP(LEFT($A19,LEN($A19)-2),'TH_MLG GRADE 10'!$B$7:$B$49,'TH_MLG GRADE 10'!$BK$7:$BK$49,"",0,1)=0,"",_xlfn.XLOOKUP(LEFT($A19,LEN($A19)-2),'TH_MLG GRADE 10'!$B$7:$B$49,'TH_MLG GRADE 10'!$BK$7:$BK$49,"",0,1))&lt;=TODAY(),TRUE,FALSE)</f>
        <v>0</v>
      </c>
      <c r="E19" s="25" t="str">
        <f t="shared" ca="1" si="0"/>
        <v/>
      </c>
      <c r="F19" s="24" t="s">
        <v>223</v>
      </c>
      <c r="G19">
        <v>2</v>
      </c>
      <c r="H19">
        <f>IFERROR(
 --(INDEX('PW_MLG GRADE 10'!$C$7:$C$31,MATCH(LEFT($A19,LEN($A19)-2),'PW_MLG GRADE 10'!$B$7:$B$31,0))="P")+
 --(INDEX('PW_MLG GRADE 10'!$I$7:$I$31,MATCH(LEFT($A19,LEN($A19)-2),'PW_MLG GRADE 10'!$B$7:$B$31,0))="P")+
 --(INDEX('PW_MLG GRADE 10'!$O$7:$O$31,MATCH(LEFT($A19,LEN($A19)-2),'PW_MLG GRADE 10'!$B$7:$B$31,0))="P")+
 --(INDEX('PW_MLG GRADE 10'!$AA$7:$AA$31,MATCH(LEFT($A19,LEN($A19)-2),'PW_MLG GRADE 10'!$B$7:$B$31,0))="P")+
 --(INDEX('PW_MLG GRADE 10'!$AG$7:$AG$31,MATCH(LEFT($A19,LEN($A19)-2),'PW_MLG GRADE 10'!$B$7:$B$31,0))="P")+
 --(INDEX('PW_MLG GRADE 10'!$AM$7:$AM$31,MATCH(LEFT($A19,LEN($A19)-2),'PW_MLG GRADE 10'!$B$7:$B$31,0))="P")+
 --(INDEX('PW_MLG GRADE 10'!$AY$7:$AY$31,MATCH(LEFT($A19,LEN($A19)-2),'PW_MLG GRADE 10'!$B$7:$B$31,0))="P")+
 --(INDEX('PW_MLG GRADE 10'!$BE$7:$BE$31,MATCH(LEFT($A19,LEN($A19)-2),'PW_MLG GRADE 10'!$B$7:$B$31,0))="P")+
 --(INDEX('PW_MLG GRADE 10'!$U$7:$U$31,MATCH(LEFT($A19,LEN($A19)-2),'PW_MLG GRADE 10'!$B$7:$B$31,0))="P")+
 --(INDEX('PW_MLG GRADE 10'!$AS$7:$AS$31,MATCH(LEFT($A19,LEN($A19)-2),'PW_MLG GRADE 10'!$B$7:$B$31,0))="P"),
0)</f>
        <v>2</v>
      </c>
      <c r="I19" s="24" t="b">
        <f ca="1">IF(IF(_xlfn.XLOOKUP(LEFT($A19,LEN($A19)-2),'PW_MLG GRADE 10'!$B$7:$B$31,'PW_MLG GRADE 10'!$BK$7:$BK$31,"",0,1)=0,"",_xlfn.XLOOKUP(LEFT($A19,LEN($A19)-2),'PW_MLG GRADE 10'!$B$7:$B$31,'PW_MLG GRADE 10'!$BK$7:$BK$31,"",0,1))&lt;=TODAY(),TRUE,FALSE)</f>
        <v>1</v>
      </c>
      <c r="J19" s="25">
        <f t="shared" ca="1" si="1"/>
        <v>1</v>
      </c>
    </row>
    <row r="20" spans="1:10">
      <c r="A20" s="24" t="s">
        <v>224</v>
      </c>
      <c r="B20">
        <v>2</v>
      </c>
      <c r="C20">
        <f>IFERROR(
 --(INDEX('TH_MLG GRADE 10'!$C$7:$C$49,MATCH(LEFT($A20,LEN($A20)-2),'TH_MLG GRADE 10'!$B$7:$B$49,0))="P")+
 --(INDEX('TH_MLG GRADE 10'!$I$7:$I$49,MATCH(LEFT($A20,LEN($A20)-2),'TH_MLG GRADE 10'!$B$7:$B$49,0))="P")+
 --(INDEX('TH_MLG GRADE 10'!$O$7:$O$49,MATCH(LEFT($A20,LEN($A20)-2),'TH_MLG GRADE 10'!$B$7:$B$49,0))="P")+
 --(INDEX('TH_MLG GRADE 10'!$AA$7:$AA$49,MATCH(LEFT($A20,LEN($A20)-2),'TH_MLG GRADE 10'!$B$7:$B$49,0))="P")+
 --(INDEX('TH_MLG GRADE 10'!$AG$7:$AG$49,MATCH(LEFT($A20,LEN($A20)-2),'TH_MLG GRADE 10'!$B$7:$B$49,0))="P")+
 --(INDEX('TH_MLG GRADE 10'!$AM$7:$AM$49,MATCH(LEFT($A20,LEN($A20)-2),'TH_MLG GRADE 10'!$B$7:$B$49,0))="P")+
 --(INDEX('TH_MLG GRADE 10'!$AY$7:$AY$49,MATCH(LEFT($A20,LEN($A20)-2),'TH_MLG GRADE 10'!$B$7:$B$49,0))="P")+
 --(INDEX('TH_MLG GRADE 10'!$BE$7:$BE$49,MATCH(LEFT($A20,LEN($A20)-2),'TH_MLG GRADE 10'!$B$7:$B$49,0))="P")+
 --(INDEX('TH_MLG GRADE 10'!$U$7:$U$49,MATCH(LEFT($A20,LEN($A20)-2),'TH_MLG GRADE 10'!$B$7:$B$49,0))="P")+
 --(INDEX('TH_MLG GRADE 10'!$AS$7:$AS$49,MATCH(LEFT($A20,LEN($A20)-2),'TH_MLG GRADE 10'!$B$7:$B$49,0))="P"),
0)</f>
        <v>0</v>
      </c>
      <c r="D20" s="24" t="b">
        <f ca="1">IF(IF(_xlfn.XLOOKUP(LEFT($A20,LEN($A20)-2),'TH_MLG GRADE 10'!$B$7:$B$49,'TH_MLG GRADE 10'!$BK$7:$BK$49,"",0,1)=0,"",_xlfn.XLOOKUP(LEFT($A20,LEN($A20)-2),'TH_MLG GRADE 10'!$B$7:$B$49,'TH_MLG GRADE 10'!$BK$7:$BK$49,"",0,1))&lt;=TODAY(),TRUE,FALSE)</f>
        <v>0</v>
      </c>
      <c r="E20" s="25" t="str">
        <f t="shared" ca="1" si="0"/>
        <v/>
      </c>
      <c r="F20" s="24" t="s">
        <v>224</v>
      </c>
      <c r="G20">
        <v>2</v>
      </c>
      <c r="H20">
        <f>IFERROR(
 --(INDEX('PW_MLG GRADE 10'!$C$7:$C$31,MATCH(LEFT($A20,LEN($A20)-2),'PW_MLG GRADE 10'!$B$7:$B$31,0))="P")+
 --(INDEX('PW_MLG GRADE 10'!$I$7:$I$31,MATCH(LEFT($A20,LEN($A20)-2),'PW_MLG GRADE 10'!$B$7:$B$31,0))="P")+
 --(INDEX('PW_MLG GRADE 10'!$O$7:$O$31,MATCH(LEFT($A20,LEN($A20)-2),'PW_MLG GRADE 10'!$B$7:$B$31,0))="P")+
 --(INDEX('PW_MLG GRADE 10'!$AA$7:$AA$31,MATCH(LEFT($A20,LEN($A20)-2),'PW_MLG GRADE 10'!$B$7:$B$31,0))="P")+
 --(INDEX('PW_MLG GRADE 10'!$AG$7:$AG$31,MATCH(LEFT($A20,LEN($A20)-2),'PW_MLG GRADE 10'!$B$7:$B$31,0))="P")+
 --(INDEX('PW_MLG GRADE 10'!$AM$7:$AM$31,MATCH(LEFT($A20,LEN($A20)-2),'PW_MLG GRADE 10'!$B$7:$B$31,0))="P")+
 --(INDEX('PW_MLG GRADE 10'!$AY$7:$AY$31,MATCH(LEFT($A20,LEN($A20)-2),'PW_MLG GRADE 10'!$B$7:$B$31,0))="P")+
 --(INDEX('PW_MLG GRADE 10'!$BE$7:$BE$31,MATCH(LEFT($A20,LEN($A20)-2),'PW_MLG GRADE 10'!$B$7:$B$31,0))="P")+
 --(INDEX('PW_MLG GRADE 10'!$U$7:$U$31,MATCH(LEFT($A20,LEN($A20)-2),'PW_MLG GRADE 10'!$B$7:$B$31,0))="P")+
 --(INDEX('PW_MLG GRADE 10'!$AS$7:$AS$31,MATCH(LEFT($A20,LEN($A20)-2),'PW_MLG GRADE 10'!$B$7:$B$31,0))="P"),
0)</f>
        <v>2</v>
      </c>
      <c r="I20" s="24" t="b">
        <f ca="1">IF(IF(_xlfn.XLOOKUP(LEFT($A20,LEN($A20)-2),'PW_MLG GRADE 10'!$B$7:$B$31,'PW_MLG GRADE 10'!$BK$7:$BK$31,"",0,1)=0,"",_xlfn.XLOOKUP(LEFT($A20,LEN($A20)-2),'PW_MLG GRADE 10'!$B$7:$B$31,'PW_MLG GRADE 10'!$BK$7:$BK$31,"",0,1))&lt;=TODAY(),TRUE,FALSE)</f>
        <v>1</v>
      </c>
      <c r="J20" s="25">
        <f t="shared" ca="1" si="1"/>
        <v>1</v>
      </c>
    </row>
    <row r="21" spans="1:10">
      <c r="A21" s="24" t="s">
        <v>225</v>
      </c>
      <c r="B21">
        <v>2</v>
      </c>
      <c r="C21">
        <f>IFERROR(
 --(INDEX('TH_MLG GRADE 10'!$C$7:$C$49,MATCH(LEFT($A21,LEN($A21)-2),'TH_MLG GRADE 10'!$B$7:$B$49,0))="P")+
 --(INDEX('TH_MLG GRADE 10'!$I$7:$I$49,MATCH(LEFT($A21,LEN($A21)-2),'TH_MLG GRADE 10'!$B$7:$B$49,0))="P")+
 --(INDEX('TH_MLG GRADE 10'!$O$7:$O$49,MATCH(LEFT($A21,LEN($A21)-2),'TH_MLG GRADE 10'!$B$7:$B$49,0))="P")+
 --(INDEX('TH_MLG GRADE 10'!$AA$7:$AA$49,MATCH(LEFT($A21,LEN($A21)-2),'TH_MLG GRADE 10'!$B$7:$B$49,0))="P")+
 --(INDEX('TH_MLG GRADE 10'!$AG$7:$AG$49,MATCH(LEFT($A21,LEN($A21)-2),'TH_MLG GRADE 10'!$B$7:$B$49,0))="P")+
 --(INDEX('TH_MLG GRADE 10'!$AM$7:$AM$49,MATCH(LEFT($A21,LEN($A21)-2),'TH_MLG GRADE 10'!$B$7:$B$49,0))="P")+
 --(INDEX('TH_MLG GRADE 10'!$AY$7:$AY$49,MATCH(LEFT($A21,LEN($A21)-2),'TH_MLG GRADE 10'!$B$7:$B$49,0))="P")+
 --(INDEX('TH_MLG GRADE 10'!$BE$7:$BE$49,MATCH(LEFT($A21,LEN($A21)-2),'TH_MLG GRADE 10'!$B$7:$B$49,0))="P")+
 --(INDEX('TH_MLG GRADE 10'!$U$7:$U$49,MATCH(LEFT($A21,LEN($A21)-2),'TH_MLG GRADE 10'!$B$7:$B$49,0))="P")+
 --(INDEX('TH_MLG GRADE 10'!$AS$7:$AS$49,MATCH(LEFT($A21,LEN($A21)-2),'TH_MLG GRADE 10'!$B$7:$B$49,0))="P"),
0)</f>
        <v>3</v>
      </c>
      <c r="D21" s="24" t="b">
        <f ca="1">IF(IF(_xlfn.XLOOKUP(LEFT($A21,LEN($A21)-2),'TH_MLG GRADE 10'!$B$7:$B$49,'TH_MLG GRADE 10'!$BK$7:$BK$49,"",0,1)=0,"",_xlfn.XLOOKUP(LEFT($A21,LEN($A21)-2),'TH_MLG GRADE 10'!$B$7:$B$49,'TH_MLG GRADE 10'!$BK$7:$BK$49,"",0,1))&lt;=TODAY(),TRUE,FALSE)</f>
        <v>1</v>
      </c>
      <c r="E21" s="25">
        <f t="shared" ca="1" si="0"/>
        <v>1</v>
      </c>
      <c r="F21" s="24" t="s">
        <v>225</v>
      </c>
      <c r="G21">
        <v>2</v>
      </c>
      <c r="H21">
        <f>IFERROR(
 --(INDEX('PW_MLG GRADE 10'!$C$7:$C$31,MATCH(LEFT($A21,LEN($A21)-2),'PW_MLG GRADE 10'!$B$7:$B$31,0))="P")+
 --(INDEX('PW_MLG GRADE 10'!$I$7:$I$31,MATCH(LEFT($A21,LEN($A21)-2),'PW_MLG GRADE 10'!$B$7:$B$31,0))="P")+
 --(INDEX('PW_MLG GRADE 10'!$O$7:$O$31,MATCH(LEFT($A21,LEN($A21)-2),'PW_MLG GRADE 10'!$B$7:$B$31,0))="P")+
 --(INDEX('PW_MLG GRADE 10'!$AA$7:$AA$31,MATCH(LEFT($A21,LEN($A21)-2),'PW_MLG GRADE 10'!$B$7:$B$31,0))="P")+
 --(INDEX('PW_MLG GRADE 10'!$AG$7:$AG$31,MATCH(LEFT($A21,LEN($A21)-2),'PW_MLG GRADE 10'!$B$7:$B$31,0))="P")+
 --(INDEX('PW_MLG GRADE 10'!$AM$7:$AM$31,MATCH(LEFT($A21,LEN($A21)-2),'PW_MLG GRADE 10'!$B$7:$B$31,0))="P")+
 --(INDEX('PW_MLG GRADE 10'!$AY$7:$AY$31,MATCH(LEFT($A21,LEN($A21)-2),'PW_MLG GRADE 10'!$B$7:$B$31,0))="P")+
 --(INDEX('PW_MLG GRADE 10'!$BE$7:$BE$31,MATCH(LEFT($A21,LEN($A21)-2),'PW_MLG GRADE 10'!$B$7:$B$31,0))="P")+
 --(INDEX('PW_MLG GRADE 10'!$U$7:$U$31,MATCH(LEFT($A21,LEN($A21)-2),'PW_MLG GRADE 10'!$B$7:$B$31,0))="P")+
 --(INDEX('PW_MLG GRADE 10'!$AS$7:$AS$31,MATCH(LEFT($A21,LEN($A21)-2),'PW_MLG GRADE 10'!$B$7:$B$31,0))="P"),
0)</f>
        <v>0</v>
      </c>
      <c r="I21" s="24" t="b">
        <f ca="1">IF(IF(_xlfn.XLOOKUP(LEFT($A21,LEN($A21)-2),'PW_MLG GRADE 10'!$B$7:$B$31,'PW_MLG GRADE 10'!$BK$7:$BK$31,"",0,1)=0,"",_xlfn.XLOOKUP(LEFT($A21,LEN($A21)-2),'PW_MLG GRADE 10'!$B$7:$B$31,'PW_MLG GRADE 10'!$BK$7:$BK$31,"",0,1))&lt;=TODAY(),TRUE,FALSE)</f>
        <v>0</v>
      </c>
      <c r="J21" s="25" t="str">
        <f t="shared" ca="1" si="1"/>
        <v/>
      </c>
    </row>
    <row r="22" spans="1:10">
      <c r="A22" s="24" t="s">
        <v>226</v>
      </c>
      <c r="B22">
        <v>2</v>
      </c>
      <c r="C22">
        <f>IFERROR(
 --(INDEX('TH_MLG GRADE 10'!$C$7:$C$49,MATCH(LEFT($A22,LEN($A22)-2),'TH_MLG GRADE 10'!$B$7:$B$49,0))="P")+
 --(INDEX('TH_MLG GRADE 10'!$I$7:$I$49,MATCH(LEFT($A22,LEN($A22)-2),'TH_MLG GRADE 10'!$B$7:$B$49,0))="P")+
 --(INDEX('TH_MLG GRADE 10'!$O$7:$O$49,MATCH(LEFT($A22,LEN($A22)-2),'TH_MLG GRADE 10'!$B$7:$B$49,0))="P")+
 --(INDEX('TH_MLG GRADE 10'!$AA$7:$AA$49,MATCH(LEFT($A22,LEN($A22)-2),'TH_MLG GRADE 10'!$B$7:$B$49,0))="P")+
 --(INDEX('TH_MLG GRADE 10'!$AG$7:$AG$49,MATCH(LEFT($A22,LEN($A22)-2),'TH_MLG GRADE 10'!$B$7:$B$49,0))="P")+
 --(INDEX('TH_MLG GRADE 10'!$AM$7:$AM$49,MATCH(LEFT($A22,LEN($A22)-2),'TH_MLG GRADE 10'!$B$7:$B$49,0))="P")+
 --(INDEX('TH_MLG GRADE 10'!$AY$7:$AY$49,MATCH(LEFT($A22,LEN($A22)-2),'TH_MLG GRADE 10'!$B$7:$B$49,0))="P")+
 --(INDEX('TH_MLG GRADE 10'!$BE$7:$BE$49,MATCH(LEFT($A22,LEN($A22)-2),'TH_MLG GRADE 10'!$B$7:$B$49,0))="P")+
 --(INDEX('TH_MLG GRADE 10'!$U$7:$U$49,MATCH(LEFT($A22,LEN($A22)-2),'TH_MLG GRADE 10'!$B$7:$B$49,0))="P")+
 --(INDEX('TH_MLG GRADE 10'!$AS$7:$AS$49,MATCH(LEFT($A22,LEN($A22)-2),'TH_MLG GRADE 10'!$B$7:$B$49,0))="P"),
0)</f>
        <v>2</v>
      </c>
      <c r="D22" s="24" t="b">
        <f ca="1">IF(IF(_xlfn.XLOOKUP(LEFT($A22,LEN($A22)-2),'TH_MLG GRADE 10'!$B$7:$B$49,'TH_MLG GRADE 10'!$BK$7:$BK$49,"",0,1)=0,"",_xlfn.XLOOKUP(LEFT($A22,LEN($A22)-2),'TH_MLG GRADE 10'!$B$7:$B$49,'TH_MLG GRADE 10'!$BK$7:$BK$49,"",0,1))&lt;=TODAY(),TRUE,FALSE)</f>
        <v>1</v>
      </c>
      <c r="E22" s="25">
        <f t="shared" ca="1" si="0"/>
        <v>1</v>
      </c>
      <c r="F22" s="24" t="s">
        <v>226</v>
      </c>
      <c r="G22">
        <v>2</v>
      </c>
      <c r="H22">
        <f>IFERROR(
 --(INDEX('PW_MLG GRADE 10'!$C$7:$C$31,MATCH(LEFT($A22,LEN($A22)-2),'PW_MLG GRADE 10'!$B$7:$B$31,0))="P")+
 --(INDEX('PW_MLG GRADE 10'!$I$7:$I$31,MATCH(LEFT($A22,LEN($A22)-2),'PW_MLG GRADE 10'!$B$7:$B$31,0))="P")+
 --(INDEX('PW_MLG GRADE 10'!$O$7:$O$31,MATCH(LEFT($A22,LEN($A22)-2),'PW_MLG GRADE 10'!$B$7:$B$31,0))="P")+
 --(INDEX('PW_MLG GRADE 10'!$AA$7:$AA$31,MATCH(LEFT($A22,LEN($A22)-2),'PW_MLG GRADE 10'!$B$7:$B$31,0))="P")+
 --(INDEX('PW_MLG GRADE 10'!$AG$7:$AG$31,MATCH(LEFT($A22,LEN($A22)-2),'PW_MLG GRADE 10'!$B$7:$B$31,0))="P")+
 --(INDEX('PW_MLG GRADE 10'!$AM$7:$AM$31,MATCH(LEFT($A22,LEN($A22)-2),'PW_MLG GRADE 10'!$B$7:$B$31,0))="P")+
 --(INDEX('PW_MLG GRADE 10'!$AY$7:$AY$31,MATCH(LEFT($A22,LEN($A22)-2),'PW_MLG GRADE 10'!$B$7:$B$31,0))="P")+
 --(INDEX('PW_MLG GRADE 10'!$BE$7:$BE$31,MATCH(LEFT($A22,LEN($A22)-2),'PW_MLG GRADE 10'!$B$7:$B$31,0))="P")+
 --(INDEX('PW_MLG GRADE 10'!$U$7:$U$31,MATCH(LEFT($A22,LEN($A22)-2),'PW_MLG GRADE 10'!$B$7:$B$31,0))="P")+
 --(INDEX('PW_MLG GRADE 10'!$AS$7:$AS$31,MATCH(LEFT($A22,LEN($A22)-2),'PW_MLG GRADE 10'!$B$7:$B$31,0))="P"),
0)</f>
        <v>0</v>
      </c>
      <c r="I22" s="24" t="b">
        <f ca="1">IF(IF(_xlfn.XLOOKUP(LEFT($A22,LEN($A22)-2),'PW_MLG GRADE 10'!$B$7:$B$31,'PW_MLG GRADE 10'!$BK$7:$BK$31,"",0,1)=0,"",_xlfn.XLOOKUP(LEFT($A22,LEN($A22)-2),'PW_MLG GRADE 10'!$B$7:$B$31,'PW_MLG GRADE 10'!$BK$7:$BK$31,"",0,1))&lt;=TODAY(),TRUE,FALSE)</f>
        <v>0</v>
      </c>
      <c r="J22" s="25" t="str">
        <f t="shared" ca="1" si="1"/>
        <v/>
      </c>
    </row>
    <row r="23" spans="1:10">
      <c r="A23" s="24" t="s">
        <v>227</v>
      </c>
      <c r="B23">
        <v>2</v>
      </c>
      <c r="C23">
        <f>IFERROR(
 --(INDEX('TH_MLG GRADE 10'!$C$7:$C$49,MATCH(LEFT($A23,LEN($A23)-2),'TH_MLG GRADE 10'!$B$7:$B$49,0))="P")+
 --(INDEX('TH_MLG GRADE 10'!$I$7:$I$49,MATCH(LEFT($A23,LEN($A23)-2),'TH_MLG GRADE 10'!$B$7:$B$49,0))="P")+
 --(INDEX('TH_MLG GRADE 10'!$O$7:$O$49,MATCH(LEFT($A23,LEN($A23)-2),'TH_MLG GRADE 10'!$B$7:$B$49,0))="P")+
 --(INDEX('TH_MLG GRADE 10'!$AA$7:$AA$49,MATCH(LEFT($A23,LEN($A23)-2),'TH_MLG GRADE 10'!$B$7:$B$49,0))="P")+
 --(INDEX('TH_MLG GRADE 10'!$AG$7:$AG$49,MATCH(LEFT($A23,LEN($A23)-2),'TH_MLG GRADE 10'!$B$7:$B$49,0))="P")+
 --(INDEX('TH_MLG GRADE 10'!$AM$7:$AM$49,MATCH(LEFT($A23,LEN($A23)-2),'TH_MLG GRADE 10'!$B$7:$B$49,0))="P")+
 --(INDEX('TH_MLG GRADE 10'!$AY$7:$AY$49,MATCH(LEFT($A23,LEN($A23)-2),'TH_MLG GRADE 10'!$B$7:$B$49,0))="P")+
 --(INDEX('TH_MLG GRADE 10'!$BE$7:$BE$49,MATCH(LEFT($A23,LEN($A23)-2),'TH_MLG GRADE 10'!$B$7:$B$49,0))="P")+
 --(INDEX('TH_MLG GRADE 10'!$U$7:$U$49,MATCH(LEFT($A23,LEN($A23)-2),'TH_MLG GRADE 10'!$B$7:$B$49,0))="P")+
 --(INDEX('TH_MLG GRADE 10'!$AS$7:$AS$49,MATCH(LEFT($A23,LEN($A23)-2),'TH_MLG GRADE 10'!$B$7:$B$49,0))="P"),
0)</f>
        <v>4</v>
      </c>
      <c r="D23" s="24" t="b">
        <f ca="1">IF(IF(_xlfn.XLOOKUP(LEFT($A23,LEN($A23)-2),'TH_MLG GRADE 10'!$B$7:$B$49,'TH_MLG GRADE 10'!$BK$7:$BK$49,"",0,1)=0,"",_xlfn.XLOOKUP(LEFT($A23,LEN($A23)-2),'TH_MLG GRADE 10'!$B$7:$B$49,'TH_MLG GRADE 10'!$BK$7:$BK$49,"",0,1))&lt;=TODAY(),TRUE,FALSE)</f>
        <v>1</v>
      </c>
      <c r="E23" s="25">
        <f t="shared" ca="1" si="0"/>
        <v>1</v>
      </c>
      <c r="F23" s="24" t="s">
        <v>227</v>
      </c>
      <c r="G23">
        <v>2</v>
      </c>
      <c r="H23">
        <f>IFERROR(
 --(INDEX('PW_MLG GRADE 10'!$C$7:$C$31,MATCH(LEFT($A23,LEN($A23)-2),'PW_MLG GRADE 10'!$B$7:$B$31,0))="P")+
 --(INDEX('PW_MLG GRADE 10'!$I$7:$I$31,MATCH(LEFT($A23,LEN($A23)-2),'PW_MLG GRADE 10'!$B$7:$B$31,0))="P")+
 --(INDEX('PW_MLG GRADE 10'!$O$7:$O$31,MATCH(LEFT($A23,LEN($A23)-2),'PW_MLG GRADE 10'!$B$7:$B$31,0))="P")+
 --(INDEX('PW_MLG GRADE 10'!$AA$7:$AA$31,MATCH(LEFT($A23,LEN($A23)-2),'PW_MLG GRADE 10'!$B$7:$B$31,0))="P")+
 --(INDEX('PW_MLG GRADE 10'!$AG$7:$AG$31,MATCH(LEFT($A23,LEN($A23)-2),'PW_MLG GRADE 10'!$B$7:$B$31,0))="P")+
 --(INDEX('PW_MLG GRADE 10'!$AM$7:$AM$31,MATCH(LEFT($A23,LEN($A23)-2),'PW_MLG GRADE 10'!$B$7:$B$31,0))="P")+
 --(INDEX('PW_MLG GRADE 10'!$AY$7:$AY$31,MATCH(LEFT($A23,LEN($A23)-2),'PW_MLG GRADE 10'!$B$7:$B$31,0))="P")+
 --(INDEX('PW_MLG GRADE 10'!$BE$7:$BE$31,MATCH(LEFT($A23,LEN($A23)-2),'PW_MLG GRADE 10'!$B$7:$B$31,0))="P")+
 --(INDEX('PW_MLG GRADE 10'!$U$7:$U$31,MATCH(LEFT($A23,LEN($A23)-2),'PW_MLG GRADE 10'!$B$7:$B$31,0))="P")+
 --(INDEX('PW_MLG GRADE 10'!$AS$7:$AS$31,MATCH(LEFT($A23,LEN($A23)-2),'PW_MLG GRADE 10'!$B$7:$B$31,0))="P"),
0)</f>
        <v>0</v>
      </c>
      <c r="I23" s="24" t="b">
        <f ca="1">IF(IF(_xlfn.XLOOKUP(LEFT($A23,LEN($A23)-2),'PW_MLG GRADE 10'!$B$7:$B$31,'PW_MLG GRADE 10'!$BK$7:$BK$31,"",0,1)=0,"",_xlfn.XLOOKUP(LEFT($A23,LEN($A23)-2),'PW_MLG GRADE 10'!$B$7:$B$31,'PW_MLG GRADE 10'!$BK$7:$BK$31,"",0,1))&lt;=TODAY(),TRUE,FALSE)</f>
        <v>0</v>
      </c>
      <c r="J23" s="25" t="str">
        <f t="shared" ca="1" si="1"/>
        <v/>
      </c>
    </row>
    <row r="24" spans="1:10">
      <c r="A24" s="24" t="s">
        <v>228</v>
      </c>
      <c r="B24">
        <v>2</v>
      </c>
      <c r="C24">
        <f>IFERROR(
 --(INDEX('TH_MLG GRADE 10'!$C$7:$C$49,MATCH(LEFT($A24,LEN($A24)-2),'TH_MLG GRADE 10'!$B$7:$B$49,0))="P")+
 --(INDEX('TH_MLG GRADE 10'!$I$7:$I$49,MATCH(LEFT($A24,LEN($A24)-2),'TH_MLG GRADE 10'!$B$7:$B$49,0))="P")+
 --(INDEX('TH_MLG GRADE 10'!$O$7:$O$49,MATCH(LEFT($A24,LEN($A24)-2),'TH_MLG GRADE 10'!$B$7:$B$49,0))="P")+
 --(INDEX('TH_MLG GRADE 10'!$AA$7:$AA$49,MATCH(LEFT($A24,LEN($A24)-2),'TH_MLG GRADE 10'!$B$7:$B$49,0))="P")+
 --(INDEX('TH_MLG GRADE 10'!$AG$7:$AG$49,MATCH(LEFT($A24,LEN($A24)-2),'TH_MLG GRADE 10'!$B$7:$B$49,0))="P")+
 --(INDEX('TH_MLG GRADE 10'!$AM$7:$AM$49,MATCH(LEFT($A24,LEN($A24)-2),'TH_MLG GRADE 10'!$B$7:$B$49,0))="P")+
 --(INDEX('TH_MLG GRADE 10'!$AY$7:$AY$49,MATCH(LEFT($A24,LEN($A24)-2),'TH_MLG GRADE 10'!$B$7:$B$49,0))="P")+
 --(INDEX('TH_MLG GRADE 10'!$BE$7:$BE$49,MATCH(LEFT($A24,LEN($A24)-2),'TH_MLG GRADE 10'!$B$7:$B$49,0))="P")+
 --(INDEX('TH_MLG GRADE 10'!$U$7:$U$49,MATCH(LEFT($A24,LEN($A24)-2),'TH_MLG GRADE 10'!$B$7:$B$49,0))="P")+
 --(INDEX('TH_MLG GRADE 10'!$AS$7:$AS$49,MATCH(LEFT($A24,LEN($A24)-2),'TH_MLG GRADE 10'!$B$7:$B$49,0))="P"),
0)</f>
        <v>3</v>
      </c>
      <c r="D24" s="24" t="b">
        <f ca="1">IF(IF(_xlfn.XLOOKUP(LEFT($A24,LEN($A24)-2),'TH_MLG GRADE 10'!$B$7:$B$49,'TH_MLG GRADE 10'!$BK$7:$BK$49,"",0,1)=0,"",_xlfn.XLOOKUP(LEFT($A24,LEN($A24)-2),'TH_MLG GRADE 10'!$B$7:$B$49,'TH_MLG GRADE 10'!$BK$7:$BK$49,"",0,1))&lt;=TODAY(),TRUE,FALSE)</f>
        <v>1</v>
      </c>
      <c r="E24" s="25">
        <f t="shared" ca="1" si="0"/>
        <v>1</v>
      </c>
      <c r="F24" s="24" t="s">
        <v>228</v>
      </c>
      <c r="G24">
        <v>2</v>
      </c>
      <c r="H24">
        <f>IFERROR(
 --(INDEX('PW_MLG GRADE 10'!$C$7:$C$31,MATCH(LEFT($A24,LEN($A24)-2),'PW_MLG GRADE 10'!$B$7:$B$31,0))="P")+
 --(INDEX('PW_MLG GRADE 10'!$I$7:$I$31,MATCH(LEFT($A24,LEN($A24)-2),'PW_MLG GRADE 10'!$B$7:$B$31,0))="P")+
 --(INDEX('PW_MLG GRADE 10'!$O$7:$O$31,MATCH(LEFT($A24,LEN($A24)-2),'PW_MLG GRADE 10'!$B$7:$B$31,0))="P")+
 --(INDEX('PW_MLG GRADE 10'!$AA$7:$AA$31,MATCH(LEFT($A24,LEN($A24)-2),'PW_MLG GRADE 10'!$B$7:$B$31,0))="P")+
 --(INDEX('PW_MLG GRADE 10'!$AG$7:$AG$31,MATCH(LEFT($A24,LEN($A24)-2),'PW_MLG GRADE 10'!$B$7:$B$31,0))="P")+
 --(INDEX('PW_MLG GRADE 10'!$AM$7:$AM$31,MATCH(LEFT($A24,LEN($A24)-2),'PW_MLG GRADE 10'!$B$7:$B$31,0))="P")+
 --(INDEX('PW_MLG GRADE 10'!$AY$7:$AY$31,MATCH(LEFT($A24,LEN($A24)-2),'PW_MLG GRADE 10'!$B$7:$B$31,0))="P")+
 --(INDEX('PW_MLG GRADE 10'!$BE$7:$BE$31,MATCH(LEFT($A24,LEN($A24)-2),'PW_MLG GRADE 10'!$B$7:$B$31,0))="P")+
 --(INDEX('PW_MLG GRADE 10'!$U$7:$U$31,MATCH(LEFT($A24,LEN($A24)-2),'PW_MLG GRADE 10'!$B$7:$B$31,0))="P")+
 --(INDEX('PW_MLG GRADE 10'!$AS$7:$AS$31,MATCH(LEFT($A24,LEN($A24)-2),'PW_MLG GRADE 10'!$B$7:$B$31,0))="P"),
0)</f>
        <v>0</v>
      </c>
      <c r="I24" s="24" t="b">
        <f ca="1">IF(IF(_xlfn.XLOOKUP(LEFT($A24,LEN($A24)-2),'PW_MLG GRADE 10'!$B$7:$B$31,'PW_MLG GRADE 10'!$BK$7:$BK$31,"",0,1)=0,"",_xlfn.XLOOKUP(LEFT($A24,LEN($A24)-2),'PW_MLG GRADE 10'!$B$7:$B$31,'PW_MLG GRADE 10'!$BK$7:$BK$31,"",0,1))&lt;=TODAY(),TRUE,FALSE)</f>
        <v>0</v>
      </c>
      <c r="J24" s="25" t="str">
        <f t="shared" ca="1" si="1"/>
        <v/>
      </c>
    </row>
    <row r="25" spans="1:10">
      <c r="A25" s="24" t="s">
        <v>229</v>
      </c>
      <c r="B25">
        <v>2</v>
      </c>
      <c r="C25">
        <f>IFERROR(
 --(INDEX('TH_MLG GRADE 10'!$C$7:$C$49,MATCH(LEFT($A25,LEN($A25)-2),'TH_MLG GRADE 10'!$B$7:$B$49,0))="P")+
 --(INDEX('TH_MLG GRADE 10'!$I$7:$I$49,MATCH(LEFT($A25,LEN($A25)-2),'TH_MLG GRADE 10'!$B$7:$B$49,0))="P")+
 --(INDEX('TH_MLG GRADE 10'!$O$7:$O$49,MATCH(LEFT($A25,LEN($A25)-2),'TH_MLG GRADE 10'!$B$7:$B$49,0))="P")+
 --(INDEX('TH_MLG GRADE 10'!$AA$7:$AA$49,MATCH(LEFT($A25,LEN($A25)-2),'TH_MLG GRADE 10'!$B$7:$B$49,0))="P")+
 --(INDEX('TH_MLG GRADE 10'!$AG$7:$AG$49,MATCH(LEFT($A25,LEN($A25)-2),'TH_MLG GRADE 10'!$B$7:$B$49,0))="P")+
 --(INDEX('TH_MLG GRADE 10'!$AM$7:$AM$49,MATCH(LEFT($A25,LEN($A25)-2),'TH_MLG GRADE 10'!$B$7:$B$49,0))="P")+
 --(INDEX('TH_MLG GRADE 10'!$AY$7:$AY$49,MATCH(LEFT($A25,LEN($A25)-2),'TH_MLG GRADE 10'!$B$7:$B$49,0))="P")+
 --(INDEX('TH_MLG GRADE 10'!$BE$7:$BE$49,MATCH(LEFT($A25,LEN($A25)-2),'TH_MLG GRADE 10'!$B$7:$B$49,0))="P")+
 --(INDEX('TH_MLG GRADE 10'!$U$7:$U$49,MATCH(LEFT($A25,LEN($A25)-2),'TH_MLG GRADE 10'!$B$7:$B$49,0))="P")+
 --(INDEX('TH_MLG GRADE 10'!$AS$7:$AS$49,MATCH(LEFT($A25,LEN($A25)-2),'TH_MLG GRADE 10'!$B$7:$B$49,0))="P"),
0)</f>
        <v>3</v>
      </c>
      <c r="D25" s="24" t="b">
        <f ca="1">IF(IF(_xlfn.XLOOKUP(LEFT($A25,LEN($A25)-2),'TH_MLG GRADE 10'!$B$7:$B$49,'TH_MLG GRADE 10'!$BK$7:$BK$49,"",0,1)=0,"",_xlfn.XLOOKUP(LEFT($A25,LEN($A25)-2),'TH_MLG GRADE 10'!$B$7:$B$49,'TH_MLG GRADE 10'!$BK$7:$BK$49,"",0,1))&lt;=TODAY(),TRUE,FALSE)</f>
        <v>1</v>
      </c>
      <c r="E25" s="25">
        <f t="shared" ca="1" si="0"/>
        <v>1</v>
      </c>
      <c r="F25" s="24" t="s">
        <v>229</v>
      </c>
      <c r="G25">
        <v>2</v>
      </c>
      <c r="H25">
        <f>IFERROR(
 --(INDEX('PW_MLG GRADE 10'!$C$7:$C$31,MATCH(LEFT($A25,LEN($A25)-2),'PW_MLG GRADE 10'!$B$7:$B$31,0))="P")+
 --(INDEX('PW_MLG GRADE 10'!$I$7:$I$31,MATCH(LEFT($A25,LEN($A25)-2),'PW_MLG GRADE 10'!$B$7:$B$31,0))="P")+
 --(INDEX('PW_MLG GRADE 10'!$O$7:$O$31,MATCH(LEFT($A25,LEN($A25)-2),'PW_MLG GRADE 10'!$B$7:$B$31,0))="P")+
 --(INDEX('PW_MLG GRADE 10'!$AA$7:$AA$31,MATCH(LEFT($A25,LEN($A25)-2),'PW_MLG GRADE 10'!$B$7:$B$31,0))="P")+
 --(INDEX('PW_MLG GRADE 10'!$AG$7:$AG$31,MATCH(LEFT($A25,LEN($A25)-2),'PW_MLG GRADE 10'!$B$7:$B$31,0))="P")+
 --(INDEX('PW_MLG GRADE 10'!$AM$7:$AM$31,MATCH(LEFT($A25,LEN($A25)-2),'PW_MLG GRADE 10'!$B$7:$B$31,0))="P")+
 --(INDEX('PW_MLG GRADE 10'!$AY$7:$AY$31,MATCH(LEFT($A25,LEN($A25)-2),'PW_MLG GRADE 10'!$B$7:$B$31,0))="P")+
 --(INDEX('PW_MLG GRADE 10'!$BE$7:$BE$31,MATCH(LEFT($A25,LEN($A25)-2),'PW_MLG GRADE 10'!$B$7:$B$31,0))="P")+
 --(INDEX('PW_MLG GRADE 10'!$U$7:$U$31,MATCH(LEFT($A25,LEN($A25)-2),'PW_MLG GRADE 10'!$B$7:$B$31,0))="P")+
 --(INDEX('PW_MLG GRADE 10'!$AS$7:$AS$31,MATCH(LEFT($A25,LEN($A25)-2),'PW_MLG GRADE 10'!$B$7:$B$31,0))="P"),
0)</f>
        <v>0</v>
      </c>
      <c r="I25" s="24" t="b">
        <f ca="1">IF(IF(_xlfn.XLOOKUP(LEFT($A25,LEN($A25)-2),'PW_MLG GRADE 10'!$B$7:$B$31,'PW_MLG GRADE 10'!$BK$7:$BK$31,"",0,1)=0,"",_xlfn.XLOOKUP(LEFT($A25,LEN($A25)-2),'PW_MLG GRADE 10'!$B$7:$B$31,'PW_MLG GRADE 10'!$BK$7:$BK$31,"",0,1))&lt;=TODAY(),TRUE,FALSE)</f>
        <v>0</v>
      </c>
      <c r="J25" s="25" t="str">
        <f t="shared" ca="1" si="1"/>
        <v/>
      </c>
    </row>
    <row r="26" spans="1:10">
      <c r="A26" s="24" t="s">
        <v>230</v>
      </c>
      <c r="B26">
        <v>2</v>
      </c>
      <c r="C26">
        <f>IFERROR(
 --(INDEX('TH_MLG GRADE 10'!$C$7:$C$49,MATCH(LEFT($A26,LEN($A26)-2),'TH_MLG GRADE 10'!$B$7:$B$49,0))="P")+
 --(INDEX('TH_MLG GRADE 10'!$I$7:$I$49,MATCH(LEFT($A26,LEN($A26)-2),'TH_MLG GRADE 10'!$B$7:$B$49,0))="P")+
 --(INDEX('TH_MLG GRADE 10'!$O$7:$O$49,MATCH(LEFT($A26,LEN($A26)-2),'TH_MLG GRADE 10'!$B$7:$B$49,0))="P")+
 --(INDEX('TH_MLG GRADE 10'!$AA$7:$AA$49,MATCH(LEFT($A26,LEN($A26)-2),'TH_MLG GRADE 10'!$B$7:$B$49,0))="P")+
 --(INDEX('TH_MLG GRADE 10'!$AG$7:$AG$49,MATCH(LEFT($A26,LEN($A26)-2),'TH_MLG GRADE 10'!$B$7:$B$49,0))="P")+
 --(INDEX('TH_MLG GRADE 10'!$AM$7:$AM$49,MATCH(LEFT($A26,LEN($A26)-2),'TH_MLG GRADE 10'!$B$7:$B$49,0))="P")+
 --(INDEX('TH_MLG GRADE 10'!$AY$7:$AY$49,MATCH(LEFT($A26,LEN($A26)-2),'TH_MLG GRADE 10'!$B$7:$B$49,0))="P")+
 --(INDEX('TH_MLG GRADE 10'!$BE$7:$BE$49,MATCH(LEFT($A26,LEN($A26)-2),'TH_MLG GRADE 10'!$B$7:$B$49,0))="P")+
 --(INDEX('TH_MLG GRADE 10'!$U$7:$U$49,MATCH(LEFT($A26,LEN($A26)-2),'TH_MLG GRADE 10'!$B$7:$B$49,0))="P")+
 --(INDEX('TH_MLG GRADE 10'!$AS$7:$AS$49,MATCH(LEFT($A26,LEN($A26)-2),'TH_MLG GRADE 10'!$B$7:$B$49,0))="P"),
0)</f>
        <v>3</v>
      </c>
      <c r="D26" s="24" t="b">
        <f ca="1">IF(IF(_xlfn.XLOOKUP(LEFT($A26,LEN($A26)-2),'TH_MLG GRADE 10'!$B$7:$B$49,'TH_MLG GRADE 10'!$BK$7:$BK$49,"",0,1)=0,"",_xlfn.XLOOKUP(LEFT($A26,LEN($A26)-2),'TH_MLG GRADE 10'!$B$7:$B$49,'TH_MLG GRADE 10'!$BK$7:$BK$49,"",0,1))&lt;=TODAY(),TRUE,FALSE)</f>
        <v>1</v>
      </c>
      <c r="E26" s="25">
        <f t="shared" ca="1" si="0"/>
        <v>1</v>
      </c>
      <c r="F26" s="24" t="s">
        <v>230</v>
      </c>
      <c r="G26">
        <v>2</v>
      </c>
      <c r="H26">
        <f>IFERROR(
 --(INDEX('PW_MLG GRADE 10'!$C$7:$C$31,MATCH(LEFT($A26,LEN($A26)-2),'PW_MLG GRADE 10'!$B$7:$B$31,0))="P")+
 --(INDEX('PW_MLG GRADE 10'!$I$7:$I$31,MATCH(LEFT($A26,LEN($A26)-2),'PW_MLG GRADE 10'!$B$7:$B$31,0))="P")+
 --(INDEX('PW_MLG GRADE 10'!$O$7:$O$31,MATCH(LEFT($A26,LEN($A26)-2),'PW_MLG GRADE 10'!$B$7:$B$31,0))="P")+
 --(INDEX('PW_MLG GRADE 10'!$AA$7:$AA$31,MATCH(LEFT($A26,LEN($A26)-2),'PW_MLG GRADE 10'!$B$7:$B$31,0))="P")+
 --(INDEX('PW_MLG GRADE 10'!$AG$7:$AG$31,MATCH(LEFT($A26,LEN($A26)-2),'PW_MLG GRADE 10'!$B$7:$B$31,0))="P")+
 --(INDEX('PW_MLG GRADE 10'!$AM$7:$AM$31,MATCH(LEFT($A26,LEN($A26)-2),'PW_MLG GRADE 10'!$B$7:$B$31,0))="P")+
 --(INDEX('PW_MLG GRADE 10'!$AY$7:$AY$31,MATCH(LEFT($A26,LEN($A26)-2),'PW_MLG GRADE 10'!$B$7:$B$31,0))="P")+
 --(INDEX('PW_MLG GRADE 10'!$BE$7:$BE$31,MATCH(LEFT($A26,LEN($A26)-2),'PW_MLG GRADE 10'!$B$7:$B$31,0))="P")+
 --(INDEX('PW_MLG GRADE 10'!$U$7:$U$31,MATCH(LEFT($A26,LEN($A26)-2),'PW_MLG GRADE 10'!$B$7:$B$31,0))="P")+
 --(INDEX('PW_MLG GRADE 10'!$AS$7:$AS$31,MATCH(LEFT($A26,LEN($A26)-2),'PW_MLG GRADE 10'!$B$7:$B$31,0))="P"),
0)</f>
        <v>2</v>
      </c>
      <c r="I26" s="24" t="b">
        <f ca="1">IF(IF(_xlfn.XLOOKUP(LEFT($A26,LEN($A26)-2),'PW_MLG GRADE 10'!$B$7:$B$31,'PW_MLG GRADE 10'!$BK$7:$BK$31,"",0,1)=0,"",_xlfn.XLOOKUP(LEFT($A26,LEN($A26)-2),'PW_MLG GRADE 10'!$B$7:$B$31,'PW_MLG GRADE 10'!$BK$7:$BK$31,"",0,1))&lt;=TODAY(),TRUE,FALSE)</f>
        <v>1</v>
      </c>
      <c r="J26" s="25">
        <f t="shared" ca="1" si="1"/>
        <v>1</v>
      </c>
    </row>
    <row r="27" spans="1:10">
      <c r="A27" s="24" t="s">
        <v>231</v>
      </c>
      <c r="B27">
        <v>2</v>
      </c>
      <c r="C27">
        <f>IFERROR(
 --(INDEX('TH_MLG GRADE 10'!$C$7:$C$49,MATCH(LEFT($A27,LEN($A27)-2),'TH_MLG GRADE 10'!$B$7:$B$49,0))="P")+
 --(INDEX('TH_MLG GRADE 10'!$I$7:$I$49,MATCH(LEFT($A27,LEN($A27)-2),'TH_MLG GRADE 10'!$B$7:$B$49,0))="P")+
 --(INDEX('TH_MLG GRADE 10'!$O$7:$O$49,MATCH(LEFT($A27,LEN($A27)-2),'TH_MLG GRADE 10'!$B$7:$B$49,0))="P")+
 --(INDEX('TH_MLG GRADE 10'!$AA$7:$AA$49,MATCH(LEFT($A27,LEN($A27)-2),'TH_MLG GRADE 10'!$B$7:$B$49,0))="P")+
 --(INDEX('TH_MLG GRADE 10'!$AG$7:$AG$49,MATCH(LEFT($A27,LEN($A27)-2),'TH_MLG GRADE 10'!$B$7:$B$49,0))="P")+
 --(INDEX('TH_MLG GRADE 10'!$AM$7:$AM$49,MATCH(LEFT($A27,LEN($A27)-2),'TH_MLG GRADE 10'!$B$7:$B$49,0))="P")+
 --(INDEX('TH_MLG GRADE 10'!$AY$7:$AY$49,MATCH(LEFT($A27,LEN($A27)-2),'TH_MLG GRADE 10'!$B$7:$B$49,0))="P")+
 --(INDEX('TH_MLG GRADE 10'!$BE$7:$BE$49,MATCH(LEFT($A27,LEN($A27)-2),'TH_MLG GRADE 10'!$B$7:$B$49,0))="P")+
 --(INDEX('TH_MLG GRADE 10'!$U$7:$U$49,MATCH(LEFT($A27,LEN($A27)-2),'TH_MLG GRADE 10'!$B$7:$B$49,0))="P")+
 --(INDEX('TH_MLG GRADE 10'!$AS$7:$AS$49,MATCH(LEFT($A27,LEN($A27)-2),'TH_MLG GRADE 10'!$B$7:$B$49,0))="P"),
0)</f>
        <v>3</v>
      </c>
      <c r="D27" s="24" t="b">
        <f ca="1">IF(IF(_xlfn.XLOOKUP(LEFT($A27,LEN($A27)-2),'TH_MLG GRADE 10'!$B$7:$B$49,'TH_MLG GRADE 10'!$BK$7:$BK$49,"",0,1)=0,"",_xlfn.XLOOKUP(LEFT($A27,LEN($A27)-2),'TH_MLG GRADE 10'!$B$7:$B$49,'TH_MLG GRADE 10'!$BK$7:$BK$49,"",0,1))&lt;=TODAY(),TRUE,FALSE)</f>
        <v>1</v>
      </c>
      <c r="E27" s="25">
        <f t="shared" ca="1" si="0"/>
        <v>1</v>
      </c>
      <c r="F27" s="24" t="s">
        <v>231</v>
      </c>
      <c r="G27">
        <v>2</v>
      </c>
      <c r="H27">
        <f>IFERROR(
 --(INDEX('PW_MLG GRADE 10'!$C$7:$C$31,MATCH(LEFT($A27,LEN($A27)-2),'PW_MLG GRADE 10'!$B$7:$B$31,0))="P")+
 --(INDEX('PW_MLG GRADE 10'!$I$7:$I$31,MATCH(LEFT($A27,LEN($A27)-2),'PW_MLG GRADE 10'!$B$7:$B$31,0))="P")+
 --(INDEX('PW_MLG GRADE 10'!$O$7:$O$31,MATCH(LEFT($A27,LEN($A27)-2),'PW_MLG GRADE 10'!$B$7:$B$31,0))="P")+
 --(INDEX('PW_MLG GRADE 10'!$AA$7:$AA$31,MATCH(LEFT($A27,LEN($A27)-2),'PW_MLG GRADE 10'!$B$7:$B$31,0))="P")+
 --(INDEX('PW_MLG GRADE 10'!$AG$7:$AG$31,MATCH(LEFT($A27,LEN($A27)-2),'PW_MLG GRADE 10'!$B$7:$B$31,0))="P")+
 --(INDEX('PW_MLG GRADE 10'!$AM$7:$AM$31,MATCH(LEFT($A27,LEN($A27)-2),'PW_MLG GRADE 10'!$B$7:$B$31,0))="P")+
 --(INDEX('PW_MLG GRADE 10'!$AY$7:$AY$31,MATCH(LEFT($A27,LEN($A27)-2),'PW_MLG GRADE 10'!$B$7:$B$31,0))="P")+
 --(INDEX('PW_MLG GRADE 10'!$BE$7:$BE$31,MATCH(LEFT($A27,LEN($A27)-2),'PW_MLG GRADE 10'!$B$7:$B$31,0))="P")+
 --(INDEX('PW_MLG GRADE 10'!$U$7:$U$31,MATCH(LEFT($A27,LEN($A27)-2),'PW_MLG GRADE 10'!$B$7:$B$31,0))="P")+
 --(INDEX('PW_MLG GRADE 10'!$AS$7:$AS$31,MATCH(LEFT($A27,LEN($A27)-2),'PW_MLG GRADE 10'!$B$7:$B$31,0))="P"),
0)</f>
        <v>0</v>
      </c>
      <c r="I27" s="24" t="b">
        <f ca="1">IF(IF(_xlfn.XLOOKUP(LEFT($A27,LEN($A27)-2),'PW_MLG GRADE 10'!$B$7:$B$31,'PW_MLG GRADE 10'!$BK$7:$BK$31,"",0,1)=0,"",_xlfn.XLOOKUP(LEFT($A27,LEN($A27)-2),'PW_MLG GRADE 10'!$B$7:$B$31,'PW_MLG GRADE 10'!$BK$7:$BK$31,"",0,1))&lt;=TODAY(),TRUE,FALSE)</f>
        <v>0</v>
      </c>
      <c r="J27" s="25" t="str">
        <f t="shared" ca="1" si="1"/>
        <v/>
      </c>
    </row>
    <row r="28" spans="1:10">
      <c r="A28" s="24" t="s">
        <v>232</v>
      </c>
      <c r="B28">
        <v>2</v>
      </c>
      <c r="C28">
        <f>IFERROR(
 --(INDEX('TH_MLG GRADE 10'!$C$7:$C$49,MATCH(LEFT($A28,LEN($A28)-2),'TH_MLG GRADE 10'!$B$7:$B$49,0))="P")+
 --(INDEX('TH_MLG GRADE 10'!$I$7:$I$49,MATCH(LEFT($A28,LEN($A28)-2),'TH_MLG GRADE 10'!$B$7:$B$49,0))="P")+
 --(INDEX('TH_MLG GRADE 10'!$O$7:$O$49,MATCH(LEFT($A28,LEN($A28)-2),'TH_MLG GRADE 10'!$B$7:$B$49,0))="P")+
 --(INDEX('TH_MLG GRADE 10'!$AA$7:$AA$49,MATCH(LEFT($A28,LEN($A28)-2),'TH_MLG GRADE 10'!$B$7:$B$49,0))="P")+
 --(INDEX('TH_MLG GRADE 10'!$AG$7:$AG$49,MATCH(LEFT($A28,LEN($A28)-2),'TH_MLG GRADE 10'!$B$7:$B$49,0))="P")+
 --(INDEX('TH_MLG GRADE 10'!$AM$7:$AM$49,MATCH(LEFT($A28,LEN($A28)-2),'TH_MLG GRADE 10'!$B$7:$B$49,0))="P")+
 --(INDEX('TH_MLG GRADE 10'!$AY$7:$AY$49,MATCH(LEFT($A28,LEN($A28)-2),'TH_MLG GRADE 10'!$B$7:$B$49,0))="P")+
 --(INDEX('TH_MLG GRADE 10'!$BE$7:$BE$49,MATCH(LEFT($A28,LEN($A28)-2),'TH_MLG GRADE 10'!$B$7:$B$49,0))="P")+
 --(INDEX('TH_MLG GRADE 10'!$U$7:$U$49,MATCH(LEFT($A28,LEN($A28)-2),'TH_MLG GRADE 10'!$B$7:$B$49,0))="P")+
 --(INDEX('TH_MLG GRADE 10'!$AS$7:$AS$49,MATCH(LEFT($A28,LEN($A28)-2),'TH_MLG GRADE 10'!$B$7:$B$49,0))="P"),
0)</f>
        <v>3</v>
      </c>
      <c r="D28" s="24" t="b">
        <f ca="1">IF(IF(_xlfn.XLOOKUP(LEFT($A28,LEN($A28)-2),'TH_MLG GRADE 10'!$B$7:$B$49,'TH_MLG GRADE 10'!$BK$7:$BK$49,"",0,1)=0,"",_xlfn.XLOOKUP(LEFT($A28,LEN($A28)-2),'TH_MLG GRADE 10'!$B$7:$B$49,'TH_MLG GRADE 10'!$BK$7:$BK$49,"",0,1))&lt;=TODAY(),TRUE,FALSE)</f>
        <v>1</v>
      </c>
      <c r="E28" s="25">
        <f t="shared" ca="1" si="0"/>
        <v>1</v>
      </c>
      <c r="F28" s="24" t="s">
        <v>232</v>
      </c>
      <c r="G28">
        <v>2</v>
      </c>
      <c r="H28">
        <f>IFERROR(
 --(INDEX('PW_MLG GRADE 10'!$C$7:$C$31,MATCH(LEFT($A28,LEN($A28)-2),'PW_MLG GRADE 10'!$B$7:$B$31,0))="P")+
 --(INDEX('PW_MLG GRADE 10'!$I$7:$I$31,MATCH(LEFT($A28,LEN($A28)-2),'PW_MLG GRADE 10'!$B$7:$B$31,0))="P")+
 --(INDEX('PW_MLG GRADE 10'!$O$7:$O$31,MATCH(LEFT($A28,LEN($A28)-2),'PW_MLG GRADE 10'!$B$7:$B$31,0))="P")+
 --(INDEX('PW_MLG GRADE 10'!$AA$7:$AA$31,MATCH(LEFT($A28,LEN($A28)-2),'PW_MLG GRADE 10'!$B$7:$B$31,0))="P")+
 --(INDEX('PW_MLG GRADE 10'!$AG$7:$AG$31,MATCH(LEFT($A28,LEN($A28)-2),'PW_MLG GRADE 10'!$B$7:$B$31,0))="P")+
 --(INDEX('PW_MLG GRADE 10'!$AM$7:$AM$31,MATCH(LEFT($A28,LEN($A28)-2),'PW_MLG GRADE 10'!$B$7:$B$31,0))="P")+
 --(INDEX('PW_MLG GRADE 10'!$AY$7:$AY$31,MATCH(LEFT($A28,LEN($A28)-2),'PW_MLG GRADE 10'!$B$7:$B$31,0))="P")+
 --(INDEX('PW_MLG GRADE 10'!$BE$7:$BE$31,MATCH(LEFT($A28,LEN($A28)-2),'PW_MLG GRADE 10'!$B$7:$B$31,0))="P")+
 --(INDEX('PW_MLG GRADE 10'!$U$7:$U$31,MATCH(LEFT($A28,LEN($A28)-2),'PW_MLG GRADE 10'!$B$7:$B$31,0))="P")+
 --(INDEX('PW_MLG GRADE 10'!$AS$7:$AS$31,MATCH(LEFT($A28,LEN($A28)-2),'PW_MLG GRADE 10'!$B$7:$B$31,0))="P"),
0)</f>
        <v>2</v>
      </c>
      <c r="I28" s="24" t="b">
        <f ca="1">IF(IF(_xlfn.XLOOKUP(LEFT($A28,LEN($A28)-2),'PW_MLG GRADE 10'!$B$7:$B$31,'PW_MLG GRADE 10'!$BK$7:$BK$31,"",0,1)=0,"",_xlfn.XLOOKUP(LEFT($A28,LEN($A28)-2),'PW_MLG GRADE 10'!$B$7:$B$31,'PW_MLG GRADE 10'!$BK$7:$BK$31,"",0,1))&lt;=TODAY(),TRUE,FALSE)</f>
        <v>1</v>
      </c>
      <c r="J28" s="25">
        <f t="shared" ca="1" si="1"/>
        <v>1</v>
      </c>
    </row>
    <row r="29" spans="1:10">
      <c r="A29" s="24" t="s">
        <v>233</v>
      </c>
      <c r="B29">
        <v>2</v>
      </c>
      <c r="C29">
        <f>IFERROR(
 --(INDEX('TH_MLG GRADE 10'!$C$7:$C$49,MATCH(LEFT($A29,LEN($A29)-2),'TH_MLG GRADE 10'!$B$7:$B$49,0))="P")+
 --(INDEX('TH_MLG GRADE 10'!$I$7:$I$49,MATCH(LEFT($A29,LEN($A29)-2),'TH_MLG GRADE 10'!$B$7:$B$49,0))="P")+
 --(INDEX('TH_MLG GRADE 10'!$O$7:$O$49,MATCH(LEFT($A29,LEN($A29)-2),'TH_MLG GRADE 10'!$B$7:$B$49,0))="P")+
 --(INDEX('TH_MLG GRADE 10'!$AA$7:$AA$49,MATCH(LEFT($A29,LEN($A29)-2),'TH_MLG GRADE 10'!$B$7:$B$49,0))="P")+
 --(INDEX('TH_MLG GRADE 10'!$AG$7:$AG$49,MATCH(LEFT($A29,LEN($A29)-2),'TH_MLG GRADE 10'!$B$7:$B$49,0))="P")+
 --(INDEX('TH_MLG GRADE 10'!$AM$7:$AM$49,MATCH(LEFT($A29,LEN($A29)-2),'TH_MLG GRADE 10'!$B$7:$B$49,0))="P")+
 --(INDEX('TH_MLG GRADE 10'!$AY$7:$AY$49,MATCH(LEFT($A29,LEN($A29)-2),'TH_MLG GRADE 10'!$B$7:$B$49,0))="P")+
 --(INDEX('TH_MLG GRADE 10'!$BE$7:$BE$49,MATCH(LEFT($A29,LEN($A29)-2),'TH_MLG GRADE 10'!$B$7:$B$49,0))="P")+
 --(INDEX('TH_MLG GRADE 10'!$U$7:$U$49,MATCH(LEFT($A29,LEN($A29)-2),'TH_MLG GRADE 10'!$B$7:$B$49,0))="P")+
 --(INDEX('TH_MLG GRADE 10'!$AS$7:$AS$49,MATCH(LEFT($A29,LEN($A29)-2),'TH_MLG GRADE 10'!$B$7:$B$49,0))="P"),
0)</f>
        <v>3</v>
      </c>
      <c r="D29" s="24" t="b">
        <f ca="1">IF(IF(_xlfn.XLOOKUP(LEFT($A29,LEN($A29)-2),'TH_MLG GRADE 10'!$B$7:$B$49,'TH_MLG GRADE 10'!$BK$7:$BK$49,"",0,1)=0,"",_xlfn.XLOOKUP(LEFT($A29,LEN($A29)-2),'TH_MLG GRADE 10'!$B$7:$B$49,'TH_MLG GRADE 10'!$BK$7:$BK$49,"",0,1))&lt;=TODAY(),TRUE,FALSE)</f>
        <v>1</v>
      </c>
      <c r="E29" s="25">
        <f t="shared" ca="1" si="0"/>
        <v>1</v>
      </c>
      <c r="F29" s="24" t="s">
        <v>233</v>
      </c>
      <c r="G29">
        <v>2</v>
      </c>
      <c r="H29">
        <f>IFERROR(
 --(INDEX('PW_MLG GRADE 10'!$C$7:$C$31,MATCH(LEFT($A29,LEN($A29)-2),'PW_MLG GRADE 10'!$B$7:$B$31,0))="P")+
 --(INDEX('PW_MLG GRADE 10'!$I$7:$I$31,MATCH(LEFT($A29,LEN($A29)-2),'PW_MLG GRADE 10'!$B$7:$B$31,0))="P")+
 --(INDEX('PW_MLG GRADE 10'!$O$7:$O$31,MATCH(LEFT($A29,LEN($A29)-2),'PW_MLG GRADE 10'!$B$7:$B$31,0))="P")+
 --(INDEX('PW_MLG GRADE 10'!$AA$7:$AA$31,MATCH(LEFT($A29,LEN($A29)-2),'PW_MLG GRADE 10'!$B$7:$B$31,0))="P")+
 --(INDEX('PW_MLG GRADE 10'!$AG$7:$AG$31,MATCH(LEFT($A29,LEN($A29)-2),'PW_MLG GRADE 10'!$B$7:$B$31,0))="P")+
 --(INDEX('PW_MLG GRADE 10'!$AM$7:$AM$31,MATCH(LEFT($A29,LEN($A29)-2),'PW_MLG GRADE 10'!$B$7:$B$31,0))="P")+
 --(INDEX('PW_MLG GRADE 10'!$AY$7:$AY$31,MATCH(LEFT($A29,LEN($A29)-2),'PW_MLG GRADE 10'!$B$7:$B$31,0))="P")+
 --(INDEX('PW_MLG GRADE 10'!$BE$7:$BE$31,MATCH(LEFT($A29,LEN($A29)-2),'PW_MLG GRADE 10'!$B$7:$B$31,0))="P")+
 --(INDEX('PW_MLG GRADE 10'!$U$7:$U$31,MATCH(LEFT($A29,LEN($A29)-2),'PW_MLG GRADE 10'!$B$7:$B$31,0))="P")+
 --(INDEX('PW_MLG GRADE 10'!$AS$7:$AS$31,MATCH(LEFT($A29,LEN($A29)-2),'PW_MLG GRADE 10'!$B$7:$B$31,0))="P"),
0)</f>
        <v>0</v>
      </c>
      <c r="I29" s="24" t="b">
        <f ca="1">IF(IF(_xlfn.XLOOKUP(LEFT($A29,LEN($A29)-2),'PW_MLG GRADE 10'!$B$7:$B$31,'PW_MLG GRADE 10'!$BK$7:$BK$31,"",0,1)=0,"",_xlfn.XLOOKUP(LEFT($A29,LEN($A29)-2),'PW_MLG GRADE 10'!$B$7:$B$31,'PW_MLG GRADE 10'!$BK$7:$BK$31,"",0,1))&lt;=TODAY(),TRUE,FALSE)</f>
        <v>0</v>
      </c>
      <c r="J29" s="25" t="str">
        <f t="shared" ca="1" si="1"/>
        <v/>
      </c>
    </row>
    <row r="30" spans="1:10">
      <c r="A30" s="24" t="s">
        <v>234</v>
      </c>
      <c r="B30">
        <v>2</v>
      </c>
      <c r="C30">
        <f>IFERROR(
 --(INDEX('TH_MLG GRADE 10'!$C$7:$C$49,MATCH(LEFT($A30,LEN($A30)-2),'TH_MLG GRADE 10'!$B$7:$B$49,0))="P")+
 --(INDEX('TH_MLG GRADE 10'!$I$7:$I$49,MATCH(LEFT($A30,LEN($A30)-2),'TH_MLG GRADE 10'!$B$7:$B$49,0))="P")+
 --(INDEX('TH_MLG GRADE 10'!$O$7:$O$49,MATCH(LEFT($A30,LEN($A30)-2),'TH_MLG GRADE 10'!$B$7:$B$49,0))="P")+
 --(INDEX('TH_MLG GRADE 10'!$AA$7:$AA$49,MATCH(LEFT($A30,LEN($A30)-2),'TH_MLG GRADE 10'!$B$7:$B$49,0))="P")+
 --(INDEX('TH_MLG GRADE 10'!$AG$7:$AG$49,MATCH(LEFT($A30,LEN($A30)-2),'TH_MLG GRADE 10'!$B$7:$B$49,0))="P")+
 --(INDEX('TH_MLG GRADE 10'!$AM$7:$AM$49,MATCH(LEFT($A30,LEN($A30)-2),'TH_MLG GRADE 10'!$B$7:$B$49,0))="P")+
 --(INDEX('TH_MLG GRADE 10'!$AY$7:$AY$49,MATCH(LEFT($A30,LEN($A30)-2),'TH_MLG GRADE 10'!$B$7:$B$49,0))="P")+
 --(INDEX('TH_MLG GRADE 10'!$BE$7:$BE$49,MATCH(LEFT($A30,LEN($A30)-2),'TH_MLG GRADE 10'!$B$7:$B$49,0))="P")+
 --(INDEX('TH_MLG GRADE 10'!$U$7:$U$49,MATCH(LEFT($A30,LEN($A30)-2),'TH_MLG GRADE 10'!$B$7:$B$49,0))="P")+
 --(INDEX('TH_MLG GRADE 10'!$AS$7:$AS$49,MATCH(LEFT($A30,LEN($A30)-2),'TH_MLG GRADE 10'!$B$7:$B$49,0))="P"),
0)</f>
        <v>2</v>
      </c>
      <c r="D30" s="24" t="b">
        <f ca="1">IF(IF(_xlfn.XLOOKUP(LEFT($A30,LEN($A30)-2),'TH_MLG GRADE 10'!$B$7:$B$49,'TH_MLG GRADE 10'!$BK$7:$BK$49,"",0,1)=0,"",_xlfn.XLOOKUP(LEFT($A30,LEN($A30)-2),'TH_MLG GRADE 10'!$B$7:$B$49,'TH_MLG GRADE 10'!$BK$7:$BK$49,"",0,1))&lt;=TODAY(),TRUE,FALSE)</f>
        <v>1</v>
      </c>
      <c r="E30" s="25">
        <f t="shared" ca="1" si="0"/>
        <v>1</v>
      </c>
      <c r="F30" s="24" t="s">
        <v>234</v>
      </c>
      <c r="G30">
        <v>2</v>
      </c>
      <c r="H30">
        <f>IFERROR(
 --(INDEX('PW_MLG GRADE 10'!$C$7:$C$31,MATCH(LEFT($A30,LEN($A30)-2),'PW_MLG GRADE 10'!$B$7:$B$31,0))="P")+
 --(INDEX('PW_MLG GRADE 10'!$I$7:$I$31,MATCH(LEFT($A30,LEN($A30)-2),'PW_MLG GRADE 10'!$B$7:$B$31,0))="P")+
 --(INDEX('PW_MLG GRADE 10'!$O$7:$O$31,MATCH(LEFT($A30,LEN($A30)-2),'PW_MLG GRADE 10'!$B$7:$B$31,0))="P")+
 --(INDEX('PW_MLG GRADE 10'!$AA$7:$AA$31,MATCH(LEFT($A30,LEN($A30)-2),'PW_MLG GRADE 10'!$B$7:$B$31,0))="P")+
 --(INDEX('PW_MLG GRADE 10'!$AG$7:$AG$31,MATCH(LEFT($A30,LEN($A30)-2),'PW_MLG GRADE 10'!$B$7:$B$31,0))="P")+
 --(INDEX('PW_MLG GRADE 10'!$AM$7:$AM$31,MATCH(LEFT($A30,LEN($A30)-2),'PW_MLG GRADE 10'!$B$7:$B$31,0))="P")+
 --(INDEX('PW_MLG GRADE 10'!$AY$7:$AY$31,MATCH(LEFT($A30,LEN($A30)-2),'PW_MLG GRADE 10'!$B$7:$B$31,0))="P")+
 --(INDEX('PW_MLG GRADE 10'!$BE$7:$BE$31,MATCH(LEFT($A30,LEN($A30)-2),'PW_MLG GRADE 10'!$B$7:$B$31,0))="P")+
 --(INDEX('PW_MLG GRADE 10'!$U$7:$U$31,MATCH(LEFT($A30,LEN($A30)-2),'PW_MLG GRADE 10'!$B$7:$B$31,0))="P")+
 --(INDEX('PW_MLG GRADE 10'!$AS$7:$AS$31,MATCH(LEFT($A30,LEN($A30)-2),'PW_MLG GRADE 10'!$B$7:$B$31,0))="P"),
0)</f>
        <v>0</v>
      </c>
      <c r="I30" s="24" t="b">
        <f ca="1">IF(IF(_xlfn.XLOOKUP(LEFT($A30,LEN($A30)-2),'PW_MLG GRADE 10'!$B$7:$B$31,'PW_MLG GRADE 10'!$BK$7:$BK$31,"",0,1)=0,"",_xlfn.XLOOKUP(LEFT($A30,LEN($A30)-2),'PW_MLG GRADE 10'!$B$7:$B$31,'PW_MLG GRADE 10'!$BK$7:$BK$31,"",0,1))&lt;=TODAY(),TRUE,FALSE)</f>
        <v>0</v>
      </c>
      <c r="J30" s="25" t="str">
        <f t="shared" ca="1" si="1"/>
        <v/>
      </c>
    </row>
    <row r="31" spans="1:10">
      <c r="A31" s="24" t="s">
        <v>235</v>
      </c>
      <c r="B31">
        <v>2</v>
      </c>
      <c r="C31">
        <f>IFERROR(
 --(INDEX('TH_MLG GRADE 10'!$C$7:$C$49,MATCH(LEFT($A31,LEN($A31)-2),'TH_MLG GRADE 10'!$B$7:$B$49,0))="P")+
 --(INDEX('TH_MLG GRADE 10'!$I$7:$I$49,MATCH(LEFT($A31,LEN($A31)-2),'TH_MLG GRADE 10'!$B$7:$B$49,0))="P")+
 --(INDEX('TH_MLG GRADE 10'!$O$7:$O$49,MATCH(LEFT($A31,LEN($A31)-2),'TH_MLG GRADE 10'!$B$7:$B$49,0))="P")+
 --(INDEX('TH_MLG GRADE 10'!$AA$7:$AA$49,MATCH(LEFT($A31,LEN($A31)-2),'TH_MLG GRADE 10'!$B$7:$B$49,0))="P")+
 --(INDEX('TH_MLG GRADE 10'!$AG$7:$AG$49,MATCH(LEFT($A31,LEN($A31)-2),'TH_MLG GRADE 10'!$B$7:$B$49,0))="P")+
 --(INDEX('TH_MLG GRADE 10'!$AM$7:$AM$49,MATCH(LEFT($A31,LEN($A31)-2),'TH_MLG GRADE 10'!$B$7:$B$49,0))="P")+
 --(INDEX('TH_MLG GRADE 10'!$AY$7:$AY$49,MATCH(LEFT($A31,LEN($A31)-2),'TH_MLG GRADE 10'!$B$7:$B$49,0))="P")+
 --(INDEX('TH_MLG GRADE 10'!$BE$7:$BE$49,MATCH(LEFT($A31,LEN($A31)-2),'TH_MLG GRADE 10'!$B$7:$B$49,0))="P")+
 --(INDEX('TH_MLG GRADE 10'!$U$7:$U$49,MATCH(LEFT($A31,LEN($A31)-2),'TH_MLG GRADE 10'!$B$7:$B$49,0))="P")+
 --(INDEX('TH_MLG GRADE 10'!$AS$7:$AS$49,MATCH(LEFT($A31,LEN($A31)-2),'TH_MLG GRADE 10'!$B$7:$B$49,0))="P"),
0)</f>
        <v>2</v>
      </c>
      <c r="D31" s="24" t="b">
        <f ca="1">IF(IF(_xlfn.XLOOKUP(LEFT($A31,LEN($A31)-2),'TH_MLG GRADE 10'!$B$7:$B$49,'TH_MLG GRADE 10'!$BK$7:$BK$49,"",0,1)=0,"",_xlfn.XLOOKUP(LEFT($A31,LEN($A31)-2),'TH_MLG GRADE 10'!$B$7:$B$49,'TH_MLG GRADE 10'!$BK$7:$BK$49,"",0,1))&lt;=TODAY(),TRUE,FALSE)</f>
        <v>1</v>
      </c>
      <c r="E31" s="25">
        <f t="shared" ca="1" si="0"/>
        <v>1</v>
      </c>
      <c r="F31" s="24" t="s">
        <v>235</v>
      </c>
      <c r="G31">
        <v>2</v>
      </c>
      <c r="H31">
        <f>IFERROR(
 --(INDEX('PW_MLG GRADE 10'!$C$7:$C$31,MATCH(LEFT($A31,LEN($A31)-2),'PW_MLG GRADE 10'!$B$7:$B$31,0))="P")+
 --(INDEX('PW_MLG GRADE 10'!$I$7:$I$31,MATCH(LEFT($A31,LEN($A31)-2),'PW_MLG GRADE 10'!$B$7:$B$31,0))="P")+
 --(INDEX('PW_MLG GRADE 10'!$O$7:$O$31,MATCH(LEFT($A31,LEN($A31)-2),'PW_MLG GRADE 10'!$B$7:$B$31,0))="P")+
 --(INDEX('PW_MLG GRADE 10'!$AA$7:$AA$31,MATCH(LEFT($A31,LEN($A31)-2),'PW_MLG GRADE 10'!$B$7:$B$31,0))="P")+
 --(INDEX('PW_MLG GRADE 10'!$AG$7:$AG$31,MATCH(LEFT($A31,LEN($A31)-2),'PW_MLG GRADE 10'!$B$7:$B$31,0))="P")+
 --(INDEX('PW_MLG GRADE 10'!$AM$7:$AM$31,MATCH(LEFT($A31,LEN($A31)-2),'PW_MLG GRADE 10'!$B$7:$B$31,0))="P")+
 --(INDEX('PW_MLG GRADE 10'!$AY$7:$AY$31,MATCH(LEFT($A31,LEN($A31)-2),'PW_MLG GRADE 10'!$B$7:$B$31,0))="P")+
 --(INDEX('PW_MLG GRADE 10'!$BE$7:$BE$31,MATCH(LEFT($A31,LEN($A31)-2),'PW_MLG GRADE 10'!$B$7:$B$31,0))="P")+
 --(INDEX('PW_MLG GRADE 10'!$U$7:$U$31,MATCH(LEFT($A31,LEN($A31)-2),'PW_MLG GRADE 10'!$B$7:$B$31,0))="P")+
 --(INDEX('PW_MLG GRADE 10'!$AS$7:$AS$31,MATCH(LEFT($A31,LEN($A31)-2),'PW_MLG GRADE 10'!$B$7:$B$31,0))="P"),
0)</f>
        <v>0</v>
      </c>
      <c r="I31" s="24" t="b">
        <f ca="1">IF(IF(_xlfn.XLOOKUP(LEFT($A31,LEN($A31)-2),'PW_MLG GRADE 10'!$B$7:$B$31,'PW_MLG GRADE 10'!$BK$7:$BK$31,"",0,1)=0,"",_xlfn.XLOOKUP(LEFT($A31,LEN($A31)-2),'PW_MLG GRADE 10'!$B$7:$B$31,'PW_MLG GRADE 10'!$BK$7:$BK$31,"",0,1))&lt;=TODAY(),TRUE,FALSE)</f>
        <v>0</v>
      </c>
      <c r="J31" s="25" t="str">
        <f t="shared" ca="1" si="1"/>
        <v/>
      </c>
    </row>
    <row r="32" spans="1:10">
      <c r="A32" s="24" t="s">
        <v>236</v>
      </c>
      <c r="B32">
        <v>2</v>
      </c>
      <c r="C32">
        <f>IFERROR(
 --(INDEX('TH_MLG GRADE 10'!$C$7:$C$49,MATCH(LEFT($A32,LEN($A32)-2),'TH_MLG GRADE 10'!$B$7:$B$49,0))="P")+
 --(INDEX('TH_MLG GRADE 10'!$I$7:$I$49,MATCH(LEFT($A32,LEN($A32)-2),'TH_MLG GRADE 10'!$B$7:$B$49,0))="P")+
 --(INDEX('TH_MLG GRADE 10'!$O$7:$O$49,MATCH(LEFT($A32,LEN($A32)-2),'TH_MLG GRADE 10'!$B$7:$B$49,0))="P")+
 --(INDEX('TH_MLG GRADE 10'!$AA$7:$AA$49,MATCH(LEFT($A32,LEN($A32)-2),'TH_MLG GRADE 10'!$B$7:$B$49,0))="P")+
 --(INDEX('TH_MLG GRADE 10'!$AG$7:$AG$49,MATCH(LEFT($A32,LEN($A32)-2),'TH_MLG GRADE 10'!$B$7:$B$49,0))="P")+
 --(INDEX('TH_MLG GRADE 10'!$AM$7:$AM$49,MATCH(LEFT($A32,LEN($A32)-2),'TH_MLG GRADE 10'!$B$7:$B$49,0))="P")+
 --(INDEX('TH_MLG GRADE 10'!$AY$7:$AY$49,MATCH(LEFT($A32,LEN($A32)-2),'TH_MLG GRADE 10'!$B$7:$B$49,0))="P")+
 --(INDEX('TH_MLG GRADE 10'!$BE$7:$BE$49,MATCH(LEFT($A32,LEN($A32)-2),'TH_MLG GRADE 10'!$B$7:$B$49,0))="P")+
 --(INDEX('TH_MLG GRADE 10'!$U$7:$U$49,MATCH(LEFT($A32,LEN($A32)-2),'TH_MLG GRADE 10'!$B$7:$B$49,0))="P")+
 --(INDEX('TH_MLG GRADE 10'!$AS$7:$AS$49,MATCH(LEFT($A32,LEN($A32)-2),'TH_MLG GRADE 10'!$B$7:$B$49,0))="P"),
0)</f>
        <v>2</v>
      </c>
      <c r="D32" s="24" t="b">
        <f ca="1">IF(IF(_xlfn.XLOOKUP(LEFT($A32,LEN($A32)-2),'TH_MLG GRADE 10'!$B$7:$B$49,'TH_MLG GRADE 10'!$BK$7:$BK$49,"",0,1)=0,"",_xlfn.XLOOKUP(LEFT($A32,LEN($A32)-2),'TH_MLG GRADE 10'!$B$7:$B$49,'TH_MLG GRADE 10'!$BK$7:$BK$49,"",0,1))&lt;=TODAY(),TRUE,FALSE)</f>
        <v>1</v>
      </c>
      <c r="E32" s="25">
        <f t="shared" ca="1" si="0"/>
        <v>1</v>
      </c>
      <c r="F32" s="24" t="s">
        <v>236</v>
      </c>
      <c r="G32">
        <v>2</v>
      </c>
      <c r="H32">
        <f>IFERROR(
 --(INDEX('PW_MLG GRADE 10'!$C$7:$C$31,MATCH(LEFT($A32,LEN($A32)-2),'PW_MLG GRADE 10'!$B$7:$B$31,0))="P")+
 --(INDEX('PW_MLG GRADE 10'!$I$7:$I$31,MATCH(LEFT($A32,LEN($A32)-2),'PW_MLG GRADE 10'!$B$7:$B$31,0))="P")+
 --(INDEX('PW_MLG GRADE 10'!$O$7:$O$31,MATCH(LEFT($A32,LEN($A32)-2),'PW_MLG GRADE 10'!$B$7:$B$31,0))="P")+
 --(INDEX('PW_MLG GRADE 10'!$AA$7:$AA$31,MATCH(LEFT($A32,LEN($A32)-2),'PW_MLG GRADE 10'!$B$7:$B$31,0))="P")+
 --(INDEX('PW_MLG GRADE 10'!$AG$7:$AG$31,MATCH(LEFT($A32,LEN($A32)-2),'PW_MLG GRADE 10'!$B$7:$B$31,0))="P")+
 --(INDEX('PW_MLG GRADE 10'!$AM$7:$AM$31,MATCH(LEFT($A32,LEN($A32)-2),'PW_MLG GRADE 10'!$B$7:$B$31,0))="P")+
 --(INDEX('PW_MLG GRADE 10'!$AY$7:$AY$31,MATCH(LEFT($A32,LEN($A32)-2),'PW_MLG GRADE 10'!$B$7:$B$31,0))="P")+
 --(INDEX('PW_MLG GRADE 10'!$BE$7:$BE$31,MATCH(LEFT($A32,LEN($A32)-2),'PW_MLG GRADE 10'!$B$7:$B$31,0))="P")+
 --(INDEX('PW_MLG GRADE 10'!$U$7:$U$31,MATCH(LEFT($A32,LEN($A32)-2),'PW_MLG GRADE 10'!$B$7:$B$31,0))="P")+
 --(INDEX('PW_MLG GRADE 10'!$AS$7:$AS$31,MATCH(LEFT($A32,LEN($A32)-2),'PW_MLG GRADE 10'!$B$7:$B$31,0))="P"),
0)</f>
        <v>0</v>
      </c>
      <c r="I32" s="24" t="b">
        <f ca="1">IF(IF(_xlfn.XLOOKUP(LEFT($A32,LEN($A32)-2),'PW_MLG GRADE 10'!$B$7:$B$31,'PW_MLG GRADE 10'!$BK$7:$BK$31,"",0,1)=0,"",_xlfn.XLOOKUP(LEFT($A32,LEN($A32)-2),'PW_MLG GRADE 10'!$B$7:$B$31,'PW_MLG GRADE 10'!$BK$7:$BK$31,"",0,1))&lt;=TODAY(),TRUE,FALSE)</f>
        <v>0</v>
      </c>
      <c r="J32" s="25" t="str">
        <f t="shared" ca="1" si="1"/>
        <v/>
      </c>
    </row>
    <row r="33" spans="1:11">
      <c r="A33" s="24" t="s">
        <v>237</v>
      </c>
      <c r="B33">
        <v>2</v>
      </c>
      <c r="C33">
        <f>IFERROR(
 --(INDEX('TH_MLG GRADE 10'!$C$7:$C$49,MATCH(LEFT($A33,LEN($A33)-2),'TH_MLG GRADE 10'!$B$7:$B$49,0))="P")+
 --(INDEX('TH_MLG GRADE 10'!$I$7:$I$49,MATCH(LEFT($A33,LEN($A33)-2),'TH_MLG GRADE 10'!$B$7:$B$49,0))="P")+
 --(INDEX('TH_MLG GRADE 10'!$O$7:$O$49,MATCH(LEFT($A33,LEN($A33)-2),'TH_MLG GRADE 10'!$B$7:$B$49,0))="P")+
 --(INDEX('TH_MLG GRADE 10'!$AA$7:$AA$49,MATCH(LEFT($A33,LEN($A33)-2),'TH_MLG GRADE 10'!$B$7:$B$49,0))="P")+
 --(INDEX('TH_MLG GRADE 10'!$AG$7:$AG$49,MATCH(LEFT($A33,LEN($A33)-2),'TH_MLG GRADE 10'!$B$7:$B$49,0))="P")+
 --(INDEX('TH_MLG GRADE 10'!$AM$7:$AM$49,MATCH(LEFT($A33,LEN($A33)-2),'TH_MLG GRADE 10'!$B$7:$B$49,0))="P")+
 --(INDEX('TH_MLG GRADE 10'!$AY$7:$AY$49,MATCH(LEFT($A33,LEN($A33)-2),'TH_MLG GRADE 10'!$B$7:$B$49,0))="P")+
 --(INDEX('TH_MLG GRADE 10'!$BE$7:$BE$49,MATCH(LEFT($A33,LEN($A33)-2),'TH_MLG GRADE 10'!$B$7:$B$49,0))="P")+
 --(INDEX('TH_MLG GRADE 10'!$U$7:$U$49,MATCH(LEFT($A33,LEN($A33)-2),'TH_MLG GRADE 10'!$B$7:$B$49,0))="P")+
 --(INDEX('TH_MLG GRADE 10'!$AS$7:$AS$49,MATCH(LEFT($A33,LEN($A33)-2),'TH_MLG GRADE 10'!$B$7:$B$49,0))="P"),
0)</f>
        <v>4</v>
      </c>
      <c r="D33" s="24" t="b">
        <f ca="1">IF(IF(_xlfn.XLOOKUP(LEFT($A33,LEN($A33)-2),'TH_MLG GRADE 10'!$B$7:$B$49,'TH_MLG GRADE 10'!$BK$7:$BK$49,"",0,1)=0,"",_xlfn.XLOOKUP(LEFT($A33,LEN($A33)-2),'TH_MLG GRADE 10'!$B$7:$B$49,'TH_MLG GRADE 10'!$BK$7:$BK$49,"",0,1))&lt;=TODAY(),TRUE,FALSE)</f>
        <v>1</v>
      </c>
      <c r="E33" s="25">
        <f t="shared" ca="1" si="0"/>
        <v>1</v>
      </c>
      <c r="F33" s="24" t="s">
        <v>237</v>
      </c>
      <c r="G33">
        <v>2</v>
      </c>
      <c r="H33">
        <f>IFERROR(
 --(INDEX('PW_MLG GRADE 10'!$C$7:$C$31,MATCH(LEFT($A33,LEN($A33)-2),'PW_MLG GRADE 10'!$B$7:$B$31,0))="P")+
 --(INDEX('PW_MLG GRADE 10'!$I$7:$I$31,MATCH(LEFT($A33,LEN($A33)-2),'PW_MLG GRADE 10'!$B$7:$B$31,0))="P")+
 --(INDEX('PW_MLG GRADE 10'!$O$7:$O$31,MATCH(LEFT($A33,LEN($A33)-2),'PW_MLG GRADE 10'!$B$7:$B$31,0))="P")+
 --(INDEX('PW_MLG GRADE 10'!$AA$7:$AA$31,MATCH(LEFT($A33,LEN($A33)-2),'PW_MLG GRADE 10'!$B$7:$B$31,0))="P")+
 --(INDEX('PW_MLG GRADE 10'!$AG$7:$AG$31,MATCH(LEFT($A33,LEN($A33)-2),'PW_MLG GRADE 10'!$B$7:$B$31,0))="P")+
 --(INDEX('PW_MLG GRADE 10'!$AM$7:$AM$31,MATCH(LEFT($A33,LEN($A33)-2),'PW_MLG GRADE 10'!$B$7:$B$31,0))="P")+
 --(INDEX('PW_MLG GRADE 10'!$AY$7:$AY$31,MATCH(LEFT($A33,LEN($A33)-2),'PW_MLG GRADE 10'!$B$7:$B$31,0))="P")+
 --(INDEX('PW_MLG GRADE 10'!$BE$7:$BE$31,MATCH(LEFT($A33,LEN($A33)-2),'PW_MLG GRADE 10'!$B$7:$B$31,0))="P")+
 --(INDEX('PW_MLG GRADE 10'!$U$7:$U$31,MATCH(LEFT($A33,LEN($A33)-2),'PW_MLG GRADE 10'!$B$7:$B$31,0))="P")+
 --(INDEX('PW_MLG GRADE 10'!$AS$7:$AS$31,MATCH(LEFT($A33,LEN($A33)-2),'PW_MLG GRADE 10'!$B$7:$B$31,0))="P"),
0)</f>
        <v>3</v>
      </c>
      <c r="I33" s="24" t="b">
        <f ca="1">IF(IF(_xlfn.XLOOKUP(LEFT($A33,LEN($A33)-2),'PW_MLG GRADE 10'!$B$7:$B$31,'PW_MLG GRADE 10'!$BK$7:$BK$31,"",0,1)=0,"",_xlfn.XLOOKUP(LEFT($A33,LEN($A33)-2),'PW_MLG GRADE 10'!$B$7:$B$31,'PW_MLG GRADE 10'!$BK$7:$BK$31,"",0,1))&lt;=TODAY(),TRUE,FALSE)</f>
        <v>1</v>
      </c>
      <c r="J33" s="25">
        <f t="shared" ca="1" si="1"/>
        <v>1</v>
      </c>
    </row>
    <row r="34" spans="1:11">
      <c r="A34" s="24" t="s">
        <v>238</v>
      </c>
      <c r="B34">
        <v>2</v>
      </c>
      <c r="C34">
        <f>IFERROR(
 --(INDEX('TH_MLG GRADE 10'!$C$7:$C$49,MATCH(LEFT($A34,LEN($A34)-2),'TH_MLG GRADE 10'!$B$7:$B$49,0))="P")+
 --(INDEX('TH_MLG GRADE 10'!$I$7:$I$49,MATCH(LEFT($A34,LEN($A34)-2),'TH_MLG GRADE 10'!$B$7:$B$49,0))="P")+
 --(INDEX('TH_MLG GRADE 10'!$O$7:$O$49,MATCH(LEFT($A34,LEN($A34)-2),'TH_MLG GRADE 10'!$B$7:$B$49,0))="P")+
 --(INDEX('TH_MLG GRADE 10'!$AA$7:$AA$49,MATCH(LEFT($A34,LEN($A34)-2),'TH_MLG GRADE 10'!$B$7:$B$49,0))="P")+
 --(INDEX('TH_MLG GRADE 10'!$AG$7:$AG$49,MATCH(LEFT($A34,LEN($A34)-2),'TH_MLG GRADE 10'!$B$7:$B$49,0))="P")+
 --(INDEX('TH_MLG GRADE 10'!$AM$7:$AM$49,MATCH(LEFT($A34,LEN($A34)-2),'TH_MLG GRADE 10'!$B$7:$B$49,0))="P")+
 --(INDEX('TH_MLG GRADE 10'!$AY$7:$AY$49,MATCH(LEFT($A34,LEN($A34)-2),'TH_MLG GRADE 10'!$B$7:$B$49,0))="P")+
 --(INDEX('TH_MLG GRADE 10'!$BE$7:$BE$49,MATCH(LEFT($A34,LEN($A34)-2),'TH_MLG GRADE 10'!$B$7:$B$49,0))="P")+
 --(INDEX('TH_MLG GRADE 10'!$U$7:$U$49,MATCH(LEFT($A34,LEN($A34)-2),'TH_MLG GRADE 10'!$B$7:$B$49,0))="P")+
 --(INDEX('TH_MLG GRADE 10'!$AS$7:$AS$49,MATCH(LEFT($A34,LEN($A34)-2),'TH_MLG GRADE 10'!$B$7:$B$49,0))="P"),
0)</f>
        <v>2</v>
      </c>
      <c r="D34" s="24" t="b">
        <f ca="1">IF(IF(_xlfn.XLOOKUP(LEFT($A34,LEN($A34)-2),'TH_MLG GRADE 10'!$B$7:$B$49,'TH_MLG GRADE 10'!$BK$7:$BK$49,"",0,1)=0,"",_xlfn.XLOOKUP(LEFT($A34,LEN($A34)-2),'TH_MLG GRADE 10'!$B$7:$B$49,'TH_MLG GRADE 10'!$BK$7:$BK$49,"",0,1))&lt;=TODAY(),TRUE,FALSE)</f>
        <v>1</v>
      </c>
      <c r="E34" s="25">
        <f t="shared" ca="1" si="0"/>
        <v>1</v>
      </c>
      <c r="F34" s="24" t="s">
        <v>238</v>
      </c>
      <c r="G34">
        <v>2</v>
      </c>
      <c r="H34">
        <f>IFERROR(
 --(INDEX('PW_MLG GRADE 10'!$C$7:$C$31,MATCH(LEFT($A34,LEN($A34)-2),'PW_MLG GRADE 10'!$B$7:$B$31,0))="P")+
 --(INDEX('PW_MLG GRADE 10'!$I$7:$I$31,MATCH(LEFT($A34,LEN($A34)-2),'PW_MLG GRADE 10'!$B$7:$B$31,0))="P")+
 --(INDEX('PW_MLG GRADE 10'!$O$7:$O$31,MATCH(LEFT($A34,LEN($A34)-2),'PW_MLG GRADE 10'!$B$7:$B$31,0))="P")+
 --(INDEX('PW_MLG GRADE 10'!$AA$7:$AA$31,MATCH(LEFT($A34,LEN($A34)-2),'PW_MLG GRADE 10'!$B$7:$B$31,0))="P")+
 --(INDEX('PW_MLG GRADE 10'!$AG$7:$AG$31,MATCH(LEFT($A34,LEN($A34)-2),'PW_MLG GRADE 10'!$B$7:$B$31,0))="P")+
 --(INDEX('PW_MLG GRADE 10'!$AM$7:$AM$31,MATCH(LEFT($A34,LEN($A34)-2),'PW_MLG GRADE 10'!$B$7:$B$31,0))="P")+
 --(INDEX('PW_MLG GRADE 10'!$AY$7:$AY$31,MATCH(LEFT($A34,LEN($A34)-2),'PW_MLG GRADE 10'!$B$7:$B$31,0))="P")+
 --(INDEX('PW_MLG GRADE 10'!$BE$7:$BE$31,MATCH(LEFT($A34,LEN($A34)-2),'PW_MLG GRADE 10'!$B$7:$B$31,0))="P")+
 --(INDEX('PW_MLG GRADE 10'!$U$7:$U$31,MATCH(LEFT($A34,LEN($A34)-2),'PW_MLG GRADE 10'!$B$7:$B$31,0))="P")+
 --(INDEX('PW_MLG GRADE 10'!$AS$7:$AS$31,MATCH(LEFT($A34,LEN($A34)-2),'PW_MLG GRADE 10'!$B$7:$B$31,0))="P"),
0)</f>
        <v>0</v>
      </c>
      <c r="I34" s="24" t="b">
        <f ca="1">IF(IF(_xlfn.XLOOKUP(LEFT($A34,LEN($A34)-2),'PW_MLG GRADE 10'!$B$7:$B$31,'PW_MLG GRADE 10'!$BK$7:$BK$31,"",0,1)=0,"",_xlfn.XLOOKUP(LEFT($A34,LEN($A34)-2),'PW_MLG GRADE 10'!$B$7:$B$31,'PW_MLG GRADE 10'!$BK$7:$BK$31,"",0,1))&lt;=TODAY(),TRUE,FALSE)</f>
        <v>0</v>
      </c>
      <c r="J34" s="25" t="str">
        <f t="shared" ca="1" si="1"/>
        <v/>
      </c>
    </row>
    <row r="35" spans="1:11">
      <c r="A35" s="24" t="s">
        <v>239</v>
      </c>
      <c r="B35">
        <v>2</v>
      </c>
      <c r="C35">
        <f>IFERROR(
 --(INDEX('TH_MLG GRADE 10'!$C$7:$C$49,MATCH(LEFT($A35,LEN($A35)-2),'TH_MLG GRADE 10'!$B$7:$B$49,0))="P")+
 --(INDEX('TH_MLG GRADE 10'!$I$7:$I$49,MATCH(LEFT($A35,LEN($A35)-2),'TH_MLG GRADE 10'!$B$7:$B$49,0))="P")+
 --(INDEX('TH_MLG GRADE 10'!$O$7:$O$49,MATCH(LEFT($A35,LEN($A35)-2),'TH_MLG GRADE 10'!$B$7:$B$49,0))="P")+
 --(INDEX('TH_MLG GRADE 10'!$AA$7:$AA$49,MATCH(LEFT($A35,LEN($A35)-2),'TH_MLG GRADE 10'!$B$7:$B$49,0))="P")+
 --(INDEX('TH_MLG GRADE 10'!$AG$7:$AG$49,MATCH(LEFT($A35,LEN($A35)-2),'TH_MLG GRADE 10'!$B$7:$B$49,0))="P")+
 --(INDEX('TH_MLG GRADE 10'!$AM$7:$AM$49,MATCH(LEFT($A35,LEN($A35)-2),'TH_MLG GRADE 10'!$B$7:$B$49,0))="P")+
 --(INDEX('TH_MLG GRADE 10'!$AY$7:$AY$49,MATCH(LEFT($A35,LEN($A35)-2),'TH_MLG GRADE 10'!$B$7:$B$49,0))="P")+
 --(INDEX('TH_MLG GRADE 10'!$BE$7:$BE$49,MATCH(LEFT($A35,LEN($A35)-2),'TH_MLG GRADE 10'!$B$7:$B$49,0))="P")+
 --(INDEX('TH_MLG GRADE 10'!$U$7:$U$49,MATCH(LEFT($A35,LEN($A35)-2),'TH_MLG GRADE 10'!$B$7:$B$49,0))="P")+
 --(INDEX('TH_MLG GRADE 10'!$AS$7:$AS$49,MATCH(LEFT($A35,LEN($A35)-2),'TH_MLG GRADE 10'!$B$7:$B$49,0))="P"),
0)</f>
        <v>3</v>
      </c>
      <c r="D35" s="24" t="b">
        <f ca="1">IF(IF(_xlfn.XLOOKUP(LEFT($A35,LEN($A35)-2),'TH_MLG GRADE 10'!$B$7:$B$49,'TH_MLG GRADE 10'!$BK$7:$BK$49,"",0,1)=0,"",_xlfn.XLOOKUP(LEFT($A35,LEN($A35)-2),'TH_MLG GRADE 10'!$B$7:$B$49,'TH_MLG GRADE 10'!$BK$7:$BK$49,"",0,1))&lt;=TODAY(),TRUE,FALSE)</f>
        <v>1</v>
      </c>
      <c r="E35" s="25">
        <f t="shared" ca="1" si="0"/>
        <v>1</v>
      </c>
      <c r="F35" s="24" t="s">
        <v>239</v>
      </c>
      <c r="G35">
        <v>2</v>
      </c>
      <c r="H35">
        <f>IFERROR(
 --(INDEX('PW_MLG GRADE 10'!$C$7:$C$31,MATCH(LEFT($A35,LEN($A35)-2),'PW_MLG GRADE 10'!$B$7:$B$31,0))="P")+
 --(INDEX('PW_MLG GRADE 10'!$I$7:$I$31,MATCH(LEFT($A35,LEN($A35)-2),'PW_MLG GRADE 10'!$B$7:$B$31,0))="P")+
 --(INDEX('PW_MLG GRADE 10'!$O$7:$O$31,MATCH(LEFT($A35,LEN($A35)-2),'PW_MLG GRADE 10'!$B$7:$B$31,0))="P")+
 --(INDEX('PW_MLG GRADE 10'!$AA$7:$AA$31,MATCH(LEFT($A35,LEN($A35)-2),'PW_MLG GRADE 10'!$B$7:$B$31,0))="P")+
 --(INDEX('PW_MLG GRADE 10'!$AG$7:$AG$31,MATCH(LEFT($A35,LEN($A35)-2),'PW_MLG GRADE 10'!$B$7:$B$31,0))="P")+
 --(INDEX('PW_MLG GRADE 10'!$AM$7:$AM$31,MATCH(LEFT($A35,LEN($A35)-2),'PW_MLG GRADE 10'!$B$7:$B$31,0))="P")+
 --(INDEX('PW_MLG GRADE 10'!$AY$7:$AY$31,MATCH(LEFT($A35,LEN($A35)-2),'PW_MLG GRADE 10'!$B$7:$B$31,0))="P")+
 --(INDEX('PW_MLG GRADE 10'!$BE$7:$BE$31,MATCH(LEFT($A35,LEN($A35)-2),'PW_MLG GRADE 10'!$B$7:$B$31,0))="P")+
 --(INDEX('PW_MLG GRADE 10'!$U$7:$U$31,MATCH(LEFT($A35,LEN($A35)-2),'PW_MLG GRADE 10'!$B$7:$B$31,0))="P")+
 --(INDEX('PW_MLG GRADE 10'!$AS$7:$AS$31,MATCH(LEFT($A35,LEN($A35)-2),'PW_MLG GRADE 10'!$B$7:$B$31,0))="P"),
0)</f>
        <v>2</v>
      </c>
      <c r="I35" s="24" t="b">
        <f ca="1">IF(IF(_xlfn.XLOOKUP(LEFT($A35,LEN($A35)-2),'PW_MLG GRADE 10'!$B$7:$B$31,'PW_MLG GRADE 10'!$BK$7:$BK$31,"",0,1)=0,"",_xlfn.XLOOKUP(LEFT($A35,LEN($A35)-2),'PW_MLG GRADE 10'!$B$7:$B$31,'PW_MLG GRADE 10'!$BK$7:$BK$31,"",0,1))&lt;=TODAY(),TRUE,FALSE)</f>
        <v>1</v>
      </c>
      <c r="J35" s="25">
        <f t="shared" ca="1" si="1"/>
        <v>1</v>
      </c>
    </row>
    <row r="36" spans="1:11">
      <c r="A36" s="24" t="s">
        <v>240</v>
      </c>
      <c r="B36">
        <v>2</v>
      </c>
      <c r="C36">
        <f>IFERROR(
 --(INDEX('TH_MLG GRADE 10'!$C$7:$C$49,MATCH(LEFT($A36,LEN($A36)-2),'TH_MLG GRADE 10'!$B$7:$B$49,0))="P")+
 --(INDEX('TH_MLG GRADE 10'!$I$7:$I$49,MATCH(LEFT($A36,LEN($A36)-2),'TH_MLG GRADE 10'!$B$7:$B$49,0))="P")+
 --(INDEX('TH_MLG GRADE 10'!$O$7:$O$49,MATCH(LEFT($A36,LEN($A36)-2),'TH_MLG GRADE 10'!$B$7:$B$49,0))="P")+
 --(INDEX('TH_MLG GRADE 10'!$AA$7:$AA$49,MATCH(LEFT($A36,LEN($A36)-2),'TH_MLG GRADE 10'!$B$7:$B$49,0))="P")+
 --(INDEX('TH_MLG GRADE 10'!$AG$7:$AG$49,MATCH(LEFT($A36,LEN($A36)-2),'TH_MLG GRADE 10'!$B$7:$B$49,0))="P")+
 --(INDEX('TH_MLG GRADE 10'!$AM$7:$AM$49,MATCH(LEFT($A36,LEN($A36)-2),'TH_MLG GRADE 10'!$B$7:$B$49,0))="P")+
 --(INDEX('TH_MLG GRADE 10'!$AY$7:$AY$49,MATCH(LEFT($A36,LEN($A36)-2),'TH_MLG GRADE 10'!$B$7:$B$49,0))="P")+
 --(INDEX('TH_MLG GRADE 10'!$BE$7:$BE$49,MATCH(LEFT($A36,LEN($A36)-2),'TH_MLG GRADE 10'!$B$7:$B$49,0))="P")+
 --(INDEX('TH_MLG GRADE 10'!$U$7:$U$49,MATCH(LEFT($A36,LEN($A36)-2),'TH_MLG GRADE 10'!$B$7:$B$49,0))="P")+
 --(INDEX('TH_MLG GRADE 10'!$AS$7:$AS$49,MATCH(LEFT($A36,LEN($A36)-2),'TH_MLG GRADE 10'!$B$7:$B$49,0))="P"),
0)</f>
        <v>2</v>
      </c>
      <c r="D36" s="24" t="b">
        <f ca="1">IF(IF(_xlfn.XLOOKUP(LEFT($A36,LEN($A36)-2),'TH_MLG GRADE 10'!$B$7:$B$49,'TH_MLG GRADE 10'!$BK$7:$BK$49,"",0,1)=0,"",_xlfn.XLOOKUP(LEFT($A36,LEN($A36)-2),'TH_MLG GRADE 10'!$B$7:$B$49,'TH_MLG GRADE 10'!$BK$7:$BK$49,"",0,1))&lt;=TODAY(),TRUE,FALSE)</f>
        <v>1</v>
      </c>
      <c r="E36" s="25">
        <f t="shared" ca="1" si="0"/>
        <v>1</v>
      </c>
      <c r="F36" s="24" t="s">
        <v>240</v>
      </c>
      <c r="G36">
        <v>2</v>
      </c>
      <c r="H36">
        <f>IFERROR(
 --(INDEX('PW_MLG GRADE 10'!$C$7:$C$31,MATCH(LEFT($A36,LEN($A36)-2),'PW_MLG GRADE 10'!$B$7:$B$31,0))="P")+
 --(INDEX('PW_MLG GRADE 10'!$I$7:$I$31,MATCH(LEFT($A36,LEN($A36)-2),'PW_MLG GRADE 10'!$B$7:$B$31,0))="P")+
 --(INDEX('PW_MLG GRADE 10'!$O$7:$O$31,MATCH(LEFT($A36,LEN($A36)-2),'PW_MLG GRADE 10'!$B$7:$B$31,0))="P")+
 --(INDEX('PW_MLG GRADE 10'!$AA$7:$AA$31,MATCH(LEFT($A36,LEN($A36)-2),'PW_MLG GRADE 10'!$B$7:$B$31,0))="P")+
 --(INDEX('PW_MLG GRADE 10'!$AG$7:$AG$31,MATCH(LEFT($A36,LEN($A36)-2),'PW_MLG GRADE 10'!$B$7:$B$31,0))="P")+
 --(INDEX('PW_MLG GRADE 10'!$AM$7:$AM$31,MATCH(LEFT($A36,LEN($A36)-2),'PW_MLG GRADE 10'!$B$7:$B$31,0))="P")+
 --(INDEX('PW_MLG GRADE 10'!$AY$7:$AY$31,MATCH(LEFT($A36,LEN($A36)-2),'PW_MLG GRADE 10'!$B$7:$B$31,0))="P")+
 --(INDEX('PW_MLG GRADE 10'!$BE$7:$BE$31,MATCH(LEFT($A36,LEN($A36)-2),'PW_MLG GRADE 10'!$B$7:$B$31,0))="P")+
 --(INDEX('PW_MLG GRADE 10'!$U$7:$U$31,MATCH(LEFT($A36,LEN($A36)-2),'PW_MLG GRADE 10'!$B$7:$B$31,0))="P")+
 --(INDEX('PW_MLG GRADE 10'!$AS$7:$AS$31,MATCH(LEFT($A36,LEN($A36)-2),'PW_MLG GRADE 10'!$B$7:$B$31,0))="P"),
0)</f>
        <v>3</v>
      </c>
      <c r="I36" s="24" t="b">
        <f ca="1">IF(IF(_xlfn.XLOOKUP(LEFT($A36,LEN($A36)-2),'PW_MLG GRADE 10'!$B$7:$B$31,'PW_MLG GRADE 10'!$BK$7:$BK$31,"",0,1)=0,"",_xlfn.XLOOKUP(LEFT($A36,LEN($A36)-2),'PW_MLG GRADE 10'!$B$7:$B$31,'PW_MLG GRADE 10'!$BK$7:$BK$31,"",0,1))&lt;=TODAY(),TRUE,FALSE)</f>
        <v>1</v>
      </c>
      <c r="J36" s="25">
        <f t="shared" ca="1" si="1"/>
        <v>1</v>
      </c>
    </row>
    <row r="37" spans="1:11">
      <c r="A37" s="24" t="s">
        <v>241</v>
      </c>
      <c r="B37">
        <v>3</v>
      </c>
      <c r="C37">
        <f>IFERROR(
 --(INDEX('TH_MLG GRADE 10'!$C$7:$C$49,MATCH(LEFT($A37,LEN($A37)-2),'TH_MLG GRADE 10'!$B$7:$B$49,0))="P")+
 --(INDEX('TH_MLG GRADE 10'!$I$7:$I$49,MATCH(LEFT($A37,LEN($A37)-2),'TH_MLG GRADE 10'!$B$7:$B$49,0))="P")+
 --(INDEX('TH_MLG GRADE 10'!$O$7:$O$49,MATCH(LEFT($A37,LEN($A37)-2),'TH_MLG GRADE 10'!$B$7:$B$49,0))="P")+
 --(INDEX('TH_MLG GRADE 10'!$AA$7:$AA$49,MATCH(LEFT($A37,LEN($A37)-2),'TH_MLG GRADE 10'!$B$7:$B$49,0))="P")+
 --(INDEX('TH_MLG GRADE 10'!$AG$7:$AG$49,MATCH(LEFT($A37,LEN($A37)-2),'TH_MLG GRADE 10'!$B$7:$B$49,0))="P")+
 --(INDEX('TH_MLG GRADE 10'!$AM$7:$AM$49,MATCH(LEFT($A37,LEN($A37)-2),'TH_MLG GRADE 10'!$B$7:$B$49,0))="P")+
 --(INDEX('TH_MLG GRADE 10'!$AY$7:$AY$49,MATCH(LEFT($A37,LEN($A37)-2),'TH_MLG GRADE 10'!$B$7:$B$49,0))="P")+
 --(INDEX('TH_MLG GRADE 10'!$BE$7:$BE$49,MATCH(LEFT($A37,LEN($A37)-2),'TH_MLG GRADE 10'!$B$7:$B$49,0))="P")+
 --(INDEX('TH_MLG GRADE 10'!$U$7:$U$49,MATCH(LEFT($A37,LEN($A37)-2),'TH_MLG GRADE 10'!$B$7:$B$49,0))="P")+
 --(INDEX('TH_MLG GRADE 10'!$AS$7:$AS$49,MATCH(LEFT($A37,LEN($A37)-2),'TH_MLG GRADE 10'!$B$7:$B$49,0))="P"),
0)</f>
        <v>1</v>
      </c>
      <c r="D37" s="24" t="b">
        <f ca="1">IF(IF(_xlfn.XLOOKUP(LEFT($A37,LEN($A37)-2),'TH_MLG GRADE 10'!$B$7:$B$49,'TH_MLG GRADE 10'!$BK$7:$BK$49,"",0,1)=0,"",_xlfn.XLOOKUP(LEFT($A37,LEN($A37)-2),'TH_MLG GRADE 10'!$B$7:$B$49,'TH_MLG GRADE 10'!$BK$7:$BK$49,"",0,1))&lt;=TODAY(),TRUE,FALSE)</f>
        <v>1</v>
      </c>
      <c r="E37" s="25">
        <f t="shared" ca="1" si="0"/>
        <v>0.33333333333333331</v>
      </c>
      <c r="F37" s="24" t="s">
        <v>241</v>
      </c>
      <c r="G37">
        <v>2</v>
      </c>
      <c r="H37">
        <f>IFERROR(
 --(INDEX('PW_MLG GRADE 10'!$C$7:$C$31,MATCH(LEFT($A37,LEN($A37)-2),'PW_MLG GRADE 10'!$B$7:$B$31,0))="P")+
 --(INDEX('PW_MLG GRADE 10'!$I$7:$I$31,MATCH(LEFT($A37,LEN($A37)-2),'PW_MLG GRADE 10'!$B$7:$B$31,0))="P")+
 --(INDEX('PW_MLG GRADE 10'!$O$7:$O$31,MATCH(LEFT($A37,LEN($A37)-2),'PW_MLG GRADE 10'!$B$7:$B$31,0))="P")+
 --(INDEX('PW_MLG GRADE 10'!$AA$7:$AA$31,MATCH(LEFT($A37,LEN($A37)-2),'PW_MLG GRADE 10'!$B$7:$B$31,0))="P")+
 --(INDEX('PW_MLG GRADE 10'!$AG$7:$AG$31,MATCH(LEFT($A37,LEN($A37)-2),'PW_MLG GRADE 10'!$B$7:$B$31,0))="P")+
 --(INDEX('PW_MLG GRADE 10'!$AM$7:$AM$31,MATCH(LEFT($A37,LEN($A37)-2),'PW_MLG GRADE 10'!$B$7:$B$31,0))="P")+
 --(INDEX('PW_MLG GRADE 10'!$AY$7:$AY$31,MATCH(LEFT($A37,LEN($A37)-2),'PW_MLG GRADE 10'!$B$7:$B$31,0))="P")+
 --(INDEX('PW_MLG GRADE 10'!$BE$7:$BE$31,MATCH(LEFT($A37,LEN($A37)-2),'PW_MLG GRADE 10'!$B$7:$B$31,0))="P")+
 --(INDEX('PW_MLG GRADE 10'!$U$7:$U$31,MATCH(LEFT($A37,LEN($A37)-2),'PW_MLG GRADE 10'!$B$7:$B$31,0))="P")+
 --(INDEX('PW_MLG GRADE 10'!$AS$7:$AS$31,MATCH(LEFT($A37,LEN($A37)-2),'PW_MLG GRADE 10'!$B$7:$B$31,0))="P"),
0)</f>
        <v>2</v>
      </c>
      <c r="I37" s="24" t="b">
        <f ca="1">IF(IF(_xlfn.XLOOKUP(LEFT($A37,LEN($A37)-2),'PW_MLG GRADE 10'!$B$7:$B$31,'PW_MLG GRADE 10'!$BK$7:$BK$31,"",0,1)=0,"",_xlfn.XLOOKUP(LEFT($A37,LEN($A37)-2),'PW_MLG GRADE 10'!$B$7:$B$31,'PW_MLG GRADE 10'!$BK$7:$BK$31,"",0,1))&lt;=TODAY(),TRUE,FALSE)</f>
        <v>1</v>
      </c>
      <c r="J37" s="25">
        <f t="shared" ca="1" si="1"/>
        <v>1</v>
      </c>
    </row>
    <row r="38" spans="1:11">
      <c r="A38" s="24" t="s">
        <v>242</v>
      </c>
      <c r="B38">
        <v>2</v>
      </c>
      <c r="C38">
        <f>IFERROR(
 --(INDEX('TH_MLG GRADE 10'!$C$7:$C$49,MATCH(LEFT($A38,LEN($A38)-2),'TH_MLG GRADE 10'!$B$7:$B$49,0))="P")+
 --(INDEX('TH_MLG GRADE 10'!$I$7:$I$49,MATCH(LEFT($A38,LEN($A38)-2),'TH_MLG GRADE 10'!$B$7:$B$49,0))="P")+
 --(INDEX('TH_MLG GRADE 10'!$O$7:$O$49,MATCH(LEFT($A38,LEN($A38)-2),'TH_MLG GRADE 10'!$B$7:$B$49,0))="P")+
 --(INDEX('TH_MLG GRADE 10'!$AA$7:$AA$49,MATCH(LEFT($A38,LEN($A38)-2),'TH_MLG GRADE 10'!$B$7:$B$49,0))="P")+
 --(INDEX('TH_MLG GRADE 10'!$AG$7:$AG$49,MATCH(LEFT($A38,LEN($A38)-2),'TH_MLG GRADE 10'!$B$7:$B$49,0))="P")+
 --(INDEX('TH_MLG GRADE 10'!$AM$7:$AM$49,MATCH(LEFT($A38,LEN($A38)-2),'TH_MLG GRADE 10'!$B$7:$B$49,0))="P")+
 --(INDEX('TH_MLG GRADE 10'!$AY$7:$AY$49,MATCH(LEFT($A38,LEN($A38)-2),'TH_MLG GRADE 10'!$B$7:$B$49,0))="P")+
 --(INDEX('TH_MLG GRADE 10'!$BE$7:$BE$49,MATCH(LEFT($A38,LEN($A38)-2),'TH_MLG GRADE 10'!$B$7:$B$49,0))="P")+
 --(INDEX('TH_MLG GRADE 10'!$U$7:$U$49,MATCH(LEFT($A38,LEN($A38)-2),'TH_MLG GRADE 10'!$B$7:$B$49,0))="P")+
 --(INDEX('TH_MLG GRADE 10'!$AS$7:$AS$49,MATCH(LEFT($A38,LEN($A38)-2),'TH_MLG GRADE 10'!$B$7:$B$49,0))="P"),
0)</f>
        <v>2</v>
      </c>
      <c r="D38" s="24" t="b">
        <f ca="1">IF(IF(_xlfn.XLOOKUP(LEFT($A38,LEN($A38)-2),'TH_MLG GRADE 10'!$B$7:$B$49,'TH_MLG GRADE 10'!$BK$7:$BK$49,"",0,1)=0,"",_xlfn.XLOOKUP(LEFT($A38,LEN($A38)-2),'TH_MLG GRADE 10'!$B$7:$B$49,'TH_MLG GRADE 10'!$BK$7:$BK$49,"",0,1))&lt;=TODAY(),TRUE,FALSE)</f>
        <v>1</v>
      </c>
      <c r="E38" s="25">
        <f t="shared" ca="1" si="0"/>
        <v>1</v>
      </c>
      <c r="F38" s="24" t="s">
        <v>242</v>
      </c>
      <c r="G38">
        <v>2</v>
      </c>
      <c r="H38">
        <f>IFERROR(
 --(INDEX('PW_MLG GRADE 10'!$C$7:$C$31,MATCH(LEFT($A38,LEN($A38)-2),'PW_MLG GRADE 10'!$B$7:$B$31,0))="P")+
 --(INDEX('PW_MLG GRADE 10'!$I$7:$I$31,MATCH(LEFT($A38,LEN($A38)-2),'PW_MLG GRADE 10'!$B$7:$B$31,0))="P")+
 --(INDEX('PW_MLG GRADE 10'!$O$7:$O$31,MATCH(LEFT($A38,LEN($A38)-2),'PW_MLG GRADE 10'!$B$7:$B$31,0))="P")+
 --(INDEX('PW_MLG GRADE 10'!$AA$7:$AA$31,MATCH(LEFT($A38,LEN($A38)-2),'PW_MLG GRADE 10'!$B$7:$B$31,0))="P")+
 --(INDEX('PW_MLG GRADE 10'!$AG$7:$AG$31,MATCH(LEFT($A38,LEN($A38)-2),'PW_MLG GRADE 10'!$B$7:$B$31,0))="P")+
 --(INDEX('PW_MLG GRADE 10'!$AM$7:$AM$31,MATCH(LEFT($A38,LEN($A38)-2),'PW_MLG GRADE 10'!$B$7:$B$31,0))="P")+
 --(INDEX('PW_MLG GRADE 10'!$AY$7:$AY$31,MATCH(LEFT($A38,LEN($A38)-2),'PW_MLG GRADE 10'!$B$7:$B$31,0))="P")+
 --(INDEX('PW_MLG GRADE 10'!$BE$7:$BE$31,MATCH(LEFT($A38,LEN($A38)-2),'PW_MLG GRADE 10'!$B$7:$B$31,0))="P")+
 --(INDEX('PW_MLG GRADE 10'!$U$7:$U$31,MATCH(LEFT($A38,LEN($A38)-2),'PW_MLG GRADE 10'!$B$7:$B$31,0))="P")+
 --(INDEX('PW_MLG GRADE 10'!$AS$7:$AS$31,MATCH(LEFT($A38,LEN($A38)-2),'PW_MLG GRADE 10'!$B$7:$B$31,0))="P"),
0)</f>
        <v>0</v>
      </c>
      <c r="I38" s="24" t="b">
        <f ca="1">IF(IF(_xlfn.XLOOKUP(LEFT($A38,LEN($A38)-2),'PW_MLG GRADE 10'!$B$7:$B$31,'PW_MLG GRADE 10'!$BK$7:$BK$31,"",0,1)=0,"",_xlfn.XLOOKUP(LEFT($A38,LEN($A38)-2),'PW_MLG GRADE 10'!$B$7:$B$31,'PW_MLG GRADE 10'!$BK$7:$BK$31,"",0,1))&lt;=TODAY(),TRUE,FALSE)</f>
        <v>0</v>
      </c>
      <c r="J38" s="25" t="str">
        <f t="shared" ca="1" si="1"/>
        <v/>
      </c>
    </row>
    <row r="39" spans="1:11">
      <c r="A39" s="24" t="s">
        <v>243</v>
      </c>
      <c r="B39">
        <v>2</v>
      </c>
      <c r="C39">
        <f>IFERROR(
 --(INDEX('TH_MLG GRADE 10'!$C$7:$C$49,MATCH(LEFT($A39,LEN($A39)-2),'TH_MLG GRADE 10'!$B$7:$B$49,0))="P")+
 --(INDEX('TH_MLG GRADE 10'!$I$7:$I$49,MATCH(LEFT($A39,LEN($A39)-2),'TH_MLG GRADE 10'!$B$7:$B$49,0))="P")+
 --(INDEX('TH_MLG GRADE 10'!$O$7:$O$49,MATCH(LEFT($A39,LEN($A39)-2),'TH_MLG GRADE 10'!$B$7:$B$49,0))="P")+
 --(INDEX('TH_MLG GRADE 10'!$AA$7:$AA$49,MATCH(LEFT($A39,LEN($A39)-2),'TH_MLG GRADE 10'!$B$7:$B$49,0))="P")+
 --(INDEX('TH_MLG GRADE 10'!$AG$7:$AG$49,MATCH(LEFT($A39,LEN($A39)-2),'TH_MLG GRADE 10'!$B$7:$B$49,0))="P")+
 --(INDEX('TH_MLG GRADE 10'!$AM$7:$AM$49,MATCH(LEFT($A39,LEN($A39)-2),'TH_MLG GRADE 10'!$B$7:$B$49,0))="P")+
 --(INDEX('TH_MLG GRADE 10'!$AY$7:$AY$49,MATCH(LEFT($A39,LEN($A39)-2),'TH_MLG GRADE 10'!$B$7:$B$49,0))="P")+
 --(INDEX('TH_MLG GRADE 10'!$BE$7:$BE$49,MATCH(LEFT($A39,LEN($A39)-2),'TH_MLG GRADE 10'!$B$7:$B$49,0))="P")+
 --(INDEX('TH_MLG GRADE 10'!$U$7:$U$49,MATCH(LEFT($A39,LEN($A39)-2),'TH_MLG GRADE 10'!$B$7:$B$49,0))="P")+
 --(INDEX('TH_MLG GRADE 10'!$AS$7:$AS$49,MATCH(LEFT($A39,LEN($A39)-2),'TH_MLG GRADE 10'!$B$7:$B$49,0))="P"),
0)</f>
        <v>2</v>
      </c>
      <c r="D39" s="24" t="b">
        <f ca="1">IF(IF(_xlfn.XLOOKUP(LEFT($A39,LEN($A39)-2),'TH_MLG GRADE 10'!$B$7:$B$49,'TH_MLG GRADE 10'!$BK$7:$BK$49,"",0,1)=0,"",_xlfn.XLOOKUP(LEFT($A39,LEN($A39)-2),'TH_MLG GRADE 10'!$B$7:$B$49,'TH_MLG GRADE 10'!$BK$7:$BK$49,"",0,1))&lt;=TODAY(),TRUE,FALSE)</f>
        <v>1</v>
      </c>
      <c r="E39" s="25">
        <f t="shared" ca="1" si="0"/>
        <v>1</v>
      </c>
      <c r="F39" s="24" t="s">
        <v>243</v>
      </c>
      <c r="G39">
        <v>2</v>
      </c>
      <c r="H39">
        <f>IFERROR(
 --(INDEX('PW_MLG GRADE 10'!$C$7:$C$31,MATCH(LEFT($A39,LEN($A39)-2),'PW_MLG GRADE 10'!$B$7:$B$31,0))="P")+
 --(INDEX('PW_MLG GRADE 10'!$I$7:$I$31,MATCH(LEFT($A39,LEN($A39)-2),'PW_MLG GRADE 10'!$B$7:$B$31,0))="P")+
 --(INDEX('PW_MLG GRADE 10'!$O$7:$O$31,MATCH(LEFT($A39,LEN($A39)-2),'PW_MLG GRADE 10'!$B$7:$B$31,0))="P")+
 --(INDEX('PW_MLG GRADE 10'!$AA$7:$AA$31,MATCH(LEFT($A39,LEN($A39)-2),'PW_MLG GRADE 10'!$B$7:$B$31,0))="P")+
 --(INDEX('PW_MLG GRADE 10'!$AG$7:$AG$31,MATCH(LEFT($A39,LEN($A39)-2),'PW_MLG GRADE 10'!$B$7:$B$31,0))="P")+
 --(INDEX('PW_MLG GRADE 10'!$AM$7:$AM$31,MATCH(LEFT($A39,LEN($A39)-2),'PW_MLG GRADE 10'!$B$7:$B$31,0))="P")+
 --(INDEX('PW_MLG GRADE 10'!$AY$7:$AY$31,MATCH(LEFT($A39,LEN($A39)-2),'PW_MLG GRADE 10'!$B$7:$B$31,0))="P")+
 --(INDEX('PW_MLG GRADE 10'!$BE$7:$BE$31,MATCH(LEFT($A39,LEN($A39)-2),'PW_MLG GRADE 10'!$B$7:$B$31,0))="P")+
 --(INDEX('PW_MLG GRADE 10'!$U$7:$U$31,MATCH(LEFT($A39,LEN($A39)-2),'PW_MLG GRADE 10'!$B$7:$B$31,0))="P")+
 --(INDEX('PW_MLG GRADE 10'!$AS$7:$AS$31,MATCH(LEFT($A39,LEN($A39)-2),'PW_MLG GRADE 10'!$B$7:$B$31,0))="P"),
0)</f>
        <v>0</v>
      </c>
      <c r="I39" s="24" t="b">
        <f ca="1">IF(IF(_xlfn.XLOOKUP(LEFT($A39,LEN($A39)-2),'PW_MLG GRADE 10'!$B$7:$B$31,'PW_MLG GRADE 10'!$BK$7:$BK$31,"",0,1)=0,"",_xlfn.XLOOKUP(LEFT($A39,LEN($A39)-2),'PW_MLG GRADE 10'!$B$7:$B$31,'PW_MLG GRADE 10'!$BK$7:$BK$31,"",0,1))&lt;=TODAY(),TRUE,FALSE)</f>
        <v>0</v>
      </c>
      <c r="J39" s="25" t="str">
        <f t="shared" ca="1" si="1"/>
        <v/>
      </c>
    </row>
    <row r="40" spans="1:11">
      <c r="A40" s="24" t="s">
        <v>244</v>
      </c>
      <c r="B40">
        <v>2</v>
      </c>
      <c r="C40">
        <f>IFERROR(
 --(INDEX('TH_MLG GRADE 10'!$C$7:$C$49,MATCH(LEFT($A40,LEN($A40)-2),'TH_MLG GRADE 10'!$B$7:$B$49,0))="P")+
 --(INDEX('TH_MLG GRADE 10'!$I$7:$I$49,MATCH(LEFT($A40,LEN($A40)-2),'TH_MLG GRADE 10'!$B$7:$B$49,0))="P")+
 --(INDEX('TH_MLG GRADE 10'!$O$7:$O$49,MATCH(LEFT($A40,LEN($A40)-2),'TH_MLG GRADE 10'!$B$7:$B$49,0))="P")+
 --(INDEX('TH_MLG GRADE 10'!$AA$7:$AA$49,MATCH(LEFT($A40,LEN($A40)-2),'TH_MLG GRADE 10'!$B$7:$B$49,0))="P")+
 --(INDEX('TH_MLG GRADE 10'!$AG$7:$AG$49,MATCH(LEFT($A40,LEN($A40)-2),'TH_MLG GRADE 10'!$B$7:$B$49,0))="P")+
 --(INDEX('TH_MLG GRADE 10'!$AM$7:$AM$49,MATCH(LEFT($A40,LEN($A40)-2),'TH_MLG GRADE 10'!$B$7:$B$49,0))="P")+
 --(INDEX('TH_MLG GRADE 10'!$AY$7:$AY$49,MATCH(LEFT($A40,LEN($A40)-2),'TH_MLG GRADE 10'!$B$7:$B$49,0))="P")+
 --(INDEX('TH_MLG GRADE 10'!$BE$7:$BE$49,MATCH(LEFT($A40,LEN($A40)-2),'TH_MLG GRADE 10'!$B$7:$B$49,0))="P")+
 --(INDEX('TH_MLG GRADE 10'!$U$7:$U$49,MATCH(LEFT($A40,LEN($A40)-2),'TH_MLG GRADE 10'!$B$7:$B$49,0))="P")+
 --(INDEX('TH_MLG GRADE 10'!$AS$7:$AS$49,MATCH(LEFT($A40,LEN($A40)-2),'TH_MLG GRADE 10'!$B$7:$B$49,0))="P"),
0)</f>
        <v>2</v>
      </c>
      <c r="D40" s="24" t="b">
        <f ca="1">IF(IF(_xlfn.XLOOKUP(LEFT($A40,LEN($A40)-2),'TH_MLG GRADE 10'!$B$7:$B$49,'TH_MLG GRADE 10'!$BK$7:$BK$49,"",0,1)=0,"",_xlfn.XLOOKUP(LEFT($A40,LEN($A40)-2),'TH_MLG GRADE 10'!$B$7:$B$49,'TH_MLG GRADE 10'!$BK$7:$BK$49,"",0,1))&lt;=TODAY(),TRUE,FALSE)</f>
        <v>1</v>
      </c>
      <c r="E40" s="25">
        <f t="shared" ca="1" si="0"/>
        <v>1</v>
      </c>
      <c r="F40" s="24" t="s">
        <v>244</v>
      </c>
      <c r="G40">
        <v>2</v>
      </c>
      <c r="H40">
        <f>IFERROR(
 --(INDEX('PW_MLG GRADE 10'!$C$7:$C$31,MATCH(LEFT($A40,LEN($A40)-2),'PW_MLG GRADE 10'!$B$7:$B$31,0))="P")+
 --(INDEX('PW_MLG GRADE 10'!$I$7:$I$31,MATCH(LEFT($A40,LEN($A40)-2),'PW_MLG GRADE 10'!$B$7:$B$31,0))="P")+
 --(INDEX('PW_MLG GRADE 10'!$O$7:$O$31,MATCH(LEFT($A40,LEN($A40)-2),'PW_MLG GRADE 10'!$B$7:$B$31,0))="P")+
 --(INDEX('PW_MLG GRADE 10'!$AA$7:$AA$31,MATCH(LEFT($A40,LEN($A40)-2),'PW_MLG GRADE 10'!$B$7:$B$31,0))="P")+
 --(INDEX('PW_MLG GRADE 10'!$AG$7:$AG$31,MATCH(LEFT($A40,LEN($A40)-2),'PW_MLG GRADE 10'!$B$7:$B$31,0))="P")+
 --(INDEX('PW_MLG GRADE 10'!$AM$7:$AM$31,MATCH(LEFT($A40,LEN($A40)-2),'PW_MLG GRADE 10'!$B$7:$B$31,0))="P")+
 --(INDEX('PW_MLG GRADE 10'!$AY$7:$AY$31,MATCH(LEFT($A40,LEN($A40)-2),'PW_MLG GRADE 10'!$B$7:$B$31,0))="P")+
 --(INDEX('PW_MLG GRADE 10'!$BE$7:$BE$31,MATCH(LEFT($A40,LEN($A40)-2),'PW_MLG GRADE 10'!$B$7:$B$31,0))="P")+
 --(INDEX('PW_MLG GRADE 10'!$U$7:$U$31,MATCH(LEFT($A40,LEN($A40)-2),'PW_MLG GRADE 10'!$B$7:$B$31,0))="P")+
 --(INDEX('PW_MLG GRADE 10'!$AS$7:$AS$31,MATCH(LEFT($A40,LEN($A40)-2),'PW_MLG GRADE 10'!$B$7:$B$31,0))="P"),
0)</f>
        <v>2</v>
      </c>
      <c r="I40" s="24" t="b">
        <f ca="1">IF(IF(_xlfn.XLOOKUP(LEFT($A40,LEN($A40)-2),'PW_MLG GRADE 10'!$B$7:$B$31,'PW_MLG GRADE 10'!$BK$7:$BK$31,"",0,1)=0,"",_xlfn.XLOOKUP(LEFT($A40,LEN($A40)-2),'PW_MLG GRADE 10'!$B$7:$B$31,'PW_MLG GRADE 10'!$BK$7:$BK$31,"",0,1))&lt;=TODAY(),TRUE,FALSE)</f>
        <v>1</v>
      </c>
      <c r="J40" s="25">
        <f t="shared" ca="1" si="1"/>
        <v>1</v>
      </c>
    </row>
    <row r="41" spans="1:11">
      <c r="A41" s="24" t="s">
        <v>245</v>
      </c>
      <c r="B41">
        <v>2</v>
      </c>
      <c r="C41">
        <f>IFERROR(
 --(INDEX('TH_MLG GRADE 10'!$C$7:$C$49,MATCH(LEFT($A41,LEN($A41)-2),'TH_MLG GRADE 10'!$B$7:$B$49,0))="P")+
 --(INDEX('TH_MLG GRADE 10'!$I$7:$I$49,MATCH(LEFT($A41,LEN($A41)-2),'TH_MLG GRADE 10'!$B$7:$B$49,0))="P")+
 --(INDEX('TH_MLG GRADE 10'!$O$7:$O$49,MATCH(LEFT($A41,LEN($A41)-2),'TH_MLG GRADE 10'!$B$7:$B$49,0))="P")+
 --(INDEX('TH_MLG GRADE 10'!$AA$7:$AA$49,MATCH(LEFT($A41,LEN($A41)-2),'TH_MLG GRADE 10'!$B$7:$B$49,0))="P")+
 --(INDEX('TH_MLG GRADE 10'!$AG$7:$AG$49,MATCH(LEFT($A41,LEN($A41)-2),'TH_MLG GRADE 10'!$B$7:$B$49,0))="P")+
 --(INDEX('TH_MLG GRADE 10'!$AM$7:$AM$49,MATCH(LEFT($A41,LEN($A41)-2),'TH_MLG GRADE 10'!$B$7:$B$49,0))="P")+
 --(INDEX('TH_MLG GRADE 10'!$AY$7:$AY$49,MATCH(LEFT($A41,LEN($A41)-2),'TH_MLG GRADE 10'!$B$7:$B$49,0))="P")+
 --(INDEX('TH_MLG GRADE 10'!$BE$7:$BE$49,MATCH(LEFT($A41,LEN($A41)-2),'TH_MLG GRADE 10'!$B$7:$B$49,0))="P")+
 --(INDEX('TH_MLG GRADE 10'!$U$7:$U$49,MATCH(LEFT($A41,LEN($A41)-2),'TH_MLG GRADE 10'!$B$7:$B$49,0))="P")+
 --(INDEX('TH_MLG GRADE 10'!$AS$7:$AS$49,MATCH(LEFT($A41,LEN($A41)-2),'TH_MLG GRADE 10'!$B$7:$B$49,0))="P"),
0)</f>
        <v>2</v>
      </c>
      <c r="D41" s="24" t="b">
        <f ca="1">IF(IF(_xlfn.XLOOKUP(LEFT($A41,LEN($A41)-2),'TH_MLG GRADE 10'!$B$7:$B$49,'TH_MLG GRADE 10'!$BK$7:$BK$49,"",0,1)=0,"",_xlfn.XLOOKUP(LEFT($A41,LEN($A41)-2),'TH_MLG GRADE 10'!$B$7:$B$49,'TH_MLG GRADE 10'!$BK$7:$BK$49,"",0,1))&lt;=TODAY(),TRUE,FALSE)</f>
        <v>1</v>
      </c>
      <c r="E41" s="25">
        <f t="shared" ca="1" si="0"/>
        <v>1</v>
      </c>
      <c r="F41" s="24" t="s">
        <v>245</v>
      </c>
      <c r="G41">
        <v>2</v>
      </c>
      <c r="H41">
        <f>IFERROR(
 --(INDEX('PW_MLG GRADE 10'!$C$7:$C$31,MATCH(LEFT($A41,LEN($A41)-2),'PW_MLG GRADE 10'!$B$7:$B$31,0))="P")+
 --(INDEX('PW_MLG GRADE 10'!$I$7:$I$31,MATCH(LEFT($A41,LEN($A41)-2),'PW_MLG GRADE 10'!$B$7:$B$31,0))="P")+
 --(INDEX('PW_MLG GRADE 10'!$O$7:$O$31,MATCH(LEFT($A41,LEN($A41)-2),'PW_MLG GRADE 10'!$B$7:$B$31,0))="P")+
 --(INDEX('PW_MLG GRADE 10'!$AA$7:$AA$31,MATCH(LEFT($A41,LEN($A41)-2),'PW_MLG GRADE 10'!$B$7:$B$31,0))="P")+
 --(INDEX('PW_MLG GRADE 10'!$AG$7:$AG$31,MATCH(LEFT($A41,LEN($A41)-2),'PW_MLG GRADE 10'!$B$7:$B$31,0))="P")+
 --(INDEX('PW_MLG GRADE 10'!$AM$7:$AM$31,MATCH(LEFT($A41,LEN($A41)-2),'PW_MLG GRADE 10'!$B$7:$B$31,0))="P")+
 --(INDEX('PW_MLG GRADE 10'!$AY$7:$AY$31,MATCH(LEFT($A41,LEN($A41)-2),'PW_MLG GRADE 10'!$B$7:$B$31,0))="P")+
 --(INDEX('PW_MLG GRADE 10'!$BE$7:$BE$31,MATCH(LEFT($A41,LEN($A41)-2),'PW_MLG GRADE 10'!$B$7:$B$31,0))="P")+
 --(INDEX('PW_MLG GRADE 10'!$U$7:$U$31,MATCH(LEFT($A41,LEN($A41)-2),'PW_MLG GRADE 10'!$B$7:$B$31,0))="P")+
 --(INDEX('PW_MLG GRADE 10'!$AS$7:$AS$31,MATCH(LEFT($A41,LEN($A41)-2),'PW_MLG GRADE 10'!$B$7:$B$31,0))="P"),
0)</f>
        <v>0</v>
      </c>
      <c r="I41" s="24" t="b">
        <f ca="1">IF(IF(_xlfn.XLOOKUP(LEFT($A41,LEN($A41)-2),'PW_MLG GRADE 10'!$B$7:$B$31,'PW_MLG GRADE 10'!$BK$7:$BK$31,"",0,1)=0,"",_xlfn.XLOOKUP(LEFT($A41,LEN($A41)-2),'PW_MLG GRADE 10'!$B$7:$B$31,'PW_MLG GRADE 10'!$BK$7:$BK$31,"",0,1))&lt;=TODAY(),TRUE,FALSE)</f>
        <v>0</v>
      </c>
      <c r="J41" s="25" t="str">
        <f t="shared" ca="1" si="1"/>
        <v/>
      </c>
    </row>
    <row r="42" spans="1:11">
      <c r="A42" s="24" t="s">
        <v>246</v>
      </c>
      <c r="B42">
        <v>2</v>
      </c>
      <c r="C42">
        <f>IFERROR(
 --(INDEX('TH_MLG GRADE 10'!$C$7:$C$49,MATCH(LEFT($A42,LEN($A42)-2),'TH_MLG GRADE 10'!$B$7:$B$49,0))="P")+
 --(INDEX('TH_MLG GRADE 10'!$I$7:$I$49,MATCH(LEFT($A42,LEN($A42)-2),'TH_MLG GRADE 10'!$B$7:$B$49,0))="P")+
 --(INDEX('TH_MLG GRADE 10'!$O$7:$O$49,MATCH(LEFT($A42,LEN($A42)-2),'TH_MLG GRADE 10'!$B$7:$B$49,0))="P")+
 --(INDEX('TH_MLG GRADE 10'!$AA$7:$AA$49,MATCH(LEFT($A42,LEN($A42)-2),'TH_MLG GRADE 10'!$B$7:$B$49,0))="P")+
 --(INDEX('TH_MLG GRADE 10'!$AG$7:$AG$49,MATCH(LEFT($A42,LEN($A42)-2),'TH_MLG GRADE 10'!$B$7:$B$49,0))="P")+
 --(INDEX('TH_MLG GRADE 10'!$AM$7:$AM$49,MATCH(LEFT($A42,LEN($A42)-2),'TH_MLG GRADE 10'!$B$7:$B$49,0))="P")+
 --(INDEX('TH_MLG GRADE 10'!$AY$7:$AY$49,MATCH(LEFT($A42,LEN($A42)-2),'TH_MLG GRADE 10'!$B$7:$B$49,0))="P")+
 --(INDEX('TH_MLG GRADE 10'!$BE$7:$BE$49,MATCH(LEFT($A42,LEN($A42)-2),'TH_MLG GRADE 10'!$B$7:$B$49,0))="P")+
 --(INDEX('TH_MLG GRADE 10'!$U$7:$U$49,MATCH(LEFT($A42,LEN($A42)-2),'TH_MLG GRADE 10'!$B$7:$B$49,0))="P")+
 --(INDEX('TH_MLG GRADE 10'!$AS$7:$AS$49,MATCH(LEFT($A42,LEN($A42)-2),'TH_MLG GRADE 10'!$B$7:$B$49,0))="P"),
0)</f>
        <v>3</v>
      </c>
      <c r="D42" s="24" t="b">
        <f ca="1">IF(IF(_xlfn.XLOOKUP(LEFT($A42,LEN($A42)-2),'TH_MLG GRADE 10'!$B$7:$B$49,'TH_MLG GRADE 10'!$BK$7:$BK$49,"",0,1)=0,"",_xlfn.XLOOKUP(LEFT($A42,LEN($A42)-2),'TH_MLG GRADE 10'!$B$7:$B$49,'TH_MLG GRADE 10'!$BK$7:$BK$49,"",0,1))&lt;=TODAY(),TRUE,FALSE)</f>
        <v>1</v>
      </c>
      <c r="E42" s="25">
        <f t="shared" ca="1" si="0"/>
        <v>1</v>
      </c>
      <c r="F42" s="24" t="s">
        <v>246</v>
      </c>
      <c r="G42">
        <v>2</v>
      </c>
      <c r="H42">
        <f>IFERROR(
 --(INDEX('PW_MLG GRADE 10'!$C$7:$C$31,MATCH(LEFT($A42,LEN($A42)-2),'PW_MLG GRADE 10'!$B$7:$B$31,0))="P")+
 --(INDEX('PW_MLG GRADE 10'!$I$7:$I$31,MATCH(LEFT($A42,LEN($A42)-2),'PW_MLG GRADE 10'!$B$7:$B$31,0))="P")+
 --(INDEX('PW_MLG GRADE 10'!$O$7:$O$31,MATCH(LEFT($A42,LEN($A42)-2),'PW_MLG GRADE 10'!$B$7:$B$31,0))="P")+
 --(INDEX('PW_MLG GRADE 10'!$AA$7:$AA$31,MATCH(LEFT($A42,LEN($A42)-2),'PW_MLG GRADE 10'!$B$7:$B$31,0))="P")+
 --(INDEX('PW_MLG GRADE 10'!$AG$7:$AG$31,MATCH(LEFT($A42,LEN($A42)-2),'PW_MLG GRADE 10'!$B$7:$B$31,0))="P")+
 --(INDEX('PW_MLG GRADE 10'!$AM$7:$AM$31,MATCH(LEFT($A42,LEN($A42)-2),'PW_MLG GRADE 10'!$B$7:$B$31,0))="P")+
 --(INDEX('PW_MLG GRADE 10'!$AY$7:$AY$31,MATCH(LEFT($A42,LEN($A42)-2),'PW_MLG GRADE 10'!$B$7:$B$31,0))="P")+
 --(INDEX('PW_MLG GRADE 10'!$BE$7:$BE$31,MATCH(LEFT($A42,LEN($A42)-2),'PW_MLG GRADE 10'!$B$7:$B$31,0))="P")+
 --(INDEX('PW_MLG GRADE 10'!$U$7:$U$31,MATCH(LEFT($A42,LEN($A42)-2),'PW_MLG GRADE 10'!$B$7:$B$31,0))="P")+
 --(INDEX('PW_MLG GRADE 10'!$AS$7:$AS$31,MATCH(LEFT($A42,LEN($A42)-2),'PW_MLG GRADE 10'!$B$7:$B$31,0))="P"),
0)</f>
        <v>0</v>
      </c>
      <c r="I42" s="24" t="b">
        <f ca="1">IF(IF(_xlfn.XLOOKUP(LEFT($A42,LEN($A42)-2),'PW_MLG GRADE 10'!$B$7:$B$31,'PW_MLG GRADE 10'!$BK$7:$BK$31,"",0,1)=0,"",_xlfn.XLOOKUP(LEFT($A42,LEN($A42)-2),'PW_MLG GRADE 10'!$B$7:$B$31,'PW_MLG GRADE 10'!$BK$7:$BK$31,"",0,1))&lt;=TODAY(),TRUE,FALSE)</f>
        <v>0</v>
      </c>
      <c r="J42" s="25" t="str">
        <f t="shared" ca="1" si="1"/>
        <v/>
      </c>
    </row>
    <row r="43" spans="1:11">
      <c r="A43" s="24" t="s">
        <v>247</v>
      </c>
      <c r="B43">
        <v>2</v>
      </c>
      <c r="C43">
        <f>IFERROR(
 --(INDEX('TH_MLG GRADE 10'!$C$7:$C$49,MATCH(LEFT($A43,LEN($A43)-2),'TH_MLG GRADE 10'!$B$7:$B$49,0))="P")+
 --(INDEX('TH_MLG GRADE 10'!$I$7:$I$49,MATCH(LEFT($A43,LEN($A43)-2),'TH_MLG GRADE 10'!$B$7:$B$49,0))="P")+
 --(INDEX('TH_MLG GRADE 10'!$O$7:$O$49,MATCH(LEFT($A43,LEN($A43)-2),'TH_MLG GRADE 10'!$B$7:$B$49,0))="P")+
 --(INDEX('TH_MLG GRADE 10'!$AA$7:$AA$49,MATCH(LEFT($A43,LEN($A43)-2),'TH_MLG GRADE 10'!$B$7:$B$49,0))="P")+
 --(INDEX('TH_MLG GRADE 10'!$AG$7:$AG$49,MATCH(LEFT($A43,LEN($A43)-2),'TH_MLG GRADE 10'!$B$7:$B$49,0))="P")+
 --(INDEX('TH_MLG GRADE 10'!$AM$7:$AM$49,MATCH(LEFT($A43,LEN($A43)-2),'TH_MLG GRADE 10'!$B$7:$B$49,0))="P")+
 --(INDEX('TH_MLG GRADE 10'!$AY$7:$AY$49,MATCH(LEFT($A43,LEN($A43)-2),'TH_MLG GRADE 10'!$B$7:$B$49,0))="P")+
 --(INDEX('TH_MLG GRADE 10'!$BE$7:$BE$49,MATCH(LEFT($A43,LEN($A43)-2),'TH_MLG GRADE 10'!$B$7:$B$49,0))="P")+
 --(INDEX('TH_MLG GRADE 10'!$U$7:$U$49,MATCH(LEFT($A43,LEN($A43)-2),'TH_MLG GRADE 10'!$B$7:$B$49,0))="P")+
 --(INDEX('TH_MLG GRADE 10'!$AS$7:$AS$49,MATCH(LEFT($A43,LEN($A43)-2),'TH_MLG GRADE 10'!$B$7:$B$49,0))="P"),
0)</f>
        <v>3</v>
      </c>
      <c r="D43" s="24" t="b">
        <f ca="1">IF(IF(_xlfn.XLOOKUP(LEFT($A43,LEN($A43)-2),'TH_MLG GRADE 10'!$B$7:$B$49,'TH_MLG GRADE 10'!$BK$7:$BK$49,"",0,1)=0,"",_xlfn.XLOOKUP(LEFT($A43,LEN($A43)-2),'TH_MLG GRADE 10'!$B$7:$B$49,'TH_MLG GRADE 10'!$BK$7:$BK$49,"",0,1))&lt;=TODAY(),TRUE,FALSE)</f>
        <v>1</v>
      </c>
      <c r="E43" s="25">
        <f t="shared" ca="1" si="0"/>
        <v>1</v>
      </c>
      <c r="F43" s="24" t="s">
        <v>247</v>
      </c>
      <c r="G43">
        <v>2</v>
      </c>
      <c r="H43">
        <f>IFERROR(
 --(INDEX('PW_MLG GRADE 10'!$C$7:$C$31,MATCH(LEFT($A43,LEN($A43)-2),'PW_MLG GRADE 10'!$B$7:$B$31,0))="P")+
 --(INDEX('PW_MLG GRADE 10'!$I$7:$I$31,MATCH(LEFT($A43,LEN($A43)-2),'PW_MLG GRADE 10'!$B$7:$B$31,0))="P")+
 --(INDEX('PW_MLG GRADE 10'!$O$7:$O$31,MATCH(LEFT($A43,LEN($A43)-2),'PW_MLG GRADE 10'!$B$7:$B$31,0))="P")+
 --(INDEX('PW_MLG GRADE 10'!$AA$7:$AA$31,MATCH(LEFT($A43,LEN($A43)-2),'PW_MLG GRADE 10'!$B$7:$B$31,0))="P")+
 --(INDEX('PW_MLG GRADE 10'!$AG$7:$AG$31,MATCH(LEFT($A43,LEN($A43)-2),'PW_MLG GRADE 10'!$B$7:$B$31,0))="P")+
 --(INDEX('PW_MLG GRADE 10'!$AM$7:$AM$31,MATCH(LEFT($A43,LEN($A43)-2),'PW_MLG GRADE 10'!$B$7:$B$31,0))="P")+
 --(INDEX('PW_MLG GRADE 10'!$AY$7:$AY$31,MATCH(LEFT($A43,LEN($A43)-2),'PW_MLG GRADE 10'!$B$7:$B$31,0))="P")+
 --(INDEX('PW_MLG GRADE 10'!$BE$7:$BE$31,MATCH(LEFT($A43,LEN($A43)-2),'PW_MLG GRADE 10'!$B$7:$B$31,0))="P")+
 --(INDEX('PW_MLG GRADE 10'!$U$7:$U$31,MATCH(LEFT($A43,LEN($A43)-2),'PW_MLG GRADE 10'!$B$7:$B$31,0))="P")+
 --(INDEX('PW_MLG GRADE 10'!$AS$7:$AS$31,MATCH(LEFT($A43,LEN($A43)-2),'PW_MLG GRADE 10'!$B$7:$B$31,0))="P"),
0)</f>
        <v>0</v>
      </c>
      <c r="I43" s="24" t="b">
        <f ca="1">IF(IF(_xlfn.XLOOKUP(LEFT($A43,LEN($A43)-2),'PW_MLG GRADE 10'!$B$7:$B$31,'PW_MLG GRADE 10'!$BK$7:$BK$31,"",0,1)=0,"",_xlfn.XLOOKUP(LEFT($A43,LEN($A43)-2),'PW_MLG GRADE 10'!$B$7:$B$31,'PW_MLG GRADE 10'!$BK$7:$BK$31,"",0,1))&lt;=TODAY(),TRUE,FALSE)</f>
        <v>0</v>
      </c>
      <c r="J43" s="25" t="str">
        <f t="shared" ca="1" si="1"/>
        <v/>
      </c>
    </row>
    <row r="44" spans="1:11">
      <c r="A44" s="24" t="s">
        <v>248</v>
      </c>
      <c r="B44">
        <v>2</v>
      </c>
      <c r="C44">
        <f>IFERROR(
 --(INDEX('TH_MLG GRADE 10'!$C$7:$C$49,MATCH(LEFT($A44,LEN($A44)-2),'TH_MLG GRADE 10'!$B$7:$B$49,0))="P")+
 --(INDEX('TH_MLG GRADE 10'!$I$7:$I$49,MATCH(LEFT($A44,LEN($A44)-2),'TH_MLG GRADE 10'!$B$7:$B$49,0))="P")+
 --(INDEX('TH_MLG GRADE 10'!$O$7:$O$49,MATCH(LEFT($A44,LEN($A44)-2),'TH_MLG GRADE 10'!$B$7:$B$49,0))="P")+
 --(INDEX('TH_MLG GRADE 10'!$AA$7:$AA$49,MATCH(LEFT($A44,LEN($A44)-2),'TH_MLG GRADE 10'!$B$7:$B$49,0))="P")+
 --(INDEX('TH_MLG GRADE 10'!$AG$7:$AG$49,MATCH(LEFT($A44,LEN($A44)-2),'TH_MLG GRADE 10'!$B$7:$B$49,0))="P")+
 --(INDEX('TH_MLG GRADE 10'!$AM$7:$AM$49,MATCH(LEFT($A44,LEN($A44)-2),'TH_MLG GRADE 10'!$B$7:$B$49,0))="P")+
 --(INDEX('TH_MLG GRADE 10'!$AY$7:$AY$49,MATCH(LEFT($A44,LEN($A44)-2),'TH_MLG GRADE 10'!$B$7:$B$49,0))="P")+
 --(INDEX('TH_MLG GRADE 10'!$BE$7:$BE$49,MATCH(LEFT($A44,LEN($A44)-2),'TH_MLG GRADE 10'!$B$7:$B$49,0))="P")+
 --(INDEX('TH_MLG GRADE 10'!$U$7:$U$49,MATCH(LEFT($A44,LEN($A44)-2),'TH_MLG GRADE 10'!$B$7:$B$49,0))="P")+
 --(INDEX('TH_MLG GRADE 10'!$AS$7:$AS$49,MATCH(LEFT($A44,LEN($A44)-2),'TH_MLG GRADE 10'!$B$7:$B$49,0))="P"),
0)</f>
        <v>3</v>
      </c>
      <c r="D44" s="24" t="b">
        <f ca="1">IF(IF(_xlfn.XLOOKUP(LEFT($A44,LEN($A44)-2),'TH_MLG GRADE 10'!$B$7:$B$49,'TH_MLG GRADE 10'!$BK$7:$BK$49,"",0,1)=0,"",_xlfn.XLOOKUP(LEFT($A44,LEN($A44)-2),'TH_MLG GRADE 10'!$B$7:$B$49,'TH_MLG GRADE 10'!$BK$7:$BK$49,"",0,1))&lt;=TODAY(),TRUE,FALSE)</f>
        <v>1</v>
      </c>
      <c r="E44" s="25">
        <f t="shared" ca="1" si="0"/>
        <v>1</v>
      </c>
      <c r="F44" s="24" t="s">
        <v>248</v>
      </c>
      <c r="G44">
        <v>2</v>
      </c>
      <c r="H44">
        <f>IFERROR(
 --(INDEX('PW_MLG GRADE 10'!$C$7:$C$31,MATCH(LEFT($A44,LEN($A44)-2),'PW_MLG GRADE 10'!$B$7:$B$31,0))="P")+
 --(INDEX('PW_MLG GRADE 10'!$I$7:$I$31,MATCH(LEFT($A44,LEN($A44)-2),'PW_MLG GRADE 10'!$B$7:$B$31,0))="P")+
 --(INDEX('PW_MLG GRADE 10'!$O$7:$O$31,MATCH(LEFT($A44,LEN($A44)-2),'PW_MLG GRADE 10'!$B$7:$B$31,0))="P")+
 --(INDEX('PW_MLG GRADE 10'!$AA$7:$AA$31,MATCH(LEFT($A44,LEN($A44)-2),'PW_MLG GRADE 10'!$B$7:$B$31,0))="P")+
 --(INDEX('PW_MLG GRADE 10'!$AG$7:$AG$31,MATCH(LEFT($A44,LEN($A44)-2),'PW_MLG GRADE 10'!$B$7:$B$31,0))="P")+
 --(INDEX('PW_MLG GRADE 10'!$AM$7:$AM$31,MATCH(LEFT($A44,LEN($A44)-2),'PW_MLG GRADE 10'!$B$7:$B$31,0))="P")+
 --(INDEX('PW_MLG GRADE 10'!$AY$7:$AY$31,MATCH(LEFT($A44,LEN($A44)-2),'PW_MLG GRADE 10'!$B$7:$B$31,0))="P")+
 --(INDEX('PW_MLG GRADE 10'!$BE$7:$BE$31,MATCH(LEFT($A44,LEN($A44)-2),'PW_MLG GRADE 10'!$B$7:$B$31,0))="P")+
 --(INDEX('PW_MLG GRADE 10'!$U$7:$U$31,MATCH(LEFT($A44,LEN($A44)-2),'PW_MLG GRADE 10'!$B$7:$B$31,0))="P")+
 --(INDEX('PW_MLG GRADE 10'!$AS$7:$AS$31,MATCH(LEFT($A44,LEN($A44)-2),'PW_MLG GRADE 10'!$B$7:$B$31,0))="P"),
0)</f>
        <v>0</v>
      </c>
      <c r="I44" s="24" t="b">
        <f ca="1">IF(IF(_xlfn.XLOOKUP(LEFT($A44,LEN($A44)-2),'PW_MLG GRADE 10'!$B$7:$B$31,'PW_MLG GRADE 10'!$BK$7:$BK$31,"",0,1)=0,"",_xlfn.XLOOKUP(LEFT($A44,LEN($A44)-2),'PW_MLG GRADE 10'!$B$7:$B$31,'PW_MLG GRADE 10'!$BK$7:$BK$31,"",0,1))&lt;=TODAY(),TRUE,FALSE)</f>
        <v>0</v>
      </c>
      <c r="J44" s="25" t="str">
        <f t="shared" ca="1" si="1"/>
        <v/>
      </c>
    </row>
    <row r="45" spans="1:11">
      <c r="A45" s="24" t="s">
        <v>249</v>
      </c>
      <c r="B45">
        <v>2</v>
      </c>
      <c r="C45">
        <f>IFERROR(
 --(INDEX('TH_MLG GRADE 10'!$C$7:$C$49,MATCH(LEFT($A45,LEN($A45)-2),'TH_MLG GRADE 10'!$B$7:$B$49,0))="P")+
 --(INDEX('TH_MLG GRADE 10'!$I$7:$I$49,MATCH(LEFT($A45,LEN($A45)-2),'TH_MLG GRADE 10'!$B$7:$B$49,0))="P")+
 --(INDEX('TH_MLG GRADE 10'!$O$7:$O$49,MATCH(LEFT($A45,LEN($A45)-2),'TH_MLG GRADE 10'!$B$7:$B$49,0))="P")+
 --(INDEX('TH_MLG GRADE 10'!$AA$7:$AA$49,MATCH(LEFT($A45,LEN($A45)-2),'TH_MLG GRADE 10'!$B$7:$B$49,0))="P")+
 --(INDEX('TH_MLG GRADE 10'!$AG$7:$AG$49,MATCH(LEFT($A45,LEN($A45)-2),'TH_MLG GRADE 10'!$B$7:$B$49,0))="P")+
 --(INDEX('TH_MLG GRADE 10'!$AM$7:$AM$49,MATCH(LEFT($A45,LEN($A45)-2),'TH_MLG GRADE 10'!$B$7:$B$49,0))="P")+
 --(INDEX('TH_MLG GRADE 10'!$AY$7:$AY$49,MATCH(LEFT($A45,LEN($A45)-2),'TH_MLG GRADE 10'!$B$7:$B$49,0))="P")+
 --(INDEX('TH_MLG GRADE 10'!$BE$7:$BE$49,MATCH(LEFT($A45,LEN($A45)-2),'TH_MLG GRADE 10'!$B$7:$B$49,0))="P")+
 --(INDEX('TH_MLG GRADE 10'!$U$7:$U$49,MATCH(LEFT($A45,LEN($A45)-2),'TH_MLG GRADE 10'!$B$7:$B$49,0))="P")+
 --(INDEX('TH_MLG GRADE 10'!$AS$7:$AS$49,MATCH(LEFT($A45,LEN($A45)-2),'TH_MLG GRADE 10'!$B$7:$B$49,0))="P"),
0)</f>
        <v>3</v>
      </c>
      <c r="D45" s="24" t="b">
        <f ca="1">IF(IF(_xlfn.XLOOKUP(LEFT($A45,LEN($A45)-2),'TH_MLG GRADE 10'!$B$7:$B$49,'TH_MLG GRADE 10'!$BK$7:$BK$49,"",0,1)=0,"",_xlfn.XLOOKUP(LEFT($A45,LEN($A45)-2),'TH_MLG GRADE 10'!$B$7:$B$49,'TH_MLG GRADE 10'!$BK$7:$BK$49,"",0,1))&lt;=TODAY(),TRUE,FALSE)</f>
        <v>1</v>
      </c>
      <c r="E45" s="25">
        <f t="shared" ca="1" si="0"/>
        <v>1</v>
      </c>
      <c r="F45" s="24" t="s">
        <v>249</v>
      </c>
      <c r="G45">
        <v>2</v>
      </c>
      <c r="H45">
        <f>IFERROR(
 --(INDEX('PW_MLG GRADE 10'!$C$7:$C$31,MATCH(LEFT($A45,LEN($A45)-2),'PW_MLG GRADE 10'!$B$7:$B$31,0))="P")+
 --(INDEX('PW_MLG GRADE 10'!$I$7:$I$31,MATCH(LEFT($A45,LEN($A45)-2),'PW_MLG GRADE 10'!$B$7:$B$31,0))="P")+
 --(INDEX('PW_MLG GRADE 10'!$O$7:$O$31,MATCH(LEFT($A45,LEN($A45)-2),'PW_MLG GRADE 10'!$B$7:$B$31,0))="P")+
 --(INDEX('PW_MLG GRADE 10'!$AA$7:$AA$31,MATCH(LEFT($A45,LEN($A45)-2),'PW_MLG GRADE 10'!$B$7:$B$31,0))="P")+
 --(INDEX('PW_MLG GRADE 10'!$AG$7:$AG$31,MATCH(LEFT($A45,LEN($A45)-2),'PW_MLG GRADE 10'!$B$7:$B$31,0))="P")+
 --(INDEX('PW_MLG GRADE 10'!$AM$7:$AM$31,MATCH(LEFT($A45,LEN($A45)-2),'PW_MLG GRADE 10'!$B$7:$B$31,0))="P")+
 --(INDEX('PW_MLG GRADE 10'!$AY$7:$AY$31,MATCH(LEFT($A45,LEN($A45)-2),'PW_MLG GRADE 10'!$B$7:$B$31,0))="P")+
 --(INDEX('PW_MLG GRADE 10'!$BE$7:$BE$31,MATCH(LEFT($A45,LEN($A45)-2),'PW_MLG GRADE 10'!$B$7:$B$31,0))="P")+
 --(INDEX('PW_MLG GRADE 10'!$U$7:$U$31,MATCH(LEFT($A45,LEN($A45)-2),'PW_MLG GRADE 10'!$B$7:$B$31,0))="P")+
 --(INDEX('PW_MLG GRADE 10'!$AS$7:$AS$31,MATCH(LEFT($A45,LEN($A45)-2),'PW_MLG GRADE 10'!$B$7:$B$31,0))="P"),
0)</f>
        <v>0</v>
      </c>
      <c r="I45" s="24" t="b">
        <f ca="1">IF(IF(_xlfn.XLOOKUP(LEFT($A45,LEN($A45)-2),'PW_MLG GRADE 10'!$B$7:$B$31,'PW_MLG GRADE 10'!$BK$7:$BK$31,"",0,1)=0,"",_xlfn.XLOOKUP(LEFT($A45,LEN($A45)-2),'PW_MLG GRADE 10'!$B$7:$B$31,'PW_MLG GRADE 10'!$BK$7:$BK$31,"",0,1))&lt;=TODAY(),TRUE,FALSE)</f>
        <v>0</v>
      </c>
      <c r="J45" s="25" t="str">
        <f t="shared" ca="1" si="1"/>
        <v/>
      </c>
    </row>
    <row r="46" spans="1:11">
      <c r="A46" s="24" t="s">
        <v>250</v>
      </c>
      <c r="B46">
        <v>2</v>
      </c>
      <c r="C46">
        <f>IFERROR(
 --(INDEX('TH_MLG GRADE 10'!$C$7:$C$49,MATCH(LEFT($A46,LEN($A46)-2),'TH_MLG GRADE 10'!$B$7:$B$49,0))="P")+
 --(INDEX('TH_MLG GRADE 10'!$I$7:$I$49,MATCH(LEFT($A46,LEN($A46)-2),'TH_MLG GRADE 10'!$B$7:$B$49,0))="P")+
 --(INDEX('TH_MLG GRADE 10'!$O$7:$O$49,MATCH(LEFT($A46,LEN($A46)-2),'TH_MLG GRADE 10'!$B$7:$B$49,0))="P")+
 --(INDEX('TH_MLG GRADE 10'!$AA$7:$AA$49,MATCH(LEFT($A46,LEN($A46)-2),'TH_MLG GRADE 10'!$B$7:$B$49,0))="P")+
 --(INDEX('TH_MLG GRADE 10'!$AG$7:$AG$49,MATCH(LEFT($A46,LEN($A46)-2),'TH_MLG GRADE 10'!$B$7:$B$49,0))="P")+
 --(INDEX('TH_MLG GRADE 10'!$AM$7:$AM$49,MATCH(LEFT($A46,LEN($A46)-2),'TH_MLG GRADE 10'!$B$7:$B$49,0))="P")+
 --(INDEX('TH_MLG GRADE 10'!$AY$7:$AY$49,MATCH(LEFT($A46,LEN($A46)-2),'TH_MLG GRADE 10'!$B$7:$B$49,0))="P")+
 --(INDEX('TH_MLG GRADE 10'!$BE$7:$BE$49,MATCH(LEFT($A46,LEN($A46)-2),'TH_MLG GRADE 10'!$B$7:$B$49,0))="P")+
 --(INDEX('TH_MLG GRADE 10'!$U$7:$U$49,MATCH(LEFT($A46,LEN($A46)-2),'TH_MLG GRADE 10'!$B$7:$B$49,0))="P")+
 --(INDEX('TH_MLG GRADE 10'!$AS$7:$AS$49,MATCH(LEFT($A46,LEN($A46)-2),'TH_MLG GRADE 10'!$B$7:$B$49,0))="P"),
0)</f>
        <v>3</v>
      </c>
      <c r="D46" s="24" t="b">
        <f ca="1">IF(IF(_xlfn.XLOOKUP(LEFT($A46,LEN($A46)-2),'TH_MLG GRADE 10'!$B$7:$B$49,'TH_MLG GRADE 10'!$BK$7:$BK$49,"",0,1)=0,"",_xlfn.XLOOKUP(LEFT($A46,LEN($A46)-2),'TH_MLG GRADE 10'!$B$7:$B$49,'TH_MLG GRADE 10'!$BK$7:$BK$49,"",0,1))&lt;=TODAY(),TRUE,FALSE)</f>
        <v>1</v>
      </c>
      <c r="E46" s="25">
        <f t="shared" ca="1" si="0"/>
        <v>1</v>
      </c>
      <c r="F46" s="24" t="s">
        <v>250</v>
      </c>
      <c r="G46">
        <v>2</v>
      </c>
      <c r="H46">
        <f>IFERROR(
 --(INDEX('PW_MLG GRADE 10'!$C$7:$C$31,MATCH(LEFT($A46,LEN($A46)-2),'PW_MLG GRADE 10'!$B$7:$B$31,0))="P")+
 --(INDEX('PW_MLG GRADE 10'!$I$7:$I$31,MATCH(LEFT($A46,LEN($A46)-2),'PW_MLG GRADE 10'!$B$7:$B$31,0))="P")+
 --(INDEX('PW_MLG GRADE 10'!$O$7:$O$31,MATCH(LEFT($A46,LEN($A46)-2),'PW_MLG GRADE 10'!$B$7:$B$31,0))="P")+
 --(INDEX('PW_MLG GRADE 10'!$AA$7:$AA$31,MATCH(LEFT($A46,LEN($A46)-2),'PW_MLG GRADE 10'!$B$7:$B$31,0))="P")+
 --(INDEX('PW_MLG GRADE 10'!$AG$7:$AG$31,MATCH(LEFT($A46,LEN($A46)-2),'PW_MLG GRADE 10'!$B$7:$B$31,0))="P")+
 --(INDEX('PW_MLG GRADE 10'!$AM$7:$AM$31,MATCH(LEFT($A46,LEN($A46)-2),'PW_MLG GRADE 10'!$B$7:$B$31,0))="P")+
 --(INDEX('PW_MLG GRADE 10'!$AY$7:$AY$31,MATCH(LEFT($A46,LEN($A46)-2),'PW_MLG GRADE 10'!$B$7:$B$31,0))="P")+
 --(INDEX('PW_MLG GRADE 10'!$BE$7:$BE$31,MATCH(LEFT($A46,LEN($A46)-2),'PW_MLG GRADE 10'!$B$7:$B$31,0))="P")+
 --(INDEX('PW_MLG GRADE 10'!$U$7:$U$31,MATCH(LEFT($A46,LEN($A46)-2),'PW_MLG GRADE 10'!$B$7:$B$31,0))="P")+
 --(INDEX('PW_MLG GRADE 10'!$AS$7:$AS$31,MATCH(LEFT($A46,LEN($A46)-2),'PW_MLG GRADE 10'!$B$7:$B$31,0))="P"),
0)</f>
        <v>0</v>
      </c>
      <c r="I46" s="24" t="b">
        <f ca="1">IF(IF(_xlfn.XLOOKUP(LEFT($A46,LEN($A46)-2),'PW_MLG GRADE 10'!$B$7:$B$31,'PW_MLG GRADE 10'!$BK$7:$BK$31,"",0,1)=0,"",_xlfn.XLOOKUP(LEFT($A46,LEN($A46)-2),'PW_MLG GRADE 10'!$B$7:$B$31,'PW_MLG GRADE 10'!$BK$7:$BK$31,"",0,1))&lt;=TODAY(),TRUE,FALSE)</f>
        <v>0</v>
      </c>
      <c r="J46" s="25" t="str">
        <f t="shared" ca="1" si="1"/>
        <v/>
      </c>
    </row>
    <row r="47" spans="1:11">
      <c r="A47" s="24" t="s">
        <v>251</v>
      </c>
      <c r="B47">
        <v>2</v>
      </c>
      <c r="C47">
        <f>IFERROR(
 --(INDEX('TH_MLG GRADE 10'!$C$7:$C$49,MATCH(LEFT($A47,LEN($A47)-2),'TH_MLG GRADE 10'!$B$7:$B$49,0))="P")+
 --(INDEX('TH_MLG GRADE 10'!$I$7:$I$49,MATCH(LEFT($A47,LEN($A47)-2),'TH_MLG GRADE 10'!$B$7:$B$49,0))="P")+
 --(INDEX('TH_MLG GRADE 10'!$O$7:$O$49,MATCH(LEFT($A47,LEN($A47)-2),'TH_MLG GRADE 10'!$B$7:$B$49,0))="P")+
 --(INDEX('TH_MLG GRADE 10'!$AA$7:$AA$49,MATCH(LEFT($A47,LEN($A47)-2),'TH_MLG GRADE 10'!$B$7:$B$49,0))="P")+
 --(INDEX('TH_MLG GRADE 10'!$AG$7:$AG$49,MATCH(LEFT($A47,LEN($A47)-2),'TH_MLG GRADE 10'!$B$7:$B$49,0))="P")+
 --(INDEX('TH_MLG GRADE 10'!$AM$7:$AM$49,MATCH(LEFT($A47,LEN($A47)-2),'TH_MLG GRADE 10'!$B$7:$B$49,0))="P")+
 --(INDEX('TH_MLG GRADE 10'!$AY$7:$AY$49,MATCH(LEFT($A47,LEN($A47)-2),'TH_MLG GRADE 10'!$B$7:$B$49,0))="P")+
 --(INDEX('TH_MLG GRADE 10'!$BE$7:$BE$49,MATCH(LEFT($A47,LEN($A47)-2),'TH_MLG GRADE 10'!$B$7:$B$49,0))="P")+
 --(INDEX('TH_MLG GRADE 10'!$U$7:$U$49,MATCH(LEFT($A47,LEN($A47)-2),'TH_MLG GRADE 10'!$B$7:$B$49,0))="P")+
 --(INDEX('TH_MLG GRADE 10'!$AS$7:$AS$49,MATCH(LEFT($A47,LEN($A47)-2),'TH_MLG GRADE 10'!$B$7:$B$49,0))="P"),
0)</f>
        <v>3</v>
      </c>
      <c r="D47" s="24" t="b">
        <f ca="1">IF(IF(_xlfn.XLOOKUP(LEFT($A47,LEN($A47)-2),'TH_MLG GRADE 10'!$B$7:$B$49,'TH_MLG GRADE 10'!$BK$7:$BK$49,"",0,1)=0,"",_xlfn.XLOOKUP(LEFT($A47,LEN($A47)-2),'TH_MLG GRADE 10'!$B$7:$B$49,'TH_MLG GRADE 10'!$BK$7:$BK$49,"",0,1))&lt;=TODAY(),TRUE,FALSE)</f>
        <v>1</v>
      </c>
      <c r="E47" s="25">
        <f t="shared" ca="1" si="0"/>
        <v>1</v>
      </c>
      <c r="F47" s="24" t="s">
        <v>251</v>
      </c>
      <c r="G47">
        <v>2</v>
      </c>
      <c r="H47">
        <f>IFERROR(
 --(INDEX('PW_MLG GRADE 10'!$C$7:$C$31,MATCH(LEFT($A47,LEN($A47)-2),'PW_MLG GRADE 10'!$B$7:$B$31,0))="P")+
 --(INDEX('PW_MLG GRADE 10'!$I$7:$I$31,MATCH(LEFT($A47,LEN($A47)-2),'PW_MLG GRADE 10'!$B$7:$B$31,0))="P")+
 --(INDEX('PW_MLG GRADE 10'!$O$7:$O$31,MATCH(LEFT($A47,LEN($A47)-2),'PW_MLG GRADE 10'!$B$7:$B$31,0))="P")+
 --(INDEX('PW_MLG GRADE 10'!$AA$7:$AA$31,MATCH(LEFT($A47,LEN($A47)-2),'PW_MLG GRADE 10'!$B$7:$B$31,0))="P")+
 --(INDEX('PW_MLG GRADE 10'!$AG$7:$AG$31,MATCH(LEFT($A47,LEN($A47)-2),'PW_MLG GRADE 10'!$B$7:$B$31,0))="P")+
 --(INDEX('PW_MLG GRADE 10'!$AM$7:$AM$31,MATCH(LEFT($A47,LEN($A47)-2),'PW_MLG GRADE 10'!$B$7:$B$31,0))="P")+
 --(INDEX('PW_MLG GRADE 10'!$AY$7:$AY$31,MATCH(LEFT($A47,LEN($A47)-2),'PW_MLG GRADE 10'!$B$7:$B$31,0))="P")+
 --(INDEX('PW_MLG GRADE 10'!$BE$7:$BE$31,MATCH(LEFT($A47,LEN($A47)-2),'PW_MLG GRADE 10'!$B$7:$B$31,0))="P")+
 --(INDEX('PW_MLG GRADE 10'!$U$7:$U$31,MATCH(LEFT($A47,LEN($A47)-2),'PW_MLG GRADE 10'!$B$7:$B$31,0))="P")+
 --(INDEX('PW_MLG GRADE 10'!$AS$7:$AS$31,MATCH(LEFT($A47,LEN($A47)-2),'PW_MLG GRADE 10'!$B$7:$B$31,0))="P"),
0)</f>
        <v>0</v>
      </c>
      <c r="I47" s="24" t="b">
        <f ca="1">IF(IF(_xlfn.XLOOKUP(LEFT($A47,LEN($A47)-2),'PW_MLG GRADE 10'!$B$7:$B$31,'PW_MLG GRADE 10'!$BK$7:$BK$31,"",0,1)=0,"",_xlfn.XLOOKUP(LEFT($A47,LEN($A47)-2),'PW_MLG GRADE 10'!$B$7:$B$31,'PW_MLG GRADE 10'!$BK$7:$BK$31,"",0,1))&lt;=TODAY(),TRUE,FALSE)</f>
        <v>0</v>
      </c>
      <c r="J47" s="25" t="str">
        <f t="shared" ca="1" si="1"/>
        <v/>
      </c>
    </row>
    <row r="48" spans="1:11">
      <c r="A48" s="24" t="s">
        <v>252</v>
      </c>
      <c r="B48">
        <v>2</v>
      </c>
      <c r="C48">
        <f>IFERROR(
 --(INDEX('TH_MLG GRADE 10'!$D$7:$D$49,MATCH(LEFT($A48,LEN($A48)-2),'TH_MLG GRADE 10'!$B$7:$B$49,0))="P")+
 --(INDEX('TH_MLG GRADE 10'!$J$7:$J$49,MATCH(LEFT($A48,LEN($A48)-2),'TH_MLG GRADE 10'!$B$7:$B$49,0))="P")+
 --(INDEX('TH_MLG GRADE 10'!$P$7:$P$49,MATCH(LEFT($A48,LEN($A48)-2),'TH_MLG GRADE 10'!$B$7:$B$49,0))="P")+
 --(INDEX('TH_MLG GRADE 10'!$AB$7:$AB$49,MATCH(LEFT($A48,LEN($A48)-2),'TH_MLG GRADE 10'!$B$7:$B$49,0))="P")+
 --(INDEX('TH_MLG GRADE 10'!$AH$7:$AH$49,MATCH(LEFT($A48,LEN($A48)-2),'TH_MLG GRADE 10'!$B$7:$B$49,0))="P")+
 --(INDEX('TH_MLG GRADE 10'!$AN$7:$AN$49,MATCH(LEFT($A48,LEN($A48)-2),'TH_MLG GRADE 10'!$B$7:$B$49,0))="P")+
 --(INDEX('TH_MLG GRADE 10'!$AZ$7:$AZ$49,MATCH(LEFT($A48,LEN($A48)-2),'TH_MLG GRADE 10'!$B$7:$B$49,0))="P")+
 --(INDEX('TH_MLG GRADE 10'!$BF$7:$BF$49,MATCH(LEFT($A48,LEN($A48)-2),'TH_MLG GRADE 10'!$B$7:$B$49,0))="P")+
 --(INDEX('TH_MLG GRADE 10'!$V$7:$V$49,MATCH(LEFT($A48,LEN($A48)-2),'TH_MLG GRADE 10'!$B$7:$B$49,0))="P")+
 --(INDEX('TH_MLG GRADE 10'!$AT$7:$AT$49,MATCH(LEFT($A48,LEN($A48)-2),'TH_MLG GRADE 10'!$B$7:$B$49,0))="P"),
0)</f>
        <v>2</v>
      </c>
      <c r="D48" s="24" t="b">
        <f ca="1">IF(IF(_xlfn.XLOOKUP(LEFT($A48,LEN($A48)-2),'TH_MLG GRADE 10'!$B$7:$B$49,'TH_MLG GRADE 10'!$BL$7:$BL$49,"",0,1)=0,"",_xlfn.XLOOKUP(LEFT($A48,LEN($A48)-2),'TH_MLG GRADE 10'!$B$7:$B$49,'TH_MLG GRADE 10'!$BL$7:$BL$49,"",0,1))&lt;=TODAY(),TRUE,FALSE)</f>
        <v>1</v>
      </c>
      <c r="E48" s="25">
        <f t="shared" ca="1" si="0"/>
        <v>1</v>
      </c>
      <c r="F48" s="24" t="s">
        <v>252</v>
      </c>
      <c r="G48">
        <v>2</v>
      </c>
      <c r="H48">
        <f>IFERROR(
 --(INDEX('PW_MLG GRADE 10'!$D$7:$D$31,MATCH(LEFT($A48,LEN($A48)-2),'PW_MLG GRADE 10'!$B$7:$B$31,0))="P")+
 --(INDEX('PW_MLG GRADE 10'!$J$7:$J$31,MATCH(LEFT($A48,LEN($A48)-2),'PW_MLG GRADE 10'!$B$7:$B$31,0))="P")+
 --(INDEX('PW_MLG GRADE 10'!$P$7:$P$31,MATCH(LEFT($A48,LEN($A48)-2),'PW_MLG GRADE 10'!$B$7:$B$31,0))="P")+
 --(INDEX('PW_MLG GRADE 10'!$AB$7:$AB$31,MATCH(LEFT($A48,LEN($A48)-2),'PW_MLG GRADE 10'!$B$7:$B$31,0))="P")+
 --(INDEX('PW_MLG GRADE 10'!$AH$7:$AH$31,MATCH(LEFT($A48,LEN($A48)-2),'PW_MLG GRADE 10'!$B$7:$B$31,0))="P")+
 --(INDEX('PW_MLG GRADE 10'!$AN$7:$AN$31,MATCH(LEFT($A48,LEN($A48)-2),'PW_MLG GRADE 10'!$B$7:$B$31,0))="P")+
 --(INDEX('PW_MLG GRADE 10'!$AZ$7:$AZ$31,MATCH(LEFT($A48,LEN($A48)-2),'PW_MLG GRADE 10'!$B$7:$B$31,0))="P")+
 --(INDEX('PW_MLG GRADE 10'!$BF$7:$BF$31,MATCH(LEFT($A48,LEN($A48)-2),'PW_MLG GRADE 10'!$B$7:$B$31,0))="P")+
 --(INDEX('PW_MLG GRADE 10'!$V$7:$V$31,MATCH(LEFT($A48,LEN($A48)-2),'PW_MLG GRADE 10'!$B$7:$B$31,0))="P")+
 --(INDEX('PW_MLG GRADE 10'!$AT$7:$AT$31,MATCH(LEFT($A48,LEN($A48)-2),'PW_MLG GRADE 10'!$B$7:$B$31,0))="P"),
0)</f>
        <v>0</v>
      </c>
      <c r="I48" s="24" t="b">
        <f ca="1">IF(IF(_xlfn.XLOOKUP(LEFT($A48,LEN($A48)-2),'PW_MLG GRADE 10'!$B$7:$B$31,'PW_MLG GRADE 10'!$BL$7:$BL$31,"",0,1)=0,"",_xlfn.XLOOKUP(LEFT($A48,LEN($A48)-2),'PW_MLG GRADE 10'!$B$7:$B$31,'PW_MLG GRADE 10'!$BL$7:$BL$31,"",0,1))&lt;=TODAY(),TRUE,FALSE)</f>
        <v>0</v>
      </c>
      <c r="J48" s="25" t="str">
        <f t="shared" ca="1" si="1"/>
        <v/>
      </c>
      <c r="K48" s="54"/>
    </row>
    <row r="49" spans="1:10">
      <c r="A49" s="24" t="s">
        <v>253</v>
      </c>
      <c r="B49">
        <v>2</v>
      </c>
      <c r="C49">
        <f>IFERROR(
 --(INDEX('TH_MLG GRADE 10'!$D$7:$D$49,MATCH(LEFT($A49,LEN($A49)-2),'TH_MLG GRADE 10'!$B$7:$B$49,0))="P")+
 --(INDEX('TH_MLG GRADE 10'!$J$7:$J$49,MATCH(LEFT($A49,LEN($A49)-2),'TH_MLG GRADE 10'!$B$7:$B$49,0))="P")+
 --(INDEX('TH_MLG GRADE 10'!$P$7:$P$49,MATCH(LEFT($A49,LEN($A49)-2),'TH_MLG GRADE 10'!$B$7:$B$49,0))="P")+
 --(INDEX('TH_MLG GRADE 10'!$AB$7:$AB$49,MATCH(LEFT($A49,LEN($A49)-2),'TH_MLG GRADE 10'!$B$7:$B$49,0))="P")+
 --(INDEX('TH_MLG GRADE 10'!$AH$7:$AH$49,MATCH(LEFT($A49,LEN($A49)-2),'TH_MLG GRADE 10'!$B$7:$B$49,0))="P")+
 --(INDEX('TH_MLG GRADE 10'!$AN$7:$AN$49,MATCH(LEFT($A49,LEN($A49)-2),'TH_MLG GRADE 10'!$B$7:$B$49,0))="P")+
 --(INDEX('TH_MLG GRADE 10'!$AZ$7:$AZ$49,MATCH(LEFT($A49,LEN($A49)-2),'TH_MLG GRADE 10'!$B$7:$B$49,0))="P")+
 --(INDEX('TH_MLG GRADE 10'!$BF$7:$BF$49,MATCH(LEFT($A49,LEN($A49)-2),'TH_MLG GRADE 10'!$B$7:$B$49,0))="P")+
 --(INDEX('TH_MLG GRADE 10'!$V$7:$V$49,MATCH(LEFT($A49,LEN($A49)-2),'TH_MLG GRADE 10'!$B$7:$B$49,0))="P")+
 --(INDEX('TH_MLG GRADE 10'!$AT$7:$AT$49,MATCH(LEFT($A49,LEN($A49)-2),'TH_MLG GRADE 10'!$B$7:$B$49,0))="P"),
0)</f>
        <v>3</v>
      </c>
      <c r="D49" s="24" t="b">
        <f ca="1">IF(IF(_xlfn.XLOOKUP(LEFT($A49,LEN($A49)-2),'TH_MLG GRADE 10'!$B$7:$B$49,'TH_MLG GRADE 10'!$BL$7:$BL$49,"",0,1)=0,"",_xlfn.XLOOKUP(LEFT($A49,LEN($A49)-2),'TH_MLG GRADE 10'!$B$7:$B$49,'TH_MLG GRADE 10'!$BL$7:$BL$49,"",0,1))&lt;=TODAY(),TRUE,FALSE)</f>
        <v>1</v>
      </c>
      <c r="E49" s="25">
        <f t="shared" ca="1" si="0"/>
        <v>1</v>
      </c>
      <c r="F49" s="24" t="s">
        <v>253</v>
      </c>
      <c r="G49">
        <v>2</v>
      </c>
      <c r="H49">
        <f>IFERROR(
 --(INDEX('PW_MLG GRADE 10'!$D$7:$D$31,MATCH(LEFT($A49,LEN($A49)-2),'PW_MLG GRADE 10'!$B$7:$B$31,0))="P")+
 --(INDEX('PW_MLG GRADE 10'!$J$7:$J$31,MATCH(LEFT($A49,LEN($A49)-2),'PW_MLG GRADE 10'!$B$7:$B$31,0))="P")+
 --(INDEX('PW_MLG GRADE 10'!$P$7:$P$31,MATCH(LEFT($A49,LEN($A49)-2),'PW_MLG GRADE 10'!$B$7:$B$31,0))="P")+
 --(INDEX('PW_MLG GRADE 10'!$AB$7:$AB$31,MATCH(LEFT($A49,LEN($A49)-2),'PW_MLG GRADE 10'!$B$7:$B$31,0))="P")+
 --(INDEX('PW_MLG GRADE 10'!$AH$7:$AH$31,MATCH(LEFT($A49,LEN($A49)-2),'PW_MLG GRADE 10'!$B$7:$B$31,0))="P")+
 --(INDEX('PW_MLG GRADE 10'!$AN$7:$AN$31,MATCH(LEFT($A49,LEN($A49)-2),'PW_MLG GRADE 10'!$B$7:$B$31,0))="P")+
 --(INDEX('PW_MLG GRADE 10'!$AZ$7:$AZ$31,MATCH(LEFT($A49,LEN($A49)-2),'PW_MLG GRADE 10'!$B$7:$B$31,0))="P")+
 --(INDEX('PW_MLG GRADE 10'!$BF$7:$BF$31,MATCH(LEFT($A49,LEN($A49)-2),'PW_MLG GRADE 10'!$B$7:$B$31,0))="P")+
 --(INDEX('PW_MLG GRADE 10'!$V$7:$V$31,MATCH(LEFT($A49,LEN($A49)-2),'PW_MLG GRADE 10'!$B$7:$B$31,0))="P")+
 --(INDEX('PW_MLG GRADE 10'!$AT$7:$AT$31,MATCH(LEFT($A49,LEN($A49)-2),'PW_MLG GRADE 10'!$B$7:$B$31,0))="P"),
0)</f>
        <v>0</v>
      </c>
      <c r="I49" s="24" t="b">
        <f ca="1">IF(IF(_xlfn.XLOOKUP(LEFT($A49,LEN($A49)-2),'PW_MLG GRADE 10'!$B$7:$B$31,'PW_MLG GRADE 10'!$BL$7:$BL$31,"",0,1)=0,"",_xlfn.XLOOKUP(LEFT($A49,LEN($A49)-2),'PW_MLG GRADE 10'!$B$7:$B$31,'PW_MLG GRADE 10'!$BL$7:$BL$31,"",0,1))&lt;=TODAY(),TRUE,FALSE)</f>
        <v>0</v>
      </c>
      <c r="J49" s="25" t="str">
        <f t="shared" ca="1" si="1"/>
        <v/>
      </c>
    </row>
    <row r="50" spans="1:10">
      <c r="A50" s="24" t="s">
        <v>254</v>
      </c>
      <c r="B50">
        <v>2</v>
      </c>
      <c r="C50">
        <f>IFERROR(
 --(INDEX('TH_MLG GRADE 10'!$D$7:$D$49,MATCH(LEFT($A50,LEN($A50)-2),'TH_MLG GRADE 10'!$B$7:$B$49,0))="P")+
 --(INDEX('TH_MLG GRADE 10'!$J$7:$J$49,MATCH(LEFT($A50,LEN($A50)-2),'TH_MLG GRADE 10'!$B$7:$B$49,0))="P")+
 --(INDEX('TH_MLG GRADE 10'!$P$7:$P$49,MATCH(LEFT($A50,LEN($A50)-2),'TH_MLG GRADE 10'!$B$7:$B$49,0))="P")+
 --(INDEX('TH_MLG GRADE 10'!$AB$7:$AB$49,MATCH(LEFT($A50,LEN($A50)-2),'TH_MLG GRADE 10'!$B$7:$B$49,0))="P")+
 --(INDEX('TH_MLG GRADE 10'!$AH$7:$AH$49,MATCH(LEFT($A50,LEN($A50)-2),'TH_MLG GRADE 10'!$B$7:$B$49,0))="P")+
 --(INDEX('TH_MLG GRADE 10'!$AN$7:$AN$49,MATCH(LEFT($A50,LEN($A50)-2),'TH_MLG GRADE 10'!$B$7:$B$49,0))="P")+
 --(INDEX('TH_MLG GRADE 10'!$AZ$7:$AZ$49,MATCH(LEFT($A50,LEN($A50)-2),'TH_MLG GRADE 10'!$B$7:$B$49,0))="P")+
 --(INDEX('TH_MLG GRADE 10'!$BF$7:$BF$49,MATCH(LEFT($A50,LEN($A50)-2),'TH_MLG GRADE 10'!$B$7:$B$49,0))="P")+
 --(INDEX('TH_MLG GRADE 10'!$V$7:$V$49,MATCH(LEFT($A50,LEN($A50)-2),'TH_MLG GRADE 10'!$B$7:$B$49,0))="P")+
 --(INDEX('TH_MLG GRADE 10'!$AT$7:$AT$49,MATCH(LEFT($A50,LEN($A50)-2),'TH_MLG GRADE 10'!$B$7:$B$49,0))="P"),
0)</f>
        <v>3</v>
      </c>
      <c r="D50" s="24" t="b">
        <f ca="1">IF(IF(_xlfn.XLOOKUP(LEFT($A50,LEN($A50)-2),'TH_MLG GRADE 10'!$B$7:$B$49,'TH_MLG GRADE 10'!$BL$7:$BL$49,"",0,1)=0,"",_xlfn.XLOOKUP(LEFT($A50,LEN($A50)-2),'TH_MLG GRADE 10'!$B$7:$B$49,'TH_MLG GRADE 10'!$BL$7:$BL$49,"",0,1))&lt;=TODAY(),TRUE,FALSE)</f>
        <v>1</v>
      </c>
      <c r="E50" s="25">
        <f t="shared" ca="1" si="0"/>
        <v>1</v>
      </c>
      <c r="F50" s="24" t="s">
        <v>254</v>
      </c>
      <c r="G50">
        <v>2</v>
      </c>
      <c r="H50">
        <f>IFERROR(
 --(INDEX('PW_MLG GRADE 10'!$D$7:$D$31,MATCH(LEFT($A50,LEN($A50)-2),'PW_MLG GRADE 10'!$B$7:$B$31,0))="P")+
 --(INDEX('PW_MLG GRADE 10'!$J$7:$J$31,MATCH(LEFT($A50,LEN($A50)-2),'PW_MLG GRADE 10'!$B$7:$B$31,0))="P")+
 --(INDEX('PW_MLG GRADE 10'!$P$7:$P$31,MATCH(LEFT($A50,LEN($A50)-2),'PW_MLG GRADE 10'!$B$7:$B$31,0))="P")+
 --(INDEX('PW_MLG GRADE 10'!$AB$7:$AB$31,MATCH(LEFT($A50,LEN($A50)-2),'PW_MLG GRADE 10'!$B$7:$B$31,0))="P")+
 --(INDEX('PW_MLG GRADE 10'!$AH$7:$AH$31,MATCH(LEFT($A50,LEN($A50)-2),'PW_MLG GRADE 10'!$B$7:$B$31,0))="P")+
 --(INDEX('PW_MLG GRADE 10'!$AN$7:$AN$31,MATCH(LEFT($A50,LEN($A50)-2),'PW_MLG GRADE 10'!$B$7:$B$31,0))="P")+
 --(INDEX('PW_MLG GRADE 10'!$AZ$7:$AZ$31,MATCH(LEFT($A50,LEN($A50)-2),'PW_MLG GRADE 10'!$B$7:$B$31,0))="P")+
 --(INDEX('PW_MLG GRADE 10'!$BF$7:$BF$31,MATCH(LEFT($A50,LEN($A50)-2),'PW_MLG GRADE 10'!$B$7:$B$31,0))="P")+
 --(INDEX('PW_MLG GRADE 10'!$V$7:$V$31,MATCH(LEFT($A50,LEN($A50)-2),'PW_MLG GRADE 10'!$B$7:$B$31,0))="P")+
 --(INDEX('PW_MLG GRADE 10'!$AT$7:$AT$31,MATCH(LEFT($A50,LEN($A50)-2),'PW_MLG GRADE 10'!$B$7:$B$31,0))="P"),
0)</f>
        <v>0</v>
      </c>
      <c r="I50" s="24" t="b">
        <f ca="1">IF(IF(_xlfn.XLOOKUP(LEFT($A50,LEN($A50)-2),'PW_MLG GRADE 10'!$B$7:$B$31,'PW_MLG GRADE 10'!$BL$7:$BL$31,"",0,1)=0,"",_xlfn.XLOOKUP(LEFT($A50,LEN($A50)-2),'PW_MLG GRADE 10'!$B$7:$B$31,'PW_MLG GRADE 10'!$BL$7:$BL$31,"",0,1))&lt;=TODAY(),TRUE,FALSE)</f>
        <v>0</v>
      </c>
      <c r="J50" s="25" t="str">
        <f t="shared" ca="1" si="1"/>
        <v/>
      </c>
    </row>
    <row r="51" spans="1:10">
      <c r="A51" s="24" t="s">
        <v>255</v>
      </c>
      <c r="B51">
        <v>2</v>
      </c>
      <c r="C51">
        <f>IFERROR(
 --(INDEX('TH_MLG GRADE 10'!$D$7:$D$49,MATCH(LEFT($A51,LEN($A51)-2),'TH_MLG GRADE 10'!$B$7:$B$49,0))="P")+
 --(INDEX('TH_MLG GRADE 10'!$J$7:$J$49,MATCH(LEFT($A51,LEN($A51)-2),'TH_MLG GRADE 10'!$B$7:$B$49,0))="P")+
 --(INDEX('TH_MLG GRADE 10'!$P$7:$P$49,MATCH(LEFT($A51,LEN($A51)-2),'TH_MLG GRADE 10'!$B$7:$B$49,0))="P")+
 --(INDEX('TH_MLG GRADE 10'!$AB$7:$AB$49,MATCH(LEFT($A51,LEN($A51)-2),'TH_MLG GRADE 10'!$B$7:$B$49,0))="P")+
 --(INDEX('TH_MLG GRADE 10'!$AH$7:$AH$49,MATCH(LEFT($A51,LEN($A51)-2),'TH_MLG GRADE 10'!$B$7:$B$49,0))="P")+
 --(INDEX('TH_MLG GRADE 10'!$AN$7:$AN$49,MATCH(LEFT($A51,LEN($A51)-2),'TH_MLG GRADE 10'!$B$7:$B$49,0))="P")+
 --(INDEX('TH_MLG GRADE 10'!$AZ$7:$AZ$49,MATCH(LEFT($A51,LEN($A51)-2),'TH_MLG GRADE 10'!$B$7:$B$49,0))="P")+
 --(INDEX('TH_MLG GRADE 10'!$BF$7:$BF$49,MATCH(LEFT($A51,LEN($A51)-2),'TH_MLG GRADE 10'!$B$7:$B$49,0))="P")+
 --(INDEX('TH_MLG GRADE 10'!$V$7:$V$49,MATCH(LEFT($A51,LEN($A51)-2),'TH_MLG GRADE 10'!$B$7:$B$49,0))="P")+
 --(INDEX('TH_MLG GRADE 10'!$AT$7:$AT$49,MATCH(LEFT($A51,LEN($A51)-2),'TH_MLG GRADE 10'!$B$7:$B$49,0))="P"),
0)</f>
        <v>3</v>
      </c>
      <c r="D51" s="24" t="b">
        <f ca="1">IF(IF(_xlfn.XLOOKUP(LEFT($A51,LEN($A51)-2),'TH_MLG GRADE 10'!$B$7:$B$49,'TH_MLG GRADE 10'!$BL$7:$BL$49,"",0,1)=0,"",_xlfn.XLOOKUP(LEFT($A51,LEN($A51)-2),'TH_MLG GRADE 10'!$B$7:$B$49,'TH_MLG GRADE 10'!$BL$7:$BL$49,"",0,1))&lt;=TODAY(),TRUE,FALSE)</f>
        <v>1</v>
      </c>
      <c r="E51" s="25">
        <f t="shared" ca="1" si="0"/>
        <v>1</v>
      </c>
      <c r="F51" s="24" t="s">
        <v>255</v>
      </c>
      <c r="G51">
        <v>2</v>
      </c>
      <c r="H51">
        <f>IFERROR(
 --(INDEX('PW_MLG GRADE 10'!$D$7:$D$31,MATCH(LEFT($A51,LEN($A51)-2),'PW_MLG GRADE 10'!$B$7:$B$31,0))="P")+
 --(INDEX('PW_MLG GRADE 10'!$J$7:$J$31,MATCH(LEFT($A51,LEN($A51)-2),'PW_MLG GRADE 10'!$B$7:$B$31,0))="P")+
 --(INDEX('PW_MLG GRADE 10'!$P$7:$P$31,MATCH(LEFT($A51,LEN($A51)-2),'PW_MLG GRADE 10'!$B$7:$B$31,0))="P")+
 --(INDEX('PW_MLG GRADE 10'!$AB$7:$AB$31,MATCH(LEFT($A51,LEN($A51)-2),'PW_MLG GRADE 10'!$B$7:$B$31,0))="P")+
 --(INDEX('PW_MLG GRADE 10'!$AH$7:$AH$31,MATCH(LEFT($A51,LEN($A51)-2),'PW_MLG GRADE 10'!$B$7:$B$31,0))="P")+
 --(INDEX('PW_MLG GRADE 10'!$AN$7:$AN$31,MATCH(LEFT($A51,LEN($A51)-2),'PW_MLG GRADE 10'!$B$7:$B$31,0))="P")+
 --(INDEX('PW_MLG GRADE 10'!$AZ$7:$AZ$31,MATCH(LEFT($A51,LEN($A51)-2),'PW_MLG GRADE 10'!$B$7:$B$31,0))="P")+
 --(INDEX('PW_MLG GRADE 10'!$BF$7:$BF$31,MATCH(LEFT($A51,LEN($A51)-2),'PW_MLG GRADE 10'!$B$7:$B$31,0))="P")+
 --(INDEX('PW_MLG GRADE 10'!$V$7:$V$31,MATCH(LEFT($A51,LEN($A51)-2),'PW_MLG GRADE 10'!$B$7:$B$31,0))="P")+
 --(INDEX('PW_MLG GRADE 10'!$AT$7:$AT$31,MATCH(LEFT($A51,LEN($A51)-2),'PW_MLG GRADE 10'!$B$7:$B$31,0))="P"),
0)</f>
        <v>0</v>
      </c>
      <c r="I51" s="24" t="b">
        <f ca="1">IF(IF(_xlfn.XLOOKUP(LEFT($A51,LEN($A51)-2),'PW_MLG GRADE 10'!$B$7:$B$31,'PW_MLG GRADE 10'!$BL$7:$BL$31,"",0,1)=0,"",_xlfn.XLOOKUP(LEFT($A51,LEN($A51)-2),'PW_MLG GRADE 10'!$B$7:$B$31,'PW_MLG GRADE 10'!$BL$7:$BL$31,"",0,1))&lt;=TODAY(),TRUE,FALSE)</f>
        <v>0</v>
      </c>
      <c r="J51" s="25" t="str">
        <f t="shared" ca="1" si="1"/>
        <v/>
      </c>
    </row>
    <row r="52" spans="1:10">
      <c r="A52" s="24" t="s">
        <v>256</v>
      </c>
      <c r="B52">
        <v>2</v>
      </c>
      <c r="C52">
        <f>IFERROR(
 --(INDEX('TH_MLG GRADE 10'!$D$7:$D$49,MATCH(LEFT($A52,LEN($A52)-2),'TH_MLG GRADE 10'!$B$7:$B$49,0))="P")+
 --(INDEX('TH_MLG GRADE 10'!$J$7:$J$49,MATCH(LEFT($A52,LEN($A52)-2),'TH_MLG GRADE 10'!$B$7:$B$49,0))="P")+
 --(INDEX('TH_MLG GRADE 10'!$P$7:$P$49,MATCH(LEFT($A52,LEN($A52)-2),'TH_MLG GRADE 10'!$B$7:$B$49,0))="P")+
 --(INDEX('TH_MLG GRADE 10'!$AB$7:$AB$49,MATCH(LEFT($A52,LEN($A52)-2),'TH_MLG GRADE 10'!$B$7:$B$49,0))="P")+
 --(INDEX('TH_MLG GRADE 10'!$AH$7:$AH$49,MATCH(LEFT($A52,LEN($A52)-2),'TH_MLG GRADE 10'!$B$7:$B$49,0))="P")+
 --(INDEX('TH_MLG GRADE 10'!$AN$7:$AN$49,MATCH(LEFT($A52,LEN($A52)-2),'TH_MLG GRADE 10'!$B$7:$B$49,0))="P")+
 --(INDEX('TH_MLG GRADE 10'!$AZ$7:$AZ$49,MATCH(LEFT($A52,LEN($A52)-2),'TH_MLG GRADE 10'!$B$7:$B$49,0))="P")+
 --(INDEX('TH_MLG GRADE 10'!$BF$7:$BF$49,MATCH(LEFT($A52,LEN($A52)-2),'TH_MLG GRADE 10'!$B$7:$B$49,0))="P")+
 --(INDEX('TH_MLG GRADE 10'!$V$7:$V$49,MATCH(LEFT($A52,LEN($A52)-2),'TH_MLG GRADE 10'!$B$7:$B$49,0))="P")+
 --(INDEX('TH_MLG GRADE 10'!$AT$7:$AT$49,MATCH(LEFT($A52,LEN($A52)-2),'TH_MLG GRADE 10'!$B$7:$B$49,0))="P"),
0)</f>
        <v>3</v>
      </c>
      <c r="D52" s="24" t="b">
        <f ca="1">IF(IF(_xlfn.XLOOKUP(LEFT($A52,LEN($A52)-2),'TH_MLG GRADE 10'!$B$7:$B$49,'TH_MLG GRADE 10'!$BL$7:$BL$49,"",0,1)=0,"",_xlfn.XLOOKUP(LEFT($A52,LEN($A52)-2),'TH_MLG GRADE 10'!$B$7:$B$49,'TH_MLG GRADE 10'!$BL$7:$BL$49,"",0,1))&lt;=TODAY(),TRUE,FALSE)</f>
        <v>1</v>
      </c>
      <c r="E52" s="25">
        <f t="shared" ca="1" si="0"/>
        <v>1</v>
      </c>
      <c r="F52" s="24" t="s">
        <v>256</v>
      </c>
      <c r="G52">
        <v>2</v>
      </c>
      <c r="H52">
        <f>IFERROR(
 --(INDEX('PW_MLG GRADE 10'!$D$7:$D$31,MATCH(LEFT($A52,LEN($A52)-2),'PW_MLG GRADE 10'!$B$7:$B$31,0))="P")+
 --(INDEX('PW_MLG GRADE 10'!$J$7:$J$31,MATCH(LEFT($A52,LEN($A52)-2),'PW_MLG GRADE 10'!$B$7:$B$31,0))="P")+
 --(INDEX('PW_MLG GRADE 10'!$P$7:$P$31,MATCH(LEFT($A52,LEN($A52)-2),'PW_MLG GRADE 10'!$B$7:$B$31,0))="P")+
 --(INDEX('PW_MLG GRADE 10'!$AB$7:$AB$31,MATCH(LEFT($A52,LEN($A52)-2),'PW_MLG GRADE 10'!$B$7:$B$31,0))="P")+
 --(INDEX('PW_MLG GRADE 10'!$AH$7:$AH$31,MATCH(LEFT($A52,LEN($A52)-2),'PW_MLG GRADE 10'!$B$7:$B$31,0))="P")+
 --(INDEX('PW_MLG GRADE 10'!$AN$7:$AN$31,MATCH(LEFT($A52,LEN($A52)-2),'PW_MLG GRADE 10'!$B$7:$B$31,0))="P")+
 --(INDEX('PW_MLG GRADE 10'!$AZ$7:$AZ$31,MATCH(LEFT($A52,LEN($A52)-2),'PW_MLG GRADE 10'!$B$7:$B$31,0))="P")+
 --(INDEX('PW_MLG GRADE 10'!$BF$7:$BF$31,MATCH(LEFT($A52,LEN($A52)-2),'PW_MLG GRADE 10'!$B$7:$B$31,0))="P")+
 --(INDEX('PW_MLG GRADE 10'!$V$7:$V$31,MATCH(LEFT($A52,LEN($A52)-2),'PW_MLG GRADE 10'!$B$7:$B$31,0))="P")+
 --(INDEX('PW_MLG GRADE 10'!$AT$7:$AT$31,MATCH(LEFT($A52,LEN($A52)-2),'PW_MLG GRADE 10'!$B$7:$B$31,0))="P"),
0)</f>
        <v>2</v>
      </c>
      <c r="I52" s="24" t="b">
        <f ca="1">IF(IF(_xlfn.XLOOKUP(LEFT($A52,LEN($A52)-2),'PW_MLG GRADE 10'!$B$7:$B$31,'PW_MLG GRADE 10'!$BL$7:$BL$31,"",0,1)=0,"",_xlfn.XLOOKUP(LEFT($A52,LEN($A52)-2),'PW_MLG GRADE 10'!$B$7:$B$31,'PW_MLG GRADE 10'!$BL$7:$BL$31,"",0,1))&lt;=TODAY(),TRUE,FALSE)</f>
        <v>1</v>
      </c>
      <c r="J52" s="25">
        <f t="shared" ca="1" si="1"/>
        <v>1</v>
      </c>
    </row>
    <row r="53" spans="1:10">
      <c r="A53" s="24" t="s">
        <v>257</v>
      </c>
      <c r="B53">
        <v>2</v>
      </c>
      <c r="C53">
        <f>IFERROR(
 --(INDEX('TH_MLG GRADE 10'!$D$7:$D$49,MATCH(LEFT($A53,LEN($A53)-2),'TH_MLG GRADE 10'!$B$7:$B$49,0))="P")+
 --(INDEX('TH_MLG GRADE 10'!$J$7:$J$49,MATCH(LEFT($A53,LEN($A53)-2),'TH_MLG GRADE 10'!$B$7:$B$49,0))="P")+
 --(INDEX('TH_MLG GRADE 10'!$P$7:$P$49,MATCH(LEFT($A53,LEN($A53)-2),'TH_MLG GRADE 10'!$B$7:$B$49,0))="P")+
 --(INDEX('TH_MLG GRADE 10'!$AB$7:$AB$49,MATCH(LEFT($A53,LEN($A53)-2),'TH_MLG GRADE 10'!$B$7:$B$49,0))="P")+
 --(INDEX('TH_MLG GRADE 10'!$AH$7:$AH$49,MATCH(LEFT($A53,LEN($A53)-2),'TH_MLG GRADE 10'!$B$7:$B$49,0))="P")+
 --(INDEX('TH_MLG GRADE 10'!$AN$7:$AN$49,MATCH(LEFT($A53,LEN($A53)-2),'TH_MLG GRADE 10'!$B$7:$B$49,0))="P")+
 --(INDEX('TH_MLG GRADE 10'!$AZ$7:$AZ$49,MATCH(LEFT($A53,LEN($A53)-2),'TH_MLG GRADE 10'!$B$7:$B$49,0))="P")+
 --(INDEX('TH_MLG GRADE 10'!$BF$7:$BF$49,MATCH(LEFT($A53,LEN($A53)-2),'TH_MLG GRADE 10'!$B$7:$B$49,0))="P")+
 --(INDEX('TH_MLG GRADE 10'!$V$7:$V$49,MATCH(LEFT($A53,LEN($A53)-2),'TH_MLG GRADE 10'!$B$7:$B$49,0))="P")+
 --(INDEX('TH_MLG GRADE 10'!$AT$7:$AT$49,MATCH(LEFT($A53,LEN($A53)-2),'TH_MLG GRADE 10'!$B$7:$B$49,0))="P"),
0)</f>
        <v>3</v>
      </c>
      <c r="D53" s="24" t="b">
        <f ca="1">IF(IF(_xlfn.XLOOKUP(LEFT($A53,LEN($A53)-2),'TH_MLG GRADE 10'!$B$7:$B$49,'TH_MLG GRADE 10'!$BL$7:$BL$49,"",0,1)=0,"",_xlfn.XLOOKUP(LEFT($A53,LEN($A53)-2),'TH_MLG GRADE 10'!$B$7:$B$49,'TH_MLG GRADE 10'!$BL$7:$BL$49,"",0,1))&lt;=TODAY(),TRUE,FALSE)</f>
        <v>1</v>
      </c>
      <c r="E53" s="25">
        <f t="shared" ca="1" si="0"/>
        <v>1</v>
      </c>
      <c r="F53" s="24" t="s">
        <v>257</v>
      </c>
      <c r="G53">
        <v>2</v>
      </c>
      <c r="H53">
        <f>IFERROR(
 --(INDEX('PW_MLG GRADE 10'!$D$7:$D$31,MATCH(LEFT($A53,LEN($A53)-2),'PW_MLG GRADE 10'!$B$7:$B$31,0))="P")+
 --(INDEX('PW_MLG GRADE 10'!$J$7:$J$31,MATCH(LEFT($A53,LEN($A53)-2),'PW_MLG GRADE 10'!$B$7:$B$31,0))="P")+
 --(INDEX('PW_MLG GRADE 10'!$P$7:$P$31,MATCH(LEFT($A53,LEN($A53)-2),'PW_MLG GRADE 10'!$B$7:$B$31,0))="P")+
 --(INDEX('PW_MLG GRADE 10'!$AB$7:$AB$31,MATCH(LEFT($A53,LEN($A53)-2),'PW_MLG GRADE 10'!$B$7:$B$31,0))="P")+
 --(INDEX('PW_MLG GRADE 10'!$AH$7:$AH$31,MATCH(LEFT($A53,LEN($A53)-2),'PW_MLG GRADE 10'!$B$7:$B$31,0))="P")+
 --(INDEX('PW_MLG GRADE 10'!$AN$7:$AN$31,MATCH(LEFT($A53,LEN($A53)-2),'PW_MLG GRADE 10'!$B$7:$B$31,0))="P")+
 --(INDEX('PW_MLG GRADE 10'!$AZ$7:$AZ$31,MATCH(LEFT($A53,LEN($A53)-2),'PW_MLG GRADE 10'!$B$7:$B$31,0))="P")+
 --(INDEX('PW_MLG GRADE 10'!$BF$7:$BF$31,MATCH(LEFT($A53,LEN($A53)-2),'PW_MLG GRADE 10'!$B$7:$B$31,0))="P")+
 --(INDEX('PW_MLG GRADE 10'!$V$7:$V$31,MATCH(LEFT($A53,LEN($A53)-2),'PW_MLG GRADE 10'!$B$7:$B$31,0))="P")+
 --(INDEX('PW_MLG GRADE 10'!$AT$7:$AT$31,MATCH(LEFT($A53,LEN($A53)-2),'PW_MLG GRADE 10'!$B$7:$B$31,0))="P"),
0)</f>
        <v>2</v>
      </c>
      <c r="I53" s="24" t="b">
        <f ca="1">IF(IF(_xlfn.XLOOKUP(LEFT($A53,LEN($A53)-2),'PW_MLG GRADE 10'!$B$7:$B$31,'PW_MLG GRADE 10'!$BL$7:$BL$31,"",0,1)=0,"",_xlfn.XLOOKUP(LEFT($A53,LEN($A53)-2),'PW_MLG GRADE 10'!$B$7:$B$31,'PW_MLG GRADE 10'!$BL$7:$BL$31,"",0,1))&lt;=TODAY(),TRUE,FALSE)</f>
        <v>1</v>
      </c>
      <c r="J53" s="25">
        <f t="shared" ca="1" si="1"/>
        <v>1</v>
      </c>
    </row>
    <row r="54" spans="1:10">
      <c r="A54" s="24" t="s">
        <v>258</v>
      </c>
      <c r="B54">
        <v>2</v>
      </c>
      <c r="C54">
        <f>IFERROR(
 --(INDEX('TH_MLG GRADE 10'!$D$7:$D$49,MATCH(LEFT($A54,LEN($A54)-2),'TH_MLG GRADE 10'!$B$7:$B$49,0))="P")+
 --(INDEX('TH_MLG GRADE 10'!$J$7:$J$49,MATCH(LEFT($A54,LEN($A54)-2),'TH_MLG GRADE 10'!$B$7:$B$49,0))="P")+
 --(INDEX('TH_MLG GRADE 10'!$P$7:$P$49,MATCH(LEFT($A54,LEN($A54)-2),'TH_MLG GRADE 10'!$B$7:$B$49,0))="P")+
 --(INDEX('TH_MLG GRADE 10'!$AB$7:$AB$49,MATCH(LEFT($A54,LEN($A54)-2),'TH_MLG GRADE 10'!$B$7:$B$49,0))="P")+
 --(INDEX('TH_MLG GRADE 10'!$AH$7:$AH$49,MATCH(LEFT($A54,LEN($A54)-2),'TH_MLG GRADE 10'!$B$7:$B$49,0))="P")+
 --(INDEX('TH_MLG GRADE 10'!$AN$7:$AN$49,MATCH(LEFT($A54,LEN($A54)-2),'TH_MLG GRADE 10'!$B$7:$B$49,0))="P")+
 --(INDEX('TH_MLG GRADE 10'!$AZ$7:$AZ$49,MATCH(LEFT($A54,LEN($A54)-2),'TH_MLG GRADE 10'!$B$7:$B$49,0))="P")+
 --(INDEX('TH_MLG GRADE 10'!$BF$7:$BF$49,MATCH(LEFT($A54,LEN($A54)-2),'TH_MLG GRADE 10'!$B$7:$B$49,0))="P")+
 --(INDEX('TH_MLG GRADE 10'!$V$7:$V$49,MATCH(LEFT($A54,LEN($A54)-2),'TH_MLG GRADE 10'!$B$7:$B$49,0))="P")+
 --(INDEX('TH_MLG GRADE 10'!$AT$7:$AT$49,MATCH(LEFT($A54,LEN($A54)-2),'TH_MLG GRADE 10'!$B$7:$B$49,0))="P"),
0)</f>
        <v>3</v>
      </c>
      <c r="D54" s="24" t="b">
        <f ca="1">IF(IF(_xlfn.XLOOKUP(LEFT($A54,LEN($A54)-2),'TH_MLG GRADE 10'!$B$7:$B$49,'TH_MLG GRADE 10'!$BL$7:$BL$49,"",0,1)=0,"",_xlfn.XLOOKUP(LEFT($A54,LEN($A54)-2),'TH_MLG GRADE 10'!$B$7:$B$49,'TH_MLG GRADE 10'!$BL$7:$BL$49,"",0,1))&lt;=TODAY(),TRUE,FALSE)</f>
        <v>1</v>
      </c>
      <c r="E54" s="25">
        <f t="shared" ca="1" si="0"/>
        <v>1</v>
      </c>
      <c r="F54" s="24" t="s">
        <v>258</v>
      </c>
      <c r="G54">
        <v>2</v>
      </c>
      <c r="H54">
        <f>IFERROR(
 --(INDEX('PW_MLG GRADE 10'!$D$7:$D$31,MATCH(LEFT($A54,LEN($A54)-2),'PW_MLG GRADE 10'!$B$7:$B$31,0))="P")+
 --(INDEX('PW_MLG GRADE 10'!$J$7:$J$31,MATCH(LEFT($A54,LEN($A54)-2),'PW_MLG GRADE 10'!$B$7:$B$31,0))="P")+
 --(INDEX('PW_MLG GRADE 10'!$P$7:$P$31,MATCH(LEFT($A54,LEN($A54)-2),'PW_MLG GRADE 10'!$B$7:$B$31,0))="P")+
 --(INDEX('PW_MLG GRADE 10'!$AB$7:$AB$31,MATCH(LEFT($A54,LEN($A54)-2),'PW_MLG GRADE 10'!$B$7:$B$31,0))="P")+
 --(INDEX('PW_MLG GRADE 10'!$AH$7:$AH$31,MATCH(LEFT($A54,LEN($A54)-2),'PW_MLG GRADE 10'!$B$7:$B$31,0))="P")+
 --(INDEX('PW_MLG GRADE 10'!$AN$7:$AN$31,MATCH(LEFT($A54,LEN($A54)-2),'PW_MLG GRADE 10'!$B$7:$B$31,0))="P")+
 --(INDEX('PW_MLG GRADE 10'!$AZ$7:$AZ$31,MATCH(LEFT($A54,LEN($A54)-2),'PW_MLG GRADE 10'!$B$7:$B$31,0))="P")+
 --(INDEX('PW_MLG GRADE 10'!$BF$7:$BF$31,MATCH(LEFT($A54,LEN($A54)-2),'PW_MLG GRADE 10'!$B$7:$B$31,0))="P")+
 --(INDEX('PW_MLG GRADE 10'!$V$7:$V$31,MATCH(LEFT($A54,LEN($A54)-2),'PW_MLG GRADE 10'!$B$7:$B$31,0))="P")+
 --(INDEX('PW_MLG GRADE 10'!$AT$7:$AT$31,MATCH(LEFT($A54,LEN($A54)-2),'PW_MLG GRADE 10'!$B$7:$B$31,0))="P"),
0)</f>
        <v>0</v>
      </c>
      <c r="I54" s="24" t="b">
        <f ca="1">IF(IF(_xlfn.XLOOKUP(LEFT($A54,LEN($A54)-2),'PW_MLG GRADE 10'!$B$7:$B$31,'PW_MLG GRADE 10'!$BL$7:$BL$31,"",0,1)=0,"",_xlfn.XLOOKUP(LEFT($A54,LEN($A54)-2),'PW_MLG GRADE 10'!$B$7:$B$31,'PW_MLG GRADE 10'!$BL$7:$BL$31,"",0,1))&lt;=TODAY(),TRUE,FALSE)</f>
        <v>0</v>
      </c>
      <c r="J54" s="25" t="str">
        <f t="shared" ca="1" si="1"/>
        <v/>
      </c>
    </row>
    <row r="55" spans="1:10">
      <c r="A55" s="24" t="s">
        <v>259</v>
      </c>
      <c r="B55">
        <v>2</v>
      </c>
      <c r="C55">
        <f>IFERROR(
 --(INDEX('TH_MLG GRADE 10'!$D$7:$D$49,MATCH(LEFT($A55,LEN($A55)-2),'TH_MLG GRADE 10'!$B$7:$B$49,0))="P")+
 --(INDEX('TH_MLG GRADE 10'!$J$7:$J$49,MATCH(LEFT($A55,LEN($A55)-2),'TH_MLG GRADE 10'!$B$7:$B$49,0))="P")+
 --(INDEX('TH_MLG GRADE 10'!$P$7:$P$49,MATCH(LEFT($A55,LEN($A55)-2),'TH_MLG GRADE 10'!$B$7:$B$49,0))="P")+
 --(INDEX('TH_MLG GRADE 10'!$AB$7:$AB$49,MATCH(LEFT($A55,LEN($A55)-2),'TH_MLG GRADE 10'!$B$7:$B$49,0))="P")+
 --(INDEX('TH_MLG GRADE 10'!$AH$7:$AH$49,MATCH(LEFT($A55,LEN($A55)-2),'TH_MLG GRADE 10'!$B$7:$B$49,0))="P")+
 --(INDEX('TH_MLG GRADE 10'!$AN$7:$AN$49,MATCH(LEFT($A55,LEN($A55)-2),'TH_MLG GRADE 10'!$B$7:$B$49,0))="P")+
 --(INDEX('TH_MLG GRADE 10'!$AZ$7:$AZ$49,MATCH(LEFT($A55,LEN($A55)-2),'TH_MLG GRADE 10'!$B$7:$B$49,0))="P")+
 --(INDEX('TH_MLG GRADE 10'!$BF$7:$BF$49,MATCH(LEFT($A55,LEN($A55)-2),'TH_MLG GRADE 10'!$B$7:$B$49,0))="P")+
 --(INDEX('TH_MLG GRADE 10'!$V$7:$V$49,MATCH(LEFT($A55,LEN($A55)-2),'TH_MLG GRADE 10'!$B$7:$B$49,0))="P")+
 --(INDEX('TH_MLG GRADE 10'!$AT$7:$AT$49,MATCH(LEFT($A55,LEN($A55)-2),'TH_MLG GRADE 10'!$B$7:$B$49,0))="P"),
0)</f>
        <v>3</v>
      </c>
      <c r="D55" s="24" t="b">
        <f ca="1">IF(IF(_xlfn.XLOOKUP(LEFT($A55,LEN($A55)-2),'TH_MLG GRADE 10'!$B$7:$B$49,'TH_MLG GRADE 10'!$BL$7:$BL$49,"",0,1)=0,"",_xlfn.XLOOKUP(LEFT($A55,LEN($A55)-2),'TH_MLG GRADE 10'!$B$7:$B$49,'TH_MLG GRADE 10'!$BL$7:$BL$49,"",0,1))&lt;=TODAY(),TRUE,FALSE)</f>
        <v>1</v>
      </c>
      <c r="E55" s="25">
        <f t="shared" ca="1" si="0"/>
        <v>1</v>
      </c>
      <c r="F55" s="24" t="s">
        <v>259</v>
      </c>
      <c r="G55">
        <v>2</v>
      </c>
      <c r="H55">
        <f>IFERROR(
 --(INDEX('PW_MLG GRADE 10'!$D$7:$D$31,MATCH(LEFT($A55,LEN($A55)-2),'PW_MLG GRADE 10'!$B$7:$B$31,0))="P")+
 --(INDEX('PW_MLG GRADE 10'!$J$7:$J$31,MATCH(LEFT($A55,LEN($A55)-2),'PW_MLG GRADE 10'!$B$7:$B$31,0))="P")+
 --(INDEX('PW_MLG GRADE 10'!$P$7:$P$31,MATCH(LEFT($A55,LEN($A55)-2),'PW_MLG GRADE 10'!$B$7:$B$31,0))="P")+
 --(INDEX('PW_MLG GRADE 10'!$AB$7:$AB$31,MATCH(LEFT($A55,LEN($A55)-2),'PW_MLG GRADE 10'!$B$7:$B$31,0))="P")+
 --(INDEX('PW_MLG GRADE 10'!$AH$7:$AH$31,MATCH(LEFT($A55,LEN($A55)-2),'PW_MLG GRADE 10'!$B$7:$B$31,0))="P")+
 --(INDEX('PW_MLG GRADE 10'!$AN$7:$AN$31,MATCH(LEFT($A55,LEN($A55)-2),'PW_MLG GRADE 10'!$B$7:$B$31,0))="P")+
 --(INDEX('PW_MLG GRADE 10'!$AZ$7:$AZ$31,MATCH(LEFT($A55,LEN($A55)-2),'PW_MLG GRADE 10'!$B$7:$B$31,0))="P")+
 --(INDEX('PW_MLG GRADE 10'!$BF$7:$BF$31,MATCH(LEFT($A55,LEN($A55)-2),'PW_MLG GRADE 10'!$B$7:$B$31,0))="P")+
 --(INDEX('PW_MLG GRADE 10'!$V$7:$V$31,MATCH(LEFT($A55,LEN($A55)-2),'PW_MLG GRADE 10'!$B$7:$B$31,0))="P")+
 --(INDEX('PW_MLG GRADE 10'!$AT$7:$AT$31,MATCH(LEFT($A55,LEN($A55)-2),'PW_MLG GRADE 10'!$B$7:$B$31,0))="P"),
0)</f>
        <v>0</v>
      </c>
      <c r="I55" s="24" t="b">
        <f ca="1">IF(IF(_xlfn.XLOOKUP(LEFT($A55,LEN($A55)-2),'PW_MLG GRADE 10'!$B$7:$B$31,'PW_MLG GRADE 10'!$BL$7:$BL$31,"",0,1)=0,"",_xlfn.XLOOKUP(LEFT($A55,LEN($A55)-2),'PW_MLG GRADE 10'!$B$7:$B$31,'PW_MLG GRADE 10'!$BL$7:$BL$31,"",0,1))&lt;=TODAY(),TRUE,FALSE)</f>
        <v>0</v>
      </c>
      <c r="J55" s="25" t="str">
        <f t="shared" ca="1" si="1"/>
        <v/>
      </c>
    </row>
    <row r="56" spans="1:10">
      <c r="A56" s="24" t="s">
        <v>260</v>
      </c>
      <c r="B56">
        <v>2</v>
      </c>
      <c r="C56">
        <f>IFERROR(
 --(INDEX('TH_MLG GRADE 10'!$D$7:$D$49,MATCH(LEFT($A56,LEN($A56)-2),'TH_MLG GRADE 10'!$B$7:$B$49,0))="P")+
 --(INDEX('TH_MLG GRADE 10'!$J$7:$J$49,MATCH(LEFT($A56,LEN($A56)-2),'TH_MLG GRADE 10'!$B$7:$B$49,0))="P")+
 --(INDEX('TH_MLG GRADE 10'!$P$7:$P$49,MATCH(LEFT($A56,LEN($A56)-2),'TH_MLG GRADE 10'!$B$7:$B$49,0))="P")+
 --(INDEX('TH_MLG GRADE 10'!$AB$7:$AB$49,MATCH(LEFT($A56,LEN($A56)-2),'TH_MLG GRADE 10'!$B$7:$B$49,0))="P")+
 --(INDEX('TH_MLG GRADE 10'!$AH$7:$AH$49,MATCH(LEFT($A56,LEN($A56)-2),'TH_MLG GRADE 10'!$B$7:$B$49,0))="P")+
 --(INDEX('TH_MLG GRADE 10'!$AN$7:$AN$49,MATCH(LEFT($A56,LEN($A56)-2),'TH_MLG GRADE 10'!$B$7:$B$49,0))="P")+
 --(INDEX('TH_MLG GRADE 10'!$AZ$7:$AZ$49,MATCH(LEFT($A56,LEN($A56)-2),'TH_MLG GRADE 10'!$B$7:$B$49,0))="P")+
 --(INDEX('TH_MLG GRADE 10'!$BF$7:$BF$49,MATCH(LEFT($A56,LEN($A56)-2),'TH_MLG GRADE 10'!$B$7:$B$49,0))="P")+
 --(INDEX('TH_MLG GRADE 10'!$V$7:$V$49,MATCH(LEFT($A56,LEN($A56)-2),'TH_MLG GRADE 10'!$B$7:$B$49,0))="P")+
 --(INDEX('TH_MLG GRADE 10'!$AT$7:$AT$49,MATCH(LEFT($A56,LEN($A56)-2),'TH_MLG GRADE 10'!$B$7:$B$49,0))="P"),
0)</f>
        <v>3</v>
      </c>
      <c r="D56" s="24" t="b">
        <f ca="1">IF(IF(_xlfn.XLOOKUP(LEFT($A56,LEN($A56)-2),'TH_MLG GRADE 10'!$B$7:$B$49,'TH_MLG GRADE 10'!$BL$7:$BL$49,"",0,1)=0,"",_xlfn.XLOOKUP(LEFT($A56,LEN($A56)-2),'TH_MLG GRADE 10'!$B$7:$B$49,'TH_MLG GRADE 10'!$BL$7:$BL$49,"",0,1))&lt;=TODAY(),TRUE,FALSE)</f>
        <v>1</v>
      </c>
      <c r="E56" s="25">
        <f t="shared" ca="1" si="0"/>
        <v>1</v>
      </c>
      <c r="F56" s="24" t="s">
        <v>260</v>
      </c>
      <c r="G56">
        <v>2</v>
      </c>
      <c r="H56">
        <f>IFERROR(
 --(INDEX('PW_MLG GRADE 10'!$D$7:$D$31,MATCH(LEFT($A56,LEN($A56)-2),'PW_MLG GRADE 10'!$B$7:$B$31,0))="P")+
 --(INDEX('PW_MLG GRADE 10'!$J$7:$J$31,MATCH(LEFT($A56,LEN($A56)-2),'PW_MLG GRADE 10'!$B$7:$B$31,0))="P")+
 --(INDEX('PW_MLG GRADE 10'!$P$7:$P$31,MATCH(LEFT($A56,LEN($A56)-2),'PW_MLG GRADE 10'!$B$7:$B$31,0))="P")+
 --(INDEX('PW_MLG GRADE 10'!$AB$7:$AB$31,MATCH(LEFT($A56,LEN($A56)-2),'PW_MLG GRADE 10'!$B$7:$B$31,0))="P")+
 --(INDEX('PW_MLG GRADE 10'!$AH$7:$AH$31,MATCH(LEFT($A56,LEN($A56)-2),'PW_MLG GRADE 10'!$B$7:$B$31,0))="P")+
 --(INDEX('PW_MLG GRADE 10'!$AN$7:$AN$31,MATCH(LEFT($A56,LEN($A56)-2),'PW_MLG GRADE 10'!$B$7:$B$31,0))="P")+
 --(INDEX('PW_MLG GRADE 10'!$AZ$7:$AZ$31,MATCH(LEFT($A56,LEN($A56)-2),'PW_MLG GRADE 10'!$B$7:$B$31,0))="P")+
 --(INDEX('PW_MLG GRADE 10'!$BF$7:$BF$31,MATCH(LEFT($A56,LEN($A56)-2),'PW_MLG GRADE 10'!$B$7:$B$31,0))="P")+
 --(INDEX('PW_MLG GRADE 10'!$V$7:$V$31,MATCH(LEFT($A56,LEN($A56)-2),'PW_MLG GRADE 10'!$B$7:$B$31,0))="P")+
 --(INDEX('PW_MLG GRADE 10'!$AT$7:$AT$31,MATCH(LEFT($A56,LEN($A56)-2),'PW_MLG GRADE 10'!$B$7:$B$31,0))="P"),
0)</f>
        <v>0</v>
      </c>
      <c r="I56" s="24" t="b">
        <f ca="1">IF(IF(_xlfn.XLOOKUP(LEFT($A56,LEN($A56)-2),'PW_MLG GRADE 10'!$B$7:$B$31,'PW_MLG GRADE 10'!$BL$7:$BL$31,"",0,1)=0,"",_xlfn.XLOOKUP(LEFT($A56,LEN($A56)-2),'PW_MLG GRADE 10'!$B$7:$B$31,'PW_MLG GRADE 10'!$BL$7:$BL$31,"",0,1))&lt;=TODAY(),TRUE,FALSE)</f>
        <v>0</v>
      </c>
      <c r="J56" s="25" t="str">
        <f t="shared" ca="1" si="1"/>
        <v/>
      </c>
    </row>
    <row r="57" spans="1:10">
      <c r="A57" s="24" t="s">
        <v>261</v>
      </c>
      <c r="B57">
        <v>2</v>
      </c>
      <c r="C57">
        <f>IFERROR(
 --(INDEX('TH_MLG GRADE 10'!$D$7:$D$49,MATCH(LEFT($A57,LEN($A57)-2),'TH_MLG GRADE 10'!$B$7:$B$49,0))="P")+
 --(INDEX('TH_MLG GRADE 10'!$J$7:$J$49,MATCH(LEFT($A57,LEN($A57)-2),'TH_MLG GRADE 10'!$B$7:$B$49,0))="P")+
 --(INDEX('TH_MLG GRADE 10'!$P$7:$P$49,MATCH(LEFT($A57,LEN($A57)-2),'TH_MLG GRADE 10'!$B$7:$B$49,0))="P")+
 --(INDEX('TH_MLG GRADE 10'!$AB$7:$AB$49,MATCH(LEFT($A57,LEN($A57)-2),'TH_MLG GRADE 10'!$B$7:$B$49,0))="P")+
 --(INDEX('TH_MLG GRADE 10'!$AH$7:$AH$49,MATCH(LEFT($A57,LEN($A57)-2),'TH_MLG GRADE 10'!$B$7:$B$49,0))="P")+
 --(INDEX('TH_MLG GRADE 10'!$AN$7:$AN$49,MATCH(LEFT($A57,LEN($A57)-2),'TH_MLG GRADE 10'!$B$7:$B$49,0))="P")+
 --(INDEX('TH_MLG GRADE 10'!$AZ$7:$AZ$49,MATCH(LEFT($A57,LEN($A57)-2),'TH_MLG GRADE 10'!$B$7:$B$49,0))="P")+
 --(INDEX('TH_MLG GRADE 10'!$BF$7:$BF$49,MATCH(LEFT($A57,LEN($A57)-2),'TH_MLG GRADE 10'!$B$7:$B$49,0))="P")+
 --(INDEX('TH_MLG GRADE 10'!$V$7:$V$49,MATCH(LEFT($A57,LEN($A57)-2),'TH_MLG GRADE 10'!$B$7:$B$49,0))="P")+
 --(INDEX('TH_MLG GRADE 10'!$AT$7:$AT$49,MATCH(LEFT($A57,LEN($A57)-2),'TH_MLG GRADE 10'!$B$7:$B$49,0))="P"),
0)</f>
        <v>3</v>
      </c>
      <c r="D57" s="24" t="b">
        <f ca="1">IF(IF(_xlfn.XLOOKUP(LEFT($A57,LEN($A57)-2),'TH_MLG GRADE 10'!$B$7:$B$49,'TH_MLG GRADE 10'!$BL$7:$BL$49,"",0,1)=0,"",_xlfn.XLOOKUP(LEFT($A57,LEN($A57)-2),'TH_MLG GRADE 10'!$B$7:$B$49,'TH_MLG GRADE 10'!$BL$7:$BL$49,"",0,1))&lt;=TODAY(),TRUE,FALSE)</f>
        <v>1</v>
      </c>
      <c r="E57" s="25">
        <f t="shared" ca="1" si="0"/>
        <v>1</v>
      </c>
      <c r="F57" s="24" t="s">
        <v>261</v>
      </c>
      <c r="G57">
        <v>2</v>
      </c>
      <c r="H57">
        <f>IFERROR(
 --(INDEX('PW_MLG GRADE 10'!$D$7:$D$31,MATCH(LEFT($A57,LEN($A57)-2),'PW_MLG GRADE 10'!$B$7:$B$31,0))="P")+
 --(INDEX('PW_MLG GRADE 10'!$J$7:$J$31,MATCH(LEFT($A57,LEN($A57)-2),'PW_MLG GRADE 10'!$B$7:$B$31,0))="P")+
 --(INDEX('PW_MLG GRADE 10'!$P$7:$P$31,MATCH(LEFT($A57,LEN($A57)-2),'PW_MLG GRADE 10'!$B$7:$B$31,0))="P")+
 --(INDEX('PW_MLG GRADE 10'!$AB$7:$AB$31,MATCH(LEFT($A57,LEN($A57)-2),'PW_MLG GRADE 10'!$B$7:$B$31,0))="P")+
 --(INDEX('PW_MLG GRADE 10'!$AH$7:$AH$31,MATCH(LEFT($A57,LEN($A57)-2),'PW_MLG GRADE 10'!$B$7:$B$31,0))="P")+
 --(INDEX('PW_MLG GRADE 10'!$AN$7:$AN$31,MATCH(LEFT($A57,LEN($A57)-2),'PW_MLG GRADE 10'!$B$7:$B$31,0))="P")+
 --(INDEX('PW_MLG GRADE 10'!$AZ$7:$AZ$31,MATCH(LEFT($A57,LEN($A57)-2),'PW_MLG GRADE 10'!$B$7:$B$31,0))="P")+
 --(INDEX('PW_MLG GRADE 10'!$BF$7:$BF$31,MATCH(LEFT($A57,LEN($A57)-2),'PW_MLG GRADE 10'!$B$7:$B$31,0))="P")+
 --(INDEX('PW_MLG GRADE 10'!$V$7:$V$31,MATCH(LEFT($A57,LEN($A57)-2),'PW_MLG GRADE 10'!$B$7:$B$31,0))="P")+
 --(INDEX('PW_MLG GRADE 10'!$AT$7:$AT$31,MATCH(LEFT($A57,LEN($A57)-2),'PW_MLG GRADE 10'!$B$7:$B$31,0))="P"),
0)</f>
        <v>0</v>
      </c>
      <c r="I57" s="24" t="b">
        <f ca="1">IF(IF(_xlfn.XLOOKUP(LEFT($A57,LEN($A57)-2),'PW_MLG GRADE 10'!$B$7:$B$31,'PW_MLG GRADE 10'!$BL$7:$BL$31,"",0,1)=0,"",_xlfn.XLOOKUP(LEFT($A57,LEN($A57)-2),'PW_MLG GRADE 10'!$B$7:$B$31,'PW_MLG GRADE 10'!$BL$7:$BL$31,"",0,1))&lt;=TODAY(),TRUE,FALSE)</f>
        <v>0</v>
      </c>
      <c r="J57" s="25" t="str">
        <f t="shared" ca="1" si="1"/>
        <v/>
      </c>
    </row>
    <row r="58" spans="1:10">
      <c r="A58" s="24" t="s">
        <v>262</v>
      </c>
      <c r="B58">
        <v>2</v>
      </c>
      <c r="C58">
        <f>IFERROR(
 --(INDEX('TH_MLG GRADE 10'!$D$7:$D$49,MATCH(LEFT($A58,LEN($A58)-2),'TH_MLG GRADE 10'!$B$7:$B$49,0))="P")+
 --(INDEX('TH_MLG GRADE 10'!$J$7:$J$49,MATCH(LEFT($A58,LEN($A58)-2),'TH_MLG GRADE 10'!$B$7:$B$49,0))="P")+
 --(INDEX('TH_MLG GRADE 10'!$P$7:$P$49,MATCH(LEFT($A58,LEN($A58)-2),'TH_MLG GRADE 10'!$B$7:$B$49,0))="P")+
 --(INDEX('TH_MLG GRADE 10'!$AB$7:$AB$49,MATCH(LEFT($A58,LEN($A58)-2),'TH_MLG GRADE 10'!$B$7:$B$49,0))="P")+
 --(INDEX('TH_MLG GRADE 10'!$AH$7:$AH$49,MATCH(LEFT($A58,LEN($A58)-2),'TH_MLG GRADE 10'!$B$7:$B$49,0))="P")+
 --(INDEX('TH_MLG GRADE 10'!$AN$7:$AN$49,MATCH(LEFT($A58,LEN($A58)-2),'TH_MLG GRADE 10'!$B$7:$B$49,0))="P")+
 --(INDEX('TH_MLG GRADE 10'!$AZ$7:$AZ$49,MATCH(LEFT($A58,LEN($A58)-2),'TH_MLG GRADE 10'!$B$7:$B$49,0))="P")+
 --(INDEX('TH_MLG GRADE 10'!$BF$7:$BF$49,MATCH(LEFT($A58,LEN($A58)-2),'TH_MLG GRADE 10'!$B$7:$B$49,0))="P")+
 --(INDEX('TH_MLG GRADE 10'!$V$7:$V$49,MATCH(LEFT($A58,LEN($A58)-2),'TH_MLG GRADE 10'!$B$7:$B$49,0))="P")+
 --(INDEX('TH_MLG GRADE 10'!$AT$7:$AT$49,MATCH(LEFT($A58,LEN($A58)-2),'TH_MLG GRADE 10'!$B$7:$B$49,0))="P"),
0)</f>
        <v>3</v>
      </c>
      <c r="D58" s="24" t="b">
        <f ca="1">IF(IF(_xlfn.XLOOKUP(LEFT($A58,LEN($A58)-2),'TH_MLG GRADE 10'!$B$7:$B$49,'TH_MLG GRADE 10'!$BL$7:$BL$49,"",0,1)=0,"",_xlfn.XLOOKUP(LEFT($A58,LEN($A58)-2),'TH_MLG GRADE 10'!$B$7:$B$49,'TH_MLG GRADE 10'!$BL$7:$BL$49,"",0,1))&lt;=TODAY(),TRUE,FALSE)</f>
        <v>1</v>
      </c>
      <c r="E58" s="25">
        <f t="shared" ca="1" si="0"/>
        <v>1</v>
      </c>
      <c r="F58" s="24" t="s">
        <v>262</v>
      </c>
      <c r="G58">
        <v>2</v>
      </c>
      <c r="H58">
        <f>IFERROR(
 --(INDEX('PW_MLG GRADE 10'!$D$7:$D$31,MATCH(LEFT($A58,LEN($A58)-2),'PW_MLG GRADE 10'!$B$7:$B$31,0))="P")+
 --(INDEX('PW_MLG GRADE 10'!$J$7:$J$31,MATCH(LEFT($A58,LEN($A58)-2),'PW_MLG GRADE 10'!$B$7:$B$31,0))="P")+
 --(INDEX('PW_MLG GRADE 10'!$P$7:$P$31,MATCH(LEFT($A58,LEN($A58)-2),'PW_MLG GRADE 10'!$B$7:$B$31,0))="P")+
 --(INDEX('PW_MLG GRADE 10'!$AB$7:$AB$31,MATCH(LEFT($A58,LEN($A58)-2),'PW_MLG GRADE 10'!$B$7:$B$31,0))="P")+
 --(INDEX('PW_MLG GRADE 10'!$AH$7:$AH$31,MATCH(LEFT($A58,LEN($A58)-2),'PW_MLG GRADE 10'!$B$7:$B$31,0))="P")+
 --(INDEX('PW_MLG GRADE 10'!$AN$7:$AN$31,MATCH(LEFT($A58,LEN($A58)-2),'PW_MLG GRADE 10'!$B$7:$B$31,0))="P")+
 --(INDEX('PW_MLG GRADE 10'!$AZ$7:$AZ$31,MATCH(LEFT($A58,LEN($A58)-2),'PW_MLG GRADE 10'!$B$7:$B$31,0))="P")+
 --(INDEX('PW_MLG GRADE 10'!$BF$7:$BF$31,MATCH(LEFT($A58,LEN($A58)-2),'PW_MLG GRADE 10'!$B$7:$B$31,0))="P")+
 --(INDEX('PW_MLG GRADE 10'!$V$7:$V$31,MATCH(LEFT($A58,LEN($A58)-2),'PW_MLG GRADE 10'!$B$7:$B$31,0))="P")+
 --(INDEX('PW_MLG GRADE 10'!$AT$7:$AT$31,MATCH(LEFT($A58,LEN($A58)-2),'PW_MLG GRADE 10'!$B$7:$B$31,0))="P"),
0)</f>
        <v>0</v>
      </c>
      <c r="I58" s="24" t="b">
        <f ca="1">IF(IF(_xlfn.XLOOKUP(LEFT($A58,LEN($A58)-2),'PW_MLG GRADE 10'!$B$7:$B$31,'PW_MLG GRADE 10'!$BL$7:$BL$31,"",0,1)=0,"",_xlfn.XLOOKUP(LEFT($A58,LEN($A58)-2),'PW_MLG GRADE 10'!$B$7:$B$31,'PW_MLG GRADE 10'!$BL$7:$BL$31,"",0,1))&lt;=TODAY(),TRUE,FALSE)</f>
        <v>0</v>
      </c>
      <c r="J58" s="25" t="str">
        <f t="shared" ca="1" si="1"/>
        <v/>
      </c>
    </row>
    <row r="59" spans="1:10">
      <c r="A59" s="24" t="s">
        <v>263</v>
      </c>
      <c r="B59">
        <v>2</v>
      </c>
      <c r="C59">
        <f>IFERROR(
 --(INDEX('TH_MLG GRADE 10'!$D$7:$D$49,MATCH(LEFT($A59,LEN($A59)-2),'TH_MLG GRADE 10'!$B$7:$B$49,0))="P")+
 --(INDEX('TH_MLG GRADE 10'!$J$7:$J$49,MATCH(LEFT($A59,LEN($A59)-2),'TH_MLG GRADE 10'!$B$7:$B$49,0))="P")+
 --(INDEX('TH_MLG GRADE 10'!$P$7:$P$49,MATCH(LEFT($A59,LEN($A59)-2),'TH_MLG GRADE 10'!$B$7:$B$49,0))="P")+
 --(INDEX('TH_MLG GRADE 10'!$AB$7:$AB$49,MATCH(LEFT($A59,LEN($A59)-2),'TH_MLG GRADE 10'!$B$7:$B$49,0))="P")+
 --(INDEX('TH_MLG GRADE 10'!$AH$7:$AH$49,MATCH(LEFT($A59,LEN($A59)-2),'TH_MLG GRADE 10'!$B$7:$B$49,0))="P")+
 --(INDEX('TH_MLG GRADE 10'!$AN$7:$AN$49,MATCH(LEFT($A59,LEN($A59)-2),'TH_MLG GRADE 10'!$B$7:$B$49,0))="P")+
 --(INDEX('TH_MLG GRADE 10'!$AZ$7:$AZ$49,MATCH(LEFT($A59,LEN($A59)-2),'TH_MLG GRADE 10'!$B$7:$B$49,0))="P")+
 --(INDEX('TH_MLG GRADE 10'!$BF$7:$BF$49,MATCH(LEFT($A59,LEN($A59)-2),'TH_MLG GRADE 10'!$B$7:$B$49,0))="P")+
 --(INDEX('TH_MLG GRADE 10'!$V$7:$V$49,MATCH(LEFT($A59,LEN($A59)-2),'TH_MLG GRADE 10'!$B$7:$B$49,0))="P")+
 --(INDEX('TH_MLG GRADE 10'!$AT$7:$AT$49,MATCH(LEFT($A59,LEN($A59)-2),'TH_MLG GRADE 10'!$B$7:$B$49,0))="P"),
0)</f>
        <v>3</v>
      </c>
      <c r="D59" s="24" t="b">
        <f ca="1">IF(IF(_xlfn.XLOOKUP(LEFT($A59,LEN($A59)-2),'TH_MLG GRADE 10'!$B$7:$B$49,'TH_MLG GRADE 10'!$BL$7:$BL$49,"",0,1)=0,"",_xlfn.XLOOKUP(LEFT($A59,LEN($A59)-2),'TH_MLG GRADE 10'!$B$7:$B$49,'TH_MLG GRADE 10'!$BL$7:$BL$49,"",0,1))&lt;=TODAY(),TRUE,FALSE)</f>
        <v>1</v>
      </c>
      <c r="E59" s="25">
        <f t="shared" ca="1" si="0"/>
        <v>1</v>
      </c>
      <c r="F59" s="24" t="s">
        <v>263</v>
      </c>
      <c r="G59">
        <v>2</v>
      </c>
      <c r="H59">
        <f>IFERROR(
 --(INDEX('PW_MLG GRADE 10'!$D$7:$D$31,MATCH(LEFT($A59,LEN($A59)-2),'PW_MLG GRADE 10'!$B$7:$B$31,0))="P")+
 --(INDEX('PW_MLG GRADE 10'!$J$7:$J$31,MATCH(LEFT($A59,LEN($A59)-2),'PW_MLG GRADE 10'!$B$7:$B$31,0))="P")+
 --(INDEX('PW_MLG GRADE 10'!$P$7:$P$31,MATCH(LEFT($A59,LEN($A59)-2),'PW_MLG GRADE 10'!$B$7:$B$31,0))="P")+
 --(INDEX('PW_MLG GRADE 10'!$AB$7:$AB$31,MATCH(LEFT($A59,LEN($A59)-2),'PW_MLG GRADE 10'!$B$7:$B$31,0))="P")+
 --(INDEX('PW_MLG GRADE 10'!$AH$7:$AH$31,MATCH(LEFT($A59,LEN($A59)-2),'PW_MLG GRADE 10'!$B$7:$B$31,0))="P")+
 --(INDEX('PW_MLG GRADE 10'!$AN$7:$AN$31,MATCH(LEFT($A59,LEN($A59)-2),'PW_MLG GRADE 10'!$B$7:$B$31,0))="P")+
 --(INDEX('PW_MLG GRADE 10'!$AZ$7:$AZ$31,MATCH(LEFT($A59,LEN($A59)-2),'PW_MLG GRADE 10'!$B$7:$B$31,0))="P")+
 --(INDEX('PW_MLG GRADE 10'!$BF$7:$BF$31,MATCH(LEFT($A59,LEN($A59)-2),'PW_MLG GRADE 10'!$B$7:$B$31,0))="P")+
 --(INDEX('PW_MLG GRADE 10'!$V$7:$V$31,MATCH(LEFT($A59,LEN($A59)-2),'PW_MLG GRADE 10'!$B$7:$B$31,0))="P")+
 --(INDEX('PW_MLG GRADE 10'!$AT$7:$AT$31,MATCH(LEFT($A59,LEN($A59)-2),'PW_MLG GRADE 10'!$B$7:$B$31,0))="P"),
0)</f>
        <v>0</v>
      </c>
      <c r="I59" s="24" t="b">
        <f ca="1">IF(IF(_xlfn.XLOOKUP(LEFT($A59,LEN($A59)-2),'PW_MLG GRADE 10'!$B$7:$B$31,'PW_MLG GRADE 10'!$BL$7:$BL$31,"",0,1)=0,"",_xlfn.XLOOKUP(LEFT($A59,LEN($A59)-2),'PW_MLG GRADE 10'!$B$7:$B$31,'PW_MLG GRADE 10'!$BL$7:$BL$31,"",0,1))&lt;=TODAY(),TRUE,FALSE)</f>
        <v>0</v>
      </c>
      <c r="J59" s="25" t="str">
        <f t="shared" ca="1" si="1"/>
        <v/>
      </c>
    </row>
    <row r="60" spans="1:10">
      <c r="A60" s="24" t="s">
        <v>264</v>
      </c>
      <c r="B60">
        <v>2</v>
      </c>
      <c r="C60">
        <f>IFERROR(
 --(INDEX('TH_MLG GRADE 10'!$D$7:$D$49,MATCH(LEFT($A60,LEN($A60)-2),'TH_MLG GRADE 10'!$B$7:$B$49,0))="P")+
 --(INDEX('TH_MLG GRADE 10'!$J$7:$J$49,MATCH(LEFT($A60,LEN($A60)-2),'TH_MLG GRADE 10'!$B$7:$B$49,0))="P")+
 --(INDEX('TH_MLG GRADE 10'!$P$7:$P$49,MATCH(LEFT($A60,LEN($A60)-2),'TH_MLG GRADE 10'!$B$7:$B$49,0))="P")+
 --(INDEX('TH_MLG GRADE 10'!$AB$7:$AB$49,MATCH(LEFT($A60,LEN($A60)-2),'TH_MLG GRADE 10'!$B$7:$B$49,0))="P")+
 --(INDEX('TH_MLG GRADE 10'!$AH$7:$AH$49,MATCH(LEFT($A60,LEN($A60)-2),'TH_MLG GRADE 10'!$B$7:$B$49,0))="P")+
 --(INDEX('TH_MLG GRADE 10'!$AN$7:$AN$49,MATCH(LEFT($A60,LEN($A60)-2),'TH_MLG GRADE 10'!$B$7:$B$49,0))="P")+
 --(INDEX('TH_MLG GRADE 10'!$AZ$7:$AZ$49,MATCH(LEFT($A60,LEN($A60)-2),'TH_MLG GRADE 10'!$B$7:$B$49,0))="P")+
 --(INDEX('TH_MLG GRADE 10'!$BF$7:$BF$49,MATCH(LEFT($A60,LEN($A60)-2),'TH_MLG GRADE 10'!$B$7:$B$49,0))="P")+
 --(INDEX('TH_MLG GRADE 10'!$V$7:$V$49,MATCH(LEFT($A60,LEN($A60)-2),'TH_MLG GRADE 10'!$B$7:$B$49,0))="P")+
 --(INDEX('TH_MLG GRADE 10'!$AT$7:$AT$49,MATCH(LEFT($A60,LEN($A60)-2),'TH_MLG GRADE 10'!$B$7:$B$49,0))="P"),
0)</f>
        <v>5</v>
      </c>
      <c r="D60" s="24" t="b">
        <f ca="1">IF(IF(_xlfn.XLOOKUP(LEFT($A60,LEN($A60)-2),'TH_MLG GRADE 10'!$B$7:$B$49,'TH_MLG GRADE 10'!$BL$7:$BL$49,"",0,1)=0,"",_xlfn.XLOOKUP(LEFT($A60,LEN($A60)-2),'TH_MLG GRADE 10'!$B$7:$B$49,'TH_MLG GRADE 10'!$BL$7:$BL$49,"",0,1))&lt;=TODAY(),TRUE,FALSE)</f>
        <v>1</v>
      </c>
      <c r="E60" s="25">
        <f t="shared" ca="1" si="0"/>
        <v>1</v>
      </c>
      <c r="F60" s="24" t="s">
        <v>264</v>
      </c>
      <c r="G60">
        <v>2</v>
      </c>
      <c r="H60">
        <f>IFERROR(
 --(INDEX('PW_MLG GRADE 10'!$D$7:$D$31,MATCH(LEFT($A60,LEN($A60)-2),'PW_MLG GRADE 10'!$B$7:$B$31,0))="P")+
 --(INDEX('PW_MLG GRADE 10'!$J$7:$J$31,MATCH(LEFT($A60,LEN($A60)-2),'PW_MLG GRADE 10'!$B$7:$B$31,0))="P")+
 --(INDEX('PW_MLG GRADE 10'!$P$7:$P$31,MATCH(LEFT($A60,LEN($A60)-2),'PW_MLG GRADE 10'!$B$7:$B$31,0))="P")+
 --(INDEX('PW_MLG GRADE 10'!$AB$7:$AB$31,MATCH(LEFT($A60,LEN($A60)-2),'PW_MLG GRADE 10'!$B$7:$B$31,0))="P")+
 --(INDEX('PW_MLG GRADE 10'!$AH$7:$AH$31,MATCH(LEFT($A60,LEN($A60)-2),'PW_MLG GRADE 10'!$B$7:$B$31,0))="P")+
 --(INDEX('PW_MLG GRADE 10'!$AN$7:$AN$31,MATCH(LEFT($A60,LEN($A60)-2),'PW_MLG GRADE 10'!$B$7:$B$31,0))="P")+
 --(INDEX('PW_MLG GRADE 10'!$AZ$7:$AZ$31,MATCH(LEFT($A60,LEN($A60)-2),'PW_MLG GRADE 10'!$B$7:$B$31,0))="P")+
 --(INDEX('PW_MLG GRADE 10'!$BF$7:$BF$31,MATCH(LEFT($A60,LEN($A60)-2),'PW_MLG GRADE 10'!$B$7:$B$31,0))="P")+
 --(INDEX('PW_MLG GRADE 10'!$V$7:$V$31,MATCH(LEFT($A60,LEN($A60)-2),'PW_MLG GRADE 10'!$B$7:$B$31,0))="P")+
 --(INDEX('PW_MLG GRADE 10'!$AT$7:$AT$31,MATCH(LEFT($A60,LEN($A60)-2),'PW_MLG GRADE 10'!$B$7:$B$31,0))="P"),
0)</f>
        <v>0</v>
      </c>
      <c r="I60" s="24" t="b">
        <f ca="1">IF(IF(_xlfn.XLOOKUP(LEFT($A60,LEN($A60)-2),'PW_MLG GRADE 10'!$B$7:$B$31,'PW_MLG GRADE 10'!$BL$7:$BL$31,"",0,1)=0,"",_xlfn.XLOOKUP(LEFT($A60,LEN($A60)-2),'PW_MLG GRADE 10'!$B$7:$B$31,'PW_MLG GRADE 10'!$BL$7:$BL$31,"",0,1))&lt;=TODAY(),TRUE,FALSE)</f>
        <v>0</v>
      </c>
      <c r="J60" s="25" t="str">
        <f t="shared" ca="1" si="1"/>
        <v/>
      </c>
    </row>
    <row r="61" spans="1:10">
      <c r="A61" s="24" t="s">
        <v>265</v>
      </c>
      <c r="B61">
        <v>2</v>
      </c>
      <c r="C61">
        <f>IFERROR(
 --(INDEX('TH_MLG GRADE 10'!$D$7:$D$49,MATCH(LEFT($A61,LEN($A61)-2),'TH_MLG GRADE 10'!$B$7:$B$49,0))="P")+
 --(INDEX('TH_MLG GRADE 10'!$J$7:$J$49,MATCH(LEFT($A61,LEN($A61)-2),'TH_MLG GRADE 10'!$B$7:$B$49,0))="P")+
 --(INDEX('TH_MLG GRADE 10'!$P$7:$P$49,MATCH(LEFT($A61,LEN($A61)-2),'TH_MLG GRADE 10'!$B$7:$B$49,0))="P")+
 --(INDEX('TH_MLG GRADE 10'!$AB$7:$AB$49,MATCH(LEFT($A61,LEN($A61)-2),'TH_MLG GRADE 10'!$B$7:$B$49,0))="P")+
 --(INDEX('TH_MLG GRADE 10'!$AH$7:$AH$49,MATCH(LEFT($A61,LEN($A61)-2),'TH_MLG GRADE 10'!$B$7:$B$49,0))="P")+
 --(INDEX('TH_MLG GRADE 10'!$AN$7:$AN$49,MATCH(LEFT($A61,LEN($A61)-2),'TH_MLG GRADE 10'!$B$7:$B$49,0))="P")+
 --(INDEX('TH_MLG GRADE 10'!$AZ$7:$AZ$49,MATCH(LEFT($A61,LEN($A61)-2),'TH_MLG GRADE 10'!$B$7:$B$49,0))="P")+
 --(INDEX('TH_MLG GRADE 10'!$BF$7:$BF$49,MATCH(LEFT($A61,LEN($A61)-2),'TH_MLG GRADE 10'!$B$7:$B$49,0))="P")+
 --(INDEX('TH_MLG GRADE 10'!$V$7:$V$49,MATCH(LEFT($A61,LEN($A61)-2),'TH_MLG GRADE 10'!$B$7:$B$49,0))="P")+
 --(INDEX('TH_MLG GRADE 10'!$AT$7:$AT$49,MATCH(LEFT($A61,LEN($A61)-2),'TH_MLG GRADE 10'!$B$7:$B$49,0))="P"),
0)</f>
        <v>3</v>
      </c>
      <c r="D61" s="24" t="b">
        <f ca="1">IF(IF(_xlfn.XLOOKUP(LEFT($A61,LEN($A61)-2),'TH_MLG GRADE 10'!$B$7:$B$49,'TH_MLG GRADE 10'!$BL$7:$BL$49,"",0,1)=0,"",_xlfn.XLOOKUP(LEFT($A61,LEN($A61)-2),'TH_MLG GRADE 10'!$B$7:$B$49,'TH_MLG GRADE 10'!$BL$7:$BL$49,"",0,1))&lt;=TODAY(),TRUE,FALSE)</f>
        <v>1</v>
      </c>
      <c r="E61" s="25">
        <f t="shared" ca="1" si="0"/>
        <v>1</v>
      </c>
      <c r="F61" s="24" t="s">
        <v>265</v>
      </c>
      <c r="G61">
        <v>2</v>
      </c>
      <c r="H61">
        <f>IFERROR(
 --(INDEX('PW_MLG GRADE 10'!$D$7:$D$31,MATCH(LEFT($A61,LEN($A61)-2),'PW_MLG GRADE 10'!$B$7:$B$31,0))="P")+
 --(INDEX('PW_MLG GRADE 10'!$J$7:$J$31,MATCH(LEFT($A61,LEN($A61)-2),'PW_MLG GRADE 10'!$B$7:$B$31,0))="P")+
 --(INDEX('PW_MLG GRADE 10'!$P$7:$P$31,MATCH(LEFT($A61,LEN($A61)-2),'PW_MLG GRADE 10'!$B$7:$B$31,0))="P")+
 --(INDEX('PW_MLG GRADE 10'!$AB$7:$AB$31,MATCH(LEFT($A61,LEN($A61)-2),'PW_MLG GRADE 10'!$B$7:$B$31,0))="P")+
 --(INDEX('PW_MLG GRADE 10'!$AH$7:$AH$31,MATCH(LEFT($A61,LEN($A61)-2),'PW_MLG GRADE 10'!$B$7:$B$31,0))="P")+
 --(INDEX('PW_MLG GRADE 10'!$AN$7:$AN$31,MATCH(LEFT($A61,LEN($A61)-2),'PW_MLG GRADE 10'!$B$7:$B$31,0))="P")+
 --(INDEX('PW_MLG GRADE 10'!$AZ$7:$AZ$31,MATCH(LEFT($A61,LEN($A61)-2),'PW_MLG GRADE 10'!$B$7:$B$31,0))="P")+
 --(INDEX('PW_MLG GRADE 10'!$BF$7:$BF$31,MATCH(LEFT($A61,LEN($A61)-2),'PW_MLG GRADE 10'!$B$7:$B$31,0))="P")+
 --(INDEX('PW_MLG GRADE 10'!$V$7:$V$31,MATCH(LEFT($A61,LEN($A61)-2),'PW_MLG GRADE 10'!$B$7:$B$31,0))="P")+
 --(INDEX('PW_MLG GRADE 10'!$AT$7:$AT$31,MATCH(LEFT($A61,LEN($A61)-2),'PW_MLG GRADE 10'!$B$7:$B$31,0))="P"),
0)</f>
        <v>0</v>
      </c>
      <c r="I61" s="24" t="b">
        <f ca="1">IF(IF(_xlfn.XLOOKUP(LEFT($A61,LEN($A61)-2),'PW_MLG GRADE 10'!$B$7:$B$31,'PW_MLG GRADE 10'!$BL$7:$BL$31,"",0,1)=0,"",_xlfn.XLOOKUP(LEFT($A61,LEN($A61)-2),'PW_MLG GRADE 10'!$B$7:$B$31,'PW_MLG GRADE 10'!$BL$7:$BL$31,"",0,1))&lt;=TODAY(),TRUE,FALSE)</f>
        <v>0</v>
      </c>
      <c r="J61" s="25" t="str">
        <f t="shared" ca="1" si="1"/>
        <v/>
      </c>
    </row>
    <row r="62" spans="1:10">
      <c r="A62" s="24" t="s">
        <v>266</v>
      </c>
      <c r="B62">
        <v>2</v>
      </c>
      <c r="C62">
        <f>IFERROR(
 --(INDEX('TH_MLG GRADE 10'!$D$7:$D$49,MATCH(LEFT($A62,LEN($A62)-2),'TH_MLG GRADE 10'!$B$7:$B$49,0))="P")+
 --(INDEX('TH_MLG GRADE 10'!$J$7:$J$49,MATCH(LEFT($A62,LEN($A62)-2),'TH_MLG GRADE 10'!$B$7:$B$49,0))="P")+
 --(INDEX('TH_MLG GRADE 10'!$P$7:$P$49,MATCH(LEFT($A62,LEN($A62)-2),'TH_MLG GRADE 10'!$B$7:$B$49,0))="P")+
 --(INDEX('TH_MLG GRADE 10'!$AB$7:$AB$49,MATCH(LEFT($A62,LEN($A62)-2),'TH_MLG GRADE 10'!$B$7:$B$49,0))="P")+
 --(INDEX('TH_MLG GRADE 10'!$AH$7:$AH$49,MATCH(LEFT($A62,LEN($A62)-2),'TH_MLG GRADE 10'!$B$7:$B$49,0))="P")+
 --(INDEX('TH_MLG GRADE 10'!$AN$7:$AN$49,MATCH(LEFT($A62,LEN($A62)-2),'TH_MLG GRADE 10'!$B$7:$B$49,0))="P")+
 --(INDEX('TH_MLG GRADE 10'!$AZ$7:$AZ$49,MATCH(LEFT($A62,LEN($A62)-2),'TH_MLG GRADE 10'!$B$7:$B$49,0))="P")+
 --(INDEX('TH_MLG GRADE 10'!$BF$7:$BF$49,MATCH(LEFT($A62,LEN($A62)-2),'TH_MLG GRADE 10'!$B$7:$B$49,0))="P")+
 --(INDEX('TH_MLG GRADE 10'!$V$7:$V$49,MATCH(LEFT($A62,LEN($A62)-2),'TH_MLG GRADE 10'!$B$7:$B$49,0))="P")+
 --(INDEX('TH_MLG GRADE 10'!$AT$7:$AT$49,MATCH(LEFT($A62,LEN($A62)-2),'TH_MLG GRADE 10'!$B$7:$B$49,0))="P"),
0)</f>
        <v>6</v>
      </c>
      <c r="D62" s="24" t="b">
        <f ca="1">IF(IF(_xlfn.XLOOKUP(LEFT($A62,LEN($A62)-2),'TH_MLG GRADE 10'!$B$7:$B$49,'TH_MLG GRADE 10'!$BL$7:$BL$49,"",0,1)=0,"",_xlfn.XLOOKUP(LEFT($A62,LEN($A62)-2),'TH_MLG GRADE 10'!$B$7:$B$49,'TH_MLG GRADE 10'!$BL$7:$BL$49,"",0,1))&lt;=TODAY(),TRUE,FALSE)</f>
        <v>1</v>
      </c>
      <c r="E62" s="25">
        <f t="shared" ca="1" si="0"/>
        <v>1</v>
      </c>
      <c r="F62" s="24" t="s">
        <v>266</v>
      </c>
      <c r="G62">
        <v>2</v>
      </c>
      <c r="H62">
        <f>IFERROR(
 --(INDEX('PW_MLG GRADE 10'!$D$7:$D$31,MATCH(LEFT($A62,LEN($A62)-2),'PW_MLG GRADE 10'!$B$7:$B$31,0))="P")+
 --(INDEX('PW_MLG GRADE 10'!$J$7:$J$31,MATCH(LEFT($A62,LEN($A62)-2),'PW_MLG GRADE 10'!$B$7:$B$31,0))="P")+
 --(INDEX('PW_MLG GRADE 10'!$P$7:$P$31,MATCH(LEFT($A62,LEN($A62)-2),'PW_MLG GRADE 10'!$B$7:$B$31,0))="P")+
 --(INDEX('PW_MLG GRADE 10'!$AB$7:$AB$31,MATCH(LEFT($A62,LEN($A62)-2),'PW_MLG GRADE 10'!$B$7:$B$31,0))="P")+
 --(INDEX('PW_MLG GRADE 10'!$AH$7:$AH$31,MATCH(LEFT($A62,LEN($A62)-2),'PW_MLG GRADE 10'!$B$7:$B$31,0))="P")+
 --(INDEX('PW_MLG GRADE 10'!$AN$7:$AN$31,MATCH(LEFT($A62,LEN($A62)-2),'PW_MLG GRADE 10'!$B$7:$B$31,0))="P")+
 --(INDEX('PW_MLG GRADE 10'!$AZ$7:$AZ$31,MATCH(LEFT($A62,LEN($A62)-2),'PW_MLG GRADE 10'!$B$7:$B$31,0))="P")+
 --(INDEX('PW_MLG GRADE 10'!$BF$7:$BF$31,MATCH(LEFT($A62,LEN($A62)-2),'PW_MLG GRADE 10'!$B$7:$B$31,0))="P")+
 --(INDEX('PW_MLG GRADE 10'!$V$7:$V$31,MATCH(LEFT($A62,LEN($A62)-2),'PW_MLG GRADE 10'!$B$7:$B$31,0))="P")+
 --(INDEX('PW_MLG GRADE 10'!$AT$7:$AT$31,MATCH(LEFT($A62,LEN($A62)-2),'PW_MLG GRADE 10'!$B$7:$B$31,0))="P"),
0)</f>
        <v>0</v>
      </c>
      <c r="I62" s="24" t="b">
        <f ca="1">IF(IF(_xlfn.XLOOKUP(LEFT($A62,LEN($A62)-2),'PW_MLG GRADE 10'!$B$7:$B$31,'PW_MLG GRADE 10'!$BL$7:$BL$31,"",0,1)=0,"",_xlfn.XLOOKUP(LEFT($A62,LEN($A62)-2),'PW_MLG GRADE 10'!$B$7:$B$31,'PW_MLG GRADE 10'!$BL$7:$BL$31,"",0,1))&lt;=TODAY(),TRUE,FALSE)</f>
        <v>0</v>
      </c>
      <c r="J62" s="25" t="str">
        <f t="shared" ca="1" si="1"/>
        <v/>
      </c>
    </row>
    <row r="63" spans="1:10">
      <c r="A63" s="24" t="s">
        <v>267</v>
      </c>
      <c r="B63">
        <v>2</v>
      </c>
      <c r="C63">
        <f>IFERROR(
 --(INDEX('TH_MLG GRADE 10'!$D$7:$D$49,MATCH(LEFT($A63,LEN($A63)-2),'TH_MLG GRADE 10'!$B$7:$B$49,0))="P")+
 --(INDEX('TH_MLG GRADE 10'!$J$7:$J$49,MATCH(LEFT($A63,LEN($A63)-2),'TH_MLG GRADE 10'!$B$7:$B$49,0))="P")+
 --(INDEX('TH_MLG GRADE 10'!$P$7:$P$49,MATCH(LEFT($A63,LEN($A63)-2),'TH_MLG GRADE 10'!$B$7:$B$49,0))="P")+
 --(INDEX('TH_MLG GRADE 10'!$AB$7:$AB$49,MATCH(LEFT($A63,LEN($A63)-2),'TH_MLG GRADE 10'!$B$7:$B$49,0))="P")+
 --(INDEX('TH_MLG GRADE 10'!$AH$7:$AH$49,MATCH(LEFT($A63,LEN($A63)-2),'TH_MLG GRADE 10'!$B$7:$B$49,0))="P")+
 --(INDEX('TH_MLG GRADE 10'!$AN$7:$AN$49,MATCH(LEFT($A63,LEN($A63)-2),'TH_MLG GRADE 10'!$B$7:$B$49,0))="P")+
 --(INDEX('TH_MLG GRADE 10'!$AZ$7:$AZ$49,MATCH(LEFT($A63,LEN($A63)-2),'TH_MLG GRADE 10'!$B$7:$B$49,0))="P")+
 --(INDEX('TH_MLG GRADE 10'!$BF$7:$BF$49,MATCH(LEFT($A63,LEN($A63)-2),'TH_MLG GRADE 10'!$B$7:$B$49,0))="P")+
 --(INDEX('TH_MLG GRADE 10'!$V$7:$V$49,MATCH(LEFT($A63,LEN($A63)-2),'TH_MLG GRADE 10'!$B$7:$B$49,0))="P")+
 --(INDEX('TH_MLG GRADE 10'!$AT$7:$AT$49,MATCH(LEFT($A63,LEN($A63)-2),'TH_MLG GRADE 10'!$B$7:$B$49,0))="P"),
0)</f>
        <v>2</v>
      </c>
      <c r="D63" s="24" t="b">
        <f ca="1">IF(IF(_xlfn.XLOOKUP(LEFT($A63,LEN($A63)-2),'TH_MLG GRADE 10'!$B$7:$B$49,'TH_MLG GRADE 10'!$BL$7:$BL$49,"",0,1)=0,"",_xlfn.XLOOKUP(LEFT($A63,LEN($A63)-2),'TH_MLG GRADE 10'!$B$7:$B$49,'TH_MLG GRADE 10'!$BL$7:$BL$49,"",0,1))&lt;=TODAY(),TRUE,FALSE)</f>
        <v>1</v>
      </c>
      <c r="E63" s="25">
        <f t="shared" ca="1" si="0"/>
        <v>1</v>
      </c>
      <c r="F63" s="24" t="s">
        <v>267</v>
      </c>
      <c r="G63">
        <v>2</v>
      </c>
      <c r="H63">
        <f>IFERROR(
 --(INDEX('PW_MLG GRADE 10'!$D$7:$D$31,MATCH(LEFT($A63,LEN($A63)-2),'PW_MLG GRADE 10'!$B$7:$B$31,0))="P")+
 --(INDEX('PW_MLG GRADE 10'!$J$7:$J$31,MATCH(LEFT($A63,LEN($A63)-2),'PW_MLG GRADE 10'!$B$7:$B$31,0))="P")+
 --(INDEX('PW_MLG GRADE 10'!$P$7:$P$31,MATCH(LEFT($A63,LEN($A63)-2),'PW_MLG GRADE 10'!$B$7:$B$31,0))="P")+
 --(INDEX('PW_MLG GRADE 10'!$AB$7:$AB$31,MATCH(LEFT($A63,LEN($A63)-2),'PW_MLG GRADE 10'!$B$7:$B$31,0))="P")+
 --(INDEX('PW_MLG GRADE 10'!$AH$7:$AH$31,MATCH(LEFT($A63,LEN($A63)-2),'PW_MLG GRADE 10'!$B$7:$B$31,0))="P")+
 --(INDEX('PW_MLG GRADE 10'!$AN$7:$AN$31,MATCH(LEFT($A63,LEN($A63)-2),'PW_MLG GRADE 10'!$B$7:$B$31,0))="P")+
 --(INDEX('PW_MLG GRADE 10'!$AZ$7:$AZ$31,MATCH(LEFT($A63,LEN($A63)-2),'PW_MLG GRADE 10'!$B$7:$B$31,0))="P")+
 --(INDEX('PW_MLG GRADE 10'!$BF$7:$BF$31,MATCH(LEFT($A63,LEN($A63)-2),'PW_MLG GRADE 10'!$B$7:$B$31,0))="P")+
 --(INDEX('PW_MLG GRADE 10'!$V$7:$V$31,MATCH(LEFT($A63,LEN($A63)-2),'PW_MLG GRADE 10'!$B$7:$B$31,0))="P")+
 --(INDEX('PW_MLG GRADE 10'!$AT$7:$AT$31,MATCH(LEFT($A63,LEN($A63)-2),'PW_MLG GRADE 10'!$B$7:$B$31,0))="P"),
0)</f>
        <v>0</v>
      </c>
      <c r="I63" s="24" t="b">
        <f ca="1">IF(IF(_xlfn.XLOOKUP(LEFT($A63,LEN($A63)-2),'PW_MLG GRADE 10'!$B$7:$B$31,'PW_MLG GRADE 10'!$BL$7:$BL$31,"",0,1)=0,"",_xlfn.XLOOKUP(LEFT($A63,LEN($A63)-2),'PW_MLG GRADE 10'!$B$7:$B$31,'PW_MLG GRADE 10'!$BL$7:$BL$31,"",0,1))&lt;=TODAY(),TRUE,FALSE)</f>
        <v>0</v>
      </c>
      <c r="J63" s="25" t="str">
        <f t="shared" ca="1" si="1"/>
        <v/>
      </c>
    </row>
    <row r="64" spans="1:10">
      <c r="A64" s="24" t="s">
        <v>268</v>
      </c>
      <c r="B64">
        <v>2</v>
      </c>
      <c r="C64">
        <f>IFERROR(
 --(INDEX('TH_MLG GRADE 10'!$D$7:$D$49,MATCH(LEFT($A64,LEN($A64)-2),'TH_MLG GRADE 10'!$B$7:$B$49,0))="P")+
 --(INDEX('TH_MLG GRADE 10'!$J$7:$J$49,MATCH(LEFT($A64,LEN($A64)-2),'TH_MLG GRADE 10'!$B$7:$B$49,0))="P")+
 --(INDEX('TH_MLG GRADE 10'!$P$7:$P$49,MATCH(LEFT($A64,LEN($A64)-2),'TH_MLG GRADE 10'!$B$7:$B$49,0))="P")+
 --(INDEX('TH_MLG GRADE 10'!$AB$7:$AB$49,MATCH(LEFT($A64,LEN($A64)-2),'TH_MLG GRADE 10'!$B$7:$B$49,0))="P")+
 --(INDEX('TH_MLG GRADE 10'!$AH$7:$AH$49,MATCH(LEFT($A64,LEN($A64)-2),'TH_MLG GRADE 10'!$B$7:$B$49,0))="P")+
 --(INDEX('TH_MLG GRADE 10'!$AN$7:$AN$49,MATCH(LEFT($A64,LEN($A64)-2),'TH_MLG GRADE 10'!$B$7:$B$49,0))="P")+
 --(INDEX('TH_MLG GRADE 10'!$AZ$7:$AZ$49,MATCH(LEFT($A64,LEN($A64)-2),'TH_MLG GRADE 10'!$B$7:$B$49,0))="P")+
 --(INDEX('TH_MLG GRADE 10'!$BF$7:$BF$49,MATCH(LEFT($A64,LEN($A64)-2),'TH_MLG GRADE 10'!$B$7:$B$49,0))="P")+
 --(INDEX('TH_MLG GRADE 10'!$V$7:$V$49,MATCH(LEFT($A64,LEN($A64)-2),'TH_MLG GRADE 10'!$B$7:$B$49,0))="P")+
 --(INDEX('TH_MLG GRADE 10'!$AT$7:$AT$49,MATCH(LEFT($A64,LEN($A64)-2),'TH_MLG GRADE 10'!$B$7:$B$49,0))="P"),
0)</f>
        <v>0</v>
      </c>
      <c r="D64" s="24" t="b">
        <f ca="1">IF(IF(_xlfn.XLOOKUP(LEFT($A64,LEN($A64)-2),'TH_MLG GRADE 10'!$B$7:$B$49,'TH_MLG GRADE 10'!$BL$7:$BL$49,"",0,1)=0,"",_xlfn.XLOOKUP(LEFT($A64,LEN($A64)-2),'TH_MLG GRADE 10'!$B$7:$B$49,'TH_MLG GRADE 10'!$BL$7:$BL$49,"",0,1))&lt;=TODAY(),TRUE,FALSE)</f>
        <v>0</v>
      </c>
      <c r="E64" s="25" t="str">
        <f t="shared" ca="1" si="0"/>
        <v/>
      </c>
      <c r="F64" s="24" t="s">
        <v>268</v>
      </c>
      <c r="G64">
        <v>2</v>
      </c>
      <c r="H64">
        <f>IFERROR(
 --(INDEX('PW_MLG GRADE 10'!$D$7:$D$31,MATCH(LEFT($A64,LEN($A64)-2),'PW_MLG GRADE 10'!$B$7:$B$31,0))="P")+
 --(INDEX('PW_MLG GRADE 10'!$J$7:$J$31,MATCH(LEFT($A64,LEN($A64)-2),'PW_MLG GRADE 10'!$B$7:$B$31,0))="P")+
 --(INDEX('PW_MLG GRADE 10'!$P$7:$P$31,MATCH(LEFT($A64,LEN($A64)-2),'PW_MLG GRADE 10'!$B$7:$B$31,0))="P")+
 --(INDEX('PW_MLG GRADE 10'!$AB$7:$AB$31,MATCH(LEFT($A64,LEN($A64)-2),'PW_MLG GRADE 10'!$B$7:$B$31,0))="P")+
 --(INDEX('PW_MLG GRADE 10'!$AH$7:$AH$31,MATCH(LEFT($A64,LEN($A64)-2),'PW_MLG GRADE 10'!$B$7:$B$31,0))="P")+
 --(INDEX('PW_MLG GRADE 10'!$AN$7:$AN$31,MATCH(LEFT($A64,LEN($A64)-2),'PW_MLG GRADE 10'!$B$7:$B$31,0))="P")+
 --(INDEX('PW_MLG GRADE 10'!$AZ$7:$AZ$31,MATCH(LEFT($A64,LEN($A64)-2),'PW_MLG GRADE 10'!$B$7:$B$31,0))="P")+
 --(INDEX('PW_MLG GRADE 10'!$BF$7:$BF$31,MATCH(LEFT($A64,LEN($A64)-2),'PW_MLG GRADE 10'!$B$7:$B$31,0))="P")+
 --(INDEX('PW_MLG GRADE 10'!$V$7:$V$31,MATCH(LEFT($A64,LEN($A64)-2),'PW_MLG GRADE 10'!$B$7:$B$31,0))="P")+
 --(INDEX('PW_MLG GRADE 10'!$AT$7:$AT$31,MATCH(LEFT($A64,LEN($A64)-2),'PW_MLG GRADE 10'!$B$7:$B$31,0))="P"),
0)</f>
        <v>2</v>
      </c>
      <c r="I64" s="24" t="b">
        <f ca="1">IF(IF(_xlfn.XLOOKUP(LEFT($A64,LEN($A64)-2),'PW_MLG GRADE 10'!$B$7:$B$31,'PW_MLG GRADE 10'!$BL$7:$BL$31,"",0,1)=0,"",_xlfn.XLOOKUP(LEFT($A64,LEN($A64)-2),'PW_MLG GRADE 10'!$B$7:$B$31,'PW_MLG GRADE 10'!$BL$7:$BL$31,"",0,1))&lt;=TODAY(),TRUE,FALSE)</f>
        <v>1</v>
      </c>
      <c r="J64" s="25">
        <f t="shared" ca="1" si="1"/>
        <v>1</v>
      </c>
    </row>
    <row r="65" spans="1:10">
      <c r="A65" s="24" t="s">
        <v>269</v>
      </c>
      <c r="B65">
        <v>2</v>
      </c>
      <c r="C65">
        <f>IFERROR(
 --(INDEX('TH_MLG GRADE 10'!$D$7:$D$49,MATCH(LEFT($A65,LEN($A65)-2),'TH_MLG GRADE 10'!$B$7:$B$49,0))="P")+
 --(INDEX('TH_MLG GRADE 10'!$J$7:$J$49,MATCH(LEFT($A65,LEN($A65)-2),'TH_MLG GRADE 10'!$B$7:$B$49,0))="P")+
 --(INDEX('TH_MLG GRADE 10'!$P$7:$P$49,MATCH(LEFT($A65,LEN($A65)-2),'TH_MLG GRADE 10'!$B$7:$B$49,0))="P")+
 --(INDEX('TH_MLG GRADE 10'!$AB$7:$AB$49,MATCH(LEFT($A65,LEN($A65)-2),'TH_MLG GRADE 10'!$B$7:$B$49,0))="P")+
 --(INDEX('TH_MLG GRADE 10'!$AH$7:$AH$49,MATCH(LEFT($A65,LEN($A65)-2),'TH_MLG GRADE 10'!$B$7:$B$49,0))="P")+
 --(INDEX('TH_MLG GRADE 10'!$AN$7:$AN$49,MATCH(LEFT($A65,LEN($A65)-2),'TH_MLG GRADE 10'!$B$7:$B$49,0))="P")+
 --(INDEX('TH_MLG GRADE 10'!$AZ$7:$AZ$49,MATCH(LEFT($A65,LEN($A65)-2),'TH_MLG GRADE 10'!$B$7:$B$49,0))="P")+
 --(INDEX('TH_MLG GRADE 10'!$BF$7:$BF$49,MATCH(LEFT($A65,LEN($A65)-2),'TH_MLG GRADE 10'!$B$7:$B$49,0))="P")+
 --(INDEX('TH_MLG GRADE 10'!$V$7:$V$49,MATCH(LEFT($A65,LEN($A65)-2),'TH_MLG GRADE 10'!$B$7:$B$49,0))="P")+
 --(INDEX('TH_MLG GRADE 10'!$AT$7:$AT$49,MATCH(LEFT($A65,LEN($A65)-2),'TH_MLG GRADE 10'!$B$7:$B$49,0))="P"),
0)</f>
        <v>0</v>
      </c>
      <c r="D65" s="24" t="b">
        <f ca="1">IF(IF(_xlfn.XLOOKUP(LEFT($A65,LEN($A65)-2),'TH_MLG GRADE 10'!$B$7:$B$49,'TH_MLG GRADE 10'!$BL$7:$BL$49,"",0,1)=0,"",_xlfn.XLOOKUP(LEFT($A65,LEN($A65)-2),'TH_MLG GRADE 10'!$B$7:$B$49,'TH_MLG GRADE 10'!$BL$7:$BL$49,"",0,1))&lt;=TODAY(),TRUE,FALSE)</f>
        <v>0</v>
      </c>
      <c r="E65" s="25" t="str">
        <f t="shared" ca="1" si="0"/>
        <v/>
      </c>
      <c r="F65" s="24" t="s">
        <v>269</v>
      </c>
      <c r="G65">
        <v>2</v>
      </c>
      <c r="H65">
        <f>IFERROR(
 --(INDEX('PW_MLG GRADE 10'!$D$7:$D$31,MATCH(LEFT($A65,LEN($A65)-2),'PW_MLG GRADE 10'!$B$7:$B$31,0))="P")+
 --(INDEX('PW_MLG GRADE 10'!$J$7:$J$31,MATCH(LEFT($A65,LEN($A65)-2),'PW_MLG GRADE 10'!$B$7:$B$31,0))="P")+
 --(INDEX('PW_MLG GRADE 10'!$P$7:$P$31,MATCH(LEFT($A65,LEN($A65)-2),'PW_MLG GRADE 10'!$B$7:$B$31,0))="P")+
 --(INDEX('PW_MLG GRADE 10'!$AB$7:$AB$31,MATCH(LEFT($A65,LEN($A65)-2),'PW_MLG GRADE 10'!$B$7:$B$31,0))="P")+
 --(INDEX('PW_MLG GRADE 10'!$AH$7:$AH$31,MATCH(LEFT($A65,LEN($A65)-2),'PW_MLG GRADE 10'!$B$7:$B$31,0))="P")+
 --(INDEX('PW_MLG GRADE 10'!$AN$7:$AN$31,MATCH(LEFT($A65,LEN($A65)-2),'PW_MLG GRADE 10'!$B$7:$B$31,0))="P")+
 --(INDEX('PW_MLG GRADE 10'!$AZ$7:$AZ$31,MATCH(LEFT($A65,LEN($A65)-2),'PW_MLG GRADE 10'!$B$7:$B$31,0))="P")+
 --(INDEX('PW_MLG GRADE 10'!$BF$7:$BF$31,MATCH(LEFT($A65,LEN($A65)-2),'PW_MLG GRADE 10'!$B$7:$B$31,0))="P")+
 --(INDEX('PW_MLG GRADE 10'!$V$7:$V$31,MATCH(LEFT($A65,LEN($A65)-2),'PW_MLG GRADE 10'!$B$7:$B$31,0))="P")+
 --(INDEX('PW_MLG GRADE 10'!$AT$7:$AT$31,MATCH(LEFT($A65,LEN($A65)-2),'PW_MLG GRADE 10'!$B$7:$B$31,0))="P"),
0)</f>
        <v>2</v>
      </c>
      <c r="I65" s="24" t="b">
        <f ca="1">IF(IF(_xlfn.XLOOKUP(LEFT($A65,LEN($A65)-2),'PW_MLG GRADE 10'!$B$7:$B$31,'PW_MLG GRADE 10'!$BL$7:$BL$31,"",0,1)=0,"",_xlfn.XLOOKUP(LEFT($A65,LEN($A65)-2),'PW_MLG GRADE 10'!$B$7:$B$31,'PW_MLG GRADE 10'!$BL$7:$BL$31,"",0,1))&lt;=TODAY(),TRUE,FALSE)</f>
        <v>1</v>
      </c>
      <c r="J65" s="25">
        <f t="shared" ca="1" si="1"/>
        <v>1</v>
      </c>
    </row>
    <row r="66" spans="1:10">
      <c r="A66" s="24" t="s">
        <v>270</v>
      </c>
      <c r="B66">
        <v>2</v>
      </c>
      <c r="C66">
        <f>IFERROR(
 --(INDEX('TH_MLG GRADE 10'!$D$7:$D$49,MATCH(LEFT($A66,LEN($A66)-2),'TH_MLG GRADE 10'!$B$7:$B$49,0))="P")+
 --(INDEX('TH_MLG GRADE 10'!$J$7:$J$49,MATCH(LEFT($A66,LEN($A66)-2),'TH_MLG GRADE 10'!$B$7:$B$49,0))="P")+
 --(INDEX('TH_MLG GRADE 10'!$P$7:$P$49,MATCH(LEFT($A66,LEN($A66)-2),'TH_MLG GRADE 10'!$B$7:$B$49,0))="P")+
 --(INDEX('TH_MLG GRADE 10'!$AB$7:$AB$49,MATCH(LEFT($A66,LEN($A66)-2),'TH_MLG GRADE 10'!$B$7:$B$49,0))="P")+
 --(INDEX('TH_MLG GRADE 10'!$AH$7:$AH$49,MATCH(LEFT($A66,LEN($A66)-2),'TH_MLG GRADE 10'!$B$7:$B$49,0))="P")+
 --(INDEX('TH_MLG GRADE 10'!$AN$7:$AN$49,MATCH(LEFT($A66,LEN($A66)-2),'TH_MLG GRADE 10'!$B$7:$B$49,0))="P")+
 --(INDEX('TH_MLG GRADE 10'!$AZ$7:$AZ$49,MATCH(LEFT($A66,LEN($A66)-2),'TH_MLG GRADE 10'!$B$7:$B$49,0))="P")+
 --(INDEX('TH_MLG GRADE 10'!$BF$7:$BF$49,MATCH(LEFT($A66,LEN($A66)-2),'TH_MLG GRADE 10'!$B$7:$B$49,0))="P")+
 --(INDEX('TH_MLG GRADE 10'!$V$7:$V$49,MATCH(LEFT($A66,LEN($A66)-2),'TH_MLG GRADE 10'!$B$7:$B$49,0))="P")+
 --(INDEX('TH_MLG GRADE 10'!$AT$7:$AT$49,MATCH(LEFT($A66,LEN($A66)-2),'TH_MLG GRADE 10'!$B$7:$B$49,0))="P"),
0)</f>
        <v>2</v>
      </c>
      <c r="D66" s="24" t="b">
        <f ca="1">IF(IF(_xlfn.XLOOKUP(LEFT($A66,LEN($A66)-2),'TH_MLG GRADE 10'!$B$7:$B$49,'TH_MLG GRADE 10'!$BL$7:$BL$49,"",0,1)=0,"",_xlfn.XLOOKUP(LEFT($A66,LEN($A66)-2),'TH_MLG GRADE 10'!$B$7:$B$49,'TH_MLG GRADE 10'!$BL$7:$BL$49,"",0,1))&lt;=TODAY(),TRUE,FALSE)</f>
        <v>1</v>
      </c>
      <c r="E66" s="25">
        <f t="shared" ca="1" si="0"/>
        <v>1</v>
      </c>
      <c r="F66" s="24" t="s">
        <v>270</v>
      </c>
      <c r="G66">
        <v>2</v>
      </c>
      <c r="H66">
        <f>IFERROR(
 --(INDEX('PW_MLG GRADE 10'!$D$7:$D$31,MATCH(LEFT($A66,LEN($A66)-2),'PW_MLG GRADE 10'!$B$7:$B$31,0))="P")+
 --(INDEX('PW_MLG GRADE 10'!$J$7:$J$31,MATCH(LEFT($A66,LEN($A66)-2),'PW_MLG GRADE 10'!$B$7:$B$31,0))="P")+
 --(INDEX('PW_MLG GRADE 10'!$P$7:$P$31,MATCH(LEFT($A66,LEN($A66)-2),'PW_MLG GRADE 10'!$B$7:$B$31,0))="P")+
 --(INDEX('PW_MLG GRADE 10'!$AB$7:$AB$31,MATCH(LEFT($A66,LEN($A66)-2),'PW_MLG GRADE 10'!$B$7:$B$31,0))="P")+
 --(INDEX('PW_MLG GRADE 10'!$AH$7:$AH$31,MATCH(LEFT($A66,LEN($A66)-2),'PW_MLG GRADE 10'!$B$7:$B$31,0))="P")+
 --(INDEX('PW_MLG GRADE 10'!$AN$7:$AN$31,MATCH(LEFT($A66,LEN($A66)-2),'PW_MLG GRADE 10'!$B$7:$B$31,0))="P")+
 --(INDEX('PW_MLG GRADE 10'!$AZ$7:$AZ$31,MATCH(LEFT($A66,LEN($A66)-2),'PW_MLG GRADE 10'!$B$7:$B$31,0))="P")+
 --(INDEX('PW_MLG GRADE 10'!$BF$7:$BF$31,MATCH(LEFT($A66,LEN($A66)-2),'PW_MLG GRADE 10'!$B$7:$B$31,0))="P")+
 --(INDEX('PW_MLG GRADE 10'!$V$7:$V$31,MATCH(LEFT($A66,LEN($A66)-2),'PW_MLG GRADE 10'!$B$7:$B$31,0))="P")+
 --(INDEX('PW_MLG GRADE 10'!$AT$7:$AT$31,MATCH(LEFT($A66,LEN($A66)-2),'PW_MLG GRADE 10'!$B$7:$B$31,0))="P"),
0)</f>
        <v>0</v>
      </c>
      <c r="I66" s="24" t="b">
        <f ca="1">IF(IF(_xlfn.XLOOKUP(LEFT($A66,LEN($A66)-2),'PW_MLG GRADE 10'!$B$7:$B$31,'PW_MLG GRADE 10'!$BL$7:$BL$31,"",0,1)=0,"",_xlfn.XLOOKUP(LEFT($A66,LEN($A66)-2),'PW_MLG GRADE 10'!$B$7:$B$31,'PW_MLG GRADE 10'!$BL$7:$BL$31,"",0,1))&lt;=TODAY(),TRUE,FALSE)</f>
        <v>0</v>
      </c>
      <c r="J66" s="25" t="str">
        <f t="shared" ca="1" si="1"/>
        <v/>
      </c>
    </row>
    <row r="67" spans="1:10">
      <c r="A67" s="24" t="s">
        <v>271</v>
      </c>
      <c r="B67">
        <v>2</v>
      </c>
      <c r="C67">
        <f>IFERROR(
 --(INDEX('TH_MLG GRADE 10'!$D$7:$D$49,MATCH(LEFT($A67,LEN($A67)-2),'TH_MLG GRADE 10'!$B$7:$B$49,0))="P")+
 --(INDEX('TH_MLG GRADE 10'!$J$7:$J$49,MATCH(LEFT($A67,LEN($A67)-2),'TH_MLG GRADE 10'!$B$7:$B$49,0))="P")+
 --(INDEX('TH_MLG GRADE 10'!$P$7:$P$49,MATCH(LEFT($A67,LEN($A67)-2),'TH_MLG GRADE 10'!$B$7:$B$49,0))="P")+
 --(INDEX('TH_MLG GRADE 10'!$AB$7:$AB$49,MATCH(LEFT($A67,LEN($A67)-2),'TH_MLG GRADE 10'!$B$7:$B$49,0))="P")+
 --(INDEX('TH_MLG GRADE 10'!$AH$7:$AH$49,MATCH(LEFT($A67,LEN($A67)-2),'TH_MLG GRADE 10'!$B$7:$B$49,0))="P")+
 --(INDEX('TH_MLG GRADE 10'!$AN$7:$AN$49,MATCH(LEFT($A67,LEN($A67)-2),'TH_MLG GRADE 10'!$B$7:$B$49,0))="P")+
 --(INDEX('TH_MLG GRADE 10'!$AZ$7:$AZ$49,MATCH(LEFT($A67,LEN($A67)-2),'TH_MLG GRADE 10'!$B$7:$B$49,0))="P")+
 --(INDEX('TH_MLG GRADE 10'!$BF$7:$BF$49,MATCH(LEFT($A67,LEN($A67)-2),'TH_MLG GRADE 10'!$B$7:$B$49,0))="P")+
 --(INDEX('TH_MLG GRADE 10'!$V$7:$V$49,MATCH(LEFT($A67,LEN($A67)-2),'TH_MLG GRADE 10'!$B$7:$B$49,0))="P")+
 --(INDEX('TH_MLG GRADE 10'!$AT$7:$AT$49,MATCH(LEFT($A67,LEN($A67)-2),'TH_MLG GRADE 10'!$B$7:$B$49,0))="P"),
0)</f>
        <v>2</v>
      </c>
      <c r="D67" s="24" t="b">
        <f ca="1">IF(IF(_xlfn.XLOOKUP(LEFT($A67,LEN($A67)-2),'TH_MLG GRADE 10'!$B$7:$B$49,'TH_MLG GRADE 10'!$BL$7:$BL$49,"",0,1)=0,"",_xlfn.XLOOKUP(LEFT($A67,LEN($A67)-2),'TH_MLG GRADE 10'!$B$7:$B$49,'TH_MLG GRADE 10'!$BL$7:$BL$49,"",0,1))&lt;=TODAY(),TRUE,FALSE)</f>
        <v>1</v>
      </c>
      <c r="E67" s="25">
        <f t="shared" ca="1" si="0"/>
        <v>1</v>
      </c>
      <c r="F67" s="24" t="s">
        <v>271</v>
      </c>
      <c r="G67">
        <v>2</v>
      </c>
      <c r="H67">
        <f>IFERROR(
 --(INDEX('PW_MLG GRADE 10'!$D$7:$D$31,MATCH(LEFT($A67,LEN($A67)-2),'PW_MLG GRADE 10'!$B$7:$B$31,0))="P")+
 --(INDEX('PW_MLG GRADE 10'!$J$7:$J$31,MATCH(LEFT($A67,LEN($A67)-2),'PW_MLG GRADE 10'!$B$7:$B$31,0))="P")+
 --(INDEX('PW_MLG GRADE 10'!$P$7:$P$31,MATCH(LEFT($A67,LEN($A67)-2),'PW_MLG GRADE 10'!$B$7:$B$31,0))="P")+
 --(INDEX('PW_MLG GRADE 10'!$AB$7:$AB$31,MATCH(LEFT($A67,LEN($A67)-2),'PW_MLG GRADE 10'!$B$7:$B$31,0))="P")+
 --(INDEX('PW_MLG GRADE 10'!$AH$7:$AH$31,MATCH(LEFT($A67,LEN($A67)-2),'PW_MLG GRADE 10'!$B$7:$B$31,0))="P")+
 --(INDEX('PW_MLG GRADE 10'!$AN$7:$AN$31,MATCH(LEFT($A67,LEN($A67)-2),'PW_MLG GRADE 10'!$B$7:$B$31,0))="P")+
 --(INDEX('PW_MLG GRADE 10'!$AZ$7:$AZ$31,MATCH(LEFT($A67,LEN($A67)-2),'PW_MLG GRADE 10'!$B$7:$B$31,0))="P")+
 --(INDEX('PW_MLG GRADE 10'!$BF$7:$BF$31,MATCH(LEFT($A67,LEN($A67)-2),'PW_MLG GRADE 10'!$B$7:$B$31,0))="P")+
 --(INDEX('PW_MLG GRADE 10'!$V$7:$V$31,MATCH(LEFT($A67,LEN($A67)-2),'PW_MLG GRADE 10'!$B$7:$B$31,0))="P")+
 --(INDEX('PW_MLG GRADE 10'!$AT$7:$AT$31,MATCH(LEFT($A67,LEN($A67)-2),'PW_MLG GRADE 10'!$B$7:$B$31,0))="P"),
0)</f>
        <v>0</v>
      </c>
      <c r="I67" s="24" t="b">
        <f ca="1">IF(IF(_xlfn.XLOOKUP(LEFT($A67,LEN($A67)-2),'PW_MLG GRADE 10'!$B$7:$B$31,'PW_MLG GRADE 10'!$BL$7:$BL$31,"",0,1)=0,"",_xlfn.XLOOKUP(LEFT($A67,LEN($A67)-2),'PW_MLG GRADE 10'!$B$7:$B$31,'PW_MLG GRADE 10'!$BL$7:$BL$31,"",0,1))&lt;=TODAY(),TRUE,FALSE)</f>
        <v>0</v>
      </c>
      <c r="J67" s="25" t="str">
        <f t="shared" ca="1" si="1"/>
        <v/>
      </c>
    </row>
    <row r="68" spans="1:10">
      <c r="A68" s="24" t="s">
        <v>272</v>
      </c>
      <c r="B68">
        <v>2</v>
      </c>
      <c r="C68">
        <f>IFERROR(
 --(INDEX('TH_MLG GRADE 10'!$D$7:$D$49,MATCH(LEFT($A68,LEN($A68)-2),'TH_MLG GRADE 10'!$B$7:$B$49,0))="P")+
 --(INDEX('TH_MLG GRADE 10'!$J$7:$J$49,MATCH(LEFT($A68,LEN($A68)-2),'TH_MLG GRADE 10'!$B$7:$B$49,0))="P")+
 --(INDEX('TH_MLG GRADE 10'!$P$7:$P$49,MATCH(LEFT($A68,LEN($A68)-2),'TH_MLG GRADE 10'!$B$7:$B$49,0))="P")+
 --(INDEX('TH_MLG GRADE 10'!$AB$7:$AB$49,MATCH(LEFT($A68,LEN($A68)-2),'TH_MLG GRADE 10'!$B$7:$B$49,0))="P")+
 --(INDEX('TH_MLG GRADE 10'!$AH$7:$AH$49,MATCH(LEFT($A68,LEN($A68)-2),'TH_MLG GRADE 10'!$B$7:$B$49,0))="P")+
 --(INDEX('TH_MLG GRADE 10'!$AN$7:$AN$49,MATCH(LEFT($A68,LEN($A68)-2),'TH_MLG GRADE 10'!$B$7:$B$49,0))="P")+
 --(INDEX('TH_MLG GRADE 10'!$AZ$7:$AZ$49,MATCH(LEFT($A68,LEN($A68)-2),'TH_MLG GRADE 10'!$B$7:$B$49,0))="P")+
 --(INDEX('TH_MLG GRADE 10'!$BF$7:$BF$49,MATCH(LEFT($A68,LEN($A68)-2),'TH_MLG GRADE 10'!$B$7:$B$49,0))="P")+
 --(INDEX('TH_MLG GRADE 10'!$V$7:$V$49,MATCH(LEFT($A68,LEN($A68)-2),'TH_MLG GRADE 10'!$B$7:$B$49,0))="P")+
 --(INDEX('TH_MLG GRADE 10'!$AT$7:$AT$49,MATCH(LEFT($A68,LEN($A68)-2),'TH_MLG GRADE 10'!$B$7:$B$49,0))="P"),
0)</f>
        <v>2</v>
      </c>
      <c r="D68" s="24" t="b">
        <f ca="1">IF(IF(_xlfn.XLOOKUP(LEFT($A68,LEN($A68)-2),'TH_MLG GRADE 10'!$B$7:$B$49,'TH_MLG GRADE 10'!$BL$7:$BL$49,"",0,1)=0,"",_xlfn.XLOOKUP(LEFT($A68,LEN($A68)-2),'TH_MLG GRADE 10'!$B$7:$B$49,'TH_MLG GRADE 10'!$BL$7:$BL$49,"",0,1))&lt;=TODAY(),TRUE,FALSE)</f>
        <v>1</v>
      </c>
      <c r="E68" s="25">
        <f t="shared" ref="E68:E131" ca="1" si="2">IFERROR(IF(AND(D68=TRUE(),C68/B68&lt;=1),C68/B68,IF(AND(D68=TRUE(),C68/B68&gt;1),1,"")),0)</f>
        <v>1</v>
      </c>
      <c r="F68" s="24" t="s">
        <v>272</v>
      </c>
      <c r="G68">
        <v>2</v>
      </c>
      <c r="H68">
        <f>IFERROR(
 --(INDEX('PW_MLG GRADE 10'!$D$7:$D$31,MATCH(LEFT($A68,LEN($A68)-2),'PW_MLG GRADE 10'!$B$7:$B$31,0))="P")+
 --(INDEX('PW_MLG GRADE 10'!$J$7:$J$31,MATCH(LEFT($A68,LEN($A68)-2),'PW_MLG GRADE 10'!$B$7:$B$31,0))="P")+
 --(INDEX('PW_MLG GRADE 10'!$P$7:$P$31,MATCH(LEFT($A68,LEN($A68)-2),'PW_MLG GRADE 10'!$B$7:$B$31,0))="P")+
 --(INDEX('PW_MLG GRADE 10'!$AB$7:$AB$31,MATCH(LEFT($A68,LEN($A68)-2),'PW_MLG GRADE 10'!$B$7:$B$31,0))="P")+
 --(INDEX('PW_MLG GRADE 10'!$AH$7:$AH$31,MATCH(LEFT($A68,LEN($A68)-2),'PW_MLG GRADE 10'!$B$7:$B$31,0))="P")+
 --(INDEX('PW_MLG GRADE 10'!$AN$7:$AN$31,MATCH(LEFT($A68,LEN($A68)-2),'PW_MLG GRADE 10'!$B$7:$B$31,0))="P")+
 --(INDEX('PW_MLG GRADE 10'!$AZ$7:$AZ$31,MATCH(LEFT($A68,LEN($A68)-2),'PW_MLG GRADE 10'!$B$7:$B$31,0))="P")+
 --(INDEX('PW_MLG GRADE 10'!$BF$7:$BF$31,MATCH(LEFT($A68,LEN($A68)-2),'PW_MLG GRADE 10'!$B$7:$B$31,0))="P")+
 --(INDEX('PW_MLG GRADE 10'!$V$7:$V$31,MATCH(LEFT($A68,LEN($A68)-2),'PW_MLG GRADE 10'!$B$7:$B$31,0))="P")+
 --(INDEX('PW_MLG GRADE 10'!$AT$7:$AT$31,MATCH(LEFT($A68,LEN($A68)-2),'PW_MLG GRADE 10'!$B$7:$B$31,0))="P"),
0)</f>
        <v>0</v>
      </c>
      <c r="I68" s="24" t="b">
        <f ca="1">IF(IF(_xlfn.XLOOKUP(LEFT($A68,LEN($A68)-2),'PW_MLG GRADE 10'!$B$7:$B$31,'PW_MLG GRADE 10'!$BL$7:$BL$31,"",0,1)=0,"",_xlfn.XLOOKUP(LEFT($A68,LEN($A68)-2),'PW_MLG GRADE 10'!$B$7:$B$31,'PW_MLG GRADE 10'!$BL$7:$BL$31,"",0,1))&lt;=TODAY(),TRUE,FALSE)</f>
        <v>0</v>
      </c>
      <c r="J68" s="25" t="str">
        <f t="shared" ref="J68:J131" ca="1" si="3">IFERROR(IF(AND(I68=TRUE(),H68/G68&lt;=1),H68/G68,IF(AND(I68=TRUE(),H68/G68&gt;1),1,"")),0)</f>
        <v/>
      </c>
    </row>
    <row r="69" spans="1:10">
      <c r="A69" s="24" t="s">
        <v>273</v>
      </c>
      <c r="B69">
        <v>2</v>
      </c>
      <c r="C69">
        <f>IFERROR(
 --(INDEX('TH_MLG GRADE 10'!$D$7:$D$49,MATCH(LEFT($A69,LEN($A69)-2),'TH_MLG GRADE 10'!$B$7:$B$49,0))="P")+
 --(INDEX('TH_MLG GRADE 10'!$J$7:$J$49,MATCH(LEFT($A69,LEN($A69)-2),'TH_MLG GRADE 10'!$B$7:$B$49,0))="P")+
 --(INDEX('TH_MLG GRADE 10'!$P$7:$P$49,MATCH(LEFT($A69,LEN($A69)-2),'TH_MLG GRADE 10'!$B$7:$B$49,0))="P")+
 --(INDEX('TH_MLG GRADE 10'!$AB$7:$AB$49,MATCH(LEFT($A69,LEN($A69)-2),'TH_MLG GRADE 10'!$B$7:$B$49,0))="P")+
 --(INDEX('TH_MLG GRADE 10'!$AH$7:$AH$49,MATCH(LEFT($A69,LEN($A69)-2),'TH_MLG GRADE 10'!$B$7:$B$49,0))="P")+
 --(INDEX('TH_MLG GRADE 10'!$AN$7:$AN$49,MATCH(LEFT($A69,LEN($A69)-2),'TH_MLG GRADE 10'!$B$7:$B$49,0))="P")+
 --(INDEX('TH_MLG GRADE 10'!$AZ$7:$AZ$49,MATCH(LEFT($A69,LEN($A69)-2),'TH_MLG GRADE 10'!$B$7:$B$49,0))="P")+
 --(INDEX('TH_MLG GRADE 10'!$BF$7:$BF$49,MATCH(LEFT($A69,LEN($A69)-2),'TH_MLG GRADE 10'!$B$7:$B$49,0))="P")+
 --(INDEX('TH_MLG GRADE 10'!$V$7:$V$49,MATCH(LEFT($A69,LEN($A69)-2),'TH_MLG GRADE 10'!$B$7:$B$49,0))="P")+
 --(INDEX('TH_MLG GRADE 10'!$AT$7:$AT$49,MATCH(LEFT($A69,LEN($A69)-2),'TH_MLG GRADE 10'!$B$7:$B$49,0))="P"),
0)</f>
        <v>2</v>
      </c>
      <c r="D69" s="24" t="b">
        <f ca="1">IF(IF(_xlfn.XLOOKUP(LEFT($A69,LEN($A69)-2),'TH_MLG GRADE 10'!$B$7:$B$49,'TH_MLG GRADE 10'!$BL$7:$BL$49,"",0,1)=0,"",_xlfn.XLOOKUP(LEFT($A69,LEN($A69)-2),'TH_MLG GRADE 10'!$B$7:$B$49,'TH_MLG GRADE 10'!$BL$7:$BL$49,"",0,1))&lt;=TODAY(),TRUE,FALSE)</f>
        <v>1</v>
      </c>
      <c r="E69" s="25">
        <f t="shared" ca="1" si="2"/>
        <v>1</v>
      </c>
      <c r="F69" s="24" t="s">
        <v>273</v>
      </c>
      <c r="G69">
        <v>2</v>
      </c>
      <c r="H69">
        <f>IFERROR(
 --(INDEX('PW_MLG GRADE 10'!$D$7:$D$31,MATCH(LEFT($A69,LEN($A69)-2),'PW_MLG GRADE 10'!$B$7:$B$31,0))="P")+
 --(INDEX('PW_MLG GRADE 10'!$J$7:$J$31,MATCH(LEFT($A69,LEN($A69)-2),'PW_MLG GRADE 10'!$B$7:$B$31,0))="P")+
 --(INDEX('PW_MLG GRADE 10'!$P$7:$P$31,MATCH(LEFT($A69,LEN($A69)-2),'PW_MLG GRADE 10'!$B$7:$B$31,0))="P")+
 --(INDEX('PW_MLG GRADE 10'!$AB$7:$AB$31,MATCH(LEFT($A69,LEN($A69)-2),'PW_MLG GRADE 10'!$B$7:$B$31,0))="P")+
 --(INDEX('PW_MLG GRADE 10'!$AH$7:$AH$31,MATCH(LEFT($A69,LEN($A69)-2),'PW_MLG GRADE 10'!$B$7:$B$31,0))="P")+
 --(INDEX('PW_MLG GRADE 10'!$AN$7:$AN$31,MATCH(LEFT($A69,LEN($A69)-2),'PW_MLG GRADE 10'!$B$7:$B$31,0))="P")+
 --(INDEX('PW_MLG GRADE 10'!$AZ$7:$AZ$31,MATCH(LEFT($A69,LEN($A69)-2),'PW_MLG GRADE 10'!$B$7:$B$31,0))="P")+
 --(INDEX('PW_MLG GRADE 10'!$BF$7:$BF$31,MATCH(LEFT($A69,LEN($A69)-2),'PW_MLG GRADE 10'!$B$7:$B$31,0))="P")+
 --(INDEX('PW_MLG GRADE 10'!$V$7:$V$31,MATCH(LEFT($A69,LEN($A69)-2),'PW_MLG GRADE 10'!$B$7:$B$31,0))="P")+
 --(INDEX('PW_MLG GRADE 10'!$AT$7:$AT$31,MATCH(LEFT($A69,LEN($A69)-2),'PW_MLG GRADE 10'!$B$7:$B$31,0))="P"),
0)</f>
        <v>0</v>
      </c>
      <c r="I69" s="24" t="b">
        <f ca="1">IF(IF(_xlfn.XLOOKUP(LEFT($A69,LEN($A69)-2),'PW_MLG GRADE 10'!$B$7:$B$31,'PW_MLG GRADE 10'!$BL$7:$BL$31,"",0,1)=0,"",_xlfn.XLOOKUP(LEFT($A69,LEN($A69)-2),'PW_MLG GRADE 10'!$B$7:$B$31,'PW_MLG GRADE 10'!$BL$7:$BL$31,"",0,1))&lt;=TODAY(),TRUE,FALSE)</f>
        <v>0</v>
      </c>
      <c r="J69" s="25" t="str">
        <f t="shared" ca="1" si="3"/>
        <v/>
      </c>
    </row>
    <row r="70" spans="1:10">
      <c r="A70" s="24" t="s">
        <v>274</v>
      </c>
      <c r="B70">
        <v>2</v>
      </c>
      <c r="C70">
        <f>IFERROR(
 --(INDEX('TH_MLG GRADE 10'!$D$7:$D$49,MATCH(LEFT($A70,LEN($A70)-2),'TH_MLG GRADE 10'!$B$7:$B$49,0))="P")+
 --(INDEX('TH_MLG GRADE 10'!$J$7:$J$49,MATCH(LEFT($A70,LEN($A70)-2),'TH_MLG GRADE 10'!$B$7:$B$49,0))="P")+
 --(INDEX('TH_MLG GRADE 10'!$P$7:$P$49,MATCH(LEFT($A70,LEN($A70)-2),'TH_MLG GRADE 10'!$B$7:$B$49,0))="P")+
 --(INDEX('TH_MLG GRADE 10'!$AB$7:$AB$49,MATCH(LEFT($A70,LEN($A70)-2),'TH_MLG GRADE 10'!$B$7:$B$49,0))="P")+
 --(INDEX('TH_MLG GRADE 10'!$AH$7:$AH$49,MATCH(LEFT($A70,LEN($A70)-2),'TH_MLG GRADE 10'!$B$7:$B$49,0))="P")+
 --(INDEX('TH_MLG GRADE 10'!$AN$7:$AN$49,MATCH(LEFT($A70,LEN($A70)-2),'TH_MLG GRADE 10'!$B$7:$B$49,0))="P")+
 --(INDEX('TH_MLG GRADE 10'!$AZ$7:$AZ$49,MATCH(LEFT($A70,LEN($A70)-2),'TH_MLG GRADE 10'!$B$7:$B$49,0))="P")+
 --(INDEX('TH_MLG GRADE 10'!$BF$7:$BF$49,MATCH(LEFT($A70,LEN($A70)-2),'TH_MLG GRADE 10'!$B$7:$B$49,0))="P")+
 --(INDEX('TH_MLG GRADE 10'!$V$7:$V$49,MATCH(LEFT($A70,LEN($A70)-2),'TH_MLG GRADE 10'!$B$7:$B$49,0))="P")+
 --(INDEX('TH_MLG GRADE 10'!$AT$7:$AT$49,MATCH(LEFT($A70,LEN($A70)-2),'TH_MLG GRADE 10'!$B$7:$B$49,0))="P"),
0)</f>
        <v>2</v>
      </c>
      <c r="D70" s="24" t="b">
        <f ca="1">IF(IF(_xlfn.XLOOKUP(LEFT($A70,LEN($A70)-2),'TH_MLG GRADE 10'!$B$7:$B$49,'TH_MLG GRADE 10'!$BL$7:$BL$49,"",0,1)=0,"",_xlfn.XLOOKUP(LEFT($A70,LEN($A70)-2),'TH_MLG GRADE 10'!$B$7:$B$49,'TH_MLG GRADE 10'!$BL$7:$BL$49,"",0,1))&lt;=TODAY(),TRUE,FALSE)</f>
        <v>1</v>
      </c>
      <c r="E70" s="25">
        <f t="shared" ca="1" si="2"/>
        <v>1</v>
      </c>
      <c r="F70" s="24" t="s">
        <v>274</v>
      </c>
      <c r="G70">
        <v>2</v>
      </c>
      <c r="H70">
        <f>IFERROR(
 --(INDEX('PW_MLG GRADE 10'!$D$7:$D$31,MATCH(LEFT($A70,LEN($A70)-2),'PW_MLG GRADE 10'!$B$7:$B$31,0))="P")+
 --(INDEX('PW_MLG GRADE 10'!$J$7:$J$31,MATCH(LEFT($A70,LEN($A70)-2),'PW_MLG GRADE 10'!$B$7:$B$31,0))="P")+
 --(INDEX('PW_MLG GRADE 10'!$P$7:$P$31,MATCH(LEFT($A70,LEN($A70)-2),'PW_MLG GRADE 10'!$B$7:$B$31,0))="P")+
 --(INDEX('PW_MLG GRADE 10'!$AB$7:$AB$31,MATCH(LEFT($A70,LEN($A70)-2),'PW_MLG GRADE 10'!$B$7:$B$31,0))="P")+
 --(INDEX('PW_MLG GRADE 10'!$AH$7:$AH$31,MATCH(LEFT($A70,LEN($A70)-2),'PW_MLG GRADE 10'!$B$7:$B$31,0))="P")+
 --(INDEX('PW_MLG GRADE 10'!$AN$7:$AN$31,MATCH(LEFT($A70,LEN($A70)-2),'PW_MLG GRADE 10'!$B$7:$B$31,0))="P")+
 --(INDEX('PW_MLG GRADE 10'!$AZ$7:$AZ$31,MATCH(LEFT($A70,LEN($A70)-2),'PW_MLG GRADE 10'!$B$7:$B$31,0))="P")+
 --(INDEX('PW_MLG GRADE 10'!$BF$7:$BF$31,MATCH(LEFT($A70,LEN($A70)-2),'PW_MLG GRADE 10'!$B$7:$B$31,0))="P")+
 --(INDEX('PW_MLG GRADE 10'!$V$7:$V$31,MATCH(LEFT($A70,LEN($A70)-2),'PW_MLG GRADE 10'!$B$7:$B$31,0))="P")+
 --(INDEX('PW_MLG GRADE 10'!$AT$7:$AT$31,MATCH(LEFT($A70,LEN($A70)-2),'PW_MLG GRADE 10'!$B$7:$B$31,0))="P"),
0)</f>
        <v>0</v>
      </c>
      <c r="I70" s="24" t="b">
        <f ca="1">IF(IF(_xlfn.XLOOKUP(LEFT($A70,LEN($A70)-2),'PW_MLG GRADE 10'!$B$7:$B$31,'PW_MLG GRADE 10'!$BL$7:$BL$31,"",0,1)=0,"",_xlfn.XLOOKUP(LEFT($A70,LEN($A70)-2),'PW_MLG GRADE 10'!$B$7:$B$31,'PW_MLG GRADE 10'!$BL$7:$BL$31,"",0,1))&lt;=TODAY(),TRUE,FALSE)</f>
        <v>0</v>
      </c>
      <c r="J70" s="25" t="str">
        <f t="shared" ca="1" si="3"/>
        <v/>
      </c>
    </row>
    <row r="71" spans="1:10">
      <c r="A71" s="24" t="s">
        <v>275</v>
      </c>
      <c r="B71">
        <v>2</v>
      </c>
      <c r="C71">
        <f>IFERROR(
 --(INDEX('TH_MLG GRADE 10'!$D$7:$D$49,MATCH(LEFT($A71,LEN($A71)-2),'TH_MLG GRADE 10'!$B$7:$B$49,0))="P")+
 --(INDEX('TH_MLG GRADE 10'!$J$7:$J$49,MATCH(LEFT($A71,LEN($A71)-2),'TH_MLG GRADE 10'!$B$7:$B$49,0))="P")+
 --(INDEX('TH_MLG GRADE 10'!$P$7:$P$49,MATCH(LEFT($A71,LEN($A71)-2),'TH_MLG GRADE 10'!$B$7:$B$49,0))="P")+
 --(INDEX('TH_MLG GRADE 10'!$AB$7:$AB$49,MATCH(LEFT($A71,LEN($A71)-2),'TH_MLG GRADE 10'!$B$7:$B$49,0))="P")+
 --(INDEX('TH_MLG GRADE 10'!$AH$7:$AH$49,MATCH(LEFT($A71,LEN($A71)-2),'TH_MLG GRADE 10'!$B$7:$B$49,0))="P")+
 --(INDEX('TH_MLG GRADE 10'!$AN$7:$AN$49,MATCH(LEFT($A71,LEN($A71)-2),'TH_MLG GRADE 10'!$B$7:$B$49,0))="P")+
 --(INDEX('TH_MLG GRADE 10'!$AZ$7:$AZ$49,MATCH(LEFT($A71,LEN($A71)-2),'TH_MLG GRADE 10'!$B$7:$B$49,0))="P")+
 --(INDEX('TH_MLG GRADE 10'!$BF$7:$BF$49,MATCH(LEFT($A71,LEN($A71)-2),'TH_MLG GRADE 10'!$B$7:$B$49,0))="P")+
 --(INDEX('TH_MLG GRADE 10'!$V$7:$V$49,MATCH(LEFT($A71,LEN($A71)-2),'TH_MLG GRADE 10'!$B$7:$B$49,0))="P")+
 --(INDEX('TH_MLG GRADE 10'!$AT$7:$AT$49,MATCH(LEFT($A71,LEN($A71)-2),'TH_MLG GRADE 10'!$B$7:$B$49,0))="P"),
0)</f>
        <v>2</v>
      </c>
      <c r="D71" s="24" t="b">
        <f ca="1">IF(IF(_xlfn.XLOOKUP(LEFT($A71,LEN($A71)-2),'TH_MLG GRADE 10'!$B$7:$B$49,'TH_MLG GRADE 10'!$BL$7:$BL$49,"",0,1)=0,"",_xlfn.XLOOKUP(LEFT($A71,LEN($A71)-2),'TH_MLG GRADE 10'!$B$7:$B$49,'TH_MLG GRADE 10'!$BL$7:$BL$49,"",0,1))&lt;=TODAY(),TRUE,FALSE)</f>
        <v>1</v>
      </c>
      <c r="E71" s="25">
        <f t="shared" ca="1" si="2"/>
        <v>1</v>
      </c>
      <c r="F71" s="24" t="s">
        <v>275</v>
      </c>
      <c r="G71">
        <v>2</v>
      </c>
      <c r="H71">
        <f>IFERROR(
 --(INDEX('PW_MLG GRADE 10'!$D$7:$D$31,MATCH(LEFT($A71,LEN($A71)-2),'PW_MLG GRADE 10'!$B$7:$B$31,0))="P")+
 --(INDEX('PW_MLG GRADE 10'!$J$7:$J$31,MATCH(LEFT($A71,LEN($A71)-2),'PW_MLG GRADE 10'!$B$7:$B$31,0))="P")+
 --(INDEX('PW_MLG GRADE 10'!$P$7:$P$31,MATCH(LEFT($A71,LEN($A71)-2),'PW_MLG GRADE 10'!$B$7:$B$31,0))="P")+
 --(INDEX('PW_MLG GRADE 10'!$AB$7:$AB$31,MATCH(LEFT($A71,LEN($A71)-2),'PW_MLG GRADE 10'!$B$7:$B$31,0))="P")+
 --(INDEX('PW_MLG GRADE 10'!$AH$7:$AH$31,MATCH(LEFT($A71,LEN($A71)-2),'PW_MLG GRADE 10'!$B$7:$B$31,0))="P")+
 --(INDEX('PW_MLG GRADE 10'!$AN$7:$AN$31,MATCH(LEFT($A71,LEN($A71)-2),'PW_MLG GRADE 10'!$B$7:$B$31,0))="P")+
 --(INDEX('PW_MLG GRADE 10'!$AZ$7:$AZ$31,MATCH(LEFT($A71,LEN($A71)-2),'PW_MLG GRADE 10'!$B$7:$B$31,0))="P")+
 --(INDEX('PW_MLG GRADE 10'!$BF$7:$BF$31,MATCH(LEFT($A71,LEN($A71)-2),'PW_MLG GRADE 10'!$B$7:$B$31,0))="P")+
 --(INDEX('PW_MLG GRADE 10'!$V$7:$V$31,MATCH(LEFT($A71,LEN($A71)-2),'PW_MLG GRADE 10'!$B$7:$B$31,0))="P")+
 --(INDEX('PW_MLG GRADE 10'!$AT$7:$AT$31,MATCH(LEFT($A71,LEN($A71)-2),'PW_MLG GRADE 10'!$B$7:$B$31,0))="P"),
0)</f>
        <v>0</v>
      </c>
      <c r="I71" s="24" t="b">
        <f ca="1">IF(IF(_xlfn.XLOOKUP(LEFT($A71,LEN($A71)-2),'PW_MLG GRADE 10'!$B$7:$B$31,'PW_MLG GRADE 10'!$BL$7:$BL$31,"",0,1)=0,"",_xlfn.XLOOKUP(LEFT($A71,LEN($A71)-2),'PW_MLG GRADE 10'!$B$7:$B$31,'PW_MLG GRADE 10'!$BL$7:$BL$31,"",0,1))&lt;=TODAY(),TRUE,FALSE)</f>
        <v>0</v>
      </c>
      <c r="J71" s="25" t="str">
        <f t="shared" ca="1" si="3"/>
        <v/>
      </c>
    </row>
    <row r="72" spans="1:10">
      <c r="A72" s="24" t="s">
        <v>276</v>
      </c>
      <c r="B72">
        <v>2</v>
      </c>
      <c r="C72">
        <f>IFERROR(
 --(INDEX('TH_MLG GRADE 10'!$D$7:$D$49,MATCH(LEFT($A72,LEN($A72)-2),'TH_MLG GRADE 10'!$B$7:$B$49,0))="P")+
 --(INDEX('TH_MLG GRADE 10'!$J$7:$J$49,MATCH(LEFT($A72,LEN($A72)-2),'TH_MLG GRADE 10'!$B$7:$B$49,0))="P")+
 --(INDEX('TH_MLG GRADE 10'!$P$7:$P$49,MATCH(LEFT($A72,LEN($A72)-2),'TH_MLG GRADE 10'!$B$7:$B$49,0))="P")+
 --(INDEX('TH_MLG GRADE 10'!$AB$7:$AB$49,MATCH(LEFT($A72,LEN($A72)-2),'TH_MLG GRADE 10'!$B$7:$B$49,0))="P")+
 --(INDEX('TH_MLG GRADE 10'!$AH$7:$AH$49,MATCH(LEFT($A72,LEN($A72)-2),'TH_MLG GRADE 10'!$B$7:$B$49,0))="P")+
 --(INDEX('TH_MLG GRADE 10'!$AN$7:$AN$49,MATCH(LEFT($A72,LEN($A72)-2),'TH_MLG GRADE 10'!$B$7:$B$49,0))="P")+
 --(INDEX('TH_MLG GRADE 10'!$AZ$7:$AZ$49,MATCH(LEFT($A72,LEN($A72)-2),'TH_MLG GRADE 10'!$B$7:$B$49,0))="P")+
 --(INDEX('TH_MLG GRADE 10'!$BF$7:$BF$49,MATCH(LEFT($A72,LEN($A72)-2),'TH_MLG GRADE 10'!$B$7:$B$49,0))="P")+
 --(INDEX('TH_MLG GRADE 10'!$V$7:$V$49,MATCH(LEFT($A72,LEN($A72)-2),'TH_MLG GRADE 10'!$B$7:$B$49,0))="P")+
 --(INDEX('TH_MLG GRADE 10'!$AT$7:$AT$49,MATCH(LEFT($A72,LEN($A72)-2),'TH_MLG GRADE 10'!$B$7:$B$49,0))="P"),
0)</f>
        <v>2</v>
      </c>
      <c r="D72" s="24" t="b">
        <f ca="1">IF(IF(_xlfn.XLOOKUP(LEFT($A72,LEN($A72)-2),'TH_MLG GRADE 10'!$B$7:$B$49,'TH_MLG GRADE 10'!$BL$7:$BL$49,"",0,1)=0,"",_xlfn.XLOOKUP(LEFT($A72,LEN($A72)-2),'TH_MLG GRADE 10'!$B$7:$B$49,'TH_MLG GRADE 10'!$BL$7:$BL$49,"",0,1))&lt;=TODAY(),TRUE,FALSE)</f>
        <v>1</v>
      </c>
      <c r="E72" s="25">
        <f t="shared" ca="1" si="2"/>
        <v>1</v>
      </c>
      <c r="F72" s="24" t="s">
        <v>276</v>
      </c>
      <c r="G72">
        <v>2</v>
      </c>
      <c r="H72">
        <f>IFERROR(
 --(INDEX('PW_MLG GRADE 10'!$D$7:$D$31,MATCH(LEFT($A72,LEN($A72)-2),'PW_MLG GRADE 10'!$B$7:$B$31,0))="P")+
 --(INDEX('PW_MLG GRADE 10'!$J$7:$J$31,MATCH(LEFT($A72,LEN($A72)-2),'PW_MLG GRADE 10'!$B$7:$B$31,0))="P")+
 --(INDEX('PW_MLG GRADE 10'!$P$7:$P$31,MATCH(LEFT($A72,LEN($A72)-2),'PW_MLG GRADE 10'!$B$7:$B$31,0))="P")+
 --(INDEX('PW_MLG GRADE 10'!$AB$7:$AB$31,MATCH(LEFT($A72,LEN($A72)-2),'PW_MLG GRADE 10'!$B$7:$B$31,0))="P")+
 --(INDEX('PW_MLG GRADE 10'!$AH$7:$AH$31,MATCH(LEFT($A72,LEN($A72)-2),'PW_MLG GRADE 10'!$B$7:$B$31,0))="P")+
 --(INDEX('PW_MLG GRADE 10'!$AN$7:$AN$31,MATCH(LEFT($A72,LEN($A72)-2),'PW_MLG GRADE 10'!$B$7:$B$31,0))="P")+
 --(INDEX('PW_MLG GRADE 10'!$AZ$7:$AZ$31,MATCH(LEFT($A72,LEN($A72)-2),'PW_MLG GRADE 10'!$B$7:$B$31,0))="P")+
 --(INDEX('PW_MLG GRADE 10'!$BF$7:$BF$31,MATCH(LEFT($A72,LEN($A72)-2),'PW_MLG GRADE 10'!$B$7:$B$31,0))="P")+
 --(INDEX('PW_MLG GRADE 10'!$V$7:$V$31,MATCH(LEFT($A72,LEN($A72)-2),'PW_MLG GRADE 10'!$B$7:$B$31,0))="P")+
 --(INDEX('PW_MLG GRADE 10'!$AT$7:$AT$31,MATCH(LEFT($A72,LEN($A72)-2),'PW_MLG GRADE 10'!$B$7:$B$31,0))="P"),
0)</f>
        <v>0</v>
      </c>
      <c r="I72" s="24" t="b">
        <f ca="1">IF(IF(_xlfn.XLOOKUP(LEFT($A72,LEN($A72)-2),'PW_MLG GRADE 10'!$B$7:$B$31,'PW_MLG GRADE 10'!$BL$7:$BL$31,"",0,1)=0,"",_xlfn.XLOOKUP(LEFT($A72,LEN($A72)-2),'PW_MLG GRADE 10'!$B$7:$B$31,'PW_MLG GRADE 10'!$BL$7:$BL$31,"",0,1))&lt;=TODAY(),TRUE,FALSE)</f>
        <v>0</v>
      </c>
      <c r="J72" s="25" t="str">
        <f t="shared" ca="1" si="3"/>
        <v/>
      </c>
    </row>
    <row r="73" spans="1:10">
      <c r="A73" s="24" t="s">
        <v>277</v>
      </c>
      <c r="B73">
        <v>2</v>
      </c>
      <c r="C73">
        <f>IFERROR(
 --(INDEX('TH_MLG GRADE 10'!$D$7:$D$49,MATCH(LEFT($A73,LEN($A73)-2),'TH_MLG GRADE 10'!$B$7:$B$49,0))="P")+
 --(INDEX('TH_MLG GRADE 10'!$J$7:$J$49,MATCH(LEFT($A73,LEN($A73)-2),'TH_MLG GRADE 10'!$B$7:$B$49,0))="P")+
 --(INDEX('TH_MLG GRADE 10'!$P$7:$P$49,MATCH(LEFT($A73,LEN($A73)-2),'TH_MLG GRADE 10'!$B$7:$B$49,0))="P")+
 --(INDEX('TH_MLG GRADE 10'!$AB$7:$AB$49,MATCH(LEFT($A73,LEN($A73)-2),'TH_MLG GRADE 10'!$B$7:$B$49,0))="P")+
 --(INDEX('TH_MLG GRADE 10'!$AH$7:$AH$49,MATCH(LEFT($A73,LEN($A73)-2),'TH_MLG GRADE 10'!$B$7:$B$49,0))="P")+
 --(INDEX('TH_MLG GRADE 10'!$AN$7:$AN$49,MATCH(LEFT($A73,LEN($A73)-2),'TH_MLG GRADE 10'!$B$7:$B$49,0))="P")+
 --(INDEX('TH_MLG GRADE 10'!$AZ$7:$AZ$49,MATCH(LEFT($A73,LEN($A73)-2),'TH_MLG GRADE 10'!$B$7:$B$49,0))="P")+
 --(INDEX('TH_MLG GRADE 10'!$BF$7:$BF$49,MATCH(LEFT($A73,LEN($A73)-2),'TH_MLG GRADE 10'!$B$7:$B$49,0))="P")+
 --(INDEX('TH_MLG GRADE 10'!$V$7:$V$49,MATCH(LEFT($A73,LEN($A73)-2),'TH_MLG GRADE 10'!$B$7:$B$49,0))="P")+
 --(INDEX('TH_MLG GRADE 10'!$AT$7:$AT$49,MATCH(LEFT($A73,LEN($A73)-2),'TH_MLG GRADE 10'!$B$7:$B$49,0))="P"),
0)</f>
        <v>2</v>
      </c>
      <c r="D73" s="24" t="b">
        <f ca="1">IF(IF(_xlfn.XLOOKUP(LEFT($A73,LEN($A73)-2),'TH_MLG GRADE 10'!$B$7:$B$49,'TH_MLG GRADE 10'!$BL$7:$BL$49,"",0,1)=0,"",_xlfn.XLOOKUP(LEFT($A73,LEN($A73)-2),'TH_MLG GRADE 10'!$B$7:$B$49,'TH_MLG GRADE 10'!$BL$7:$BL$49,"",0,1))&lt;=TODAY(),TRUE,FALSE)</f>
        <v>1</v>
      </c>
      <c r="E73" s="25">
        <f t="shared" ca="1" si="2"/>
        <v>1</v>
      </c>
      <c r="F73" s="24" t="s">
        <v>277</v>
      </c>
      <c r="G73">
        <v>2</v>
      </c>
      <c r="H73">
        <f>IFERROR(
 --(INDEX('PW_MLG GRADE 10'!$D$7:$D$31,MATCH(LEFT($A73,LEN($A73)-2),'PW_MLG GRADE 10'!$B$7:$B$31,0))="P")+
 --(INDEX('PW_MLG GRADE 10'!$J$7:$J$31,MATCH(LEFT($A73,LEN($A73)-2),'PW_MLG GRADE 10'!$B$7:$B$31,0))="P")+
 --(INDEX('PW_MLG GRADE 10'!$P$7:$P$31,MATCH(LEFT($A73,LEN($A73)-2),'PW_MLG GRADE 10'!$B$7:$B$31,0))="P")+
 --(INDEX('PW_MLG GRADE 10'!$AB$7:$AB$31,MATCH(LEFT($A73,LEN($A73)-2),'PW_MLG GRADE 10'!$B$7:$B$31,0))="P")+
 --(INDEX('PW_MLG GRADE 10'!$AH$7:$AH$31,MATCH(LEFT($A73,LEN($A73)-2),'PW_MLG GRADE 10'!$B$7:$B$31,0))="P")+
 --(INDEX('PW_MLG GRADE 10'!$AN$7:$AN$31,MATCH(LEFT($A73,LEN($A73)-2),'PW_MLG GRADE 10'!$B$7:$B$31,0))="P")+
 --(INDEX('PW_MLG GRADE 10'!$AZ$7:$AZ$31,MATCH(LEFT($A73,LEN($A73)-2),'PW_MLG GRADE 10'!$B$7:$B$31,0))="P")+
 --(INDEX('PW_MLG GRADE 10'!$BF$7:$BF$31,MATCH(LEFT($A73,LEN($A73)-2),'PW_MLG GRADE 10'!$B$7:$B$31,0))="P")+
 --(INDEX('PW_MLG GRADE 10'!$V$7:$V$31,MATCH(LEFT($A73,LEN($A73)-2),'PW_MLG GRADE 10'!$B$7:$B$31,0))="P")+
 --(INDEX('PW_MLG GRADE 10'!$AT$7:$AT$31,MATCH(LEFT($A73,LEN($A73)-2),'PW_MLG GRADE 10'!$B$7:$B$31,0))="P"),
0)</f>
        <v>2</v>
      </c>
      <c r="I73" s="24" t="b">
        <f ca="1">IF(IF(_xlfn.XLOOKUP(LEFT($A73,LEN($A73)-2),'PW_MLG GRADE 10'!$B$7:$B$31,'PW_MLG GRADE 10'!$BL$7:$BL$31,"",0,1)=0,"",_xlfn.XLOOKUP(LEFT($A73,LEN($A73)-2),'PW_MLG GRADE 10'!$B$7:$B$31,'PW_MLG GRADE 10'!$BL$7:$BL$31,"",0,1))&lt;=TODAY(),TRUE,FALSE)</f>
        <v>1</v>
      </c>
      <c r="J73" s="25">
        <f t="shared" ca="1" si="3"/>
        <v>1</v>
      </c>
    </row>
    <row r="74" spans="1:10">
      <c r="A74" s="24" t="s">
        <v>278</v>
      </c>
      <c r="B74">
        <v>2</v>
      </c>
      <c r="C74">
        <f>IFERROR(
 --(INDEX('TH_MLG GRADE 10'!$D$7:$D$49,MATCH(LEFT($A74,LEN($A74)-2),'TH_MLG GRADE 10'!$B$7:$B$49,0))="P")+
 --(INDEX('TH_MLG GRADE 10'!$J$7:$J$49,MATCH(LEFT($A74,LEN($A74)-2),'TH_MLG GRADE 10'!$B$7:$B$49,0))="P")+
 --(INDEX('TH_MLG GRADE 10'!$P$7:$P$49,MATCH(LEFT($A74,LEN($A74)-2),'TH_MLG GRADE 10'!$B$7:$B$49,0))="P")+
 --(INDEX('TH_MLG GRADE 10'!$AB$7:$AB$49,MATCH(LEFT($A74,LEN($A74)-2),'TH_MLG GRADE 10'!$B$7:$B$49,0))="P")+
 --(INDEX('TH_MLG GRADE 10'!$AH$7:$AH$49,MATCH(LEFT($A74,LEN($A74)-2),'TH_MLG GRADE 10'!$B$7:$B$49,0))="P")+
 --(INDEX('TH_MLG GRADE 10'!$AN$7:$AN$49,MATCH(LEFT($A74,LEN($A74)-2),'TH_MLG GRADE 10'!$B$7:$B$49,0))="P")+
 --(INDEX('TH_MLG GRADE 10'!$AZ$7:$AZ$49,MATCH(LEFT($A74,LEN($A74)-2),'TH_MLG GRADE 10'!$B$7:$B$49,0))="P")+
 --(INDEX('TH_MLG GRADE 10'!$BF$7:$BF$49,MATCH(LEFT($A74,LEN($A74)-2),'TH_MLG GRADE 10'!$B$7:$B$49,0))="P")+
 --(INDEX('TH_MLG GRADE 10'!$V$7:$V$49,MATCH(LEFT($A74,LEN($A74)-2),'TH_MLG GRADE 10'!$B$7:$B$49,0))="P")+
 --(INDEX('TH_MLG GRADE 10'!$AT$7:$AT$49,MATCH(LEFT($A74,LEN($A74)-2),'TH_MLG GRADE 10'!$B$7:$B$49,0))="P"),
0)</f>
        <v>2</v>
      </c>
      <c r="D74" s="24" t="b">
        <f ca="1">IF(IF(_xlfn.XLOOKUP(LEFT($A74,LEN($A74)-2),'TH_MLG GRADE 10'!$B$7:$B$49,'TH_MLG GRADE 10'!$BL$7:$BL$49,"",0,1)=0,"",_xlfn.XLOOKUP(LEFT($A74,LEN($A74)-2),'TH_MLG GRADE 10'!$B$7:$B$49,'TH_MLG GRADE 10'!$BL$7:$BL$49,"",0,1))&lt;=TODAY(),TRUE,FALSE)</f>
        <v>1</v>
      </c>
      <c r="E74" s="25">
        <f t="shared" ca="1" si="2"/>
        <v>1</v>
      </c>
      <c r="F74" s="24" t="s">
        <v>278</v>
      </c>
      <c r="G74">
        <v>2</v>
      </c>
      <c r="H74">
        <f>IFERROR(
 --(INDEX('PW_MLG GRADE 10'!$D$7:$D$31,MATCH(LEFT($A74,LEN($A74)-2),'PW_MLG GRADE 10'!$B$7:$B$31,0))="P")+
 --(INDEX('PW_MLG GRADE 10'!$J$7:$J$31,MATCH(LEFT($A74,LEN($A74)-2),'PW_MLG GRADE 10'!$B$7:$B$31,0))="P")+
 --(INDEX('PW_MLG GRADE 10'!$P$7:$P$31,MATCH(LEFT($A74,LEN($A74)-2),'PW_MLG GRADE 10'!$B$7:$B$31,0))="P")+
 --(INDEX('PW_MLG GRADE 10'!$AB$7:$AB$31,MATCH(LEFT($A74,LEN($A74)-2),'PW_MLG GRADE 10'!$B$7:$B$31,0))="P")+
 --(INDEX('PW_MLG GRADE 10'!$AH$7:$AH$31,MATCH(LEFT($A74,LEN($A74)-2),'PW_MLG GRADE 10'!$B$7:$B$31,0))="P")+
 --(INDEX('PW_MLG GRADE 10'!$AN$7:$AN$31,MATCH(LEFT($A74,LEN($A74)-2),'PW_MLG GRADE 10'!$B$7:$B$31,0))="P")+
 --(INDEX('PW_MLG GRADE 10'!$AZ$7:$AZ$31,MATCH(LEFT($A74,LEN($A74)-2),'PW_MLG GRADE 10'!$B$7:$B$31,0))="P")+
 --(INDEX('PW_MLG GRADE 10'!$BF$7:$BF$31,MATCH(LEFT($A74,LEN($A74)-2),'PW_MLG GRADE 10'!$B$7:$B$31,0))="P")+
 --(INDEX('PW_MLG GRADE 10'!$V$7:$V$31,MATCH(LEFT($A74,LEN($A74)-2),'PW_MLG GRADE 10'!$B$7:$B$31,0))="P")+
 --(INDEX('PW_MLG GRADE 10'!$AT$7:$AT$31,MATCH(LEFT($A74,LEN($A74)-2),'PW_MLG GRADE 10'!$B$7:$B$31,0))="P"),
0)</f>
        <v>0</v>
      </c>
      <c r="I74" s="24" t="b">
        <f ca="1">IF(IF(_xlfn.XLOOKUP(LEFT($A74,LEN($A74)-2),'PW_MLG GRADE 10'!$B$7:$B$31,'PW_MLG GRADE 10'!$BL$7:$BL$31,"",0,1)=0,"",_xlfn.XLOOKUP(LEFT($A74,LEN($A74)-2),'PW_MLG GRADE 10'!$B$7:$B$31,'PW_MLG GRADE 10'!$BL$7:$BL$31,"",0,1))&lt;=TODAY(),TRUE,FALSE)</f>
        <v>0</v>
      </c>
      <c r="J74" s="25" t="str">
        <f t="shared" ca="1" si="3"/>
        <v/>
      </c>
    </row>
    <row r="75" spans="1:10">
      <c r="A75" s="24" t="s">
        <v>279</v>
      </c>
      <c r="B75">
        <v>2</v>
      </c>
      <c r="C75">
        <f>IFERROR(
 --(INDEX('TH_MLG GRADE 10'!$D$7:$D$49,MATCH(LEFT($A75,LEN($A75)-2),'TH_MLG GRADE 10'!$B$7:$B$49,0))="P")+
 --(INDEX('TH_MLG GRADE 10'!$J$7:$J$49,MATCH(LEFT($A75,LEN($A75)-2),'TH_MLG GRADE 10'!$B$7:$B$49,0))="P")+
 --(INDEX('TH_MLG GRADE 10'!$P$7:$P$49,MATCH(LEFT($A75,LEN($A75)-2),'TH_MLG GRADE 10'!$B$7:$B$49,0))="P")+
 --(INDEX('TH_MLG GRADE 10'!$AB$7:$AB$49,MATCH(LEFT($A75,LEN($A75)-2),'TH_MLG GRADE 10'!$B$7:$B$49,0))="P")+
 --(INDEX('TH_MLG GRADE 10'!$AH$7:$AH$49,MATCH(LEFT($A75,LEN($A75)-2),'TH_MLG GRADE 10'!$B$7:$B$49,0))="P")+
 --(INDEX('TH_MLG GRADE 10'!$AN$7:$AN$49,MATCH(LEFT($A75,LEN($A75)-2),'TH_MLG GRADE 10'!$B$7:$B$49,0))="P")+
 --(INDEX('TH_MLG GRADE 10'!$AZ$7:$AZ$49,MATCH(LEFT($A75,LEN($A75)-2),'TH_MLG GRADE 10'!$B$7:$B$49,0))="P")+
 --(INDEX('TH_MLG GRADE 10'!$BF$7:$BF$49,MATCH(LEFT($A75,LEN($A75)-2),'TH_MLG GRADE 10'!$B$7:$B$49,0))="P")+
 --(INDEX('TH_MLG GRADE 10'!$V$7:$V$49,MATCH(LEFT($A75,LEN($A75)-2),'TH_MLG GRADE 10'!$B$7:$B$49,0))="P")+
 --(INDEX('TH_MLG GRADE 10'!$AT$7:$AT$49,MATCH(LEFT($A75,LEN($A75)-2),'TH_MLG GRADE 10'!$B$7:$B$49,0))="P"),
0)</f>
        <v>2</v>
      </c>
      <c r="D75" s="24" t="b">
        <f ca="1">IF(IF(_xlfn.XLOOKUP(LEFT($A75,LEN($A75)-2),'TH_MLG GRADE 10'!$B$7:$B$49,'TH_MLG GRADE 10'!$BL$7:$BL$49,"",0,1)=0,"",_xlfn.XLOOKUP(LEFT($A75,LEN($A75)-2),'TH_MLG GRADE 10'!$B$7:$B$49,'TH_MLG GRADE 10'!$BL$7:$BL$49,"",0,1))&lt;=TODAY(),TRUE,FALSE)</f>
        <v>1</v>
      </c>
      <c r="E75" s="25">
        <f t="shared" ca="1" si="2"/>
        <v>1</v>
      </c>
      <c r="F75" s="24" t="s">
        <v>279</v>
      </c>
      <c r="G75">
        <v>2</v>
      </c>
      <c r="H75">
        <f>IFERROR(
 --(INDEX('PW_MLG GRADE 10'!$D$7:$D$31,MATCH(LEFT($A75,LEN($A75)-2),'PW_MLG GRADE 10'!$B$7:$B$31,0))="P")+
 --(INDEX('PW_MLG GRADE 10'!$J$7:$J$31,MATCH(LEFT($A75,LEN($A75)-2),'PW_MLG GRADE 10'!$B$7:$B$31,0))="P")+
 --(INDEX('PW_MLG GRADE 10'!$P$7:$P$31,MATCH(LEFT($A75,LEN($A75)-2),'PW_MLG GRADE 10'!$B$7:$B$31,0))="P")+
 --(INDEX('PW_MLG GRADE 10'!$AB$7:$AB$31,MATCH(LEFT($A75,LEN($A75)-2),'PW_MLG GRADE 10'!$B$7:$B$31,0))="P")+
 --(INDEX('PW_MLG GRADE 10'!$AH$7:$AH$31,MATCH(LEFT($A75,LEN($A75)-2),'PW_MLG GRADE 10'!$B$7:$B$31,0))="P")+
 --(INDEX('PW_MLG GRADE 10'!$AN$7:$AN$31,MATCH(LEFT($A75,LEN($A75)-2),'PW_MLG GRADE 10'!$B$7:$B$31,0))="P")+
 --(INDEX('PW_MLG GRADE 10'!$AZ$7:$AZ$31,MATCH(LEFT($A75,LEN($A75)-2),'PW_MLG GRADE 10'!$B$7:$B$31,0))="P")+
 --(INDEX('PW_MLG GRADE 10'!$BF$7:$BF$31,MATCH(LEFT($A75,LEN($A75)-2),'PW_MLG GRADE 10'!$B$7:$B$31,0))="P")+
 --(INDEX('PW_MLG GRADE 10'!$V$7:$V$31,MATCH(LEFT($A75,LEN($A75)-2),'PW_MLG GRADE 10'!$B$7:$B$31,0))="P")+
 --(INDEX('PW_MLG GRADE 10'!$AT$7:$AT$31,MATCH(LEFT($A75,LEN($A75)-2),'PW_MLG GRADE 10'!$B$7:$B$31,0))="P"),
0)</f>
        <v>0</v>
      </c>
      <c r="I75" s="24" t="b">
        <f ca="1">IF(IF(_xlfn.XLOOKUP(LEFT($A75,LEN($A75)-2),'PW_MLG GRADE 10'!$B$7:$B$31,'PW_MLG GRADE 10'!$BL$7:$BL$31,"",0,1)=0,"",_xlfn.XLOOKUP(LEFT($A75,LEN($A75)-2),'PW_MLG GRADE 10'!$B$7:$B$31,'PW_MLG GRADE 10'!$BL$7:$BL$31,"",0,1))&lt;=TODAY(),TRUE,FALSE)</f>
        <v>0</v>
      </c>
      <c r="J75" s="25" t="str">
        <f t="shared" ca="1" si="3"/>
        <v/>
      </c>
    </row>
    <row r="76" spans="1:10">
      <c r="A76" s="24" t="s">
        <v>280</v>
      </c>
      <c r="B76">
        <v>2</v>
      </c>
      <c r="C76">
        <f>IFERROR(
 --(INDEX('TH_MLG GRADE 10'!$D$7:$D$49,MATCH(LEFT($A76,LEN($A76)-2),'TH_MLG GRADE 10'!$B$7:$B$49,0))="P")+
 --(INDEX('TH_MLG GRADE 10'!$J$7:$J$49,MATCH(LEFT($A76,LEN($A76)-2),'TH_MLG GRADE 10'!$B$7:$B$49,0))="P")+
 --(INDEX('TH_MLG GRADE 10'!$P$7:$P$49,MATCH(LEFT($A76,LEN($A76)-2),'TH_MLG GRADE 10'!$B$7:$B$49,0))="P")+
 --(INDEX('TH_MLG GRADE 10'!$AB$7:$AB$49,MATCH(LEFT($A76,LEN($A76)-2),'TH_MLG GRADE 10'!$B$7:$B$49,0))="P")+
 --(INDEX('TH_MLG GRADE 10'!$AH$7:$AH$49,MATCH(LEFT($A76,LEN($A76)-2),'TH_MLG GRADE 10'!$B$7:$B$49,0))="P")+
 --(INDEX('TH_MLG GRADE 10'!$AN$7:$AN$49,MATCH(LEFT($A76,LEN($A76)-2),'TH_MLG GRADE 10'!$B$7:$B$49,0))="P")+
 --(INDEX('TH_MLG GRADE 10'!$AZ$7:$AZ$49,MATCH(LEFT($A76,LEN($A76)-2),'TH_MLG GRADE 10'!$B$7:$B$49,0))="P")+
 --(INDEX('TH_MLG GRADE 10'!$BF$7:$BF$49,MATCH(LEFT($A76,LEN($A76)-2),'TH_MLG GRADE 10'!$B$7:$B$49,0))="P")+
 --(INDEX('TH_MLG GRADE 10'!$V$7:$V$49,MATCH(LEFT($A76,LEN($A76)-2),'TH_MLG GRADE 10'!$B$7:$B$49,0))="P")+
 --(INDEX('TH_MLG GRADE 10'!$AT$7:$AT$49,MATCH(LEFT($A76,LEN($A76)-2),'TH_MLG GRADE 10'!$B$7:$B$49,0))="P"),
0)</f>
        <v>2</v>
      </c>
      <c r="D76" s="24" t="b">
        <f ca="1">IF(IF(_xlfn.XLOOKUP(LEFT($A76,LEN($A76)-2),'TH_MLG GRADE 10'!$B$7:$B$49,'TH_MLG GRADE 10'!$BL$7:$BL$49,"",0,1)=0,"",_xlfn.XLOOKUP(LEFT($A76,LEN($A76)-2),'TH_MLG GRADE 10'!$B$7:$B$49,'TH_MLG GRADE 10'!$BL$7:$BL$49,"",0,1))&lt;=TODAY(),TRUE,FALSE)</f>
        <v>1</v>
      </c>
      <c r="E76" s="25">
        <f t="shared" ca="1" si="2"/>
        <v>1</v>
      </c>
      <c r="F76" s="24" t="s">
        <v>280</v>
      </c>
      <c r="G76">
        <v>2</v>
      </c>
      <c r="H76">
        <f>IFERROR(
 --(INDEX('PW_MLG GRADE 10'!$D$7:$D$31,MATCH(LEFT($A76,LEN($A76)-2),'PW_MLG GRADE 10'!$B$7:$B$31,0))="P")+
 --(INDEX('PW_MLG GRADE 10'!$J$7:$J$31,MATCH(LEFT($A76,LEN($A76)-2),'PW_MLG GRADE 10'!$B$7:$B$31,0))="P")+
 --(INDEX('PW_MLG GRADE 10'!$P$7:$P$31,MATCH(LEFT($A76,LEN($A76)-2),'PW_MLG GRADE 10'!$B$7:$B$31,0))="P")+
 --(INDEX('PW_MLG GRADE 10'!$AB$7:$AB$31,MATCH(LEFT($A76,LEN($A76)-2),'PW_MLG GRADE 10'!$B$7:$B$31,0))="P")+
 --(INDEX('PW_MLG GRADE 10'!$AH$7:$AH$31,MATCH(LEFT($A76,LEN($A76)-2),'PW_MLG GRADE 10'!$B$7:$B$31,0))="P")+
 --(INDEX('PW_MLG GRADE 10'!$AN$7:$AN$31,MATCH(LEFT($A76,LEN($A76)-2),'PW_MLG GRADE 10'!$B$7:$B$31,0))="P")+
 --(INDEX('PW_MLG GRADE 10'!$AZ$7:$AZ$31,MATCH(LEFT($A76,LEN($A76)-2),'PW_MLG GRADE 10'!$B$7:$B$31,0))="P")+
 --(INDEX('PW_MLG GRADE 10'!$BF$7:$BF$31,MATCH(LEFT($A76,LEN($A76)-2),'PW_MLG GRADE 10'!$B$7:$B$31,0))="P")+
 --(INDEX('PW_MLG GRADE 10'!$V$7:$V$31,MATCH(LEFT($A76,LEN($A76)-2),'PW_MLG GRADE 10'!$B$7:$B$31,0))="P")+
 --(INDEX('PW_MLG GRADE 10'!$AT$7:$AT$31,MATCH(LEFT($A76,LEN($A76)-2),'PW_MLG GRADE 10'!$B$7:$B$31,0))="P"),
0)</f>
        <v>0</v>
      </c>
      <c r="I76" s="24" t="b">
        <f ca="1">IF(IF(_xlfn.XLOOKUP(LEFT($A76,LEN($A76)-2),'PW_MLG GRADE 10'!$B$7:$B$31,'PW_MLG GRADE 10'!$BL$7:$BL$31,"",0,1)=0,"",_xlfn.XLOOKUP(LEFT($A76,LEN($A76)-2),'PW_MLG GRADE 10'!$B$7:$B$31,'PW_MLG GRADE 10'!$BL$7:$BL$31,"",0,1))&lt;=TODAY(),TRUE,FALSE)</f>
        <v>0</v>
      </c>
      <c r="J76" s="25" t="str">
        <f t="shared" ca="1" si="3"/>
        <v/>
      </c>
    </row>
    <row r="77" spans="1:10">
      <c r="A77" s="24" t="s">
        <v>281</v>
      </c>
      <c r="B77">
        <v>2</v>
      </c>
      <c r="C77">
        <f>IFERROR(
 --(INDEX('TH_MLG GRADE 10'!$D$7:$D$49,MATCH(LEFT($A77,LEN($A77)-2),'TH_MLG GRADE 10'!$B$7:$B$49,0))="P")+
 --(INDEX('TH_MLG GRADE 10'!$J$7:$J$49,MATCH(LEFT($A77,LEN($A77)-2),'TH_MLG GRADE 10'!$B$7:$B$49,0))="P")+
 --(INDEX('TH_MLG GRADE 10'!$P$7:$P$49,MATCH(LEFT($A77,LEN($A77)-2),'TH_MLG GRADE 10'!$B$7:$B$49,0))="P")+
 --(INDEX('TH_MLG GRADE 10'!$AB$7:$AB$49,MATCH(LEFT($A77,LEN($A77)-2),'TH_MLG GRADE 10'!$B$7:$B$49,0))="P")+
 --(INDEX('TH_MLG GRADE 10'!$AH$7:$AH$49,MATCH(LEFT($A77,LEN($A77)-2),'TH_MLG GRADE 10'!$B$7:$B$49,0))="P")+
 --(INDEX('TH_MLG GRADE 10'!$AN$7:$AN$49,MATCH(LEFT($A77,LEN($A77)-2),'TH_MLG GRADE 10'!$B$7:$B$49,0))="P")+
 --(INDEX('TH_MLG GRADE 10'!$AZ$7:$AZ$49,MATCH(LEFT($A77,LEN($A77)-2),'TH_MLG GRADE 10'!$B$7:$B$49,0))="P")+
 --(INDEX('TH_MLG GRADE 10'!$BF$7:$BF$49,MATCH(LEFT($A77,LEN($A77)-2),'TH_MLG GRADE 10'!$B$7:$B$49,0))="P")+
 --(INDEX('TH_MLG GRADE 10'!$V$7:$V$49,MATCH(LEFT($A77,LEN($A77)-2),'TH_MLG GRADE 10'!$B$7:$B$49,0))="P")+
 --(INDEX('TH_MLG GRADE 10'!$AT$7:$AT$49,MATCH(LEFT($A77,LEN($A77)-2),'TH_MLG GRADE 10'!$B$7:$B$49,0))="P"),
0)</f>
        <v>2</v>
      </c>
      <c r="D77" s="24" t="b">
        <f ca="1">IF(IF(_xlfn.XLOOKUP(LEFT($A77,LEN($A77)-2),'TH_MLG GRADE 10'!$B$7:$B$49,'TH_MLG GRADE 10'!$BL$7:$BL$49,"",0,1)=0,"",_xlfn.XLOOKUP(LEFT($A77,LEN($A77)-2),'TH_MLG GRADE 10'!$B$7:$B$49,'TH_MLG GRADE 10'!$BL$7:$BL$49,"",0,1))&lt;=TODAY(),TRUE,FALSE)</f>
        <v>1</v>
      </c>
      <c r="E77" s="25">
        <f t="shared" ca="1" si="2"/>
        <v>1</v>
      </c>
      <c r="F77" s="24" t="s">
        <v>281</v>
      </c>
      <c r="G77">
        <v>2</v>
      </c>
      <c r="H77">
        <f>IFERROR(
 --(INDEX('PW_MLG GRADE 10'!$D$7:$D$31,MATCH(LEFT($A77,LEN($A77)-2),'PW_MLG GRADE 10'!$B$7:$B$31,0))="P")+
 --(INDEX('PW_MLG GRADE 10'!$J$7:$J$31,MATCH(LEFT($A77,LEN($A77)-2),'PW_MLG GRADE 10'!$B$7:$B$31,0))="P")+
 --(INDEX('PW_MLG GRADE 10'!$P$7:$P$31,MATCH(LEFT($A77,LEN($A77)-2),'PW_MLG GRADE 10'!$B$7:$B$31,0))="P")+
 --(INDEX('PW_MLG GRADE 10'!$AB$7:$AB$31,MATCH(LEFT($A77,LEN($A77)-2),'PW_MLG GRADE 10'!$B$7:$B$31,0))="P")+
 --(INDEX('PW_MLG GRADE 10'!$AH$7:$AH$31,MATCH(LEFT($A77,LEN($A77)-2),'PW_MLG GRADE 10'!$B$7:$B$31,0))="P")+
 --(INDEX('PW_MLG GRADE 10'!$AN$7:$AN$31,MATCH(LEFT($A77,LEN($A77)-2),'PW_MLG GRADE 10'!$B$7:$B$31,0))="P")+
 --(INDEX('PW_MLG GRADE 10'!$AZ$7:$AZ$31,MATCH(LEFT($A77,LEN($A77)-2),'PW_MLG GRADE 10'!$B$7:$B$31,0))="P")+
 --(INDEX('PW_MLG GRADE 10'!$BF$7:$BF$31,MATCH(LEFT($A77,LEN($A77)-2),'PW_MLG GRADE 10'!$B$7:$B$31,0))="P")+
 --(INDEX('PW_MLG GRADE 10'!$V$7:$V$31,MATCH(LEFT($A77,LEN($A77)-2),'PW_MLG GRADE 10'!$B$7:$B$31,0))="P")+
 --(INDEX('PW_MLG GRADE 10'!$AT$7:$AT$31,MATCH(LEFT($A77,LEN($A77)-2),'PW_MLG GRADE 10'!$B$7:$B$31,0))="P"),
0)</f>
        <v>0</v>
      </c>
      <c r="I77" s="24" t="b">
        <f ca="1">IF(IF(_xlfn.XLOOKUP(LEFT($A77,LEN($A77)-2),'PW_MLG GRADE 10'!$B$7:$B$31,'PW_MLG GRADE 10'!$BL$7:$BL$31,"",0,1)=0,"",_xlfn.XLOOKUP(LEFT($A77,LEN($A77)-2),'PW_MLG GRADE 10'!$B$7:$B$31,'PW_MLG GRADE 10'!$BL$7:$BL$31,"",0,1))&lt;=TODAY(),TRUE,FALSE)</f>
        <v>0</v>
      </c>
      <c r="J77" s="25" t="str">
        <f t="shared" ca="1" si="3"/>
        <v/>
      </c>
    </row>
    <row r="78" spans="1:10">
      <c r="A78" s="24" t="s">
        <v>282</v>
      </c>
      <c r="B78">
        <v>2</v>
      </c>
      <c r="C78">
        <f>IFERROR(
 --(INDEX('TH_MLG GRADE 10'!$D$7:$D$49,MATCH(LEFT($A78,LEN($A78)-2),'TH_MLG GRADE 10'!$B$7:$B$49,0))="P")+
 --(INDEX('TH_MLG GRADE 10'!$J$7:$J$49,MATCH(LEFT($A78,LEN($A78)-2),'TH_MLG GRADE 10'!$B$7:$B$49,0))="P")+
 --(INDEX('TH_MLG GRADE 10'!$P$7:$P$49,MATCH(LEFT($A78,LEN($A78)-2),'TH_MLG GRADE 10'!$B$7:$B$49,0))="P")+
 --(INDEX('TH_MLG GRADE 10'!$AB$7:$AB$49,MATCH(LEFT($A78,LEN($A78)-2),'TH_MLG GRADE 10'!$B$7:$B$49,0))="P")+
 --(INDEX('TH_MLG GRADE 10'!$AH$7:$AH$49,MATCH(LEFT($A78,LEN($A78)-2),'TH_MLG GRADE 10'!$B$7:$B$49,0))="P")+
 --(INDEX('TH_MLG GRADE 10'!$AN$7:$AN$49,MATCH(LEFT($A78,LEN($A78)-2),'TH_MLG GRADE 10'!$B$7:$B$49,0))="P")+
 --(INDEX('TH_MLG GRADE 10'!$AZ$7:$AZ$49,MATCH(LEFT($A78,LEN($A78)-2),'TH_MLG GRADE 10'!$B$7:$B$49,0))="P")+
 --(INDEX('TH_MLG GRADE 10'!$BF$7:$BF$49,MATCH(LEFT($A78,LEN($A78)-2),'TH_MLG GRADE 10'!$B$7:$B$49,0))="P")+
 --(INDEX('TH_MLG GRADE 10'!$V$7:$V$49,MATCH(LEFT($A78,LEN($A78)-2),'TH_MLG GRADE 10'!$B$7:$B$49,0))="P")+
 --(INDEX('TH_MLG GRADE 10'!$AT$7:$AT$49,MATCH(LEFT($A78,LEN($A78)-2),'TH_MLG GRADE 10'!$B$7:$B$49,0))="P"),
0)</f>
        <v>2</v>
      </c>
      <c r="D78" s="24" t="b">
        <f ca="1">IF(IF(_xlfn.XLOOKUP(LEFT($A78,LEN($A78)-2),'TH_MLG GRADE 10'!$B$7:$B$49,'TH_MLG GRADE 10'!$BL$7:$BL$49,"",0,1)=0,"",_xlfn.XLOOKUP(LEFT($A78,LEN($A78)-2),'TH_MLG GRADE 10'!$B$7:$B$49,'TH_MLG GRADE 10'!$BL$7:$BL$49,"",0,1))&lt;=TODAY(),TRUE,FALSE)</f>
        <v>1</v>
      </c>
      <c r="E78" s="25">
        <f t="shared" ca="1" si="2"/>
        <v>1</v>
      </c>
      <c r="F78" s="24" t="s">
        <v>282</v>
      </c>
      <c r="G78">
        <v>2</v>
      </c>
      <c r="H78">
        <f>IFERROR(
 --(INDEX('PW_MLG GRADE 10'!$D$7:$D$31,MATCH(LEFT($A78,LEN($A78)-2),'PW_MLG GRADE 10'!$B$7:$B$31,0))="P")+
 --(INDEX('PW_MLG GRADE 10'!$J$7:$J$31,MATCH(LEFT($A78,LEN($A78)-2),'PW_MLG GRADE 10'!$B$7:$B$31,0))="P")+
 --(INDEX('PW_MLG GRADE 10'!$P$7:$P$31,MATCH(LEFT($A78,LEN($A78)-2),'PW_MLG GRADE 10'!$B$7:$B$31,0))="P")+
 --(INDEX('PW_MLG GRADE 10'!$AB$7:$AB$31,MATCH(LEFT($A78,LEN($A78)-2),'PW_MLG GRADE 10'!$B$7:$B$31,0))="P")+
 --(INDEX('PW_MLG GRADE 10'!$AH$7:$AH$31,MATCH(LEFT($A78,LEN($A78)-2),'PW_MLG GRADE 10'!$B$7:$B$31,0))="P")+
 --(INDEX('PW_MLG GRADE 10'!$AN$7:$AN$31,MATCH(LEFT($A78,LEN($A78)-2),'PW_MLG GRADE 10'!$B$7:$B$31,0))="P")+
 --(INDEX('PW_MLG GRADE 10'!$AZ$7:$AZ$31,MATCH(LEFT($A78,LEN($A78)-2),'PW_MLG GRADE 10'!$B$7:$B$31,0))="P")+
 --(INDEX('PW_MLG GRADE 10'!$BF$7:$BF$31,MATCH(LEFT($A78,LEN($A78)-2),'PW_MLG GRADE 10'!$B$7:$B$31,0))="P")+
 --(INDEX('PW_MLG GRADE 10'!$V$7:$V$31,MATCH(LEFT($A78,LEN($A78)-2),'PW_MLG GRADE 10'!$B$7:$B$31,0))="P")+
 --(INDEX('PW_MLG GRADE 10'!$AT$7:$AT$31,MATCH(LEFT($A78,LEN($A78)-2),'PW_MLG GRADE 10'!$B$7:$B$31,0))="P"),
0)</f>
        <v>0</v>
      </c>
      <c r="I78" s="24" t="b">
        <f ca="1">IF(IF(_xlfn.XLOOKUP(LEFT($A78,LEN($A78)-2),'PW_MLG GRADE 10'!$B$7:$B$31,'PW_MLG GRADE 10'!$BL$7:$BL$31,"",0,1)=0,"",_xlfn.XLOOKUP(LEFT($A78,LEN($A78)-2),'PW_MLG GRADE 10'!$B$7:$B$31,'PW_MLG GRADE 10'!$BL$7:$BL$31,"",0,1))&lt;=TODAY(),TRUE,FALSE)</f>
        <v>0</v>
      </c>
      <c r="J78" s="25" t="str">
        <f t="shared" ca="1" si="3"/>
        <v/>
      </c>
    </row>
    <row r="79" spans="1:10">
      <c r="A79" s="24" t="s">
        <v>283</v>
      </c>
      <c r="B79">
        <v>2</v>
      </c>
      <c r="C79">
        <f>IFERROR(
 --(INDEX('TH_MLG GRADE 10'!$D$7:$D$49,MATCH(LEFT($A79,LEN($A79)-2),'TH_MLG GRADE 10'!$B$7:$B$49,0))="P")+
 --(INDEX('TH_MLG GRADE 10'!$J$7:$J$49,MATCH(LEFT($A79,LEN($A79)-2),'TH_MLG GRADE 10'!$B$7:$B$49,0))="P")+
 --(INDEX('TH_MLG GRADE 10'!$P$7:$P$49,MATCH(LEFT($A79,LEN($A79)-2),'TH_MLG GRADE 10'!$B$7:$B$49,0))="P")+
 --(INDEX('TH_MLG GRADE 10'!$AB$7:$AB$49,MATCH(LEFT($A79,LEN($A79)-2),'TH_MLG GRADE 10'!$B$7:$B$49,0))="P")+
 --(INDEX('TH_MLG GRADE 10'!$AH$7:$AH$49,MATCH(LEFT($A79,LEN($A79)-2),'TH_MLG GRADE 10'!$B$7:$B$49,0))="P")+
 --(INDEX('TH_MLG GRADE 10'!$AN$7:$AN$49,MATCH(LEFT($A79,LEN($A79)-2),'TH_MLG GRADE 10'!$B$7:$B$49,0))="P")+
 --(INDEX('TH_MLG GRADE 10'!$AZ$7:$AZ$49,MATCH(LEFT($A79,LEN($A79)-2),'TH_MLG GRADE 10'!$B$7:$B$49,0))="P")+
 --(INDEX('TH_MLG GRADE 10'!$BF$7:$BF$49,MATCH(LEFT($A79,LEN($A79)-2),'TH_MLG GRADE 10'!$B$7:$B$49,0))="P")+
 --(INDEX('TH_MLG GRADE 10'!$V$7:$V$49,MATCH(LEFT($A79,LEN($A79)-2),'TH_MLG GRADE 10'!$B$7:$B$49,0))="P")+
 --(INDEX('TH_MLG GRADE 10'!$AT$7:$AT$49,MATCH(LEFT($A79,LEN($A79)-2),'TH_MLG GRADE 10'!$B$7:$B$49,0))="P"),
0)</f>
        <v>2</v>
      </c>
      <c r="D79" s="24" t="b">
        <f ca="1">IF(IF(_xlfn.XLOOKUP(LEFT($A79,LEN($A79)-2),'TH_MLG GRADE 10'!$B$7:$B$49,'TH_MLG GRADE 10'!$BL$7:$BL$49,"",0,1)=0,"",_xlfn.XLOOKUP(LEFT($A79,LEN($A79)-2),'TH_MLG GRADE 10'!$B$7:$B$49,'TH_MLG GRADE 10'!$BL$7:$BL$49,"",0,1))&lt;=TODAY(),TRUE,FALSE)</f>
        <v>1</v>
      </c>
      <c r="E79" s="25">
        <f t="shared" ca="1" si="2"/>
        <v>1</v>
      </c>
      <c r="F79" s="24" t="s">
        <v>283</v>
      </c>
      <c r="G79">
        <v>2</v>
      </c>
      <c r="H79">
        <f>IFERROR(
 --(INDEX('PW_MLG GRADE 10'!$D$7:$D$31,MATCH(LEFT($A79,LEN($A79)-2),'PW_MLG GRADE 10'!$B$7:$B$31,0))="P")+
 --(INDEX('PW_MLG GRADE 10'!$J$7:$J$31,MATCH(LEFT($A79,LEN($A79)-2),'PW_MLG GRADE 10'!$B$7:$B$31,0))="P")+
 --(INDEX('PW_MLG GRADE 10'!$P$7:$P$31,MATCH(LEFT($A79,LEN($A79)-2),'PW_MLG GRADE 10'!$B$7:$B$31,0))="P")+
 --(INDEX('PW_MLG GRADE 10'!$AB$7:$AB$31,MATCH(LEFT($A79,LEN($A79)-2),'PW_MLG GRADE 10'!$B$7:$B$31,0))="P")+
 --(INDEX('PW_MLG GRADE 10'!$AH$7:$AH$31,MATCH(LEFT($A79,LEN($A79)-2),'PW_MLG GRADE 10'!$B$7:$B$31,0))="P")+
 --(INDEX('PW_MLG GRADE 10'!$AN$7:$AN$31,MATCH(LEFT($A79,LEN($A79)-2),'PW_MLG GRADE 10'!$B$7:$B$31,0))="P")+
 --(INDEX('PW_MLG GRADE 10'!$AZ$7:$AZ$31,MATCH(LEFT($A79,LEN($A79)-2),'PW_MLG GRADE 10'!$B$7:$B$31,0))="P")+
 --(INDEX('PW_MLG GRADE 10'!$BF$7:$BF$31,MATCH(LEFT($A79,LEN($A79)-2),'PW_MLG GRADE 10'!$B$7:$B$31,0))="P")+
 --(INDEX('PW_MLG GRADE 10'!$V$7:$V$31,MATCH(LEFT($A79,LEN($A79)-2),'PW_MLG GRADE 10'!$B$7:$B$31,0))="P")+
 --(INDEX('PW_MLG GRADE 10'!$AT$7:$AT$31,MATCH(LEFT($A79,LEN($A79)-2),'PW_MLG GRADE 10'!$B$7:$B$31,0))="P"),
0)</f>
        <v>0</v>
      </c>
      <c r="I79" s="24" t="b">
        <f ca="1">IF(IF(_xlfn.XLOOKUP(LEFT($A79,LEN($A79)-2),'PW_MLG GRADE 10'!$B$7:$B$31,'PW_MLG GRADE 10'!$BL$7:$BL$31,"",0,1)=0,"",_xlfn.XLOOKUP(LEFT($A79,LEN($A79)-2),'PW_MLG GRADE 10'!$B$7:$B$31,'PW_MLG GRADE 10'!$BL$7:$BL$31,"",0,1))&lt;=TODAY(),TRUE,FALSE)</f>
        <v>0</v>
      </c>
      <c r="J79" s="25" t="str">
        <f t="shared" ca="1" si="3"/>
        <v/>
      </c>
    </row>
    <row r="80" spans="1:10">
      <c r="A80" s="24" t="s">
        <v>284</v>
      </c>
      <c r="B80">
        <v>2</v>
      </c>
      <c r="C80">
        <f>IFERROR(
 --(INDEX('TH_MLG GRADE 10'!$D$7:$D$49,MATCH(LEFT($A80,LEN($A80)-2),'TH_MLG GRADE 10'!$B$7:$B$49,0))="P")+
 --(INDEX('TH_MLG GRADE 10'!$J$7:$J$49,MATCH(LEFT($A80,LEN($A80)-2),'TH_MLG GRADE 10'!$B$7:$B$49,0))="P")+
 --(INDEX('TH_MLG GRADE 10'!$P$7:$P$49,MATCH(LEFT($A80,LEN($A80)-2),'TH_MLG GRADE 10'!$B$7:$B$49,0))="P")+
 --(INDEX('TH_MLG GRADE 10'!$AB$7:$AB$49,MATCH(LEFT($A80,LEN($A80)-2),'TH_MLG GRADE 10'!$B$7:$B$49,0))="P")+
 --(INDEX('TH_MLG GRADE 10'!$AH$7:$AH$49,MATCH(LEFT($A80,LEN($A80)-2),'TH_MLG GRADE 10'!$B$7:$B$49,0))="P")+
 --(INDEX('TH_MLG GRADE 10'!$AN$7:$AN$49,MATCH(LEFT($A80,LEN($A80)-2),'TH_MLG GRADE 10'!$B$7:$B$49,0))="P")+
 --(INDEX('TH_MLG GRADE 10'!$AZ$7:$AZ$49,MATCH(LEFT($A80,LEN($A80)-2),'TH_MLG GRADE 10'!$B$7:$B$49,0))="P")+
 --(INDEX('TH_MLG GRADE 10'!$BF$7:$BF$49,MATCH(LEFT($A80,LEN($A80)-2),'TH_MLG GRADE 10'!$B$7:$B$49,0))="P")+
 --(INDEX('TH_MLG GRADE 10'!$V$7:$V$49,MATCH(LEFT($A80,LEN($A80)-2),'TH_MLG GRADE 10'!$B$7:$B$49,0))="P")+
 --(INDEX('TH_MLG GRADE 10'!$AT$7:$AT$49,MATCH(LEFT($A80,LEN($A80)-2),'TH_MLG GRADE 10'!$B$7:$B$49,0))="P"),
0)</f>
        <v>2</v>
      </c>
      <c r="D80" s="24" t="b">
        <f ca="1">IF(IF(_xlfn.XLOOKUP(LEFT($A80,LEN($A80)-2),'TH_MLG GRADE 10'!$B$7:$B$49,'TH_MLG GRADE 10'!$BL$7:$BL$49,"",0,1)=0,"",_xlfn.XLOOKUP(LEFT($A80,LEN($A80)-2),'TH_MLG GRADE 10'!$B$7:$B$49,'TH_MLG GRADE 10'!$BL$7:$BL$49,"",0,1))&lt;=TODAY(),TRUE,FALSE)</f>
        <v>1</v>
      </c>
      <c r="E80" s="25">
        <f t="shared" ca="1" si="2"/>
        <v>1</v>
      </c>
      <c r="F80" s="24" t="s">
        <v>284</v>
      </c>
      <c r="G80">
        <v>2</v>
      </c>
      <c r="H80">
        <f>IFERROR(
 --(INDEX('PW_MLG GRADE 10'!$D$7:$D$31,MATCH(LEFT($A80,LEN($A80)-2),'PW_MLG GRADE 10'!$B$7:$B$31,0))="P")+
 --(INDEX('PW_MLG GRADE 10'!$J$7:$J$31,MATCH(LEFT($A80,LEN($A80)-2),'PW_MLG GRADE 10'!$B$7:$B$31,0))="P")+
 --(INDEX('PW_MLG GRADE 10'!$P$7:$P$31,MATCH(LEFT($A80,LEN($A80)-2),'PW_MLG GRADE 10'!$B$7:$B$31,0))="P")+
 --(INDEX('PW_MLG GRADE 10'!$AB$7:$AB$31,MATCH(LEFT($A80,LEN($A80)-2),'PW_MLG GRADE 10'!$B$7:$B$31,0))="P")+
 --(INDEX('PW_MLG GRADE 10'!$AH$7:$AH$31,MATCH(LEFT($A80,LEN($A80)-2),'PW_MLG GRADE 10'!$B$7:$B$31,0))="P")+
 --(INDEX('PW_MLG GRADE 10'!$AN$7:$AN$31,MATCH(LEFT($A80,LEN($A80)-2),'PW_MLG GRADE 10'!$B$7:$B$31,0))="P")+
 --(INDEX('PW_MLG GRADE 10'!$AZ$7:$AZ$31,MATCH(LEFT($A80,LEN($A80)-2),'PW_MLG GRADE 10'!$B$7:$B$31,0))="P")+
 --(INDEX('PW_MLG GRADE 10'!$BF$7:$BF$31,MATCH(LEFT($A80,LEN($A80)-2),'PW_MLG GRADE 10'!$B$7:$B$31,0))="P")+
 --(INDEX('PW_MLG GRADE 10'!$V$7:$V$31,MATCH(LEFT($A80,LEN($A80)-2),'PW_MLG GRADE 10'!$B$7:$B$31,0))="P")+
 --(INDEX('PW_MLG GRADE 10'!$AT$7:$AT$31,MATCH(LEFT($A80,LEN($A80)-2),'PW_MLG GRADE 10'!$B$7:$B$31,0))="P"),
0)</f>
        <v>0</v>
      </c>
      <c r="I80" s="24" t="b">
        <f ca="1">IF(IF(_xlfn.XLOOKUP(LEFT($A80,LEN($A80)-2),'PW_MLG GRADE 10'!$B$7:$B$31,'PW_MLG GRADE 10'!$BL$7:$BL$31,"",0,1)=0,"",_xlfn.XLOOKUP(LEFT($A80,LEN($A80)-2),'PW_MLG GRADE 10'!$B$7:$B$31,'PW_MLG GRADE 10'!$BL$7:$BL$31,"",0,1))&lt;=TODAY(),TRUE,FALSE)</f>
        <v>0</v>
      </c>
      <c r="J80" s="25" t="str">
        <f t="shared" ca="1" si="3"/>
        <v/>
      </c>
    </row>
    <row r="81" spans="1:11">
      <c r="A81" s="24" t="s">
        <v>285</v>
      </c>
      <c r="B81">
        <v>2</v>
      </c>
      <c r="C81">
        <f>IFERROR(
 --(INDEX('TH_MLG GRADE 10'!$D$7:$D$49,MATCH(LEFT($A81,LEN($A81)-2),'TH_MLG GRADE 10'!$B$7:$B$49,0))="P")+
 --(INDEX('TH_MLG GRADE 10'!$J$7:$J$49,MATCH(LEFT($A81,LEN($A81)-2),'TH_MLG GRADE 10'!$B$7:$B$49,0))="P")+
 --(INDEX('TH_MLG GRADE 10'!$P$7:$P$49,MATCH(LEFT($A81,LEN($A81)-2),'TH_MLG GRADE 10'!$B$7:$B$49,0))="P")+
 --(INDEX('TH_MLG GRADE 10'!$AB$7:$AB$49,MATCH(LEFT($A81,LEN($A81)-2),'TH_MLG GRADE 10'!$B$7:$B$49,0))="P")+
 --(INDEX('TH_MLG GRADE 10'!$AH$7:$AH$49,MATCH(LEFT($A81,LEN($A81)-2),'TH_MLG GRADE 10'!$B$7:$B$49,0))="P")+
 --(INDEX('TH_MLG GRADE 10'!$AN$7:$AN$49,MATCH(LEFT($A81,LEN($A81)-2),'TH_MLG GRADE 10'!$B$7:$B$49,0))="P")+
 --(INDEX('TH_MLG GRADE 10'!$AZ$7:$AZ$49,MATCH(LEFT($A81,LEN($A81)-2),'TH_MLG GRADE 10'!$B$7:$B$49,0))="P")+
 --(INDEX('TH_MLG GRADE 10'!$BF$7:$BF$49,MATCH(LEFT($A81,LEN($A81)-2),'TH_MLG GRADE 10'!$B$7:$B$49,0))="P")+
 --(INDEX('TH_MLG GRADE 10'!$V$7:$V$49,MATCH(LEFT($A81,LEN($A81)-2),'TH_MLG GRADE 10'!$B$7:$B$49,0))="P")+
 --(INDEX('TH_MLG GRADE 10'!$AT$7:$AT$49,MATCH(LEFT($A81,LEN($A81)-2),'TH_MLG GRADE 10'!$B$7:$B$49,0))="P"),
0)</f>
        <v>2</v>
      </c>
      <c r="D81" s="24" t="b">
        <f ca="1">IF(IF(_xlfn.XLOOKUP(LEFT($A81,LEN($A81)-2),'TH_MLG GRADE 10'!$B$7:$B$49,'TH_MLG GRADE 10'!$BL$7:$BL$49,"",0,1)=0,"",_xlfn.XLOOKUP(LEFT($A81,LEN($A81)-2),'TH_MLG GRADE 10'!$B$7:$B$49,'TH_MLG GRADE 10'!$BL$7:$BL$49,"",0,1))&lt;=TODAY(),TRUE,FALSE)</f>
        <v>1</v>
      </c>
      <c r="E81" s="25">
        <f t="shared" ca="1" si="2"/>
        <v>1</v>
      </c>
      <c r="F81" s="24" t="s">
        <v>285</v>
      </c>
      <c r="G81">
        <v>2</v>
      </c>
      <c r="H81">
        <f>IFERROR(
 --(INDEX('PW_MLG GRADE 10'!$D$7:$D$31,MATCH(LEFT($A81,LEN($A81)-2),'PW_MLG GRADE 10'!$B$7:$B$31,0))="P")+
 --(INDEX('PW_MLG GRADE 10'!$J$7:$J$31,MATCH(LEFT($A81,LEN($A81)-2),'PW_MLG GRADE 10'!$B$7:$B$31,0))="P")+
 --(INDEX('PW_MLG GRADE 10'!$P$7:$P$31,MATCH(LEFT($A81,LEN($A81)-2),'PW_MLG GRADE 10'!$B$7:$B$31,0))="P")+
 --(INDEX('PW_MLG GRADE 10'!$AB$7:$AB$31,MATCH(LEFT($A81,LEN($A81)-2),'PW_MLG GRADE 10'!$B$7:$B$31,0))="P")+
 --(INDEX('PW_MLG GRADE 10'!$AH$7:$AH$31,MATCH(LEFT($A81,LEN($A81)-2),'PW_MLG GRADE 10'!$B$7:$B$31,0))="P")+
 --(INDEX('PW_MLG GRADE 10'!$AN$7:$AN$31,MATCH(LEFT($A81,LEN($A81)-2),'PW_MLG GRADE 10'!$B$7:$B$31,0))="P")+
 --(INDEX('PW_MLG GRADE 10'!$AZ$7:$AZ$31,MATCH(LEFT($A81,LEN($A81)-2),'PW_MLG GRADE 10'!$B$7:$B$31,0))="P")+
 --(INDEX('PW_MLG GRADE 10'!$BF$7:$BF$31,MATCH(LEFT($A81,LEN($A81)-2),'PW_MLG GRADE 10'!$B$7:$B$31,0))="P")+
 --(INDEX('PW_MLG GRADE 10'!$V$7:$V$31,MATCH(LEFT($A81,LEN($A81)-2),'PW_MLG GRADE 10'!$B$7:$B$31,0))="P")+
 --(INDEX('PW_MLG GRADE 10'!$AT$7:$AT$31,MATCH(LEFT($A81,LEN($A81)-2),'PW_MLG GRADE 10'!$B$7:$B$31,0))="P"),
0)</f>
        <v>0</v>
      </c>
      <c r="I81" s="24" t="b">
        <f ca="1">IF(IF(_xlfn.XLOOKUP(LEFT($A81,LEN($A81)-2),'PW_MLG GRADE 10'!$B$7:$B$31,'PW_MLG GRADE 10'!$BL$7:$BL$31,"",0,1)=0,"",_xlfn.XLOOKUP(LEFT($A81,LEN($A81)-2),'PW_MLG GRADE 10'!$B$7:$B$31,'PW_MLG GRADE 10'!$BL$7:$BL$31,"",0,1))&lt;=TODAY(),TRUE,FALSE)</f>
        <v>0</v>
      </c>
      <c r="J81" s="25" t="str">
        <f t="shared" ca="1" si="3"/>
        <v/>
      </c>
    </row>
    <row r="82" spans="1:11">
      <c r="A82" s="24" t="s">
        <v>286</v>
      </c>
      <c r="B82">
        <v>2</v>
      </c>
      <c r="C82">
        <f>IFERROR(
 --(INDEX('TH_MLG GRADE 10'!$D$7:$D$49,MATCH(LEFT($A82,LEN($A82)-2),'TH_MLG GRADE 10'!$B$7:$B$49,0))="P")+
 --(INDEX('TH_MLG GRADE 10'!$J$7:$J$49,MATCH(LEFT($A82,LEN($A82)-2),'TH_MLG GRADE 10'!$B$7:$B$49,0))="P")+
 --(INDEX('TH_MLG GRADE 10'!$P$7:$P$49,MATCH(LEFT($A82,LEN($A82)-2),'TH_MLG GRADE 10'!$B$7:$B$49,0))="P")+
 --(INDEX('TH_MLG GRADE 10'!$AB$7:$AB$49,MATCH(LEFT($A82,LEN($A82)-2),'TH_MLG GRADE 10'!$B$7:$B$49,0))="P")+
 --(INDEX('TH_MLG GRADE 10'!$AH$7:$AH$49,MATCH(LEFT($A82,LEN($A82)-2),'TH_MLG GRADE 10'!$B$7:$B$49,0))="P")+
 --(INDEX('TH_MLG GRADE 10'!$AN$7:$AN$49,MATCH(LEFT($A82,LEN($A82)-2),'TH_MLG GRADE 10'!$B$7:$B$49,0))="P")+
 --(INDEX('TH_MLG GRADE 10'!$AZ$7:$AZ$49,MATCH(LEFT($A82,LEN($A82)-2),'TH_MLG GRADE 10'!$B$7:$B$49,0))="P")+
 --(INDEX('TH_MLG GRADE 10'!$BF$7:$BF$49,MATCH(LEFT($A82,LEN($A82)-2),'TH_MLG GRADE 10'!$B$7:$B$49,0))="P")+
 --(INDEX('TH_MLG GRADE 10'!$V$7:$V$49,MATCH(LEFT($A82,LEN($A82)-2),'TH_MLG GRADE 10'!$B$7:$B$49,0))="P")+
 --(INDEX('TH_MLG GRADE 10'!$AT$7:$AT$49,MATCH(LEFT($A82,LEN($A82)-2),'TH_MLG GRADE 10'!$B$7:$B$49,0))="P"),
0)</f>
        <v>2</v>
      </c>
      <c r="D82" s="24" t="b">
        <f ca="1">IF(IF(_xlfn.XLOOKUP(LEFT($A82,LEN($A82)-2),'TH_MLG GRADE 10'!$B$7:$B$49,'TH_MLG GRADE 10'!$BL$7:$BL$49,"",0,1)=0,"",_xlfn.XLOOKUP(LEFT($A82,LEN($A82)-2),'TH_MLG GRADE 10'!$B$7:$B$49,'TH_MLG GRADE 10'!$BL$7:$BL$49,"",0,1))&lt;=TODAY(),TRUE,FALSE)</f>
        <v>1</v>
      </c>
      <c r="E82" s="25">
        <f t="shared" ca="1" si="2"/>
        <v>1</v>
      </c>
      <c r="F82" s="24" t="s">
        <v>286</v>
      </c>
      <c r="G82">
        <v>2</v>
      </c>
      <c r="H82">
        <f>IFERROR(
 --(INDEX('PW_MLG GRADE 10'!$D$7:$D$31,MATCH(LEFT($A82,LEN($A82)-2),'PW_MLG GRADE 10'!$B$7:$B$31,0))="P")+
 --(INDEX('PW_MLG GRADE 10'!$J$7:$J$31,MATCH(LEFT($A82,LEN($A82)-2),'PW_MLG GRADE 10'!$B$7:$B$31,0))="P")+
 --(INDEX('PW_MLG GRADE 10'!$P$7:$P$31,MATCH(LEFT($A82,LEN($A82)-2),'PW_MLG GRADE 10'!$B$7:$B$31,0))="P")+
 --(INDEX('PW_MLG GRADE 10'!$AB$7:$AB$31,MATCH(LEFT($A82,LEN($A82)-2),'PW_MLG GRADE 10'!$B$7:$B$31,0))="P")+
 --(INDEX('PW_MLG GRADE 10'!$AH$7:$AH$31,MATCH(LEFT($A82,LEN($A82)-2),'PW_MLG GRADE 10'!$B$7:$B$31,0))="P")+
 --(INDEX('PW_MLG GRADE 10'!$AN$7:$AN$31,MATCH(LEFT($A82,LEN($A82)-2),'PW_MLG GRADE 10'!$B$7:$B$31,0))="P")+
 --(INDEX('PW_MLG GRADE 10'!$AZ$7:$AZ$31,MATCH(LEFT($A82,LEN($A82)-2),'PW_MLG GRADE 10'!$B$7:$B$31,0))="P")+
 --(INDEX('PW_MLG GRADE 10'!$BF$7:$BF$31,MATCH(LEFT($A82,LEN($A82)-2),'PW_MLG GRADE 10'!$B$7:$B$31,0))="P")+
 --(INDEX('PW_MLG GRADE 10'!$V$7:$V$31,MATCH(LEFT($A82,LEN($A82)-2),'PW_MLG GRADE 10'!$B$7:$B$31,0))="P")+
 --(INDEX('PW_MLG GRADE 10'!$AT$7:$AT$31,MATCH(LEFT($A82,LEN($A82)-2),'PW_MLG GRADE 10'!$B$7:$B$31,0))="P"),
0)</f>
        <v>1</v>
      </c>
      <c r="I82" s="24" t="b">
        <f ca="1">IF(IF(_xlfn.XLOOKUP(LEFT($A82,LEN($A82)-2),'PW_MLG GRADE 10'!$B$7:$B$31,'PW_MLG GRADE 10'!$BL$7:$BL$31,"",0,1)=0,"",_xlfn.XLOOKUP(LEFT($A82,LEN($A82)-2),'PW_MLG GRADE 10'!$B$7:$B$31,'PW_MLG GRADE 10'!$BL$7:$BL$31,"",0,1))&lt;=TODAY(),TRUE,FALSE)</f>
        <v>1</v>
      </c>
      <c r="J82" s="25">
        <f t="shared" ca="1" si="3"/>
        <v>0.5</v>
      </c>
    </row>
    <row r="83" spans="1:11">
      <c r="A83" s="24" t="s">
        <v>287</v>
      </c>
      <c r="B83">
        <v>2</v>
      </c>
      <c r="C83">
        <f>IFERROR(
 --(INDEX('TH_MLG GRADE 10'!$D$7:$D$49,MATCH(LEFT($A83,LEN($A83)-2),'TH_MLG GRADE 10'!$B$7:$B$49,0))="P")+
 --(INDEX('TH_MLG GRADE 10'!$J$7:$J$49,MATCH(LEFT($A83,LEN($A83)-2),'TH_MLG GRADE 10'!$B$7:$B$49,0))="P")+
 --(INDEX('TH_MLG GRADE 10'!$P$7:$P$49,MATCH(LEFT($A83,LEN($A83)-2),'TH_MLG GRADE 10'!$B$7:$B$49,0))="P")+
 --(INDEX('TH_MLG GRADE 10'!$AB$7:$AB$49,MATCH(LEFT($A83,LEN($A83)-2),'TH_MLG GRADE 10'!$B$7:$B$49,0))="P")+
 --(INDEX('TH_MLG GRADE 10'!$AH$7:$AH$49,MATCH(LEFT($A83,LEN($A83)-2),'TH_MLG GRADE 10'!$B$7:$B$49,0))="P")+
 --(INDEX('TH_MLG GRADE 10'!$AN$7:$AN$49,MATCH(LEFT($A83,LEN($A83)-2),'TH_MLG GRADE 10'!$B$7:$B$49,0))="P")+
 --(INDEX('TH_MLG GRADE 10'!$AZ$7:$AZ$49,MATCH(LEFT($A83,LEN($A83)-2),'TH_MLG GRADE 10'!$B$7:$B$49,0))="P")+
 --(INDEX('TH_MLG GRADE 10'!$BF$7:$BF$49,MATCH(LEFT($A83,LEN($A83)-2),'TH_MLG GRADE 10'!$B$7:$B$49,0))="P")+
 --(INDEX('TH_MLG GRADE 10'!$V$7:$V$49,MATCH(LEFT($A83,LEN($A83)-2),'TH_MLG GRADE 10'!$B$7:$B$49,0))="P")+
 --(INDEX('TH_MLG GRADE 10'!$AT$7:$AT$49,MATCH(LEFT($A83,LEN($A83)-2),'TH_MLG GRADE 10'!$B$7:$B$49,0))="P"),
0)</f>
        <v>2</v>
      </c>
      <c r="D83" s="24" t="b">
        <f ca="1">IF(IF(_xlfn.XLOOKUP(LEFT($A83,LEN($A83)-2),'TH_MLG GRADE 10'!$B$7:$B$49,'TH_MLG GRADE 10'!$BL$7:$BL$49,"",0,1)=0,"",_xlfn.XLOOKUP(LEFT($A83,LEN($A83)-2),'TH_MLG GRADE 10'!$B$7:$B$49,'TH_MLG GRADE 10'!$BL$7:$BL$49,"",0,1))&lt;=TODAY(),TRUE,FALSE)</f>
        <v>1</v>
      </c>
      <c r="E83" s="25">
        <f t="shared" ca="1" si="2"/>
        <v>1</v>
      </c>
      <c r="F83" s="24" t="s">
        <v>287</v>
      </c>
      <c r="G83">
        <v>2</v>
      </c>
      <c r="H83">
        <f>IFERROR(
 --(INDEX('PW_MLG GRADE 10'!$D$7:$D$31,MATCH(LEFT($A83,LEN($A83)-2),'PW_MLG GRADE 10'!$B$7:$B$31,0))="P")+
 --(INDEX('PW_MLG GRADE 10'!$J$7:$J$31,MATCH(LEFT($A83,LEN($A83)-2),'PW_MLG GRADE 10'!$B$7:$B$31,0))="P")+
 --(INDEX('PW_MLG GRADE 10'!$P$7:$P$31,MATCH(LEFT($A83,LEN($A83)-2),'PW_MLG GRADE 10'!$B$7:$B$31,0))="P")+
 --(INDEX('PW_MLG GRADE 10'!$AB$7:$AB$31,MATCH(LEFT($A83,LEN($A83)-2),'PW_MLG GRADE 10'!$B$7:$B$31,0))="P")+
 --(INDEX('PW_MLG GRADE 10'!$AH$7:$AH$31,MATCH(LEFT($A83,LEN($A83)-2),'PW_MLG GRADE 10'!$B$7:$B$31,0))="P")+
 --(INDEX('PW_MLG GRADE 10'!$AN$7:$AN$31,MATCH(LEFT($A83,LEN($A83)-2),'PW_MLG GRADE 10'!$B$7:$B$31,0))="P")+
 --(INDEX('PW_MLG GRADE 10'!$AZ$7:$AZ$31,MATCH(LEFT($A83,LEN($A83)-2),'PW_MLG GRADE 10'!$B$7:$B$31,0))="P")+
 --(INDEX('PW_MLG GRADE 10'!$BF$7:$BF$31,MATCH(LEFT($A83,LEN($A83)-2),'PW_MLG GRADE 10'!$B$7:$B$31,0))="P")+
 --(INDEX('PW_MLG GRADE 10'!$V$7:$V$31,MATCH(LEFT($A83,LEN($A83)-2),'PW_MLG GRADE 10'!$B$7:$B$31,0))="P")+
 --(INDEX('PW_MLG GRADE 10'!$AT$7:$AT$31,MATCH(LEFT($A83,LEN($A83)-2),'PW_MLG GRADE 10'!$B$7:$B$31,0))="P"),
0)</f>
        <v>0</v>
      </c>
      <c r="I83" s="24" t="b">
        <f ca="1">IF(IF(_xlfn.XLOOKUP(LEFT($A83,LEN($A83)-2),'PW_MLG GRADE 10'!$B$7:$B$31,'PW_MLG GRADE 10'!$BL$7:$BL$31,"",0,1)=0,"",_xlfn.XLOOKUP(LEFT($A83,LEN($A83)-2),'PW_MLG GRADE 10'!$B$7:$B$31,'PW_MLG GRADE 10'!$BL$7:$BL$31,"",0,1))&lt;=TODAY(),TRUE,FALSE)</f>
        <v>0</v>
      </c>
      <c r="J83" s="25" t="str">
        <f t="shared" ca="1" si="3"/>
        <v/>
      </c>
    </row>
    <row r="84" spans="1:11">
      <c r="A84" s="24" t="s">
        <v>288</v>
      </c>
      <c r="B84">
        <v>2</v>
      </c>
      <c r="C84">
        <f>IFERROR(
 --(INDEX('TH_MLG GRADE 10'!$D$7:$D$49,MATCH(LEFT($A84,LEN($A84)-2),'TH_MLG GRADE 10'!$B$7:$B$49,0))="P")+
 --(INDEX('TH_MLG GRADE 10'!$J$7:$J$49,MATCH(LEFT($A84,LEN($A84)-2),'TH_MLG GRADE 10'!$B$7:$B$49,0))="P")+
 --(INDEX('TH_MLG GRADE 10'!$P$7:$P$49,MATCH(LEFT($A84,LEN($A84)-2),'TH_MLG GRADE 10'!$B$7:$B$49,0))="P")+
 --(INDEX('TH_MLG GRADE 10'!$AB$7:$AB$49,MATCH(LEFT($A84,LEN($A84)-2),'TH_MLG GRADE 10'!$B$7:$B$49,0))="P")+
 --(INDEX('TH_MLG GRADE 10'!$AH$7:$AH$49,MATCH(LEFT($A84,LEN($A84)-2),'TH_MLG GRADE 10'!$B$7:$B$49,0))="P")+
 --(INDEX('TH_MLG GRADE 10'!$AN$7:$AN$49,MATCH(LEFT($A84,LEN($A84)-2),'TH_MLG GRADE 10'!$B$7:$B$49,0))="P")+
 --(INDEX('TH_MLG GRADE 10'!$AZ$7:$AZ$49,MATCH(LEFT($A84,LEN($A84)-2),'TH_MLG GRADE 10'!$B$7:$B$49,0))="P")+
 --(INDEX('TH_MLG GRADE 10'!$BF$7:$BF$49,MATCH(LEFT($A84,LEN($A84)-2),'TH_MLG GRADE 10'!$B$7:$B$49,0))="P")+
 --(INDEX('TH_MLG GRADE 10'!$V$7:$V$49,MATCH(LEFT($A84,LEN($A84)-2),'TH_MLG GRADE 10'!$B$7:$B$49,0))="P")+
 --(INDEX('TH_MLG GRADE 10'!$AT$7:$AT$49,MATCH(LEFT($A84,LEN($A84)-2),'TH_MLG GRADE 10'!$B$7:$B$49,0))="P"),
0)</f>
        <v>2</v>
      </c>
      <c r="D84" s="24" t="b">
        <f ca="1">IF(IF(_xlfn.XLOOKUP(LEFT($A84,LEN($A84)-2),'TH_MLG GRADE 10'!$B$7:$B$49,'TH_MLG GRADE 10'!$BL$7:$BL$49,"",0,1)=0,"",_xlfn.XLOOKUP(LEFT($A84,LEN($A84)-2),'TH_MLG GRADE 10'!$B$7:$B$49,'TH_MLG GRADE 10'!$BL$7:$BL$49,"",0,1))&lt;=TODAY(),TRUE,FALSE)</f>
        <v>1</v>
      </c>
      <c r="E84" s="25">
        <f t="shared" ca="1" si="2"/>
        <v>1</v>
      </c>
      <c r="F84" s="24" t="s">
        <v>288</v>
      </c>
      <c r="G84">
        <v>2</v>
      </c>
      <c r="H84">
        <f>IFERROR(
 --(INDEX('PW_MLG GRADE 10'!$D$7:$D$31,MATCH(LEFT($A84,LEN($A84)-2),'PW_MLG GRADE 10'!$B$7:$B$31,0))="P")+
 --(INDEX('PW_MLG GRADE 10'!$J$7:$J$31,MATCH(LEFT($A84,LEN($A84)-2),'PW_MLG GRADE 10'!$B$7:$B$31,0))="P")+
 --(INDEX('PW_MLG GRADE 10'!$P$7:$P$31,MATCH(LEFT($A84,LEN($A84)-2),'PW_MLG GRADE 10'!$B$7:$B$31,0))="P")+
 --(INDEX('PW_MLG GRADE 10'!$AB$7:$AB$31,MATCH(LEFT($A84,LEN($A84)-2),'PW_MLG GRADE 10'!$B$7:$B$31,0))="P")+
 --(INDEX('PW_MLG GRADE 10'!$AH$7:$AH$31,MATCH(LEFT($A84,LEN($A84)-2),'PW_MLG GRADE 10'!$B$7:$B$31,0))="P")+
 --(INDEX('PW_MLG GRADE 10'!$AN$7:$AN$31,MATCH(LEFT($A84,LEN($A84)-2),'PW_MLG GRADE 10'!$B$7:$B$31,0))="P")+
 --(INDEX('PW_MLG GRADE 10'!$AZ$7:$AZ$31,MATCH(LEFT($A84,LEN($A84)-2),'PW_MLG GRADE 10'!$B$7:$B$31,0))="P")+
 --(INDEX('PW_MLG GRADE 10'!$BF$7:$BF$31,MATCH(LEFT($A84,LEN($A84)-2),'PW_MLG GRADE 10'!$B$7:$B$31,0))="P")+
 --(INDEX('PW_MLG GRADE 10'!$V$7:$V$31,MATCH(LEFT($A84,LEN($A84)-2),'PW_MLG GRADE 10'!$B$7:$B$31,0))="P")+
 --(INDEX('PW_MLG GRADE 10'!$AT$7:$AT$31,MATCH(LEFT($A84,LEN($A84)-2),'PW_MLG GRADE 10'!$B$7:$B$31,0))="P"),
0)</f>
        <v>0</v>
      </c>
      <c r="I84" s="24" t="b">
        <f ca="1">IF(IF(_xlfn.XLOOKUP(LEFT($A84,LEN($A84)-2),'PW_MLG GRADE 10'!$B$7:$B$31,'PW_MLG GRADE 10'!$BL$7:$BL$31,"",0,1)=0,"",_xlfn.XLOOKUP(LEFT($A84,LEN($A84)-2),'PW_MLG GRADE 10'!$B$7:$B$31,'PW_MLG GRADE 10'!$BL$7:$BL$31,"",0,1))&lt;=TODAY(),TRUE,FALSE)</f>
        <v>0</v>
      </c>
      <c r="J84" s="25" t="str">
        <f t="shared" ca="1" si="3"/>
        <v/>
      </c>
    </row>
    <row r="85" spans="1:11">
      <c r="A85" s="24" t="s">
        <v>289</v>
      </c>
      <c r="B85">
        <v>2</v>
      </c>
      <c r="C85">
        <f>IFERROR(
 --(INDEX('TH_MLG GRADE 10'!$D$7:$D$49,MATCH(LEFT($A85,LEN($A85)-2),'TH_MLG GRADE 10'!$B$7:$B$49,0))="P")+
 --(INDEX('TH_MLG GRADE 10'!$J$7:$J$49,MATCH(LEFT($A85,LEN($A85)-2),'TH_MLG GRADE 10'!$B$7:$B$49,0))="P")+
 --(INDEX('TH_MLG GRADE 10'!$P$7:$P$49,MATCH(LEFT($A85,LEN($A85)-2),'TH_MLG GRADE 10'!$B$7:$B$49,0))="P")+
 --(INDEX('TH_MLG GRADE 10'!$AB$7:$AB$49,MATCH(LEFT($A85,LEN($A85)-2),'TH_MLG GRADE 10'!$B$7:$B$49,0))="P")+
 --(INDEX('TH_MLG GRADE 10'!$AH$7:$AH$49,MATCH(LEFT($A85,LEN($A85)-2),'TH_MLG GRADE 10'!$B$7:$B$49,0))="P")+
 --(INDEX('TH_MLG GRADE 10'!$AN$7:$AN$49,MATCH(LEFT($A85,LEN($A85)-2),'TH_MLG GRADE 10'!$B$7:$B$49,0))="P")+
 --(INDEX('TH_MLG GRADE 10'!$AZ$7:$AZ$49,MATCH(LEFT($A85,LEN($A85)-2),'TH_MLG GRADE 10'!$B$7:$B$49,0))="P")+
 --(INDEX('TH_MLG GRADE 10'!$BF$7:$BF$49,MATCH(LEFT($A85,LEN($A85)-2),'TH_MLG GRADE 10'!$B$7:$B$49,0))="P")+
 --(INDEX('TH_MLG GRADE 10'!$V$7:$V$49,MATCH(LEFT($A85,LEN($A85)-2),'TH_MLG GRADE 10'!$B$7:$B$49,0))="P")+
 --(INDEX('TH_MLG GRADE 10'!$AT$7:$AT$49,MATCH(LEFT($A85,LEN($A85)-2),'TH_MLG GRADE 10'!$B$7:$B$49,0))="P"),
0)</f>
        <v>2</v>
      </c>
      <c r="D85" s="24" t="b">
        <f ca="1">IF(IF(_xlfn.XLOOKUP(LEFT($A85,LEN($A85)-2),'TH_MLG GRADE 10'!$B$7:$B$49,'TH_MLG GRADE 10'!$BL$7:$BL$49,"",0,1)=0,"",_xlfn.XLOOKUP(LEFT($A85,LEN($A85)-2),'TH_MLG GRADE 10'!$B$7:$B$49,'TH_MLG GRADE 10'!$BL$7:$BL$49,"",0,1))&lt;=TODAY(),TRUE,FALSE)</f>
        <v>1</v>
      </c>
      <c r="E85" s="25">
        <f t="shared" ca="1" si="2"/>
        <v>1</v>
      </c>
      <c r="F85" s="24" t="s">
        <v>289</v>
      </c>
      <c r="G85">
        <v>2</v>
      </c>
      <c r="H85">
        <f>IFERROR(
 --(INDEX('PW_MLG GRADE 10'!$D$7:$D$31,MATCH(LEFT($A85,LEN($A85)-2),'PW_MLG GRADE 10'!$B$7:$B$31,0))="P")+
 --(INDEX('PW_MLG GRADE 10'!$J$7:$J$31,MATCH(LEFT($A85,LEN($A85)-2),'PW_MLG GRADE 10'!$B$7:$B$31,0))="P")+
 --(INDEX('PW_MLG GRADE 10'!$P$7:$P$31,MATCH(LEFT($A85,LEN($A85)-2),'PW_MLG GRADE 10'!$B$7:$B$31,0))="P")+
 --(INDEX('PW_MLG GRADE 10'!$AB$7:$AB$31,MATCH(LEFT($A85,LEN($A85)-2),'PW_MLG GRADE 10'!$B$7:$B$31,0))="P")+
 --(INDEX('PW_MLG GRADE 10'!$AH$7:$AH$31,MATCH(LEFT($A85,LEN($A85)-2),'PW_MLG GRADE 10'!$B$7:$B$31,0))="P")+
 --(INDEX('PW_MLG GRADE 10'!$AN$7:$AN$31,MATCH(LEFT($A85,LEN($A85)-2),'PW_MLG GRADE 10'!$B$7:$B$31,0))="P")+
 --(INDEX('PW_MLG GRADE 10'!$AZ$7:$AZ$31,MATCH(LEFT($A85,LEN($A85)-2),'PW_MLG GRADE 10'!$B$7:$B$31,0))="P")+
 --(INDEX('PW_MLG GRADE 10'!$BF$7:$BF$31,MATCH(LEFT($A85,LEN($A85)-2),'PW_MLG GRADE 10'!$B$7:$B$31,0))="P")+
 --(INDEX('PW_MLG GRADE 10'!$V$7:$V$31,MATCH(LEFT($A85,LEN($A85)-2),'PW_MLG GRADE 10'!$B$7:$B$31,0))="P")+
 --(INDEX('PW_MLG GRADE 10'!$AT$7:$AT$31,MATCH(LEFT($A85,LEN($A85)-2),'PW_MLG GRADE 10'!$B$7:$B$31,0))="P"),
0)</f>
        <v>0</v>
      </c>
      <c r="I85" s="24" t="b">
        <f ca="1">IF(IF(_xlfn.XLOOKUP(LEFT($A85,LEN($A85)-2),'PW_MLG GRADE 10'!$B$7:$B$31,'PW_MLG GRADE 10'!$BL$7:$BL$31,"",0,1)=0,"",_xlfn.XLOOKUP(LEFT($A85,LEN($A85)-2),'PW_MLG GRADE 10'!$B$7:$B$31,'PW_MLG GRADE 10'!$BL$7:$BL$31,"",0,1))&lt;=TODAY(),TRUE,FALSE)</f>
        <v>0</v>
      </c>
      <c r="J85" s="25" t="str">
        <f t="shared" ca="1" si="3"/>
        <v/>
      </c>
    </row>
    <row r="86" spans="1:11">
      <c r="A86" s="24" t="s">
        <v>290</v>
      </c>
      <c r="B86">
        <v>2</v>
      </c>
      <c r="C86">
        <f>IFERROR(
 --(INDEX('TH_MLG GRADE 10'!$D$7:$D$49,MATCH(LEFT($A86,LEN($A86)-2),'TH_MLG GRADE 10'!$B$7:$B$49,0))="P")+
 --(INDEX('TH_MLG GRADE 10'!$J$7:$J$49,MATCH(LEFT($A86,LEN($A86)-2),'TH_MLG GRADE 10'!$B$7:$B$49,0))="P")+
 --(INDEX('TH_MLG GRADE 10'!$P$7:$P$49,MATCH(LEFT($A86,LEN($A86)-2),'TH_MLG GRADE 10'!$B$7:$B$49,0))="P")+
 --(INDEX('TH_MLG GRADE 10'!$AB$7:$AB$49,MATCH(LEFT($A86,LEN($A86)-2),'TH_MLG GRADE 10'!$B$7:$B$49,0))="P")+
 --(INDEX('TH_MLG GRADE 10'!$AH$7:$AH$49,MATCH(LEFT($A86,LEN($A86)-2),'TH_MLG GRADE 10'!$B$7:$B$49,0))="P")+
 --(INDEX('TH_MLG GRADE 10'!$AN$7:$AN$49,MATCH(LEFT($A86,LEN($A86)-2),'TH_MLG GRADE 10'!$B$7:$B$49,0))="P")+
 --(INDEX('TH_MLG GRADE 10'!$AZ$7:$AZ$49,MATCH(LEFT($A86,LEN($A86)-2),'TH_MLG GRADE 10'!$B$7:$B$49,0))="P")+
 --(INDEX('TH_MLG GRADE 10'!$BF$7:$BF$49,MATCH(LEFT($A86,LEN($A86)-2),'TH_MLG GRADE 10'!$B$7:$B$49,0))="P")+
 --(INDEX('TH_MLG GRADE 10'!$V$7:$V$49,MATCH(LEFT($A86,LEN($A86)-2),'TH_MLG GRADE 10'!$B$7:$B$49,0))="P")+
 --(INDEX('TH_MLG GRADE 10'!$AT$7:$AT$49,MATCH(LEFT($A86,LEN($A86)-2),'TH_MLG GRADE 10'!$B$7:$B$49,0))="P"),
0)</f>
        <v>2</v>
      </c>
      <c r="D86" s="24" t="b">
        <f ca="1">IF(IF(_xlfn.XLOOKUP(LEFT($A86,LEN($A86)-2),'TH_MLG GRADE 10'!$B$7:$B$49,'TH_MLG GRADE 10'!$BL$7:$BL$49,"",0,1)=0,"",_xlfn.XLOOKUP(LEFT($A86,LEN($A86)-2),'TH_MLG GRADE 10'!$B$7:$B$49,'TH_MLG GRADE 10'!$BL$7:$BL$49,"",0,1))&lt;=TODAY(),TRUE,FALSE)</f>
        <v>1</v>
      </c>
      <c r="E86" s="25">
        <f t="shared" ca="1" si="2"/>
        <v>1</v>
      </c>
      <c r="F86" s="24" t="s">
        <v>290</v>
      </c>
      <c r="G86">
        <v>2</v>
      </c>
      <c r="H86">
        <f>IFERROR(
 --(INDEX('PW_MLG GRADE 10'!$D$7:$D$31,MATCH(LEFT($A86,LEN($A86)-2),'PW_MLG GRADE 10'!$B$7:$B$31,0))="P")+
 --(INDEX('PW_MLG GRADE 10'!$J$7:$J$31,MATCH(LEFT($A86,LEN($A86)-2),'PW_MLG GRADE 10'!$B$7:$B$31,0))="P")+
 --(INDEX('PW_MLG GRADE 10'!$P$7:$P$31,MATCH(LEFT($A86,LEN($A86)-2),'PW_MLG GRADE 10'!$B$7:$B$31,0))="P")+
 --(INDEX('PW_MLG GRADE 10'!$AB$7:$AB$31,MATCH(LEFT($A86,LEN($A86)-2),'PW_MLG GRADE 10'!$B$7:$B$31,0))="P")+
 --(INDEX('PW_MLG GRADE 10'!$AH$7:$AH$31,MATCH(LEFT($A86,LEN($A86)-2),'PW_MLG GRADE 10'!$B$7:$B$31,0))="P")+
 --(INDEX('PW_MLG GRADE 10'!$AN$7:$AN$31,MATCH(LEFT($A86,LEN($A86)-2),'PW_MLG GRADE 10'!$B$7:$B$31,0))="P")+
 --(INDEX('PW_MLG GRADE 10'!$AZ$7:$AZ$31,MATCH(LEFT($A86,LEN($A86)-2),'PW_MLG GRADE 10'!$B$7:$B$31,0))="P")+
 --(INDEX('PW_MLG GRADE 10'!$BF$7:$BF$31,MATCH(LEFT($A86,LEN($A86)-2),'PW_MLG GRADE 10'!$B$7:$B$31,0))="P")+
 --(INDEX('PW_MLG GRADE 10'!$V$7:$V$31,MATCH(LEFT($A86,LEN($A86)-2),'PW_MLG GRADE 10'!$B$7:$B$31,0))="P")+
 --(INDEX('PW_MLG GRADE 10'!$AT$7:$AT$31,MATCH(LEFT($A86,LEN($A86)-2),'PW_MLG GRADE 10'!$B$7:$B$31,0))="P"),
0)</f>
        <v>0</v>
      </c>
      <c r="I86" s="24" t="b">
        <f ca="1">IF(IF(_xlfn.XLOOKUP(LEFT($A86,LEN($A86)-2),'PW_MLG GRADE 10'!$B$7:$B$31,'PW_MLG GRADE 10'!$BL$7:$BL$31,"",0,1)=0,"",_xlfn.XLOOKUP(LEFT($A86,LEN($A86)-2),'PW_MLG GRADE 10'!$B$7:$B$31,'PW_MLG GRADE 10'!$BL$7:$BL$31,"",0,1))&lt;=TODAY(),TRUE,FALSE)</f>
        <v>0</v>
      </c>
      <c r="J86" s="25" t="str">
        <f t="shared" ca="1" si="3"/>
        <v/>
      </c>
    </row>
    <row r="87" spans="1:11">
      <c r="A87" s="24" t="s">
        <v>291</v>
      </c>
      <c r="B87">
        <v>2</v>
      </c>
      <c r="C87">
        <f>IFERROR(
 --(INDEX('TH_MLG GRADE 10'!$D$7:$D$49,MATCH(LEFT($A87,LEN($A87)-2),'TH_MLG GRADE 10'!$B$7:$B$49,0))="P")+
 --(INDEX('TH_MLG GRADE 10'!$J$7:$J$49,MATCH(LEFT($A87,LEN($A87)-2),'TH_MLG GRADE 10'!$B$7:$B$49,0))="P")+
 --(INDEX('TH_MLG GRADE 10'!$P$7:$P$49,MATCH(LEFT($A87,LEN($A87)-2),'TH_MLG GRADE 10'!$B$7:$B$49,0))="P")+
 --(INDEX('TH_MLG GRADE 10'!$AB$7:$AB$49,MATCH(LEFT($A87,LEN($A87)-2),'TH_MLG GRADE 10'!$B$7:$B$49,0))="P")+
 --(INDEX('TH_MLG GRADE 10'!$AH$7:$AH$49,MATCH(LEFT($A87,LEN($A87)-2),'TH_MLG GRADE 10'!$B$7:$B$49,0))="P")+
 --(INDEX('TH_MLG GRADE 10'!$AN$7:$AN$49,MATCH(LEFT($A87,LEN($A87)-2),'TH_MLG GRADE 10'!$B$7:$B$49,0))="P")+
 --(INDEX('TH_MLG GRADE 10'!$AZ$7:$AZ$49,MATCH(LEFT($A87,LEN($A87)-2),'TH_MLG GRADE 10'!$B$7:$B$49,0))="P")+
 --(INDEX('TH_MLG GRADE 10'!$BF$7:$BF$49,MATCH(LEFT($A87,LEN($A87)-2),'TH_MLG GRADE 10'!$B$7:$B$49,0))="P")+
 --(INDEX('TH_MLG GRADE 10'!$V$7:$V$49,MATCH(LEFT($A87,LEN($A87)-2),'TH_MLG GRADE 10'!$B$7:$B$49,0))="P")+
 --(INDEX('TH_MLG GRADE 10'!$AT$7:$AT$49,MATCH(LEFT($A87,LEN($A87)-2),'TH_MLG GRADE 10'!$B$7:$B$49,0))="P"),
0)</f>
        <v>3</v>
      </c>
      <c r="D87" s="24" t="b">
        <f ca="1">IF(IF(_xlfn.XLOOKUP(LEFT($A87,LEN($A87)-2),'TH_MLG GRADE 10'!$B$7:$B$49,'TH_MLG GRADE 10'!$BL$7:$BL$49,"",0,1)=0,"",_xlfn.XLOOKUP(LEFT($A87,LEN($A87)-2),'TH_MLG GRADE 10'!$B$7:$B$49,'TH_MLG GRADE 10'!$BL$7:$BL$49,"",0,1))&lt;=TODAY(),TRUE,FALSE)</f>
        <v>1</v>
      </c>
      <c r="E87" s="25">
        <f t="shared" ca="1" si="2"/>
        <v>1</v>
      </c>
      <c r="F87" s="24" t="s">
        <v>291</v>
      </c>
      <c r="G87">
        <v>2</v>
      </c>
      <c r="H87">
        <f>IFERROR(
 --(INDEX('PW_MLG GRADE 10'!$D$7:$D$31,MATCH(LEFT($A87,LEN($A87)-2),'PW_MLG GRADE 10'!$B$7:$B$31,0))="P")+
 --(INDEX('PW_MLG GRADE 10'!$J$7:$J$31,MATCH(LEFT($A87,LEN($A87)-2),'PW_MLG GRADE 10'!$B$7:$B$31,0))="P")+
 --(INDEX('PW_MLG GRADE 10'!$P$7:$P$31,MATCH(LEFT($A87,LEN($A87)-2),'PW_MLG GRADE 10'!$B$7:$B$31,0))="P")+
 --(INDEX('PW_MLG GRADE 10'!$AB$7:$AB$31,MATCH(LEFT($A87,LEN($A87)-2),'PW_MLG GRADE 10'!$B$7:$B$31,0))="P")+
 --(INDEX('PW_MLG GRADE 10'!$AH$7:$AH$31,MATCH(LEFT($A87,LEN($A87)-2),'PW_MLG GRADE 10'!$B$7:$B$31,0))="P")+
 --(INDEX('PW_MLG GRADE 10'!$AN$7:$AN$31,MATCH(LEFT($A87,LEN($A87)-2),'PW_MLG GRADE 10'!$B$7:$B$31,0))="P")+
 --(INDEX('PW_MLG GRADE 10'!$AZ$7:$AZ$31,MATCH(LEFT($A87,LEN($A87)-2),'PW_MLG GRADE 10'!$B$7:$B$31,0))="P")+
 --(INDEX('PW_MLG GRADE 10'!$BF$7:$BF$31,MATCH(LEFT($A87,LEN($A87)-2),'PW_MLG GRADE 10'!$B$7:$B$31,0))="P")+
 --(INDEX('PW_MLG GRADE 10'!$V$7:$V$31,MATCH(LEFT($A87,LEN($A87)-2),'PW_MLG GRADE 10'!$B$7:$B$31,0))="P")+
 --(INDEX('PW_MLG GRADE 10'!$AT$7:$AT$31,MATCH(LEFT($A87,LEN($A87)-2),'PW_MLG GRADE 10'!$B$7:$B$31,0))="P"),
0)</f>
        <v>0</v>
      </c>
      <c r="I87" s="24" t="b">
        <f ca="1">IF(IF(_xlfn.XLOOKUP(LEFT($A87,LEN($A87)-2),'PW_MLG GRADE 10'!$B$7:$B$31,'PW_MLG GRADE 10'!$BL$7:$BL$31,"",0,1)=0,"",_xlfn.XLOOKUP(LEFT($A87,LEN($A87)-2),'PW_MLG GRADE 10'!$B$7:$B$31,'PW_MLG GRADE 10'!$BL$7:$BL$31,"",0,1))&lt;=TODAY(),TRUE,FALSE)</f>
        <v>0</v>
      </c>
      <c r="J87" s="25" t="str">
        <f t="shared" ca="1" si="3"/>
        <v/>
      </c>
    </row>
    <row r="88" spans="1:11">
      <c r="A88" s="24" t="s">
        <v>292</v>
      </c>
      <c r="B88">
        <v>2</v>
      </c>
      <c r="C88">
        <f>IFERROR(
 --(INDEX('TH_MLG GRADE 10'!$D$7:$D$49,MATCH(LEFT($A88,LEN($A88)-2),'TH_MLG GRADE 10'!$B$7:$B$49,0))="P")+
 --(INDEX('TH_MLG GRADE 10'!$J$7:$J$49,MATCH(LEFT($A88,LEN($A88)-2),'TH_MLG GRADE 10'!$B$7:$B$49,0))="P")+
 --(INDEX('TH_MLG GRADE 10'!$P$7:$P$49,MATCH(LEFT($A88,LEN($A88)-2),'TH_MLG GRADE 10'!$B$7:$B$49,0))="P")+
 --(INDEX('TH_MLG GRADE 10'!$AB$7:$AB$49,MATCH(LEFT($A88,LEN($A88)-2),'TH_MLG GRADE 10'!$B$7:$B$49,0))="P")+
 --(INDEX('TH_MLG GRADE 10'!$AH$7:$AH$49,MATCH(LEFT($A88,LEN($A88)-2),'TH_MLG GRADE 10'!$B$7:$B$49,0))="P")+
 --(INDEX('TH_MLG GRADE 10'!$AN$7:$AN$49,MATCH(LEFT($A88,LEN($A88)-2),'TH_MLG GRADE 10'!$B$7:$B$49,0))="P")+
 --(INDEX('TH_MLG GRADE 10'!$AZ$7:$AZ$49,MATCH(LEFT($A88,LEN($A88)-2),'TH_MLG GRADE 10'!$B$7:$B$49,0))="P")+
 --(INDEX('TH_MLG GRADE 10'!$BF$7:$BF$49,MATCH(LEFT($A88,LEN($A88)-2),'TH_MLG GRADE 10'!$B$7:$B$49,0))="P")+
 --(INDEX('TH_MLG GRADE 10'!$V$7:$V$49,MATCH(LEFT($A88,LEN($A88)-2),'TH_MLG GRADE 10'!$B$7:$B$49,0))="P")+
 --(INDEX('TH_MLG GRADE 10'!$AT$7:$AT$49,MATCH(LEFT($A88,LEN($A88)-2),'TH_MLG GRADE 10'!$B$7:$B$49,0))="P"),
0)</f>
        <v>3</v>
      </c>
      <c r="D88" s="24" t="b">
        <f ca="1">IF(IF(_xlfn.XLOOKUP(LEFT($A88,LEN($A88)-2),'TH_MLG GRADE 10'!$B$7:$B$49,'TH_MLG GRADE 10'!$BL$7:$BL$49,"",0,1)=0,"",_xlfn.XLOOKUP(LEFT($A88,LEN($A88)-2),'TH_MLG GRADE 10'!$B$7:$B$49,'TH_MLG GRADE 10'!$BL$7:$BL$49,"",0,1))&lt;=TODAY(),TRUE,FALSE)</f>
        <v>1</v>
      </c>
      <c r="E88" s="25">
        <f t="shared" ca="1" si="2"/>
        <v>1</v>
      </c>
      <c r="F88" s="24" t="s">
        <v>292</v>
      </c>
      <c r="G88">
        <v>2</v>
      </c>
      <c r="H88">
        <f>IFERROR(
 --(INDEX('PW_MLG GRADE 10'!$D$7:$D$31,MATCH(LEFT($A88,LEN($A88)-2),'PW_MLG GRADE 10'!$B$7:$B$31,0))="P")+
 --(INDEX('PW_MLG GRADE 10'!$J$7:$J$31,MATCH(LEFT($A88,LEN($A88)-2),'PW_MLG GRADE 10'!$B$7:$B$31,0))="P")+
 --(INDEX('PW_MLG GRADE 10'!$P$7:$P$31,MATCH(LEFT($A88,LEN($A88)-2),'PW_MLG GRADE 10'!$B$7:$B$31,0))="P")+
 --(INDEX('PW_MLG GRADE 10'!$AB$7:$AB$31,MATCH(LEFT($A88,LEN($A88)-2),'PW_MLG GRADE 10'!$B$7:$B$31,0))="P")+
 --(INDEX('PW_MLG GRADE 10'!$AH$7:$AH$31,MATCH(LEFT($A88,LEN($A88)-2),'PW_MLG GRADE 10'!$B$7:$B$31,0))="P")+
 --(INDEX('PW_MLG GRADE 10'!$AN$7:$AN$31,MATCH(LEFT($A88,LEN($A88)-2),'PW_MLG GRADE 10'!$B$7:$B$31,0))="P")+
 --(INDEX('PW_MLG GRADE 10'!$AZ$7:$AZ$31,MATCH(LEFT($A88,LEN($A88)-2),'PW_MLG GRADE 10'!$B$7:$B$31,0))="P")+
 --(INDEX('PW_MLG GRADE 10'!$BF$7:$BF$31,MATCH(LEFT($A88,LEN($A88)-2),'PW_MLG GRADE 10'!$B$7:$B$31,0))="P")+
 --(INDEX('PW_MLG GRADE 10'!$V$7:$V$31,MATCH(LEFT($A88,LEN($A88)-2),'PW_MLG GRADE 10'!$B$7:$B$31,0))="P")+
 --(INDEX('PW_MLG GRADE 10'!$AT$7:$AT$31,MATCH(LEFT($A88,LEN($A88)-2),'PW_MLG GRADE 10'!$B$7:$B$31,0))="P"),
0)</f>
        <v>0</v>
      </c>
      <c r="I88" s="24" t="b">
        <f ca="1">IF(IF(_xlfn.XLOOKUP(LEFT($A88,LEN($A88)-2),'PW_MLG GRADE 10'!$B$7:$B$31,'PW_MLG GRADE 10'!$BL$7:$BL$31,"",0,1)=0,"",_xlfn.XLOOKUP(LEFT($A88,LEN($A88)-2),'PW_MLG GRADE 10'!$B$7:$B$31,'PW_MLG GRADE 10'!$BL$7:$BL$31,"",0,1))&lt;=TODAY(),TRUE,FALSE)</f>
        <v>0</v>
      </c>
      <c r="J88" s="25" t="str">
        <f t="shared" ca="1" si="3"/>
        <v/>
      </c>
    </row>
    <row r="89" spans="1:11">
      <c r="A89" s="24" t="s">
        <v>293</v>
      </c>
      <c r="B89">
        <v>2</v>
      </c>
      <c r="C89">
        <f>IFERROR(
 --(INDEX('TH_MLG GRADE 10'!$D$7:$D$49,MATCH(LEFT($A89,LEN($A89)-2),'TH_MLG GRADE 10'!$B$7:$B$49,0))="P")+
 --(INDEX('TH_MLG GRADE 10'!$J$7:$J$49,MATCH(LEFT($A89,LEN($A89)-2),'TH_MLG GRADE 10'!$B$7:$B$49,0))="P")+
 --(INDEX('TH_MLG GRADE 10'!$P$7:$P$49,MATCH(LEFT($A89,LEN($A89)-2),'TH_MLG GRADE 10'!$B$7:$B$49,0))="P")+
 --(INDEX('TH_MLG GRADE 10'!$AB$7:$AB$49,MATCH(LEFT($A89,LEN($A89)-2),'TH_MLG GRADE 10'!$B$7:$B$49,0))="P")+
 --(INDEX('TH_MLG GRADE 10'!$AH$7:$AH$49,MATCH(LEFT($A89,LEN($A89)-2),'TH_MLG GRADE 10'!$B$7:$B$49,0))="P")+
 --(INDEX('TH_MLG GRADE 10'!$AN$7:$AN$49,MATCH(LEFT($A89,LEN($A89)-2),'TH_MLG GRADE 10'!$B$7:$B$49,0))="P")+
 --(INDEX('TH_MLG GRADE 10'!$AZ$7:$AZ$49,MATCH(LEFT($A89,LEN($A89)-2),'TH_MLG GRADE 10'!$B$7:$B$49,0))="P")+
 --(INDEX('TH_MLG GRADE 10'!$BF$7:$BF$49,MATCH(LEFT($A89,LEN($A89)-2),'TH_MLG GRADE 10'!$B$7:$B$49,0))="P")+
 --(INDEX('TH_MLG GRADE 10'!$V$7:$V$49,MATCH(LEFT($A89,LEN($A89)-2),'TH_MLG GRADE 10'!$B$7:$B$49,0))="P")+
 --(INDEX('TH_MLG GRADE 10'!$AT$7:$AT$49,MATCH(LEFT($A89,LEN($A89)-2),'TH_MLG GRADE 10'!$B$7:$B$49,0))="P"),
0)</f>
        <v>3</v>
      </c>
      <c r="D89" s="24" t="b">
        <f ca="1">IF(IF(_xlfn.XLOOKUP(LEFT($A89,LEN($A89)-2),'TH_MLG GRADE 10'!$B$7:$B$49,'TH_MLG GRADE 10'!$BL$7:$BL$49,"",0,1)=0,"",_xlfn.XLOOKUP(LEFT($A89,LEN($A89)-2),'TH_MLG GRADE 10'!$B$7:$B$49,'TH_MLG GRADE 10'!$BL$7:$BL$49,"",0,1))&lt;=TODAY(),TRUE,FALSE)</f>
        <v>1</v>
      </c>
      <c r="E89" s="25">
        <f t="shared" ca="1" si="2"/>
        <v>1</v>
      </c>
      <c r="F89" s="24" t="s">
        <v>293</v>
      </c>
      <c r="G89">
        <v>2</v>
      </c>
      <c r="H89">
        <f>IFERROR(
 --(INDEX('PW_MLG GRADE 10'!$D$7:$D$31,MATCH(LEFT($A89,LEN($A89)-2),'PW_MLG GRADE 10'!$B$7:$B$31,0))="P")+
 --(INDEX('PW_MLG GRADE 10'!$J$7:$J$31,MATCH(LEFT($A89,LEN($A89)-2),'PW_MLG GRADE 10'!$B$7:$B$31,0))="P")+
 --(INDEX('PW_MLG GRADE 10'!$P$7:$P$31,MATCH(LEFT($A89,LEN($A89)-2),'PW_MLG GRADE 10'!$B$7:$B$31,0))="P")+
 --(INDEX('PW_MLG GRADE 10'!$AB$7:$AB$31,MATCH(LEFT($A89,LEN($A89)-2),'PW_MLG GRADE 10'!$B$7:$B$31,0))="P")+
 --(INDEX('PW_MLG GRADE 10'!$AH$7:$AH$31,MATCH(LEFT($A89,LEN($A89)-2),'PW_MLG GRADE 10'!$B$7:$B$31,0))="P")+
 --(INDEX('PW_MLG GRADE 10'!$AN$7:$AN$31,MATCH(LEFT($A89,LEN($A89)-2),'PW_MLG GRADE 10'!$B$7:$B$31,0))="P")+
 --(INDEX('PW_MLG GRADE 10'!$AZ$7:$AZ$31,MATCH(LEFT($A89,LEN($A89)-2),'PW_MLG GRADE 10'!$B$7:$B$31,0))="P")+
 --(INDEX('PW_MLG GRADE 10'!$BF$7:$BF$31,MATCH(LEFT($A89,LEN($A89)-2),'PW_MLG GRADE 10'!$B$7:$B$31,0))="P")+
 --(INDEX('PW_MLG GRADE 10'!$V$7:$V$31,MATCH(LEFT($A89,LEN($A89)-2),'PW_MLG GRADE 10'!$B$7:$B$31,0))="P")+
 --(INDEX('PW_MLG GRADE 10'!$AT$7:$AT$31,MATCH(LEFT($A89,LEN($A89)-2),'PW_MLG GRADE 10'!$B$7:$B$31,0))="P"),
0)</f>
        <v>0</v>
      </c>
      <c r="I89" s="24" t="b">
        <f ca="1">IF(IF(_xlfn.XLOOKUP(LEFT($A89,LEN($A89)-2),'PW_MLG GRADE 10'!$B$7:$B$31,'PW_MLG GRADE 10'!$BL$7:$BL$31,"",0,1)=0,"",_xlfn.XLOOKUP(LEFT($A89,LEN($A89)-2),'PW_MLG GRADE 10'!$B$7:$B$31,'PW_MLG GRADE 10'!$BL$7:$BL$31,"",0,1))&lt;=TODAY(),TRUE,FALSE)</f>
        <v>0</v>
      </c>
      <c r="J89" s="25" t="str">
        <f t="shared" ca="1" si="3"/>
        <v/>
      </c>
    </row>
    <row r="90" spans="1:11">
      <c r="A90" s="24" t="s">
        <v>294</v>
      </c>
      <c r="B90">
        <v>2</v>
      </c>
      <c r="C90">
        <f>IFERROR(
 --(INDEX('TH_MLG GRADE 10'!$D$7:$D$49,MATCH(LEFT($A90,LEN($A90)-2),'TH_MLG GRADE 10'!$B$7:$B$49,0))="P")+
 --(INDEX('TH_MLG GRADE 10'!$J$7:$J$49,MATCH(LEFT($A90,LEN($A90)-2),'TH_MLG GRADE 10'!$B$7:$B$49,0))="P")+
 --(INDEX('TH_MLG GRADE 10'!$P$7:$P$49,MATCH(LEFT($A90,LEN($A90)-2),'TH_MLG GRADE 10'!$B$7:$B$49,0))="P")+
 --(INDEX('TH_MLG GRADE 10'!$AB$7:$AB$49,MATCH(LEFT($A90,LEN($A90)-2),'TH_MLG GRADE 10'!$B$7:$B$49,0))="P")+
 --(INDEX('TH_MLG GRADE 10'!$AH$7:$AH$49,MATCH(LEFT($A90,LEN($A90)-2),'TH_MLG GRADE 10'!$B$7:$B$49,0))="P")+
 --(INDEX('TH_MLG GRADE 10'!$AN$7:$AN$49,MATCH(LEFT($A90,LEN($A90)-2),'TH_MLG GRADE 10'!$B$7:$B$49,0))="P")+
 --(INDEX('TH_MLG GRADE 10'!$AZ$7:$AZ$49,MATCH(LEFT($A90,LEN($A90)-2),'TH_MLG GRADE 10'!$B$7:$B$49,0))="P")+
 --(INDEX('TH_MLG GRADE 10'!$BF$7:$BF$49,MATCH(LEFT($A90,LEN($A90)-2),'TH_MLG GRADE 10'!$B$7:$B$49,0))="P")+
 --(INDEX('TH_MLG GRADE 10'!$V$7:$V$49,MATCH(LEFT($A90,LEN($A90)-2),'TH_MLG GRADE 10'!$B$7:$B$49,0))="P")+
 --(INDEX('TH_MLG GRADE 10'!$AT$7:$AT$49,MATCH(LEFT($A90,LEN($A90)-2),'TH_MLG GRADE 10'!$B$7:$B$49,0))="P"),
0)</f>
        <v>3</v>
      </c>
      <c r="D90" s="24" t="b">
        <f ca="1">IF(IF(_xlfn.XLOOKUP(LEFT($A90,LEN($A90)-2),'TH_MLG GRADE 10'!$B$7:$B$49,'TH_MLG GRADE 10'!$BL$7:$BL$49,"",0,1)=0,"",_xlfn.XLOOKUP(LEFT($A90,LEN($A90)-2),'TH_MLG GRADE 10'!$B$7:$B$49,'TH_MLG GRADE 10'!$BL$7:$BL$49,"",0,1))&lt;=TODAY(),TRUE,FALSE)</f>
        <v>1</v>
      </c>
      <c r="E90" s="25">
        <f t="shared" ca="1" si="2"/>
        <v>1</v>
      </c>
      <c r="F90" s="24" t="s">
        <v>294</v>
      </c>
      <c r="G90">
        <v>2</v>
      </c>
      <c r="H90">
        <f>IFERROR(
 --(INDEX('PW_MLG GRADE 10'!$D$7:$D$31,MATCH(LEFT($A90,LEN($A90)-2),'PW_MLG GRADE 10'!$B$7:$B$31,0))="P")+
 --(INDEX('PW_MLG GRADE 10'!$J$7:$J$31,MATCH(LEFT($A90,LEN($A90)-2),'PW_MLG GRADE 10'!$B$7:$B$31,0))="P")+
 --(INDEX('PW_MLG GRADE 10'!$P$7:$P$31,MATCH(LEFT($A90,LEN($A90)-2),'PW_MLG GRADE 10'!$B$7:$B$31,0))="P")+
 --(INDEX('PW_MLG GRADE 10'!$AB$7:$AB$31,MATCH(LEFT($A90,LEN($A90)-2),'PW_MLG GRADE 10'!$B$7:$B$31,0))="P")+
 --(INDEX('PW_MLG GRADE 10'!$AH$7:$AH$31,MATCH(LEFT($A90,LEN($A90)-2),'PW_MLG GRADE 10'!$B$7:$B$31,0))="P")+
 --(INDEX('PW_MLG GRADE 10'!$AN$7:$AN$31,MATCH(LEFT($A90,LEN($A90)-2),'PW_MLG GRADE 10'!$B$7:$B$31,0))="P")+
 --(INDEX('PW_MLG GRADE 10'!$AZ$7:$AZ$31,MATCH(LEFT($A90,LEN($A90)-2),'PW_MLG GRADE 10'!$B$7:$B$31,0))="P")+
 --(INDEX('PW_MLG GRADE 10'!$BF$7:$BF$31,MATCH(LEFT($A90,LEN($A90)-2),'PW_MLG GRADE 10'!$B$7:$B$31,0))="P")+
 --(INDEX('PW_MLG GRADE 10'!$V$7:$V$31,MATCH(LEFT($A90,LEN($A90)-2),'PW_MLG GRADE 10'!$B$7:$B$31,0))="P")+
 --(INDEX('PW_MLG GRADE 10'!$AT$7:$AT$31,MATCH(LEFT($A90,LEN($A90)-2),'PW_MLG GRADE 10'!$B$7:$B$31,0))="P"),
0)</f>
        <v>0</v>
      </c>
      <c r="I90" s="24" t="b">
        <f ca="1">IF(IF(_xlfn.XLOOKUP(LEFT($A90,LEN($A90)-2),'PW_MLG GRADE 10'!$B$7:$B$31,'PW_MLG GRADE 10'!$BL$7:$BL$31,"",0,1)=0,"",_xlfn.XLOOKUP(LEFT($A90,LEN($A90)-2),'PW_MLG GRADE 10'!$B$7:$B$31,'PW_MLG GRADE 10'!$BL$7:$BL$31,"",0,1))&lt;=TODAY(),TRUE,FALSE)</f>
        <v>0</v>
      </c>
      <c r="J90" s="25" t="str">
        <f t="shared" ca="1" si="3"/>
        <v/>
      </c>
    </row>
    <row r="91" spans="1:11">
      <c r="A91" s="24" t="s">
        <v>295</v>
      </c>
      <c r="B91">
        <v>2</v>
      </c>
      <c r="C91">
        <f>IFERROR(
 --(INDEX('TH_MLG GRADE 10'!$D$7:$D$49,MATCH(LEFT($A91,LEN($A91)-2),'TH_MLG GRADE 10'!$B$7:$B$49,0))="P")+
 --(INDEX('TH_MLG GRADE 10'!$J$7:$J$49,MATCH(LEFT($A91,LEN($A91)-2),'TH_MLG GRADE 10'!$B$7:$B$49,0))="P")+
 --(INDEX('TH_MLG GRADE 10'!$P$7:$P$49,MATCH(LEFT($A91,LEN($A91)-2),'TH_MLG GRADE 10'!$B$7:$B$49,0))="P")+
 --(INDEX('TH_MLG GRADE 10'!$AB$7:$AB$49,MATCH(LEFT($A91,LEN($A91)-2),'TH_MLG GRADE 10'!$B$7:$B$49,0))="P")+
 --(INDEX('TH_MLG GRADE 10'!$AH$7:$AH$49,MATCH(LEFT($A91,LEN($A91)-2),'TH_MLG GRADE 10'!$B$7:$B$49,0))="P")+
 --(INDEX('TH_MLG GRADE 10'!$AN$7:$AN$49,MATCH(LEFT($A91,LEN($A91)-2),'TH_MLG GRADE 10'!$B$7:$B$49,0))="P")+
 --(INDEX('TH_MLG GRADE 10'!$AZ$7:$AZ$49,MATCH(LEFT($A91,LEN($A91)-2),'TH_MLG GRADE 10'!$B$7:$B$49,0))="P")+
 --(INDEX('TH_MLG GRADE 10'!$BF$7:$BF$49,MATCH(LEFT($A91,LEN($A91)-2),'TH_MLG GRADE 10'!$B$7:$B$49,0))="P")+
 --(INDEX('TH_MLG GRADE 10'!$V$7:$V$49,MATCH(LEFT($A91,LEN($A91)-2),'TH_MLG GRADE 10'!$B$7:$B$49,0))="P")+
 --(INDEX('TH_MLG GRADE 10'!$AT$7:$AT$49,MATCH(LEFT($A91,LEN($A91)-2),'TH_MLG GRADE 10'!$B$7:$B$49,0))="P"),
0)</f>
        <v>3</v>
      </c>
      <c r="D91" s="24" t="b">
        <f ca="1">IF(IF(_xlfn.XLOOKUP(LEFT($A91,LEN($A91)-2),'TH_MLG GRADE 10'!$B$7:$B$49,'TH_MLG GRADE 10'!$BL$7:$BL$49,"",0,1)=0,"",_xlfn.XLOOKUP(LEFT($A91,LEN($A91)-2),'TH_MLG GRADE 10'!$B$7:$B$49,'TH_MLG GRADE 10'!$BL$7:$BL$49,"",0,1))&lt;=TODAY(),TRUE,FALSE)</f>
        <v>1</v>
      </c>
      <c r="E91" s="25">
        <f t="shared" ca="1" si="2"/>
        <v>1</v>
      </c>
      <c r="F91" s="24" t="s">
        <v>295</v>
      </c>
      <c r="G91">
        <v>2</v>
      </c>
      <c r="H91">
        <f>IFERROR(
 --(INDEX('PW_MLG GRADE 10'!$D$7:$D$31,MATCH(LEFT($A91,LEN($A91)-2),'PW_MLG GRADE 10'!$B$7:$B$31,0))="P")+
 --(INDEX('PW_MLG GRADE 10'!$J$7:$J$31,MATCH(LEFT($A91,LEN($A91)-2),'PW_MLG GRADE 10'!$B$7:$B$31,0))="P")+
 --(INDEX('PW_MLG GRADE 10'!$P$7:$P$31,MATCH(LEFT($A91,LEN($A91)-2),'PW_MLG GRADE 10'!$B$7:$B$31,0))="P")+
 --(INDEX('PW_MLG GRADE 10'!$AB$7:$AB$31,MATCH(LEFT($A91,LEN($A91)-2),'PW_MLG GRADE 10'!$B$7:$B$31,0))="P")+
 --(INDEX('PW_MLG GRADE 10'!$AH$7:$AH$31,MATCH(LEFT($A91,LEN($A91)-2),'PW_MLG GRADE 10'!$B$7:$B$31,0))="P")+
 --(INDEX('PW_MLG GRADE 10'!$AN$7:$AN$31,MATCH(LEFT($A91,LEN($A91)-2),'PW_MLG GRADE 10'!$B$7:$B$31,0))="P")+
 --(INDEX('PW_MLG GRADE 10'!$AZ$7:$AZ$31,MATCH(LEFT($A91,LEN($A91)-2),'PW_MLG GRADE 10'!$B$7:$B$31,0))="P")+
 --(INDEX('PW_MLG GRADE 10'!$BF$7:$BF$31,MATCH(LEFT($A91,LEN($A91)-2),'PW_MLG GRADE 10'!$B$7:$B$31,0))="P")+
 --(INDEX('PW_MLG GRADE 10'!$V$7:$V$31,MATCH(LEFT($A91,LEN($A91)-2),'PW_MLG GRADE 10'!$B$7:$B$31,0))="P")+
 --(INDEX('PW_MLG GRADE 10'!$AT$7:$AT$31,MATCH(LEFT($A91,LEN($A91)-2),'PW_MLG GRADE 10'!$B$7:$B$31,0))="P"),
0)</f>
        <v>0</v>
      </c>
      <c r="I91" s="24" t="b">
        <f ca="1">IF(IF(_xlfn.XLOOKUP(LEFT($A91,LEN($A91)-2),'PW_MLG GRADE 10'!$B$7:$B$31,'PW_MLG GRADE 10'!$BL$7:$BL$31,"",0,1)=0,"",_xlfn.XLOOKUP(LEFT($A91,LEN($A91)-2),'PW_MLG GRADE 10'!$B$7:$B$31,'PW_MLG GRADE 10'!$BL$7:$BL$31,"",0,1))&lt;=TODAY(),TRUE,FALSE)</f>
        <v>0</v>
      </c>
      <c r="J91" s="25" t="str">
        <f t="shared" ca="1" si="3"/>
        <v/>
      </c>
    </row>
    <row r="92" spans="1:11">
      <c r="A92" s="24" t="s">
        <v>296</v>
      </c>
      <c r="B92">
        <v>2</v>
      </c>
      <c r="C92">
        <f>IFERROR(
 --(INDEX('TH_MLG GRADE 10'!$D$7:$D$49,MATCH(LEFT($A92,LEN($A92)-2),'TH_MLG GRADE 10'!$B$7:$B$49,0))="P")+
 --(INDEX('TH_MLG GRADE 10'!$J$7:$J$49,MATCH(LEFT($A92,LEN($A92)-2),'TH_MLG GRADE 10'!$B$7:$B$49,0))="P")+
 --(INDEX('TH_MLG GRADE 10'!$P$7:$P$49,MATCH(LEFT($A92,LEN($A92)-2),'TH_MLG GRADE 10'!$B$7:$B$49,0))="P")+
 --(INDEX('TH_MLG GRADE 10'!$AB$7:$AB$49,MATCH(LEFT($A92,LEN($A92)-2),'TH_MLG GRADE 10'!$B$7:$B$49,0))="P")+
 --(INDEX('TH_MLG GRADE 10'!$AH$7:$AH$49,MATCH(LEFT($A92,LEN($A92)-2),'TH_MLG GRADE 10'!$B$7:$B$49,0))="P")+
 --(INDEX('TH_MLG GRADE 10'!$AN$7:$AN$49,MATCH(LEFT($A92,LEN($A92)-2),'TH_MLG GRADE 10'!$B$7:$B$49,0))="P")+
 --(INDEX('TH_MLG GRADE 10'!$AZ$7:$AZ$49,MATCH(LEFT($A92,LEN($A92)-2),'TH_MLG GRADE 10'!$B$7:$B$49,0))="P")+
 --(INDEX('TH_MLG GRADE 10'!$BF$7:$BF$49,MATCH(LEFT($A92,LEN($A92)-2),'TH_MLG GRADE 10'!$B$7:$B$49,0))="P")+
 --(INDEX('TH_MLG GRADE 10'!$V$7:$V$49,MATCH(LEFT($A92,LEN($A92)-2),'TH_MLG GRADE 10'!$B$7:$B$49,0))="P")+
 --(INDEX('TH_MLG GRADE 10'!$AT$7:$AT$49,MATCH(LEFT($A92,LEN($A92)-2),'TH_MLG GRADE 10'!$B$7:$B$49,0))="P"),
0)</f>
        <v>3</v>
      </c>
      <c r="D92" s="24" t="b">
        <f ca="1">IF(IF(_xlfn.XLOOKUP(LEFT($A92,LEN($A92)-2),'TH_MLG GRADE 10'!$B$7:$B$49,'TH_MLG GRADE 10'!$BL$7:$BL$49,"",0,1)=0,"",_xlfn.XLOOKUP(LEFT($A92,LEN($A92)-2),'TH_MLG GRADE 10'!$B$7:$B$49,'TH_MLG GRADE 10'!$BL$7:$BL$49,"",0,1))&lt;=TODAY(),TRUE,FALSE)</f>
        <v>1</v>
      </c>
      <c r="E92" s="25">
        <f t="shared" ca="1" si="2"/>
        <v>1</v>
      </c>
      <c r="F92" s="24" t="s">
        <v>296</v>
      </c>
      <c r="G92">
        <v>2</v>
      </c>
      <c r="H92">
        <f>IFERROR(
 --(INDEX('PW_MLG GRADE 10'!$D$7:$D$31,MATCH(LEFT($A92,LEN($A92)-2),'PW_MLG GRADE 10'!$B$7:$B$31,0))="P")+
 --(INDEX('PW_MLG GRADE 10'!$J$7:$J$31,MATCH(LEFT($A92,LEN($A92)-2),'PW_MLG GRADE 10'!$B$7:$B$31,0))="P")+
 --(INDEX('PW_MLG GRADE 10'!$P$7:$P$31,MATCH(LEFT($A92,LEN($A92)-2),'PW_MLG GRADE 10'!$B$7:$B$31,0))="P")+
 --(INDEX('PW_MLG GRADE 10'!$AB$7:$AB$31,MATCH(LEFT($A92,LEN($A92)-2),'PW_MLG GRADE 10'!$B$7:$B$31,0))="P")+
 --(INDEX('PW_MLG GRADE 10'!$AH$7:$AH$31,MATCH(LEFT($A92,LEN($A92)-2),'PW_MLG GRADE 10'!$B$7:$B$31,0))="P")+
 --(INDEX('PW_MLG GRADE 10'!$AN$7:$AN$31,MATCH(LEFT($A92,LEN($A92)-2),'PW_MLG GRADE 10'!$B$7:$B$31,0))="P")+
 --(INDEX('PW_MLG GRADE 10'!$AZ$7:$AZ$31,MATCH(LEFT($A92,LEN($A92)-2),'PW_MLG GRADE 10'!$B$7:$B$31,0))="P")+
 --(INDEX('PW_MLG GRADE 10'!$BF$7:$BF$31,MATCH(LEFT($A92,LEN($A92)-2),'PW_MLG GRADE 10'!$B$7:$B$31,0))="P")+
 --(INDEX('PW_MLG GRADE 10'!$V$7:$V$31,MATCH(LEFT($A92,LEN($A92)-2),'PW_MLG GRADE 10'!$B$7:$B$31,0))="P")+
 --(INDEX('PW_MLG GRADE 10'!$AT$7:$AT$31,MATCH(LEFT($A92,LEN($A92)-2),'PW_MLG GRADE 10'!$B$7:$B$31,0))="P"),
0)</f>
        <v>0</v>
      </c>
      <c r="I92" s="24" t="b">
        <f ca="1">IF(IF(_xlfn.XLOOKUP(LEFT($A92,LEN($A92)-2),'PW_MLG GRADE 10'!$B$7:$B$31,'PW_MLG GRADE 10'!$BL$7:$BL$31,"",0,1)=0,"",_xlfn.XLOOKUP(LEFT($A92,LEN($A92)-2),'PW_MLG GRADE 10'!$B$7:$B$31,'PW_MLG GRADE 10'!$BL$7:$BL$31,"",0,1))&lt;=TODAY(),TRUE,FALSE)</f>
        <v>0</v>
      </c>
      <c r="J92" s="25" t="str">
        <f t="shared" ca="1" si="3"/>
        <v/>
      </c>
    </row>
    <row r="93" spans="1:11">
      <c r="A93" s="24" t="s">
        <v>297</v>
      </c>
      <c r="B93">
        <v>2</v>
      </c>
      <c r="C93">
        <f>IFERROR(
 --(INDEX('TH_MLG GRADE 10'!$E$7:$E$49,MATCH(LEFT($A93,LEN($A93)-2),'TH_MLG GRADE 10'!$B$7:$B$49,0))="P")+
 --(INDEX('TH_MLG GRADE 10'!$K$7:$K$49,MATCH(LEFT($A93,LEN($A93)-2),'TH_MLG GRADE 10'!$B$7:$B$49,0))="P")+
 --(INDEX('TH_MLG GRADE 10'!$Q$7:$Q$49,MATCH(LEFT($A93,LEN($A93)-2),'TH_MLG GRADE 10'!$B$7:$B$49,0))="P")+
 --(INDEX('TH_MLG GRADE 10'!$AC$7:$AC$49,MATCH(LEFT($A93,LEN($A93)-2),'TH_MLG GRADE 10'!$B$7:$B$49,0))="P")+
 --(INDEX('TH_MLG GRADE 10'!$AI$7:$AI$49,MATCH(LEFT($A93,LEN($A93)-2),'TH_MLG GRADE 10'!$B$7:$B$49,0))="P")+
 --(INDEX('TH_MLG GRADE 10'!$AO$7:$AO$49,MATCH(LEFT($A93,LEN($A93)-2),'TH_MLG GRADE 10'!$B$7:$B$49,0))="P")+
 --(INDEX('TH_MLG GRADE 10'!$BA$7:$BA$49,MATCH(LEFT($A93,LEN($A93)-2),'TH_MLG GRADE 10'!$B$7:$B$49,0))="P")+
 --(INDEX('TH_MLG GRADE 10'!$BG$7:$BG$49,MATCH(LEFT($A93,LEN($A93)-2),'TH_MLG GRADE 10'!$B$7:$B$49,0))="P")+
 --(INDEX('TH_MLG GRADE 10'!$W$7:$W$49,MATCH(LEFT($A93,LEN($A93)-2),'TH_MLG GRADE 10'!$B$7:$B$49,0))="P")+
 --(INDEX('TH_MLG GRADE 10'!$AU$7:$AU$49,MATCH(LEFT($A93,LEN($A93)-2),'TH_MLG GRADE 10'!$B$7:$B$49,0))="P"),
0)</f>
        <v>1</v>
      </c>
      <c r="D93" s="144" t="b" cm="1">
        <f t="array" aca="1" ref="D93" ca="1">_xlfn.LET(_xlpm.k,LEFT($A93,LEN($A93)-2),_xlpm.idx,IFERROR(MATCH(_xlpm.k,'TH_MLG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93" s="25">
        <f t="shared" ca="1" si="2"/>
        <v>0.5</v>
      </c>
      <c r="F93" s="24" t="s">
        <v>297</v>
      </c>
      <c r="G93">
        <v>2</v>
      </c>
      <c r="H93">
        <f>IFERROR(
 --(INDEX('PW_MLG GRADE 10'!$E$7:$E$31,MATCH(LEFT($A93,LEN($A93)-2),'PW_MLG GRADE 10'!$B$7:$B$31,0))="P")+
 --(INDEX('PW_MLG GRADE 10'!$K$7:$K$31,MATCH(LEFT($A93,LEN($A93)-2),'PW_MLG GRADE 10'!$B$7:$B$31,0))="P")+
 --(INDEX('PW_MLG GRADE 10'!$Q$7:$Q$31,MATCH(LEFT($A93,LEN($A93)-2),'PW_MLG GRADE 10'!$B$7:$B$31,0))="P")+
 --(INDEX('PW_MLG GRADE 10'!$AC$7:$AC$31,MATCH(LEFT($A93,LEN($A93)-2),'PW_MLG GRADE 10'!$B$7:$B$31,0))="P")+
 --(INDEX('PW_MLG GRADE 10'!$AI$7:$AI$31,MATCH(LEFT($A93,LEN($A93)-2),'PW_MLG GRADE 10'!$B$7:$B$31,0))="P")+
 --(INDEX('PW_MLG GRADE 10'!$AO$7:$AO$31,MATCH(LEFT($A93,LEN($A93)-2),'PW_MLG GRADE 10'!$B$7:$B$31,0))="P")+
 --(INDEX('PW_MLG GRADE 10'!$BA$7:$BA$31,MATCH(LEFT($A93,LEN($A93)-2),'PW_MLG GRADE 10'!$B$7:$B$31,0))="P")+
 --(INDEX('PW_MLG GRADE 10'!$BG$7:$BG$31,MATCH(LEFT($A93,LEN($A93)-2),'PW_MLG GRADE 10'!$B$7:$B$31,0))="P")+
 --(INDEX('PW_MLG GRADE 10'!$W$7:$W$31,MATCH(LEFT($A93,LEN($A93)-2),'PW_MLG GRADE 10'!$B$7:$B$31,0))="P")+
 --(INDEX('PW_MLG GRADE 10'!$AU$7:$AU$31,MATCH(LEFT($A93,LEN($A93)-2),'PW_MLG GRADE 10'!$B$7:$B$31,0))="P"),
0)</f>
        <v>0</v>
      </c>
      <c r="I93" s="144" t="b" cm="1">
        <f t="array" aca="1" ref="I93" ca="1">_xlfn.LET(_xlpm.k,LEFT($A93,LEN($A93)-2),_xlpm.idx,IFERROR(MATCH(_xlpm.k,'PW_MLG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93" s="25" t="str">
        <f t="shared" ca="1" si="3"/>
        <v/>
      </c>
      <c r="K93" s="54"/>
    </row>
    <row r="94" spans="1:11">
      <c r="A94" s="24" t="s">
        <v>299</v>
      </c>
      <c r="B94">
        <v>2</v>
      </c>
      <c r="C94">
        <f>IFERROR(
 --(INDEX('TH_MLG GRADE 10'!$E$7:$E$49,MATCH(LEFT($A94,LEN($A94)-2),'TH_MLG GRADE 10'!$B$7:$B$49,0))="P")+
 --(INDEX('TH_MLG GRADE 10'!$K$7:$K$49,MATCH(LEFT($A94,LEN($A94)-2),'TH_MLG GRADE 10'!$B$7:$B$49,0))="P")+
 --(INDEX('TH_MLG GRADE 10'!$Q$7:$Q$49,MATCH(LEFT($A94,LEN($A94)-2),'TH_MLG GRADE 10'!$B$7:$B$49,0))="P")+
 --(INDEX('TH_MLG GRADE 10'!$AC$7:$AC$49,MATCH(LEFT($A94,LEN($A94)-2),'TH_MLG GRADE 10'!$B$7:$B$49,0))="P")+
 --(INDEX('TH_MLG GRADE 10'!$AI$7:$AI$49,MATCH(LEFT($A94,LEN($A94)-2),'TH_MLG GRADE 10'!$B$7:$B$49,0))="P")+
 --(INDEX('TH_MLG GRADE 10'!$AO$7:$AO$49,MATCH(LEFT($A94,LEN($A94)-2),'TH_MLG GRADE 10'!$B$7:$B$49,0))="P")+
 --(INDEX('TH_MLG GRADE 10'!$BA$7:$BA$49,MATCH(LEFT($A94,LEN($A94)-2),'TH_MLG GRADE 10'!$B$7:$B$49,0))="P")+
 --(INDEX('TH_MLG GRADE 10'!$BG$7:$BG$49,MATCH(LEFT($A94,LEN($A94)-2),'TH_MLG GRADE 10'!$B$7:$B$49,0))="P")+
 --(INDEX('TH_MLG GRADE 10'!$W$7:$W$49,MATCH(LEFT($A94,LEN($A94)-2),'TH_MLG GRADE 10'!$B$7:$B$49,0))="P")+
 --(INDEX('TH_MLG GRADE 10'!$AU$7:$AU$49,MATCH(LEFT($A94,LEN($A94)-2),'TH_MLG GRADE 10'!$B$7:$B$49,0))="P"),
0)</f>
        <v>2</v>
      </c>
      <c r="D94" s="144" t="b" cm="1">
        <f t="array" aca="1" ref="D94" ca="1">_xlfn.LET(_xlpm.k,LEFT($A94,LEN($A94)-2),_xlpm.idx,IFERROR(MATCH(_xlpm.k,'TH_MLG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94" s="25">
        <f t="shared" ca="1" si="2"/>
        <v>1</v>
      </c>
      <c r="F94" s="24" t="s">
        <v>299</v>
      </c>
      <c r="G94">
        <v>2</v>
      </c>
      <c r="H94">
        <f>IFERROR(
 --(INDEX('PW_MLG GRADE 10'!$E$7:$E$31,MATCH(LEFT($A94,LEN($A94)-2),'PW_MLG GRADE 10'!$B$7:$B$31,0))="P")+
 --(INDEX('PW_MLG GRADE 10'!$K$7:$K$31,MATCH(LEFT($A94,LEN($A94)-2),'PW_MLG GRADE 10'!$B$7:$B$31,0))="P")+
 --(INDEX('PW_MLG GRADE 10'!$Q$7:$Q$31,MATCH(LEFT($A94,LEN($A94)-2),'PW_MLG GRADE 10'!$B$7:$B$31,0))="P")+
 --(INDEX('PW_MLG GRADE 10'!$AC$7:$AC$31,MATCH(LEFT($A94,LEN($A94)-2),'PW_MLG GRADE 10'!$B$7:$B$31,0))="P")+
 --(INDEX('PW_MLG GRADE 10'!$AI$7:$AI$31,MATCH(LEFT($A94,LEN($A94)-2),'PW_MLG GRADE 10'!$B$7:$B$31,0))="P")+
 --(INDEX('PW_MLG GRADE 10'!$AO$7:$AO$31,MATCH(LEFT($A94,LEN($A94)-2),'PW_MLG GRADE 10'!$B$7:$B$31,0))="P")+
 --(INDEX('PW_MLG GRADE 10'!$BA$7:$BA$31,MATCH(LEFT($A94,LEN($A94)-2),'PW_MLG GRADE 10'!$B$7:$B$31,0))="P")+
 --(INDEX('PW_MLG GRADE 10'!$BG$7:$BG$31,MATCH(LEFT($A94,LEN($A94)-2),'PW_MLG GRADE 10'!$B$7:$B$31,0))="P")+
 --(INDEX('PW_MLG GRADE 10'!$W$7:$W$31,MATCH(LEFT($A94,LEN($A94)-2),'PW_MLG GRADE 10'!$B$7:$B$31,0))="P")+
 --(INDEX('PW_MLG GRADE 10'!$AU$7:$AU$31,MATCH(LEFT($A94,LEN($A94)-2),'PW_MLG GRADE 10'!$B$7:$B$31,0))="P"),
0)</f>
        <v>0</v>
      </c>
      <c r="I94" s="144" t="b" cm="1">
        <f t="array" aca="1" ref="I94" ca="1">_xlfn.LET(_xlpm.k,LEFT($A94,LEN($A94)-2),_xlpm.idx,IFERROR(MATCH(_xlpm.k,'PW_MLG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94" s="25" t="str">
        <f t="shared" ca="1" si="3"/>
        <v/>
      </c>
    </row>
    <row r="95" spans="1:11">
      <c r="A95" s="24" t="s">
        <v>300</v>
      </c>
      <c r="B95">
        <v>2</v>
      </c>
      <c r="C95">
        <f>IFERROR(
 --(INDEX('TH_MLG GRADE 10'!$E$7:$E$49,MATCH(LEFT($A95,LEN($A95)-2),'TH_MLG GRADE 10'!$B$7:$B$49,0))="P")+
 --(INDEX('TH_MLG GRADE 10'!$K$7:$K$49,MATCH(LEFT($A95,LEN($A95)-2),'TH_MLG GRADE 10'!$B$7:$B$49,0))="P")+
 --(INDEX('TH_MLG GRADE 10'!$Q$7:$Q$49,MATCH(LEFT($A95,LEN($A95)-2),'TH_MLG GRADE 10'!$B$7:$B$49,0))="P")+
 --(INDEX('TH_MLG GRADE 10'!$AC$7:$AC$49,MATCH(LEFT($A95,LEN($A95)-2),'TH_MLG GRADE 10'!$B$7:$B$49,0))="P")+
 --(INDEX('TH_MLG GRADE 10'!$AI$7:$AI$49,MATCH(LEFT($A95,LEN($A95)-2),'TH_MLG GRADE 10'!$B$7:$B$49,0))="P")+
 --(INDEX('TH_MLG GRADE 10'!$AO$7:$AO$49,MATCH(LEFT($A95,LEN($A95)-2),'TH_MLG GRADE 10'!$B$7:$B$49,0))="P")+
 --(INDEX('TH_MLG GRADE 10'!$BA$7:$BA$49,MATCH(LEFT($A95,LEN($A95)-2),'TH_MLG GRADE 10'!$B$7:$B$49,0))="P")+
 --(INDEX('TH_MLG GRADE 10'!$BG$7:$BG$49,MATCH(LEFT($A95,LEN($A95)-2),'TH_MLG GRADE 10'!$B$7:$B$49,0))="P")+
 --(INDEX('TH_MLG GRADE 10'!$W$7:$W$49,MATCH(LEFT($A95,LEN($A95)-2),'TH_MLG GRADE 10'!$B$7:$B$49,0))="P")+
 --(INDEX('TH_MLG GRADE 10'!$AU$7:$AU$49,MATCH(LEFT($A95,LEN($A95)-2),'TH_MLG GRADE 10'!$B$7:$B$49,0))="P"),
0)</f>
        <v>2</v>
      </c>
      <c r="D95" s="144" t="b" cm="1">
        <f t="array" aca="1" ref="D95" ca="1">_xlfn.LET(_xlpm.k,LEFT($A95,LEN($A95)-2),_xlpm.idx,IFERROR(MATCH(_xlpm.k,'TH_MLG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95" s="25">
        <f t="shared" ca="1" si="2"/>
        <v>1</v>
      </c>
      <c r="F95" s="24" t="s">
        <v>300</v>
      </c>
      <c r="G95">
        <v>2</v>
      </c>
      <c r="H95">
        <f>IFERROR(
 --(INDEX('PW_MLG GRADE 10'!$E$7:$E$31,MATCH(LEFT($A95,LEN($A95)-2),'PW_MLG GRADE 10'!$B$7:$B$31,0))="P")+
 --(INDEX('PW_MLG GRADE 10'!$K$7:$K$31,MATCH(LEFT($A95,LEN($A95)-2),'PW_MLG GRADE 10'!$B$7:$B$31,0))="P")+
 --(INDEX('PW_MLG GRADE 10'!$Q$7:$Q$31,MATCH(LEFT($A95,LEN($A95)-2),'PW_MLG GRADE 10'!$B$7:$B$31,0))="P")+
 --(INDEX('PW_MLG GRADE 10'!$AC$7:$AC$31,MATCH(LEFT($A95,LEN($A95)-2),'PW_MLG GRADE 10'!$B$7:$B$31,0))="P")+
 --(INDEX('PW_MLG GRADE 10'!$AI$7:$AI$31,MATCH(LEFT($A95,LEN($A95)-2),'PW_MLG GRADE 10'!$B$7:$B$31,0))="P")+
 --(INDEX('PW_MLG GRADE 10'!$AO$7:$AO$31,MATCH(LEFT($A95,LEN($A95)-2),'PW_MLG GRADE 10'!$B$7:$B$31,0))="P")+
 --(INDEX('PW_MLG GRADE 10'!$BA$7:$BA$31,MATCH(LEFT($A95,LEN($A95)-2),'PW_MLG GRADE 10'!$B$7:$B$31,0))="P")+
 --(INDEX('PW_MLG GRADE 10'!$BG$7:$BG$31,MATCH(LEFT($A95,LEN($A95)-2),'PW_MLG GRADE 10'!$B$7:$B$31,0))="P")+
 --(INDEX('PW_MLG GRADE 10'!$W$7:$W$31,MATCH(LEFT($A95,LEN($A95)-2),'PW_MLG GRADE 10'!$B$7:$B$31,0))="P")+
 --(INDEX('PW_MLG GRADE 10'!$AU$7:$AU$31,MATCH(LEFT($A95,LEN($A95)-2),'PW_MLG GRADE 10'!$B$7:$B$31,0))="P"),
0)</f>
        <v>0</v>
      </c>
      <c r="I95" s="144" t="b" cm="1">
        <f t="array" aca="1" ref="I95" ca="1">_xlfn.LET(_xlpm.k,LEFT($A95,LEN($A95)-2),_xlpm.idx,IFERROR(MATCH(_xlpm.k,'PW_MLG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95" s="25" t="str">
        <f t="shared" ca="1" si="3"/>
        <v/>
      </c>
    </row>
    <row r="96" spans="1:11">
      <c r="A96" s="24" t="s">
        <v>301</v>
      </c>
      <c r="B96">
        <v>2</v>
      </c>
      <c r="C96">
        <f>IFERROR(
 --(INDEX('TH_MLG GRADE 10'!$E$7:$E$49,MATCH(LEFT($A96,LEN($A96)-2),'TH_MLG GRADE 10'!$B$7:$B$49,0))="P")+
 --(INDEX('TH_MLG GRADE 10'!$K$7:$K$49,MATCH(LEFT($A96,LEN($A96)-2),'TH_MLG GRADE 10'!$B$7:$B$49,0))="P")+
 --(INDEX('TH_MLG GRADE 10'!$Q$7:$Q$49,MATCH(LEFT($A96,LEN($A96)-2),'TH_MLG GRADE 10'!$B$7:$B$49,0))="P")+
 --(INDEX('TH_MLG GRADE 10'!$AC$7:$AC$49,MATCH(LEFT($A96,LEN($A96)-2),'TH_MLG GRADE 10'!$B$7:$B$49,0))="P")+
 --(INDEX('TH_MLG GRADE 10'!$AI$7:$AI$49,MATCH(LEFT($A96,LEN($A96)-2),'TH_MLG GRADE 10'!$B$7:$B$49,0))="P")+
 --(INDEX('TH_MLG GRADE 10'!$AO$7:$AO$49,MATCH(LEFT($A96,LEN($A96)-2),'TH_MLG GRADE 10'!$B$7:$B$49,0))="P")+
 --(INDEX('TH_MLG GRADE 10'!$BA$7:$BA$49,MATCH(LEFT($A96,LEN($A96)-2),'TH_MLG GRADE 10'!$B$7:$B$49,0))="P")+
 --(INDEX('TH_MLG GRADE 10'!$BG$7:$BG$49,MATCH(LEFT($A96,LEN($A96)-2),'TH_MLG GRADE 10'!$B$7:$B$49,0))="P")+
 --(INDEX('TH_MLG GRADE 10'!$W$7:$W$49,MATCH(LEFT($A96,LEN($A96)-2),'TH_MLG GRADE 10'!$B$7:$B$49,0))="P")+
 --(INDEX('TH_MLG GRADE 10'!$AU$7:$AU$49,MATCH(LEFT($A96,LEN($A96)-2),'TH_MLG GRADE 10'!$B$7:$B$49,0))="P"),
0)</f>
        <v>2</v>
      </c>
      <c r="D96" s="144" t="b" cm="1">
        <f t="array" aca="1" ref="D96" ca="1">_xlfn.LET(_xlpm.k,LEFT($A96,LEN($A96)-2),_xlpm.idx,IFERROR(MATCH(_xlpm.k,'TH_MLG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96" s="25">
        <f t="shared" ca="1" si="2"/>
        <v>1</v>
      </c>
      <c r="F96" s="24" t="s">
        <v>301</v>
      </c>
      <c r="G96">
        <v>2</v>
      </c>
      <c r="H96">
        <f>IFERROR(
 --(INDEX('PW_MLG GRADE 10'!$E$7:$E$31,MATCH(LEFT($A96,LEN($A96)-2),'PW_MLG GRADE 10'!$B$7:$B$31,0))="P")+
 --(INDEX('PW_MLG GRADE 10'!$K$7:$K$31,MATCH(LEFT($A96,LEN($A96)-2),'PW_MLG GRADE 10'!$B$7:$B$31,0))="P")+
 --(INDEX('PW_MLG GRADE 10'!$Q$7:$Q$31,MATCH(LEFT($A96,LEN($A96)-2),'PW_MLG GRADE 10'!$B$7:$B$31,0))="P")+
 --(INDEX('PW_MLG GRADE 10'!$AC$7:$AC$31,MATCH(LEFT($A96,LEN($A96)-2),'PW_MLG GRADE 10'!$B$7:$B$31,0))="P")+
 --(INDEX('PW_MLG GRADE 10'!$AI$7:$AI$31,MATCH(LEFT($A96,LEN($A96)-2),'PW_MLG GRADE 10'!$B$7:$B$31,0))="P")+
 --(INDEX('PW_MLG GRADE 10'!$AO$7:$AO$31,MATCH(LEFT($A96,LEN($A96)-2),'PW_MLG GRADE 10'!$B$7:$B$31,0))="P")+
 --(INDEX('PW_MLG GRADE 10'!$BA$7:$BA$31,MATCH(LEFT($A96,LEN($A96)-2),'PW_MLG GRADE 10'!$B$7:$B$31,0))="P")+
 --(INDEX('PW_MLG GRADE 10'!$BG$7:$BG$31,MATCH(LEFT($A96,LEN($A96)-2),'PW_MLG GRADE 10'!$B$7:$B$31,0))="P")+
 --(INDEX('PW_MLG GRADE 10'!$W$7:$W$31,MATCH(LEFT($A96,LEN($A96)-2),'PW_MLG GRADE 10'!$B$7:$B$31,0))="P")+
 --(INDEX('PW_MLG GRADE 10'!$AU$7:$AU$31,MATCH(LEFT($A96,LEN($A96)-2),'PW_MLG GRADE 10'!$B$7:$B$31,0))="P"),
0)</f>
        <v>0</v>
      </c>
      <c r="I96" s="144" t="b" cm="1">
        <f t="array" aca="1" ref="I96" ca="1">_xlfn.LET(_xlpm.k,LEFT($A96,LEN($A96)-2),_xlpm.idx,IFERROR(MATCH(_xlpm.k,'PW_MLG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96" s="25" t="str">
        <f t="shared" ca="1" si="3"/>
        <v/>
      </c>
    </row>
    <row r="97" spans="1:10">
      <c r="A97" s="24" t="s">
        <v>302</v>
      </c>
      <c r="B97">
        <v>2</v>
      </c>
      <c r="C97">
        <f>IFERROR(
 --(INDEX('TH_MLG GRADE 10'!$E$7:$E$49,MATCH(LEFT($A97,LEN($A97)-2),'TH_MLG GRADE 10'!$B$7:$B$49,0))="P")+
 --(INDEX('TH_MLG GRADE 10'!$K$7:$K$49,MATCH(LEFT($A97,LEN($A97)-2),'TH_MLG GRADE 10'!$B$7:$B$49,0))="P")+
 --(INDEX('TH_MLG GRADE 10'!$Q$7:$Q$49,MATCH(LEFT($A97,LEN($A97)-2),'TH_MLG GRADE 10'!$B$7:$B$49,0))="P")+
 --(INDEX('TH_MLG GRADE 10'!$AC$7:$AC$49,MATCH(LEFT($A97,LEN($A97)-2),'TH_MLG GRADE 10'!$B$7:$B$49,0))="P")+
 --(INDEX('TH_MLG GRADE 10'!$AI$7:$AI$49,MATCH(LEFT($A97,LEN($A97)-2),'TH_MLG GRADE 10'!$B$7:$B$49,0))="P")+
 --(INDEX('TH_MLG GRADE 10'!$AO$7:$AO$49,MATCH(LEFT($A97,LEN($A97)-2),'TH_MLG GRADE 10'!$B$7:$B$49,0))="P")+
 --(INDEX('TH_MLG GRADE 10'!$BA$7:$BA$49,MATCH(LEFT($A97,LEN($A97)-2),'TH_MLG GRADE 10'!$B$7:$B$49,0))="P")+
 --(INDEX('TH_MLG GRADE 10'!$BG$7:$BG$49,MATCH(LEFT($A97,LEN($A97)-2),'TH_MLG GRADE 10'!$B$7:$B$49,0))="P")+
 --(INDEX('TH_MLG GRADE 10'!$W$7:$W$49,MATCH(LEFT($A97,LEN($A97)-2),'TH_MLG GRADE 10'!$B$7:$B$49,0))="P")+
 --(INDEX('TH_MLG GRADE 10'!$AU$7:$AU$49,MATCH(LEFT($A97,LEN($A97)-2),'TH_MLG GRADE 10'!$B$7:$B$49,0))="P"),
0)</f>
        <v>2</v>
      </c>
      <c r="D97" s="144" t="b" cm="1">
        <f t="array" aca="1" ref="D97" ca="1">_xlfn.LET(_xlpm.k,LEFT($A97,LEN($A97)-2),_xlpm.idx,IFERROR(MATCH(_xlpm.k,'TH_MLG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97" s="25">
        <f t="shared" ca="1" si="2"/>
        <v>1</v>
      </c>
      <c r="F97" s="24" t="s">
        <v>302</v>
      </c>
      <c r="G97">
        <v>2</v>
      </c>
      <c r="H97">
        <f>IFERROR(
 --(INDEX('PW_MLG GRADE 10'!$E$7:$E$31,MATCH(LEFT($A97,LEN($A97)-2),'PW_MLG GRADE 10'!$B$7:$B$31,0))="P")+
 --(INDEX('PW_MLG GRADE 10'!$K$7:$K$31,MATCH(LEFT($A97,LEN($A97)-2),'PW_MLG GRADE 10'!$B$7:$B$31,0))="P")+
 --(INDEX('PW_MLG GRADE 10'!$Q$7:$Q$31,MATCH(LEFT($A97,LEN($A97)-2),'PW_MLG GRADE 10'!$B$7:$B$31,0))="P")+
 --(INDEX('PW_MLG GRADE 10'!$AC$7:$AC$31,MATCH(LEFT($A97,LEN($A97)-2),'PW_MLG GRADE 10'!$B$7:$B$31,0))="P")+
 --(INDEX('PW_MLG GRADE 10'!$AI$7:$AI$31,MATCH(LEFT($A97,LEN($A97)-2),'PW_MLG GRADE 10'!$B$7:$B$31,0))="P")+
 --(INDEX('PW_MLG GRADE 10'!$AO$7:$AO$31,MATCH(LEFT($A97,LEN($A97)-2),'PW_MLG GRADE 10'!$B$7:$B$31,0))="P")+
 --(INDEX('PW_MLG GRADE 10'!$BA$7:$BA$31,MATCH(LEFT($A97,LEN($A97)-2),'PW_MLG GRADE 10'!$B$7:$B$31,0))="P")+
 --(INDEX('PW_MLG GRADE 10'!$BG$7:$BG$31,MATCH(LEFT($A97,LEN($A97)-2),'PW_MLG GRADE 10'!$B$7:$B$31,0))="P")+
 --(INDEX('PW_MLG GRADE 10'!$W$7:$W$31,MATCH(LEFT($A97,LEN($A97)-2),'PW_MLG GRADE 10'!$B$7:$B$31,0))="P")+
 --(INDEX('PW_MLG GRADE 10'!$AU$7:$AU$31,MATCH(LEFT($A97,LEN($A97)-2),'PW_MLG GRADE 10'!$B$7:$B$31,0))="P"),
0)</f>
        <v>2</v>
      </c>
      <c r="I97" s="144" t="b" cm="1">
        <f t="array" aca="1" ref="I97" ca="1">_xlfn.LET(_xlpm.k,LEFT($A97,LEN($A97)-2),_xlpm.idx,IFERROR(MATCH(_xlpm.k,'PW_MLG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1</v>
      </c>
      <c r="J97" s="25">
        <f t="shared" ca="1" si="3"/>
        <v>1</v>
      </c>
    </row>
    <row r="98" spans="1:10">
      <c r="A98" s="24" t="s">
        <v>303</v>
      </c>
      <c r="B98">
        <v>2</v>
      </c>
      <c r="C98">
        <f>IFERROR(
 --(INDEX('TH_MLG GRADE 10'!$E$7:$E$49,MATCH(LEFT($A98,LEN($A98)-2),'TH_MLG GRADE 10'!$B$7:$B$49,0))="P")+
 --(INDEX('TH_MLG GRADE 10'!$K$7:$K$49,MATCH(LEFT($A98,LEN($A98)-2),'TH_MLG GRADE 10'!$B$7:$B$49,0))="P")+
 --(INDEX('TH_MLG GRADE 10'!$Q$7:$Q$49,MATCH(LEFT($A98,LEN($A98)-2),'TH_MLG GRADE 10'!$B$7:$B$49,0))="P")+
 --(INDEX('TH_MLG GRADE 10'!$AC$7:$AC$49,MATCH(LEFT($A98,LEN($A98)-2),'TH_MLG GRADE 10'!$B$7:$B$49,0))="P")+
 --(INDEX('TH_MLG GRADE 10'!$AI$7:$AI$49,MATCH(LEFT($A98,LEN($A98)-2),'TH_MLG GRADE 10'!$B$7:$B$49,0))="P")+
 --(INDEX('TH_MLG GRADE 10'!$AO$7:$AO$49,MATCH(LEFT($A98,LEN($A98)-2),'TH_MLG GRADE 10'!$B$7:$B$49,0))="P")+
 --(INDEX('TH_MLG GRADE 10'!$BA$7:$BA$49,MATCH(LEFT($A98,LEN($A98)-2),'TH_MLG GRADE 10'!$B$7:$B$49,0))="P")+
 --(INDEX('TH_MLG GRADE 10'!$BG$7:$BG$49,MATCH(LEFT($A98,LEN($A98)-2),'TH_MLG GRADE 10'!$B$7:$B$49,0))="P")+
 --(INDEX('TH_MLG GRADE 10'!$W$7:$W$49,MATCH(LEFT($A98,LEN($A98)-2),'TH_MLG GRADE 10'!$B$7:$B$49,0))="P")+
 --(INDEX('TH_MLG GRADE 10'!$AU$7:$AU$49,MATCH(LEFT($A98,LEN($A98)-2),'TH_MLG GRADE 10'!$B$7:$B$49,0))="P"),
0)</f>
        <v>2</v>
      </c>
      <c r="D98" s="144" t="b" cm="1">
        <f t="array" aca="1" ref="D98" ca="1">_xlfn.LET(_xlpm.k,LEFT($A98,LEN($A98)-2),_xlpm.idx,IFERROR(MATCH(_xlpm.k,'TH_MLG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98" s="25">
        <f t="shared" ca="1" si="2"/>
        <v>1</v>
      </c>
      <c r="F98" s="24" t="s">
        <v>303</v>
      </c>
      <c r="G98">
        <v>2</v>
      </c>
      <c r="H98">
        <f>IFERROR(
 --(INDEX('PW_MLG GRADE 10'!$E$7:$E$31,MATCH(LEFT($A98,LEN($A98)-2),'PW_MLG GRADE 10'!$B$7:$B$31,0))="P")+
 --(INDEX('PW_MLG GRADE 10'!$K$7:$K$31,MATCH(LEFT($A98,LEN($A98)-2),'PW_MLG GRADE 10'!$B$7:$B$31,0))="P")+
 --(INDEX('PW_MLG GRADE 10'!$Q$7:$Q$31,MATCH(LEFT($A98,LEN($A98)-2),'PW_MLG GRADE 10'!$B$7:$B$31,0))="P")+
 --(INDEX('PW_MLG GRADE 10'!$AC$7:$AC$31,MATCH(LEFT($A98,LEN($A98)-2),'PW_MLG GRADE 10'!$B$7:$B$31,0))="P")+
 --(INDEX('PW_MLG GRADE 10'!$AI$7:$AI$31,MATCH(LEFT($A98,LEN($A98)-2),'PW_MLG GRADE 10'!$B$7:$B$31,0))="P")+
 --(INDEX('PW_MLG GRADE 10'!$AO$7:$AO$31,MATCH(LEFT($A98,LEN($A98)-2),'PW_MLG GRADE 10'!$B$7:$B$31,0))="P")+
 --(INDEX('PW_MLG GRADE 10'!$BA$7:$BA$31,MATCH(LEFT($A98,LEN($A98)-2),'PW_MLG GRADE 10'!$B$7:$B$31,0))="P")+
 --(INDEX('PW_MLG GRADE 10'!$BG$7:$BG$31,MATCH(LEFT($A98,LEN($A98)-2),'PW_MLG GRADE 10'!$B$7:$B$31,0))="P")+
 --(INDEX('PW_MLG GRADE 10'!$W$7:$W$31,MATCH(LEFT($A98,LEN($A98)-2),'PW_MLG GRADE 10'!$B$7:$B$31,0))="P")+
 --(INDEX('PW_MLG GRADE 10'!$AU$7:$AU$31,MATCH(LEFT($A98,LEN($A98)-2),'PW_MLG GRADE 10'!$B$7:$B$31,0))="P"),
0)</f>
        <v>2</v>
      </c>
      <c r="I98" s="144" t="b" cm="1">
        <f t="array" aca="1" ref="I98" ca="1">_xlfn.LET(_xlpm.k,LEFT($A98,LEN($A98)-2),_xlpm.idx,IFERROR(MATCH(_xlpm.k,'PW_MLG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1</v>
      </c>
      <c r="J98" s="25">
        <f t="shared" ca="1" si="3"/>
        <v>1</v>
      </c>
    </row>
    <row r="99" spans="1:10">
      <c r="A99" s="24" t="s">
        <v>304</v>
      </c>
      <c r="B99">
        <v>2</v>
      </c>
      <c r="C99">
        <f>IFERROR(
 --(INDEX('TH_MLG GRADE 10'!$E$7:$E$49,MATCH(LEFT($A99,LEN($A99)-2),'TH_MLG GRADE 10'!$B$7:$B$49,0))="P")+
 --(INDEX('TH_MLG GRADE 10'!$K$7:$K$49,MATCH(LEFT($A99,LEN($A99)-2),'TH_MLG GRADE 10'!$B$7:$B$49,0))="P")+
 --(INDEX('TH_MLG GRADE 10'!$Q$7:$Q$49,MATCH(LEFT($A99,LEN($A99)-2),'TH_MLG GRADE 10'!$B$7:$B$49,0))="P")+
 --(INDEX('TH_MLG GRADE 10'!$AC$7:$AC$49,MATCH(LEFT($A99,LEN($A99)-2),'TH_MLG GRADE 10'!$B$7:$B$49,0))="P")+
 --(INDEX('TH_MLG GRADE 10'!$AI$7:$AI$49,MATCH(LEFT($A99,LEN($A99)-2),'TH_MLG GRADE 10'!$B$7:$B$49,0))="P")+
 --(INDEX('TH_MLG GRADE 10'!$AO$7:$AO$49,MATCH(LEFT($A99,LEN($A99)-2),'TH_MLG GRADE 10'!$B$7:$B$49,0))="P")+
 --(INDEX('TH_MLG GRADE 10'!$BA$7:$BA$49,MATCH(LEFT($A99,LEN($A99)-2),'TH_MLG GRADE 10'!$B$7:$B$49,0))="P")+
 --(INDEX('TH_MLG GRADE 10'!$BG$7:$BG$49,MATCH(LEFT($A99,LEN($A99)-2),'TH_MLG GRADE 10'!$B$7:$B$49,0))="P")+
 --(INDEX('TH_MLG GRADE 10'!$W$7:$W$49,MATCH(LEFT($A99,LEN($A99)-2),'TH_MLG GRADE 10'!$B$7:$B$49,0))="P")+
 --(INDEX('TH_MLG GRADE 10'!$AU$7:$AU$49,MATCH(LEFT($A99,LEN($A99)-2),'TH_MLG GRADE 10'!$B$7:$B$49,0))="P"),
0)</f>
        <v>2</v>
      </c>
      <c r="D99" s="144" t="b" cm="1">
        <f t="array" aca="1" ref="D99" ca="1">_xlfn.LET(_xlpm.k,LEFT($A99,LEN($A99)-2),_xlpm.idx,IFERROR(MATCH(_xlpm.k,'TH_MLG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99" s="25">
        <f t="shared" ca="1" si="2"/>
        <v>1</v>
      </c>
      <c r="F99" s="24" t="s">
        <v>304</v>
      </c>
      <c r="G99">
        <v>2</v>
      </c>
      <c r="H99">
        <f>IFERROR(
 --(INDEX('PW_MLG GRADE 10'!$E$7:$E$31,MATCH(LEFT($A99,LEN($A99)-2),'PW_MLG GRADE 10'!$B$7:$B$31,0))="P")+
 --(INDEX('PW_MLG GRADE 10'!$K$7:$K$31,MATCH(LEFT($A99,LEN($A99)-2),'PW_MLG GRADE 10'!$B$7:$B$31,0))="P")+
 --(INDEX('PW_MLG GRADE 10'!$Q$7:$Q$31,MATCH(LEFT($A99,LEN($A99)-2),'PW_MLG GRADE 10'!$B$7:$B$31,0))="P")+
 --(INDEX('PW_MLG GRADE 10'!$AC$7:$AC$31,MATCH(LEFT($A99,LEN($A99)-2),'PW_MLG GRADE 10'!$B$7:$B$31,0))="P")+
 --(INDEX('PW_MLG GRADE 10'!$AI$7:$AI$31,MATCH(LEFT($A99,LEN($A99)-2),'PW_MLG GRADE 10'!$B$7:$B$31,0))="P")+
 --(INDEX('PW_MLG GRADE 10'!$AO$7:$AO$31,MATCH(LEFT($A99,LEN($A99)-2),'PW_MLG GRADE 10'!$B$7:$B$31,0))="P")+
 --(INDEX('PW_MLG GRADE 10'!$BA$7:$BA$31,MATCH(LEFT($A99,LEN($A99)-2),'PW_MLG GRADE 10'!$B$7:$B$31,0))="P")+
 --(INDEX('PW_MLG GRADE 10'!$BG$7:$BG$31,MATCH(LEFT($A99,LEN($A99)-2),'PW_MLG GRADE 10'!$B$7:$B$31,0))="P")+
 --(INDEX('PW_MLG GRADE 10'!$W$7:$W$31,MATCH(LEFT($A99,LEN($A99)-2),'PW_MLG GRADE 10'!$B$7:$B$31,0))="P")+
 --(INDEX('PW_MLG GRADE 10'!$AU$7:$AU$31,MATCH(LEFT($A99,LEN($A99)-2),'PW_MLG GRADE 10'!$B$7:$B$31,0))="P"),
0)</f>
        <v>0</v>
      </c>
      <c r="I99" s="144" t="b" cm="1">
        <f t="array" aca="1" ref="I99" ca="1">_xlfn.LET(_xlpm.k,LEFT($A99,LEN($A99)-2),_xlpm.idx,IFERROR(MATCH(_xlpm.k,'PW_MLG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99" s="25" t="str">
        <f t="shared" ca="1" si="3"/>
        <v/>
      </c>
    </row>
    <row r="100" spans="1:10">
      <c r="A100" s="24" t="s">
        <v>305</v>
      </c>
      <c r="B100">
        <v>2</v>
      </c>
      <c r="C100">
        <f>IFERROR(
 --(INDEX('TH_MLG GRADE 10'!$E$7:$E$49,MATCH(LEFT($A100,LEN($A100)-2),'TH_MLG GRADE 10'!$B$7:$B$49,0))="P")+
 --(INDEX('TH_MLG GRADE 10'!$K$7:$K$49,MATCH(LEFT($A100,LEN($A100)-2),'TH_MLG GRADE 10'!$B$7:$B$49,0))="P")+
 --(INDEX('TH_MLG GRADE 10'!$Q$7:$Q$49,MATCH(LEFT($A100,LEN($A100)-2),'TH_MLG GRADE 10'!$B$7:$B$49,0))="P")+
 --(INDEX('TH_MLG GRADE 10'!$AC$7:$AC$49,MATCH(LEFT($A100,LEN($A100)-2),'TH_MLG GRADE 10'!$B$7:$B$49,0))="P")+
 --(INDEX('TH_MLG GRADE 10'!$AI$7:$AI$49,MATCH(LEFT($A100,LEN($A100)-2),'TH_MLG GRADE 10'!$B$7:$B$49,0))="P")+
 --(INDEX('TH_MLG GRADE 10'!$AO$7:$AO$49,MATCH(LEFT($A100,LEN($A100)-2),'TH_MLG GRADE 10'!$B$7:$B$49,0))="P")+
 --(INDEX('TH_MLG GRADE 10'!$BA$7:$BA$49,MATCH(LEFT($A100,LEN($A100)-2),'TH_MLG GRADE 10'!$B$7:$B$49,0))="P")+
 --(INDEX('TH_MLG GRADE 10'!$BG$7:$BG$49,MATCH(LEFT($A100,LEN($A100)-2),'TH_MLG GRADE 10'!$B$7:$B$49,0))="P")+
 --(INDEX('TH_MLG GRADE 10'!$W$7:$W$49,MATCH(LEFT($A100,LEN($A100)-2),'TH_MLG GRADE 10'!$B$7:$B$49,0))="P")+
 --(INDEX('TH_MLG GRADE 10'!$AU$7:$AU$49,MATCH(LEFT($A100,LEN($A100)-2),'TH_MLG GRADE 10'!$B$7:$B$49,0))="P"),
0)</f>
        <v>2</v>
      </c>
      <c r="D100" s="144" t="b" cm="1">
        <f t="array" aca="1" ref="D100" ca="1">_xlfn.LET(_xlpm.k,LEFT($A100,LEN($A100)-2),_xlpm.idx,IFERROR(MATCH(_xlpm.k,'TH_MLG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00" s="25">
        <f t="shared" ca="1" si="2"/>
        <v>1</v>
      </c>
      <c r="F100" s="24" t="s">
        <v>305</v>
      </c>
      <c r="G100">
        <v>2</v>
      </c>
      <c r="H100">
        <f>IFERROR(
 --(INDEX('PW_MLG GRADE 10'!$E$7:$E$31,MATCH(LEFT($A100,LEN($A100)-2),'PW_MLG GRADE 10'!$B$7:$B$31,0))="P")+
 --(INDEX('PW_MLG GRADE 10'!$K$7:$K$31,MATCH(LEFT($A100,LEN($A100)-2),'PW_MLG GRADE 10'!$B$7:$B$31,0))="P")+
 --(INDEX('PW_MLG GRADE 10'!$Q$7:$Q$31,MATCH(LEFT($A100,LEN($A100)-2),'PW_MLG GRADE 10'!$B$7:$B$31,0))="P")+
 --(INDEX('PW_MLG GRADE 10'!$AC$7:$AC$31,MATCH(LEFT($A100,LEN($A100)-2),'PW_MLG GRADE 10'!$B$7:$B$31,0))="P")+
 --(INDEX('PW_MLG GRADE 10'!$AI$7:$AI$31,MATCH(LEFT($A100,LEN($A100)-2),'PW_MLG GRADE 10'!$B$7:$B$31,0))="P")+
 --(INDEX('PW_MLG GRADE 10'!$AO$7:$AO$31,MATCH(LEFT($A100,LEN($A100)-2),'PW_MLG GRADE 10'!$B$7:$B$31,0))="P")+
 --(INDEX('PW_MLG GRADE 10'!$BA$7:$BA$31,MATCH(LEFT($A100,LEN($A100)-2),'PW_MLG GRADE 10'!$B$7:$B$31,0))="P")+
 --(INDEX('PW_MLG GRADE 10'!$BG$7:$BG$31,MATCH(LEFT($A100,LEN($A100)-2),'PW_MLG GRADE 10'!$B$7:$B$31,0))="P")+
 --(INDEX('PW_MLG GRADE 10'!$W$7:$W$31,MATCH(LEFT($A100,LEN($A100)-2),'PW_MLG GRADE 10'!$B$7:$B$31,0))="P")+
 --(INDEX('PW_MLG GRADE 10'!$AU$7:$AU$31,MATCH(LEFT($A100,LEN($A100)-2),'PW_MLG GRADE 10'!$B$7:$B$31,0))="P"),
0)</f>
        <v>0</v>
      </c>
      <c r="I100" s="144" t="b" cm="1">
        <f t="array" aca="1" ref="I100" ca="1">_xlfn.LET(_xlpm.k,LEFT($A100,LEN($A100)-2),_xlpm.idx,IFERROR(MATCH(_xlpm.k,'PW_MLG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00" s="25" t="str">
        <f t="shared" ca="1" si="3"/>
        <v/>
      </c>
    </row>
    <row r="101" spans="1:10">
      <c r="A101" s="24" t="s">
        <v>306</v>
      </c>
      <c r="B101">
        <v>2</v>
      </c>
      <c r="C101">
        <f>IFERROR(
 --(INDEX('TH_MLG GRADE 10'!$E$7:$E$49,MATCH(LEFT($A101,LEN($A101)-2),'TH_MLG GRADE 10'!$B$7:$B$49,0))="P")+
 --(INDEX('TH_MLG GRADE 10'!$K$7:$K$49,MATCH(LEFT($A101,LEN($A101)-2),'TH_MLG GRADE 10'!$B$7:$B$49,0))="P")+
 --(INDEX('TH_MLG GRADE 10'!$Q$7:$Q$49,MATCH(LEFT($A101,LEN($A101)-2),'TH_MLG GRADE 10'!$B$7:$B$49,0))="P")+
 --(INDEX('TH_MLG GRADE 10'!$AC$7:$AC$49,MATCH(LEFT($A101,LEN($A101)-2),'TH_MLG GRADE 10'!$B$7:$B$49,0))="P")+
 --(INDEX('TH_MLG GRADE 10'!$AI$7:$AI$49,MATCH(LEFT($A101,LEN($A101)-2),'TH_MLG GRADE 10'!$B$7:$B$49,0))="P")+
 --(INDEX('TH_MLG GRADE 10'!$AO$7:$AO$49,MATCH(LEFT($A101,LEN($A101)-2),'TH_MLG GRADE 10'!$B$7:$B$49,0))="P")+
 --(INDEX('TH_MLG GRADE 10'!$BA$7:$BA$49,MATCH(LEFT($A101,LEN($A101)-2),'TH_MLG GRADE 10'!$B$7:$B$49,0))="P")+
 --(INDEX('TH_MLG GRADE 10'!$BG$7:$BG$49,MATCH(LEFT($A101,LEN($A101)-2),'TH_MLG GRADE 10'!$B$7:$B$49,0))="P")+
 --(INDEX('TH_MLG GRADE 10'!$W$7:$W$49,MATCH(LEFT($A101,LEN($A101)-2),'TH_MLG GRADE 10'!$B$7:$B$49,0))="P")+
 --(INDEX('TH_MLG GRADE 10'!$AU$7:$AU$49,MATCH(LEFT($A101,LEN($A101)-2),'TH_MLG GRADE 10'!$B$7:$B$49,0))="P"),
0)</f>
        <v>2</v>
      </c>
      <c r="D101" s="144" t="b" cm="1">
        <f t="array" aca="1" ref="D101" ca="1">_xlfn.LET(_xlpm.k,LEFT($A101,LEN($A101)-2),_xlpm.idx,IFERROR(MATCH(_xlpm.k,'TH_MLG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01" s="25">
        <f t="shared" ca="1" si="2"/>
        <v>1</v>
      </c>
      <c r="F101" s="24" t="s">
        <v>306</v>
      </c>
      <c r="G101">
        <v>2</v>
      </c>
      <c r="H101">
        <f>IFERROR(
 --(INDEX('PW_MLG GRADE 10'!$E$7:$E$31,MATCH(LEFT($A101,LEN($A101)-2),'PW_MLG GRADE 10'!$B$7:$B$31,0))="P")+
 --(INDEX('PW_MLG GRADE 10'!$K$7:$K$31,MATCH(LEFT($A101,LEN($A101)-2),'PW_MLG GRADE 10'!$B$7:$B$31,0))="P")+
 --(INDEX('PW_MLG GRADE 10'!$Q$7:$Q$31,MATCH(LEFT($A101,LEN($A101)-2),'PW_MLG GRADE 10'!$B$7:$B$31,0))="P")+
 --(INDEX('PW_MLG GRADE 10'!$AC$7:$AC$31,MATCH(LEFT($A101,LEN($A101)-2),'PW_MLG GRADE 10'!$B$7:$B$31,0))="P")+
 --(INDEX('PW_MLG GRADE 10'!$AI$7:$AI$31,MATCH(LEFT($A101,LEN($A101)-2),'PW_MLG GRADE 10'!$B$7:$B$31,0))="P")+
 --(INDEX('PW_MLG GRADE 10'!$AO$7:$AO$31,MATCH(LEFT($A101,LEN($A101)-2),'PW_MLG GRADE 10'!$B$7:$B$31,0))="P")+
 --(INDEX('PW_MLG GRADE 10'!$BA$7:$BA$31,MATCH(LEFT($A101,LEN($A101)-2),'PW_MLG GRADE 10'!$B$7:$B$31,0))="P")+
 --(INDEX('PW_MLG GRADE 10'!$BG$7:$BG$31,MATCH(LEFT($A101,LEN($A101)-2),'PW_MLG GRADE 10'!$B$7:$B$31,0))="P")+
 --(INDEX('PW_MLG GRADE 10'!$W$7:$W$31,MATCH(LEFT($A101,LEN($A101)-2),'PW_MLG GRADE 10'!$B$7:$B$31,0))="P")+
 --(INDEX('PW_MLG GRADE 10'!$AU$7:$AU$31,MATCH(LEFT($A101,LEN($A101)-2),'PW_MLG GRADE 10'!$B$7:$B$31,0))="P"),
0)</f>
        <v>0</v>
      </c>
      <c r="I101" s="144" t="b" cm="1">
        <f t="array" aca="1" ref="I101" ca="1">_xlfn.LET(_xlpm.k,LEFT($A101,LEN($A101)-2),_xlpm.idx,IFERROR(MATCH(_xlpm.k,'PW_MLG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01" s="25" t="str">
        <f t="shared" ca="1" si="3"/>
        <v/>
      </c>
    </row>
    <row r="102" spans="1:10">
      <c r="A102" s="24" t="s">
        <v>307</v>
      </c>
      <c r="B102">
        <v>2</v>
      </c>
      <c r="C102">
        <f>IFERROR(
 --(INDEX('TH_MLG GRADE 10'!$E$7:$E$49,MATCH(LEFT($A102,LEN($A102)-2),'TH_MLG GRADE 10'!$B$7:$B$49,0))="P")+
 --(INDEX('TH_MLG GRADE 10'!$K$7:$K$49,MATCH(LEFT($A102,LEN($A102)-2),'TH_MLG GRADE 10'!$B$7:$B$49,0))="P")+
 --(INDEX('TH_MLG GRADE 10'!$Q$7:$Q$49,MATCH(LEFT($A102,LEN($A102)-2),'TH_MLG GRADE 10'!$B$7:$B$49,0))="P")+
 --(INDEX('TH_MLG GRADE 10'!$AC$7:$AC$49,MATCH(LEFT($A102,LEN($A102)-2),'TH_MLG GRADE 10'!$B$7:$B$49,0))="P")+
 --(INDEX('TH_MLG GRADE 10'!$AI$7:$AI$49,MATCH(LEFT($A102,LEN($A102)-2),'TH_MLG GRADE 10'!$B$7:$B$49,0))="P")+
 --(INDEX('TH_MLG GRADE 10'!$AO$7:$AO$49,MATCH(LEFT($A102,LEN($A102)-2),'TH_MLG GRADE 10'!$B$7:$B$49,0))="P")+
 --(INDEX('TH_MLG GRADE 10'!$BA$7:$BA$49,MATCH(LEFT($A102,LEN($A102)-2),'TH_MLG GRADE 10'!$B$7:$B$49,0))="P")+
 --(INDEX('TH_MLG GRADE 10'!$BG$7:$BG$49,MATCH(LEFT($A102,LEN($A102)-2),'TH_MLG GRADE 10'!$B$7:$B$49,0))="P")+
 --(INDEX('TH_MLG GRADE 10'!$W$7:$W$49,MATCH(LEFT($A102,LEN($A102)-2),'TH_MLG GRADE 10'!$B$7:$B$49,0))="P")+
 --(INDEX('TH_MLG GRADE 10'!$AU$7:$AU$49,MATCH(LEFT($A102,LEN($A102)-2),'TH_MLG GRADE 10'!$B$7:$B$49,0))="P"),
0)</f>
        <v>2</v>
      </c>
      <c r="D102" s="144" t="b" cm="1">
        <f t="array" aca="1" ref="D102" ca="1">_xlfn.LET(_xlpm.k,LEFT($A102,LEN($A102)-2),_xlpm.idx,IFERROR(MATCH(_xlpm.k,'TH_MLG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02" s="25">
        <f t="shared" ca="1" si="2"/>
        <v>1</v>
      </c>
      <c r="F102" s="24" t="s">
        <v>307</v>
      </c>
      <c r="G102">
        <v>2</v>
      </c>
      <c r="H102">
        <f>IFERROR(
 --(INDEX('PW_MLG GRADE 10'!$E$7:$E$31,MATCH(LEFT($A102,LEN($A102)-2),'PW_MLG GRADE 10'!$B$7:$B$31,0))="P")+
 --(INDEX('PW_MLG GRADE 10'!$K$7:$K$31,MATCH(LEFT($A102,LEN($A102)-2),'PW_MLG GRADE 10'!$B$7:$B$31,0))="P")+
 --(INDEX('PW_MLG GRADE 10'!$Q$7:$Q$31,MATCH(LEFT($A102,LEN($A102)-2),'PW_MLG GRADE 10'!$B$7:$B$31,0))="P")+
 --(INDEX('PW_MLG GRADE 10'!$AC$7:$AC$31,MATCH(LEFT($A102,LEN($A102)-2),'PW_MLG GRADE 10'!$B$7:$B$31,0))="P")+
 --(INDEX('PW_MLG GRADE 10'!$AI$7:$AI$31,MATCH(LEFT($A102,LEN($A102)-2),'PW_MLG GRADE 10'!$B$7:$B$31,0))="P")+
 --(INDEX('PW_MLG GRADE 10'!$AO$7:$AO$31,MATCH(LEFT($A102,LEN($A102)-2),'PW_MLG GRADE 10'!$B$7:$B$31,0))="P")+
 --(INDEX('PW_MLG GRADE 10'!$BA$7:$BA$31,MATCH(LEFT($A102,LEN($A102)-2),'PW_MLG GRADE 10'!$B$7:$B$31,0))="P")+
 --(INDEX('PW_MLG GRADE 10'!$BG$7:$BG$31,MATCH(LEFT($A102,LEN($A102)-2),'PW_MLG GRADE 10'!$B$7:$B$31,0))="P")+
 --(INDEX('PW_MLG GRADE 10'!$W$7:$W$31,MATCH(LEFT($A102,LEN($A102)-2),'PW_MLG GRADE 10'!$B$7:$B$31,0))="P")+
 --(INDEX('PW_MLG GRADE 10'!$AU$7:$AU$31,MATCH(LEFT($A102,LEN($A102)-2),'PW_MLG GRADE 10'!$B$7:$B$31,0))="P"),
0)</f>
        <v>0</v>
      </c>
      <c r="I102" s="144" t="b" cm="1">
        <f t="array" aca="1" ref="I102" ca="1">_xlfn.LET(_xlpm.k,LEFT($A102,LEN($A102)-2),_xlpm.idx,IFERROR(MATCH(_xlpm.k,'PW_MLG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02" s="25" t="str">
        <f t="shared" ca="1" si="3"/>
        <v/>
      </c>
    </row>
    <row r="103" spans="1:10">
      <c r="A103" s="24" t="s">
        <v>308</v>
      </c>
      <c r="B103">
        <v>2</v>
      </c>
      <c r="C103">
        <f>IFERROR(
 --(INDEX('TH_MLG GRADE 10'!$E$7:$E$49,MATCH(LEFT($A103,LEN($A103)-2),'TH_MLG GRADE 10'!$B$7:$B$49,0))="P")+
 --(INDEX('TH_MLG GRADE 10'!$K$7:$K$49,MATCH(LEFT($A103,LEN($A103)-2),'TH_MLG GRADE 10'!$B$7:$B$49,0))="P")+
 --(INDEX('TH_MLG GRADE 10'!$Q$7:$Q$49,MATCH(LEFT($A103,LEN($A103)-2),'TH_MLG GRADE 10'!$B$7:$B$49,0))="P")+
 --(INDEX('TH_MLG GRADE 10'!$AC$7:$AC$49,MATCH(LEFT($A103,LEN($A103)-2),'TH_MLG GRADE 10'!$B$7:$B$49,0))="P")+
 --(INDEX('TH_MLG GRADE 10'!$AI$7:$AI$49,MATCH(LEFT($A103,LEN($A103)-2),'TH_MLG GRADE 10'!$B$7:$B$49,0))="P")+
 --(INDEX('TH_MLG GRADE 10'!$AO$7:$AO$49,MATCH(LEFT($A103,LEN($A103)-2),'TH_MLG GRADE 10'!$B$7:$B$49,0))="P")+
 --(INDEX('TH_MLG GRADE 10'!$BA$7:$BA$49,MATCH(LEFT($A103,LEN($A103)-2),'TH_MLG GRADE 10'!$B$7:$B$49,0))="P")+
 --(INDEX('TH_MLG GRADE 10'!$BG$7:$BG$49,MATCH(LEFT($A103,LEN($A103)-2),'TH_MLG GRADE 10'!$B$7:$B$49,0))="P")+
 --(INDEX('TH_MLG GRADE 10'!$W$7:$W$49,MATCH(LEFT($A103,LEN($A103)-2),'TH_MLG GRADE 10'!$B$7:$B$49,0))="P")+
 --(INDEX('TH_MLG GRADE 10'!$AU$7:$AU$49,MATCH(LEFT($A103,LEN($A103)-2),'TH_MLG GRADE 10'!$B$7:$B$49,0))="P"),
0)</f>
        <v>2</v>
      </c>
      <c r="D103" s="144" t="b" cm="1">
        <f t="array" aca="1" ref="D103" ca="1">_xlfn.LET(_xlpm.k,LEFT($A103,LEN($A103)-2),_xlpm.idx,IFERROR(MATCH(_xlpm.k,'TH_MLG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03" s="25">
        <f t="shared" ca="1" si="2"/>
        <v>1</v>
      </c>
      <c r="F103" s="24" t="s">
        <v>308</v>
      </c>
      <c r="G103">
        <v>2</v>
      </c>
      <c r="H103">
        <f>IFERROR(
 --(INDEX('PW_MLG GRADE 10'!$E$7:$E$31,MATCH(LEFT($A103,LEN($A103)-2),'PW_MLG GRADE 10'!$B$7:$B$31,0))="P")+
 --(INDEX('PW_MLG GRADE 10'!$K$7:$K$31,MATCH(LEFT($A103,LEN($A103)-2),'PW_MLG GRADE 10'!$B$7:$B$31,0))="P")+
 --(INDEX('PW_MLG GRADE 10'!$Q$7:$Q$31,MATCH(LEFT($A103,LEN($A103)-2),'PW_MLG GRADE 10'!$B$7:$B$31,0))="P")+
 --(INDEX('PW_MLG GRADE 10'!$AC$7:$AC$31,MATCH(LEFT($A103,LEN($A103)-2),'PW_MLG GRADE 10'!$B$7:$B$31,0))="P")+
 --(INDEX('PW_MLG GRADE 10'!$AI$7:$AI$31,MATCH(LEFT($A103,LEN($A103)-2),'PW_MLG GRADE 10'!$B$7:$B$31,0))="P")+
 --(INDEX('PW_MLG GRADE 10'!$AO$7:$AO$31,MATCH(LEFT($A103,LEN($A103)-2),'PW_MLG GRADE 10'!$B$7:$B$31,0))="P")+
 --(INDEX('PW_MLG GRADE 10'!$BA$7:$BA$31,MATCH(LEFT($A103,LEN($A103)-2),'PW_MLG GRADE 10'!$B$7:$B$31,0))="P")+
 --(INDEX('PW_MLG GRADE 10'!$BG$7:$BG$31,MATCH(LEFT($A103,LEN($A103)-2),'PW_MLG GRADE 10'!$B$7:$B$31,0))="P")+
 --(INDEX('PW_MLG GRADE 10'!$W$7:$W$31,MATCH(LEFT($A103,LEN($A103)-2),'PW_MLG GRADE 10'!$B$7:$B$31,0))="P")+
 --(INDEX('PW_MLG GRADE 10'!$AU$7:$AU$31,MATCH(LEFT($A103,LEN($A103)-2),'PW_MLG GRADE 10'!$B$7:$B$31,0))="P"),
0)</f>
        <v>0</v>
      </c>
      <c r="I103" s="144" t="b" cm="1">
        <f t="array" aca="1" ref="I103" ca="1">_xlfn.LET(_xlpm.k,LEFT($A103,LEN($A103)-2),_xlpm.idx,IFERROR(MATCH(_xlpm.k,'PW_MLG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03" s="25" t="str">
        <f t="shared" ca="1" si="3"/>
        <v/>
      </c>
    </row>
    <row r="104" spans="1:10">
      <c r="A104" s="24" t="s">
        <v>309</v>
      </c>
      <c r="B104">
        <v>2</v>
      </c>
      <c r="C104">
        <f>IFERROR(
 --(INDEX('TH_MLG GRADE 10'!$E$7:$E$49,MATCH(LEFT($A104,LEN($A104)-2),'TH_MLG GRADE 10'!$B$7:$B$49,0))="P")+
 --(INDEX('TH_MLG GRADE 10'!$K$7:$K$49,MATCH(LEFT($A104,LEN($A104)-2),'TH_MLG GRADE 10'!$B$7:$B$49,0))="P")+
 --(INDEX('TH_MLG GRADE 10'!$Q$7:$Q$49,MATCH(LEFT($A104,LEN($A104)-2),'TH_MLG GRADE 10'!$B$7:$B$49,0))="P")+
 --(INDEX('TH_MLG GRADE 10'!$AC$7:$AC$49,MATCH(LEFT($A104,LEN($A104)-2),'TH_MLG GRADE 10'!$B$7:$B$49,0))="P")+
 --(INDEX('TH_MLG GRADE 10'!$AI$7:$AI$49,MATCH(LEFT($A104,LEN($A104)-2),'TH_MLG GRADE 10'!$B$7:$B$49,0))="P")+
 --(INDEX('TH_MLG GRADE 10'!$AO$7:$AO$49,MATCH(LEFT($A104,LEN($A104)-2),'TH_MLG GRADE 10'!$B$7:$B$49,0))="P")+
 --(INDEX('TH_MLG GRADE 10'!$BA$7:$BA$49,MATCH(LEFT($A104,LEN($A104)-2),'TH_MLG GRADE 10'!$B$7:$B$49,0))="P")+
 --(INDEX('TH_MLG GRADE 10'!$BG$7:$BG$49,MATCH(LEFT($A104,LEN($A104)-2),'TH_MLG GRADE 10'!$B$7:$B$49,0))="P")+
 --(INDEX('TH_MLG GRADE 10'!$W$7:$W$49,MATCH(LEFT($A104,LEN($A104)-2),'TH_MLG GRADE 10'!$B$7:$B$49,0))="P")+
 --(INDEX('TH_MLG GRADE 10'!$AU$7:$AU$49,MATCH(LEFT($A104,LEN($A104)-2),'TH_MLG GRADE 10'!$B$7:$B$49,0))="P"),
0)</f>
        <v>2</v>
      </c>
      <c r="D104" s="144" t="b" cm="1">
        <f t="array" aca="1" ref="D104" ca="1">_xlfn.LET(_xlpm.k,LEFT($A104,LEN($A104)-2),_xlpm.idx,IFERROR(MATCH(_xlpm.k,'TH_MLG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04" s="25">
        <f t="shared" ca="1" si="2"/>
        <v>1</v>
      </c>
      <c r="F104" s="24" t="s">
        <v>309</v>
      </c>
      <c r="G104">
        <v>2</v>
      </c>
      <c r="H104">
        <f>IFERROR(
 --(INDEX('PW_MLG GRADE 10'!$E$7:$E$31,MATCH(LEFT($A104,LEN($A104)-2),'PW_MLG GRADE 10'!$B$7:$B$31,0))="P")+
 --(INDEX('PW_MLG GRADE 10'!$K$7:$K$31,MATCH(LEFT($A104,LEN($A104)-2),'PW_MLG GRADE 10'!$B$7:$B$31,0))="P")+
 --(INDEX('PW_MLG GRADE 10'!$Q$7:$Q$31,MATCH(LEFT($A104,LEN($A104)-2),'PW_MLG GRADE 10'!$B$7:$B$31,0))="P")+
 --(INDEX('PW_MLG GRADE 10'!$AC$7:$AC$31,MATCH(LEFT($A104,LEN($A104)-2),'PW_MLG GRADE 10'!$B$7:$B$31,0))="P")+
 --(INDEX('PW_MLG GRADE 10'!$AI$7:$AI$31,MATCH(LEFT($A104,LEN($A104)-2),'PW_MLG GRADE 10'!$B$7:$B$31,0))="P")+
 --(INDEX('PW_MLG GRADE 10'!$AO$7:$AO$31,MATCH(LEFT($A104,LEN($A104)-2),'PW_MLG GRADE 10'!$B$7:$B$31,0))="P")+
 --(INDEX('PW_MLG GRADE 10'!$BA$7:$BA$31,MATCH(LEFT($A104,LEN($A104)-2),'PW_MLG GRADE 10'!$B$7:$B$31,0))="P")+
 --(INDEX('PW_MLG GRADE 10'!$BG$7:$BG$31,MATCH(LEFT($A104,LEN($A104)-2),'PW_MLG GRADE 10'!$B$7:$B$31,0))="P")+
 --(INDEX('PW_MLG GRADE 10'!$W$7:$W$31,MATCH(LEFT($A104,LEN($A104)-2),'PW_MLG GRADE 10'!$B$7:$B$31,0))="P")+
 --(INDEX('PW_MLG GRADE 10'!$AU$7:$AU$31,MATCH(LEFT($A104,LEN($A104)-2),'PW_MLG GRADE 10'!$B$7:$B$31,0))="P"),
0)</f>
        <v>0</v>
      </c>
      <c r="I104" s="144" t="b" cm="1">
        <f t="array" aca="1" ref="I104" ca="1">_xlfn.LET(_xlpm.k,LEFT($A104,LEN($A104)-2),_xlpm.idx,IFERROR(MATCH(_xlpm.k,'PW_MLG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04" s="25" t="str">
        <f t="shared" ca="1" si="3"/>
        <v/>
      </c>
    </row>
    <row r="105" spans="1:10">
      <c r="A105" s="24" t="s">
        <v>310</v>
      </c>
      <c r="B105">
        <v>2</v>
      </c>
      <c r="C105">
        <f>IFERROR(
 --(INDEX('TH_MLG GRADE 10'!$E$7:$E$49,MATCH(LEFT($A105,LEN($A105)-2),'TH_MLG GRADE 10'!$B$7:$B$49,0))="P")+
 --(INDEX('TH_MLG GRADE 10'!$K$7:$K$49,MATCH(LEFT($A105,LEN($A105)-2),'TH_MLG GRADE 10'!$B$7:$B$49,0))="P")+
 --(INDEX('TH_MLG GRADE 10'!$Q$7:$Q$49,MATCH(LEFT($A105,LEN($A105)-2),'TH_MLG GRADE 10'!$B$7:$B$49,0))="P")+
 --(INDEX('TH_MLG GRADE 10'!$AC$7:$AC$49,MATCH(LEFT($A105,LEN($A105)-2),'TH_MLG GRADE 10'!$B$7:$B$49,0))="P")+
 --(INDEX('TH_MLG GRADE 10'!$AI$7:$AI$49,MATCH(LEFT($A105,LEN($A105)-2),'TH_MLG GRADE 10'!$B$7:$B$49,0))="P")+
 --(INDEX('TH_MLG GRADE 10'!$AO$7:$AO$49,MATCH(LEFT($A105,LEN($A105)-2),'TH_MLG GRADE 10'!$B$7:$B$49,0))="P")+
 --(INDEX('TH_MLG GRADE 10'!$BA$7:$BA$49,MATCH(LEFT($A105,LEN($A105)-2),'TH_MLG GRADE 10'!$B$7:$B$49,0))="P")+
 --(INDEX('TH_MLG GRADE 10'!$BG$7:$BG$49,MATCH(LEFT($A105,LEN($A105)-2),'TH_MLG GRADE 10'!$B$7:$B$49,0))="P")+
 --(INDEX('TH_MLG GRADE 10'!$W$7:$W$49,MATCH(LEFT($A105,LEN($A105)-2),'TH_MLG GRADE 10'!$B$7:$B$49,0))="P")+
 --(INDEX('TH_MLG GRADE 10'!$AU$7:$AU$49,MATCH(LEFT($A105,LEN($A105)-2),'TH_MLG GRADE 10'!$B$7:$B$49,0))="P"),
0)</f>
        <v>5</v>
      </c>
      <c r="D105" s="144" t="b" cm="1">
        <f t="array" aca="1" ref="D105" ca="1">_xlfn.LET(_xlpm.k,LEFT($A105,LEN($A105)-2),_xlpm.idx,IFERROR(MATCH(_xlpm.k,'TH_MLG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05" s="25">
        <f t="shared" ca="1" si="2"/>
        <v>1</v>
      </c>
      <c r="F105" s="24" t="s">
        <v>310</v>
      </c>
      <c r="G105">
        <v>2</v>
      </c>
      <c r="H105">
        <f>IFERROR(
 --(INDEX('PW_MLG GRADE 10'!$E$7:$E$31,MATCH(LEFT($A105,LEN($A105)-2),'PW_MLG GRADE 10'!$B$7:$B$31,0))="P")+
 --(INDEX('PW_MLG GRADE 10'!$K$7:$K$31,MATCH(LEFT($A105,LEN($A105)-2),'PW_MLG GRADE 10'!$B$7:$B$31,0))="P")+
 --(INDEX('PW_MLG GRADE 10'!$Q$7:$Q$31,MATCH(LEFT($A105,LEN($A105)-2),'PW_MLG GRADE 10'!$B$7:$B$31,0))="P")+
 --(INDEX('PW_MLG GRADE 10'!$AC$7:$AC$31,MATCH(LEFT($A105,LEN($A105)-2),'PW_MLG GRADE 10'!$B$7:$B$31,0))="P")+
 --(INDEX('PW_MLG GRADE 10'!$AI$7:$AI$31,MATCH(LEFT($A105,LEN($A105)-2),'PW_MLG GRADE 10'!$B$7:$B$31,0))="P")+
 --(INDEX('PW_MLG GRADE 10'!$AO$7:$AO$31,MATCH(LEFT($A105,LEN($A105)-2),'PW_MLG GRADE 10'!$B$7:$B$31,0))="P")+
 --(INDEX('PW_MLG GRADE 10'!$BA$7:$BA$31,MATCH(LEFT($A105,LEN($A105)-2),'PW_MLG GRADE 10'!$B$7:$B$31,0))="P")+
 --(INDEX('PW_MLG GRADE 10'!$BG$7:$BG$31,MATCH(LEFT($A105,LEN($A105)-2),'PW_MLG GRADE 10'!$B$7:$B$31,0))="P")+
 --(INDEX('PW_MLG GRADE 10'!$W$7:$W$31,MATCH(LEFT($A105,LEN($A105)-2),'PW_MLG GRADE 10'!$B$7:$B$31,0))="P")+
 --(INDEX('PW_MLG GRADE 10'!$AU$7:$AU$31,MATCH(LEFT($A105,LEN($A105)-2),'PW_MLG GRADE 10'!$B$7:$B$31,0))="P"),
0)</f>
        <v>0</v>
      </c>
      <c r="I105" s="144" t="b" cm="1">
        <f t="array" aca="1" ref="I105" ca="1">_xlfn.LET(_xlpm.k,LEFT($A105,LEN($A105)-2),_xlpm.idx,IFERROR(MATCH(_xlpm.k,'PW_MLG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05" s="25" t="str">
        <f t="shared" ca="1" si="3"/>
        <v/>
      </c>
    </row>
    <row r="106" spans="1:10">
      <c r="A106" s="24" t="s">
        <v>311</v>
      </c>
      <c r="B106">
        <v>2</v>
      </c>
      <c r="C106">
        <f>IFERROR(
 --(INDEX('TH_MLG GRADE 10'!$E$7:$E$49,MATCH(LEFT($A106,LEN($A106)-2),'TH_MLG GRADE 10'!$B$7:$B$49,0))="P")+
 --(INDEX('TH_MLG GRADE 10'!$K$7:$K$49,MATCH(LEFT($A106,LEN($A106)-2),'TH_MLG GRADE 10'!$B$7:$B$49,0))="P")+
 --(INDEX('TH_MLG GRADE 10'!$Q$7:$Q$49,MATCH(LEFT($A106,LEN($A106)-2),'TH_MLG GRADE 10'!$B$7:$B$49,0))="P")+
 --(INDEX('TH_MLG GRADE 10'!$AC$7:$AC$49,MATCH(LEFT($A106,LEN($A106)-2),'TH_MLG GRADE 10'!$B$7:$B$49,0))="P")+
 --(INDEX('TH_MLG GRADE 10'!$AI$7:$AI$49,MATCH(LEFT($A106,LEN($A106)-2),'TH_MLG GRADE 10'!$B$7:$B$49,0))="P")+
 --(INDEX('TH_MLG GRADE 10'!$AO$7:$AO$49,MATCH(LEFT($A106,LEN($A106)-2),'TH_MLG GRADE 10'!$B$7:$B$49,0))="P")+
 --(INDEX('TH_MLG GRADE 10'!$BA$7:$BA$49,MATCH(LEFT($A106,LEN($A106)-2),'TH_MLG GRADE 10'!$B$7:$B$49,0))="P")+
 --(INDEX('TH_MLG GRADE 10'!$BG$7:$BG$49,MATCH(LEFT($A106,LEN($A106)-2),'TH_MLG GRADE 10'!$B$7:$B$49,0))="P")+
 --(INDEX('TH_MLG GRADE 10'!$W$7:$W$49,MATCH(LEFT($A106,LEN($A106)-2),'TH_MLG GRADE 10'!$B$7:$B$49,0))="P")+
 --(INDEX('TH_MLG GRADE 10'!$AU$7:$AU$49,MATCH(LEFT($A106,LEN($A106)-2),'TH_MLG GRADE 10'!$B$7:$B$49,0))="P"),
0)</f>
        <v>2</v>
      </c>
      <c r="D106" s="144" t="b" cm="1">
        <f t="array" aca="1" ref="D106" ca="1">_xlfn.LET(_xlpm.k,LEFT($A106,LEN($A106)-2),_xlpm.idx,IFERROR(MATCH(_xlpm.k,'TH_MLG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06" s="25">
        <f t="shared" ca="1" si="2"/>
        <v>1</v>
      </c>
      <c r="F106" s="24" t="s">
        <v>311</v>
      </c>
      <c r="G106">
        <v>2</v>
      </c>
      <c r="H106">
        <f>IFERROR(
 --(INDEX('PW_MLG GRADE 10'!$E$7:$E$31,MATCH(LEFT($A106,LEN($A106)-2),'PW_MLG GRADE 10'!$B$7:$B$31,0))="P")+
 --(INDEX('PW_MLG GRADE 10'!$K$7:$K$31,MATCH(LEFT($A106,LEN($A106)-2),'PW_MLG GRADE 10'!$B$7:$B$31,0))="P")+
 --(INDEX('PW_MLG GRADE 10'!$Q$7:$Q$31,MATCH(LEFT($A106,LEN($A106)-2),'PW_MLG GRADE 10'!$B$7:$B$31,0))="P")+
 --(INDEX('PW_MLG GRADE 10'!$AC$7:$AC$31,MATCH(LEFT($A106,LEN($A106)-2),'PW_MLG GRADE 10'!$B$7:$B$31,0))="P")+
 --(INDEX('PW_MLG GRADE 10'!$AI$7:$AI$31,MATCH(LEFT($A106,LEN($A106)-2),'PW_MLG GRADE 10'!$B$7:$B$31,0))="P")+
 --(INDEX('PW_MLG GRADE 10'!$AO$7:$AO$31,MATCH(LEFT($A106,LEN($A106)-2),'PW_MLG GRADE 10'!$B$7:$B$31,0))="P")+
 --(INDEX('PW_MLG GRADE 10'!$BA$7:$BA$31,MATCH(LEFT($A106,LEN($A106)-2),'PW_MLG GRADE 10'!$B$7:$B$31,0))="P")+
 --(INDEX('PW_MLG GRADE 10'!$BG$7:$BG$31,MATCH(LEFT($A106,LEN($A106)-2),'PW_MLG GRADE 10'!$B$7:$B$31,0))="P")+
 --(INDEX('PW_MLG GRADE 10'!$W$7:$W$31,MATCH(LEFT($A106,LEN($A106)-2),'PW_MLG GRADE 10'!$B$7:$B$31,0))="P")+
 --(INDEX('PW_MLG GRADE 10'!$AU$7:$AU$31,MATCH(LEFT($A106,LEN($A106)-2),'PW_MLG GRADE 10'!$B$7:$B$31,0))="P"),
0)</f>
        <v>0</v>
      </c>
      <c r="I106" s="144" t="b" cm="1">
        <f t="array" aca="1" ref="I106" ca="1">_xlfn.LET(_xlpm.k,LEFT($A106,LEN($A106)-2),_xlpm.idx,IFERROR(MATCH(_xlpm.k,'PW_MLG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06" s="25" t="str">
        <f t="shared" ca="1" si="3"/>
        <v/>
      </c>
    </row>
    <row r="107" spans="1:10">
      <c r="A107" s="24" t="s">
        <v>312</v>
      </c>
      <c r="B107">
        <v>2</v>
      </c>
      <c r="C107">
        <f>IFERROR(
 --(INDEX('TH_MLG GRADE 10'!$E$7:$E$49,MATCH(LEFT($A107,LEN($A107)-2),'TH_MLG GRADE 10'!$B$7:$B$49,0))="P")+
 --(INDEX('TH_MLG GRADE 10'!$K$7:$K$49,MATCH(LEFT($A107,LEN($A107)-2),'TH_MLG GRADE 10'!$B$7:$B$49,0))="P")+
 --(INDEX('TH_MLG GRADE 10'!$Q$7:$Q$49,MATCH(LEFT($A107,LEN($A107)-2),'TH_MLG GRADE 10'!$B$7:$B$49,0))="P")+
 --(INDEX('TH_MLG GRADE 10'!$AC$7:$AC$49,MATCH(LEFT($A107,LEN($A107)-2),'TH_MLG GRADE 10'!$B$7:$B$49,0))="P")+
 --(INDEX('TH_MLG GRADE 10'!$AI$7:$AI$49,MATCH(LEFT($A107,LEN($A107)-2),'TH_MLG GRADE 10'!$B$7:$B$49,0))="P")+
 --(INDEX('TH_MLG GRADE 10'!$AO$7:$AO$49,MATCH(LEFT($A107,LEN($A107)-2),'TH_MLG GRADE 10'!$B$7:$B$49,0))="P")+
 --(INDEX('TH_MLG GRADE 10'!$BA$7:$BA$49,MATCH(LEFT($A107,LEN($A107)-2),'TH_MLG GRADE 10'!$B$7:$B$49,0))="P")+
 --(INDEX('TH_MLG GRADE 10'!$BG$7:$BG$49,MATCH(LEFT($A107,LEN($A107)-2),'TH_MLG GRADE 10'!$B$7:$B$49,0))="P")+
 --(INDEX('TH_MLG GRADE 10'!$W$7:$W$49,MATCH(LEFT($A107,LEN($A107)-2),'TH_MLG GRADE 10'!$B$7:$B$49,0))="P")+
 --(INDEX('TH_MLG GRADE 10'!$AU$7:$AU$49,MATCH(LEFT($A107,LEN($A107)-2),'TH_MLG GRADE 10'!$B$7:$B$49,0))="P"),
0)</f>
        <v>3</v>
      </c>
      <c r="D107" s="144" t="b" cm="1">
        <f t="array" aca="1" ref="D107" ca="1">_xlfn.LET(_xlpm.k,LEFT($A107,LEN($A107)-2),_xlpm.idx,IFERROR(MATCH(_xlpm.k,'TH_MLG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07" s="25">
        <f t="shared" ca="1" si="2"/>
        <v>1</v>
      </c>
      <c r="F107" s="24" t="s">
        <v>312</v>
      </c>
      <c r="G107">
        <v>2</v>
      </c>
      <c r="H107">
        <f>IFERROR(
 --(INDEX('PW_MLG GRADE 10'!$E$7:$E$31,MATCH(LEFT($A107,LEN($A107)-2),'PW_MLG GRADE 10'!$B$7:$B$31,0))="P")+
 --(INDEX('PW_MLG GRADE 10'!$K$7:$K$31,MATCH(LEFT($A107,LEN($A107)-2),'PW_MLG GRADE 10'!$B$7:$B$31,0))="P")+
 --(INDEX('PW_MLG GRADE 10'!$Q$7:$Q$31,MATCH(LEFT($A107,LEN($A107)-2),'PW_MLG GRADE 10'!$B$7:$B$31,0))="P")+
 --(INDEX('PW_MLG GRADE 10'!$AC$7:$AC$31,MATCH(LEFT($A107,LEN($A107)-2),'PW_MLG GRADE 10'!$B$7:$B$31,0))="P")+
 --(INDEX('PW_MLG GRADE 10'!$AI$7:$AI$31,MATCH(LEFT($A107,LEN($A107)-2),'PW_MLG GRADE 10'!$B$7:$B$31,0))="P")+
 --(INDEX('PW_MLG GRADE 10'!$AO$7:$AO$31,MATCH(LEFT($A107,LEN($A107)-2),'PW_MLG GRADE 10'!$B$7:$B$31,0))="P")+
 --(INDEX('PW_MLG GRADE 10'!$BA$7:$BA$31,MATCH(LEFT($A107,LEN($A107)-2),'PW_MLG GRADE 10'!$B$7:$B$31,0))="P")+
 --(INDEX('PW_MLG GRADE 10'!$BG$7:$BG$31,MATCH(LEFT($A107,LEN($A107)-2),'PW_MLG GRADE 10'!$B$7:$B$31,0))="P")+
 --(INDEX('PW_MLG GRADE 10'!$W$7:$W$31,MATCH(LEFT($A107,LEN($A107)-2),'PW_MLG GRADE 10'!$B$7:$B$31,0))="P")+
 --(INDEX('PW_MLG GRADE 10'!$AU$7:$AU$31,MATCH(LEFT($A107,LEN($A107)-2),'PW_MLG GRADE 10'!$B$7:$B$31,0))="P"),
0)</f>
        <v>0</v>
      </c>
      <c r="I107" s="144" t="b" cm="1">
        <f t="array" aca="1" ref="I107" ca="1">_xlfn.LET(_xlpm.k,LEFT($A107,LEN($A107)-2),_xlpm.idx,IFERROR(MATCH(_xlpm.k,'PW_MLG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07" s="25" t="str">
        <f t="shared" ca="1" si="3"/>
        <v/>
      </c>
    </row>
    <row r="108" spans="1:10">
      <c r="A108" s="24" t="s">
        <v>313</v>
      </c>
      <c r="B108">
        <v>2</v>
      </c>
      <c r="C108">
        <f>IFERROR(
 --(INDEX('TH_MLG GRADE 10'!$E$7:$E$49,MATCH(LEFT($A108,LEN($A108)-2),'TH_MLG GRADE 10'!$B$7:$B$49,0))="P")+
 --(INDEX('TH_MLG GRADE 10'!$K$7:$K$49,MATCH(LEFT($A108,LEN($A108)-2),'TH_MLG GRADE 10'!$B$7:$B$49,0))="P")+
 --(INDEX('TH_MLG GRADE 10'!$Q$7:$Q$49,MATCH(LEFT($A108,LEN($A108)-2),'TH_MLG GRADE 10'!$B$7:$B$49,0))="P")+
 --(INDEX('TH_MLG GRADE 10'!$AC$7:$AC$49,MATCH(LEFT($A108,LEN($A108)-2),'TH_MLG GRADE 10'!$B$7:$B$49,0))="P")+
 --(INDEX('TH_MLG GRADE 10'!$AI$7:$AI$49,MATCH(LEFT($A108,LEN($A108)-2),'TH_MLG GRADE 10'!$B$7:$B$49,0))="P")+
 --(INDEX('TH_MLG GRADE 10'!$AO$7:$AO$49,MATCH(LEFT($A108,LEN($A108)-2),'TH_MLG GRADE 10'!$B$7:$B$49,0))="P")+
 --(INDEX('TH_MLG GRADE 10'!$BA$7:$BA$49,MATCH(LEFT($A108,LEN($A108)-2),'TH_MLG GRADE 10'!$B$7:$B$49,0))="P")+
 --(INDEX('TH_MLG GRADE 10'!$BG$7:$BG$49,MATCH(LEFT($A108,LEN($A108)-2),'TH_MLG GRADE 10'!$B$7:$B$49,0))="P")+
 --(INDEX('TH_MLG GRADE 10'!$W$7:$W$49,MATCH(LEFT($A108,LEN($A108)-2),'TH_MLG GRADE 10'!$B$7:$B$49,0))="P")+
 --(INDEX('TH_MLG GRADE 10'!$AU$7:$AU$49,MATCH(LEFT($A108,LEN($A108)-2),'TH_MLG GRADE 10'!$B$7:$B$49,0))="P"),
0)</f>
        <v>2</v>
      </c>
      <c r="D108" s="144" t="b" cm="1">
        <f t="array" aca="1" ref="D108" ca="1">_xlfn.LET(_xlpm.k,LEFT($A108,LEN($A108)-2),_xlpm.idx,IFERROR(MATCH(_xlpm.k,'TH_MLG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08" s="25">
        <f t="shared" ca="1" si="2"/>
        <v>1</v>
      </c>
      <c r="F108" s="24" t="s">
        <v>313</v>
      </c>
      <c r="G108">
        <v>2</v>
      </c>
      <c r="H108">
        <f>IFERROR(
 --(INDEX('PW_MLG GRADE 10'!$E$7:$E$31,MATCH(LEFT($A108,LEN($A108)-2),'PW_MLG GRADE 10'!$B$7:$B$31,0))="P")+
 --(INDEX('PW_MLG GRADE 10'!$K$7:$K$31,MATCH(LEFT($A108,LEN($A108)-2),'PW_MLG GRADE 10'!$B$7:$B$31,0))="P")+
 --(INDEX('PW_MLG GRADE 10'!$Q$7:$Q$31,MATCH(LEFT($A108,LEN($A108)-2),'PW_MLG GRADE 10'!$B$7:$B$31,0))="P")+
 --(INDEX('PW_MLG GRADE 10'!$AC$7:$AC$31,MATCH(LEFT($A108,LEN($A108)-2),'PW_MLG GRADE 10'!$B$7:$B$31,0))="P")+
 --(INDEX('PW_MLG GRADE 10'!$AI$7:$AI$31,MATCH(LEFT($A108,LEN($A108)-2),'PW_MLG GRADE 10'!$B$7:$B$31,0))="P")+
 --(INDEX('PW_MLG GRADE 10'!$AO$7:$AO$31,MATCH(LEFT($A108,LEN($A108)-2),'PW_MLG GRADE 10'!$B$7:$B$31,0))="P")+
 --(INDEX('PW_MLG GRADE 10'!$BA$7:$BA$31,MATCH(LEFT($A108,LEN($A108)-2),'PW_MLG GRADE 10'!$B$7:$B$31,0))="P")+
 --(INDEX('PW_MLG GRADE 10'!$BG$7:$BG$31,MATCH(LEFT($A108,LEN($A108)-2),'PW_MLG GRADE 10'!$B$7:$B$31,0))="P")+
 --(INDEX('PW_MLG GRADE 10'!$W$7:$W$31,MATCH(LEFT($A108,LEN($A108)-2),'PW_MLG GRADE 10'!$B$7:$B$31,0))="P")+
 --(INDEX('PW_MLG GRADE 10'!$AU$7:$AU$31,MATCH(LEFT($A108,LEN($A108)-2),'PW_MLG GRADE 10'!$B$7:$B$31,0))="P"),
0)</f>
        <v>0</v>
      </c>
      <c r="I108" s="144" t="b" cm="1">
        <f t="array" aca="1" ref="I108" ca="1">_xlfn.LET(_xlpm.k,LEFT($A108,LEN($A108)-2),_xlpm.idx,IFERROR(MATCH(_xlpm.k,'PW_MLG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08" s="25" t="str">
        <f t="shared" ca="1" si="3"/>
        <v/>
      </c>
    </row>
    <row r="109" spans="1:10">
      <c r="A109" s="24" t="s">
        <v>314</v>
      </c>
      <c r="B109">
        <v>2</v>
      </c>
      <c r="C109">
        <f>IFERROR(
 --(INDEX('TH_MLG GRADE 10'!$E$7:$E$49,MATCH(LEFT($A109,LEN($A109)-2),'TH_MLG GRADE 10'!$B$7:$B$49,0))="P")+
 --(INDEX('TH_MLG GRADE 10'!$K$7:$K$49,MATCH(LEFT($A109,LEN($A109)-2),'TH_MLG GRADE 10'!$B$7:$B$49,0))="P")+
 --(INDEX('TH_MLG GRADE 10'!$Q$7:$Q$49,MATCH(LEFT($A109,LEN($A109)-2),'TH_MLG GRADE 10'!$B$7:$B$49,0))="P")+
 --(INDEX('TH_MLG GRADE 10'!$AC$7:$AC$49,MATCH(LEFT($A109,LEN($A109)-2),'TH_MLG GRADE 10'!$B$7:$B$49,0))="P")+
 --(INDEX('TH_MLG GRADE 10'!$AI$7:$AI$49,MATCH(LEFT($A109,LEN($A109)-2),'TH_MLG GRADE 10'!$B$7:$B$49,0))="P")+
 --(INDEX('TH_MLG GRADE 10'!$AO$7:$AO$49,MATCH(LEFT($A109,LEN($A109)-2),'TH_MLG GRADE 10'!$B$7:$B$49,0))="P")+
 --(INDEX('TH_MLG GRADE 10'!$BA$7:$BA$49,MATCH(LEFT($A109,LEN($A109)-2),'TH_MLG GRADE 10'!$B$7:$B$49,0))="P")+
 --(INDEX('TH_MLG GRADE 10'!$BG$7:$BG$49,MATCH(LEFT($A109,LEN($A109)-2),'TH_MLG GRADE 10'!$B$7:$B$49,0))="P")+
 --(INDEX('TH_MLG GRADE 10'!$W$7:$W$49,MATCH(LEFT($A109,LEN($A109)-2),'TH_MLG GRADE 10'!$B$7:$B$49,0))="P")+
 --(INDEX('TH_MLG GRADE 10'!$AU$7:$AU$49,MATCH(LEFT($A109,LEN($A109)-2),'TH_MLG GRADE 10'!$B$7:$B$49,0))="P"),
0)</f>
        <v>0</v>
      </c>
      <c r="D109" s="144" t="b" cm="1">
        <f t="array" aca="1" ref="D109" ca="1">_xlfn.LET(_xlpm.k,LEFT($A109,LEN($A109)-2),_xlpm.idx,IFERROR(MATCH(_xlpm.k,'TH_MLG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0</v>
      </c>
      <c r="E109" s="25" t="str">
        <f t="shared" ca="1" si="2"/>
        <v/>
      </c>
      <c r="F109" s="24" t="s">
        <v>314</v>
      </c>
      <c r="G109">
        <v>2</v>
      </c>
      <c r="H109">
        <f>IFERROR(
 --(INDEX('PW_MLG GRADE 10'!$E$7:$E$31,MATCH(LEFT($A109,LEN($A109)-2),'PW_MLG GRADE 10'!$B$7:$B$31,0))="P")+
 --(INDEX('PW_MLG GRADE 10'!$K$7:$K$31,MATCH(LEFT($A109,LEN($A109)-2),'PW_MLG GRADE 10'!$B$7:$B$31,0))="P")+
 --(INDEX('PW_MLG GRADE 10'!$Q$7:$Q$31,MATCH(LEFT($A109,LEN($A109)-2),'PW_MLG GRADE 10'!$B$7:$B$31,0))="P")+
 --(INDEX('PW_MLG GRADE 10'!$AC$7:$AC$31,MATCH(LEFT($A109,LEN($A109)-2),'PW_MLG GRADE 10'!$B$7:$B$31,0))="P")+
 --(INDEX('PW_MLG GRADE 10'!$AI$7:$AI$31,MATCH(LEFT($A109,LEN($A109)-2),'PW_MLG GRADE 10'!$B$7:$B$31,0))="P")+
 --(INDEX('PW_MLG GRADE 10'!$AO$7:$AO$31,MATCH(LEFT($A109,LEN($A109)-2),'PW_MLG GRADE 10'!$B$7:$B$31,0))="P")+
 --(INDEX('PW_MLG GRADE 10'!$BA$7:$BA$31,MATCH(LEFT($A109,LEN($A109)-2),'PW_MLG GRADE 10'!$B$7:$B$31,0))="P")+
 --(INDEX('PW_MLG GRADE 10'!$BG$7:$BG$31,MATCH(LEFT($A109,LEN($A109)-2),'PW_MLG GRADE 10'!$B$7:$B$31,0))="P")+
 --(INDEX('PW_MLG GRADE 10'!$W$7:$W$31,MATCH(LEFT($A109,LEN($A109)-2),'PW_MLG GRADE 10'!$B$7:$B$31,0))="P")+
 --(INDEX('PW_MLG GRADE 10'!$AU$7:$AU$31,MATCH(LEFT($A109,LEN($A109)-2),'PW_MLG GRADE 10'!$B$7:$B$31,0))="P"),
0)</f>
        <v>1</v>
      </c>
      <c r="I109" s="144" t="b" cm="1">
        <f t="array" aca="1" ref="I109" ca="1">_xlfn.LET(_xlpm.k,LEFT($A109,LEN($A109)-2),_xlpm.idx,IFERROR(MATCH(_xlpm.k,'PW_MLG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1</v>
      </c>
      <c r="J109" s="25">
        <f t="shared" ca="1" si="3"/>
        <v>0.5</v>
      </c>
    </row>
    <row r="110" spans="1:10">
      <c r="A110" s="24" t="s">
        <v>315</v>
      </c>
      <c r="B110">
        <v>2</v>
      </c>
      <c r="C110">
        <f>IFERROR(
 --(INDEX('TH_MLG GRADE 10'!$E$7:$E$49,MATCH(LEFT($A110,LEN($A110)-2),'TH_MLG GRADE 10'!$B$7:$B$49,0))="P")+
 --(INDEX('TH_MLG GRADE 10'!$K$7:$K$49,MATCH(LEFT($A110,LEN($A110)-2),'TH_MLG GRADE 10'!$B$7:$B$49,0))="P")+
 --(INDEX('TH_MLG GRADE 10'!$Q$7:$Q$49,MATCH(LEFT($A110,LEN($A110)-2),'TH_MLG GRADE 10'!$B$7:$B$49,0))="P")+
 --(INDEX('TH_MLG GRADE 10'!$AC$7:$AC$49,MATCH(LEFT($A110,LEN($A110)-2),'TH_MLG GRADE 10'!$B$7:$B$49,0))="P")+
 --(INDEX('TH_MLG GRADE 10'!$AI$7:$AI$49,MATCH(LEFT($A110,LEN($A110)-2),'TH_MLG GRADE 10'!$B$7:$B$49,0))="P")+
 --(INDEX('TH_MLG GRADE 10'!$AO$7:$AO$49,MATCH(LEFT($A110,LEN($A110)-2),'TH_MLG GRADE 10'!$B$7:$B$49,0))="P")+
 --(INDEX('TH_MLG GRADE 10'!$BA$7:$BA$49,MATCH(LEFT($A110,LEN($A110)-2),'TH_MLG GRADE 10'!$B$7:$B$49,0))="P")+
 --(INDEX('TH_MLG GRADE 10'!$BG$7:$BG$49,MATCH(LEFT($A110,LEN($A110)-2),'TH_MLG GRADE 10'!$B$7:$B$49,0))="P")+
 --(INDEX('TH_MLG GRADE 10'!$W$7:$W$49,MATCH(LEFT($A110,LEN($A110)-2),'TH_MLG GRADE 10'!$B$7:$B$49,0))="P")+
 --(INDEX('TH_MLG GRADE 10'!$AU$7:$AU$49,MATCH(LEFT($A110,LEN($A110)-2),'TH_MLG GRADE 10'!$B$7:$B$49,0))="P"),
0)</f>
        <v>0</v>
      </c>
      <c r="D110" s="144" t="b" cm="1">
        <f t="array" aca="1" ref="D110" ca="1">_xlfn.LET(_xlpm.k,LEFT($A110,LEN($A110)-2),_xlpm.idx,IFERROR(MATCH(_xlpm.k,'TH_MLG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0</v>
      </c>
      <c r="E110" s="25" t="str">
        <f t="shared" ca="1" si="2"/>
        <v/>
      </c>
      <c r="F110" s="24" t="s">
        <v>315</v>
      </c>
      <c r="G110">
        <v>2</v>
      </c>
      <c r="H110">
        <f>IFERROR(
 --(INDEX('PW_MLG GRADE 10'!$E$7:$E$31,MATCH(LEFT($A110,LEN($A110)-2),'PW_MLG GRADE 10'!$B$7:$B$31,0))="P")+
 --(INDEX('PW_MLG GRADE 10'!$K$7:$K$31,MATCH(LEFT($A110,LEN($A110)-2),'PW_MLG GRADE 10'!$B$7:$B$31,0))="P")+
 --(INDEX('PW_MLG GRADE 10'!$Q$7:$Q$31,MATCH(LEFT($A110,LEN($A110)-2),'PW_MLG GRADE 10'!$B$7:$B$31,0))="P")+
 --(INDEX('PW_MLG GRADE 10'!$AC$7:$AC$31,MATCH(LEFT($A110,LEN($A110)-2),'PW_MLG GRADE 10'!$B$7:$B$31,0))="P")+
 --(INDEX('PW_MLG GRADE 10'!$AI$7:$AI$31,MATCH(LEFT($A110,LEN($A110)-2),'PW_MLG GRADE 10'!$B$7:$B$31,0))="P")+
 --(INDEX('PW_MLG GRADE 10'!$AO$7:$AO$31,MATCH(LEFT($A110,LEN($A110)-2),'PW_MLG GRADE 10'!$B$7:$B$31,0))="P")+
 --(INDEX('PW_MLG GRADE 10'!$BA$7:$BA$31,MATCH(LEFT($A110,LEN($A110)-2),'PW_MLG GRADE 10'!$B$7:$B$31,0))="P")+
 --(INDEX('PW_MLG GRADE 10'!$BG$7:$BG$31,MATCH(LEFT($A110,LEN($A110)-2),'PW_MLG GRADE 10'!$B$7:$B$31,0))="P")+
 --(INDEX('PW_MLG GRADE 10'!$W$7:$W$31,MATCH(LEFT($A110,LEN($A110)-2),'PW_MLG GRADE 10'!$B$7:$B$31,0))="P")+
 --(INDEX('PW_MLG GRADE 10'!$AU$7:$AU$31,MATCH(LEFT($A110,LEN($A110)-2),'PW_MLG GRADE 10'!$B$7:$B$31,0))="P"),
0)</f>
        <v>2</v>
      </c>
      <c r="I110" s="144" t="b" cm="1">
        <f t="array" aca="1" ref="I110" ca="1">_xlfn.LET(_xlpm.k,LEFT($A110,LEN($A110)-2),_xlpm.idx,IFERROR(MATCH(_xlpm.k,'PW_MLG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1</v>
      </c>
      <c r="J110" s="25">
        <f t="shared" ca="1" si="3"/>
        <v>1</v>
      </c>
    </row>
    <row r="111" spans="1:10">
      <c r="A111" s="24" t="s">
        <v>316</v>
      </c>
      <c r="B111">
        <v>2</v>
      </c>
      <c r="C111">
        <f>IFERROR(
 --(INDEX('TH_MLG GRADE 10'!$E$7:$E$49,MATCH(LEFT($A111,LEN($A111)-2),'TH_MLG GRADE 10'!$B$7:$B$49,0))="P")+
 --(INDEX('TH_MLG GRADE 10'!$K$7:$K$49,MATCH(LEFT($A111,LEN($A111)-2),'TH_MLG GRADE 10'!$B$7:$B$49,0))="P")+
 --(INDEX('TH_MLG GRADE 10'!$Q$7:$Q$49,MATCH(LEFT($A111,LEN($A111)-2),'TH_MLG GRADE 10'!$B$7:$B$49,0))="P")+
 --(INDEX('TH_MLG GRADE 10'!$AC$7:$AC$49,MATCH(LEFT($A111,LEN($A111)-2),'TH_MLG GRADE 10'!$B$7:$B$49,0))="P")+
 --(INDEX('TH_MLG GRADE 10'!$AI$7:$AI$49,MATCH(LEFT($A111,LEN($A111)-2),'TH_MLG GRADE 10'!$B$7:$B$49,0))="P")+
 --(INDEX('TH_MLG GRADE 10'!$AO$7:$AO$49,MATCH(LEFT($A111,LEN($A111)-2),'TH_MLG GRADE 10'!$B$7:$B$49,0))="P")+
 --(INDEX('TH_MLG GRADE 10'!$BA$7:$BA$49,MATCH(LEFT($A111,LEN($A111)-2),'TH_MLG GRADE 10'!$B$7:$B$49,0))="P")+
 --(INDEX('TH_MLG GRADE 10'!$BG$7:$BG$49,MATCH(LEFT($A111,LEN($A111)-2),'TH_MLG GRADE 10'!$B$7:$B$49,0))="P")+
 --(INDEX('TH_MLG GRADE 10'!$W$7:$W$49,MATCH(LEFT($A111,LEN($A111)-2),'TH_MLG GRADE 10'!$B$7:$B$49,0))="P")+
 --(INDEX('TH_MLG GRADE 10'!$AU$7:$AU$49,MATCH(LEFT($A111,LEN($A111)-2),'TH_MLG GRADE 10'!$B$7:$B$49,0))="P"),
0)</f>
        <v>3</v>
      </c>
      <c r="D111" s="144" t="b" cm="1">
        <f t="array" aca="1" ref="D111" ca="1">_xlfn.LET(_xlpm.k,LEFT($A111,LEN($A111)-2),_xlpm.idx,IFERROR(MATCH(_xlpm.k,'TH_MLG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11" s="25">
        <f t="shared" ca="1" si="2"/>
        <v>1</v>
      </c>
      <c r="F111" s="24" t="s">
        <v>316</v>
      </c>
      <c r="G111">
        <v>2</v>
      </c>
      <c r="H111">
        <f>IFERROR(
 --(INDEX('PW_MLG GRADE 10'!$E$7:$E$31,MATCH(LEFT($A111,LEN($A111)-2),'PW_MLG GRADE 10'!$B$7:$B$31,0))="P")+
 --(INDEX('PW_MLG GRADE 10'!$K$7:$K$31,MATCH(LEFT($A111,LEN($A111)-2),'PW_MLG GRADE 10'!$B$7:$B$31,0))="P")+
 --(INDEX('PW_MLG GRADE 10'!$Q$7:$Q$31,MATCH(LEFT($A111,LEN($A111)-2),'PW_MLG GRADE 10'!$B$7:$B$31,0))="P")+
 --(INDEX('PW_MLG GRADE 10'!$AC$7:$AC$31,MATCH(LEFT($A111,LEN($A111)-2),'PW_MLG GRADE 10'!$B$7:$B$31,0))="P")+
 --(INDEX('PW_MLG GRADE 10'!$AI$7:$AI$31,MATCH(LEFT($A111,LEN($A111)-2),'PW_MLG GRADE 10'!$B$7:$B$31,0))="P")+
 --(INDEX('PW_MLG GRADE 10'!$AO$7:$AO$31,MATCH(LEFT($A111,LEN($A111)-2),'PW_MLG GRADE 10'!$B$7:$B$31,0))="P")+
 --(INDEX('PW_MLG GRADE 10'!$BA$7:$BA$31,MATCH(LEFT($A111,LEN($A111)-2),'PW_MLG GRADE 10'!$B$7:$B$31,0))="P")+
 --(INDEX('PW_MLG GRADE 10'!$BG$7:$BG$31,MATCH(LEFT($A111,LEN($A111)-2),'PW_MLG GRADE 10'!$B$7:$B$31,0))="P")+
 --(INDEX('PW_MLG GRADE 10'!$W$7:$W$31,MATCH(LEFT($A111,LEN($A111)-2),'PW_MLG GRADE 10'!$B$7:$B$31,0))="P")+
 --(INDEX('PW_MLG GRADE 10'!$AU$7:$AU$31,MATCH(LEFT($A111,LEN($A111)-2),'PW_MLG GRADE 10'!$B$7:$B$31,0))="P"),
0)</f>
        <v>0</v>
      </c>
      <c r="I111" s="144" t="b" cm="1">
        <f t="array" aca="1" ref="I111" ca="1">_xlfn.LET(_xlpm.k,LEFT($A111,LEN($A111)-2),_xlpm.idx,IFERROR(MATCH(_xlpm.k,'PW_MLG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11" s="25" t="str">
        <f t="shared" ca="1" si="3"/>
        <v/>
      </c>
    </row>
    <row r="112" spans="1:10">
      <c r="A112" s="24" t="s">
        <v>317</v>
      </c>
      <c r="B112">
        <v>2</v>
      </c>
      <c r="C112">
        <f>IFERROR(
 --(INDEX('TH_MLG GRADE 10'!$E$7:$E$49,MATCH(LEFT($A112,LEN($A112)-2),'TH_MLG GRADE 10'!$B$7:$B$49,0))="P")+
 --(INDEX('TH_MLG GRADE 10'!$K$7:$K$49,MATCH(LEFT($A112,LEN($A112)-2),'TH_MLG GRADE 10'!$B$7:$B$49,0))="P")+
 --(INDEX('TH_MLG GRADE 10'!$Q$7:$Q$49,MATCH(LEFT($A112,LEN($A112)-2),'TH_MLG GRADE 10'!$B$7:$B$49,0))="P")+
 --(INDEX('TH_MLG GRADE 10'!$AC$7:$AC$49,MATCH(LEFT($A112,LEN($A112)-2),'TH_MLG GRADE 10'!$B$7:$B$49,0))="P")+
 --(INDEX('TH_MLG GRADE 10'!$AI$7:$AI$49,MATCH(LEFT($A112,LEN($A112)-2),'TH_MLG GRADE 10'!$B$7:$B$49,0))="P")+
 --(INDEX('TH_MLG GRADE 10'!$AO$7:$AO$49,MATCH(LEFT($A112,LEN($A112)-2),'TH_MLG GRADE 10'!$B$7:$B$49,0))="P")+
 --(INDEX('TH_MLG GRADE 10'!$BA$7:$BA$49,MATCH(LEFT($A112,LEN($A112)-2),'TH_MLG GRADE 10'!$B$7:$B$49,0))="P")+
 --(INDEX('TH_MLG GRADE 10'!$BG$7:$BG$49,MATCH(LEFT($A112,LEN($A112)-2),'TH_MLG GRADE 10'!$B$7:$B$49,0))="P")+
 --(INDEX('TH_MLG GRADE 10'!$W$7:$W$49,MATCH(LEFT($A112,LEN($A112)-2),'TH_MLG GRADE 10'!$B$7:$B$49,0))="P")+
 --(INDEX('TH_MLG GRADE 10'!$AU$7:$AU$49,MATCH(LEFT($A112,LEN($A112)-2),'TH_MLG GRADE 10'!$B$7:$B$49,0))="P"),
0)</f>
        <v>2</v>
      </c>
      <c r="D112" s="144" t="b" cm="1">
        <f t="array" aca="1" ref="D112" ca="1">_xlfn.LET(_xlpm.k,LEFT($A112,LEN($A112)-2),_xlpm.idx,IFERROR(MATCH(_xlpm.k,'TH_MLG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12" s="25">
        <f t="shared" ca="1" si="2"/>
        <v>1</v>
      </c>
      <c r="F112" s="24" t="s">
        <v>317</v>
      </c>
      <c r="G112">
        <v>2</v>
      </c>
      <c r="H112">
        <f>IFERROR(
 --(INDEX('PW_MLG GRADE 10'!$E$7:$E$31,MATCH(LEFT($A112,LEN($A112)-2),'PW_MLG GRADE 10'!$B$7:$B$31,0))="P")+
 --(INDEX('PW_MLG GRADE 10'!$K$7:$K$31,MATCH(LEFT($A112,LEN($A112)-2),'PW_MLG GRADE 10'!$B$7:$B$31,0))="P")+
 --(INDEX('PW_MLG GRADE 10'!$Q$7:$Q$31,MATCH(LEFT($A112,LEN($A112)-2),'PW_MLG GRADE 10'!$B$7:$B$31,0))="P")+
 --(INDEX('PW_MLG GRADE 10'!$AC$7:$AC$31,MATCH(LEFT($A112,LEN($A112)-2),'PW_MLG GRADE 10'!$B$7:$B$31,0))="P")+
 --(INDEX('PW_MLG GRADE 10'!$AI$7:$AI$31,MATCH(LEFT($A112,LEN($A112)-2),'PW_MLG GRADE 10'!$B$7:$B$31,0))="P")+
 --(INDEX('PW_MLG GRADE 10'!$AO$7:$AO$31,MATCH(LEFT($A112,LEN($A112)-2),'PW_MLG GRADE 10'!$B$7:$B$31,0))="P")+
 --(INDEX('PW_MLG GRADE 10'!$BA$7:$BA$31,MATCH(LEFT($A112,LEN($A112)-2),'PW_MLG GRADE 10'!$B$7:$B$31,0))="P")+
 --(INDEX('PW_MLG GRADE 10'!$BG$7:$BG$31,MATCH(LEFT($A112,LEN($A112)-2),'PW_MLG GRADE 10'!$B$7:$B$31,0))="P")+
 --(INDEX('PW_MLG GRADE 10'!$W$7:$W$31,MATCH(LEFT($A112,LEN($A112)-2),'PW_MLG GRADE 10'!$B$7:$B$31,0))="P")+
 --(INDEX('PW_MLG GRADE 10'!$AU$7:$AU$31,MATCH(LEFT($A112,LEN($A112)-2),'PW_MLG GRADE 10'!$B$7:$B$31,0))="P"),
0)</f>
        <v>0</v>
      </c>
      <c r="I112" s="144" t="b" cm="1">
        <f t="array" aca="1" ref="I112" ca="1">_xlfn.LET(_xlpm.k,LEFT($A112,LEN($A112)-2),_xlpm.idx,IFERROR(MATCH(_xlpm.k,'PW_MLG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12" s="25" t="str">
        <f t="shared" ca="1" si="3"/>
        <v/>
      </c>
    </row>
    <row r="113" spans="1:10">
      <c r="A113" s="24" t="s">
        <v>318</v>
      </c>
      <c r="B113">
        <v>2</v>
      </c>
      <c r="C113">
        <f>IFERROR(
 --(INDEX('TH_MLG GRADE 10'!$E$7:$E$49,MATCH(LEFT($A113,LEN($A113)-2),'TH_MLG GRADE 10'!$B$7:$B$49,0))="P")+
 --(INDEX('TH_MLG GRADE 10'!$K$7:$K$49,MATCH(LEFT($A113,LEN($A113)-2),'TH_MLG GRADE 10'!$B$7:$B$49,0))="P")+
 --(INDEX('TH_MLG GRADE 10'!$Q$7:$Q$49,MATCH(LEFT($A113,LEN($A113)-2),'TH_MLG GRADE 10'!$B$7:$B$49,0))="P")+
 --(INDEX('TH_MLG GRADE 10'!$AC$7:$AC$49,MATCH(LEFT($A113,LEN($A113)-2),'TH_MLG GRADE 10'!$B$7:$B$49,0))="P")+
 --(INDEX('TH_MLG GRADE 10'!$AI$7:$AI$49,MATCH(LEFT($A113,LEN($A113)-2),'TH_MLG GRADE 10'!$B$7:$B$49,0))="P")+
 --(INDEX('TH_MLG GRADE 10'!$AO$7:$AO$49,MATCH(LEFT($A113,LEN($A113)-2),'TH_MLG GRADE 10'!$B$7:$B$49,0))="P")+
 --(INDEX('TH_MLG GRADE 10'!$BA$7:$BA$49,MATCH(LEFT($A113,LEN($A113)-2),'TH_MLG GRADE 10'!$B$7:$B$49,0))="P")+
 --(INDEX('TH_MLG GRADE 10'!$BG$7:$BG$49,MATCH(LEFT($A113,LEN($A113)-2),'TH_MLG GRADE 10'!$B$7:$B$49,0))="P")+
 --(INDEX('TH_MLG GRADE 10'!$W$7:$W$49,MATCH(LEFT($A113,LEN($A113)-2),'TH_MLG GRADE 10'!$B$7:$B$49,0))="P")+
 --(INDEX('TH_MLG GRADE 10'!$AU$7:$AU$49,MATCH(LEFT($A113,LEN($A113)-2),'TH_MLG GRADE 10'!$B$7:$B$49,0))="P"),
0)</f>
        <v>4</v>
      </c>
      <c r="D113" s="144" t="b" cm="1">
        <f t="array" aca="1" ref="D113" ca="1">_xlfn.LET(_xlpm.k,LEFT($A113,LEN($A113)-2),_xlpm.idx,IFERROR(MATCH(_xlpm.k,'TH_MLG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13" s="25">
        <f t="shared" ca="1" si="2"/>
        <v>1</v>
      </c>
      <c r="F113" s="24" t="s">
        <v>318</v>
      </c>
      <c r="G113">
        <v>2</v>
      </c>
      <c r="H113">
        <f>IFERROR(
 --(INDEX('PW_MLG GRADE 10'!$E$7:$E$31,MATCH(LEFT($A113,LEN($A113)-2),'PW_MLG GRADE 10'!$B$7:$B$31,0))="P")+
 --(INDEX('PW_MLG GRADE 10'!$K$7:$K$31,MATCH(LEFT($A113,LEN($A113)-2),'PW_MLG GRADE 10'!$B$7:$B$31,0))="P")+
 --(INDEX('PW_MLG GRADE 10'!$Q$7:$Q$31,MATCH(LEFT($A113,LEN($A113)-2),'PW_MLG GRADE 10'!$B$7:$B$31,0))="P")+
 --(INDEX('PW_MLG GRADE 10'!$AC$7:$AC$31,MATCH(LEFT($A113,LEN($A113)-2),'PW_MLG GRADE 10'!$B$7:$B$31,0))="P")+
 --(INDEX('PW_MLG GRADE 10'!$AI$7:$AI$31,MATCH(LEFT($A113,LEN($A113)-2),'PW_MLG GRADE 10'!$B$7:$B$31,0))="P")+
 --(INDEX('PW_MLG GRADE 10'!$AO$7:$AO$31,MATCH(LEFT($A113,LEN($A113)-2),'PW_MLG GRADE 10'!$B$7:$B$31,0))="P")+
 --(INDEX('PW_MLG GRADE 10'!$BA$7:$BA$31,MATCH(LEFT($A113,LEN($A113)-2),'PW_MLG GRADE 10'!$B$7:$B$31,0))="P")+
 --(INDEX('PW_MLG GRADE 10'!$BG$7:$BG$31,MATCH(LEFT($A113,LEN($A113)-2),'PW_MLG GRADE 10'!$B$7:$B$31,0))="P")+
 --(INDEX('PW_MLG GRADE 10'!$W$7:$W$31,MATCH(LEFT($A113,LEN($A113)-2),'PW_MLG GRADE 10'!$B$7:$B$31,0))="P")+
 --(INDEX('PW_MLG GRADE 10'!$AU$7:$AU$31,MATCH(LEFT($A113,LEN($A113)-2),'PW_MLG GRADE 10'!$B$7:$B$31,0))="P"),
0)</f>
        <v>0</v>
      </c>
      <c r="I113" s="144" t="b" cm="1">
        <f t="array" aca="1" ref="I113" ca="1">_xlfn.LET(_xlpm.k,LEFT($A113,LEN($A113)-2),_xlpm.idx,IFERROR(MATCH(_xlpm.k,'PW_MLG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13" s="25" t="str">
        <f t="shared" ca="1" si="3"/>
        <v/>
      </c>
    </row>
    <row r="114" spans="1:10">
      <c r="A114" s="24" t="s">
        <v>319</v>
      </c>
      <c r="B114">
        <v>2</v>
      </c>
      <c r="C114">
        <f>IFERROR(
 --(INDEX('TH_MLG GRADE 10'!$E$7:$E$49,MATCH(LEFT($A114,LEN($A114)-2),'TH_MLG GRADE 10'!$B$7:$B$49,0))="P")+
 --(INDEX('TH_MLG GRADE 10'!$K$7:$K$49,MATCH(LEFT($A114,LEN($A114)-2),'TH_MLG GRADE 10'!$B$7:$B$49,0))="P")+
 --(INDEX('TH_MLG GRADE 10'!$Q$7:$Q$49,MATCH(LEFT($A114,LEN($A114)-2),'TH_MLG GRADE 10'!$B$7:$B$49,0))="P")+
 --(INDEX('TH_MLG GRADE 10'!$AC$7:$AC$49,MATCH(LEFT($A114,LEN($A114)-2),'TH_MLG GRADE 10'!$B$7:$B$49,0))="P")+
 --(INDEX('TH_MLG GRADE 10'!$AI$7:$AI$49,MATCH(LEFT($A114,LEN($A114)-2),'TH_MLG GRADE 10'!$B$7:$B$49,0))="P")+
 --(INDEX('TH_MLG GRADE 10'!$AO$7:$AO$49,MATCH(LEFT($A114,LEN($A114)-2),'TH_MLG GRADE 10'!$B$7:$B$49,0))="P")+
 --(INDEX('TH_MLG GRADE 10'!$BA$7:$BA$49,MATCH(LEFT($A114,LEN($A114)-2),'TH_MLG GRADE 10'!$B$7:$B$49,0))="P")+
 --(INDEX('TH_MLG GRADE 10'!$BG$7:$BG$49,MATCH(LEFT($A114,LEN($A114)-2),'TH_MLG GRADE 10'!$B$7:$B$49,0))="P")+
 --(INDEX('TH_MLG GRADE 10'!$W$7:$W$49,MATCH(LEFT($A114,LEN($A114)-2),'TH_MLG GRADE 10'!$B$7:$B$49,0))="P")+
 --(INDEX('TH_MLG GRADE 10'!$AU$7:$AU$49,MATCH(LEFT($A114,LEN($A114)-2),'TH_MLG GRADE 10'!$B$7:$B$49,0))="P"),
0)</f>
        <v>3</v>
      </c>
      <c r="D114" s="144" t="b" cm="1">
        <f t="array" aca="1" ref="D114" ca="1">_xlfn.LET(_xlpm.k,LEFT($A114,LEN($A114)-2),_xlpm.idx,IFERROR(MATCH(_xlpm.k,'TH_MLG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14" s="25">
        <f t="shared" ca="1" si="2"/>
        <v>1</v>
      </c>
      <c r="F114" s="24" t="s">
        <v>319</v>
      </c>
      <c r="G114">
        <v>2</v>
      </c>
      <c r="H114">
        <f>IFERROR(
 --(INDEX('PW_MLG GRADE 10'!$E$7:$E$31,MATCH(LEFT($A114,LEN($A114)-2),'PW_MLG GRADE 10'!$B$7:$B$31,0))="P")+
 --(INDEX('PW_MLG GRADE 10'!$K$7:$K$31,MATCH(LEFT($A114,LEN($A114)-2),'PW_MLG GRADE 10'!$B$7:$B$31,0))="P")+
 --(INDEX('PW_MLG GRADE 10'!$Q$7:$Q$31,MATCH(LEFT($A114,LEN($A114)-2),'PW_MLG GRADE 10'!$B$7:$B$31,0))="P")+
 --(INDEX('PW_MLG GRADE 10'!$AC$7:$AC$31,MATCH(LEFT($A114,LEN($A114)-2),'PW_MLG GRADE 10'!$B$7:$B$31,0))="P")+
 --(INDEX('PW_MLG GRADE 10'!$AI$7:$AI$31,MATCH(LEFT($A114,LEN($A114)-2),'PW_MLG GRADE 10'!$B$7:$B$31,0))="P")+
 --(INDEX('PW_MLG GRADE 10'!$AO$7:$AO$31,MATCH(LEFT($A114,LEN($A114)-2),'PW_MLG GRADE 10'!$B$7:$B$31,0))="P")+
 --(INDEX('PW_MLG GRADE 10'!$BA$7:$BA$31,MATCH(LEFT($A114,LEN($A114)-2),'PW_MLG GRADE 10'!$B$7:$B$31,0))="P")+
 --(INDEX('PW_MLG GRADE 10'!$BG$7:$BG$31,MATCH(LEFT($A114,LEN($A114)-2),'PW_MLG GRADE 10'!$B$7:$B$31,0))="P")+
 --(INDEX('PW_MLG GRADE 10'!$W$7:$W$31,MATCH(LEFT($A114,LEN($A114)-2),'PW_MLG GRADE 10'!$B$7:$B$31,0))="P")+
 --(INDEX('PW_MLG GRADE 10'!$AU$7:$AU$31,MATCH(LEFT($A114,LEN($A114)-2),'PW_MLG GRADE 10'!$B$7:$B$31,0))="P"),
0)</f>
        <v>0</v>
      </c>
      <c r="I114" s="144" t="b" cm="1">
        <f t="array" aca="1" ref="I114" ca="1">_xlfn.LET(_xlpm.k,LEFT($A114,LEN($A114)-2),_xlpm.idx,IFERROR(MATCH(_xlpm.k,'PW_MLG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14" s="25" t="str">
        <f t="shared" ca="1" si="3"/>
        <v/>
      </c>
    </row>
    <row r="115" spans="1:10">
      <c r="A115" s="24" t="s">
        <v>320</v>
      </c>
      <c r="B115">
        <v>2</v>
      </c>
      <c r="C115">
        <f>IFERROR(
 --(INDEX('TH_MLG GRADE 10'!$E$7:$E$49,MATCH(LEFT($A115,LEN($A115)-2),'TH_MLG GRADE 10'!$B$7:$B$49,0))="P")+
 --(INDEX('TH_MLG GRADE 10'!$K$7:$K$49,MATCH(LEFT($A115,LEN($A115)-2),'TH_MLG GRADE 10'!$B$7:$B$49,0))="P")+
 --(INDEX('TH_MLG GRADE 10'!$Q$7:$Q$49,MATCH(LEFT($A115,LEN($A115)-2),'TH_MLG GRADE 10'!$B$7:$B$49,0))="P")+
 --(INDEX('TH_MLG GRADE 10'!$AC$7:$AC$49,MATCH(LEFT($A115,LEN($A115)-2),'TH_MLG GRADE 10'!$B$7:$B$49,0))="P")+
 --(INDEX('TH_MLG GRADE 10'!$AI$7:$AI$49,MATCH(LEFT($A115,LEN($A115)-2),'TH_MLG GRADE 10'!$B$7:$B$49,0))="P")+
 --(INDEX('TH_MLG GRADE 10'!$AO$7:$AO$49,MATCH(LEFT($A115,LEN($A115)-2),'TH_MLG GRADE 10'!$B$7:$B$49,0))="P")+
 --(INDEX('TH_MLG GRADE 10'!$BA$7:$BA$49,MATCH(LEFT($A115,LEN($A115)-2),'TH_MLG GRADE 10'!$B$7:$B$49,0))="P")+
 --(INDEX('TH_MLG GRADE 10'!$BG$7:$BG$49,MATCH(LEFT($A115,LEN($A115)-2),'TH_MLG GRADE 10'!$B$7:$B$49,0))="P")+
 --(INDEX('TH_MLG GRADE 10'!$W$7:$W$49,MATCH(LEFT($A115,LEN($A115)-2),'TH_MLG GRADE 10'!$B$7:$B$49,0))="P")+
 --(INDEX('TH_MLG GRADE 10'!$AU$7:$AU$49,MATCH(LEFT($A115,LEN($A115)-2),'TH_MLG GRADE 10'!$B$7:$B$49,0))="P"),
0)</f>
        <v>3</v>
      </c>
      <c r="D115" s="144" t="b" cm="1">
        <f t="array" aca="1" ref="D115" ca="1">_xlfn.LET(_xlpm.k,LEFT($A115,LEN($A115)-2),_xlpm.idx,IFERROR(MATCH(_xlpm.k,'TH_MLG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15" s="25">
        <f t="shared" ca="1" si="2"/>
        <v>1</v>
      </c>
      <c r="F115" s="24" t="s">
        <v>320</v>
      </c>
      <c r="G115">
        <v>2</v>
      </c>
      <c r="H115">
        <f>IFERROR(
 --(INDEX('PW_MLG GRADE 10'!$E$7:$E$31,MATCH(LEFT($A115,LEN($A115)-2),'PW_MLG GRADE 10'!$B$7:$B$31,0))="P")+
 --(INDEX('PW_MLG GRADE 10'!$K$7:$K$31,MATCH(LEFT($A115,LEN($A115)-2),'PW_MLG GRADE 10'!$B$7:$B$31,0))="P")+
 --(INDEX('PW_MLG GRADE 10'!$Q$7:$Q$31,MATCH(LEFT($A115,LEN($A115)-2),'PW_MLG GRADE 10'!$B$7:$B$31,0))="P")+
 --(INDEX('PW_MLG GRADE 10'!$AC$7:$AC$31,MATCH(LEFT($A115,LEN($A115)-2),'PW_MLG GRADE 10'!$B$7:$B$31,0))="P")+
 --(INDEX('PW_MLG GRADE 10'!$AI$7:$AI$31,MATCH(LEFT($A115,LEN($A115)-2),'PW_MLG GRADE 10'!$B$7:$B$31,0))="P")+
 --(INDEX('PW_MLG GRADE 10'!$AO$7:$AO$31,MATCH(LEFT($A115,LEN($A115)-2),'PW_MLG GRADE 10'!$B$7:$B$31,0))="P")+
 --(INDEX('PW_MLG GRADE 10'!$BA$7:$BA$31,MATCH(LEFT($A115,LEN($A115)-2),'PW_MLG GRADE 10'!$B$7:$B$31,0))="P")+
 --(INDEX('PW_MLG GRADE 10'!$BG$7:$BG$31,MATCH(LEFT($A115,LEN($A115)-2),'PW_MLG GRADE 10'!$B$7:$B$31,0))="P")+
 --(INDEX('PW_MLG GRADE 10'!$W$7:$W$31,MATCH(LEFT($A115,LEN($A115)-2),'PW_MLG GRADE 10'!$B$7:$B$31,0))="P")+
 --(INDEX('PW_MLG GRADE 10'!$AU$7:$AU$31,MATCH(LEFT($A115,LEN($A115)-2),'PW_MLG GRADE 10'!$B$7:$B$31,0))="P"),
0)</f>
        <v>0</v>
      </c>
      <c r="I115" s="144" t="b" cm="1">
        <f t="array" aca="1" ref="I115" ca="1">_xlfn.LET(_xlpm.k,LEFT($A115,LEN($A115)-2),_xlpm.idx,IFERROR(MATCH(_xlpm.k,'PW_MLG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15" s="25" t="str">
        <f t="shared" ca="1" si="3"/>
        <v/>
      </c>
    </row>
    <row r="116" spans="1:10">
      <c r="A116" s="24" t="s">
        <v>321</v>
      </c>
      <c r="B116">
        <v>2</v>
      </c>
      <c r="C116">
        <f>IFERROR(
 --(INDEX('TH_MLG GRADE 10'!$E$7:$E$49,MATCH(LEFT($A116,LEN($A116)-2),'TH_MLG GRADE 10'!$B$7:$B$49,0))="P")+
 --(INDEX('TH_MLG GRADE 10'!$K$7:$K$49,MATCH(LEFT($A116,LEN($A116)-2),'TH_MLG GRADE 10'!$B$7:$B$49,0))="P")+
 --(INDEX('TH_MLG GRADE 10'!$Q$7:$Q$49,MATCH(LEFT($A116,LEN($A116)-2),'TH_MLG GRADE 10'!$B$7:$B$49,0))="P")+
 --(INDEX('TH_MLG GRADE 10'!$AC$7:$AC$49,MATCH(LEFT($A116,LEN($A116)-2),'TH_MLG GRADE 10'!$B$7:$B$49,0))="P")+
 --(INDEX('TH_MLG GRADE 10'!$AI$7:$AI$49,MATCH(LEFT($A116,LEN($A116)-2),'TH_MLG GRADE 10'!$B$7:$B$49,0))="P")+
 --(INDEX('TH_MLG GRADE 10'!$AO$7:$AO$49,MATCH(LEFT($A116,LEN($A116)-2),'TH_MLG GRADE 10'!$B$7:$B$49,0))="P")+
 --(INDEX('TH_MLG GRADE 10'!$BA$7:$BA$49,MATCH(LEFT($A116,LEN($A116)-2),'TH_MLG GRADE 10'!$B$7:$B$49,0))="P")+
 --(INDEX('TH_MLG GRADE 10'!$BG$7:$BG$49,MATCH(LEFT($A116,LEN($A116)-2),'TH_MLG GRADE 10'!$B$7:$B$49,0))="P")+
 --(INDEX('TH_MLG GRADE 10'!$W$7:$W$49,MATCH(LEFT($A116,LEN($A116)-2),'TH_MLG GRADE 10'!$B$7:$B$49,0))="P")+
 --(INDEX('TH_MLG GRADE 10'!$AU$7:$AU$49,MATCH(LEFT($A116,LEN($A116)-2),'TH_MLG GRADE 10'!$B$7:$B$49,0))="P"),
0)</f>
        <v>2</v>
      </c>
      <c r="D116" s="144" t="b" cm="1">
        <f t="array" aca="1" ref="D116" ca="1">_xlfn.LET(_xlpm.k,LEFT($A116,LEN($A116)-2),_xlpm.idx,IFERROR(MATCH(_xlpm.k,'TH_MLG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16" s="25">
        <f t="shared" ca="1" si="2"/>
        <v>1</v>
      </c>
      <c r="F116" s="24" t="s">
        <v>321</v>
      </c>
      <c r="G116">
        <v>2</v>
      </c>
      <c r="H116">
        <f>IFERROR(
 --(INDEX('PW_MLG GRADE 10'!$E$7:$E$31,MATCH(LEFT($A116,LEN($A116)-2),'PW_MLG GRADE 10'!$B$7:$B$31,0))="P")+
 --(INDEX('PW_MLG GRADE 10'!$K$7:$K$31,MATCH(LEFT($A116,LEN($A116)-2),'PW_MLG GRADE 10'!$B$7:$B$31,0))="P")+
 --(INDEX('PW_MLG GRADE 10'!$Q$7:$Q$31,MATCH(LEFT($A116,LEN($A116)-2),'PW_MLG GRADE 10'!$B$7:$B$31,0))="P")+
 --(INDEX('PW_MLG GRADE 10'!$AC$7:$AC$31,MATCH(LEFT($A116,LEN($A116)-2),'PW_MLG GRADE 10'!$B$7:$B$31,0))="P")+
 --(INDEX('PW_MLG GRADE 10'!$AI$7:$AI$31,MATCH(LEFT($A116,LEN($A116)-2),'PW_MLG GRADE 10'!$B$7:$B$31,0))="P")+
 --(INDEX('PW_MLG GRADE 10'!$AO$7:$AO$31,MATCH(LEFT($A116,LEN($A116)-2),'PW_MLG GRADE 10'!$B$7:$B$31,0))="P")+
 --(INDEX('PW_MLG GRADE 10'!$BA$7:$BA$31,MATCH(LEFT($A116,LEN($A116)-2),'PW_MLG GRADE 10'!$B$7:$B$31,0))="P")+
 --(INDEX('PW_MLG GRADE 10'!$BG$7:$BG$31,MATCH(LEFT($A116,LEN($A116)-2),'PW_MLG GRADE 10'!$B$7:$B$31,0))="P")+
 --(INDEX('PW_MLG GRADE 10'!$W$7:$W$31,MATCH(LEFT($A116,LEN($A116)-2),'PW_MLG GRADE 10'!$B$7:$B$31,0))="P")+
 --(INDEX('PW_MLG GRADE 10'!$AU$7:$AU$31,MATCH(LEFT($A116,LEN($A116)-2),'PW_MLG GRADE 10'!$B$7:$B$31,0))="P"),
0)</f>
        <v>0</v>
      </c>
      <c r="I116" s="144" t="b" cm="1">
        <f t="array" aca="1" ref="I116" ca="1">_xlfn.LET(_xlpm.k,LEFT($A116,LEN($A116)-2),_xlpm.idx,IFERROR(MATCH(_xlpm.k,'PW_MLG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16" s="25" t="str">
        <f t="shared" ca="1" si="3"/>
        <v/>
      </c>
    </row>
    <row r="117" spans="1:10">
      <c r="A117" s="24" t="s">
        <v>322</v>
      </c>
      <c r="B117">
        <v>2</v>
      </c>
      <c r="C117">
        <f>IFERROR(
 --(INDEX('TH_MLG GRADE 10'!$E$7:$E$49,MATCH(LEFT($A117,LEN($A117)-2),'TH_MLG GRADE 10'!$B$7:$B$49,0))="P")+
 --(INDEX('TH_MLG GRADE 10'!$K$7:$K$49,MATCH(LEFT($A117,LEN($A117)-2),'TH_MLG GRADE 10'!$B$7:$B$49,0))="P")+
 --(INDEX('TH_MLG GRADE 10'!$Q$7:$Q$49,MATCH(LEFT($A117,LEN($A117)-2),'TH_MLG GRADE 10'!$B$7:$B$49,0))="P")+
 --(INDEX('TH_MLG GRADE 10'!$AC$7:$AC$49,MATCH(LEFT($A117,LEN($A117)-2),'TH_MLG GRADE 10'!$B$7:$B$49,0))="P")+
 --(INDEX('TH_MLG GRADE 10'!$AI$7:$AI$49,MATCH(LEFT($A117,LEN($A117)-2),'TH_MLG GRADE 10'!$B$7:$B$49,0))="P")+
 --(INDEX('TH_MLG GRADE 10'!$AO$7:$AO$49,MATCH(LEFT($A117,LEN($A117)-2),'TH_MLG GRADE 10'!$B$7:$B$49,0))="P")+
 --(INDEX('TH_MLG GRADE 10'!$BA$7:$BA$49,MATCH(LEFT($A117,LEN($A117)-2),'TH_MLG GRADE 10'!$B$7:$B$49,0))="P")+
 --(INDEX('TH_MLG GRADE 10'!$BG$7:$BG$49,MATCH(LEFT($A117,LEN($A117)-2),'TH_MLG GRADE 10'!$B$7:$B$49,0))="P")+
 --(INDEX('TH_MLG GRADE 10'!$W$7:$W$49,MATCH(LEFT($A117,LEN($A117)-2),'TH_MLG GRADE 10'!$B$7:$B$49,0))="P")+
 --(INDEX('TH_MLG GRADE 10'!$AU$7:$AU$49,MATCH(LEFT($A117,LEN($A117)-2),'TH_MLG GRADE 10'!$B$7:$B$49,0))="P"),
0)</f>
        <v>2</v>
      </c>
      <c r="D117" s="144" t="b" cm="1">
        <f t="array" aca="1" ref="D117" ca="1">_xlfn.LET(_xlpm.k,LEFT($A117,LEN($A117)-2),_xlpm.idx,IFERROR(MATCH(_xlpm.k,'TH_MLG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17" s="25">
        <f t="shared" ca="1" si="2"/>
        <v>1</v>
      </c>
      <c r="F117" s="24" t="s">
        <v>322</v>
      </c>
      <c r="G117">
        <v>2</v>
      </c>
      <c r="H117">
        <f>IFERROR(
 --(INDEX('PW_MLG GRADE 10'!$E$7:$E$31,MATCH(LEFT($A117,LEN($A117)-2),'PW_MLG GRADE 10'!$B$7:$B$31,0))="P")+
 --(INDEX('PW_MLG GRADE 10'!$K$7:$K$31,MATCH(LEFT($A117,LEN($A117)-2),'PW_MLG GRADE 10'!$B$7:$B$31,0))="P")+
 --(INDEX('PW_MLG GRADE 10'!$Q$7:$Q$31,MATCH(LEFT($A117,LEN($A117)-2),'PW_MLG GRADE 10'!$B$7:$B$31,0))="P")+
 --(INDEX('PW_MLG GRADE 10'!$AC$7:$AC$31,MATCH(LEFT($A117,LEN($A117)-2),'PW_MLG GRADE 10'!$B$7:$B$31,0))="P")+
 --(INDEX('PW_MLG GRADE 10'!$AI$7:$AI$31,MATCH(LEFT($A117,LEN($A117)-2),'PW_MLG GRADE 10'!$B$7:$B$31,0))="P")+
 --(INDEX('PW_MLG GRADE 10'!$AO$7:$AO$31,MATCH(LEFT($A117,LEN($A117)-2),'PW_MLG GRADE 10'!$B$7:$B$31,0))="P")+
 --(INDEX('PW_MLG GRADE 10'!$BA$7:$BA$31,MATCH(LEFT($A117,LEN($A117)-2),'PW_MLG GRADE 10'!$B$7:$B$31,0))="P")+
 --(INDEX('PW_MLG GRADE 10'!$BG$7:$BG$31,MATCH(LEFT($A117,LEN($A117)-2),'PW_MLG GRADE 10'!$B$7:$B$31,0))="P")+
 --(INDEX('PW_MLG GRADE 10'!$W$7:$W$31,MATCH(LEFT($A117,LEN($A117)-2),'PW_MLG GRADE 10'!$B$7:$B$31,0))="P")+
 --(INDEX('PW_MLG GRADE 10'!$AU$7:$AU$31,MATCH(LEFT($A117,LEN($A117)-2),'PW_MLG GRADE 10'!$B$7:$B$31,0))="P"),
0)</f>
        <v>0</v>
      </c>
      <c r="I117" s="144" t="b" cm="1">
        <f t="array" aca="1" ref="I117" ca="1">_xlfn.LET(_xlpm.k,LEFT($A117,LEN($A117)-2),_xlpm.idx,IFERROR(MATCH(_xlpm.k,'PW_MLG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17" s="25" t="str">
        <f t="shared" ca="1" si="3"/>
        <v/>
      </c>
    </row>
    <row r="118" spans="1:10">
      <c r="A118" s="24" t="s">
        <v>323</v>
      </c>
      <c r="B118">
        <v>2</v>
      </c>
      <c r="C118">
        <f>IFERROR(
 --(INDEX('TH_MLG GRADE 10'!$E$7:$E$49,MATCH(LEFT($A118,LEN($A118)-2),'TH_MLG GRADE 10'!$B$7:$B$49,0))="P")+
 --(INDEX('TH_MLG GRADE 10'!$K$7:$K$49,MATCH(LEFT($A118,LEN($A118)-2),'TH_MLG GRADE 10'!$B$7:$B$49,0))="P")+
 --(INDEX('TH_MLG GRADE 10'!$Q$7:$Q$49,MATCH(LEFT($A118,LEN($A118)-2),'TH_MLG GRADE 10'!$B$7:$B$49,0))="P")+
 --(INDEX('TH_MLG GRADE 10'!$AC$7:$AC$49,MATCH(LEFT($A118,LEN($A118)-2),'TH_MLG GRADE 10'!$B$7:$B$49,0))="P")+
 --(INDEX('TH_MLG GRADE 10'!$AI$7:$AI$49,MATCH(LEFT($A118,LEN($A118)-2),'TH_MLG GRADE 10'!$B$7:$B$49,0))="P")+
 --(INDEX('TH_MLG GRADE 10'!$AO$7:$AO$49,MATCH(LEFT($A118,LEN($A118)-2),'TH_MLG GRADE 10'!$B$7:$B$49,0))="P")+
 --(INDEX('TH_MLG GRADE 10'!$BA$7:$BA$49,MATCH(LEFT($A118,LEN($A118)-2),'TH_MLG GRADE 10'!$B$7:$B$49,0))="P")+
 --(INDEX('TH_MLG GRADE 10'!$BG$7:$BG$49,MATCH(LEFT($A118,LEN($A118)-2),'TH_MLG GRADE 10'!$B$7:$B$49,0))="P")+
 --(INDEX('TH_MLG GRADE 10'!$W$7:$W$49,MATCH(LEFT($A118,LEN($A118)-2),'TH_MLG GRADE 10'!$B$7:$B$49,0))="P")+
 --(INDEX('TH_MLG GRADE 10'!$AU$7:$AU$49,MATCH(LEFT($A118,LEN($A118)-2),'TH_MLG GRADE 10'!$B$7:$B$49,0))="P"),
0)</f>
        <v>3</v>
      </c>
      <c r="D118" s="144" t="b" cm="1">
        <f t="array" aca="1" ref="D118" ca="1">_xlfn.LET(_xlpm.k,LEFT($A118,LEN($A118)-2),_xlpm.idx,IFERROR(MATCH(_xlpm.k,'TH_MLG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18" s="25">
        <f t="shared" ca="1" si="2"/>
        <v>1</v>
      </c>
      <c r="F118" s="24" t="s">
        <v>323</v>
      </c>
      <c r="G118">
        <v>2</v>
      </c>
      <c r="H118">
        <f>IFERROR(
 --(INDEX('PW_MLG GRADE 10'!$E$7:$E$31,MATCH(LEFT($A118,LEN($A118)-2),'PW_MLG GRADE 10'!$B$7:$B$31,0))="P")+
 --(INDEX('PW_MLG GRADE 10'!$K$7:$K$31,MATCH(LEFT($A118,LEN($A118)-2),'PW_MLG GRADE 10'!$B$7:$B$31,0))="P")+
 --(INDEX('PW_MLG GRADE 10'!$Q$7:$Q$31,MATCH(LEFT($A118,LEN($A118)-2),'PW_MLG GRADE 10'!$B$7:$B$31,0))="P")+
 --(INDEX('PW_MLG GRADE 10'!$AC$7:$AC$31,MATCH(LEFT($A118,LEN($A118)-2),'PW_MLG GRADE 10'!$B$7:$B$31,0))="P")+
 --(INDEX('PW_MLG GRADE 10'!$AI$7:$AI$31,MATCH(LEFT($A118,LEN($A118)-2),'PW_MLG GRADE 10'!$B$7:$B$31,0))="P")+
 --(INDEX('PW_MLG GRADE 10'!$AO$7:$AO$31,MATCH(LEFT($A118,LEN($A118)-2),'PW_MLG GRADE 10'!$B$7:$B$31,0))="P")+
 --(INDEX('PW_MLG GRADE 10'!$BA$7:$BA$31,MATCH(LEFT($A118,LEN($A118)-2),'PW_MLG GRADE 10'!$B$7:$B$31,0))="P")+
 --(INDEX('PW_MLG GRADE 10'!$BG$7:$BG$31,MATCH(LEFT($A118,LEN($A118)-2),'PW_MLG GRADE 10'!$B$7:$B$31,0))="P")+
 --(INDEX('PW_MLG GRADE 10'!$W$7:$W$31,MATCH(LEFT($A118,LEN($A118)-2),'PW_MLG GRADE 10'!$B$7:$B$31,0))="P")+
 --(INDEX('PW_MLG GRADE 10'!$AU$7:$AU$31,MATCH(LEFT($A118,LEN($A118)-2),'PW_MLG GRADE 10'!$B$7:$B$31,0))="P"),
0)</f>
        <v>0</v>
      </c>
      <c r="I118" s="144" t="b" cm="1">
        <f t="array" aca="1" ref="I118" ca="1">_xlfn.LET(_xlpm.k,LEFT($A118,LEN($A118)-2),_xlpm.idx,IFERROR(MATCH(_xlpm.k,'PW_MLG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18" s="25" t="str">
        <f t="shared" ca="1" si="3"/>
        <v/>
      </c>
    </row>
    <row r="119" spans="1:10">
      <c r="A119" s="24" t="s">
        <v>324</v>
      </c>
      <c r="B119">
        <v>2</v>
      </c>
      <c r="C119">
        <f>IFERROR(
 --(INDEX('TH_MLG GRADE 10'!$E$7:$E$49,MATCH(LEFT($A119,LEN($A119)-2),'TH_MLG GRADE 10'!$B$7:$B$49,0))="P")+
 --(INDEX('TH_MLG GRADE 10'!$K$7:$K$49,MATCH(LEFT($A119,LEN($A119)-2),'TH_MLG GRADE 10'!$B$7:$B$49,0))="P")+
 --(INDEX('TH_MLG GRADE 10'!$Q$7:$Q$49,MATCH(LEFT($A119,LEN($A119)-2),'TH_MLG GRADE 10'!$B$7:$B$49,0))="P")+
 --(INDEX('TH_MLG GRADE 10'!$AC$7:$AC$49,MATCH(LEFT($A119,LEN($A119)-2),'TH_MLG GRADE 10'!$B$7:$B$49,0))="P")+
 --(INDEX('TH_MLG GRADE 10'!$AI$7:$AI$49,MATCH(LEFT($A119,LEN($A119)-2),'TH_MLG GRADE 10'!$B$7:$B$49,0))="P")+
 --(INDEX('TH_MLG GRADE 10'!$AO$7:$AO$49,MATCH(LEFT($A119,LEN($A119)-2),'TH_MLG GRADE 10'!$B$7:$B$49,0))="P")+
 --(INDEX('TH_MLG GRADE 10'!$BA$7:$BA$49,MATCH(LEFT($A119,LEN($A119)-2),'TH_MLG GRADE 10'!$B$7:$B$49,0))="P")+
 --(INDEX('TH_MLG GRADE 10'!$BG$7:$BG$49,MATCH(LEFT($A119,LEN($A119)-2),'TH_MLG GRADE 10'!$B$7:$B$49,0))="P")+
 --(INDEX('TH_MLG GRADE 10'!$W$7:$W$49,MATCH(LEFT($A119,LEN($A119)-2),'TH_MLG GRADE 10'!$B$7:$B$49,0))="P")+
 --(INDEX('TH_MLG GRADE 10'!$AU$7:$AU$49,MATCH(LEFT($A119,LEN($A119)-2),'TH_MLG GRADE 10'!$B$7:$B$49,0))="P"),
0)</f>
        <v>2</v>
      </c>
      <c r="D119" s="144" t="b" cm="1">
        <f t="array" aca="1" ref="D119" ca="1">_xlfn.LET(_xlpm.k,LEFT($A119,LEN($A119)-2),_xlpm.idx,IFERROR(MATCH(_xlpm.k,'TH_MLG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19" s="25">
        <f t="shared" ca="1" si="2"/>
        <v>1</v>
      </c>
      <c r="F119" s="24" t="s">
        <v>324</v>
      </c>
      <c r="G119">
        <v>2</v>
      </c>
      <c r="H119">
        <f>IFERROR(
 --(INDEX('PW_MLG GRADE 10'!$E$7:$E$31,MATCH(LEFT($A119,LEN($A119)-2),'PW_MLG GRADE 10'!$B$7:$B$31,0))="P")+
 --(INDEX('PW_MLG GRADE 10'!$K$7:$K$31,MATCH(LEFT($A119,LEN($A119)-2),'PW_MLG GRADE 10'!$B$7:$B$31,0))="P")+
 --(INDEX('PW_MLG GRADE 10'!$Q$7:$Q$31,MATCH(LEFT($A119,LEN($A119)-2),'PW_MLG GRADE 10'!$B$7:$B$31,0))="P")+
 --(INDEX('PW_MLG GRADE 10'!$AC$7:$AC$31,MATCH(LEFT($A119,LEN($A119)-2),'PW_MLG GRADE 10'!$B$7:$B$31,0))="P")+
 --(INDEX('PW_MLG GRADE 10'!$AI$7:$AI$31,MATCH(LEFT($A119,LEN($A119)-2),'PW_MLG GRADE 10'!$B$7:$B$31,0))="P")+
 --(INDEX('PW_MLG GRADE 10'!$AO$7:$AO$31,MATCH(LEFT($A119,LEN($A119)-2),'PW_MLG GRADE 10'!$B$7:$B$31,0))="P")+
 --(INDEX('PW_MLG GRADE 10'!$BA$7:$BA$31,MATCH(LEFT($A119,LEN($A119)-2),'PW_MLG GRADE 10'!$B$7:$B$31,0))="P")+
 --(INDEX('PW_MLG GRADE 10'!$BG$7:$BG$31,MATCH(LEFT($A119,LEN($A119)-2),'PW_MLG GRADE 10'!$B$7:$B$31,0))="P")+
 --(INDEX('PW_MLG GRADE 10'!$W$7:$W$31,MATCH(LEFT($A119,LEN($A119)-2),'PW_MLG GRADE 10'!$B$7:$B$31,0))="P")+
 --(INDEX('PW_MLG GRADE 10'!$AU$7:$AU$31,MATCH(LEFT($A119,LEN($A119)-2),'PW_MLG GRADE 10'!$B$7:$B$31,0))="P"),
0)</f>
        <v>0</v>
      </c>
      <c r="I119" s="144" t="b" cm="1">
        <f t="array" aca="1" ref="I119" ca="1">_xlfn.LET(_xlpm.k,LEFT($A119,LEN($A119)-2),_xlpm.idx,IFERROR(MATCH(_xlpm.k,'PW_MLG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19" s="25" t="str">
        <f t="shared" ca="1" si="3"/>
        <v/>
      </c>
    </row>
    <row r="120" spans="1:10">
      <c r="A120" s="24" t="s">
        <v>325</v>
      </c>
      <c r="B120">
        <v>2</v>
      </c>
      <c r="C120">
        <f>IFERROR(
 --(INDEX('TH_MLG GRADE 10'!$E$7:$E$49,MATCH(LEFT($A120,LEN($A120)-2),'TH_MLG GRADE 10'!$B$7:$B$49,0))="P")+
 --(INDEX('TH_MLG GRADE 10'!$K$7:$K$49,MATCH(LEFT($A120,LEN($A120)-2),'TH_MLG GRADE 10'!$B$7:$B$49,0))="P")+
 --(INDEX('TH_MLG GRADE 10'!$Q$7:$Q$49,MATCH(LEFT($A120,LEN($A120)-2),'TH_MLG GRADE 10'!$B$7:$B$49,0))="P")+
 --(INDEX('TH_MLG GRADE 10'!$AC$7:$AC$49,MATCH(LEFT($A120,LEN($A120)-2),'TH_MLG GRADE 10'!$B$7:$B$49,0))="P")+
 --(INDEX('TH_MLG GRADE 10'!$AI$7:$AI$49,MATCH(LEFT($A120,LEN($A120)-2),'TH_MLG GRADE 10'!$B$7:$B$49,0))="P")+
 --(INDEX('TH_MLG GRADE 10'!$AO$7:$AO$49,MATCH(LEFT($A120,LEN($A120)-2),'TH_MLG GRADE 10'!$B$7:$B$49,0))="P")+
 --(INDEX('TH_MLG GRADE 10'!$BA$7:$BA$49,MATCH(LEFT($A120,LEN($A120)-2),'TH_MLG GRADE 10'!$B$7:$B$49,0))="P")+
 --(INDEX('TH_MLG GRADE 10'!$BG$7:$BG$49,MATCH(LEFT($A120,LEN($A120)-2),'TH_MLG GRADE 10'!$B$7:$B$49,0))="P")+
 --(INDEX('TH_MLG GRADE 10'!$W$7:$W$49,MATCH(LEFT($A120,LEN($A120)-2),'TH_MLG GRADE 10'!$B$7:$B$49,0))="P")+
 --(INDEX('TH_MLG GRADE 10'!$AU$7:$AU$49,MATCH(LEFT($A120,LEN($A120)-2),'TH_MLG GRADE 10'!$B$7:$B$49,0))="P"),
0)</f>
        <v>2</v>
      </c>
      <c r="D120" s="144" t="b" cm="1">
        <f t="array" aca="1" ref="D120" ca="1">_xlfn.LET(_xlpm.k,LEFT($A120,LEN($A120)-2),_xlpm.idx,IFERROR(MATCH(_xlpm.k,'TH_MLG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0" s="25">
        <f t="shared" ca="1" si="2"/>
        <v>1</v>
      </c>
      <c r="F120" s="24" t="s">
        <v>325</v>
      </c>
      <c r="G120">
        <v>2</v>
      </c>
      <c r="H120">
        <f>IFERROR(
 --(INDEX('PW_MLG GRADE 10'!$E$7:$E$31,MATCH(LEFT($A120,LEN($A120)-2),'PW_MLG GRADE 10'!$B$7:$B$31,0))="P")+
 --(INDEX('PW_MLG GRADE 10'!$K$7:$K$31,MATCH(LEFT($A120,LEN($A120)-2),'PW_MLG GRADE 10'!$B$7:$B$31,0))="P")+
 --(INDEX('PW_MLG GRADE 10'!$Q$7:$Q$31,MATCH(LEFT($A120,LEN($A120)-2),'PW_MLG GRADE 10'!$B$7:$B$31,0))="P")+
 --(INDEX('PW_MLG GRADE 10'!$AC$7:$AC$31,MATCH(LEFT($A120,LEN($A120)-2),'PW_MLG GRADE 10'!$B$7:$B$31,0))="P")+
 --(INDEX('PW_MLG GRADE 10'!$AI$7:$AI$31,MATCH(LEFT($A120,LEN($A120)-2),'PW_MLG GRADE 10'!$B$7:$B$31,0))="P")+
 --(INDEX('PW_MLG GRADE 10'!$AO$7:$AO$31,MATCH(LEFT($A120,LEN($A120)-2),'PW_MLG GRADE 10'!$B$7:$B$31,0))="P")+
 --(INDEX('PW_MLG GRADE 10'!$BA$7:$BA$31,MATCH(LEFT($A120,LEN($A120)-2),'PW_MLG GRADE 10'!$B$7:$B$31,0))="P")+
 --(INDEX('PW_MLG GRADE 10'!$BG$7:$BG$31,MATCH(LEFT($A120,LEN($A120)-2),'PW_MLG GRADE 10'!$B$7:$B$31,0))="P")+
 --(INDEX('PW_MLG GRADE 10'!$W$7:$W$31,MATCH(LEFT($A120,LEN($A120)-2),'PW_MLG GRADE 10'!$B$7:$B$31,0))="P")+
 --(INDEX('PW_MLG GRADE 10'!$AU$7:$AU$31,MATCH(LEFT($A120,LEN($A120)-2),'PW_MLG GRADE 10'!$B$7:$B$31,0))="P"),
0)</f>
        <v>0</v>
      </c>
      <c r="I120" s="144" t="b" cm="1">
        <f t="array" aca="1" ref="I120" ca="1">_xlfn.LET(_xlpm.k,LEFT($A120,LEN($A120)-2),_xlpm.idx,IFERROR(MATCH(_xlpm.k,'PW_MLG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20" s="25" t="str">
        <f t="shared" ca="1" si="3"/>
        <v/>
      </c>
    </row>
    <row r="121" spans="1:10">
      <c r="A121" s="24" t="s">
        <v>326</v>
      </c>
      <c r="B121">
        <v>2</v>
      </c>
      <c r="C121">
        <f>IFERROR(
 --(INDEX('TH_MLG GRADE 10'!$E$7:$E$49,MATCH(LEFT($A121,LEN($A121)-2),'TH_MLG GRADE 10'!$B$7:$B$49,0))="P")+
 --(INDEX('TH_MLG GRADE 10'!$K$7:$K$49,MATCH(LEFT($A121,LEN($A121)-2),'TH_MLG GRADE 10'!$B$7:$B$49,0))="P")+
 --(INDEX('TH_MLG GRADE 10'!$Q$7:$Q$49,MATCH(LEFT($A121,LEN($A121)-2),'TH_MLG GRADE 10'!$B$7:$B$49,0))="P")+
 --(INDEX('TH_MLG GRADE 10'!$AC$7:$AC$49,MATCH(LEFT($A121,LEN($A121)-2),'TH_MLG GRADE 10'!$B$7:$B$49,0))="P")+
 --(INDEX('TH_MLG GRADE 10'!$AI$7:$AI$49,MATCH(LEFT($A121,LEN($A121)-2),'TH_MLG GRADE 10'!$B$7:$B$49,0))="P")+
 --(INDEX('TH_MLG GRADE 10'!$AO$7:$AO$49,MATCH(LEFT($A121,LEN($A121)-2),'TH_MLG GRADE 10'!$B$7:$B$49,0))="P")+
 --(INDEX('TH_MLG GRADE 10'!$BA$7:$BA$49,MATCH(LEFT($A121,LEN($A121)-2),'TH_MLG GRADE 10'!$B$7:$B$49,0))="P")+
 --(INDEX('TH_MLG GRADE 10'!$BG$7:$BG$49,MATCH(LEFT($A121,LEN($A121)-2),'TH_MLG GRADE 10'!$B$7:$B$49,0))="P")+
 --(INDEX('TH_MLG GRADE 10'!$W$7:$W$49,MATCH(LEFT($A121,LEN($A121)-2),'TH_MLG GRADE 10'!$B$7:$B$49,0))="P")+
 --(INDEX('TH_MLG GRADE 10'!$AU$7:$AU$49,MATCH(LEFT($A121,LEN($A121)-2),'TH_MLG GRADE 10'!$B$7:$B$49,0))="P"),
0)</f>
        <v>2</v>
      </c>
      <c r="D121" s="144" t="b" cm="1">
        <f t="array" aca="1" ref="D121" ca="1">_xlfn.LET(_xlpm.k,LEFT($A121,LEN($A121)-2),_xlpm.idx,IFERROR(MATCH(_xlpm.k,'TH_MLG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1" s="25">
        <f t="shared" ca="1" si="2"/>
        <v>1</v>
      </c>
      <c r="F121" s="24" t="s">
        <v>326</v>
      </c>
      <c r="G121">
        <v>2</v>
      </c>
      <c r="H121">
        <f>IFERROR(
 --(INDEX('PW_MLG GRADE 10'!$E$7:$E$31,MATCH(LEFT($A121,LEN($A121)-2),'PW_MLG GRADE 10'!$B$7:$B$31,0))="P")+
 --(INDEX('PW_MLG GRADE 10'!$K$7:$K$31,MATCH(LEFT($A121,LEN($A121)-2),'PW_MLG GRADE 10'!$B$7:$B$31,0))="P")+
 --(INDEX('PW_MLG GRADE 10'!$Q$7:$Q$31,MATCH(LEFT($A121,LEN($A121)-2),'PW_MLG GRADE 10'!$B$7:$B$31,0))="P")+
 --(INDEX('PW_MLG GRADE 10'!$AC$7:$AC$31,MATCH(LEFT($A121,LEN($A121)-2),'PW_MLG GRADE 10'!$B$7:$B$31,0))="P")+
 --(INDEX('PW_MLG GRADE 10'!$AI$7:$AI$31,MATCH(LEFT($A121,LEN($A121)-2),'PW_MLG GRADE 10'!$B$7:$B$31,0))="P")+
 --(INDEX('PW_MLG GRADE 10'!$AO$7:$AO$31,MATCH(LEFT($A121,LEN($A121)-2),'PW_MLG GRADE 10'!$B$7:$B$31,0))="P")+
 --(INDEX('PW_MLG GRADE 10'!$BA$7:$BA$31,MATCH(LEFT($A121,LEN($A121)-2),'PW_MLG GRADE 10'!$B$7:$B$31,0))="P")+
 --(INDEX('PW_MLG GRADE 10'!$BG$7:$BG$31,MATCH(LEFT($A121,LEN($A121)-2),'PW_MLG GRADE 10'!$B$7:$B$31,0))="P")+
 --(INDEX('PW_MLG GRADE 10'!$W$7:$W$31,MATCH(LEFT($A121,LEN($A121)-2),'PW_MLG GRADE 10'!$B$7:$B$31,0))="P")+
 --(INDEX('PW_MLG GRADE 10'!$AU$7:$AU$31,MATCH(LEFT($A121,LEN($A121)-2),'PW_MLG GRADE 10'!$B$7:$B$31,0))="P"),
0)</f>
        <v>0</v>
      </c>
      <c r="I121" s="144" t="b" cm="1">
        <f t="array" aca="1" ref="I121" ca="1">_xlfn.LET(_xlpm.k,LEFT($A121,LEN($A121)-2),_xlpm.idx,IFERROR(MATCH(_xlpm.k,'PW_MLG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21" s="25" t="str">
        <f t="shared" ca="1" si="3"/>
        <v/>
      </c>
    </row>
    <row r="122" spans="1:10">
      <c r="A122" s="24" t="s">
        <v>327</v>
      </c>
      <c r="B122">
        <v>2</v>
      </c>
      <c r="C122">
        <f>IFERROR(
 --(INDEX('TH_MLG GRADE 10'!$E$7:$E$49,MATCH(LEFT($A122,LEN($A122)-2),'TH_MLG GRADE 10'!$B$7:$B$49,0))="P")+
 --(INDEX('TH_MLG GRADE 10'!$K$7:$K$49,MATCH(LEFT($A122,LEN($A122)-2),'TH_MLG GRADE 10'!$B$7:$B$49,0))="P")+
 --(INDEX('TH_MLG GRADE 10'!$Q$7:$Q$49,MATCH(LEFT($A122,LEN($A122)-2),'TH_MLG GRADE 10'!$B$7:$B$49,0))="P")+
 --(INDEX('TH_MLG GRADE 10'!$AC$7:$AC$49,MATCH(LEFT($A122,LEN($A122)-2),'TH_MLG GRADE 10'!$B$7:$B$49,0))="P")+
 --(INDEX('TH_MLG GRADE 10'!$AI$7:$AI$49,MATCH(LEFT($A122,LEN($A122)-2),'TH_MLG GRADE 10'!$B$7:$B$49,0))="P")+
 --(INDEX('TH_MLG GRADE 10'!$AO$7:$AO$49,MATCH(LEFT($A122,LEN($A122)-2),'TH_MLG GRADE 10'!$B$7:$B$49,0))="P")+
 --(INDEX('TH_MLG GRADE 10'!$BA$7:$BA$49,MATCH(LEFT($A122,LEN($A122)-2),'TH_MLG GRADE 10'!$B$7:$B$49,0))="P")+
 --(INDEX('TH_MLG GRADE 10'!$BG$7:$BG$49,MATCH(LEFT($A122,LEN($A122)-2),'TH_MLG GRADE 10'!$B$7:$B$49,0))="P")+
 --(INDEX('TH_MLG GRADE 10'!$W$7:$W$49,MATCH(LEFT($A122,LEN($A122)-2),'TH_MLG GRADE 10'!$B$7:$B$49,0))="P")+
 --(INDEX('TH_MLG GRADE 10'!$AU$7:$AU$49,MATCH(LEFT($A122,LEN($A122)-2),'TH_MLG GRADE 10'!$B$7:$B$49,0))="P"),
0)</f>
        <v>2</v>
      </c>
      <c r="D122" s="144" t="b" cm="1">
        <f t="array" aca="1" ref="D122" ca="1">_xlfn.LET(_xlpm.k,LEFT($A122,LEN($A122)-2),_xlpm.idx,IFERROR(MATCH(_xlpm.k,'TH_MLG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2" s="25">
        <f t="shared" ca="1" si="2"/>
        <v>1</v>
      </c>
      <c r="F122" s="24" t="s">
        <v>327</v>
      </c>
      <c r="G122">
        <v>2</v>
      </c>
      <c r="H122">
        <f>IFERROR(
 --(INDEX('PW_MLG GRADE 10'!$E$7:$E$31,MATCH(LEFT($A122,LEN($A122)-2),'PW_MLG GRADE 10'!$B$7:$B$31,0))="P")+
 --(INDEX('PW_MLG GRADE 10'!$K$7:$K$31,MATCH(LEFT($A122,LEN($A122)-2),'PW_MLG GRADE 10'!$B$7:$B$31,0))="P")+
 --(INDEX('PW_MLG GRADE 10'!$Q$7:$Q$31,MATCH(LEFT($A122,LEN($A122)-2),'PW_MLG GRADE 10'!$B$7:$B$31,0))="P")+
 --(INDEX('PW_MLG GRADE 10'!$AC$7:$AC$31,MATCH(LEFT($A122,LEN($A122)-2),'PW_MLG GRADE 10'!$B$7:$B$31,0))="P")+
 --(INDEX('PW_MLG GRADE 10'!$AI$7:$AI$31,MATCH(LEFT($A122,LEN($A122)-2),'PW_MLG GRADE 10'!$B$7:$B$31,0))="P")+
 --(INDEX('PW_MLG GRADE 10'!$AO$7:$AO$31,MATCH(LEFT($A122,LEN($A122)-2),'PW_MLG GRADE 10'!$B$7:$B$31,0))="P")+
 --(INDEX('PW_MLG GRADE 10'!$BA$7:$BA$31,MATCH(LEFT($A122,LEN($A122)-2),'PW_MLG GRADE 10'!$B$7:$B$31,0))="P")+
 --(INDEX('PW_MLG GRADE 10'!$BG$7:$BG$31,MATCH(LEFT($A122,LEN($A122)-2),'PW_MLG GRADE 10'!$B$7:$B$31,0))="P")+
 --(INDEX('PW_MLG GRADE 10'!$W$7:$W$31,MATCH(LEFT($A122,LEN($A122)-2),'PW_MLG GRADE 10'!$B$7:$B$31,0))="P")+
 --(INDEX('PW_MLG GRADE 10'!$AU$7:$AU$31,MATCH(LEFT($A122,LEN($A122)-2),'PW_MLG GRADE 10'!$B$7:$B$31,0))="P"),
0)</f>
        <v>0</v>
      </c>
      <c r="I122" s="144" t="b" cm="1">
        <f t="array" aca="1" ref="I122" ca="1">_xlfn.LET(_xlpm.k,LEFT($A122,LEN($A122)-2),_xlpm.idx,IFERROR(MATCH(_xlpm.k,'PW_MLG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22" s="25" t="str">
        <f t="shared" ca="1" si="3"/>
        <v/>
      </c>
    </row>
    <row r="123" spans="1:10">
      <c r="A123" s="24" t="s">
        <v>328</v>
      </c>
      <c r="B123">
        <v>2</v>
      </c>
      <c r="C123">
        <f>IFERROR(
 --(INDEX('TH_MLG GRADE 10'!$E$7:$E$49,MATCH(LEFT($A123,LEN($A123)-2),'TH_MLG GRADE 10'!$B$7:$B$49,0))="P")+
 --(INDEX('TH_MLG GRADE 10'!$K$7:$K$49,MATCH(LEFT($A123,LEN($A123)-2),'TH_MLG GRADE 10'!$B$7:$B$49,0))="P")+
 --(INDEX('TH_MLG GRADE 10'!$Q$7:$Q$49,MATCH(LEFT($A123,LEN($A123)-2),'TH_MLG GRADE 10'!$B$7:$B$49,0))="P")+
 --(INDEX('TH_MLG GRADE 10'!$AC$7:$AC$49,MATCH(LEFT($A123,LEN($A123)-2),'TH_MLG GRADE 10'!$B$7:$B$49,0))="P")+
 --(INDEX('TH_MLG GRADE 10'!$AI$7:$AI$49,MATCH(LEFT($A123,LEN($A123)-2),'TH_MLG GRADE 10'!$B$7:$B$49,0))="P")+
 --(INDEX('TH_MLG GRADE 10'!$AO$7:$AO$49,MATCH(LEFT($A123,LEN($A123)-2),'TH_MLG GRADE 10'!$B$7:$B$49,0))="P")+
 --(INDEX('TH_MLG GRADE 10'!$BA$7:$BA$49,MATCH(LEFT($A123,LEN($A123)-2),'TH_MLG GRADE 10'!$B$7:$B$49,0))="P")+
 --(INDEX('TH_MLG GRADE 10'!$BG$7:$BG$49,MATCH(LEFT($A123,LEN($A123)-2),'TH_MLG GRADE 10'!$B$7:$B$49,0))="P")+
 --(INDEX('TH_MLG GRADE 10'!$W$7:$W$49,MATCH(LEFT($A123,LEN($A123)-2),'TH_MLG GRADE 10'!$B$7:$B$49,0))="P")+
 --(INDEX('TH_MLG GRADE 10'!$AU$7:$AU$49,MATCH(LEFT($A123,LEN($A123)-2),'TH_MLG GRADE 10'!$B$7:$B$49,0))="P"),
0)</f>
        <v>1</v>
      </c>
      <c r="D123" s="144" t="b" cm="1">
        <f t="array" aca="1" ref="D123" ca="1">_xlfn.LET(_xlpm.k,LEFT($A123,LEN($A123)-2),_xlpm.idx,IFERROR(MATCH(_xlpm.k,'TH_MLG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3" s="25">
        <f t="shared" ca="1" si="2"/>
        <v>0.5</v>
      </c>
      <c r="F123" s="24" t="s">
        <v>328</v>
      </c>
      <c r="G123">
        <v>2</v>
      </c>
      <c r="H123">
        <f>IFERROR(
 --(INDEX('PW_MLG GRADE 10'!$E$7:$E$31,MATCH(LEFT($A123,LEN($A123)-2),'PW_MLG GRADE 10'!$B$7:$B$31,0))="P")+
 --(INDEX('PW_MLG GRADE 10'!$K$7:$K$31,MATCH(LEFT($A123,LEN($A123)-2),'PW_MLG GRADE 10'!$B$7:$B$31,0))="P")+
 --(INDEX('PW_MLG GRADE 10'!$Q$7:$Q$31,MATCH(LEFT($A123,LEN($A123)-2),'PW_MLG GRADE 10'!$B$7:$B$31,0))="P")+
 --(INDEX('PW_MLG GRADE 10'!$AC$7:$AC$31,MATCH(LEFT($A123,LEN($A123)-2),'PW_MLG GRADE 10'!$B$7:$B$31,0))="P")+
 --(INDEX('PW_MLG GRADE 10'!$AI$7:$AI$31,MATCH(LEFT($A123,LEN($A123)-2),'PW_MLG GRADE 10'!$B$7:$B$31,0))="P")+
 --(INDEX('PW_MLG GRADE 10'!$AO$7:$AO$31,MATCH(LEFT($A123,LEN($A123)-2),'PW_MLG GRADE 10'!$B$7:$B$31,0))="P")+
 --(INDEX('PW_MLG GRADE 10'!$BA$7:$BA$31,MATCH(LEFT($A123,LEN($A123)-2),'PW_MLG GRADE 10'!$B$7:$B$31,0))="P")+
 --(INDEX('PW_MLG GRADE 10'!$BG$7:$BG$31,MATCH(LEFT($A123,LEN($A123)-2),'PW_MLG GRADE 10'!$B$7:$B$31,0))="P")+
 --(INDEX('PW_MLG GRADE 10'!$W$7:$W$31,MATCH(LEFT($A123,LEN($A123)-2),'PW_MLG GRADE 10'!$B$7:$B$31,0))="P")+
 --(INDEX('PW_MLG GRADE 10'!$AU$7:$AU$31,MATCH(LEFT($A123,LEN($A123)-2),'PW_MLG GRADE 10'!$B$7:$B$31,0))="P"),
0)</f>
        <v>2</v>
      </c>
      <c r="I123" s="144" t="b" cm="1">
        <f t="array" aca="1" ref="I123" ca="1">_xlfn.LET(_xlpm.k,LEFT($A123,LEN($A123)-2),_xlpm.idx,IFERROR(MATCH(_xlpm.k,'PW_MLG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1</v>
      </c>
      <c r="J123" s="25">
        <f t="shared" ca="1" si="3"/>
        <v>1</v>
      </c>
    </row>
    <row r="124" spans="1:10">
      <c r="A124" s="24" t="s">
        <v>329</v>
      </c>
      <c r="B124">
        <v>2</v>
      </c>
      <c r="C124">
        <f>IFERROR(
 --(INDEX('TH_MLG GRADE 10'!$E$7:$E$49,MATCH(LEFT($A124,LEN($A124)-2),'TH_MLG GRADE 10'!$B$7:$B$49,0))="P")+
 --(INDEX('TH_MLG GRADE 10'!$K$7:$K$49,MATCH(LEFT($A124,LEN($A124)-2),'TH_MLG GRADE 10'!$B$7:$B$49,0))="P")+
 --(INDEX('TH_MLG GRADE 10'!$Q$7:$Q$49,MATCH(LEFT($A124,LEN($A124)-2),'TH_MLG GRADE 10'!$B$7:$B$49,0))="P")+
 --(INDEX('TH_MLG GRADE 10'!$AC$7:$AC$49,MATCH(LEFT($A124,LEN($A124)-2),'TH_MLG GRADE 10'!$B$7:$B$49,0))="P")+
 --(INDEX('TH_MLG GRADE 10'!$AI$7:$AI$49,MATCH(LEFT($A124,LEN($A124)-2),'TH_MLG GRADE 10'!$B$7:$B$49,0))="P")+
 --(INDEX('TH_MLG GRADE 10'!$AO$7:$AO$49,MATCH(LEFT($A124,LEN($A124)-2),'TH_MLG GRADE 10'!$B$7:$B$49,0))="P")+
 --(INDEX('TH_MLG GRADE 10'!$BA$7:$BA$49,MATCH(LEFT($A124,LEN($A124)-2),'TH_MLG GRADE 10'!$B$7:$B$49,0))="P")+
 --(INDEX('TH_MLG GRADE 10'!$BG$7:$BG$49,MATCH(LEFT($A124,LEN($A124)-2),'TH_MLG GRADE 10'!$B$7:$B$49,0))="P")+
 --(INDEX('TH_MLG GRADE 10'!$W$7:$W$49,MATCH(LEFT($A124,LEN($A124)-2),'TH_MLG GRADE 10'!$B$7:$B$49,0))="P")+
 --(INDEX('TH_MLG GRADE 10'!$AU$7:$AU$49,MATCH(LEFT($A124,LEN($A124)-2),'TH_MLG GRADE 10'!$B$7:$B$49,0))="P"),
0)</f>
        <v>1</v>
      </c>
      <c r="D124" s="144" t="b" cm="1">
        <f t="array" aca="1" ref="D124" ca="1">_xlfn.LET(_xlpm.k,LEFT($A124,LEN($A124)-2),_xlpm.idx,IFERROR(MATCH(_xlpm.k,'TH_MLG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4" s="25">
        <f t="shared" ca="1" si="2"/>
        <v>0.5</v>
      </c>
      <c r="F124" s="24" t="s">
        <v>329</v>
      </c>
      <c r="G124">
        <v>2</v>
      </c>
      <c r="H124">
        <f>IFERROR(
 --(INDEX('PW_MLG GRADE 10'!$E$7:$E$31,MATCH(LEFT($A124,LEN($A124)-2),'PW_MLG GRADE 10'!$B$7:$B$31,0))="P")+
 --(INDEX('PW_MLG GRADE 10'!$K$7:$K$31,MATCH(LEFT($A124,LEN($A124)-2),'PW_MLG GRADE 10'!$B$7:$B$31,0))="P")+
 --(INDEX('PW_MLG GRADE 10'!$Q$7:$Q$31,MATCH(LEFT($A124,LEN($A124)-2),'PW_MLG GRADE 10'!$B$7:$B$31,0))="P")+
 --(INDEX('PW_MLG GRADE 10'!$AC$7:$AC$31,MATCH(LEFT($A124,LEN($A124)-2),'PW_MLG GRADE 10'!$B$7:$B$31,0))="P")+
 --(INDEX('PW_MLG GRADE 10'!$AI$7:$AI$31,MATCH(LEFT($A124,LEN($A124)-2),'PW_MLG GRADE 10'!$B$7:$B$31,0))="P")+
 --(INDEX('PW_MLG GRADE 10'!$AO$7:$AO$31,MATCH(LEFT($A124,LEN($A124)-2),'PW_MLG GRADE 10'!$B$7:$B$31,0))="P")+
 --(INDEX('PW_MLG GRADE 10'!$BA$7:$BA$31,MATCH(LEFT($A124,LEN($A124)-2),'PW_MLG GRADE 10'!$B$7:$B$31,0))="P")+
 --(INDEX('PW_MLG GRADE 10'!$BG$7:$BG$31,MATCH(LEFT($A124,LEN($A124)-2),'PW_MLG GRADE 10'!$B$7:$B$31,0))="P")+
 --(INDEX('PW_MLG GRADE 10'!$W$7:$W$31,MATCH(LEFT($A124,LEN($A124)-2),'PW_MLG GRADE 10'!$B$7:$B$31,0))="P")+
 --(INDEX('PW_MLG GRADE 10'!$AU$7:$AU$31,MATCH(LEFT($A124,LEN($A124)-2),'PW_MLG GRADE 10'!$B$7:$B$31,0))="P"),
0)</f>
        <v>0</v>
      </c>
      <c r="I124" s="144" t="b" cm="1">
        <f t="array" aca="1" ref="I124" ca="1">_xlfn.LET(_xlpm.k,LEFT($A124,LEN($A124)-2),_xlpm.idx,IFERROR(MATCH(_xlpm.k,'PW_MLG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24" s="25" t="str">
        <f t="shared" ca="1" si="3"/>
        <v/>
      </c>
    </row>
    <row r="125" spans="1:10">
      <c r="A125" s="24" t="s">
        <v>330</v>
      </c>
      <c r="B125">
        <v>2</v>
      </c>
      <c r="C125">
        <f>IFERROR(
 --(INDEX('TH_MLG GRADE 10'!$E$7:$E$49,MATCH(LEFT($A125,LEN($A125)-2),'TH_MLG GRADE 10'!$B$7:$B$49,0))="P")+
 --(INDEX('TH_MLG GRADE 10'!$K$7:$K$49,MATCH(LEFT($A125,LEN($A125)-2),'TH_MLG GRADE 10'!$B$7:$B$49,0))="P")+
 --(INDEX('TH_MLG GRADE 10'!$Q$7:$Q$49,MATCH(LEFT($A125,LEN($A125)-2),'TH_MLG GRADE 10'!$B$7:$B$49,0))="P")+
 --(INDEX('TH_MLG GRADE 10'!$AC$7:$AC$49,MATCH(LEFT($A125,LEN($A125)-2),'TH_MLG GRADE 10'!$B$7:$B$49,0))="P")+
 --(INDEX('TH_MLG GRADE 10'!$AI$7:$AI$49,MATCH(LEFT($A125,LEN($A125)-2),'TH_MLG GRADE 10'!$B$7:$B$49,0))="P")+
 --(INDEX('TH_MLG GRADE 10'!$AO$7:$AO$49,MATCH(LEFT($A125,LEN($A125)-2),'TH_MLG GRADE 10'!$B$7:$B$49,0))="P")+
 --(INDEX('TH_MLG GRADE 10'!$BA$7:$BA$49,MATCH(LEFT($A125,LEN($A125)-2),'TH_MLG GRADE 10'!$B$7:$B$49,0))="P")+
 --(INDEX('TH_MLG GRADE 10'!$BG$7:$BG$49,MATCH(LEFT($A125,LEN($A125)-2),'TH_MLG GRADE 10'!$B$7:$B$49,0))="P")+
 --(INDEX('TH_MLG GRADE 10'!$W$7:$W$49,MATCH(LEFT($A125,LEN($A125)-2),'TH_MLG GRADE 10'!$B$7:$B$49,0))="P")+
 --(INDEX('TH_MLG GRADE 10'!$AU$7:$AU$49,MATCH(LEFT($A125,LEN($A125)-2),'TH_MLG GRADE 10'!$B$7:$B$49,0))="P"),
0)</f>
        <v>1</v>
      </c>
      <c r="D125" s="144" t="b" cm="1">
        <f t="array" aca="1" ref="D125" ca="1">_xlfn.LET(_xlpm.k,LEFT($A125,LEN($A125)-2),_xlpm.idx,IFERROR(MATCH(_xlpm.k,'TH_MLG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5" s="25">
        <f t="shared" ca="1" si="2"/>
        <v>0.5</v>
      </c>
      <c r="F125" s="24" t="s">
        <v>330</v>
      </c>
      <c r="G125">
        <v>2</v>
      </c>
      <c r="H125">
        <f>IFERROR(
 --(INDEX('PW_MLG GRADE 10'!$E$7:$E$31,MATCH(LEFT($A125,LEN($A125)-2),'PW_MLG GRADE 10'!$B$7:$B$31,0))="P")+
 --(INDEX('PW_MLG GRADE 10'!$K$7:$K$31,MATCH(LEFT($A125,LEN($A125)-2),'PW_MLG GRADE 10'!$B$7:$B$31,0))="P")+
 --(INDEX('PW_MLG GRADE 10'!$Q$7:$Q$31,MATCH(LEFT($A125,LEN($A125)-2),'PW_MLG GRADE 10'!$B$7:$B$31,0))="P")+
 --(INDEX('PW_MLG GRADE 10'!$AC$7:$AC$31,MATCH(LEFT($A125,LEN($A125)-2),'PW_MLG GRADE 10'!$B$7:$B$31,0))="P")+
 --(INDEX('PW_MLG GRADE 10'!$AI$7:$AI$31,MATCH(LEFT($A125,LEN($A125)-2),'PW_MLG GRADE 10'!$B$7:$B$31,0))="P")+
 --(INDEX('PW_MLG GRADE 10'!$AO$7:$AO$31,MATCH(LEFT($A125,LEN($A125)-2),'PW_MLG GRADE 10'!$B$7:$B$31,0))="P")+
 --(INDEX('PW_MLG GRADE 10'!$BA$7:$BA$31,MATCH(LEFT($A125,LEN($A125)-2),'PW_MLG GRADE 10'!$B$7:$B$31,0))="P")+
 --(INDEX('PW_MLG GRADE 10'!$BG$7:$BG$31,MATCH(LEFT($A125,LEN($A125)-2),'PW_MLG GRADE 10'!$B$7:$B$31,0))="P")+
 --(INDEX('PW_MLG GRADE 10'!$W$7:$W$31,MATCH(LEFT($A125,LEN($A125)-2),'PW_MLG GRADE 10'!$B$7:$B$31,0))="P")+
 --(INDEX('PW_MLG GRADE 10'!$AU$7:$AU$31,MATCH(LEFT($A125,LEN($A125)-2),'PW_MLG GRADE 10'!$B$7:$B$31,0))="P"),
0)</f>
        <v>2</v>
      </c>
      <c r="I125" s="144" t="b" cm="1">
        <f t="array" aca="1" ref="I125" ca="1">_xlfn.LET(_xlpm.k,LEFT($A125,LEN($A125)-2),_xlpm.idx,IFERROR(MATCH(_xlpm.k,'PW_MLG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1</v>
      </c>
      <c r="J125" s="25">
        <f t="shared" ca="1" si="3"/>
        <v>1</v>
      </c>
    </row>
    <row r="126" spans="1:10">
      <c r="A126" s="24" t="s">
        <v>331</v>
      </c>
      <c r="B126">
        <v>2</v>
      </c>
      <c r="C126">
        <f>IFERROR(
 --(INDEX('TH_MLG GRADE 10'!$E$7:$E$49,MATCH(LEFT($A126,LEN($A126)-2),'TH_MLG GRADE 10'!$B$7:$B$49,0))="P")+
 --(INDEX('TH_MLG GRADE 10'!$K$7:$K$49,MATCH(LEFT($A126,LEN($A126)-2),'TH_MLG GRADE 10'!$B$7:$B$49,0))="P")+
 --(INDEX('TH_MLG GRADE 10'!$Q$7:$Q$49,MATCH(LEFT($A126,LEN($A126)-2),'TH_MLG GRADE 10'!$B$7:$B$49,0))="P")+
 --(INDEX('TH_MLG GRADE 10'!$AC$7:$AC$49,MATCH(LEFT($A126,LEN($A126)-2),'TH_MLG GRADE 10'!$B$7:$B$49,0))="P")+
 --(INDEX('TH_MLG GRADE 10'!$AI$7:$AI$49,MATCH(LEFT($A126,LEN($A126)-2),'TH_MLG GRADE 10'!$B$7:$B$49,0))="P")+
 --(INDEX('TH_MLG GRADE 10'!$AO$7:$AO$49,MATCH(LEFT($A126,LEN($A126)-2),'TH_MLG GRADE 10'!$B$7:$B$49,0))="P")+
 --(INDEX('TH_MLG GRADE 10'!$BA$7:$BA$49,MATCH(LEFT($A126,LEN($A126)-2),'TH_MLG GRADE 10'!$B$7:$B$49,0))="P")+
 --(INDEX('TH_MLG GRADE 10'!$BG$7:$BG$49,MATCH(LEFT($A126,LEN($A126)-2),'TH_MLG GRADE 10'!$B$7:$B$49,0))="P")+
 --(INDEX('TH_MLG GRADE 10'!$W$7:$W$49,MATCH(LEFT($A126,LEN($A126)-2),'TH_MLG GRADE 10'!$B$7:$B$49,0))="P")+
 --(INDEX('TH_MLG GRADE 10'!$AU$7:$AU$49,MATCH(LEFT($A126,LEN($A126)-2),'TH_MLG GRADE 10'!$B$7:$B$49,0))="P"),
0)</f>
        <v>1</v>
      </c>
      <c r="D126" s="144" t="b" cm="1">
        <f t="array" aca="1" ref="D126" ca="1">_xlfn.LET(_xlpm.k,LEFT($A126,LEN($A126)-2),_xlpm.idx,IFERROR(MATCH(_xlpm.k,'TH_MLG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6" s="25">
        <f t="shared" ca="1" si="2"/>
        <v>0.5</v>
      </c>
      <c r="F126" s="24" t="s">
        <v>331</v>
      </c>
      <c r="G126">
        <v>2</v>
      </c>
      <c r="H126">
        <f>IFERROR(
 --(INDEX('PW_MLG GRADE 10'!$E$7:$E$31,MATCH(LEFT($A126,LEN($A126)-2),'PW_MLG GRADE 10'!$B$7:$B$31,0))="P")+
 --(INDEX('PW_MLG GRADE 10'!$K$7:$K$31,MATCH(LEFT($A126,LEN($A126)-2),'PW_MLG GRADE 10'!$B$7:$B$31,0))="P")+
 --(INDEX('PW_MLG GRADE 10'!$Q$7:$Q$31,MATCH(LEFT($A126,LEN($A126)-2),'PW_MLG GRADE 10'!$B$7:$B$31,0))="P")+
 --(INDEX('PW_MLG GRADE 10'!$AC$7:$AC$31,MATCH(LEFT($A126,LEN($A126)-2),'PW_MLG GRADE 10'!$B$7:$B$31,0))="P")+
 --(INDEX('PW_MLG GRADE 10'!$AI$7:$AI$31,MATCH(LEFT($A126,LEN($A126)-2),'PW_MLG GRADE 10'!$B$7:$B$31,0))="P")+
 --(INDEX('PW_MLG GRADE 10'!$AO$7:$AO$31,MATCH(LEFT($A126,LEN($A126)-2),'PW_MLG GRADE 10'!$B$7:$B$31,0))="P")+
 --(INDEX('PW_MLG GRADE 10'!$BA$7:$BA$31,MATCH(LEFT($A126,LEN($A126)-2),'PW_MLG GRADE 10'!$B$7:$B$31,0))="P")+
 --(INDEX('PW_MLG GRADE 10'!$BG$7:$BG$31,MATCH(LEFT($A126,LEN($A126)-2),'PW_MLG GRADE 10'!$B$7:$B$31,0))="P")+
 --(INDEX('PW_MLG GRADE 10'!$W$7:$W$31,MATCH(LEFT($A126,LEN($A126)-2),'PW_MLG GRADE 10'!$B$7:$B$31,0))="P")+
 --(INDEX('PW_MLG GRADE 10'!$AU$7:$AU$31,MATCH(LEFT($A126,LEN($A126)-2),'PW_MLG GRADE 10'!$B$7:$B$31,0))="P"),
0)</f>
        <v>1</v>
      </c>
      <c r="I126" s="144" t="b" cm="1">
        <f t="array" aca="1" ref="I126" ca="1">_xlfn.LET(_xlpm.k,LEFT($A126,LEN($A126)-2),_xlpm.idx,IFERROR(MATCH(_xlpm.k,'PW_MLG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1</v>
      </c>
      <c r="J126" s="25">
        <f t="shared" ca="1" si="3"/>
        <v>0.5</v>
      </c>
    </row>
    <row r="127" spans="1:10">
      <c r="A127" s="24" t="s">
        <v>332</v>
      </c>
      <c r="B127">
        <v>2</v>
      </c>
      <c r="C127">
        <f>IFERROR(
 --(INDEX('TH_MLG GRADE 10'!$E$7:$E$49,MATCH(LEFT($A127,LEN($A127)-2),'TH_MLG GRADE 10'!$B$7:$B$49,0))="P")+
 --(INDEX('TH_MLG GRADE 10'!$K$7:$K$49,MATCH(LEFT($A127,LEN($A127)-2),'TH_MLG GRADE 10'!$B$7:$B$49,0))="P")+
 --(INDEX('TH_MLG GRADE 10'!$Q$7:$Q$49,MATCH(LEFT($A127,LEN($A127)-2),'TH_MLG GRADE 10'!$B$7:$B$49,0))="P")+
 --(INDEX('TH_MLG GRADE 10'!$AC$7:$AC$49,MATCH(LEFT($A127,LEN($A127)-2),'TH_MLG GRADE 10'!$B$7:$B$49,0))="P")+
 --(INDEX('TH_MLG GRADE 10'!$AI$7:$AI$49,MATCH(LEFT($A127,LEN($A127)-2),'TH_MLG GRADE 10'!$B$7:$B$49,0))="P")+
 --(INDEX('TH_MLG GRADE 10'!$AO$7:$AO$49,MATCH(LEFT($A127,LEN($A127)-2),'TH_MLG GRADE 10'!$B$7:$B$49,0))="P")+
 --(INDEX('TH_MLG GRADE 10'!$BA$7:$BA$49,MATCH(LEFT($A127,LEN($A127)-2),'TH_MLG GRADE 10'!$B$7:$B$49,0))="P")+
 --(INDEX('TH_MLG GRADE 10'!$BG$7:$BG$49,MATCH(LEFT($A127,LEN($A127)-2),'TH_MLG GRADE 10'!$B$7:$B$49,0))="P")+
 --(INDEX('TH_MLG GRADE 10'!$W$7:$W$49,MATCH(LEFT($A127,LEN($A127)-2),'TH_MLG GRADE 10'!$B$7:$B$49,0))="P")+
 --(INDEX('TH_MLG GRADE 10'!$AU$7:$AU$49,MATCH(LEFT($A127,LEN($A127)-2),'TH_MLG GRADE 10'!$B$7:$B$49,0))="P"),
0)</f>
        <v>1</v>
      </c>
      <c r="D127" s="144" t="b" cm="1">
        <f t="array" aca="1" ref="D127" ca="1">_xlfn.LET(_xlpm.k,LEFT($A127,LEN($A127)-2),_xlpm.idx,IFERROR(MATCH(_xlpm.k,'TH_MLG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7" s="25">
        <f t="shared" ca="1" si="2"/>
        <v>0.5</v>
      </c>
      <c r="F127" s="24" t="s">
        <v>332</v>
      </c>
      <c r="G127">
        <v>2</v>
      </c>
      <c r="H127">
        <f>IFERROR(
 --(INDEX('PW_MLG GRADE 10'!$E$7:$E$31,MATCH(LEFT($A127,LEN($A127)-2),'PW_MLG GRADE 10'!$B$7:$B$31,0))="P")+
 --(INDEX('PW_MLG GRADE 10'!$K$7:$K$31,MATCH(LEFT($A127,LEN($A127)-2),'PW_MLG GRADE 10'!$B$7:$B$31,0))="P")+
 --(INDEX('PW_MLG GRADE 10'!$Q$7:$Q$31,MATCH(LEFT($A127,LEN($A127)-2),'PW_MLG GRADE 10'!$B$7:$B$31,0))="P")+
 --(INDEX('PW_MLG GRADE 10'!$AC$7:$AC$31,MATCH(LEFT($A127,LEN($A127)-2),'PW_MLG GRADE 10'!$B$7:$B$31,0))="P")+
 --(INDEX('PW_MLG GRADE 10'!$AI$7:$AI$31,MATCH(LEFT($A127,LEN($A127)-2),'PW_MLG GRADE 10'!$B$7:$B$31,0))="P")+
 --(INDEX('PW_MLG GRADE 10'!$AO$7:$AO$31,MATCH(LEFT($A127,LEN($A127)-2),'PW_MLG GRADE 10'!$B$7:$B$31,0))="P")+
 --(INDEX('PW_MLG GRADE 10'!$BA$7:$BA$31,MATCH(LEFT($A127,LEN($A127)-2),'PW_MLG GRADE 10'!$B$7:$B$31,0))="P")+
 --(INDEX('PW_MLG GRADE 10'!$BG$7:$BG$31,MATCH(LEFT($A127,LEN($A127)-2),'PW_MLG GRADE 10'!$B$7:$B$31,0))="P")+
 --(INDEX('PW_MLG GRADE 10'!$W$7:$W$31,MATCH(LEFT($A127,LEN($A127)-2),'PW_MLG GRADE 10'!$B$7:$B$31,0))="P")+
 --(INDEX('PW_MLG GRADE 10'!$AU$7:$AU$31,MATCH(LEFT($A127,LEN($A127)-2),'PW_MLG GRADE 10'!$B$7:$B$31,0))="P"),
0)</f>
        <v>2</v>
      </c>
      <c r="I127" s="144" t="b" cm="1">
        <f t="array" aca="1" ref="I127" ca="1">_xlfn.LET(_xlpm.k,LEFT($A127,LEN($A127)-2),_xlpm.idx,IFERROR(MATCH(_xlpm.k,'PW_MLG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1</v>
      </c>
      <c r="J127" s="25">
        <f t="shared" ca="1" si="3"/>
        <v>1</v>
      </c>
    </row>
    <row r="128" spans="1:10">
      <c r="A128" s="24" t="s">
        <v>333</v>
      </c>
      <c r="B128">
        <v>2</v>
      </c>
      <c r="C128">
        <f>IFERROR(
 --(INDEX('TH_MLG GRADE 10'!$E$7:$E$49,MATCH(LEFT($A128,LEN($A128)-2),'TH_MLG GRADE 10'!$B$7:$B$49,0))="P")+
 --(INDEX('TH_MLG GRADE 10'!$K$7:$K$49,MATCH(LEFT($A128,LEN($A128)-2),'TH_MLG GRADE 10'!$B$7:$B$49,0))="P")+
 --(INDEX('TH_MLG GRADE 10'!$Q$7:$Q$49,MATCH(LEFT($A128,LEN($A128)-2),'TH_MLG GRADE 10'!$B$7:$B$49,0))="P")+
 --(INDEX('TH_MLG GRADE 10'!$AC$7:$AC$49,MATCH(LEFT($A128,LEN($A128)-2),'TH_MLG GRADE 10'!$B$7:$B$49,0))="P")+
 --(INDEX('TH_MLG GRADE 10'!$AI$7:$AI$49,MATCH(LEFT($A128,LEN($A128)-2),'TH_MLG GRADE 10'!$B$7:$B$49,0))="P")+
 --(INDEX('TH_MLG GRADE 10'!$AO$7:$AO$49,MATCH(LEFT($A128,LEN($A128)-2),'TH_MLG GRADE 10'!$B$7:$B$49,0))="P")+
 --(INDEX('TH_MLG GRADE 10'!$BA$7:$BA$49,MATCH(LEFT($A128,LEN($A128)-2),'TH_MLG GRADE 10'!$B$7:$B$49,0))="P")+
 --(INDEX('TH_MLG GRADE 10'!$BG$7:$BG$49,MATCH(LEFT($A128,LEN($A128)-2),'TH_MLG GRADE 10'!$B$7:$B$49,0))="P")+
 --(INDEX('TH_MLG GRADE 10'!$W$7:$W$49,MATCH(LEFT($A128,LEN($A128)-2),'TH_MLG GRADE 10'!$B$7:$B$49,0))="P")+
 --(INDEX('TH_MLG GRADE 10'!$AU$7:$AU$49,MATCH(LEFT($A128,LEN($A128)-2),'TH_MLG GRADE 10'!$B$7:$B$49,0))="P"),
0)</f>
        <v>1</v>
      </c>
      <c r="D128" s="144" t="b" cm="1">
        <f t="array" aca="1" ref="D128" ca="1">_xlfn.LET(_xlpm.k,LEFT($A128,LEN($A128)-2),_xlpm.idx,IFERROR(MATCH(_xlpm.k,'TH_MLG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8" s="25">
        <f t="shared" ca="1" si="2"/>
        <v>0.5</v>
      </c>
      <c r="F128" s="24" t="s">
        <v>333</v>
      </c>
      <c r="G128">
        <v>2</v>
      </c>
      <c r="H128">
        <f>IFERROR(
 --(INDEX('PW_MLG GRADE 10'!$E$7:$E$31,MATCH(LEFT($A128,LEN($A128)-2),'PW_MLG GRADE 10'!$B$7:$B$31,0))="P")+
 --(INDEX('PW_MLG GRADE 10'!$K$7:$K$31,MATCH(LEFT($A128,LEN($A128)-2),'PW_MLG GRADE 10'!$B$7:$B$31,0))="P")+
 --(INDEX('PW_MLG GRADE 10'!$Q$7:$Q$31,MATCH(LEFT($A128,LEN($A128)-2),'PW_MLG GRADE 10'!$B$7:$B$31,0))="P")+
 --(INDEX('PW_MLG GRADE 10'!$AC$7:$AC$31,MATCH(LEFT($A128,LEN($A128)-2),'PW_MLG GRADE 10'!$B$7:$B$31,0))="P")+
 --(INDEX('PW_MLG GRADE 10'!$AI$7:$AI$31,MATCH(LEFT($A128,LEN($A128)-2),'PW_MLG GRADE 10'!$B$7:$B$31,0))="P")+
 --(INDEX('PW_MLG GRADE 10'!$AO$7:$AO$31,MATCH(LEFT($A128,LEN($A128)-2),'PW_MLG GRADE 10'!$B$7:$B$31,0))="P")+
 --(INDEX('PW_MLG GRADE 10'!$BA$7:$BA$31,MATCH(LEFT($A128,LEN($A128)-2),'PW_MLG GRADE 10'!$B$7:$B$31,0))="P")+
 --(INDEX('PW_MLG GRADE 10'!$BG$7:$BG$31,MATCH(LEFT($A128,LEN($A128)-2),'PW_MLG GRADE 10'!$B$7:$B$31,0))="P")+
 --(INDEX('PW_MLG GRADE 10'!$W$7:$W$31,MATCH(LEFT($A128,LEN($A128)-2),'PW_MLG GRADE 10'!$B$7:$B$31,0))="P")+
 --(INDEX('PW_MLG GRADE 10'!$AU$7:$AU$31,MATCH(LEFT($A128,LEN($A128)-2),'PW_MLG GRADE 10'!$B$7:$B$31,0))="P"),
0)</f>
        <v>0</v>
      </c>
      <c r="I128" s="144" t="b" cm="1">
        <f t="array" aca="1" ref="I128" ca="1">_xlfn.LET(_xlpm.k,LEFT($A128,LEN($A128)-2),_xlpm.idx,IFERROR(MATCH(_xlpm.k,'PW_MLG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28" s="25" t="str">
        <f t="shared" ca="1" si="3"/>
        <v/>
      </c>
    </row>
    <row r="129" spans="1:13">
      <c r="A129" s="24" t="s">
        <v>334</v>
      </c>
      <c r="B129">
        <v>2</v>
      </c>
      <c r="C129">
        <f>IFERROR(
 --(INDEX('TH_MLG GRADE 10'!$E$7:$E$49,MATCH(LEFT($A129,LEN($A129)-2),'TH_MLG GRADE 10'!$B$7:$B$49,0))="P")+
 --(INDEX('TH_MLG GRADE 10'!$K$7:$K$49,MATCH(LEFT($A129,LEN($A129)-2),'TH_MLG GRADE 10'!$B$7:$B$49,0))="P")+
 --(INDEX('TH_MLG GRADE 10'!$Q$7:$Q$49,MATCH(LEFT($A129,LEN($A129)-2),'TH_MLG GRADE 10'!$B$7:$B$49,0))="P")+
 --(INDEX('TH_MLG GRADE 10'!$AC$7:$AC$49,MATCH(LEFT($A129,LEN($A129)-2),'TH_MLG GRADE 10'!$B$7:$B$49,0))="P")+
 --(INDEX('TH_MLG GRADE 10'!$AI$7:$AI$49,MATCH(LEFT($A129,LEN($A129)-2),'TH_MLG GRADE 10'!$B$7:$B$49,0))="P")+
 --(INDEX('TH_MLG GRADE 10'!$AO$7:$AO$49,MATCH(LEFT($A129,LEN($A129)-2),'TH_MLG GRADE 10'!$B$7:$B$49,0))="P")+
 --(INDEX('TH_MLG GRADE 10'!$BA$7:$BA$49,MATCH(LEFT($A129,LEN($A129)-2),'TH_MLG GRADE 10'!$B$7:$B$49,0))="P")+
 --(INDEX('TH_MLG GRADE 10'!$BG$7:$BG$49,MATCH(LEFT($A129,LEN($A129)-2),'TH_MLG GRADE 10'!$B$7:$B$49,0))="P")+
 --(INDEX('TH_MLG GRADE 10'!$W$7:$W$49,MATCH(LEFT($A129,LEN($A129)-2),'TH_MLG GRADE 10'!$B$7:$B$49,0))="P")+
 --(INDEX('TH_MLG GRADE 10'!$AU$7:$AU$49,MATCH(LEFT($A129,LEN($A129)-2),'TH_MLG GRADE 10'!$B$7:$B$49,0))="P"),
0)</f>
        <v>1</v>
      </c>
      <c r="D129" s="144" t="b" cm="1">
        <f t="array" aca="1" ref="D129" ca="1">_xlfn.LET(_xlpm.k,LEFT($A129,LEN($A129)-2),_xlpm.idx,IFERROR(MATCH(_xlpm.k,'TH_MLG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29" s="25">
        <f t="shared" ca="1" si="2"/>
        <v>0.5</v>
      </c>
      <c r="F129" s="24" t="s">
        <v>334</v>
      </c>
      <c r="G129">
        <v>2</v>
      </c>
      <c r="H129">
        <f>IFERROR(
 --(INDEX('PW_MLG GRADE 10'!$E$7:$E$31,MATCH(LEFT($A129,LEN($A129)-2),'PW_MLG GRADE 10'!$B$7:$B$31,0))="P")+
 --(INDEX('PW_MLG GRADE 10'!$K$7:$K$31,MATCH(LEFT($A129,LEN($A129)-2),'PW_MLG GRADE 10'!$B$7:$B$31,0))="P")+
 --(INDEX('PW_MLG GRADE 10'!$Q$7:$Q$31,MATCH(LEFT($A129,LEN($A129)-2),'PW_MLG GRADE 10'!$B$7:$B$31,0))="P")+
 --(INDEX('PW_MLG GRADE 10'!$AC$7:$AC$31,MATCH(LEFT($A129,LEN($A129)-2),'PW_MLG GRADE 10'!$B$7:$B$31,0))="P")+
 --(INDEX('PW_MLG GRADE 10'!$AI$7:$AI$31,MATCH(LEFT($A129,LEN($A129)-2),'PW_MLG GRADE 10'!$B$7:$B$31,0))="P")+
 --(INDEX('PW_MLG GRADE 10'!$AO$7:$AO$31,MATCH(LEFT($A129,LEN($A129)-2),'PW_MLG GRADE 10'!$B$7:$B$31,0))="P")+
 --(INDEX('PW_MLG GRADE 10'!$BA$7:$BA$31,MATCH(LEFT($A129,LEN($A129)-2),'PW_MLG GRADE 10'!$B$7:$B$31,0))="P")+
 --(INDEX('PW_MLG GRADE 10'!$BG$7:$BG$31,MATCH(LEFT($A129,LEN($A129)-2),'PW_MLG GRADE 10'!$B$7:$B$31,0))="P")+
 --(INDEX('PW_MLG GRADE 10'!$W$7:$W$31,MATCH(LEFT($A129,LEN($A129)-2),'PW_MLG GRADE 10'!$B$7:$B$31,0))="P")+
 --(INDEX('PW_MLG GRADE 10'!$AU$7:$AU$31,MATCH(LEFT($A129,LEN($A129)-2),'PW_MLG GRADE 10'!$B$7:$B$31,0))="P"),
0)</f>
        <v>0</v>
      </c>
      <c r="I129" s="144" t="b" cm="1">
        <f t="array" aca="1" ref="I129" ca="1">_xlfn.LET(_xlpm.k,LEFT($A129,LEN($A129)-2),_xlpm.idx,IFERROR(MATCH(_xlpm.k,'PW_MLG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29" s="25" t="str">
        <f t="shared" ca="1" si="3"/>
        <v/>
      </c>
    </row>
    <row r="130" spans="1:13">
      <c r="A130" s="24" t="s">
        <v>335</v>
      </c>
      <c r="B130">
        <v>2</v>
      </c>
      <c r="C130">
        <f>IFERROR(
 --(INDEX('TH_MLG GRADE 10'!$E$7:$E$49,MATCH(LEFT($A130,LEN($A130)-2),'TH_MLG GRADE 10'!$B$7:$B$49,0))="P")+
 --(INDEX('TH_MLG GRADE 10'!$K$7:$K$49,MATCH(LEFT($A130,LEN($A130)-2),'TH_MLG GRADE 10'!$B$7:$B$49,0))="P")+
 --(INDEX('TH_MLG GRADE 10'!$Q$7:$Q$49,MATCH(LEFT($A130,LEN($A130)-2),'TH_MLG GRADE 10'!$B$7:$B$49,0))="P")+
 --(INDEX('TH_MLG GRADE 10'!$AC$7:$AC$49,MATCH(LEFT($A130,LEN($A130)-2),'TH_MLG GRADE 10'!$B$7:$B$49,0))="P")+
 --(INDEX('TH_MLG GRADE 10'!$AI$7:$AI$49,MATCH(LEFT($A130,LEN($A130)-2),'TH_MLG GRADE 10'!$B$7:$B$49,0))="P")+
 --(INDEX('TH_MLG GRADE 10'!$AO$7:$AO$49,MATCH(LEFT($A130,LEN($A130)-2),'TH_MLG GRADE 10'!$B$7:$B$49,0))="P")+
 --(INDEX('TH_MLG GRADE 10'!$BA$7:$BA$49,MATCH(LEFT($A130,LEN($A130)-2),'TH_MLG GRADE 10'!$B$7:$B$49,0))="P")+
 --(INDEX('TH_MLG GRADE 10'!$BG$7:$BG$49,MATCH(LEFT($A130,LEN($A130)-2),'TH_MLG GRADE 10'!$B$7:$B$49,0))="P")+
 --(INDEX('TH_MLG GRADE 10'!$W$7:$W$49,MATCH(LEFT($A130,LEN($A130)-2),'TH_MLG GRADE 10'!$B$7:$B$49,0))="P")+
 --(INDEX('TH_MLG GRADE 10'!$AU$7:$AU$49,MATCH(LEFT($A130,LEN($A130)-2),'TH_MLG GRADE 10'!$B$7:$B$49,0))="P"),
0)</f>
        <v>1</v>
      </c>
      <c r="D130" s="144" t="b" cm="1">
        <f t="array" aca="1" ref="D130" ca="1">_xlfn.LET(_xlpm.k,LEFT($A130,LEN($A130)-2),_xlpm.idx,IFERROR(MATCH(_xlpm.k,'TH_MLG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30" s="25">
        <f t="shared" ca="1" si="2"/>
        <v>0.5</v>
      </c>
      <c r="F130" s="24" t="s">
        <v>335</v>
      </c>
      <c r="G130">
        <v>2</v>
      </c>
      <c r="H130">
        <f>IFERROR(
 --(INDEX('PW_MLG GRADE 10'!$E$7:$E$31,MATCH(LEFT($A130,LEN($A130)-2),'PW_MLG GRADE 10'!$B$7:$B$31,0))="P")+
 --(INDEX('PW_MLG GRADE 10'!$K$7:$K$31,MATCH(LEFT($A130,LEN($A130)-2),'PW_MLG GRADE 10'!$B$7:$B$31,0))="P")+
 --(INDEX('PW_MLG GRADE 10'!$Q$7:$Q$31,MATCH(LEFT($A130,LEN($A130)-2),'PW_MLG GRADE 10'!$B$7:$B$31,0))="P")+
 --(INDEX('PW_MLG GRADE 10'!$AC$7:$AC$31,MATCH(LEFT($A130,LEN($A130)-2),'PW_MLG GRADE 10'!$B$7:$B$31,0))="P")+
 --(INDEX('PW_MLG GRADE 10'!$AI$7:$AI$31,MATCH(LEFT($A130,LEN($A130)-2),'PW_MLG GRADE 10'!$B$7:$B$31,0))="P")+
 --(INDEX('PW_MLG GRADE 10'!$AO$7:$AO$31,MATCH(LEFT($A130,LEN($A130)-2),'PW_MLG GRADE 10'!$B$7:$B$31,0))="P")+
 --(INDEX('PW_MLG GRADE 10'!$BA$7:$BA$31,MATCH(LEFT($A130,LEN($A130)-2),'PW_MLG GRADE 10'!$B$7:$B$31,0))="P")+
 --(INDEX('PW_MLG GRADE 10'!$BG$7:$BG$31,MATCH(LEFT($A130,LEN($A130)-2),'PW_MLG GRADE 10'!$B$7:$B$31,0))="P")+
 --(INDEX('PW_MLG GRADE 10'!$W$7:$W$31,MATCH(LEFT($A130,LEN($A130)-2),'PW_MLG GRADE 10'!$B$7:$B$31,0))="P")+
 --(INDEX('PW_MLG GRADE 10'!$AU$7:$AU$31,MATCH(LEFT($A130,LEN($A130)-2),'PW_MLG GRADE 10'!$B$7:$B$31,0))="P"),
0)</f>
        <v>0</v>
      </c>
      <c r="I130" s="144" t="b" cm="1">
        <f t="array" aca="1" ref="I130" ca="1">_xlfn.LET(_xlpm.k,LEFT($A130,LEN($A130)-2),_xlpm.idx,IFERROR(MATCH(_xlpm.k,'PW_MLG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30" s="25" t="str">
        <f t="shared" ca="1" si="3"/>
        <v/>
      </c>
    </row>
    <row r="131" spans="1:13">
      <c r="A131" s="24" t="s">
        <v>336</v>
      </c>
      <c r="B131">
        <v>2</v>
      </c>
      <c r="C131">
        <f>IFERROR(
 --(INDEX('TH_MLG GRADE 10'!$E$7:$E$49,MATCH(LEFT($A131,LEN($A131)-2),'TH_MLG GRADE 10'!$B$7:$B$49,0))="P")+
 --(INDEX('TH_MLG GRADE 10'!$K$7:$K$49,MATCH(LEFT($A131,LEN($A131)-2),'TH_MLG GRADE 10'!$B$7:$B$49,0))="P")+
 --(INDEX('TH_MLG GRADE 10'!$Q$7:$Q$49,MATCH(LEFT($A131,LEN($A131)-2),'TH_MLG GRADE 10'!$B$7:$B$49,0))="P")+
 --(INDEX('TH_MLG GRADE 10'!$AC$7:$AC$49,MATCH(LEFT($A131,LEN($A131)-2),'TH_MLG GRADE 10'!$B$7:$B$49,0))="P")+
 --(INDEX('TH_MLG GRADE 10'!$AI$7:$AI$49,MATCH(LEFT($A131,LEN($A131)-2),'TH_MLG GRADE 10'!$B$7:$B$49,0))="P")+
 --(INDEX('TH_MLG GRADE 10'!$AO$7:$AO$49,MATCH(LEFT($A131,LEN($A131)-2),'TH_MLG GRADE 10'!$B$7:$B$49,0))="P")+
 --(INDEX('TH_MLG GRADE 10'!$BA$7:$BA$49,MATCH(LEFT($A131,LEN($A131)-2),'TH_MLG GRADE 10'!$B$7:$B$49,0))="P")+
 --(INDEX('TH_MLG GRADE 10'!$BG$7:$BG$49,MATCH(LEFT($A131,LEN($A131)-2),'TH_MLG GRADE 10'!$B$7:$B$49,0))="P")+
 --(INDEX('TH_MLG GRADE 10'!$W$7:$W$49,MATCH(LEFT($A131,LEN($A131)-2),'TH_MLG GRADE 10'!$B$7:$B$49,0))="P")+
 --(INDEX('TH_MLG GRADE 10'!$AU$7:$AU$49,MATCH(LEFT($A131,LEN($A131)-2),'TH_MLG GRADE 10'!$B$7:$B$49,0))="P"),
0)</f>
        <v>1</v>
      </c>
      <c r="D131" s="144" t="b" cm="1">
        <f t="array" aca="1" ref="D131" ca="1">_xlfn.LET(_xlpm.k,LEFT($A131,LEN($A131)-2),_xlpm.idx,IFERROR(MATCH(_xlpm.k,'TH_MLG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31" s="25">
        <f t="shared" ca="1" si="2"/>
        <v>0.5</v>
      </c>
      <c r="F131" s="24" t="s">
        <v>336</v>
      </c>
      <c r="G131">
        <v>2</v>
      </c>
      <c r="H131">
        <f>IFERROR(
 --(INDEX('PW_MLG GRADE 10'!$E$7:$E$31,MATCH(LEFT($A131,LEN($A131)-2),'PW_MLG GRADE 10'!$B$7:$B$31,0))="P")+
 --(INDEX('PW_MLG GRADE 10'!$K$7:$K$31,MATCH(LEFT($A131,LEN($A131)-2),'PW_MLG GRADE 10'!$B$7:$B$31,0))="P")+
 --(INDEX('PW_MLG GRADE 10'!$Q$7:$Q$31,MATCH(LEFT($A131,LEN($A131)-2),'PW_MLG GRADE 10'!$B$7:$B$31,0))="P")+
 --(INDEX('PW_MLG GRADE 10'!$AC$7:$AC$31,MATCH(LEFT($A131,LEN($A131)-2),'PW_MLG GRADE 10'!$B$7:$B$31,0))="P")+
 --(INDEX('PW_MLG GRADE 10'!$AI$7:$AI$31,MATCH(LEFT($A131,LEN($A131)-2),'PW_MLG GRADE 10'!$B$7:$B$31,0))="P")+
 --(INDEX('PW_MLG GRADE 10'!$AO$7:$AO$31,MATCH(LEFT($A131,LEN($A131)-2),'PW_MLG GRADE 10'!$B$7:$B$31,0))="P")+
 --(INDEX('PW_MLG GRADE 10'!$BA$7:$BA$31,MATCH(LEFT($A131,LEN($A131)-2),'PW_MLG GRADE 10'!$B$7:$B$31,0))="P")+
 --(INDEX('PW_MLG GRADE 10'!$BG$7:$BG$31,MATCH(LEFT($A131,LEN($A131)-2),'PW_MLG GRADE 10'!$B$7:$B$31,0))="P")+
 --(INDEX('PW_MLG GRADE 10'!$W$7:$W$31,MATCH(LEFT($A131,LEN($A131)-2),'PW_MLG GRADE 10'!$B$7:$B$31,0))="P")+
 --(INDEX('PW_MLG GRADE 10'!$AU$7:$AU$31,MATCH(LEFT($A131,LEN($A131)-2),'PW_MLG GRADE 10'!$B$7:$B$31,0))="P"),
0)</f>
        <v>0</v>
      </c>
      <c r="I131" s="144" t="b" cm="1">
        <f t="array" aca="1" ref="I131" ca="1">_xlfn.LET(_xlpm.k,LEFT($A131,LEN($A131)-2),_xlpm.idx,IFERROR(MATCH(_xlpm.k,'PW_MLG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31" s="25" t="str">
        <f t="shared" ca="1" si="3"/>
        <v/>
      </c>
    </row>
    <row r="132" spans="1:13">
      <c r="A132" s="24" t="s">
        <v>337</v>
      </c>
      <c r="B132">
        <v>2</v>
      </c>
      <c r="C132">
        <f>IFERROR(
 --(INDEX('TH_MLG GRADE 10'!$E$7:$E$49,MATCH(LEFT($A132,LEN($A132)-2),'TH_MLG GRADE 10'!$B$7:$B$49,0))="P")+
 --(INDEX('TH_MLG GRADE 10'!$K$7:$K$49,MATCH(LEFT($A132,LEN($A132)-2),'TH_MLG GRADE 10'!$B$7:$B$49,0))="P")+
 --(INDEX('TH_MLG GRADE 10'!$Q$7:$Q$49,MATCH(LEFT($A132,LEN($A132)-2),'TH_MLG GRADE 10'!$B$7:$B$49,0))="P")+
 --(INDEX('TH_MLG GRADE 10'!$AC$7:$AC$49,MATCH(LEFT($A132,LEN($A132)-2),'TH_MLG GRADE 10'!$B$7:$B$49,0))="P")+
 --(INDEX('TH_MLG GRADE 10'!$AI$7:$AI$49,MATCH(LEFT($A132,LEN($A132)-2),'TH_MLG GRADE 10'!$B$7:$B$49,0))="P")+
 --(INDEX('TH_MLG GRADE 10'!$AO$7:$AO$49,MATCH(LEFT($A132,LEN($A132)-2),'TH_MLG GRADE 10'!$B$7:$B$49,0))="P")+
 --(INDEX('TH_MLG GRADE 10'!$BA$7:$BA$49,MATCH(LEFT($A132,LEN($A132)-2),'TH_MLG GRADE 10'!$B$7:$B$49,0))="P")+
 --(INDEX('TH_MLG GRADE 10'!$BG$7:$BG$49,MATCH(LEFT($A132,LEN($A132)-2),'TH_MLG GRADE 10'!$B$7:$B$49,0))="P")+
 --(INDEX('TH_MLG GRADE 10'!$W$7:$W$49,MATCH(LEFT($A132,LEN($A132)-2),'TH_MLG GRADE 10'!$B$7:$B$49,0))="P")+
 --(INDEX('TH_MLG GRADE 10'!$AU$7:$AU$49,MATCH(LEFT($A132,LEN($A132)-2),'TH_MLG GRADE 10'!$B$7:$B$49,0))="P"),
0)</f>
        <v>3</v>
      </c>
      <c r="D132" s="144" t="b" cm="1">
        <f t="array" aca="1" ref="D132" ca="1">_xlfn.LET(_xlpm.k,LEFT($A132,LEN($A132)-2),_xlpm.idx,IFERROR(MATCH(_xlpm.k,'TH_MLG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32" s="25">
        <f t="shared" ref="E132:E137" ca="1" si="4">IFERROR(IF(AND(D132=TRUE(),C132/B132&lt;=1),C132/B132,IF(AND(D132=TRUE(),C132/B132&gt;1),1,"")),0)</f>
        <v>1</v>
      </c>
      <c r="F132" s="24" t="s">
        <v>337</v>
      </c>
      <c r="G132">
        <v>2</v>
      </c>
      <c r="H132">
        <f>IFERROR(
 --(INDEX('PW_MLG GRADE 10'!$E$7:$E$31,MATCH(LEFT($A132,LEN($A132)-2),'PW_MLG GRADE 10'!$B$7:$B$31,0))="P")+
 --(INDEX('PW_MLG GRADE 10'!$K$7:$K$31,MATCH(LEFT($A132,LEN($A132)-2),'PW_MLG GRADE 10'!$B$7:$B$31,0))="P")+
 --(INDEX('PW_MLG GRADE 10'!$Q$7:$Q$31,MATCH(LEFT($A132,LEN($A132)-2),'PW_MLG GRADE 10'!$B$7:$B$31,0))="P")+
 --(INDEX('PW_MLG GRADE 10'!$AC$7:$AC$31,MATCH(LEFT($A132,LEN($A132)-2),'PW_MLG GRADE 10'!$B$7:$B$31,0))="P")+
 --(INDEX('PW_MLG GRADE 10'!$AI$7:$AI$31,MATCH(LEFT($A132,LEN($A132)-2),'PW_MLG GRADE 10'!$B$7:$B$31,0))="P")+
 --(INDEX('PW_MLG GRADE 10'!$AO$7:$AO$31,MATCH(LEFT($A132,LEN($A132)-2),'PW_MLG GRADE 10'!$B$7:$B$31,0))="P")+
 --(INDEX('PW_MLG GRADE 10'!$BA$7:$BA$31,MATCH(LEFT($A132,LEN($A132)-2),'PW_MLG GRADE 10'!$B$7:$B$31,0))="P")+
 --(INDEX('PW_MLG GRADE 10'!$BG$7:$BG$31,MATCH(LEFT($A132,LEN($A132)-2),'PW_MLG GRADE 10'!$B$7:$B$31,0))="P")+
 --(INDEX('PW_MLG GRADE 10'!$W$7:$W$31,MATCH(LEFT($A132,LEN($A132)-2),'PW_MLG GRADE 10'!$B$7:$B$31,0))="P")+
 --(INDEX('PW_MLG GRADE 10'!$AU$7:$AU$31,MATCH(LEFT($A132,LEN($A132)-2),'PW_MLG GRADE 10'!$B$7:$B$31,0))="P"),
0)</f>
        <v>0</v>
      </c>
      <c r="I132" s="144" t="b" cm="1">
        <f t="array" aca="1" ref="I132" ca="1">_xlfn.LET(_xlpm.k,LEFT($A132,LEN($A132)-2),_xlpm.idx,IFERROR(MATCH(_xlpm.k,'PW_MLG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32" s="25" t="str">
        <f t="shared" ref="J132:J137" ca="1" si="5">IFERROR(IF(AND(I132=TRUE(),H132/G132&lt;=1),H132/G132,IF(AND(I132=TRUE(),H132/G132&gt;1),1,"")),0)</f>
        <v/>
      </c>
    </row>
    <row r="133" spans="1:13">
      <c r="A133" s="24" t="s">
        <v>338</v>
      </c>
      <c r="B133">
        <v>2</v>
      </c>
      <c r="C133">
        <f>IFERROR(
 --(INDEX('TH_MLG GRADE 10'!$E$7:$E$49,MATCH(LEFT($A133,LEN($A133)-2),'TH_MLG GRADE 10'!$B$7:$B$49,0))="P")+
 --(INDEX('TH_MLG GRADE 10'!$K$7:$K$49,MATCH(LEFT($A133,LEN($A133)-2),'TH_MLG GRADE 10'!$B$7:$B$49,0))="P")+
 --(INDEX('TH_MLG GRADE 10'!$Q$7:$Q$49,MATCH(LEFT($A133,LEN($A133)-2),'TH_MLG GRADE 10'!$B$7:$B$49,0))="P")+
 --(INDEX('TH_MLG GRADE 10'!$AC$7:$AC$49,MATCH(LEFT($A133,LEN($A133)-2),'TH_MLG GRADE 10'!$B$7:$B$49,0))="P")+
 --(INDEX('TH_MLG GRADE 10'!$AI$7:$AI$49,MATCH(LEFT($A133,LEN($A133)-2),'TH_MLG GRADE 10'!$B$7:$B$49,0))="P")+
 --(INDEX('TH_MLG GRADE 10'!$AO$7:$AO$49,MATCH(LEFT($A133,LEN($A133)-2),'TH_MLG GRADE 10'!$B$7:$B$49,0))="P")+
 --(INDEX('TH_MLG GRADE 10'!$BA$7:$BA$49,MATCH(LEFT($A133,LEN($A133)-2),'TH_MLG GRADE 10'!$B$7:$B$49,0))="P")+
 --(INDEX('TH_MLG GRADE 10'!$BG$7:$BG$49,MATCH(LEFT($A133,LEN($A133)-2),'TH_MLG GRADE 10'!$B$7:$B$49,0))="P")+
 --(INDEX('TH_MLG GRADE 10'!$W$7:$W$49,MATCH(LEFT($A133,LEN($A133)-2),'TH_MLG GRADE 10'!$B$7:$B$49,0))="P")+
 --(INDEX('TH_MLG GRADE 10'!$AU$7:$AU$49,MATCH(LEFT($A133,LEN($A133)-2),'TH_MLG GRADE 10'!$B$7:$B$49,0))="P"),
0)</f>
        <v>3</v>
      </c>
      <c r="D133" s="144" t="b" cm="1">
        <f t="array" aca="1" ref="D133" ca="1">_xlfn.LET(_xlpm.k,LEFT($A133,LEN($A133)-2),_xlpm.idx,IFERROR(MATCH(_xlpm.k,'TH_MLG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33" s="25">
        <f t="shared" ca="1" si="4"/>
        <v>1</v>
      </c>
      <c r="F133" s="24" t="s">
        <v>338</v>
      </c>
      <c r="G133">
        <v>2</v>
      </c>
      <c r="H133">
        <f>IFERROR(
 --(INDEX('PW_MLG GRADE 10'!$E$7:$E$31,MATCH(LEFT($A133,LEN($A133)-2),'PW_MLG GRADE 10'!$B$7:$B$31,0))="P")+
 --(INDEX('PW_MLG GRADE 10'!$K$7:$K$31,MATCH(LEFT($A133,LEN($A133)-2),'PW_MLG GRADE 10'!$B$7:$B$31,0))="P")+
 --(INDEX('PW_MLG GRADE 10'!$Q$7:$Q$31,MATCH(LEFT($A133,LEN($A133)-2),'PW_MLG GRADE 10'!$B$7:$B$31,0))="P")+
 --(INDEX('PW_MLG GRADE 10'!$AC$7:$AC$31,MATCH(LEFT($A133,LEN($A133)-2),'PW_MLG GRADE 10'!$B$7:$B$31,0))="P")+
 --(INDEX('PW_MLG GRADE 10'!$AI$7:$AI$31,MATCH(LEFT($A133,LEN($A133)-2),'PW_MLG GRADE 10'!$B$7:$B$31,0))="P")+
 --(INDEX('PW_MLG GRADE 10'!$AO$7:$AO$31,MATCH(LEFT($A133,LEN($A133)-2),'PW_MLG GRADE 10'!$B$7:$B$31,0))="P")+
 --(INDEX('PW_MLG GRADE 10'!$BA$7:$BA$31,MATCH(LEFT($A133,LEN($A133)-2),'PW_MLG GRADE 10'!$B$7:$B$31,0))="P")+
 --(INDEX('PW_MLG GRADE 10'!$BG$7:$BG$31,MATCH(LEFT($A133,LEN($A133)-2),'PW_MLG GRADE 10'!$B$7:$B$31,0))="P")+
 --(INDEX('PW_MLG GRADE 10'!$W$7:$W$31,MATCH(LEFT($A133,LEN($A133)-2),'PW_MLG GRADE 10'!$B$7:$B$31,0))="P")+
 --(INDEX('PW_MLG GRADE 10'!$AU$7:$AU$31,MATCH(LEFT($A133,LEN($A133)-2),'PW_MLG GRADE 10'!$B$7:$B$31,0))="P"),
0)</f>
        <v>0</v>
      </c>
      <c r="I133" s="144" t="b" cm="1">
        <f t="array" aca="1" ref="I133" ca="1">_xlfn.LET(_xlpm.k,LEFT($A133,LEN($A133)-2),_xlpm.idx,IFERROR(MATCH(_xlpm.k,'PW_MLG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33" s="25" t="str">
        <f t="shared" ca="1" si="5"/>
        <v/>
      </c>
    </row>
    <row r="134" spans="1:13">
      <c r="A134" s="24" t="s">
        <v>339</v>
      </c>
      <c r="B134">
        <v>2</v>
      </c>
      <c r="C134">
        <f>IFERROR(
 --(INDEX('TH_MLG GRADE 10'!$E$7:$E$49,MATCH(LEFT($A134,LEN($A134)-2),'TH_MLG GRADE 10'!$B$7:$B$49,0))="P")+
 --(INDEX('TH_MLG GRADE 10'!$K$7:$K$49,MATCH(LEFT($A134,LEN($A134)-2),'TH_MLG GRADE 10'!$B$7:$B$49,0))="P")+
 --(INDEX('TH_MLG GRADE 10'!$Q$7:$Q$49,MATCH(LEFT($A134,LEN($A134)-2),'TH_MLG GRADE 10'!$B$7:$B$49,0))="P")+
 --(INDEX('TH_MLG GRADE 10'!$AC$7:$AC$49,MATCH(LEFT($A134,LEN($A134)-2),'TH_MLG GRADE 10'!$B$7:$B$49,0))="P")+
 --(INDEX('TH_MLG GRADE 10'!$AI$7:$AI$49,MATCH(LEFT($A134,LEN($A134)-2),'TH_MLG GRADE 10'!$B$7:$B$49,0))="P")+
 --(INDEX('TH_MLG GRADE 10'!$AO$7:$AO$49,MATCH(LEFT($A134,LEN($A134)-2),'TH_MLG GRADE 10'!$B$7:$B$49,0))="P")+
 --(INDEX('TH_MLG GRADE 10'!$BA$7:$BA$49,MATCH(LEFT($A134,LEN($A134)-2),'TH_MLG GRADE 10'!$B$7:$B$49,0))="P")+
 --(INDEX('TH_MLG GRADE 10'!$BG$7:$BG$49,MATCH(LEFT($A134,LEN($A134)-2),'TH_MLG GRADE 10'!$B$7:$B$49,0))="P")+
 --(INDEX('TH_MLG GRADE 10'!$W$7:$W$49,MATCH(LEFT($A134,LEN($A134)-2),'TH_MLG GRADE 10'!$B$7:$B$49,0))="P")+
 --(INDEX('TH_MLG GRADE 10'!$AU$7:$AU$49,MATCH(LEFT($A134,LEN($A134)-2),'TH_MLG GRADE 10'!$B$7:$B$49,0))="P"),
0)</f>
        <v>3</v>
      </c>
      <c r="D134" s="144" t="b" cm="1">
        <f t="array" aca="1" ref="D134" ca="1">_xlfn.LET(_xlpm.k,LEFT($A134,LEN($A134)-2),_xlpm.idx,IFERROR(MATCH(_xlpm.k,'TH_MLG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34" s="25">
        <f t="shared" ca="1" si="4"/>
        <v>1</v>
      </c>
      <c r="F134" s="24" t="s">
        <v>339</v>
      </c>
      <c r="G134">
        <v>2</v>
      </c>
      <c r="H134">
        <f>IFERROR(
 --(INDEX('PW_MLG GRADE 10'!$E$7:$E$31,MATCH(LEFT($A134,LEN($A134)-2),'PW_MLG GRADE 10'!$B$7:$B$31,0))="P")+
 --(INDEX('PW_MLG GRADE 10'!$K$7:$K$31,MATCH(LEFT($A134,LEN($A134)-2),'PW_MLG GRADE 10'!$B$7:$B$31,0))="P")+
 --(INDEX('PW_MLG GRADE 10'!$Q$7:$Q$31,MATCH(LEFT($A134,LEN($A134)-2),'PW_MLG GRADE 10'!$B$7:$B$31,0))="P")+
 --(INDEX('PW_MLG GRADE 10'!$AC$7:$AC$31,MATCH(LEFT($A134,LEN($A134)-2),'PW_MLG GRADE 10'!$B$7:$B$31,0))="P")+
 --(INDEX('PW_MLG GRADE 10'!$AI$7:$AI$31,MATCH(LEFT($A134,LEN($A134)-2),'PW_MLG GRADE 10'!$B$7:$B$31,0))="P")+
 --(INDEX('PW_MLG GRADE 10'!$AO$7:$AO$31,MATCH(LEFT($A134,LEN($A134)-2),'PW_MLG GRADE 10'!$B$7:$B$31,0))="P")+
 --(INDEX('PW_MLG GRADE 10'!$BA$7:$BA$31,MATCH(LEFT($A134,LEN($A134)-2),'PW_MLG GRADE 10'!$B$7:$B$31,0))="P")+
 --(INDEX('PW_MLG GRADE 10'!$BG$7:$BG$31,MATCH(LEFT($A134,LEN($A134)-2),'PW_MLG GRADE 10'!$B$7:$B$31,0))="P")+
 --(INDEX('PW_MLG GRADE 10'!$W$7:$W$31,MATCH(LEFT($A134,LEN($A134)-2),'PW_MLG GRADE 10'!$B$7:$B$31,0))="P")+
 --(INDEX('PW_MLG GRADE 10'!$AU$7:$AU$31,MATCH(LEFT($A134,LEN($A134)-2),'PW_MLG GRADE 10'!$B$7:$B$31,0))="P"),
0)</f>
        <v>0</v>
      </c>
      <c r="I134" s="144" t="b" cm="1">
        <f t="array" aca="1" ref="I134" ca="1">_xlfn.LET(_xlpm.k,LEFT($A134,LEN($A134)-2),_xlpm.idx,IFERROR(MATCH(_xlpm.k,'PW_MLG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34" s="25" t="str">
        <f t="shared" ca="1" si="5"/>
        <v/>
      </c>
    </row>
    <row r="135" spans="1:13">
      <c r="A135" s="24" t="s">
        <v>340</v>
      </c>
      <c r="B135">
        <v>2</v>
      </c>
      <c r="C135">
        <f>IFERROR(
 --(INDEX('TH_MLG GRADE 10'!$E$7:$E$49,MATCH(LEFT($A135,LEN($A135)-2),'TH_MLG GRADE 10'!$B$7:$B$49,0))="P")+
 --(INDEX('TH_MLG GRADE 10'!$K$7:$K$49,MATCH(LEFT($A135,LEN($A135)-2),'TH_MLG GRADE 10'!$B$7:$B$49,0))="P")+
 --(INDEX('TH_MLG GRADE 10'!$Q$7:$Q$49,MATCH(LEFT($A135,LEN($A135)-2),'TH_MLG GRADE 10'!$B$7:$B$49,0))="P")+
 --(INDEX('TH_MLG GRADE 10'!$AC$7:$AC$49,MATCH(LEFT($A135,LEN($A135)-2),'TH_MLG GRADE 10'!$B$7:$B$49,0))="P")+
 --(INDEX('TH_MLG GRADE 10'!$AI$7:$AI$49,MATCH(LEFT($A135,LEN($A135)-2),'TH_MLG GRADE 10'!$B$7:$B$49,0))="P")+
 --(INDEX('TH_MLG GRADE 10'!$AO$7:$AO$49,MATCH(LEFT($A135,LEN($A135)-2),'TH_MLG GRADE 10'!$B$7:$B$49,0))="P")+
 --(INDEX('TH_MLG GRADE 10'!$BA$7:$BA$49,MATCH(LEFT($A135,LEN($A135)-2),'TH_MLG GRADE 10'!$B$7:$B$49,0))="P")+
 --(INDEX('TH_MLG GRADE 10'!$BG$7:$BG$49,MATCH(LEFT($A135,LEN($A135)-2),'TH_MLG GRADE 10'!$B$7:$B$49,0))="P")+
 --(INDEX('TH_MLG GRADE 10'!$W$7:$W$49,MATCH(LEFT($A135,LEN($A135)-2),'TH_MLG GRADE 10'!$B$7:$B$49,0))="P")+
 --(INDEX('TH_MLG GRADE 10'!$AU$7:$AU$49,MATCH(LEFT($A135,LEN($A135)-2),'TH_MLG GRADE 10'!$B$7:$B$49,0))="P"),
0)</f>
        <v>3</v>
      </c>
      <c r="D135" s="144" t="b" cm="1">
        <f t="array" aca="1" ref="D135" ca="1">_xlfn.LET(_xlpm.k,LEFT($A135,LEN($A135)-2),_xlpm.idx,IFERROR(MATCH(_xlpm.k,'TH_MLG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35" s="25">
        <f t="shared" ca="1" si="4"/>
        <v>1</v>
      </c>
      <c r="F135" s="24" t="s">
        <v>340</v>
      </c>
      <c r="G135">
        <v>2</v>
      </c>
      <c r="H135">
        <f>IFERROR(
 --(INDEX('PW_MLG GRADE 10'!$E$7:$E$31,MATCH(LEFT($A135,LEN($A135)-2),'PW_MLG GRADE 10'!$B$7:$B$31,0))="P")+
 --(INDEX('PW_MLG GRADE 10'!$K$7:$K$31,MATCH(LEFT($A135,LEN($A135)-2),'PW_MLG GRADE 10'!$B$7:$B$31,0))="P")+
 --(INDEX('PW_MLG GRADE 10'!$Q$7:$Q$31,MATCH(LEFT($A135,LEN($A135)-2),'PW_MLG GRADE 10'!$B$7:$B$31,0))="P")+
 --(INDEX('PW_MLG GRADE 10'!$AC$7:$AC$31,MATCH(LEFT($A135,LEN($A135)-2),'PW_MLG GRADE 10'!$B$7:$B$31,0))="P")+
 --(INDEX('PW_MLG GRADE 10'!$AI$7:$AI$31,MATCH(LEFT($A135,LEN($A135)-2),'PW_MLG GRADE 10'!$B$7:$B$31,0))="P")+
 --(INDEX('PW_MLG GRADE 10'!$AO$7:$AO$31,MATCH(LEFT($A135,LEN($A135)-2),'PW_MLG GRADE 10'!$B$7:$B$31,0))="P")+
 --(INDEX('PW_MLG GRADE 10'!$BA$7:$BA$31,MATCH(LEFT($A135,LEN($A135)-2),'PW_MLG GRADE 10'!$B$7:$B$31,0))="P")+
 --(INDEX('PW_MLG GRADE 10'!$BG$7:$BG$31,MATCH(LEFT($A135,LEN($A135)-2),'PW_MLG GRADE 10'!$B$7:$B$31,0))="P")+
 --(INDEX('PW_MLG GRADE 10'!$W$7:$W$31,MATCH(LEFT($A135,LEN($A135)-2),'PW_MLG GRADE 10'!$B$7:$B$31,0))="P")+
 --(INDEX('PW_MLG GRADE 10'!$AU$7:$AU$31,MATCH(LEFT($A135,LEN($A135)-2),'PW_MLG GRADE 10'!$B$7:$B$31,0))="P"),
0)</f>
        <v>0</v>
      </c>
      <c r="I135" s="144" t="b" cm="1">
        <f t="array" aca="1" ref="I135" ca="1">_xlfn.LET(_xlpm.k,LEFT($A135,LEN($A135)-2),_xlpm.idx,IFERROR(MATCH(_xlpm.k,'PW_MLG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35" s="25" t="str">
        <f t="shared" ca="1" si="5"/>
        <v/>
      </c>
    </row>
    <row r="136" spans="1:13">
      <c r="A136" s="24" t="s">
        <v>341</v>
      </c>
      <c r="B136">
        <v>2</v>
      </c>
      <c r="C136">
        <f>IFERROR(
 --(INDEX('TH_MLG GRADE 10'!$E$7:$E$49,MATCH(LEFT($A136,LEN($A136)-2),'TH_MLG GRADE 10'!$B$7:$B$49,0))="P")+
 --(INDEX('TH_MLG GRADE 10'!$K$7:$K$49,MATCH(LEFT($A136,LEN($A136)-2),'TH_MLG GRADE 10'!$B$7:$B$49,0))="P")+
 --(INDEX('TH_MLG GRADE 10'!$Q$7:$Q$49,MATCH(LEFT($A136,LEN($A136)-2),'TH_MLG GRADE 10'!$B$7:$B$49,0))="P")+
 --(INDEX('TH_MLG GRADE 10'!$AC$7:$AC$49,MATCH(LEFT($A136,LEN($A136)-2),'TH_MLG GRADE 10'!$B$7:$B$49,0))="P")+
 --(INDEX('TH_MLG GRADE 10'!$AI$7:$AI$49,MATCH(LEFT($A136,LEN($A136)-2),'TH_MLG GRADE 10'!$B$7:$B$49,0))="P")+
 --(INDEX('TH_MLG GRADE 10'!$AO$7:$AO$49,MATCH(LEFT($A136,LEN($A136)-2),'TH_MLG GRADE 10'!$B$7:$B$49,0))="P")+
 --(INDEX('TH_MLG GRADE 10'!$BA$7:$BA$49,MATCH(LEFT($A136,LEN($A136)-2),'TH_MLG GRADE 10'!$B$7:$B$49,0))="P")+
 --(INDEX('TH_MLG GRADE 10'!$BG$7:$BG$49,MATCH(LEFT($A136,LEN($A136)-2),'TH_MLG GRADE 10'!$B$7:$B$49,0))="P")+
 --(INDEX('TH_MLG GRADE 10'!$W$7:$W$49,MATCH(LEFT($A136,LEN($A136)-2),'TH_MLG GRADE 10'!$B$7:$B$49,0))="P")+
 --(INDEX('TH_MLG GRADE 10'!$AU$7:$AU$49,MATCH(LEFT($A136,LEN($A136)-2),'TH_MLG GRADE 10'!$B$7:$B$49,0))="P"),
0)</f>
        <v>3</v>
      </c>
      <c r="D136" s="144" t="b" cm="1">
        <f t="array" aca="1" ref="D136" ca="1">_xlfn.LET(_xlpm.k,LEFT($A136,LEN($A136)-2),_xlpm.idx,IFERROR(MATCH(_xlpm.k,'TH_MLG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36" s="25">
        <f t="shared" ca="1" si="4"/>
        <v>1</v>
      </c>
      <c r="F136" s="24" t="s">
        <v>341</v>
      </c>
      <c r="G136">
        <v>2</v>
      </c>
      <c r="H136">
        <f>IFERROR(
 --(INDEX('PW_MLG GRADE 10'!$E$7:$E$31,MATCH(LEFT($A136,LEN($A136)-2),'PW_MLG GRADE 10'!$B$7:$B$31,0))="P")+
 --(INDEX('PW_MLG GRADE 10'!$K$7:$K$31,MATCH(LEFT($A136,LEN($A136)-2),'PW_MLG GRADE 10'!$B$7:$B$31,0))="P")+
 --(INDEX('PW_MLG GRADE 10'!$Q$7:$Q$31,MATCH(LEFT($A136,LEN($A136)-2),'PW_MLG GRADE 10'!$B$7:$B$31,0))="P")+
 --(INDEX('PW_MLG GRADE 10'!$AC$7:$AC$31,MATCH(LEFT($A136,LEN($A136)-2),'PW_MLG GRADE 10'!$B$7:$B$31,0))="P")+
 --(INDEX('PW_MLG GRADE 10'!$AI$7:$AI$31,MATCH(LEFT($A136,LEN($A136)-2),'PW_MLG GRADE 10'!$B$7:$B$31,0))="P")+
 --(INDEX('PW_MLG GRADE 10'!$AO$7:$AO$31,MATCH(LEFT($A136,LEN($A136)-2),'PW_MLG GRADE 10'!$B$7:$B$31,0))="P")+
 --(INDEX('PW_MLG GRADE 10'!$BA$7:$BA$31,MATCH(LEFT($A136,LEN($A136)-2),'PW_MLG GRADE 10'!$B$7:$B$31,0))="P")+
 --(INDEX('PW_MLG GRADE 10'!$BG$7:$BG$31,MATCH(LEFT($A136,LEN($A136)-2),'PW_MLG GRADE 10'!$B$7:$B$31,0))="P")+
 --(INDEX('PW_MLG GRADE 10'!$W$7:$W$31,MATCH(LEFT($A136,LEN($A136)-2),'PW_MLG GRADE 10'!$B$7:$B$31,0))="P")+
 --(INDEX('PW_MLG GRADE 10'!$AU$7:$AU$31,MATCH(LEFT($A136,LEN($A136)-2),'PW_MLG GRADE 10'!$B$7:$B$31,0))="P"),
0)</f>
        <v>0</v>
      </c>
      <c r="I136" s="144" t="b" cm="1">
        <f t="array" aca="1" ref="I136" ca="1">_xlfn.LET(_xlpm.k,LEFT($A136,LEN($A136)-2),_xlpm.idx,IFERROR(MATCH(_xlpm.k,'PW_MLG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36" s="25" t="str">
        <f t="shared" ca="1" si="5"/>
        <v/>
      </c>
    </row>
    <row r="137" spans="1:13">
      <c r="A137" s="24" t="s">
        <v>342</v>
      </c>
      <c r="B137">
        <v>2</v>
      </c>
      <c r="C137">
        <f>IFERROR(
 --(INDEX('TH_MLG GRADE 10'!$E$7:$E$49,MATCH(LEFT($A137,LEN($A137)-2),'TH_MLG GRADE 10'!$B$7:$B$49,0))="P")+
 --(INDEX('TH_MLG GRADE 10'!$K$7:$K$49,MATCH(LEFT($A137,LEN($A137)-2),'TH_MLG GRADE 10'!$B$7:$B$49,0))="P")+
 --(INDEX('TH_MLG GRADE 10'!$Q$7:$Q$49,MATCH(LEFT($A137,LEN($A137)-2),'TH_MLG GRADE 10'!$B$7:$B$49,0))="P")+
 --(INDEX('TH_MLG GRADE 10'!$AC$7:$AC$49,MATCH(LEFT($A137,LEN($A137)-2),'TH_MLG GRADE 10'!$B$7:$B$49,0))="P")+
 --(INDEX('TH_MLG GRADE 10'!$AI$7:$AI$49,MATCH(LEFT($A137,LEN($A137)-2),'TH_MLG GRADE 10'!$B$7:$B$49,0))="P")+
 --(INDEX('TH_MLG GRADE 10'!$AO$7:$AO$49,MATCH(LEFT($A137,LEN($A137)-2),'TH_MLG GRADE 10'!$B$7:$B$49,0))="P")+
 --(INDEX('TH_MLG GRADE 10'!$BA$7:$BA$49,MATCH(LEFT($A137,LEN($A137)-2),'TH_MLG GRADE 10'!$B$7:$B$49,0))="P")+
 --(INDEX('TH_MLG GRADE 10'!$BG$7:$BG$49,MATCH(LEFT($A137,LEN($A137)-2),'TH_MLG GRADE 10'!$B$7:$B$49,0))="P")+
 --(INDEX('TH_MLG GRADE 10'!$W$7:$W$49,MATCH(LEFT($A137,LEN($A137)-2),'TH_MLG GRADE 10'!$B$7:$B$49,0))="P")+
 --(INDEX('TH_MLG GRADE 10'!$AU$7:$AU$49,MATCH(LEFT($A137,LEN($A137)-2),'TH_MLG GRADE 10'!$B$7:$B$49,0))="P"),
0)</f>
        <v>3</v>
      </c>
      <c r="D137" s="144" t="b" cm="1">
        <f t="array" aca="1" ref="D137" ca="1">_xlfn.LET(_xlpm.k,LEFT($A137,LEN($A137)-2),_xlpm.idx,IFERROR(MATCH(_xlpm.k,'TH_MLG GRADE 10'!$B$7:$B$49,0),0),IF(_xlpm.idx=0,FALSE,_xlfn.LET(_xlpm.plg,INDEX('TH_MLG GRADE 10'!$BN$7:$CO$49,_xlpm.idx,{1;4;7;10;13;16;19;22;25;28}),_xlpm.dmin,IF(COUNTA(_xlpm.plg)=0,0,MIN(_xlpm.plg)),IF(_xlpm.dmin=0,FALSE,_xlpm.dmin&lt;=TODAY()))))</f>
        <v>1</v>
      </c>
      <c r="E137" s="25">
        <f t="shared" ca="1" si="4"/>
        <v>1</v>
      </c>
      <c r="F137" s="24" t="s">
        <v>342</v>
      </c>
      <c r="G137">
        <v>2</v>
      </c>
      <c r="H137">
        <f>IFERROR(
 --(INDEX('PW_MLG GRADE 10'!$E$7:$E$31,MATCH(LEFT($A137,LEN($A137)-2),'PW_MLG GRADE 10'!$B$7:$B$31,0))="P")+
 --(INDEX('PW_MLG GRADE 10'!$K$7:$K$31,MATCH(LEFT($A137,LEN($A137)-2),'PW_MLG GRADE 10'!$B$7:$B$31,0))="P")+
 --(INDEX('PW_MLG GRADE 10'!$Q$7:$Q$31,MATCH(LEFT($A137,LEN($A137)-2),'PW_MLG GRADE 10'!$B$7:$B$31,0))="P")+
 --(INDEX('PW_MLG GRADE 10'!$AC$7:$AC$31,MATCH(LEFT($A137,LEN($A137)-2),'PW_MLG GRADE 10'!$B$7:$B$31,0))="P")+
 --(INDEX('PW_MLG GRADE 10'!$AI$7:$AI$31,MATCH(LEFT($A137,LEN($A137)-2),'PW_MLG GRADE 10'!$B$7:$B$31,0))="P")+
 --(INDEX('PW_MLG GRADE 10'!$AO$7:$AO$31,MATCH(LEFT($A137,LEN($A137)-2),'PW_MLG GRADE 10'!$B$7:$B$31,0))="P")+
 --(INDEX('PW_MLG GRADE 10'!$BA$7:$BA$31,MATCH(LEFT($A137,LEN($A137)-2),'PW_MLG GRADE 10'!$B$7:$B$31,0))="P")+
 --(INDEX('PW_MLG GRADE 10'!$BG$7:$BG$31,MATCH(LEFT($A137,LEN($A137)-2),'PW_MLG GRADE 10'!$B$7:$B$31,0))="P")+
 --(INDEX('PW_MLG GRADE 10'!$W$7:$W$31,MATCH(LEFT($A137,LEN($A137)-2),'PW_MLG GRADE 10'!$B$7:$B$31,0))="P")+
 --(INDEX('PW_MLG GRADE 10'!$AU$7:$AU$31,MATCH(LEFT($A137,LEN($A137)-2),'PW_MLG GRADE 10'!$B$7:$B$31,0))="P"),
0)</f>
        <v>0</v>
      </c>
      <c r="I137" s="144" t="b" cm="1">
        <f t="array" aca="1" ref="I137" ca="1">_xlfn.LET(_xlpm.k,LEFT($A137,LEN($A137)-2),_xlpm.idx,IFERROR(MATCH(_xlpm.k,'PW_MLG GRADE 10'!$B$7:$B$31,0),0),IF(_xlpm.idx=0,FALSE,_xlfn.LET(_xlpm.plg,INDEX('PW_MLG GRADE 10'!$BN$7:$CO$31,_xlpm.idx,{1;4;7;10;13;16;19;22;25;28}),_xlpm.dmin,IF(COUNTA(_xlpm.plg)=0,0,MIN(_xlpm.plg)),IF(_xlpm.dmin=0,FALSE,_xlpm.dmin&lt;=TODAY()))))</f>
        <v>0</v>
      </c>
      <c r="J137" s="25" t="str">
        <f t="shared" ca="1" si="5"/>
        <v/>
      </c>
    </row>
    <row r="138" spans="1:13">
      <c r="A138" s="140" t="s">
        <v>343</v>
      </c>
      <c r="B138" s="140"/>
      <c r="C138" s="140"/>
      <c r="D138" s="140"/>
      <c r="E138" s="141">
        <f ca="1">IFERROR(AVERAGE(E3:E137),0)</f>
        <v>0.95607235142118874</v>
      </c>
      <c r="F138" s="138" t="s">
        <v>343</v>
      </c>
      <c r="G138" s="138"/>
      <c r="H138" s="138"/>
      <c r="I138" s="138"/>
      <c r="J138" s="139">
        <f ca="1">IFERROR(AVERAGE(J3:J137),0)</f>
        <v>0.94</v>
      </c>
      <c r="L138" t="s">
        <v>344</v>
      </c>
      <c r="M138" s="55">
        <f ca="1">AVERAGEIF(E138:J138,"&lt;&gt;0",E138:J138)</f>
        <v>0.9480361757105944</v>
      </c>
    </row>
    <row r="140" spans="1:13">
      <c r="A140" s="24" t="s">
        <v>345</v>
      </c>
      <c r="B140">
        <v>2</v>
      </c>
      <c r="C140">
        <f>IFERROR(
 --(INDEX('TH_MLG GRADE 10'!$H$7:$H$49,MATCH(LEFT($A140,LEN($A140)-2),'TH_MLG GRADE 10'!$B$7:$B$49,0))="P")+
 --(INDEX('TH_MLG GRADE 10'!$N$7:$N$49,MATCH(LEFT($A140,LEN($A140)-2),'TH_MLG GRADE 10'!$B$7:$B$49,0))="P")+
 --(INDEX('TH_MLG GRADE 10'!$T$7:$T$49,MATCH(LEFT($A140,LEN($A140)-2),'TH_MLG GRADE 10'!$B$7:$B$49,0))="P")+
 --(INDEX('TH_MLG GRADE 10'!$AF$7:$AF$49,MATCH(LEFT($A140,LEN($A140)-2),'TH_MLG GRADE 10'!$B$7:$B$49,0))="P")+
 --(INDEX('TH_MLG GRADE 10'!$AL$7:$AL$49,MATCH(LEFT($A140,LEN($A140)-2),'TH_MLG GRADE 10'!$B$7:$B$49,0))="P")+
 --(INDEX('TH_MLG GRADE 10'!$AR$7:$AR$49,MATCH(LEFT($A140,LEN($A140)-2),'TH_MLG GRADE 10'!$B$7:$B$49,0))="P")+
 --(INDEX('TH_MLG GRADE 10'!$BD$7:$BD$49,MATCH(LEFT($A140,LEN($A140)-2),'TH_MLG GRADE 10'!$B$7:$B$49,0))="P")+
 --(INDEX('TH_MLG GRADE 10'!$BJ$7:$BJ$49,MATCH(LEFT($A140,LEN($A140)-2),'TH_MLG GRADE 10'!$B$7:$B$49,0))="P")+
 --(INDEX('TH_MLG GRADE 10'!$Z$7:$Z$49,MATCH(LEFT($A140,LEN($A140)-2),'TH_MLG GRADE 10'!$B$7:$B$49,0))="P")+
 --(INDEX('TH_MLG GRADE 10'!$AX$7:$AX$49,MATCH(LEFT($A140,LEN($A140)-2),'TH_MLG GRADE 10'!$B$7:$B$49,0))="P"),
0)</f>
        <v>1</v>
      </c>
      <c r="D140" s="24" t="b">
        <f ca="1">IF(IF(_xlfn.XLOOKUP(LEFT(A140,LEN(A140)-2),'TH_MLG GRADE 10'!$B$7:$B$49,'TH_MLG GRADE 10'!$BM$7:$BM$49,"",0,1)=0,"",_xlfn.XLOOKUP(LEFT(A140,LEN(A140)-2),'TH_MLG GRADE 10'!$B$7:$B$49,'TH_MLG GRADE 10'!$BM$7:$BM$49,"",0,1))&lt;=TODAY(),TRUE,FALSE)</f>
        <v>1</v>
      </c>
      <c r="E140" s="25">
        <f t="shared" ref="E140:E184" ca="1" si="6">IFERROR(IF(AND(D140=TRUE(),C140/B140&lt;=1),C140/B140,IF(AND(D140=TRUE(),C140/B140&gt;1),1,"")),0)</f>
        <v>0.5</v>
      </c>
      <c r="F140" s="24" t="s">
        <v>297</v>
      </c>
      <c r="G140">
        <v>2</v>
      </c>
      <c r="H140">
        <f>IFERROR(
 --(INDEX('PW_MLG GRADE 10'!$H$7:$H$31,MATCH(LEFT($A140,LEN($A140)-2),'PW_MLG GRADE 10'!$B$7:$B$31,0))="P")+
 --(INDEX('PW_MLG GRADE 10'!$N$7:$N$31,MATCH(LEFT($A140,LEN($A140)-2),'PW_MLG GRADE 10'!$B$7:$B$31,0))="P")+
 --(INDEX('PW_MLG GRADE 10'!$T$7:$T$31,MATCH(LEFT($A140,LEN($A140)-2),'PW_MLG GRADE 10'!$B$7:$B$31,0))="P")+
 --(INDEX('PW_MLG GRADE 10'!$AF$7:$AF$31,MATCH(LEFT($A140,LEN($A140)-2),'PW_MLG GRADE 10'!$B$7:$B$31,0))="P")+
 --(INDEX('PW_MLG GRADE 10'!$AL$7:$AL$31,MATCH(LEFT($A140,LEN($A140)-2),'PW_MLG GRADE 10'!$B$7:$B$31,0))="P")+
 --(INDEX('PW_MLG GRADE 10'!$AR$7:$AR$31,MATCH(LEFT($A140,LEN($A140)-2),'PW_MLG GRADE 10'!$B$7:$B$31,0))="P")+
 --(INDEX('PW_MLG GRADE 10'!$BD$7:$BD$31,MATCH(LEFT($A140,LEN($A140)-2),'PW_MLG GRADE 10'!$B$7:$B$31,0))="P")+
 --(INDEX('PW_MLG GRADE 10'!$BJ$7:$BJ$31,MATCH(LEFT($A140,LEN($A140)-2),'PW_MLG GRADE 10'!$B$7:$B$31,0))="P")+
 --(INDEX('PW_MLG GRADE 10'!$Z$7:$Z$31,MATCH(LEFT($A140,LEN($A140)-2),'PW_MLG GRADE 10'!$B$7:$B$31,0))="P")+
 --(INDEX('PW_MLG GRADE 10'!$AX$7:$AX$31,MATCH(LEFT($A140,LEN($A140)-2),'PW_MLG GRADE 10'!$B$7:$B$31,0))="P"),
0)</f>
        <v>0</v>
      </c>
      <c r="I140" s="24" t="b">
        <f ca="1">IF(IF(_xlfn.XLOOKUP(LEFT(F140,LEN(F140)-2),'PW_MLG GRADE 10'!$B$7:$B$31,'PW_MLG GRADE 10'!$BM$7:$BM$31,"",0,1)=0,"",_xlfn.XLOOKUP(LEFT(F140,LEN(F140)-2),'PW_MLG GRADE 10'!$B$7:$B$31,'PW_MLG GRADE 10'!$BM$7:$BM$31,"",0,1))&lt;=TODAY(),TRUE,FALSE)</f>
        <v>0</v>
      </c>
      <c r="J140" s="25" t="str">
        <f t="shared" ref="J140:J184" ca="1" si="7">IFERROR(IF(AND(I140=TRUE(),H140/G140&lt;=1),H140/G140,IF(AND(I140=TRUE(),H140/G140&gt;1),1,"")),0)</f>
        <v/>
      </c>
    </row>
    <row r="141" spans="1:13">
      <c r="A141" s="24" t="s">
        <v>346</v>
      </c>
      <c r="B141">
        <v>2</v>
      </c>
      <c r="C141">
        <f>IFERROR(
 --(INDEX('TH_MLG GRADE 10'!$H$7:$H$49,MATCH(LEFT($A141,LEN($A141)-2),'TH_MLG GRADE 10'!$B$7:$B$49,0))="P")+
 --(INDEX('TH_MLG GRADE 10'!$N$7:$N$49,MATCH(LEFT($A141,LEN($A141)-2),'TH_MLG GRADE 10'!$B$7:$B$49,0))="P")+
 --(INDEX('TH_MLG GRADE 10'!$T$7:$T$49,MATCH(LEFT($A141,LEN($A141)-2),'TH_MLG GRADE 10'!$B$7:$B$49,0))="P")+
 --(INDEX('TH_MLG GRADE 10'!$AF$7:$AF$49,MATCH(LEFT($A141,LEN($A141)-2),'TH_MLG GRADE 10'!$B$7:$B$49,0))="P")+
 --(INDEX('TH_MLG GRADE 10'!$AL$7:$AL$49,MATCH(LEFT($A141,LEN($A141)-2),'TH_MLG GRADE 10'!$B$7:$B$49,0))="P")+
 --(INDEX('TH_MLG GRADE 10'!$AR$7:$AR$49,MATCH(LEFT($A141,LEN($A141)-2),'TH_MLG GRADE 10'!$B$7:$B$49,0))="P")+
 --(INDEX('TH_MLG GRADE 10'!$BD$7:$BD$49,MATCH(LEFT($A141,LEN($A141)-2),'TH_MLG GRADE 10'!$B$7:$B$49,0))="P")+
 --(INDEX('TH_MLG GRADE 10'!$BJ$7:$BJ$49,MATCH(LEFT($A141,LEN($A141)-2),'TH_MLG GRADE 10'!$B$7:$B$49,0))="P")+
 --(INDEX('TH_MLG GRADE 10'!$Z$7:$Z$49,MATCH(LEFT($A141,LEN($A141)-2),'TH_MLG GRADE 10'!$B$7:$B$49,0))="P")+
 --(INDEX('TH_MLG GRADE 10'!$AX$7:$AX$49,MATCH(LEFT($A141,LEN($A141)-2),'TH_MLG GRADE 10'!$B$7:$B$49,0))="P"),
0)</f>
        <v>0</v>
      </c>
      <c r="D141" s="24" t="b">
        <f ca="1">IF(IF(_xlfn.XLOOKUP(LEFT(A141,LEN(A141)-2),'TH_MLG GRADE 10'!$B$7:$B$49,'TH_MLG GRADE 10'!$BM$7:$BM$49,"",0,1)=0,"",_xlfn.XLOOKUP(LEFT(A141,LEN(A141)-2),'TH_MLG GRADE 10'!$B$7:$B$49,'TH_MLG GRADE 10'!$BM$7:$BM$49,"",0,1))&lt;=TODAY(),TRUE,FALSE)</f>
        <v>0</v>
      </c>
      <c r="E141" s="25" t="str">
        <f t="shared" ca="1" si="6"/>
        <v/>
      </c>
      <c r="F141" s="24" t="s">
        <v>299</v>
      </c>
      <c r="G141">
        <v>2</v>
      </c>
      <c r="H141">
        <f>IFERROR(
 --(INDEX('PW_MLG GRADE 10'!$H$7:$H$31,MATCH(LEFT($A141,LEN($A141)-2),'PW_MLG GRADE 10'!$B$7:$B$31,0))="P")+
 --(INDEX('PW_MLG GRADE 10'!$N$7:$N$31,MATCH(LEFT($A141,LEN($A141)-2),'PW_MLG GRADE 10'!$B$7:$B$31,0))="P")+
 --(INDEX('PW_MLG GRADE 10'!$T$7:$T$31,MATCH(LEFT($A141,LEN($A141)-2),'PW_MLG GRADE 10'!$B$7:$B$31,0))="P")+
 --(INDEX('PW_MLG GRADE 10'!$AF$7:$AF$31,MATCH(LEFT($A141,LEN($A141)-2),'PW_MLG GRADE 10'!$B$7:$B$31,0))="P")+
 --(INDEX('PW_MLG GRADE 10'!$AL$7:$AL$31,MATCH(LEFT($A141,LEN($A141)-2),'PW_MLG GRADE 10'!$B$7:$B$31,0))="P")+
 --(INDEX('PW_MLG GRADE 10'!$AR$7:$AR$31,MATCH(LEFT($A141,LEN($A141)-2),'PW_MLG GRADE 10'!$B$7:$B$31,0))="P")+
 --(INDEX('PW_MLG GRADE 10'!$BD$7:$BD$31,MATCH(LEFT($A141,LEN($A141)-2),'PW_MLG GRADE 10'!$B$7:$B$31,0))="P")+
 --(INDEX('PW_MLG GRADE 10'!$BJ$7:$BJ$31,MATCH(LEFT($A141,LEN($A141)-2),'PW_MLG GRADE 10'!$B$7:$B$31,0))="P")+
 --(INDEX('PW_MLG GRADE 10'!$Z$7:$Z$31,MATCH(LEFT($A141,LEN($A141)-2),'PW_MLG GRADE 10'!$B$7:$B$31,0))="P")+
 --(INDEX('PW_MLG GRADE 10'!$AX$7:$AX$31,MATCH(LEFT($A141,LEN($A141)-2),'PW_MLG GRADE 10'!$B$7:$B$31,0))="P"),
0)</f>
        <v>0</v>
      </c>
      <c r="I141" s="24" t="b">
        <f ca="1">IF(IF(_xlfn.XLOOKUP(LEFT(F141,LEN(F141)-2),'PW_MLG GRADE 10'!$B$7:$B$31,'PW_MLG GRADE 10'!$BM$7:$BM$31,"",0,1)=0,"",_xlfn.XLOOKUP(LEFT(F141,LEN(F141)-2),'PW_MLG GRADE 10'!$B$7:$B$31,'PW_MLG GRADE 10'!$BM$7:$BM$31,"",0,1))&lt;=TODAY(),TRUE,FALSE)</f>
        <v>0</v>
      </c>
      <c r="J141" s="25" t="str">
        <f t="shared" ca="1" si="7"/>
        <v/>
      </c>
    </row>
    <row r="142" spans="1:13">
      <c r="A142" s="24" t="s">
        <v>347</v>
      </c>
      <c r="B142">
        <v>2</v>
      </c>
      <c r="C142">
        <f>IFERROR(
 --(INDEX('TH_MLG GRADE 10'!$H$7:$H$49,MATCH(LEFT($A142,LEN($A142)-2),'TH_MLG GRADE 10'!$B$7:$B$49,0))="P")+
 --(INDEX('TH_MLG GRADE 10'!$N$7:$N$49,MATCH(LEFT($A142,LEN($A142)-2),'TH_MLG GRADE 10'!$B$7:$B$49,0))="P")+
 --(INDEX('TH_MLG GRADE 10'!$T$7:$T$49,MATCH(LEFT($A142,LEN($A142)-2),'TH_MLG GRADE 10'!$B$7:$B$49,0))="P")+
 --(INDEX('TH_MLG GRADE 10'!$AF$7:$AF$49,MATCH(LEFT($A142,LEN($A142)-2),'TH_MLG GRADE 10'!$B$7:$B$49,0))="P")+
 --(INDEX('TH_MLG GRADE 10'!$AL$7:$AL$49,MATCH(LEFT($A142,LEN($A142)-2),'TH_MLG GRADE 10'!$B$7:$B$49,0))="P")+
 --(INDEX('TH_MLG GRADE 10'!$AR$7:$AR$49,MATCH(LEFT($A142,LEN($A142)-2),'TH_MLG GRADE 10'!$B$7:$B$49,0))="P")+
 --(INDEX('TH_MLG GRADE 10'!$BD$7:$BD$49,MATCH(LEFT($A142,LEN($A142)-2),'TH_MLG GRADE 10'!$B$7:$B$49,0))="P")+
 --(INDEX('TH_MLG GRADE 10'!$BJ$7:$BJ$49,MATCH(LEFT($A142,LEN($A142)-2),'TH_MLG GRADE 10'!$B$7:$B$49,0))="P")+
 --(INDEX('TH_MLG GRADE 10'!$Z$7:$Z$49,MATCH(LEFT($A142,LEN($A142)-2),'TH_MLG GRADE 10'!$B$7:$B$49,0))="P")+
 --(INDEX('TH_MLG GRADE 10'!$AX$7:$AX$49,MATCH(LEFT($A142,LEN($A142)-2),'TH_MLG GRADE 10'!$B$7:$B$49,0))="P"),
0)</f>
        <v>0</v>
      </c>
      <c r="D142" s="24" t="b">
        <f ca="1">IF(IF(_xlfn.XLOOKUP(LEFT(A142,LEN(A142)-2),'TH_MLG GRADE 10'!$B$7:$B$49,'TH_MLG GRADE 10'!$BM$7:$BM$49,"",0,1)=0,"",_xlfn.XLOOKUP(LEFT(A142,LEN(A142)-2),'TH_MLG GRADE 10'!$B$7:$B$49,'TH_MLG GRADE 10'!$BM$7:$BM$49,"",0,1))&lt;=TODAY(),TRUE,FALSE)</f>
        <v>0</v>
      </c>
      <c r="E142" s="25" t="str">
        <f t="shared" ca="1" si="6"/>
        <v/>
      </c>
      <c r="F142" s="24" t="s">
        <v>300</v>
      </c>
      <c r="G142">
        <v>2</v>
      </c>
      <c r="H142">
        <f>IFERROR(
 --(INDEX('PW_MLG GRADE 10'!$H$7:$H$31,MATCH(LEFT($A142,LEN($A142)-2),'PW_MLG GRADE 10'!$B$7:$B$31,0))="P")+
 --(INDEX('PW_MLG GRADE 10'!$N$7:$N$31,MATCH(LEFT($A142,LEN($A142)-2),'PW_MLG GRADE 10'!$B$7:$B$31,0))="P")+
 --(INDEX('PW_MLG GRADE 10'!$T$7:$T$31,MATCH(LEFT($A142,LEN($A142)-2),'PW_MLG GRADE 10'!$B$7:$B$31,0))="P")+
 --(INDEX('PW_MLG GRADE 10'!$AF$7:$AF$31,MATCH(LEFT($A142,LEN($A142)-2),'PW_MLG GRADE 10'!$B$7:$B$31,0))="P")+
 --(INDEX('PW_MLG GRADE 10'!$AL$7:$AL$31,MATCH(LEFT($A142,LEN($A142)-2),'PW_MLG GRADE 10'!$B$7:$B$31,0))="P")+
 --(INDEX('PW_MLG GRADE 10'!$AR$7:$AR$31,MATCH(LEFT($A142,LEN($A142)-2),'PW_MLG GRADE 10'!$B$7:$B$31,0))="P")+
 --(INDEX('PW_MLG GRADE 10'!$BD$7:$BD$31,MATCH(LEFT($A142,LEN($A142)-2),'PW_MLG GRADE 10'!$B$7:$B$31,0))="P")+
 --(INDEX('PW_MLG GRADE 10'!$BJ$7:$BJ$31,MATCH(LEFT($A142,LEN($A142)-2),'PW_MLG GRADE 10'!$B$7:$B$31,0))="P")+
 --(INDEX('PW_MLG GRADE 10'!$Z$7:$Z$31,MATCH(LEFT($A142,LEN($A142)-2),'PW_MLG GRADE 10'!$B$7:$B$31,0))="P")+
 --(INDEX('PW_MLG GRADE 10'!$AX$7:$AX$31,MATCH(LEFT($A142,LEN($A142)-2),'PW_MLG GRADE 10'!$B$7:$B$31,0))="P"),
0)</f>
        <v>0</v>
      </c>
      <c r="I142" s="24" t="b">
        <f ca="1">IF(IF(_xlfn.XLOOKUP(LEFT(F142,LEN(F142)-2),'PW_MLG GRADE 10'!$B$7:$B$31,'PW_MLG GRADE 10'!$BM$7:$BM$31,"",0,1)=0,"",_xlfn.XLOOKUP(LEFT(F142,LEN(F142)-2),'PW_MLG GRADE 10'!$B$7:$B$31,'PW_MLG GRADE 10'!$BM$7:$BM$31,"",0,1))&lt;=TODAY(),TRUE,FALSE)</f>
        <v>0</v>
      </c>
      <c r="J142" s="25" t="str">
        <f t="shared" ca="1" si="7"/>
        <v/>
      </c>
    </row>
    <row r="143" spans="1:13">
      <c r="A143" s="24" t="s">
        <v>348</v>
      </c>
      <c r="B143">
        <v>2</v>
      </c>
      <c r="C143">
        <f>IFERROR(
 --(INDEX('TH_MLG GRADE 10'!$H$7:$H$49,MATCH(LEFT($A143,LEN($A143)-2),'TH_MLG GRADE 10'!$B$7:$B$49,0))="P")+
 --(INDEX('TH_MLG GRADE 10'!$N$7:$N$49,MATCH(LEFT($A143,LEN($A143)-2),'TH_MLG GRADE 10'!$B$7:$B$49,0))="P")+
 --(INDEX('TH_MLG GRADE 10'!$T$7:$T$49,MATCH(LEFT($A143,LEN($A143)-2),'TH_MLG GRADE 10'!$B$7:$B$49,0))="P")+
 --(INDEX('TH_MLG GRADE 10'!$AF$7:$AF$49,MATCH(LEFT($A143,LEN($A143)-2),'TH_MLG GRADE 10'!$B$7:$B$49,0))="P")+
 --(INDEX('TH_MLG GRADE 10'!$AL$7:$AL$49,MATCH(LEFT($A143,LEN($A143)-2),'TH_MLG GRADE 10'!$B$7:$B$49,0))="P")+
 --(INDEX('TH_MLG GRADE 10'!$AR$7:$AR$49,MATCH(LEFT($A143,LEN($A143)-2),'TH_MLG GRADE 10'!$B$7:$B$49,0))="P")+
 --(INDEX('TH_MLG GRADE 10'!$BD$7:$BD$49,MATCH(LEFT($A143,LEN($A143)-2),'TH_MLG GRADE 10'!$B$7:$B$49,0))="P")+
 --(INDEX('TH_MLG GRADE 10'!$BJ$7:$BJ$49,MATCH(LEFT($A143,LEN($A143)-2),'TH_MLG GRADE 10'!$B$7:$B$49,0))="P")+
 --(INDEX('TH_MLG GRADE 10'!$Z$7:$Z$49,MATCH(LEFT($A143,LEN($A143)-2),'TH_MLG GRADE 10'!$B$7:$B$49,0))="P")+
 --(INDEX('TH_MLG GRADE 10'!$AX$7:$AX$49,MATCH(LEFT($A143,LEN($A143)-2),'TH_MLG GRADE 10'!$B$7:$B$49,0))="P"),
0)</f>
        <v>0</v>
      </c>
      <c r="D143" s="24" t="b">
        <f ca="1">IF(IF(_xlfn.XLOOKUP(LEFT(A143,LEN(A143)-2),'TH_MLG GRADE 10'!$B$7:$B$49,'TH_MLG GRADE 10'!$BM$7:$BM$49,"",0,1)=0,"",_xlfn.XLOOKUP(LEFT(A143,LEN(A143)-2),'TH_MLG GRADE 10'!$B$7:$B$49,'TH_MLG GRADE 10'!$BM$7:$BM$49,"",0,1))&lt;=TODAY(),TRUE,FALSE)</f>
        <v>0</v>
      </c>
      <c r="E143" s="25" t="str">
        <f t="shared" ca="1" si="6"/>
        <v/>
      </c>
      <c r="F143" s="24" t="s">
        <v>301</v>
      </c>
      <c r="G143">
        <v>2</v>
      </c>
      <c r="H143">
        <f>IFERROR(
 --(INDEX('PW_MLG GRADE 10'!$H$7:$H$31,MATCH(LEFT($A143,LEN($A143)-2),'PW_MLG GRADE 10'!$B$7:$B$31,0))="P")+
 --(INDEX('PW_MLG GRADE 10'!$N$7:$N$31,MATCH(LEFT($A143,LEN($A143)-2),'PW_MLG GRADE 10'!$B$7:$B$31,0))="P")+
 --(INDEX('PW_MLG GRADE 10'!$T$7:$T$31,MATCH(LEFT($A143,LEN($A143)-2),'PW_MLG GRADE 10'!$B$7:$B$31,0))="P")+
 --(INDEX('PW_MLG GRADE 10'!$AF$7:$AF$31,MATCH(LEFT($A143,LEN($A143)-2),'PW_MLG GRADE 10'!$B$7:$B$31,0))="P")+
 --(INDEX('PW_MLG GRADE 10'!$AL$7:$AL$31,MATCH(LEFT($A143,LEN($A143)-2),'PW_MLG GRADE 10'!$B$7:$B$31,0))="P")+
 --(INDEX('PW_MLG GRADE 10'!$AR$7:$AR$31,MATCH(LEFT($A143,LEN($A143)-2),'PW_MLG GRADE 10'!$B$7:$B$31,0))="P")+
 --(INDEX('PW_MLG GRADE 10'!$BD$7:$BD$31,MATCH(LEFT($A143,LEN($A143)-2),'PW_MLG GRADE 10'!$B$7:$B$31,0))="P")+
 --(INDEX('PW_MLG GRADE 10'!$BJ$7:$BJ$31,MATCH(LEFT($A143,LEN($A143)-2),'PW_MLG GRADE 10'!$B$7:$B$31,0))="P")+
 --(INDEX('PW_MLG GRADE 10'!$Z$7:$Z$31,MATCH(LEFT($A143,LEN($A143)-2),'PW_MLG GRADE 10'!$B$7:$B$31,0))="P")+
 --(INDEX('PW_MLG GRADE 10'!$AX$7:$AX$31,MATCH(LEFT($A143,LEN($A143)-2),'PW_MLG GRADE 10'!$B$7:$B$31,0))="P"),
0)</f>
        <v>0</v>
      </c>
      <c r="I143" s="24" t="b">
        <f ca="1">IF(IF(_xlfn.XLOOKUP(LEFT(F143,LEN(F143)-2),'PW_MLG GRADE 10'!$B$7:$B$31,'PW_MLG GRADE 10'!$BM$7:$BM$31,"",0,1)=0,"",_xlfn.XLOOKUP(LEFT(F143,LEN(F143)-2),'PW_MLG GRADE 10'!$B$7:$B$31,'PW_MLG GRADE 10'!$BM$7:$BM$31,"",0,1))&lt;=TODAY(),TRUE,FALSE)</f>
        <v>0</v>
      </c>
      <c r="J143" s="25" t="str">
        <f t="shared" ca="1" si="7"/>
        <v/>
      </c>
    </row>
    <row r="144" spans="1:13">
      <c r="A144" s="24" t="s">
        <v>349</v>
      </c>
      <c r="B144">
        <v>2</v>
      </c>
      <c r="C144">
        <f>IFERROR(
 --(INDEX('TH_MLG GRADE 10'!$H$7:$H$49,MATCH(LEFT($A144,LEN($A144)-2),'TH_MLG GRADE 10'!$B$7:$B$49,0))="P")+
 --(INDEX('TH_MLG GRADE 10'!$N$7:$N$49,MATCH(LEFT($A144,LEN($A144)-2),'TH_MLG GRADE 10'!$B$7:$B$49,0))="P")+
 --(INDEX('TH_MLG GRADE 10'!$T$7:$T$49,MATCH(LEFT($A144,LEN($A144)-2),'TH_MLG GRADE 10'!$B$7:$B$49,0))="P")+
 --(INDEX('TH_MLG GRADE 10'!$AF$7:$AF$49,MATCH(LEFT($A144,LEN($A144)-2),'TH_MLG GRADE 10'!$B$7:$B$49,0))="P")+
 --(INDEX('TH_MLG GRADE 10'!$AL$7:$AL$49,MATCH(LEFT($A144,LEN($A144)-2),'TH_MLG GRADE 10'!$B$7:$B$49,0))="P")+
 --(INDEX('TH_MLG GRADE 10'!$AR$7:$AR$49,MATCH(LEFT($A144,LEN($A144)-2),'TH_MLG GRADE 10'!$B$7:$B$49,0))="P")+
 --(INDEX('TH_MLG GRADE 10'!$BD$7:$BD$49,MATCH(LEFT($A144,LEN($A144)-2),'TH_MLG GRADE 10'!$B$7:$B$49,0))="P")+
 --(INDEX('TH_MLG GRADE 10'!$BJ$7:$BJ$49,MATCH(LEFT($A144,LEN($A144)-2),'TH_MLG GRADE 10'!$B$7:$B$49,0))="P")+
 --(INDEX('TH_MLG GRADE 10'!$Z$7:$Z$49,MATCH(LEFT($A144,LEN($A144)-2),'TH_MLG GRADE 10'!$B$7:$B$49,0))="P")+
 --(INDEX('TH_MLG GRADE 10'!$AX$7:$AX$49,MATCH(LEFT($A144,LEN($A144)-2),'TH_MLG GRADE 10'!$B$7:$B$49,0))="P"),
0)</f>
        <v>0</v>
      </c>
      <c r="D144" s="24" t="b">
        <f ca="1">IF(IF(_xlfn.XLOOKUP(LEFT(A144,LEN(A144)-2),'TH_MLG GRADE 10'!$B$7:$B$49,'TH_MLG GRADE 10'!$BM$7:$BM$49,"",0,1)=0,"",_xlfn.XLOOKUP(LEFT(A144,LEN(A144)-2),'TH_MLG GRADE 10'!$B$7:$B$49,'TH_MLG GRADE 10'!$BM$7:$BM$49,"",0,1))&lt;=TODAY(),TRUE,FALSE)</f>
        <v>0</v>
      </c>
      <c r="E144" s="25" t="str">
        <f t="shared" ca="1" si="6"/>
        <v/>
      </c>
      <c r="F144" s="24" t="s">
        <v>302</v>
      </c>
      <c r="G144">
        <v>2</v>
      </c>
      <c r="H144">
        <f>IFERROR(
 --(INDEX('PW_MLG GRADE 10'!$H$7:$H$31,MATCH(LEFT($A144,LEN($A144)-2),'PW_MLG GRADE 10'!$B$7:$B$31,0))="P")+
 --(INDEX('PW_MLG GRADE 10'!$N$7:$N$31,MATCH(LEFT($A144,LEN($A144)-2),'PW_MLG GRADE 10'!$B$7:$B$31,0))="P")+
 --(INDEX('PW_MLG GRADE 10'!$T$7:$T$31,MATCH(LEFT($A144,LEN($A144)-2),'PW_MLG GRADE 10'!$B$7:$B$31,0))="P")+
 --(INDEX('PW_MLG GRADE 10'!$AF$7:$AF$31,MATCH(LEFT($A144,LEN($A144)-2),'PW_MLG GRADE 10'!$B$7:$B$31,0))="P")+
 --(INDEX('PW_MLG GRADE 10'!$AL$7:$AL$31,MATCH(LEFT($A144,LEN($A144)-2),'PW_MLG GRADE 10'!$B$7:$B$31,0))="P")+
 --(INDEX('PW_MLG GRADE 10'!$AR$7:$AR$31,MATCH(LEFT($A144,LEN($A144)-2),'PW_MLG GRADE 10'!$B$7:$B$31,0))="P")+
 --(INDEX('PW_MLG GRADE 10'!$BD$7:$BD$31,MATCH(LEFT($A144,LEN($A144)-2),'PW_MLG GRADE 10'!$B$7:$B$31,0))="P")+
 --(INDEX('PW_MLG GRADE 10'!$BJ$7:$BJ$31,MATCH(LEFT($A144,LEN($A144)-2),'PW_MLG GRADE 10'!$B$7:$B$31,0))="P")+
 --(INDEX('PW_MLG GRADE 10'!$Z$7:$Z$31,MATCH(LEFT($A144,LEN($A144)-2),'PW_MLG GRADE 10'!$B$7:$B$31,0))="P")+
 --(INDEX('PW_MLG GRADE 10'!$AX$7:$AX$31,MATCH(LEFT($A144,LEN($A144)-2),'PW_MLG GRADE 10'!$B$7:$B$31,0))="P"),
0)</f>
        <v>0</v>
      </c>
      <c r="I144" s="24" t="b">
        <f ca="1">IF(IF(_xlfn.XLOOKUP(LEFT(F144,LEN(F144)-2),'PW_MLG GRADE 10'!$B$7:$B$31,'PW_MLG GRADE 10'!$BM$7:$BM$31,"",0,1)=0,"",_xlfn.XLOOKUP(LEFT(F144,LEN(F144)-2),'PW_MLG GRADE 10'!$B$7:$B$31,'PW_MLG GRADE 10'!$BM$7:$BM$31,"",0,1))&lt;=TODAY(),TRUE,FALSE)</f>
        <v>0</v>
      </c>
      <c r="J144" s="25" t="str">
        <f t="shared" ca="1" si="7"/>
        <v/>
      </c>
    </row>
    <row r="145" spans="1:10">
      <c r="A145" s="24" t="s">
        <v>350</v>
      </c>
      <c r="B145">
        <v>2</v>
      </c>
      <c r="C145">
        <f>IFERROR(
 --(INDEX('TH_MLG GRADE 10'!$H$7:$H$49,MATCH(LEFT($A145,LEN($A145)-2),'TH_MLG GRADE 10'!$B$7:$B$49,0))="P")+
 --(INDEX('TH_MLG GRADE 10'!$N$7:$N$49,MATCH(LEFT($A145,LEN($A145)-2),'TH_MLG GRADE 10'!$B$7:$B$49,0))="P")+
 --(INDEX('TH_MLG GRADE 10'!$T$7:$T$49,MATCH(LEFT($A145,LEN($A145)-2),'TH_MLG GRADE 10'!$B$7:$B$49,0))="P")+
 --(INDEX('TH_MLG GRADE 10'!$AF$7:$AF$49,MATCH(LEFT($A145,LEN($A145)-2),'TH_MLG GRADE 10'!$B$7:$B$49,0))="P")+
 --(INDEX('TH_MLG GRADE 10'!$AL$7:$AL$49,MATCH(LEFT($A145,LEN($A145)-2),'TH_MLG GRADE 10'!$B$7:$B$49,0))="P")+
 --(INDEX('TH_MLG GRADE 10'!$AR$7:$AR$49,MATCH(LEFT($A145,LEN($A145)-2),'TH_MLG GRADE 10'!$B$7:$B$49,0))="P")+
 --(INDEX('TH_MLG GRADE 10'!$BD$7:$BD$49,MATCH(LEFT($A145,LEN($A145)-2),'TH_MLG GRADE 10'!$B$7:$B$49,0))="P")+
 --(INDEX('TH_MLG GRADE 10'!$BJ$7:$BJ$49,MATCH(LEFT($A145,LEN($A145)-2),'TH_MLG GRADE 10'!$B$7:$B$49,0))="P")+
 --(INDEX('TH_MLG GRADE 10'!$Z$7:$Z$49,MATCH(LEFT($A145,LEN($A145)-2),'TH_MLG GRADE 10'!$B$7:$B$49,0))="P")+
 --(INDEX('TH_MLG GRADE 10'!$AX$7:$AX$49,MATCH(LEFT($A145,LEN($A145)-2),'TH_MLG GRADE 10'!$B$7:$B$49,0))="P"),
0)</f>
        <v>0</v>
      </c>
      <c r="D145" s="24" t="b">
        <f ca="1">IF(IF(_xlfn.XLOOKUP(LEFT(A145,LEN(A145)-2),'TH_MLG GRADE 10'!$B$7:$B$49,'TH_MLG GRADE 10'!$BM$7:$BM$49,"",0,1)=0,"",_xlfn.XLOOKUP(LEFT(A145,LEN(A145)-2),'TH_MLG GRADE 10'!$B$7:$B$49,'TH_MLG GRADE 10'!$BM$7:$BM$49,"",0,1))&lt;=TODAY(),TRUE,FALSE)</f>
        <v>0</v>
      </c>
      <c r="E145" s="25" t="str">
        <f t="shared" ca="1" si="6"/>
        <v/>
      </c>
      <c r="F145" s="24" t="s">
        <v>303</v>
      </c>
      <c r="G145">
        <v>2</v>
      </c>
      <c r="H145">
        <f>IFERROR(
 --(INDEX('PW_MLG GRADE 10'!$H$7:$H$31,MATCH(LEFT($A145,LEN($A145)-2),'PW_MLG GRADE 10'!$B$7:$B$31,0))="P")+
 --(INDEX('PW_MLG GRADE 10'!$N$7:$N$31,MATCH(LEFT($A145,LEN($A145)-2),'PW_MLG GRADE 10'!$B$7:$B$31,0))="P")+
 --(INDEX('PW_MLG GRADE 10'!$T$7:$T$31,MATCH(LEFT($A145,LEN($A145)-2),'PW_MLG GRADE 10'!$B$7:$B$31,0))="P")+
 --(INDEX('PW_MLG GRADE 10'!$AF$7:$AF$31,MATCH(LEFT($A145,LEN($A145)-2),'PW_MLG GRADE 10'!$B$7:$B$31,0))="P")+
 --(INDEX('PW_MLG GRADE 10'!$AL$7:$AL$31,MATCH(LEFT($A145,LEN($A145)-2),'PW_MLG GRADE 10'!$B$7:$B$31,0))="P")+
 --(INDEX('PW_MLG GRADE 10'!$AR$7:$AR$31,MATCH(LEFT($A145,LEN($A145)-2),'PW_MLG GRADE 10'!$B$7:$B$31,0))="P")+
 --(INDEX('PW_MLG GRADE 10'!$BD$7:$BD$31,MATCH(LEFT($A145,LEN($A145)-2),'PW_MLG GRADE 10'!$B$7:$B$31,0))="P")+
 --(INDEX('PW_MLG GRADE 10'!$BJ$7:$BJ$31,MATCH(LEFT($A145,LEN($A145)-2),'PW_MLG GRADE 10'!$B$7:$B$31,0))="P")+
 --(INDEX('PW_MLG GRADE 10'!$Z$7:$Z$31,MATCH(LEFT($A145,LEN($A145)-2),'PW_MLG GRADE 10'!$B$7:$B$31,0))="P")+
 --(INDEX('PW_MLG GRADE 10'!$AX$7:$AX$31,MATCH(LEFT($A145,LEN($A145)-2),'PW_MLG GRADE 10'!$B$7:$B$31,0))="P"),
0)</f>
        <v>0</v>
      </c>
      <c r="I145" s="24" t="b">
        <f ca="1">IF(IF(_xlfn.XLOOKUP(LEFT(F145,LEN(F145)-2),'PW_MLG GRADE 10'!$B$7:$B$31,'PW_MLG GRADE 10'!$BM$7:$BM$31,"",0,1)=0,"",_xlfn.XLOOKUP(LEFT(F145,LEN(F145)-2),'PW_MLG GRADE 10'!$B$7:$B$31,'PW_MLG GRADE 10'!$BM$7:$BM$31,"",0,1))&lt;=TODAY(),TRUE,FALSE)</f>
        <v>0</v>
      </c>
      <c r="J145" s="25" t="str">
        <f t="shared" ca="1" si="7"/>
        <v/>
      </c>
    </row>
    <row r="146" spans="1:10">
      <c r="A146" s="24" t="s">
        <v>351</v>
      </c>
      <c r="B146">
        <v>2</v>
      </c>
      <c r="C146">
        <f>IFERROR(
 --(INDEX('TH_MLG GRADE 10'!$H$7:$H$49,MATCH(LEFT($A146,LEN($A146)-2),'TH_MLG GRADE 10'!$B$7:$B$49,0))="P")+
 --(INDEX('TH_MLG GRADE 10'!$N$7:$N$49,MATCH(LEFT($A146,LEN($A146)-2),'TH_MLG GRADE 10'!$B$7:$B$49,0))="P")+
 --(INDEX('TH_MLG GRADE 10'!$T$7:$T$49,MATCH(LEFT($A146,LEN($A146)-2),'TH_MLG GRADE 10'!$B$7:$B$49,0))="P")+
 --(INDEX('TH_MLG GRADE 10'!$AF$7:$AF$49,MATCH(LEFT($A146,LEN($A146)-2),'TH_MLG GRADE 10'!$B$7:$B$49,0))="P")+
 --(INDEX('TH_MLG GRADE 10'!$AL$7:$AL$49,MATCH(LEFT($A146,LEN($A146)-2),'TH_MLG GRADE 10'!$B$7:$B$49,0))="P")+
 --(INDEX('TH_MLG GRADE 10'!$AR$7:$AR$49,MATCH(LEFT($A146,LEN($A146)-2),'TH_MLG GRADE 10'!$B$7:$B$49,0))="P")+
 --(INDEX('TH_MLG GRADE 10'!$BD$7:$BD$49,MATCH(LEFT($A146,LEN($A146)-2),'TH_MLG GRADE 10'!$B$7:$B$49,0))="P")+
 --(INDEX('TH_MLG GRADE 10'!$BJ$7:$BJ$49,MATCH(LEFT($A146,LEN($A146)-2),'TH_MLG GRADE 10'!$B$7:$B$49,0))="P")+
 --(INDEX('TH_MLG GRADE 10'!$Z$7:$Z$49,MATCH(LEFT($A146,LEN($A146)-2),'TH_MLG GRADE 10'!$B$7:$B$49,0))="P")+
 --(INDEX('TH_MLG GRADE 10'!$AX$7:$AX$49,MATCH(LEFT($A146,LEN($A146)-2),'TH_MLG GRADE 10'!$B$7:$B$49,0))="P"),
0)</f>
        <v>0</v>
      </c>
      <c r="D146" s="24" t="b">
        <f ca="1">IF(IF(_xlfn.XLOOKUP(LEFT(A146,LEN(A146)-2),'TH_MLG GRADE 10'!$B$7:$B$49,'TH_MLG GRADE 10'!$BM$7:$BM$49,"",0,1)=0,"",_xlfn.XLOOKUP(LEFT(A146,LEN(A146)-2),'TH_MLG GRADE 10'!$B$7:$B$49,'TH_MLG GRADE 10'!$BM$7:$BM$49,"",0,1))&lt;=TODAY(),TRUE,FALSE)</f>
        <v>0</v>
      </c>
      <c r="E146" s="25" t="str">
        <f t="shared" ca="1" si="6"/>
        <v/>
      </c>
      <c r="F146" s="24" t="s">
        <v>304</v>
      </c>
      <c r="G146">
        <v>2</v>
      </c>
      <c r="H146">
        <f>IFERROR(
 --(INDEX('PW_MLG GRADE 10'!$H$7:$H$31,MATCH(LEFT($A146,LEN($A146)-2),'PW_MLG GRADE 10'!$B$7:$B$31,0))="P")+
 --(INDEX('PW_MLG GRADE 10'!$N$7:$N$31,MATCH(LEFT($A146,LEN($A146)-2),'PW_MLG GRADE 10'!$B$7:$B$31,0))="P")+
 --(INDEX('PW_MLG GRADE 10'!$T$7:$T$31,MATCH(LEFT($A146,LEN($A146)-2),'PW_MLG GRADE 10'!$B$7:$B$31,0))="P")+
 --(INDEX('PW_MLG GRADE 10'!$AF$7:$AF$31,MATCH(LEFT($A146,LEN($A146)-2),'PW_MLG GRADE 10'!$B$7:$B$31,0))="P")+
 --(INDEX('PW_MLG GRADE 10'!$AL$7:$AL$31,MATCH(LEFT($A146,LEN($A146)-2),'PW_MLG GRADE 10'!$B$7:$B$31,0))="P")+
 --(INDEX('PW_MLG GRADE 10'!$AR$7:$AR$31,MATCH(LEFT($A146,LEN($A146)-2),'PW_MLG GRADE 10'!$B$7:$B$31,0))="P")+
 --(INDEX('PW_MLG GRADE 10'!$BD$7:$BD$31,MATCH(LEFT($A146,LEN($A146)-2),'PW_MLG GRADE 10'!$B$7:$B$31,0))="P")+
 --(INDEX('PW_MLG GRADE 10'!$BJ$7:$BJ$31,MATCH(LEFT($A146,LEN($A146)-2),'PW_MLG GRADE 10'!$B$7:$B$31,0))="P")+
 --(INDEX('PW_MLG GRADE 10'!$Z$7:$Z$31,MATCH(LEFT($A146,LEN($A146)-2),'PW_MLG GRADE 10'!$B$7:$B$31,0))="P")+
 --(INDEX('PW_MLG GRADE 10'!$AX$7:$AX$31,MATCH(LEFT($A146,LEN($A146)-2),'PW_MLG GRADE 10'!$B$7:$B$31,0))="P"),
0)</f>
        <v>0</v>
      </c>
      <c r="I146" s="24" t="b">
        <f ca="1">IF(IF(_xlfn.XLOOKUP(LEFT(F146,LEN(F146)-2),'PW_MLG GRADE 10'!$B$7:$B$31,'PW_MLG GRADE 10'!$BM$7:$BM$31,"",0,1)=0,"",_xlfn.XLOOKUP(LEFT(F146,LEN(F146)-2),'PW_MLG GRADE 10'!$B$7:$B$31,'PW_MLG GRADE 10'!$BM$7:$BM$31,"",0,1))&lt;=TODAY(),TRUE,FALSE)</f>
        <v>0</v>
      </c>
      <c r="J146" s="25" t="str">
        <f t="shared" ca="1" si="7"/>
        <v/>
      </c>
    </row>
    <row r="147" spans="1:10">
      <c r="A147" s="24" t="s">
        <v>352</v>
      </c>
      <c r="B147">
        <v>2</v>
      </c>
      <c r="C147">
        <f>IFERROR(
 --(INDEX('TH_MLG GRADE 10'!$H$7:$H$49,MATCH(LEFT($A147,LEN($A147)-2),'TH_MLG GRADE 10'!$B$7:$B$49,0))="P")+
 --(INDEX('TH_MLG GRADE 10'!$N$7:$N$49,MATCH(LEFT($A147,LEN($A147)-2),'TH_MLG GRADE 10'!$B$7:$B$49,0))="P")+
 --(INDEX('TH_MLG GRADE 10'!$T$7:$T$49,MATCH(LEFT($A147,LEN($A147)-2),'TH_MLG GRADE 10'!$B$7:$B$49,0))="P")+
 --(INDEX('TH_MLG GRADE 10'!$AF$7:$AF$49,MATCH(LEFT($A147,LEN($A147)-2),'TH_MLG GRADE 10'!$B$7:$B$49,0))="P")+
 --(INDEX('TH_MLG GRADE 10'!$AL$7:$AL$49,MATCH(LEFT($A147,LEN($A147)-2),'TH_MLG GRADE 10'!$B$7:$B$49,0))="P")+
 --(INDEX('TH_MLG GRADE 10'!$AR$7:$AR$49,MATCH(LEFT($A147,LEN($A147)-2),'TH_MLG GRADE 10'!$B$7:$B$49,0))="P")+
 --(INDEX('TH_MLG GRADE 10'!$BD$7:$BD$49,MATCH(LEFT($A147,LEN($A147)-2),'TH_MLG GRADE 10'!$B$7:$B$49,0))="P")+
 --(INDEX('TH_MLG GRADE 10'!$BJ$7:$BJ$49,MATCH(LEFT($A147,LEN($A147)-2),'TH_MLG GRADE 10'!$B$7:$B$49,0))="P")+
 --(INDEX('TH_MLG GRADE 10'!$Z$7:$Z$49,MATCH(LEFT($A147,LEN($A147)-2),'TH_MLG GRADE 10'!$B$7:$B$49,0))="P")+
 --(INDEX('TH_MLG GRADE 10'!$AX$7:$AX$49,MATCH(LEFT($A147,LEN($A147)-2),'TH_MLG GRADE 10'!$B$7:$B$49,0))="P"),
0)</f>
        <v>0</v>
      </c>
      <c r="D147" s="24" t="b">
        <f ca="1">IF(IF(_xlfn.XLOOKUP(LEFT(A147,LEN(A147)-2),'TH_MLG GRADE 10'!$B$7:$B$49,'TH_MLG GRADE 10'!$BM$7:$BM$49,"",0,1)=0,"",_xlfn.XLOOKUP(LEFT(A147,LEN(A147)-2),'TH_MLG GRADE 10'!$B$7:$B$49,'TH_MLG GRADE 10'!$BM$7:$BM$49,"",0,1))&lt;=TODAY(),TRUE,FALSE)</f>
        <v>0</v>
      </c>
      <c r="E147" s="25" t="str">
        <f t="shared" ca="1" si="6"/>
        <v/>
      </c>
      <c r="F147" s="24" t="s">
        <v>305</v>
      </c>
      <c r="G147">
        <v>2</v>
      </c>
      <c r="H147">
        <f>IFERROR(
 --(INDEX('PW_MLG GRADE 10'!$H$7:$H$31,MATCH(LEFT($A147,LEN($A147)-2),'PW_MLG GRADE 10'!$B$7:$B$31,0))="P")+
 --(INDEX('PW_MLG GRADE 10'!$N$7:$N$31,MATCH(LEFT($A147,LEN($A147)-2),'PW_MLG GRADE 10'!$B$7:$B$31,0))="P")+
 --(INDEX('PW_MLG GRADE 10'!$T$7:$T$31,MATCH(LEFT($A147,LEN($A147)-2),'PW_MLG GRADE 10'!$B$7:$B$31,0))="P")+
 --(INDEX('PW_MLG GRADE 10'!$AF$7:$AF$31,MATCH(LEFT($A147,LEN($A147)-2),'PW_MLG GRADE 10'!$B$7:$B$31,0))="P")+
 --(INDEX('PW_MLG GRADE 10'!$AL$7:$AL$31,MATCH(LEFT($A147,LEN($A147)-2),'PW_MLG GRADE 10'!$B$7:$B$31,0))="P")+
 --(INDEX('PW_MLG GRADE 10'!$AR$7:$AR$31,MATCH(LEFT($A147,LEN($A147)-2),'PW_MLG GRADE 10'!$B$7:$B$31,0))="P")+
 --(INDEX('PW_MLG GRADE 10'!$BD$7:$BD$31,MATCH(LEFT($A147,LEN($A147)-2),'PW_MLG GRADE 10'!$B$7:$B$31,0))="P")+
 --(INDEX('PW_MLG GRADE 10'!$BJ$7:$BJ$31,MATCH(LEFT($A147,LEN($A147)-2),'PW_MLG GRADE 10'!$B$7:$B$31,0))="P")+
 --(INDEX('PW_MLG GRADE 10'!$Z$7:$Z$31,MATCH(LEFT($A147,LEN($A147)-2),'PW_MLG GRADE 10'!$B$7:$B$31,0))="P")+
 --(INDEX('PW_MLG GRADE 10'!$AX$7:$AX$31,MATCH(LEFT($A147,LEN($A147)-2),'PW_MLG GRADE 10'!$B$7:$B$31,0))="P"),
0)</f>
        <v>0</v>
      </c>
      <c r="I147" s="24" t="b">
        <f ca="1">IF(IF(_xlfn.XLOOKUP(LEFT(F147,LEN(F147)-2),'PW_MLG GRADE 10'!$B$7:$B$31,'PW_MLG GRADE 10'!$BM$7:$BM$31,"",0,1)=0,"",_xlfn.XLOOKUP(LEFT(F147,LEN(F147)-2),'PW_MLG GRADE 10'!$B$7:$B$31,'PW_MLG GRADE 10'!$BM$7:$BM$31,"",0,1))&lt;=TODAY(),TRUE,FALSE)</f>
        <v>0</v>
      </c>
      <c r="J147" s="25" t="str">
        <f t="shared" ca="1" si="7"/>
        <v/>
      </c>
    </row>
    <row r="148" spans="1:10">
      <c r="A148" s="24" t="s">
        <v>353</v>
      </c>
      <c r="B148">
        <v>2</v>
      </c>
      <c r="C148">
        <f>IFERROR(
 --(INDEX('TH_MLG GRADE 10'!$H$7:$H$49,MATCH(LEFT($A148,LEN($A148)-2),'TH_MLG GRADE 10'!$B$7:$B$49,0))="P")+
 --(INDEX('TH_MLG GRADE 10'!$N$7:$N$49,MATCH(LEFT($A148,LEN($A148)-2),'TH_MLG GRADE 10'!$B$7:$B$49,0))="P")+
 --(INDEX('TH_MLG GRADE 10'!$T$7:$T$49,MATCH(LEFT($A148,LEN($A148)-2),'TH_MLG GRADE 10'!$B$7:$B$49,0))="P")+
 --(INDEX('TH_MLG GRADE 10'!$AF$7:$AF$49,MATCH(LEFT($A148,LEN($A148)-2),'TH_MLG GRADE 10'!$B$7:$B$49,0))="P")+
 --(INDEX('TH_MLG GRADE 10'!$AL$7:$AL$49,MATCH(LEFT($A148,LEN($A148)-2),'TH_MLG GRADE 10'!$B$7:$B$49,0))="P")+
 --(INDEX('TH_MLG GRADE 10'!$AR$7:$AR$49,MATCH(LEFT($A148,LEN($A148)-2),'TH_MLG GRADE 10'!$B$7:$B$49,0))="P")+
 --(INDEX('TH_MLG GRADE 10'!$BD$7:$BD$49,MATCH(LEFT($A148,LEN($A148)-2),'TH_MLG GRADE 10'!$B$7:$B$49,0))="P")+
 --(INDEX('TH_MLG GRADE 10'!$BJ$7:$BJ$49,MATCH(LEFT($A148,LEN($A148)-2),'TH_MLG GRADE 10'!$B$7:$B$49,0))="P")+
 --(INDEX('TH_MLG GRADE 10'!$Z$7:$Z$49,MATCH(LEFT($A148,LEN($A148)-2),'TH_MLG GRADE 10'!$B$7:$B$49,0))="P")+
 --(INDEX('TH_MLG GRADE 10'!$AX$7:$AX$49,MATCH(LEFT($A148,LEN($A148)-2),'TH_MLG GRADE 10'!$B$7:$B$49,0))="P"),
0)</f>
        <v>0</v>
      </c>
      <c r="D148" s="24" t="b">
        <f ca="1">IF(IF(_xlfn.XLOOKUP(LEFT(A148,LEN(A148)-2),'TH_MLG GRADE 10'!$B$7:$B$49,'TH_MLG GRADE 10'!$BM$7:$BM$49,"",0,1)=0,"",_xlfn.XLOOKUP(LEFT(A148,LEN(A148)-2),'TH_MLG GRADE 10'!$B$7:$B$49,'TH_MLG GRADE 10'!$BM$7:$BM$49,"",0,1))&lt;=TODAY(),TRUE,FALSE)</f>
        <v>0</v>
      </c>
      <c r="E148" s="25" t="str">
        <f t="shared" ca="1" si="6"/>
        <v/>
      </c>
      <c r="F148" s="24" t="s">
        <v>306</v>
      </c>
      <c r="G148">
        <v>2</v>
      </c>
      <c r="H148">
        <f>IFERROR(
 --(INDEX('PW_MLG GRADE 10'!$H$7:$H$31,MATCH(LEFT($A148,LEN($A148)-2),'PW_MLG GRADE 10'!$B$7:$B$31,0))="P")+
 --(INDEX('PW_MLG GRADE 10'!$N$7:$N$31,MATCH(LEFT($A148,LEN($A148)-2),'PW_MLG GRADE 10'!$B$7:$B$31,0))="P")+
 --(INDEX('PW_MLG GRADE 10'!$T$7:$T$31,MATCH(LEFT($A148,LEN($A148)-2),'PW_MLG GRADE 10'!$B$7:$B$31,0))="P")+
 --(INDEX('PW_MLG GRADE 10'!$AF$7:$AF$31,MATCH(LEFT($A148,LEN($A148)-2),'PW_MLG GRADE 10'!$B$7:$B$31,0))="P")+
 --(INDEX('PW_MLG GRADE 10'!$AL$7:$AL$31,MATCH(LEFT($A148,LEN($A148)-2),'PW_MLG GRADE 10'!$B$7:$B$31,0))="P")+
 --(INDEX('PW_MLG GRADE 10'!$AR$7:$AR$31,MATCH(LEFT($A148,LEN($A148)-2),'PW_MLG GRADE 10'!$B$7:$B$31,0))="P")+
 --(INDEX('PW_MLG GRADE 10'!$BD$7:$BD$31,MATCH(LEFT($A148,LEN($A148)-2),'PW_MLG GRADE 10'!$B$7:$B$31,0))="P")+
 --(INDEX('PW_MLG GRADE 10'!$BJ$7:$BJ$31,MATCH(LEFT($A148,LEN($A148)-2),'PW_MLG GRADE 10'!$B$7:$B$31,0))="P")+
 --(INDEX('PW_MLG GRADE 10'!$Z$7:$Z$31,MATCH(LEFT($A148,LEN($A148)-2),'PW_MLG GRADE 10'!$B$7:$B$31,0))="P")+
 --(INDEX('PW_MLG GRADE 10'!$AX$7:$AX$31,MATCH(LEFT($A148,LEN($A148)-2),'PW_MLG GRADE 10'!$B$7:$B$31,0))="P"),
0)</f>
        <v>0</v>
      </c>
      <c r="I148" s="24" t="b">
        <f ca="1">IF(IF(_xlfn.XLOOKUP(LEFT(F148,LEN(F148)-2),'PW_MLG GRADE 10'!$B$7:$B$31,'PW_MLG GRADE 10'!$BM$7:$BM$31,"",0,1)=0,"",_xlfn.XLOOKUP(LEFT(F148,LEN(F148)-2),'PW_MLG GRADE 10'!$B$7:$B$31,'PW_MLG GRADE 10'!$BM$7:$BM$31,"",0,1))&lt;=TODAY(),TRUE,FALSE)</f>
        <v>0</v>
      </c>
      <c r="J148" s="25" t="str">
        <f t="shared" ca="1" si="7"/>
        <v/>
      </c>
    </row>
    <row r="149" spans="1:10">
      <c r="A149" s="24" t="s">
        <v>354</v>
      </c>
      <c r="B149">
        <v>2</v>
      </c>
      <c r="C149">
        <f>IFERROR(
 --(INDEX('TH_MLG GRADE 10'!$H$7:$H$49,MATCH(LEFT($A149,LEN($A149)-2),'TH_MLG GRADE 10'!$B$7:$B$49,0))="P")+
 --(INDEX('TH_MLG GRADE 10'!$N$7:$N$49,MATCH(LEFT($A149,LEN($A149)-2),'TH_MLG GRADE 10'!$B$7:$B$49,0))="P")+
 --(INDEX('TH_MLG GRADE 10'!$T$7:$T$49,MATCH(LEFT($A149,LEN($A149)-2),'TH_MLG GRADE 10'!$B$7:$B$49,0))="P")+
 --(INDEX('TH_MLG GRADE 10'!$AF$7:$AF$49,MATCH(LEFT($A149,LEN($A149)-2),'TH_MLG GRADE 10'!$B$7:$B$49,0))="P")+
 --(INDEX('TH_MLG GRADE 10'!$AL$7:$AL$49,MATCH(LEFT($A149,LEN($A149)-2),'TH_MLG GRADE 10'!$B$7:$B$49,0))="P")+
 --(INDEX('TH_MLG GRADE 10'!$AR$7:$AR$49,MATCH(LEFT($A149,LEN($A149)-2),'TH_MLG GRADE 10'!$B$7:$B$49,0))="P")+
 --(INDEX('TH_MLG GRADE 10'!$BD$7:$BD$49,MATCH(LEFT($A149,LEN($A149)-2),'TH_MLG GRADE 10'!$B$7:$B$49,0))="P")+
 --(INDEX('TH_MLG GRADE 10'!$BJ$7:$BJ$49,MATCH(LEFT($A149,LEN($A149)-2),'TH_MLG GRADE 10'!$B$7:$B$49,0))="P")+
 --(INDEX('TH_MLG GRADE 10'!$Z$7:$Z$49,MATCH(LEFT($A149,LEN($A149)-2),'TH_MLG GRADE 10'!$B$7:$B$49,0))="P")+
 --(INDEX('TH_MLG GRADE 10'!$AX$7:$AX$49,MATCH(LEFT($A149,LEN($A149)-2),'TH_MLG GRADE 10'!$B$7:$B$49,0))="P"),
0)</f>
        <v>0</v>
      </c>
      <c r="D149" s="24" t="b">
        <f ca="1">IF(IF(_xlfn.XLOOKUP(LEFT(A149,LEN(A149)-2),'TH_MLG GRADE 10'!$B$7:$B$49,'TH_MLG GRADE 10'!$BM$7:$BM$49,"",0,1)=0,"",_xlfn.XLOOKUP(LEFT(A149,LEN(A149)-2),'TH_MLG GRADE 10'!$B$7:$B$49,'TH_MLG GRADE 10'!$BM$7:$BM$49,"",0,1))&lt;=TODAY(),TRUE,FALSE)</f>
        <v>0</v>
      </c>
      <c r="E149" s="25" t="str">
        <f t="shared" ca="1" si="6"/>
        <v/>
      </c>
      <c r="F149" s="24" t="s">
        <v>307</v>
      </c>
      <c r="G149">
        <v>2</v>
      </c>
      <c r="H149">
        <f>IFERROR(
 --(INDEX('PW_MLG GRADE 10'!$H$7:$H$31,MATCH(LEFT($A149,LEN($A149)-2),'PW_MLG GRADE 10'!$B$7:$B$31,0))="P")+
 --(INDEX('PW_MLG GRADE 10'!$N$7:$N$31,MATCH(LEFT($A149,LEN($A149)-2),'PW_MLG GRADE 10'!$B$7:$B$31,0))="P")+
 --(INDEX('PW_MLG GRADE 10'!$T$7:$T$31,MATCH(LEFT($A149,LEN($A149)-2),'PW_MLG GRADE 10'!$B$7:$B$31,0))="P")+
 --(INDEX('PW_MLG GRADE 10'!$AF$7:$AF$31,MATCH(LEFT($A149,LEN($A149)-2),'PW_MLG GRADE 10'!$B$7:$B$31,0))="P")+
 --(INDEX('PW_MLG GRADE 10'!$AL$7:$AL$31,MATCH(LEFT($A149,LEN($A149)-2),'PW_MLG GRADE 10'!$B$7:$B$31,0))="P")+
 --(INDEX('PW_MLG GRADE 10'!$AR$7:$AR$31,MATCH(LEFT($A149,LEN($A149)-2),'PW_MLG GRADE 10'!$B$7:$B$31,0))="P")+
 --(INDEX('PW_MLG GRADE 10'!$BD$7:$BD$31,MATCH(LEFT($A149,LEN($A149)-2),'PW_MLG GRADE 10'!$B$7:$B$31,0))="P")+
 --(INDEX('PW_MLG GRADE 10'!$BJ$7:$BJ$31,MATCH(LEFT($A149,LEN($A149)-2),'PW_MLG GRADE 10'!$B$7:$B$31,0))="P")+
 --(INDEX('PW_MLG GRADE 10'!$Z$7:$Z$31,MATCH(LEFT($A149,LEN($A149)-2),'PW_MLG GRADE 10'!$B$7:$B$31,0))="P")+
 --(INDEX('PW_MLG GRADE 10'!$AX$7:$AX$31,MATCH(LEFT($A149,LEN($A149)-2),'PW_MLG GRADE 10'!$B$7:$B$31,0))="P"),
0)</f>
        <v>0</v>
      </c>
      <c r="I149" s="24" t="b">
        <f ca="1">IF(IF(_xlfn.XLOOKUP(LEFT(F149,LEN(F149)-2),'PW_MLG GRADE 10'!$B$7:$B$31,'PW_MLG GRADE 10'!$BM$7:$BM$31,"",0,1)=0,"",_xlfn.XLOOKUP(LEFT(F149,LEN(F149)-2),'PW_MLG GRADE 10'!$B$7:$B$31,'PW_MLG GRADE 10'!$BM$7:$BM$31,"",0,1))&lt;=TODAY(),TRUE,FALSE)</f>
        <v>0</v>
      </c>
      <c r="J149" s="25" t="str">
        <f t="shared" ca="1" si="7"/>
        <v/>
      </c>
    </row>
    <row r="150" spans="1:10">
      <c r="A150" s="24" t="s">
        <v>355</v>
      </c>
      <c r="B150">
        <v>2</v>
      </c>
      <c r="C150">
        <f>IFERROR(
 --(INDEX('TH_MLG GRADE 10'!$H$7:$H$49,MATCH(LEFT($A150,LEN($A150)-2),'TH_MLG GRADE 10'!$B$7:$B$49,0))="P")+
 --(INDEX('TH_MLG GRADE 10'!$N$7:$N$49,MATCH(LEFT($A150,LEN($A150)-2),'TH_MLG GRADE 10'!$B$7:$B$49,0))="P")+
 --(INDEX('TH_MLG GRADE 10'!$T$7:$T$49,MATCH(LEFT($A150,LEN($A150)-2),'TH_MLG GRADE 10'!$B$7:$B$49,0))="P")+
 --(INDEX('TH_MLG GRADE 10'!$AF$7:$AF$49,MATCH(LEFT($A150,LEN($A150)-2),'TH_MLG GRADE 10'!$B$7:$B$49,0))="P")+
 --(INDEX('TH_MLG GRADE 10'!$AL$7:$AL$49,MATCH(LEFT($A150,LEN($A150)-2),'TH_MLG GRADE 10'!$B$7:$B$49,0))="P")+
 --(INDEX('TH_MLG GRADE 10'!$AR$7:$AR$49,MATCH(LEFT($A150,LEN($A150)-2),'TH_MLG GRADE 10'!$B$7:$B$49,0))="P")+
 --(INDEX('TH_MLG GRADE 10'!$BD$7:$BD$49,MATCH(LEFT($A150,LEN($A150)-2),'TH_MLG GRADE 10'!$B$7:$B$49,0))="P")+
 --(INDEX('TH_MLG GRADE 10'!$BJ$7:$BJ$49,MATCH(LEFT($A150,LEN($A150)-2),'TH_MLG GRADE 10'!$B$7:$B$49,0))="P")+
 --(INDEX('TH_MLG GRADE 10'!$Z$7:$Z$49,MATCH(LEFT($A150,LEN($A150)-2),'TH_MLG GRADE 10'!$B$7:$B$49,0))="P")+
 --(INDEX('TH_MLG GRADE 10'!$AX$7:$AX$49,MATCH(LEFT($A150,LEN($A150)-2),'TH_MLG GRADE 10'!$B$7:$B$49,0))="P"),
0)</f>
        <v>0</v>
      </c>
      <c r="D150" s="24" t="b">
        <f ca="1">IF(IF(_xlfn.XLOOKUP(LEFT(A150,LEN(A150)-2),'TH_MLG GRADE 10'!$B$7:$B$49,'TH_MLG GRADE 10'!$BM$7:$BM$49,"",0,1)=0,"",_xlfn.XLOOKUP(LEFT(A150,LEN(A150)-2),'TH_MLG GRADE 10'!$B$7:$B$49,'TH_MLG GRADE 10'!$BM$7:$BM$49,"",0,1))&lt;=TODAY(),TRUE,FALSE)</f>
        <v>0</v>
      </c>
      <c r="E150" s="25" t="str">
        <f t="shared" ca="1" si="6"/>
        <v/>
      </c>
      <c r="F150" s="24" t="s">
        <v>308</v>
      </c>
      <c r="G150">
        <v>2</v>
      </c>
      <c r="H150">
        <f>IFERROR(
 --(INDEX('PW_MLG GRADE 10'!$H$7:$H$31,MATCH(LEFT($A150,LEN($A150)-2),'PW_MLG GRADE 10'!$B$7:$B$31,0))="P")+
 --(INDEX('PW_MLG GRADE 10'!$N$7:$N$31,MATCH(LEFT($A150,LEN($A150)-2),'PW_MLG GRADE 10'!$B$7:$B$31,0))="P")+
 --(INDEX('PW_MLG GRADE 10'!$T$7:$T$31,MATCH(LEFT($A150,LEN($A150)-2),'PW_MLG GRADE 10'!$B$7:$B$31,0))="P")+
 --(INDEX('PW_MLG GRADE 10'!$AF$7:$AF$31,MATCH(LEFT($A150,LEN($A150)-2),'PW_MLG GRADE 10'!$B$7:$B$31,0))="P")+
 --(INDEX('PW_MLG GRADE 10'!$AL$7:$AL$31,MATCH(LEFT($A150,LEN($A150)-2),'PW_MLG GRADE 10'!$B$7:$B$31,0))="P")+
 --(INDEX('PW_MLG GRADE 10'!$AR$7:$AR$31,MATCH(LEFT($A150,LEN($A150)-2),'PW_MLG GRADE 10'!$B$7:$B$31,0))="P")+
 --(INDEX('PW_MLG GRADE 10'!$BD$7:$BD$31,MATCH(LEFT($A150,LEN($A150)-2),'PW_MLG GRADE 10'!$B$7:$B$31,0))="P")+
 --(INDEX('PW_MLG GRADE 10'!$BJ$7:$BJ$31,MATCH(LEFT($A150,LEN($A150)-2),'PW_MLG GRADE 10'!$B$7:$B$31,0))="P")+
 --(INDEX('PW_MLG GRADE 10'!$Z$7:$Z$31,MATCH(LEFT($A150,LEN($A150)-2),'PW_MLG GRADE 10'!$B$7:$B$31,0))="P")+
 --(INDEX('PW_MLG GRADE 10'!$AX$7:$AX$31,MATCH(LEFT($A150,LEN($A150)-2),'PW_MLG GRADE 10'!$B$7:$B$31,0))="P"),
0)</f>
        <v>0</v>
      </c>
      <c r="I150" s="24" t="b">
        <f ca="1">IF(IF(_xlfn.XLOOKUP(LEFT(F150,LEN(F150)-2),'PW_MLG GRADE 10'!$B$7:$B$31,'PW_MLG GRADE 10'!$BM$7:$BM$31,"",0,1)=0,"",_xlfn.XLOOKUP(LEFT(F150,LEN(F150)-2),'PW_MLG GRADE 10'!$B$7:$B$31,'PW_MLG GRADE 10'!$BM$7:$BM$31,"",0,1))&lt;=TODAY(),TRUE,FALSE)</f>
        <v>0</v>
      </c>
      <c r="J150" s="25" t="str">
        <f t="shared" ca="1" si="7"/>
        <v/>
      </c>
    </row>
    <row r="151" spans="1:10">
      <c r="A151" s="24" t="s">
        <v>356</v>
      </c>
      <c r="B151">
        <v>2</v>
      </c>
      <c r="C151">
        <f>IFERROR(
 --(INDEX('TH_MLG GRADE 10'!$H$7:$H$49,MATCH(LEFT($A151,LEN($A151)-2),'TH_MLG GRADE 10'!$B$7:$B$49,0))="P")+
 --(INDEX('TH_MLG GRADE 10'!$N$7:$N$49,MATCH(LEFT($A151,LEN($A151)-2),'TH_MLG GRADE 10'!$B$7:$B$49,0))="P")+
 --(INDEX('TH_MLG GRADE 10'!$T$7:$T$49,MATCH(LEFT($A151,LEN($A151)-2),'TH_MLG GRADE 10'!$B$7:$B$49,0))="P")+
 --(INDEX('TH_MLG GRADE 10'!$AF$7:$AF$49,MATCH(LEFT($A151,LEN($A151)-2),'TH_MLG GRADE 10'!$B$7:$B$49,0))="P")+
 --(INDEX('TH_MLG GRADE 10'!$AL$7:$AL$49,MATCH(LEFT($A151,LEN($A151)-2),'TH_MLG GRADE 10'!$B$7:$B$49,0))="P")+
 --(INDEX('TH_MLG GRADE 10'!$AR$7:$AR$49,MATCH(LEFT($A151,LEN($A151)-2),'TH_MLG GRADE 10'!$B$7:$B$49,0))="P")+
 --(INDEX('TH_MLG GRADE 10'!$BD$7:$BD$49,MATCH(LEFT($A151,LEN($A151)-2),'TH_MLG GRADE 10'!$B$7:$B$49,0))="P")+
 --(INDEX('TH_MLG GRADE 10'!$BJ$7:$BJ$49,MATCH(LEFT($A151,LEN($A151)-2),'TH_MLG GRADE 10'!$B$7:$B$49,0))="P")+
 --(INDEX('TH_MLG GRADE 10'!$Z$7:$Z$49,MATCH(LEFT($A151,LEN($A151)-2),'TH_MLG GRADE 10'!$B$7:$B$49,0))="P")+
 --(INDEX('TH_MLG GRADE 10'!$AX$7:$AX$49,MATCH(LEFT($A151,LEN($A151)-2),'TH_MLG GRADE 10'!$B$7:$B$49,0))="P"),
0)</f>
        <v>0</v>
      </c>
      <c r="D151" s="24" t="b">
        <f ca="1">IF(IF(_xlfn.XLOOKUP(LEFT(A151,LEN(A151)-2),'TH_MLG GRADE 10'!$B$7:$B$49,'TH_MLG GRADE 10'!$BM$7:$BM$49,"",0,1)=0,"",_xlfn.XLOOKUP(LEFT(A151,LEN(A151)-2),'TH_MLG GRADE 10'!$B$7:$B$49,'TH_MLG GRADE 10'!$BM$7:$BM$49,"",0,1))&lt;=TODAY(),TRUE,FALSE)</f>
        <v>0</v>
      </c>
      <c r="E151" s="25" t="str">
        <f t="shared" ca="1" si="6"/>
        <v/>
      </c>
      <c r="F151" s="24" t="s">
        <v>309</v>
      </c>
      <c r="G151">
        <v>2</v>
      </c>
      <c r="H151">
        <f>IFERROR(
 --(INDEX('PW_MLG GRADE 10'!$H$7:$H$31,MATCH(LEFT($A151,LEN($A151)-2),'PW_MLG GRADE 10'!$B$7:$B$31,0))="P")+
 --(INDEX('PW_MLG GRADE 10'!$N$7:$N$31,MATCH(LEFT($A151,LEN($A151)-2),'PW_MLG GRADE 10'!$B$7:$B$31,0))="P")+
 --(INDEX('PW_MLG GRADE 10'!$T$7:$T$31,MATCH(LEFT($A151,LEN($A151)-2),'PW_MLG GRADE 10'!$B$7:$B$31,0))="P")+
 --(INDEX('PW_MLG GRADE 10'!$AF$7:$AF$31,MATCH(LEFT($A151,LEN($A151)-2),'PW_MLG GRADE 10'!$B$7:$B$31,0))="P")+
 --(INDEX('PW_MLG GRADE 10'!$AL$7:$AL$31,MATCH(LEFT($A151,LEN($A151)-2),'PW_MLG GRADE 10'!$B$7:$B$31,0))="P")+
 --(INDEX('PW_MLG GRADE 10'!$AR$7:$AR$31,MATCH(LEFT($A151,LEN($A151)-2),'PW_MLG GRADE 10'!$B$7:$B$31,0))="P")+
 --(INDEX('PW_MLG GRADE 10'!$BD$7:$BD$31,MATCH(LEFT($A151,LEN($A151)-2),'PW_MLG GRADE 10'!$B$7:$B$31,0))="P")+
 --(INDEX('PW_MLG GRADE 10'!$BJ$7:$BJ$31,MATCH(LEFT($A151,LEN($A151)-2),'PW_MLG GRADE 10'!$B$7:$B$31,0))="P")+
 --(INDEX('PW_MLG GRADE 10'!$Z$7:$Z$31,MATCH(LEFT($A151,LEN($A151)-2),'PW_MLG GRADE 10'!$B$7:$B$31,0))="P")+
 --(INDEX('PW_MLG GRADE 10'!$AX$7:$AX$31,MATCH(LEFT($A151,LEN($A151)-2),'PW_MLG GRADE 10'!$B$7:$B$31,0))="P"),
0)</f>
        <v>0</v>
      </c>
      <c r="I151" s="24" t="b">
        <f ca="1">IF(IF(_xlfn.XLOOKUP(LEFT(F151,LEN(F151)-2),'PW_MLG GRADE 10'!$B$7:$B$31,'PW_MLG GRADE 10'!$BM$7:$BM$31,"",0,1)=0,"",_xlfn.XLOOKUP(LEFT(F151,LEN(F151)-2),'PW_MLG GRADE 10'!$B$7:$B$31,'PW_MLG GRADE 10'!$BM$7:$BM$31,"",0,1))&lt;=TODAY(),TRUE,FALSE)</f>
        <v>0</v>
      </c>
      <c r="J151" s="25" t="str">
        <f t="shared" ca="1" si="7"/>
        <v/>
      </c>
    </row>
    <row r="152" spans="1:10">
      <c r="A152" s="24" t="s">
        <v>357</v>
      </c>
      <c r="B152">
        <v>2</v>
      </c>
      <c r="C152">
        <f>IFERROR(
 --(INDEX('TH_MLG GRADE 10'!$H$7:$H$49,MATCH(LEFT($A152,LEN($A152)-2),'TH_MLG GRADE 10'!$B$7:$B$49,0))="P")+
 --(INDEX('TH_MLG GRADE 10'!$N$7:$N$49,MATCH(LEFT($A152,LEN($A152)-2),'TH_MLG GRADE 10'!$B$7:$B$49,0))="P")+
 --(INDEX('TH_MLG GRADE 10'!$T$7:$T$49,MATCH(LEFT($A152,LEN($A152)-2),'TH_MLG GRADE 10'!$B$7:$B$49,0))="P")+
 --(INDEX('TH_MLG GRADE 10'!$AF$7:$AF$49,MATCH(LEFT($A152,LEN($A152)-2),'TH_MLG GRADE 10'!$B$7:$B$49,0))="P")+
 --(INDEX('TH_MLG GRADE 10'!$AL$7:$AL$49,MATCH(LEFT($A152,LEN($A152)-2),'TH_MLG GRADE 10'!$B$7:$B$49,0))="P")+
 --(INDEX('TH_MLG GRADE 10'!$AR$7:$AR$49,MATCH(LEFT($A152,LEN($A152)-2),'TH_MLG GRADE 10'!$B$7:$B$49,0))="P")+
 --(INDEX('TH_MLG GRADE 10'!$BD$7:$BD$49,MATCH(LEFT($A152,LEN($A152)-2),'TH_MLG GRADE 10'!$B$7:$B$49,0))="P")+
 --(INDEX('TH_MLG GRADE 10'!$BJ$7:$BJ$49,MATCH(LEFT($A152,LEN($A152)-2),'TH_MLG GRADE 10'!$B$7:$B$49,0))="P")+
 --(INDEX('TH_MLG GRADE 10'!$Z$7:$Z$49,MATCH(LEFT($A152,LEN($A152)-2),'TH_MLG GRADE 10'!$B$7:$B$49,0))="P")+
 --(INDEX('TH_MLG GRADE 10'!$AX$7:$AX$49,MATCH(LEFT($A152,LEN($A152)-2),'TH_MLG GRADE 10'!$B$7:$B$49,0))="P"),
0)</f>
        <v>0</v>
      </c>
      <c r="D152" s="24" t="b">
        <f ca="1">IF(IF(_xlfn.XLOOKUP(LEFT(A152,LEN(A152)-2),'TH_MLG GRADE 10'!$B$7:$B$49,'TH_MLG GRADE 10'!$BM$7:$BM$49,"",0,1)=0,"",_xlfn.XLOOKUP(LEFT(A152,LEN(A152)-2),'TH_MLG GRADE 10'!$B$7:$B$49,'TH_MLG GRADE 10'!$BM$7:$BM$49,"",0,1))&lt;=TODAY(),TRUE,FALSE)</f>
        <v>0</v>
      </c>
      <c r="E152" s="25" t="str">
        <f t="shared" ca="1" si="6"/>
        <v/>
      </c>
      <c r="F152" s="24" t="s">
        <v>310</v>
      </c>
      <c r="G152">
        <v>2</v>
      </c>
      <c r="H152">
        <f>IFERROR(
 --(INDEX('PW_MLG GRADE 10'!$H$7:$H$31,MATCH(LEFT($A152,LEN($A152)-2),'PW_MLG GRADE 10'!$B$7:$B$31,0))="P")+
 --(INDEX('PW_MLG GRADE 10'!$N$7:$N$31,MATCH(LEFT($A152,LEN($A152)-2),'PW_MLG GRADE 10'!$B$7:$B$31,0))="P")+
 --(INDEX('PW_MLG GRADE 10'!$T$7:$T$31,MATCH(LEFT($A152,LEN($A152)-2),'PW_MLG GRADE 10'!$B$7:$B$31,0))="P")+
 --(INDEX('PW_MLG GRADE 10'!$AF$7:$AF$31,MATCH(LEFT($A152,LEN($A152)-2),'PW_MLG GRADE 10'!$B$7:$B$31,0))="P")+
 --(INDEX('PW_MLG GRADE 10'!$AL$7:$AL$31,MATCH(LEFT($A152,LEN($A152)-2),'PW_MLG GRADE 10'!$B$7:$B$31,0))="P")+
 --(INDEX('PW_MLG GRADE 10'!$AR$7:$AR$31,MATCH(LEFT($A152,LEN($A152)-2),'PW_MLG GRADE 10'!$B$7:$B$31,0))="P")+
 --(INDEX('PW_MLG GRADE 10'!$BD$7:$BD$31,MATCH(LEFT($A152,LEN($A152)-2),'PW_MLG GRADE 10'!$B$7:$B$31,0))="P")+
 --(INDEX('PW_MLG GRADE 10'!$BJ$7:$BJ$31,MATCH(LEFT($A152,LEN($A152)-2),'PW_MLG GRADE 10'!$B$7:$B$31,0))="P")+
 --(INDEX('PW_MLG GRADE 10'!$Z$7:$Z$31,MATCH(LEFT($A152,LEN($A152)-2),'PW_MLG GRADE 10'!$B$7:$B$31,0))="P")+
 --(INDEX('PW_MLG GRADE 10'!$AX$7:$AX$31,MATCH(LEFT($A152,LEN($A152)-2),'PW_MLG GRADE 10'!$B$7:$B$31,0))="P"),
0)</f>
        <v>0</v>
      </c>
      <c r="I152" s="24" t="b">
        <f ca="1">IF(IF(_xlfn.XLOOKUP(LEFT(F152,LEN(F152)-2),'PW_MLG GRADE 10'!$B$7:$B$31,'PW_MLG GRADE 10'!$BM$7:$BM$31,"",0,1)=0,"",_xlfn.XLOOKUP(LEFT(F152,LEN(F152)-2),'PW_MLG GRADE 10'!$B$7:$B$31,'PW_MLG GRADE 10'!$BM$7:$BM$31,"",0,1))&lt;=TODAY(),TRUE,FALSE)</f>
        <v>0</v>
      </c>
      <c r="J152" s="25" t="str">
        <f t="shared" ca="1" si="7"/>
        <v/>
      </c>
    </row>
    <row r="153" spans="1:10">
      <c r="A153" s="24" t="s">
        <v>358</v>
      </c>
      <c r="B153">
        <v>2</v>
      </c>
      <c r="C153">
        <f>IFERROR(
 --(INDEX('TH_MLG GRADE 10'!$H$7:$H$49,MATCH(LEFT($A153,LEN($A153)-2),'TH_MLG GRADE 10'!$B$7:$B$49,0))="P")+
 --(INDEX('TH_MLG GRADE 10'!$N$7:$N$49,MATCH(LEFT($A153,LEN($A153)-2),'TH_MLG GRADE 10'!$B$7:$B$49,0))="P")+
 --(INDEX('TH_MLG GRADE 10'!$T$7:$T$49,MATCH(LEFT($A153,LEN($A153)-2),'TH_MLG GRADE 10'!$B$7:$B$49,0))="P")+
 --(INDEX('TH_MLG GRADE 10'!$AF$7:$AF$49,MATCH(LEFT($A153,LEN($A153)-2),'TH_MLG GRADE 10'!$B$7:$B$49,0))="P")+
 --(INDEX('TH_MLG GRADE 10'!$AL$7:$AL$49,MATCH(LEFT($A153,LEN($A153)-2),'TH_MLG GRADE 10'!$B$7:$B$49,0))="P")+
 --(INDEX('TH_MLG GRADE 10'!$AR$7:$AR$49,MATCH(LEFT($A153,LEN($A153)-2),'TH_MLG GRADE 10'!$B$7:$B$49,0))="P")+
 --(INDEX('TH_MLG GRADE 10'!$BD$7:$BD$49,MATCH(LEFT($A153,LEN($A153)-2),'TH_MLG GRADE 10'!$B$7:$B$49,0))="P")+
 --(INDEX('TH_MLG GRADE 10'!$BJ$7:$BJ$49,MATCH(LEFT($A153,LEN($A153)-2),'TH_MLG GRADE 10'!$B$7:$B$49,0))="P")+
 --(INDEX('TH_MLG GRADE 10'!$Z$7:$Z$49,MATCH(LEFT($A153,LEN($A153)-2),'TH_MLG GRADE 10'!$B$7:$B$49,0))="P")+
 --(INDEX('TH_MLG GRADE 10'!$AX$7:$AX$49,MATCH(LEFT($A153,LEN($A153)-2),'TH_MLG GRADE 10'!$B$7:$B$49,0))="P"),
0)</f>
        <v>0</v>
      </c>
      <c r="D153" s="24" t="b">
        <f ca="1">IF(IF(_xlfn.XLOOKUP(LEFT(A153,LEN(A153)-2),'TH_MLG GRADE 10'!$B$7:$B$49,'TH_MLG GRADE 10'!$BM$7:$BM$49,"",0,1)=0,"",_xlfn.XLOOKUP(LEFT(A153,LEN(A153)-2),'TH_MLG GRADE 10'!$B$7:$B$49,'TH_MLG GRADE 10'!$BM$7:$BM$49,"",0,1))&lt;=TODAY(),TRUE,FALSE)</f>
        <v>0</v>
      </c>
      <c r="E153" s="25" t="str">
        <f t="shared" ca="1" si="6"/>
        <v/>
      </c>
      <c r="F153" s="24" t="s">
        <v>311</v>
      </c>
      <c r="G153">
        <v>2</v>
      </c>
      <c r="H153">
        <f>IFERROR(
 --(INDEX('PW_MLG GRADE 10'!$H$7:$H$31,MATCH(LEFT($A153,LEN($A153)-2),'PW_MLG GRADE 10'!$B$7:$B$31,0))="P")+
 --(INDEX('PW_MLG GRADE 10'!$N$7:$N$31,MATCH(LEFT($A153,LEN($A153)-2),'PW_MLG GRADE 10'!$B$7:$B$31,0))="P")+
 --(INDEX('PW_MLG GRADE 10'!$T$7:$T$31,MATCH(LEFT($A153,LEN($A153)-2),'PW_MLG GRADE 10'!$B$7:$B$31,0))="P")+
 --(INDEX('PW_MLG GRADE 10'!$AF$7:$AF$31,MATCH(LEFT($A153,LEN($A153)-2),'PW_MLG GRADE 10'!$B$7:$B$31,0))="P")+
 --(INDEX('PW_MLG GRADE 10'!$AL$7:$AL$31,MATCH(LEFT($A153,LEN($A153)-2),'PW_MLG GRADE 10'!$B$7:$B$31,0))="P")+
 --(INDEX('PW_MLG GRADE 10'!$AR$7:$AR$31,MATCH(LEFT($A153,LEN($A153)-2),'PW_MLG GRADE 10'!$B$7:$B$31,0))="P")+
 --(INDEX('PW_MLG GRADE 10'!$BD$7:$BD$31,MATCH(LEFT($A153,LEN($A153)-2),'PW_MLG GRADE 10'!$B$7:$B$31,0))="P")+
 --(INDEX('PW_MLG GRADE 10'!$BJ$7:$BJ$31,MATCH(LEFT($A153,LEN($A153)-2),'PW_MLG GRADE 10'!$B$7:$B$31,0))="P")+
 --(INDEX('PW_MLG GRADE 10'!$Z$7:$Z$31,MATCH(LEFT($A153,LEN($A153)-2),'PW_MLG GRADE 10'!$B$7:$B$31,0))="P")+
 --(INDEX('PW_MLG GRADE 10'!$AX$7:$AX$31,MATCH(LEFT($A153,LEN($A153)-2),'PW_MLG GRADE 10'!$B$7:$B$31,0))="P"),
0)</f>
        <v>0</v>
      </c>
      <c r="I153" s="24" t="b">
        <f ca="1">IF(IF(_xlfn.XLOOKUP(LEFT(F153,LEN(F153)-2),'PW_MLG GRADE 10'!$B$7:$B$31,'PW_MLG GRADE 10'!$BM$7:$BM$31,"",0,1)=0,"",_xlfn.XLOOKUP(LEFT(F153,LEN(F153)-2),'PW_MLG GRADE 10'!$B$7:$B$31,'PW_MLG GRADE 10'!$BM$7:$BM$31,"",0,1))&lt;=TODAY(),TRUE,FALSE)</f>
        <v>0</v>
      </c>
      <c r="J153" s="25" t="str">
        <f t="shared" ca="1" si="7"/>
        <v/>
      </c>
    </row>
    <row r="154" spans="1:10">
      <c r="A154" s="24" t="s">
        <v>359</v>
      </c>
      <c r="B154">
        <v>2</v>
      </c>
      <c r="C154">
        <f>IFERROR(
 --(INDEX('TH_MLG GRADE 10'!$H$7:$H$49,MATCH(LEFT($A154,LEN($A154)-2),'TH_MLG GRADE 10'!$B$7:$B$49,0))="P")+
 --(INDEX('TH_MLG GRADE 10'!$N$7:$N$49,MATCH(LEFT($A154,LEN($A154)-2),'TH_MLG GRADE 10'!$B$7:$B$49,0))="P")+
 --(INDEX('TH_MLG GRADE 10'!$T$7:$T$49,MATCH(LEFT($A154,LEN($A154)-2),'TH_MLG GRADE 10'!$B$7:$B$49,0))="P")+
 --(INDEX('TH_MLG GRADE 10'!$AF$7:$AF$49,MATCH(LEFT($A154,LEN($A154)-2),'TH_MLG GRADE 10'!$B$7:$B$49,0))="P")+
 --(INDEX('TH_MLG GRADE 10'!$AL$7:$AL$49,MATCH(LEFT($A154,LEN($A154)-2),'TH_MLG GRADE 10'!$B$7:$B$49,0))="P")+
 --(INDEX('TH_MLG GRADE 10'!$AR$7:$AR$49,MATCH(LEFT($A154,LEN($A154)-2),'TH_MLG GRADE 10'!$B$7:$B$49,0))="P")+
 --(INDEX('TH_MLG GRADE 10'!$BD$7:$BD$49,MATCH(LEFT($A154,LEN($A154)-2),'TH_MLG GRADE 10'!$B$7:$B$49,0))="P")+
 --(INDEX('TH_MLG GRADE 10'!$BJ$7:$BJ$49,MATCH(LEFT($A154,LEN($A154)-2),'TH_MLG GRADE 10'!$B$7:$B$49,0))="P")+
 --(INDEX('TH_MLG GRADE 10'!$Z$7:$Z$49,MATCH(LEFT($A154,LEN($A154)-2),'TH_MLG GRADE 10'!$B$7:$B$49,0))="P")+
 --(INDEX('TH_MLG GRADE 10'!$AX$7:$AX$49,MATCH(LEFT($A154,LEN($A154)-2),'TH_MLG GRADE 10'!$B$7:$B$49,0))="P"),
0)</f>
        <v>0</v>
      </c>
      <c r="D154" s="24" t="b">
        <f ca="1">IF(IF(_xlfn.XLOOKUP(LEFT(A154,LEN(A154)-2),'TH_MLG GRADE 10'!$B$7:$B$49,'TH_MLG GRADE 10'!$BM$7:$BM$49,"",0,1)=0,"",_xlfn.XLOOKUP(LEFT(A154,LEN(A154)-2),'TH_MLG GRADE 10'!$B$7:$B$49,'TH_MLG GRADE 10'!$BM$7:$BM$49,"",0,1))&lt;=TODAY(),TRUE,FALSE)</f>
        <v>0</v>
      </c>
      <c r="E154" s="25" t="str">
        <f t="shared" ca="1" si="6"/>
        <v/>
      </c>
      <c r="F154" s="24" t="s">
        <v>312</v>
      </c>
      <c r="G154">
        <v>2</v>
      </c>
      <c r="H154">
        <f>IFERROR(
 --(INDEX('PW_MLG GRADE 10'!$H$7:$H$31,MATCH(LEFT($A154,LEN($A154)-2),'PW_MLG GRADE 10'!$B$7:$B$31,0))="P")+
 --(INDEX('PW_MLG GRADE 10'!$N$7:$N$31,MATCH(LEFT($A154,LEN($A154)-2),'PW_MLG GRADE 10'!$B$7:$B$31,0))="P")+
 --(INDEX('PW_MLG GRADE 10'!$T$7:$T$31,MATCH(LEFT($A154,LEN($A154)-2),'PW_MLG GRADE 10'!$B$7:$B$31,0))="P")+
 --(INDEX('PW_MLG GRADE 10'!$AF$7:$AF$31,MATCH(LEFT($A154,LEN($A154)-2),'PW_MLG GRADE 10'!$B$7:$B$31,0))="P")+
 --(INDEX('PW_MLG GRADE 10'!$AL$7:$AL$31,MATCH(LEFT($A154,LEN($A154)-2),'PW_MLG GRADE 10'!$B$7:$B$31,0))="P")+
 --(INDEX('PW_MLG GRADE 10'!$AR$7:$AR$31,MATCH(LEFT($A154,LEN($A154)-2),'PW_MLG GRADE 10'!$B$7:$B$31,0))="P")+
 --(INDEX('PW_MLG GRADE 10'!$BD$7:$BD$31,MATCH(LEFT($A154,LEN($A154)-2),'PW_MLG GRADE 10'!$B$7:$B$31,0))="P")+
 --(INDEX('PW_MLG GRADE 10'!$BJ$7:$BJ$31,MATCH(LEFT($A154,LEN($A154)-2),'PW_MLG GRADE 10'!$B$7:$B$31,0))="P")+
 --(INDEX('PW_MLG GRADE 10'!$Z$7:$Z$31,MATCH(LEFT($A154,LEN($A154)-2),'PW_MLG GRADE 10'!$B$7:$B$31,0))="P")+
 --(INDEX('PW_MLG GRADE 10'!$AX$7:$AX$31,MATCH(LEFT($A154,LEN($A154)-2),'PW_MLG GRADE 10'!$B$7:$B$31,0))="P"),
0)</f>
        <v>0</v>
      </c>
      <c r="I154" s="24" t="b">
        <f ca="1">IF(IF(_xlfn.XLOOKUP(LEFT(F154,LEN(F154)-2),'PW_MLG GRADE 10'!$B$7:$B$31,'PW_MLG GRADE 10'!$BM$7:$BM$31,"",0,1)=0,"",_xlfn.XLOOKUP(LEFT(F154,LEN(F154)-2),'PW_MLG GRADE 10'!$B$7:$B$31,'PW_MLG GRADE 10'!$BM$7:$BM$31,"",0,1))&lt;=TODAY(),TRUE,FALSE)</f>
        <v>0</v>
      </c>
      <c r="J154" s="25" t="str">
        <f t="shared" ca="1" si="7"/>
        <v/>
      </c>
    </row>
    <row r="155" spans="1:10">
      <c r="A155" s="24" t="s">
        <v>360</v>
      </c>
      <c r="B155">
        <v>2</v>
      </c>
      <c r="C155">
        <f>IFERROR(
 --(INDEX('TH_MLG GRADE 10'!$H$7:$H$49,MATCH(LEFT($A155,LEN($A155)-2),'TH_MLG GRADE 10'!$B$7:$B$49,0))="P")+
 --(INDEX('TH_MLG GRADE 10'!$N$7:$N$49,MATCH(LEFT($A155,LEN($A155)-2),'TH_MLG GRADE 10'!$B$7:$B$49,0))="P")+
 --(INDEX('TH_MLG GRADE 10'!$T$7:$T$49,MATCH(LEFT($A155,LEN($A155)-2),'TH_MLG GRADE 10'!$B$7:$B$49,0))="P")+
 --(INDEX('TH_MLG GRADE 10'!$AF$7:$AF$49,MATCH(LEFT($A155,LEN($A155)-2),'TH_MLG GRADE 10'!$B$7:$B$49,0))="P")+
 --(INDEX('TH_MLG GRADE 10'!$AL$7:$AL$49,MATCH(LEFT($A155,LEN($A155)-2),'TH_MLG GRADE 10'!$B$7:$B$49,0))="P")+
 --(INDEX('TH_MLG GRADE 10'!$AR$7:$AR$49,MATCH(LEFT($A155,LEN($A155)-2),'TH_MLG GRADE 10'!$B$7:$B$49,0))="P")+
 --(INDEX('TH_MLG GRADE 10'!$BD$7:$BD$49,MATCH(LEFT($A155,LEN($A155)-2),'TH_MLG GRADE 10'!$B$7:$B$49,0))="P")+
 --(INDEX('TH_MLG GRADE 10'!$BJ$7:$BJ$49,MATCH(LEFT($A155,LEN($A155)-2),'TH_MLG GRADE 10'!$B$7:$B$49,0))="P")+
 --(INDEX('TH_MLG GRADE 10'!$Z$7:$Z$49,MATCH(LEFT($A155,LEN($A155)-2),'TH_MLG GRADE 10'!$B$7:$B$49,0))="P")+
 --(INDEX('TH_MLG GRADE 10'!$AX$7:$AX$49,MATCH(LEFT($A155,LEN($A155)-2),'TH_MLG GRADE 10'!$B$7:$B$49,0))="P"),
0)</f>
        <v>0</v>
      </c>
      <c r="D155" s="24" t="b">
        <f ca="1">IF(IF(_xlfn.XLOOKUP(LEFT(A155,LEN(A155)-2),'TH_MLG GRADE 10'!$B$7:$B$49,'TH_MLG GRADE 10'!$BM$7:$BM$49,"",0,1)=0,"",_xlfn.XLOOKUP(LEFT(A155,LEN(A155)-2),'TH_MLG GRADE 10'!$B$7:$B$49,'TH_MLG GRADE 10'!$BM$7:$BM$49,"",0,1))&lt;=TODAY(),TRUE,FALSE)</f>
        <v>0</v>
      </c>
      <c r="E155" s="25" t="str">
        <f t="shared" ca="1" si="6"/>
        <v/>
      </c>
      <c r="F155" s="24" t="s">
        <v>313</v>
      </c>
      <c r="G155">
        <v>2</v>
      </c>
      <c r="H155">
        <f>IFERROR(
 --(INDEX('PW_MLG GRADE 10'!$H$7:$H$31,MATCH(LEFT($A155,LEN($A155)-2),'PW_MLG GRADE 10'!$B$7:$B$31,0))="P")+
 --(INDEX('PW_MLG GRADE 10'!$N$7:$N$31,MATCH(LEFT($A155,LEN($A155)-2),'PW_MLG GRADE 10'!$B$7:$B$31,0))="P")+
 --(INDEX('PW_MLG GRADE 10'!$T$7:$T$31,MATCH(LEFT($A155,LEN($A155)-2),'PW_MLG GRADE 10'!$B$7:$B$31,0))="P")+
 --(INDEX('PW_MLG GRADE 10'!$AF$7:$AF$31,MATCH(LEFT($A155,LEN($A155)-2),'PW_MLG GRADE 10'!$B$7:$B$31,0))="P")+
 --(INDEX('PW_MLG GRADE 10'!$AL$7:$AL$31,MATCH(LEFT($A155,LEN($A155)-2),'PW_MLG GRADE 10'!$B$7:$B$31,0))="P")+
 --(INDEX('PW_MLG GRADE 10'!$AR$7:$AR$31,MATCH(LEFT($A155,LEN($A155)-2),'PW_MLG GRADE 10'!$B$7:$B$31,0))="P")+
 --(INDEX('PW_MLG GRADE 10'!$BD$7:$BD$31,MATCH(LEFT($A155,LEN($A155)-2),'PW_MLG GRADE 10'!$B$7:$B$31,0))="P")+
 --(INDEX('PW_MLG GRADE 10'!$BJ$7:$BJ$31,MATCH(LEFT($A155,LEN($A155)-2),'PW_MLG GRADE 10'!$B$7:$B$31,0))="P")+
 --(INDEX('PW_MLG GRADE 10'!$Z$7:$Z$31,MATCH(LEFT($A155,LEN($A155)-2),'PW_MLG GRADE 10'!$B$7:$B$31,0))="P")+
 --(INDEX('PW_MLG GRADE 10'!$AX$7:$AX$31,MATCH(LEFT($A155,LEN($A155)-2),'PW_MLG GRADE 10'!$B$7:$B$31,0))="P"),
0)</f>
        <v>0</v>
      </c>
      <c r="I155" s="24" t="b">
        <f ca="1">IF(IF(_xlfn.XLOOKUP(LEFT(F155,LEN(F155)-2),'PW_MLG GRADE 10'!$B$7:$B$31,'PW_MLG GRADE 10'!$BM$7:$BM$31,"",0,1)=0,"",_xlfn.XLOOKUP(LEFT(F155,LEN(F155)-2),'PW_MLG GRADE 10'!$B$7:$B$31,'PW_MLG GRADE 10'!$BM$7:$BM$31,"",0,1))&lt;=TODAY(),TRUE,FALSE)</f>
        <v>0</v>
      </c>
      <c r="J155" s="25" t="str">
        <f t="shared" ca="1" si="7"/>
        <v/>
      </c>
    </row>
    <row r="156" spans="1:10">
      <c r="A156" s="24" t="s">
        <v>361</v>
      </c>
      <c r="B156">
        <v>2</v>
      </c>
      <c r="C156">
        <f>IFERROR(
 --(INDEX('TH_MLG GRADE 10'!$H$7:$H$49,MATCH(LEFT($A156,LEN($A156)-2),'TH_MLG GRADE 10'!$B$7:$B$49,0))="P")+
 --(INDEX('TH_MLG GRADE 10'!$N$7:$N$49,MATCH(LEFT($A156,LEN($A156)-2),'TH_MLG GRADE 10'!$B$7:$B$49,0))="P")+
 --(INDEX('TH_MLG GRADE 10'!$T$7:$T$49,MATCH(LEFT($A156,LEN($A156)-2),'TH_MLG GRADE 10'!$B$7:$B$49,0))="P")+
 --(INDEX('TH_MLG GRADE 10'!$AF$7:$AF$49,MATCH(LEFT($A156,LEN($A156)-2),'TH_MLG GRADE 10'!$B$7:$B$49,0))="P")+
 --(INDEX('TH_MLG GRADE 10'!$AL$7:$AL$49,MATCH(LEFT($A156,LEN($A156)-2),'TH_MLG GRADE 10'!$B$7:$B$49,0))="P")+
 --(INDEX('TH_MLG GRADE 10'!$AR$7:$AR$49,MATCH(LEFT($A156,LEN($A156)-2),'TH_MLG GRADE 10'!$B$7:$B$49,0))="P")+
 --(INDEX('TH_MLG GRADE 10'!$BD$7:$BD$49,MATCH(LEFT($A156,LEN($A156)-2),'TH_MLG GRADE 10'!$B$7:$B$49,0))="P")+
 --(INDEX('TH_MLG GRADE 10'!$BJ$7:$BJ$49,MATCH(LEFT($A156,LEN($A156)-2),'TH_MLG GRADE 10'!$B$7:$B$49,0))="P")+
 --(INDEX('TH_MLG GRADE 10'!$Z$7:$Z$49,MATCH(LEFT($A156,LEN($A156)-2),'TH_MLG GRADE 10'!$B$7:$B$49,0))="P")+
 --(INDEX('TH_MLG GRADE 10'!$AX$7:$AX$49,MATCH(LEFT($A156,LEN($A156)-2),'TH_MLG GRADE 10'!$B$7:$B$49,0))="P"),
0)</f>
        <v>0</v>
      </c>
      <c r="D156" s="24" t="b">
        <f ca="1">IF(IF(_xlfn.XLOOKUP(LEFT(A156,LEN(A156)-2),'TH_MLG GRADE 10'!$B$7:$B$49,'TH_MLG GRADE 10'!$BM$7:$BM$49,"",0,1)=0,"",_xlfn.XLOOKUP(LEFT(A156,LEN(A156)-2),'TH_MLG GRADE 10'!$B$7:$B$49,'TH_MLG GRADE 10'!$BM$7:$BM$49,"",0,1))&lt;=TODAY(),TRUE,FALSE)</f>
        <v>0</v>
      </c>
      <c r="E156" s="25" t="str">
        <f t="shared" ca="1" si="6"/>
        <v/>
      </c>
      <c r="F156" s="24" t="s">
        <v>314</v>
      </c>
      <c r="G156">
        <v>2</v>
      </c>
      <c r="H156">
        <f>IFERROR(
 --(INDEX('PW_MLG GRADE 10'!$H$7:$H$31,MATCH(LEFT($A156,LEN($A156)-2),'PW_MLG GRADE 10'!$B$7:$B$31,0))="P")+
 --(INDEX('PW_MLG GRADE 10'!$N$7:$N$31,MATCH(LEFT($A156,LEN($A156)-2),'PW_MLG GRADE 10'!$B$7:$B$31,0))="P")+
 --(INDEX('PW_MLG GRADE 10'!$T$7:$T$31,MATCH(LEFT($A156,LEN($A156)-2),'PW_MLG GRADE 10'!$B$7:$B$31,0))="P")+
 --(INDEX('PW_MLG GRADE 10'!$AF$7:$AF$31,MATCH(LEFT($A156,LEN($A156)-2),'PW_MLG GRADE 10'!$B$7:$B$31,0))="P")+
 --(INDEX('PW_MLG GRADE 10'!$AL$7:$AL$31,MATCH(LEFT($A156,LEN($A156)-2),'PW_MLG GRADE 10'!$B$7:$B$31,0))="P")+
 --(INDEX('PW_MLG GRADE 10'!$AR$7:$AR$31,MATCH(LEFT($A156,LEN($A156)-2),'PW_MLG GRADE 10'!$B$7:$B$31,0))="P")+
 --(INDEX('PW_MLG GRADE 10'!$BD$7:$BD$31,MATCH(LEFT($A156,LEN($A156)-2),'PW_MLG GRADE 10'!$B$7:$B$31,0))="P")+
 --(INDEX('PW_MLG GRADE 10'!$BJ$7:$BJ$31,MATCH(LEFT($A156,LEN($A156)-2),'PW_MLG GRADE 10'!$B$7:$B$31,0))="P")+
 --(INDEX('PW_MLG GRADE 10'!$Z$7:$Z$31,MATCH(LEFT($A156,LEN($A156)-2),'PW_MLG GRADE 10'!$B$7:$B$31,0))="P")+
 --(INDEX('PW_MLG GRADE 10'!$AX$7:$AX$31,MATCH(LEFT($A156,LEN($A156)-2),'PW_MLG GRADE 10'!$B$7:$B$31,0))="P"),
0)</f>
        <v>0</v>
      </c>
      <c r="I156" s="24" t="b">
        <f ca="1">IF(IF(_xlfn.XLOOKUP(LEFT(F156,LEN(F156)-2),'PW_MLG GRADE 10'!$B$7:$B$31,'PW_MLG GRADE 10'!$BM$7:$BM$31,"",0,1)=0,"",_xlfn.XLOOKUP(LEFT(F156,LEN(F156)-2),'PW_MLG GRADE 10'!$B$7:$B$31,'PW_MLG GRADE 10'!$BM$7:$BM$31,"",0,1))&lt;=TODAY(),TRUE,FALSE)</f>
        <v>0</v>
      </c>
      <c r="J156" s="25" t="str">
        <f t="shared" ca="1" si="7"/>
        <v/>
      </c>
    </row>
    <row r="157" spans="1:10">
      <c r="A157" s="24" t="s">
        <v>362</v>
      </c>
      <c r="B157">
        <v>2</v>
      </c>
      <c r="C157">
        <f>IFERROR(
 --(INDEX('TH_MLG GRADE 10'!$H$7:$H$49,MATCH(LEFT($A157,LEN($A157)-2),'TH_MLG GRADE 10'!$B$7:$B$49,0))="P")+
 --(INDEX('TH_MLG GRADE 10'!$N$7:$N$49,MATCH(LEFT($A157,LEN($A157)-2),'TH_MLG GRADE 10'!$B$7:$B$49,0))="P")+
 --(INDEX('TH_MLG GRADE 10'!$T$7:$T$49,MATCH(LEFT($A157,LEN($A157)-2),'TH_MLG GRADE 10'!$B$7:$B$49,0))="P")+
 --(INDEX('TH_MLG GRADE 10'!$AF$7:$AF$49,MATCH(LEFT($A157,LEN($A157)-2),'TH_MLG GRADE 10'!$B$7:$B$49,0))="P")+
 --(INDEX('TH_MLG GRADE 10'!$AL$7:$AL$49,MATCH(LEFT($A157,LEN($A157)-2),'TH_MLG GRADE 10'!$B$7:$B$49,0))="P")+
 --(INDEX('TH_MLG GRADE 10'!$AR$7:$AR$49,MATCH(LEFT($A157,LEN($A157)-2),'TH_MLG GRADE 10'!$B$7:$B$49,0))="P")+
 --(INDEX('TH_MLG GRADE 10'!$BD$7:$BD$49,MATCH(LEFT($A157,LEN($A157)-2),'TH_MLG GRADE 10'!$B$7:$B$49,0))="P")+
 --(INDEX('TH_MLG GRADE 10'!$BJ$7:$BJ$49,MATCH(LEFT($A157,LEN($A157)-2),'TH_MLG GRADE 10'!$B$7:$B$49,0))="P")+
 --(INDEX('TH_MLG GRADE 10'!$Z$7:$Z$49,MATCH(LEFT($A157,LEN($A157)-2),'TH_MLG GRADE 10'!$B$7:$B$49,0))="P")+
 --(INDEX('TH_MLG GRADE 10'!$AX$7:$AX$49,MATCH(LEFT($A157,LEN($A157)-2),'TH_MLG GRADE 10'!$B$7:$B$49,0))="P"),
0)</f>
        <v>0</v>
      </c>
      <c r="D157" s="24" t="b">
        <f ca="1">IF(IF(_xlfn.XLOOKUP(LEFT(A157,LEN(A157)-2),'TH_MLG GRADE 10'!$B$7:$B$49,'TH_MLG GRADE 10'!$BM$7:$BM$49,"",0,1)=0,"",_xlfn.XLOOKUP(LEFT(A157,LEN(A157)-2),'TH_MLG GRADE 10'!$B$7:$B$49,'TH_MLG GRADE 10'!$BM$7:$BM$49,"",0,1))&lt;=TODAY(),TRUE,FALSE)</f>
        <v>0</v>
      </c>
      <c r="E157" s="25" t="str">
        <f t="shared" ca="1" si="6"/>
        <v/>
      </c>
      <c r="F157" s="24" t="s">
        <v>315</v>
      </c>
      <c r="G157">
        <v>2</v>
      </c>
      <c r="H157">
        <f>IFERROR(
 --(INDEX('PW_MLG GRADE 10'!$H$7:$H$31,MATCH(LEFT($A157,LEN($A157)-2),'PW_MLG GRADE 10'!$B$7:$B$31,0))="P")+
 --(INDEX('PW_MLG GRADE 10'!$N$7:$N$31,MATCH(LEFT($A157,LEN($A157)-2),'PW_MLG GRADE 10'!$B$7:$B$31,0))="P")+
 --(INDEX('PW_MLG GRADE 10'!$T$7:$T$31,MATCH(LEFT($A157,LEN($A157)-2),'PW_MLG GRADE 10'!$B$7:$B$31,0))="P")+
 --(INDEX('PW_MLG GRADE 10'!$AF$7:$AF$31,MATCH(LEFT($A157,LEN($A157)-2),'PW_MLG GRADE 10'!$B$7:$B$31,0))="P")+
 --(INDEX('PW_MLG GRADE 10'!$AL$7:$AL$31,MATCH(LEFT($A157,LEN($A157)-2),'PW_MLG GRADE 10'!$B$7:$B$31,0))="P")+
 --(INDEX('PW_MLG GRADE 10'!$AR$7:$AR$31,MATCH(LEFT($A157,LEN($A157)-2),'PW_MLG GRADE 10'!$B$7:$B$31,0))="P")+
 --(INDEX('PW_MLG GRADE 10'!$BD$7:$BD$31,MATCH(LEFT($A157,LEN($A157)-2),'PW_MLG GRADE 10'!$B$7:$B$31,0))="P")+
 --(INDEX('PW_MLG GRADE 10'!$BJ$7:$BJ$31,MATCH(LEFT($A157,LEN($A157)-2),'PW_MLG GRADE 10'!$B$7:$B$31,0))="P")+
 --(INDEX('PW_MLG GRADE 10'!$Z$7:$Z$31,MATCH(LEFT($A157,LEN($A157)-2),'PW_MLG GRADE 10'!$B$7:$B$31,0))="P")+
 --(INDEX('PW_MLG GRADE 10'!$AX$7:$AX$31,MATCH(LEFT($A157,LEN($A157)-2),'PW_MLG GRADE 10'!$B$7:$B$31,0))="P"),
0)</f>
        <v>0</v>
      </c>
      <c r="I157" s="24" t="b">
        <f ca="1">IF(IF(_xlfn.XLOOKUP(LEFT(F157,LEN(F157)-2),'PW_MLG GRADE 10'!$B$7:$B$31,'PW_MLG GRADE 10'!$BM$7:$BM$31,"",0,1)=0,"",_xlfn.XLOOKUP(LEFT(F157,LEN(F157)-2),'PW_MLG GRADE 10'!$B$7:$B$31,'PW_MLG GRADE 10'!$BM$7:$BM$31,"",0,1))&lt;=TODAY(),TRUE,FALSE)</f>
        <v>0</v>
      </c>
      <c r="J157" s="25" t="str">
        <f t="shared" ca="1" si="7"/>
        <v/>
      </c>
    </row>
    <row r="158" spans="1:10">
      <c r="A158" s="24" t="s">
        <v>363</v>
      </c>
      <c r="B158">
        <v>2</v>
      </c>
      <c r="C158">
        <f>IFERROR(
 --(INDEX('TH_MLG GRADE 10'!$H$7:$H$49,MATCH(LEFT($A158,LEN($A158)-2),'TH_MLG GRADE 10'!$B$7:$B$49,0))="P")+
 --(INDEX('TH_MLG GRADE 10'!$N$7:$N$49,MATCH(LEFT($A158,LEN($A158)-2),'TH_MLG GRADE 10'!$B$7:$B$49,0))="P")+
 --(INDEX('TH_MLG GRADE 10'!$T$7:$T$49,MATCH(LEFT($A158,LEN($A158)-2),'TH_MLG GRADE 10'!$B$7:$B$49,0))="P")+
 --(INDEX('TH_MLG GRADE 10'!$AF$7:$AF$49,MATCH(LEFT($A158,LEN($A158)-2),'TH_MLG GRADE 10'!$B$7:$B$49,0))="P")+
 --(INDEX('TH_MLG GRADE 10'!$AL$7:$AL$49,MATCH(LEFT($A158,LEN($A158)-2),'TH_MLG GRADE 10'!$B$7:$B$49,0))="P")+
 --(INDEX('TH_MLG GRADE 10'!$AR$7:$AR$49,MATCH(LEFT($A158,LEN($A158)-2),'TH_MLG GRADE 10'!$B$7:$B$49,0))="P")+
 --(INDEX('TH_MLG GRADE 10'!$BD$7:$BD$49,MATCH(LEFT($A158,LEN($A158)-2),'TH_MLG GRADE 10'!$B$7:$B$49,0))="P")+
 --(INDEX('TH_MLG GRADE 10'!$BJ$7:$BJ$49,MATCH(LEFT($A158,LEN($A158)-2),'TH_MLG GRADE 10'!$B$7:$B$49,0))="P")+
 --(INDEX('TH_MLG GRADE 10'!$Z$7:$Z$49,MATCH(LEFT($A158,LEN($A158)-2),'TH_MLG GRADE 10'!$B$7:$B$49,0))="P")+
 --(INDEX('TH_MLG GRADE 10'!$AX$7:$AX$49,MATCH(LEFT($A158,LEN($A158)-2),'TH_MLG GRADE 10'!$B$7:$B$49,0))="P"),
0)</f>
        <v>0</v>
      </c>
      <c r="D158" s="24" t="b">
        <f ca="1">IF(IF(_xlfn.XLOOKUP(LEFT(A158,LEN(A158)-2),'TH_MLG GRADE 10'!$B$7:$B$49,'TH_MLG GRADE 10'!$BM$7:$BM$49,"",0,1)=0,"",_xlfn.XLOOKUP(LEFT(A158,LEN(A158)-2),'TH_MLG GRADE 10'!$B$7:$B$49,'TH_MLG GRADE 10'!$BM$7:$BM$49,"",0,1))&lt;=TODAY(),TRUE,FALSE)</f>
        <v>0</v>
      </c>
      <c r="E158" s="25" t="str">
        <f t="shared" ca="1" si="6"/>
        <v/>
      </c>
      <c r="F158" s="24" t="s">
        <v>316</v>
      </c>
      <c r="G158">
        <v>2</v>
      </c>
      <c r="H158">
        <f>IFERROR(
 --(INDEX('PW_MLG GRADE 10'!$H$7:$H$31,MATCH(LEFT($A158,LEN($A158)-2),'PW_MLG GRADE 10'!$B$7:$B$31,0))="P")+
 --(INDEX('PW_MLG GRADE 10'!$N$7:$N$31,MATCH(LEFT($A158,LEN($A158)-2),'PW_MLG GRADE 10'!$B$7:$B$31,0))="P")+
 --(INDEX('PW_MLG GRADE 10'!$T$7:$T$31,MATCH(LEFT($A158,LEN($A158)-2),'PW_MLG GRADE 10'!$B$7:$B$31,0))="P")+
 --(INDEX('PW_MLG GRADE 10'!$AF$7:$AF$31,MATCH(LEFT($A158,LEN($A158)-2),'PW_MLG GRADE 10'!$B$7:$B$31,0))="P")+
 --(INDEX('PW_MLG GRADE 10'!$AL$7:$AL$31,MATCH(LEFT($A158,LEN($A158)-2),'PW_MLG GRADE 10'!$B$7:$B$31,0))="P")+
 --(INDEX('PW_MLG GRADE 10'!$AR$7:$AR$31,MATCH(LEFT($A158,LEN($A158)-2),'PW_MLG GRADE 10'!$B$7:$B$31,0))="P")+
 --(INDEX('PW_MLG GRADE 10'!$BD$7:$BD$31,MATCH(LEFT($A158,LEN($A158)-2),'PW_MLG GRADE 10'!$B$7:$B$31,0))="P")+
 --(INDEX('PW_MLG GRADE 10'!$BJ$7:$BJ$31,MATCH(LEFT($A158,LEN($A158)-2),'PW_MLG GRADE 10'!$B$7:$B$31,0))="P")+
 --(INDEX('PW_MLG GRADE 10'!$Z$7:$Z$31,MATCH(LEFT($A158,LEN($A158)-2),'PW_MLG GRADE 10'!$B$7:$B$31,0))="P")+
 --(INDEX('PW_MLG GRADE 10'!$AX$7:$AX$31,MATCH(LEFT($A158,LEN($A158)-2),'PW_MLG GRADE 10'!$B$7:$B$31,0))="P"),
0)</f>
        <v>0</v>
      </c>
      <c r="I158" s="24" t="b">
        <f ca="1">IF(IF(_xlfn.XLOOKUP(LEFT(F158,LEN(F158)-2),'PW_MLG GRADE 10'!$B$7:$B$31,'PW_MLG GRADE 10'!$BM$7:$BM$31,"",0,1)=0,"",_xlfn.XLOOKUP(LEFT(F158,LEN(F158)-2),'PW_MLG GRADE 10'!$B$7:$B$31,'PW_MLG GRADE 10'!$BM$7:$BM$31,"",0,1))&lt;=TODAY(),TRUE,FALSE)</f>
        <v>0</v>
      </c>
      <c r="J158" s="25" t="str">
        <f t="shared" ca="1" si="7"/>
        <v/>
      </c>
    </row>
    <row r="159" spans="1:10">
      <c r="A159" s="24" t="s">
        <v>364</v>
      </c>
      <c r="B159">
        <v>2</v>
      </c>
      <c r="C159">
        <f>IFERROR(
 --(INDEX('TH_MLG GRADE 10'!$H$7:$H$49,MATCH(LEFT($A159,LEN($A159)-2),'TH_MLG GRADE 10'!$B$7:$B$49,0))="P")+
 --(INDEX('TH_MLG GRADE 10'!$N$7:$N$49,MATCH(LEFT($A159,LEN($A159)-2),'TH_MLG GRADE 10'!$B$7:$B$49,0))="P")+
 --(INDEX('TH_MLG GRADE 10'!$T$7:$T$49,MATCH(LEFT($A159,LEN($A159)-2),'TH_MLG GRADE 10'!$B$7:$B$49,0))="P")+
 --(INDEX('TH_MLG GRADE 10'!$AF$7:$AF$49,MATCH(LEFT($A159,LEN($A159)-2),'TH_MLG GRADE 10'!$B$7:$B$49,0))="P")+
 --(INDEX('TH_MLG GRADE 10'!$AL$7:$AL$49,MATCH(LEFT($A159,LEN($A159)-2),'TH_MLG GRADE 10'!$B$7:$B$49,0))="P")+
 --(INDEX('TH_MLG GRADE 10'!$AR$7:$AR$49,MATCH(LEFT($A159,LEN($A159)-2),'TH_MLG GRADE 10'!$B$7:$B$49,0))="P")+
 --(INDEX('TH_MLG GRADE 10'!$BD$7:$BD$49,MATCH(LEFT($A159,LEN($A159)-2),'TH_MLG GRADE 10'!$B$7:$B$49,0))="P")+
 --(INDEX('TH_MLG GRADE 10'!$BJ$7:$BJ$49,MATCH(LEFT($A159,LEN($A159)-2),'TH_MLG GRADE 10'!$B$7:$B$49,0))="P")+
 --(INDEX('TH_MLG GRADE 10'!$Z$7:$Z$49,MATCH(LEFT($A159,LEN($A159)-2),'TH_MLG GRADE 10'!$B$7:$B$49,0))="P")+
 --(INDEX('TH_MLG GRADE 10'!$AX$7:$AX$49,MATCH(LEFT($A159,LEN($A159)-2),'TH_MLG GRADE 10'!$B$7:$B$49,0))="P"),
0)</f>
        <v>0</v>
      </c>
      <c r="D159" s="24" t="b">
        <f ca="1">IF(IF(_xlfn.XLOOKUP(LEFT(A159,LEN(A159)-2),'TH_MLG GRADE 10'!$B$7:$B$49,'TH_MLG GRADE 10'!$BM$7:$BM$49,"",0,1)=0,"",_xlfn.XLOOKUP(LEFT(A159,LEN(A159)-2),'TH_MLG GRADE 10'!$B$7:$B$49,'TH_MLG GRADE 10'!$BM$7:$BM$49,"",0,1))&lt;=TODAY(),TRUE,FALSE)</f>
        <v>0</v>
      </c>
      <c r="E159" s="25" t="str">
        <f t="shared" ca="1" si="6"/>
        <v/>
      </c>
      <c r="F159" s="24" t="s">
        <v>317</v>
      </c>
      <c r="G159">
        <v>2</v>
      </c>
      <c r="H159">
        <f>IFERROR(
 --(INDEX('PW_MLG GRADE 10'!$H$7:$H$31,MATCH(LEFT($A159,LEN($A159)-2),'PW_MLG GRADE 10'!$B$7:$B$31,0))="P")+
 --(INDEX('PW_MLG GRADE 10'!$N$7:$N$31,MATCH(LEFT($A159,LEN($A159)-2),'PW_MLG GRADE 10'!$B$7:$B$31,0))="P")+
 --(INDEX('PW_MLG GRADE 10'!$T$7:$T$31,MATCH(LEFT($A159,LEN($A159)-2),'PW_MLG GRADE 10'!$B$7:$B$31,0))="P")+
 --(INDEX('PW_MLG GRADE 10'!$AF$7:$AF$31,MATCH(LEFT($A159,LEN($A159)-2),'PW_MLG GRADE 10'!$B$7:$B$31,0))="P")+
 --(INDEX('PW_MLG GRADE 10'!$AL$7:$AL$31,MATCH(LEFT($A159,LEN($A159)-2),'PW_MLG GRADE 10'!$B$7:$B$31,0))="P")+
 --(INDEX('PW_MLG GRADE 10'!$AR$7:$AR$31,MATCH(LEFT($A159,LEN($A159)-2),'PW_MLG GRADE 10'!$B$7:$B$31,0))="P")+
 --(INDEX('PW_MLG GRADE 10'!$BD$7:$BD$31,MATCH(LEFT($A159,LEN($A159)-2),'PW_MLG GRADE 10'!$B$7:$B$31,0))="P")+
 --(INDEX('PW_MLG GRADE 10'!$BJ$7:$BJ$31,MATCH(LEFT($A159,LEN($A159)-2),'PW_MLG GRADE 10'!$B$7:$B$31,0))="P")+
 --(INDEX('PW_MLG GRADE 10'!$Z$7:$Z$31,MATCH(LEFT($A159,LEN($A159)-2),'PW_MLG GRADE 10'!$B$7:$B$31,0))="P")+
 --(INDEX('PW_MLG GRADE 10'!$AX$7:$AX$31,MATCH(LEFT($A159,LEN($A159)-2),'PW_MLG GRADE 10'!$B$7:$B$31,0))="P"),
0)</f>
        <v>0</v>
      </c>
      <c r="I159" s="24" t="b">
        <f ca="1">IF(IF(_xlfn.XLOOKUP(LEFT(F159,LEN(F159)-2),'PW_MLG GRADE 10'!$B$7:$B$31,'PW_MLG GRADE 10'!$BM$7:$BM$31,"",0,1)=0,"",_xlfn.XLOOKUP(LEFT(F159,LEN(F159)-2),'PW_MLG GRADE 10'!$B$7:$B$31,'PW_MLG GRADE 10'!$BM$7:$BM$31,"",0,1))&lt;=TODAY(),TRUE,FALSE)</f>
        <v>0</v>
      </c>
      <c r="J159" s="25" t="str">
        <f t="shared" ca="1" si="7"/>
        <v/>
      </c>
    </row>
    <row r="160" spans="1:10">
      <c r="A160" s="24" t="s">
        <v>365</v>
      </c>
      <c r="B160">
        <v>2</v>
      </c>
      <c r="C160">
        <f>IFERROR(
 --(INDEX('TH_MLG GRADE 10'!$H$7:$H$49,MATCH(LEFT($A160,LEN($A160)-2),'TH_MLG GRADE 10'!$B$7:$B$49,0))="P")+
 --(INDEX('TH_MLG GRADE 10'!$N$7:$N$49,MATCH(LEFT($A160,LEN($A160)-2),'TH_MLG GRADE 10'!$B$7:$B$49,0))="P")+
 --(INDEX('TH_MLG GRADE 10'!$T$7:$T$49,MATCH(LEFT($A160,LEN($A160)-2),'TH_MLG GRADE 10'!$B$7:$B$49,0))="P")+
 --(INDEX('TH_MLG GRADE 10'!$AF$7:$AF$49,MATCH(LEFT($A160,LEN($A160)-2),'TH_MLG GRADE 10'!$B$7:$B$49,0))="P")+
 --(INDEX('TH_MLG GRADE 10'!$AL$7:$AL$49,MATCH(LEFT($A160,LEN($A160)-2),'TH_MLG GRADE 10'!$B$7:$B$49,0))="P")+
 --(INDEX('TH_MLG GRADE 10'!$AR$7:$AR$49,MATCH(LEFT($A160,LEN($A160)-2),'TH_MLG GRADE 10'!$B$7:$B$49,0))="P")+
 --(INDEX('TH_MLG GRADE 10'!$BD$7:$BD$49,MATCH(LEFT($A160,LEN($A160)-2),'TH_MLG GRADE 10'!$B$7:$B$49,0))="P")+
 --(INDEX('TH_MLG GRADE 10'!$BJ$7:$BJ$49,MATCH(LEFT($A160,LEN($A160)-2),'TH_MLG GRADE 10'!$B$7:$B$49,0))="P")+
 --(INDEX('TH_MLG GRADE 10'!$Z$7:$Z$49,MATCH(LEFT($A160,LEN($A160)-2),'TH_MLG GRADE 10'!$B$7:$B$49,0))="P")+
 --(INDEX('TH_MLG GRADE 10'!$AX$7:$AX$49,MATCH(LEFT($A160,LEN($A160)-2),'TH_MLG GRADE 10'!$B$7:$B$49,0))="P"),
0)</f>
        <v>0</v>
      </c>
      <c r="D160" s="24" t="b">
        <f ca="1">IF(IF(_xlfn.XLOOKUP(LEFT(A160,LEN(A160)-2),'TH_MLG GRADE 10'!$B$7:$B$49,'TH_MLG GRADE 10'!$BM$7:$BM$49,"",0,1)=0,"",_xlfn.XLOOKUP(LEFT(A160,LEN(A160)-2),'TH_MLG GRADE 10'!$B$7:$B$49,'TH_MLG GRADE 10'!$BM$7:$BM$49,"",0,1))&lt;=TODAY(),TRUE,FALSE)</f>
        <v>0</v>
      </c>
      <c r="E160" s="25" t="str">
        <f t="shared" ca="1" si="6"/>
        <v/>
      </c>
      <c r="F160" s="24" t="s">
        <v>318</v>
      </c>
      <c r="G160">
        <v>2</v>
      </c>
      <c r="H160">
        <f>IFERROR(
 --(INDEX('PW_MLG GRADE 10'!$H$7:$H$31,MATCH(LEFT($A160,LEN($A160)-2),'PW_MLG GRADE 10'!$B$7:$B$31,0))="P")+
 --(INDEX('PW_MLG GRADE 10'!$N$7:$N$31,MATCH(LEFT($A160,LEN($A160)-2),'PW_MLG GRADE 10'!$B$7:$B$31,0))="P")+
 --(INDEX('PW_MLG GRADE 10'!$T$7:$T$31,MATCH(LEFT($A160,LEN($A160)-2),'PW_MLG GRADE 10'!$B$7:$B$31,0))="P")+
 --(INDEX('PW_MLG GRADE 10'!$AF$7:$AF$31,MATCH(LEFT($A160,LEN($A160)-2),'PW_MLG GRADE 10'!$B$7:$B$31,0))="P")+
 --(INDEX('PW_MLG GRADE 10'!$AL$7:$AL$31,MATCH(LEFT($A160,LEN($A160)-2),'PW_MLG GRADE 10'!$B$7:$B$31,0))="P")+
 --(INDEX('PW_MLG GRADE 10'!$AR$7:$AR$31,MATCH(LEFT($A160,LEN($A160)-2),'PW_MLG GRADE 10'!$B$7:$B$31,0))="P")+
 --(INDEX('PW_MLG GRADE 10'!$BD$7:$BD$31,MATCH(LEFT($A160,LEN($A160)-2),'PW_MLG GRADE 10'!$B$7:$B$31,0))="P")+
 --(INDEX('PW_MLG GRADE 10'!$BJ$7:$BJ$31,MATCH(LEFT($A160,LEN($A160)-2),'PW_MLG GRADE 10'!$B$7:$B$31,0))="P")+
 --(INDEX('PW_MLG GRADE 10'!$Z$7:$Z$31,MATCH(LEFT($A160,LEN($A160)-2),'PW_MLG GRADE 10'!$B$7:$B$31,0))="P")+
 --(INDEX('PW_MLG GRADE 10'!$AX$7:$AX$31,MATCH(LEFT($A160,LEN($A160)-2),'PW_MLG GRADE 10'!$B$7:$B$31,0))="P"),
0)</f>
        <v>0</v>
      </c>
      <c r="I160" s="24" t="b">
        <f ca="1">IF(IF(_xlfn.XLOOKUP(LEFT(F160,LEN(F160)-2),'PW_MLG GRADE 10'!$B$7:$B$31,'PW_MLG GRADE 10'!$BM$7:$BM$31,"",0,1)=0,"",_xlfn.XLOOKUP(LEFT(F160,LEN(F160)-2),'PW_MLG GRADE 10'!$B$7:$B$31,'PW_MLG GRADE 10'!$BM$7:$BM$31,"",0,1))&lt;=TODAY(),TRUE,FALSE)</f>
        <v>0</v>
      </c>
      <c r="J160" s="25" t="str">
        <f t="shared" ca="1" si="7"/>
        <v/>
      </c>
    </row>
    <row r="161" spans="1:10">
      <c r="A161" s="24" t="s">
        <v>366</v>
      </c>
      <c r="B161">
        <v>2</v>
      </c>
      <c r="C161">
        <f>IFERROR(
 --(INDEX('TH_MLG GRADE 10'!$H$7:$H$49,MATCH(LEFT($A161,LEN($A161)-2),'TH_MLG GRADE 10'!$B$7:$B$49,0))="P")+
 --(INDEX('TH_MLG GRADE 10'!$N$7:$N$49,MATCH(LEFT($A161,LEN($A161)-2),'TH_MLG GRADE 10'!$B$7:$B$49,0))="P")+
 --(INDEX('TH_MLG GRADE 10'!$T$7:$T$49,MATCH(LEFT($A161,LEN($A161)-2),'TH_MLG GRADE 10'!$B$7:$B$49,0))="P")+
 --(INDEX('TH_MLG GRADE 10'!$AF$7:$AF$49,MATCH(LEFT($A161,LEN($A161)-2),'TH_MLG GRADE 10'!$B$7:$B$49,0))="P")+
 --(INDEX('TH_MLG GRADE 10'!$AL$7:$AL$49,MATCH(LEFT($A161,LEN($A161)-2),'TH_MLG GRADE 10'!$B$7:$B$49,0))="P")+
 --(INDEX('TH_MLG GRADE 10'!$AR$7:$AR$49,MATCH(LEFT($A161,LEN($A161)-2),'TH_MLG GRADE 10'!$B$7:$B$49,0))="P")+
 --(INDEX('TH_MLG GRADE 10'!$BD$7:$BD$49,MATCH(LEFT($A161,LEN($A161)-2),'TH_MLG GRADE 10'!$B$7:$B$49,0))="P")+
 --(INDEX('TH_MLG GRADE 10'!$BJ$7:$BJ$49,MATCH(LEFT($A161,LEN($A161)-2),'TH_MLG GRADE 10'!$B$7:$B$49,0))="P")+
 --(INDEX('TH_MLG GRADE 10'!$Z$7:$Z$49,MATCH(LEFT($A161,LEN($A161)-2),'TH_MLG GRADE 10'!$B$7:$B$49,0))="P")+
 --(INDEX('TH_MLG GRADE 10'!$AX$7:$AX$49,MATCH(LEFT($A161,LEN($A161)-2),'TH_MLG GRADE 10'!$B$7:$B$49,0))="P"),
0)</f>
        <v>0</v>
      </c>
      <c r="D161" s="24" t="b">
        <f ca="1">IF(IF(_xlfn.XLOOKUP(LEFT(A161,LEN(A161)-2),'TH_MLG GRADE 10'!$B$7:$B$49,'TH_MLG GRADE 10'!$BM$7:$BM$49,"",0,1)=0,"",_xlfn.XLOOKUP(LEFT(A161,LEN(A161)-2),'TH_MLG GRADE 10'!$B$7:$B$49,'TH_MLG GRADE 10'!$BM$7:$BM$49,"",0,1))&lt;=TODAY(),TRUE,FALSE)</f>
        <v>0</v>
      </c>
      <c r="E161" s="25" t="str">
        <f t="shared" ca="1" si="6"/>
        <v/>
      </c>
      <c r="F161" s="24" t="s">
        <v>319</v>
      </c>
      <c r="G161">
        <v>2</v>
      </c>
      <c r="H161">
        <f>IFERROR(
 --(INDEX('PW_MLG GRADE 10'!$H$7:$H$31,MATCH(LEFT($A161,LEN($A161)-2),'PW_MLG GRADE 10'!$B$7:$B$31,0))="P")+
 --(INDEX('PW_MLG GRADE 10'!$N$7:$N$31,MATCH(LEFT($A161,LEN($A161)-2),'PW_MLG GRADE 10'!$B$7:$B$31,0))="P")+
 --(INDEX('PW_MLG GRADE 10'!$T$7:$T$31,MATCH(LEFT($A161,LEN($A161)-2),'PW_MLG GRADE 10'!$B$7:$B$31,0))="P")+
 --(INDEX('PW_MLG GRADE 10'!$AF$7:$AF$31,MATCH(LEFT($A161,LEN($A161)-2),'PW_MLG GRADE 10'!$B$7:$B$31,0))="P")+
 --(INDEX('PW_MLG GRADE 10'!$AL$7:$AL$31,MATCH(LEFT($A161,LEN($A161)-2),'PW_MLG GRADE 10'!$B$7:$B$31,0))="P")+
 --(INDEX('PW_MLG GRADE 10'!$AR$7:$AR$31,MATCH(LEFT($A161,LEN($A161)-2),'PW_MLG GRADE 10'!$B$7:$B$31,0))="P")+
 --(INDEX('PW_MLG GRADE 10'!$BD$7:$BD$31,MATCH(LEFT($A161,LEN($A161)-2),'PW_MLG GRADE 10'!$B$7:$B$31,0))="P")+
 --(INDEX('PW_MLG GRADE 10'!$BJ$7:$BJ$31,MATCH(LEFT($A161,LEN($A161)-2),'PW_MLG GRADE 10'!$B$7:$B$31,0))="P")+
 --(INDEX('PW_MLG GRADE 10'!$Z$7:$Z$31,MATCH(LEFT($A161,LEN($A161)-2),'PW_MLG GRADE 10'!$B$7:$B$31,0))="P")+
 --(INDEX('PW_MLG GRADE 10'!$AX$7:$AX$31,MATCH(LEFT($A161,LEN($A161)-2),'PW_MLG GRADE 10'!$B$7:$B$31,0))="P"),
0)</f>
        <v>0</v>
      </c>
      <c r="I161" s="24" t="b">
        <f ca="1">IF(IF(_xlfn.XLOOKUP(LEFT(F161,LEN(F161)-2),'PW_MLG GRADE 10'!$B$7:$B$31,'PW_MLG GRADE 10'!$BM$7:$BM$31,"",0,1)=0,"",_xlfn.XLOOKUP(LEFT(F161,LEN(F161)-2),'PW_MLG GRADE 10'!$B$7:$B$31,'PW_MLG GRADE 10'!$BM$7:$BM$31,"",0,1))&lt;=TODAY(),TRUE,FALSE)</f>
        <v>0</v>
      </c>
      <c r="J161" s="25" t="str">
        <f t="shared" ca="1" si="7"/>
        <v/>
      </c>
    </row>
    <row r="162" spans="1:10">
      <c r="A162" s="24" t="s">
        <v>367</v>
      </c>
      <c r="B162">
        <v>2</v>
      </c>
      <c r="C162">
        <f>IFERROR(
 --(INDEX('TH_MLG GRADE 10'!$H$7:$H$49,MATCH(LEFT($A162,LEN($A162)-2),'TH_MLG GRADE 10'!$B$7:$B$49,0))="P")+
 --(INDEX('TH_MLG GRADE 10'!$N$7:$N$49,MATCH(LEFT($A162,LEN($A162)-2),'TH_MLG GRADE 10'!$B$7:$B$49,0))="P")+
 --(INDEX('TH_MLG GRADE 10'!$T$7:$T$49,MATCH(LEFT($A162,LEN($A162)-2),'TH_MLG GRADE 10'!$B$7:$B$49,0))="P")+
 --(INDEX('TH_MLG GRADE 10'!$AF$7:$AF$49,MATCH(LEFT($A162,LEN($A162)-2),'TH_MLG GRADE 10'!$B$7:$B$49,0))="P")+
 --(INDEX('TH_MLG GRADE 10'!$AL$7:$AL$49,MATCH(LEFT($A162,LEN($A162)-2),'TH_MLG GRADE 10'!$B$7:$B$49,0))="P")+
 --(INDEX('TH_MLG GRADE 10'!$AR$7:$AR$49,MATCH(LEFT($A162,LEN($A162)-2),'TH_MLG GRADE 10'!$B$7:$B$49,0))="P")+
 --(INDEX('TH_MLG GRADE 10'!$BD$7:$BD$49,MATCH(LEFT($A162,LEN($A162)-2),'TH_MLG GRADE 10'!$B$7:$B$49,0))="P")+
 --(INDEX('TH_MLG GRADE 10'!$BJ$7:$BJ$49,MATCH(LEFT($A162,LEN($A162)-2),'TH_MLG GRADE 10'!$B$7:$B$49,0))="P")+
 --(INDEX('TH_MLG GRADE 10'!$Z$7:$Z$49,MATCH(LEFT($A162,LEN($A162)-2),'TH_MLG GRADE 10'!$B$7:$B$49,0))="P")+
 --(INDEX('TH_MLG GRADE 10'!$AX$7:$AX$49,MATCH(LEFT($A162,LEN($A162)-2),'TH_MLG GRADE 10'!$B$7:$B$49,0))="P"),
0)</f>
        <v>0</v>
      </c>
      <c r="D162" s="24" t="b">
        <f ca="1">IF(IF(_xlfn.XLOOKUP(LEFT(A162,LEN(A162)-2),'TH_MLG GRADE 10'!$B$7:$B$49,'TH_MLG GRADE 10'!$BM$7:$BM$49,"",0,1)=0,"",_xlfn.XLOOKUP(LEFT(A162,LEN(A162)-2),'TH_MLG GRADE 10'!$B$7:$B$49,'TH_MLG GRADE 10'!$BM$7:$BM$49,"",0,1))&lt;=TODAY(),TRUE,FALSE)</f>
        <v>0</v>
      </c>
      <c r="E162" s="25" t="str">
        <f t="shared" ca="1" si="6"/>
        <v/>
      </c>
      <c r="F162" s="24" t="s">
        <v>320</v>
      </c>
      <c r="G162">
        <v>2</v>
      </c>
      <c r="H162">
        <f>IFERROR(
 --(INDEX('PW_MLG GRADE 10'!$H$7:$H$31,MATCH(LEFT($A162,LEN($A162)-2),'PW_MLG GRADE 10'!$B$7:$B$31,0))="P")+
 --(INDEX('PW_MLG GRADE 10'!$N$7:$N$31,MATCH(LEFT($A162,LEN($A162)-2),'PW_MLG GRADE 10'!$B$7:$B$31,0))="P")+
 --(INDEX('PW_MLG GRADE 10'!$T$7:$T$31,MATCH(LEFT($A162,LEN($A162)-2),'PW_MLG GRADE 10'!$B$7:$B$31,0))="P")+
 --(INDEX('PW_MLG GRADE 10'!$AF$7:$AF$31,MATCH(LEFT($A162,LEN($A162)-2),'PW_MLG GRADE 10'!$B$7:$B$31,0))="P")+
 --(INDEX('PW_MLG GRADE 10'!$AL$7:$AL$31,MATCH(LEFT($A162,LEN($A162)-2),'PW_MLG GRADE 10'!$B$7:$B$31,0))="P")+
 --(INDEX('PW_MLG GRADE 10'!$AR$7:$AR$31,MATCH(LEFT($A162,LEN($A162)-2),'PW_MLG GRADE 10'!$B$7:$B$31,0))="P")+
 --(INDEX('PW_MLG GRADE 10'!$BD$7:$BD$31,MATCH(LEFT($A162,LEN($A162)-2),'PW_MLG GRADE 10'!$B$7:$B$31,0))="P")+
 --(INDEX('PW_MLG GRADE 10'!$BJ$7:$BJ$31,MATCH(LEFT($A162,LEN($A162)-2),'PW_MLG GRADE 10'!$B$7:$B$31,0))="P")+
 --(INDEX('PW_MLG GRADE 10'!$Z$7:$Z$31,MATCH(LEFT($A162,LEN($A162)-2),'PW_MLG GRADE 10'!$B$7:$B$31,0))="P")+
 --(INDEX('PW_MLG GRADE 10'!$AX$7:$AX$31,MATCH(LEFT($A162,LEN($A162)-2),'PW_MLG GRADE 10'!$B$7:$B$31,0))="P"),
0)</f>
        <v>0</v>
      </c>
      <c r="I162" s="24" t="b">
        <f ca="1">IF(IF(_xlfn.XLOOKUP(LEFT(F162,LEN(F162)-2),'PW_MLG GRADE 10'!$B$7:$B$31,'PW_MLG GRADE 10'!$BM$7:$BM$31,"",0,1)=0,"",_xlfn.XLOOKUP(LEFT(F162,LEN(F162)-2),'PW_MLG GRADE 10'!$B$7:$B$31,'PW_MLG GRADE 10'!$BM$7:$BM$31,"",0,1))&lt;=TODAY(),TRUE,FALSE)</f>
        <v>0</v>
      </c>
      <c r="J162" s="25" t="str">
        <f t="shared" ca="1" si="7"/>
        <v/>
      </c>
    </row>
    <row r="163" spans="1:10">
      <c r="A163" s="24" t="s">
        <v>368</v>
      </c>
      <c r="B163">
        <v>2</v>
      </c>
      <c r="C163">
        <f>IFERROR(
 --(INDEX('TH_MLG GRADE 10'!$H$7:$H$49,MATCH(LEFT($A163,LEN($A163)-2),'TH_MLG GRADE 10'!$B$7:$B$49,0))="P")+
 --(INDEX('TH_MLG GRADE 10'!$N$7:$N$49,MATCH(LEFT($A163,LEN($A163)-2),'TH_MLG GRADE 10'!$B$7:$B$49,0))="P")+
 --(INDEX('TH_MLG GRADE 10'!$T$7:$T$49,MATCH(LEFT($A163,LEN($A163)-2),'TH_MLG GRADE 10'!$B$7:$B$49,0))="P")+
 --(INDEX('TH_MLG GRADE 10'!$AF$7:$AF$49,MATCH(LEFT($A163,LEN($A163)-2),'TH_MLG GRADE 10'!$B$7:$B$49,0))="P")+
 --(INDEX('TH_MLG GRADE 10'!$AL$7:$AL$49,MATCH(LEFT($A163,LEN($A163)-2),'TH_MLG GRADE 10'!$B$7:$B$49,0))="P")+
 --(INDEX('TH_MLG GRADE 10'!$AR$7:$AR$49,MATCH(LEFT($A163,LEN($A163)-2),'TH_MLG GRADE 10'!$B$7:$B$49,0))="P")+
 --(INDEX('TH_MLG GRADE 10'!$BD$7:$BD$49,MATCH(LEFT($A163,LEN($A163)-2),'TH_MLG GRADE 10'!$B$7:$B$49,0))="P")+
 --(INDEX('TH_MLG GRADE 10'!$BJ$7:$BJ$49,MATCH(LEFT($A163,LEN($A163)-2),'TH_MLG GRADE 10'!$B$7:$B$49,0))="P")+
 --(INDEX('TH_MLG GRADE 10'!$Z$7:$Z$49,MATCH(LEFT($A163,LEN($A163)-2),'TH_MLG GRADE 10'!$B$7:$B$49,0))="P")+
 --(INDEX('TH_MLG GRADE 10'!$AX$7:$AX$49,MATCH(LEFT($A163,LEN($A163)-2),'TH_MLG GRADE 10'!$B$7:$B$49,0))="P"),
0)</f>
        <v>0</v>
      </c>
      <c r="D163" s="24" t="b">
        <f ca="1">IF(IF(_xlfn.XLOOKUP(LEFT(A163,LEN(A163)-2),'TH_MLG GRADE 10'!$B$7:$B$49,'TH_MLG GRADE 10'!$BM$7:$BM$49,"",0,1)=0,"",_xlfn.XLOOKUP(LEFT(A163,LEN(A163)-2),'TH_MLG GRADE 10'!$B$7:$B$49,'TH_MLG GRADE 10'!$BM$7:$BM$49,"",0,1))&lt;=TODAY(),TRUE,FALSE)</f>
        <v>0</v>
      </c>
      <c r="E163" s="25" t="str">
        <f t="shared" ca="1" si="6"/>
        <v/>
      </c>
      <c r="F163" s="24" t="s">
        <v>321</v>
      </c>
      <c r="G163">
        <v>2</v>
      </c>
      <c r="H163">
        <f>IFERROR(
 --(INDEX('PW_MLG GRADE 10'!$H$7:$H$31,MATCH(LEFT($A163,LEN($A163)-2),'PW_MLG GRADE 10'!$B$7:$B$31,0))="P")+
 --(INDEX('PW_MLG GRADE 10'!$N$7:$N$31,MATCH(LEFT($A163,LEN($A163)-2),'PW_MLG GRADE 10'!$B$7:$B$31,0))="P")+
 --(INDEX('PW_MLG GRADE 10'!$T$7:$T$31,MATCH(LEFT($A163,LEN($A163)-2),'PW_MLG GRADE 10'!$B$7:$B$31,0))="P")+
 --(INDEX('PW_MLG GRADE 10'!$AF$7:$AF$31,MATCH(LEFT($A163,LEN($A163)-2),'PW_MLG GRADE 10'!$B$7:$B$31,0))="P")+
 --(INDEX('PW_MLG GRADE 10'!$AL$7:$AL$31,MATCH(LEFT($A163,LEN($A163)-2),'PW_MLG GRADE 10'!$B$7:$B$31,0))="P")+
 --(INDEX('PW_MLG GRADE 10'!$AR$7:$AR$31,MATCH(LEFT($A163,LEN($A163)-2),'PW_MLG GRADE 10'!$B$7:$B$31,0))="P")+
 --(INDEX('PW_MLG GRADE 10'!$BD$7:$BD$31,MATCH(LEFT($A163,LEN($A163)-2),'PW_MLG GRADE 10'!$B$7:$B$31,0))="P")+
 --(INDEX('PW_MLG GRADE 10'!$BJ$7:$BJ$31,MATCH(LEFT($A163,LEN($A163)-2),'PW_MLG GRADE 10'!$B$7:$B$31,0))="P")+
 --(INDEX('PW_MLG GRADE 10'!$Z$7:$Z$31,MATCH(LEFT($A163,LEN($A163)-2),'PW_MLG GRADE 10'!$B$7:$B$31,0))="P")+
 --(INDEX('PW_MLG GRADE 10'!$AX$7:$AX$31,MATCH(LEFT($A163,LEN($A163)-2),'PW_MLG GRADE 10'!$B$7:$B$31,0))="P"),
0)</f>
        <v>0</v>
      </c>
      <c r="I163" s="24" t="b">
        <f ca="1">IF(IF(_xlfn.XLOOKUP(LEFT(F163,LEN(F163)-2),'PW_MLG GRADE 10'!$B$7:$B$31,'PW_MLG GRADE 10'!$BM$7:$BM$31,"",0,1)=0,"",_xlfn.XLOOKUP(LEFT(F163,LEN(F163)-2),'PW_MLG GRADE 10'!$B$7:$B$31,'PW_MLG GRADE 10'!$BM$7:$BM$31,"",0,1))&lt;=TODAY(),TRUE,FALSE)</f>
        <v>0</v>
      </c>
      <c r="J163" s="25" t="str">
        <f t="shared" ca="1" si="7"/>
        <v/>
      </c>
    </row>
    <row r="164" spans="1:10">
      <c r="A164" s="24" t="s">
        <v>369</v>
      </c>
      <c r="B164">
        <v>2</v>
      </c>
      <c r="C164">
        <f>IFERROR(
 --(INDEX('TH_MLG GRADE 10'!$H$7:$H$49,MATCH(LEFT($A164,LEN($A164)-2),'TH_MLG GRADE 10'!$B$7:$B$49,0))="P")+
 --(INDEX('TH_MLG GRADE 10'!$N$7:$N$49,MATCH(LEFT($A164,LEN($A164)-2),'TH_MLG GRADE 10'!$B$7:$B$49,0))="P")+
 --(INDEX('TH_MLG GRADE 10'!$T$7:$T$49,MATCH(LEFT($A164,LEN($A164)-2),'TH_MLG GRADE 10'!$B$7:$B$49,0))="P")+
 --(INDEX('TH_MLG GRADE 10'!$AF$7:$AF$49,MATCH(LEFT($A164,LEN($A164)-2),'TH_MLG GRADE 10'!$B$7:$B$49,0))="P")+
 --(INDEX('TH_MLG GRADE 10'!$AL$7:$AL$49,MATCH(LEFT($A164,LEN($A164)-2),'TH_MLG GRADE 10'!$B$7:$B$49,0))="P")+
 --(INDEX('TH_MLG GRADE 10'!$AR$7:$AR$49,MATCH(LEFT($A164,LEN($A164)-2),'TH_MLG GRADE 10'!$B$7:$B$49,0))="P")+
 --(INDEX('TH_MLG GRADE 10'!$BD$7:$BD$49,MATCH(LEFT($A164,LEN($A164)-2),'TH_MLG GRADE 10'!$B$7:$B$49,0))="P")+
 --(INDEX('TH_MLG GRADE 10'!$BJ$7:$BJ$49,MATCH(LEFT($A164,LEN($A164)-2),'TH_MLG GRADE 10'!$B$7:$B$49,0))="P")+
 --(INDEX('TH_MLG GRADE 10'!$Z$7:$Z$49,MATCH(LEFT($A164,LEN($A164)-2),'TH_MLG GRADE 10'!$B$7:$B$49,0))="P")+
 --(INDEX('TH_MLG GRADE 10'!$AX$7:$AX$49,MATCH(LEFT($A164,LEN($A164)-2),'TH_MLG GRADE 10'!$B$7:$B$49,0))="P"),
0)</f>
        <v>0</v>
      </c>
      <c r="D164" s="24" t="b">
        <f ca="1">IF(IF(_xlfn.XLOOKUP(LEFT(A164,LEN(A164)-2),'TH_MLG GRADE 10'!$B$7:$B$49,'TH_MLG GRADE 10'!$BM$7:$BM$49,"",0,1)=0,"",_xlfn.XLOOKUP(LEFT(A164,LEN(A164)-2),'TH_MLG GRADE 10'!$B$7:$B$49,'TH_MLG GRADE 10'!$BM$7:$BM$49,"",0,1))&lt;=TODAY(),TRUE,FALSE)</f>
        <v>0</v>
      </c>
      <c r="E164" s="25" t="str">
        <f t="shared" ca="1" si="6"/>
        <v/>
      </c>
      <c r="F164" s="24" t="s">
        <v>322</v>
      </c>
      <c r="G164">
        <v>2</v>
      </c>
      <c r="H164">
        <f>IFERROR(
 --(INDEX('PW_MLG GRADE 10'!$H$7:$H$31,MATCH(LEFT($A164,LEN($A164)-2),'PW_MLG GRADE 10'!$B$7:$B$31,0))="P")+
 --(INDEX('PW_MLG GRADE 10'!$N$7:$N$31,MATCH(LEFT($A164,LEN($A164)-2),'PW_MLG GRADE 10'!$B$7:$B$31,0))="P")+
 --(INDEX('PW_MLG GRADE 10'!$T$7:$T$31,MATCH(LEFT($A164,LEN($A164)-2),'PW_MLG GRADE 10'!$B$7:$B$31,0))="P")+
 --(INDEX('PW_MLG GRADE 10'!$AF$7:$AF$31,MATCH(LEFT($A164,LEN($A164)-2),'PW_MLG GRADE 10'!$B$7:$B$31,0))="P")+
 --(INDEX('PW_MLG GRADE 10'!$AL$7:$AL$31,MATCH(LEFT($A164,LEN($A164)-2),'PW_MLG GRADE 10'!$B$7:$B$31,0))="P")+
 --(INDEX('PW_MLG GRADE 10'!$AR$7:$AR$31,MATCH(LEFT($A164,LEN($A164)-2),'PW_MLG GRADE 10'!$B$7:$B$31,0))="P")+
 --(INDEX('PW_MLG GRADE 10'!$BD$7:$BD$31,MATCH(LEFT($A164,LEN($A164)-2),'PW_MLG GRADE 10'!$B$7:$B$31,0))="P")+
 --(INDEX('PW_MLG GRADE 10'!$BJ$7:$BJ$31,MATCH(LEFT($A164,LEN($A164)-2),'PW_MLG GRADE 10'!$B$7:$B$31,0))="P")+
 --(INDEX('PW_MLG GRADE 10'!$Z$7:$Z$31,MATCH(LEFT($A164,LEN($A164)-2),'PW_MLG GRADE 10'!$B$7:$B$31,0))="P")+
 --(INDEX('PW_MLG GRADE 10'!$AX$7:$AX$31,MATCH(LEFT($A164,LEN($A164)-2),'PW_MLG GRADE 10'!$B$7:$B$31,0))="P"),
0)</f>
        <v>0</v>
      </c>
      <c r="I164" s="24" t="b">
        <f ca="1">IF(IF(_xlfn.XLOOKUP(LEFT(F164,LEN(F164)-2),'PW_MLG GRADE 10'!$B$7:$B$31,'PW_MLG GRADE 10'!$BM$7:$BM$31,"",0,1)=0,"",_xlfn.XLOOKUP(LEFT(F164,LEN(F164)-2),'PW_MLG GRADE 10'!$B$7:$B$31,'PW_MLG GRADE 10'!$BM$7:$BM$31,"",0,1))&lt;=TODAY(),TRUE,FALSE)</f>
        <v>0</v>
      </c>
      <c r="J164" s="25" t="str">
        <f t="shared" ca="1" si="7"/>
        <v/>
      </c>
    </row>
    <row r="165" spans="1:10">
      <c r="A165" s="24" t="s">
        <v>370</v>
      </c>
      <c r="B165">
        <v>2</v>
      </c>
      <c r="C165">
        <f>IFERROR(
 --(INDEX('TH_MLG GRADE 10'!$H$7:$H$49,MATCH(LEFT($A165,LEN($A165)-2),'TH_MLG GRADE 10'!$B$7:$B$49,0))="P")+
 --(INDEX('TH_MLG GRADE 10'!$N$7:$N$49,MATCH(LEFT($A165,LEN($A165)-2),'TH_MLG GRADE 10'!$B$7:$B$49,0))="P")+
 --(INDEX('TH_MLG GRADE 10'!$T$7:$T$49,MATCH(LEFT($A165,LEN($A165)-2),'TH_MLG GRADE 10'!$B$7:$B$49,0))="P")+
 --(INDEX('TH_MLG GRADE 10'!$AF$7:$AF$49,MATCH(LEFT($A165,LEN($A165)-2),'TH_MLG GRADE 10'!$B$7:$B$49,0))="P")+
 --(INDEX('TH_MLG GRADE 10'!$AL$7:$AL$49,MATCH(LEFT($A165,LEN($A165)-2),'TH_MLG GRADE 10'!$B$7:$B$49,0))="P")+
 --(INDEX('TH_MLG GRADE 10'!$AR$7:$AR$49,MATCH(LEFT($A165,LEN($A165)-2),'TH_MLG GRADE 10'!$B$7:$B$49,0))="P")+
 --(INDEX('TH_MLG GRADE 10'!$BD$7:$BD$49,MATCH(LEFT($A165,LEN($A165)-2),'TH_MLG GRADE 10'!$B$7:$B$49,0))="P")+
 --(INDEX('TH_MLG GRADE 10'!$BJ$7:$BJ$49,MATCH(LEFT($A165,LEN($A165)-2),'TH_MLG GRADE 10'!$B$7:$B$49,0))="P")+
 --(INDEX('TH_MLG GRADE 10'!$Z$7:$Z$49,MATCH(LEFT($A165,LEN($A165)-2),'TH_MLG GRADE 10'!$B$7:$B$49,0))="P")+
 --(INDEX('TH_MLG GRADE 10'!$AX$7:$AX$49,MATCH(LEFT($A165,LEN($A165)-2),'TH_MLG GRADE 10'!$B$7:$B$49,0))="P"),
0)</f>
        <v>0</v>
      </c>
      <c r="D165" s="24" t="b">
        <f ca="1">IF(IF(_xlfn.XLOOKUP(LEFT(A165,LEN(A165)-2),'TH_MLG GRADE 10'!$B$7:$B$49,'TH_MLG GRADE 10'!$BM$7:$BM$49,"",0,1)=0,"",_xlfn.XLOOKUP(LEFT(A165,LEN(A165)-2),'TH_MLG GRADE 10'!$B$7:$B$49,'TH_MLG GRADE 10'!$BM$7:$BM$49,"",0,1))&lt;=TODAY(),TRUE,FALSE)</f>
        <v>0</v>
      </c>
      <c r="E165" s="25" t="str">
        <f t="shared" ca="1" si="6"/>
        <v/>
      </c>
      <c r="F165" s="24" t="s">
        <v>323</v>
      </c>
      <c r="G165">
        <v>2</v>
      </c>
      <c r="H165">
        <f>IFERROR(
 --(INDEX('PW_MLG GRADE 10'!$H$7:$H$31,MATCH(LEFT($A165,LEN($A165)-2),'PW_MLG GRADE 10'!$B$7:$B$31,0))="P")+
 --(INDEX('PW_MLG GRADE 10'!$N$7:$N$31,MATCH(LEFT($A165,LEN($A165)-2),'PW_MLG GRADE 10'!$B$7:$B$31,0))="P")+
 --(INDEX('PW_MLG GRADE 10'!$T$7:$T$31,MATCH(LEFT($A165,LEN($A165)-2),'PW_MLG GRADE 10'!$B$7:$B$31,0))="P")+
 --(INDEX('PW_MLG GRADE 10'!$AF$7:$AF$31,MATCH(LEFT($A165,LEN($A165)-2),'PW_MLG GRADE 10'!$B$7:$B$31,0))="P")+
 --(INDEX('PW_MLG GRADE 10'!$AL$7:$AL$31,MATCH(LEFT($A165,LEN($A165)-2),'PW_MLG GRADE 10'!$B$7:$B$31,0))="P")+
 --(INDEX('PW_MLG GRADE 10'!$AR$7:$AR$31,MATCH(LEFT($A165,LEN($A165)-2),'PW_MLG GRADE 10'!$B$7:$B$31,0))="P")+
 --(INDEX('PW_MLG GRADE 10'!$BD$7:$BD$31,MATCH(LEFT($A165,LEN($A165)-2),'PW_MLG GRADE 10'!$B$7:$B$31,0))="P")+
 --(INDEX('PW_MLG GRADE 10'!$BJ$7:$BJ$31,MATCH(LEFT($A165,LEN($A165)-2),'PW_MLG GRADE 10'!$B$7:$B$31,0))="P")+
 --(INDEX('PW_MLG GRADE 10'!$Z$7:$Z$31,MATCH(LEFT($A165,LEN($A165)-2),'PW_MLG GRADE 10'!$B$7:$B$31,0))="P")+
 --(INDEX('PW_MLG GRADE 10'!$AX$7:$AX$31,MATCH(LEFT($A165,LEN($A165)-2),'PW_MLG GRADE 10'!$B$7:$B$31,0))="P"),
0)</f>
        <v>0</v>
      </c>
      <c r="I165" s="24" t="b">
        <f ca="1">IF(IF(_xlfn.XLOOKUP(LEFT(F165,LEN(F165)-2),'PW_MLG GRADE 10'!$B$7:$B$31,'PW_MLG GRADE 10'!$BM$7:$BM$31,"",0,1)=0,"",_xlfn.XLOOKUP(LEFT(F165,LEN(F165)-2),'PW_MLG GRADE 10'!$B$7:$B$31,'PW_MLG GRADE 10'!$BM$7:$BM$31,"",0,1))&lt;=TODAY(),TRUE,FALSE)</f>
        <v>0</v>
      </c>
      <c r="J165" s="25" t="str">
        <f t="shared" ca="1" si="7"/>
        <v/>
      </c>
    </row>
    <row r="166" spans="1:10">
      <c r="A166" s="24" t="s">
        <v>371</v>
      </c>
      <c r="B166">
        <v>2</v>
      </c>
      <c r="C166">
        <f>IFERROR(
 --(INDEX('TH_MLG GRADE 10'!$H$7:$H$49,MATCH(LEFT($A166,LEN($A166)-2),'TH_MLG GRADE 10'!$B$7:$B$49,0))="P")+
 --(INDEX('TH_MLG GRADE 10'!$N$7:$N$49,MATCH(LEFT($A166,LEN($A166)-2),'TH_MLG GRADE 10'!$B$7:$B$49,0))="P")+
 --(INDEX('TH_MLG GRADE 10'!$T$7:$T$49,MATCH(LEFT($A166,LEN($A166)-2),'TH_MLG GRADE 10'!$B$7:$B$49,0))="P")+
 --(INDEX('TH_MLG GRADE 10'!$AF$7:$AF$49,MATCH(LEFT($A166,LEN($A166)-2),'TH_MLG GRADE 10'!$B$7:$B$49,0))="P")+
 --(INDEX('TH_MLG GRADE 10'!$AL$7:$AL$49,MATCH(LEFT($A166,LEN($A166)-2),'TH_MLG GRADE 10'!$B$7:$B$49,0))="P")+
 --(INDEX('TH_MLG GRADE 10'!$AR$7:$AR$49,MATCH(LEFT($A166,LEN($A166)-2),'TH_MLG GRADE 10'!$B$7:$B$49,0))="P")+
 --(INDEX('TH_MLG GRADE 10'!$BD$7:$BD$49,MATCH(LEFT($A166,LEN($A166)-2),'TH_MLG GRADE 10'!$B$7:$B$49,0))="P")+
 --(INDEX('TH_MLG GRADE 10'!$BJ$7:$BJ$49,MATCH(LEFT($A166,LEN($A166)-2),'TH_MLG GRADE 10'!$B$7:$B$49,0))="P")+
 --(INDEX('TH_MLG GRADE 10'!$Z$7:$Z$49,MATCH(LEFT($A166,LEN($A166)-2),'TH_MLG GRADE 10'!$B$7:$B$49,0))="P")+
 --(INDEX('TH_MLG GRADE 10'!$AX$7:$AX$49,MATCH(LEFT($A166,LEN($A166)-2),'TH_MLG GRADE 10'!$B$7:$B$49,0))="P"),
0)</f>
        <v>0</v>
      </c>
      <c r="D166" s="24" t="b">
        <f ca="1">IF(IF(_xlfn.XLOOKUP(LEFT(A166,LEN(A166)-2),'TH_MLG GRADE 10'!$B$7:$B$49,'TH_MLG GRADE 10'!$BM$7:$BM$49,"",0,1)=0,"",_xlfn.XLOOKUP(LEFT(A166,LEN(A166)-2),'TH_MLG GRADE 10'!$B$7:$B$49,'TH_MLG GRADE 10'!$BM$7:$BM$49,"",0,1))&lt;=TODAY(),TRUE,FALSE)</f>
        <v>0</v>
      </c>
      <c r="E166" s="25" t="str">
        <f t="shared" ca="1" si="6"/>
        <v/>
      </c>
      <c r="F166" s="24" t="s">
        <v>324</v>
      </c>
      <c r="G166">
        <v>2</v>
      </c>
      <c r="H166">
        <f>IFERROR(
 --(INDEX('PW_MLG GRADE 10'!$H$7:$H$31,MATCH(LEFT($A166,LEN($A166)-2),'PW_MLG GRADE 10'!$B$7:$B$31,0))="P")+
 --(INDEX('PW_MLG GRADE 10'!$N$7:$N$31,MATCH(LEFT($A166,LEN($A166)-2),'PW_MLG GRADE 10'!$B$7:$B$31,0))="P")+
 --(INDEX('PW_MLG GRADE 10'!$T$7:$T$31,MATCH(LEFT($A166,LEN($A166)-2),'PW_MLG GRADE 10'!$B$7:$B$31,0))="P")+
 --(INDEX('PW_MLG GRADE 10'!$AF$7:$AF$31,MATCH(LEFT($A166,LEN($A166)-2),'PW_MLG GRADE 10'!$B$7:$B$31,0))="P")+
 --(INDEX('PW_MLG GRADE 10'!$AL$7:$AL$31,MATCH(LEFT($A166,LEN($A166)-2),'PW_MLG GRADE 10'!$B$7:$B$31,0))="P")+
 --(INDEX('PW_MLG GRADE 10'!$AR$7:$AR$31,MATCH(LEFT($A166,LEN($A166)-2),'PW_MLG GRADE 10'!$B$7:$B$31,0))="P")+
 --(INDEX('PW_MLG GRADE 10'!$BD$7:$BD$31,MATCH(LEFT($A166,LEN($A166)-2),'PW_MLG GRADE 10'!$B$7:$B$31,0))="P")+
 --(INDEX('PW_MLG GRADE 10'!$BJ$7:$BJ$31,MATCH(LEFT($A166,LEN($A166)-2),'PW_MLG GRADE 10'!$B$7:$B$31,0))="P")+
 --(INDEX('PW_MLG GRADE 10'!$Z$7:$Z$31,MATCH(LEFT($A166,LEN($A166)-2),'PW_MLG GRADE 10'!$B$7:$B$31,0))="P")+
 --(INDEX('PW_MLG GRADE 10'!$AX$7:$AX$31,MATCH(LEFT($A166,LEN($A166)-2),'PW_MLG GRADE 10'!$B$7:$B$31,0))="P"),
0)</f>
        <v>0</v>
      </c>
      <c r="I166" s="24" t="b">
        <f ca="1">IF(IF(_xlfn.XLOOKUP(LEFT(F166,LEN(F166)-2),'PW_MLG GRADE 10'!$B$7:$B$31,'PW_MLG GRADE 10'!$BM$7:$BM$31,"",0,1)=0,"",_xlfn.XLOOKUP(LEFT(F166,LEN(F166)-2),'PW_MLG GRADE 10'!$B$7:$B$31,'PW_MLG GRADE 10'!$BM$7:$BM$31,"",0,1))&lt;=TODAY(),TRUE,FALSE)</f>
        <v>0</v>
      </c>
      <c r="J166" s="25" t="str">
        <f t="shared" ca="1" si="7"/>
        <v/>
      </c>
    </row>
    <row r="167" spans="1:10">
      <c r="A167" s="24" t="s">
        <v>372</v>
      </c>
      <c r="B167">
        <v>2</v>
      </c>
      <c r="C167">
        <f>IFERROR(
 --(INDEX('TH_MLG GRADE 10'!$H$7:$H$49,MATCH(LEFT($A167,LEN($A167)-2),'TH_MLG GRADE 10'!$B$7:$B$49,0))="P")+
 --(INDEX('TH_MLG GRADE 10'!$N$7:$N$49,MATCH(LEFT($A167,LEN($A167)-2),'TH_MLG GRADE 10'!$B$7:$B$49,0))="P")+
 --(INDEX('TH_MLG GRADE 10'!$T$7:$T$49,MATCH(LEFT($A167,LEN($A167)-2),'TH_MLG GRADE 10'!$B$7:$B$49,0))="P")+
 --(INDEX('TH_MLG GRADE 10'!$AF$7:$AF$49,MATCH(LEFT($A167,LEN($A167)-2),'TH_MLG GRADE 10'!$B$7:$B$49,0))="P")+
 --(INDEX('TH_MLG GRADE 10'!$AL$7:$AL$49,MATCH(LEFT($A167,LEN($A167)-2),'TH_MLG GRADE 10'!$B$7:$B$49,0))="P")+
 --(INDEX('TH_MLG GRADE 10'!$AR$7:$AR$49,MATCH(LEFT($A167,LEN($A167)-2),'TH_MLG GRADE 10'!$B$7:$B$49,0))="P")+
 --(INDEX('TH_MLG GRADE 10'!$BD$7:$BD$49,MATCH(LEFT($A167,LEN($A167)-2),'TH_MLG GRADE 10'!$B$7:$B$49,0))="P")+
 --(INDEX('TH_MLG GRADE 10'!$BJ$7:$BJ$49,MATCH(LEFT($A167,LEN($A167)-2),'TH_MLG GRADE 10'!$B$7:$B$49,0))="P")+
 --(INDEX('TH_MLG GRADE 10'!$Z$7:$Z$49,MATCH(LEFT($A167,LEN($A167)-2),'TH_MLG GRADE 10'!$B$7:$B$49,0))="P")+
 --(INDEX('TH_MLG GRADE 10'!$AX$7:$AX$49,MATCH(LEFT($A167,LEN($A167)-2),'TH_MLG GRADE 10'!$B$7:$B$49,0))="P"),
0)</f>
        <v>0</v>
      </c>
      <c r="D167" s="24" t="b">
        <f ca="1">IF(IF(_xlfn.XLOOKUP(LEFT(A167,LEN(A167)-2),'TH_MLG GRADE 10'!$B$7:$B$49,'TH_MLG GRADE 10'!$BM$7:$BM$49,"",0,1)=0,"",_xlfn.XLOOKUP(LEFT(A167,LEN(A167)-2),'TH_MLG GRADE 10'!$B$7:$B$49,'TH_MLG GRADE 10'!$BM$7:$BM$49,"",0,1))&lt;=TODAY(),TRUE,FALSE)</f>
        <v>0</v>
      </c>
      <c r="E167" s="25" t="str">
        <f t="shared" ca="1" si="6"/>
        <v/>
      </c>
      <c r="F167" s="24" t="s">
        <v>325</v>
      </c>
      <c r="G167">
        <v>2</v>
      </c>
      <c r="H167">
        <f>IFERROR(
 --(INDEX('PW_MLG GRADE 10'!$H$7:$H$31,MATCH(LEFT($A167,LEN($A167)-2),'PW_MLG GRADE 10'!$B$7:$B$31,0))="P")+
 --(INDEX('PW_MLG GRADE 10'!$N$7:$N$31,MATCH(LEFT($A167,LEN($A167)-2),'PW_MLG GRADE 10'!$B$7:$B$31,0))="P")+
 --(INDEX('PW_MLG GRADE 10'!$T$7:$T$31,MATCH(LEFT($A167,LEN($A167)-2),'PW_MLG GRADE 10'!$B$7:$B$31,0))="P")+
 --(INDEX('PW_MLG GRADE 10'!$AF$7:$AF$31,MATCH(LEFT($A167,LEN($A167)-2),'PW_MLG GRADE 10'!$B$7:$B$31,0))="P")+
 --(INDEX('PW_MLG GRADE 10'!$AL$7:$AL$31,MATCH(LEFT($A167,LEN($A167)-2),'PW_MLG GRADE 10'!$B$7:$B$31,0))="P")+
 --(INDEX('PW_MLG GRADE 10'!$AR$7:$AR$31,MATCH(LEFT($A167,LEN($A167)-2),'PW_MLG GRADE 10'!$B$7:$B$31,0))="P")+
 --(INDEX('PW_MLG GRADE 10'!$BD$7:$BD$31,MATCH(LEFT($A167,LEN($A167)-2),'PW_MLG GRADE 10'!$B$7:$B$31,0))="P")+
 --(INDEX('PW_MLG GRADE 10'!$BJ$7:$BJ$31,MATCH(LEFT($A167,LEN($A167)-2),'PW_MLG GRADE 10'!$B$7:$B$31,0))="P")+
 --(INDEX('PW_MLG GRADE 10'!$Z$7:$Z$31,MATCH(LEFT($A167,LEN($A167)-2),'PW_MLG GRADE 10'!$B$7:$B$31,0))="P")+
 --(INDEX('PW_MLG GRADE 10'!$AX$7:$AX$31,MATCH(LEFT($A167,LEN($A167)-2),'PW_MLG GRADE 10'!$B$7:$B$31,0))="P"),
0)</f>
        <v>0</v>
      </c>
      <c r="I167" s="24" t="b">
        <f ca="1">IF(IF(_xlfn.XLOOKUP(LEFT(F167,LEN(F167)-2),'PW_MLG GRADE 10'!$B$7:$B$31,'PW_MLG GRADE 10'!$BM$7:$BM$31,"",0,1)=0,"",_xlfn.XLOOKUP(LEFT(F167,LEN(F167)-2),'PW_MLG GRADE 10'!$B$7:$B$31,'PW_MLG GRADE 10'!$BM$7:$BM$31,"",0,1))&lt;=TODAY(),TRUE,FALSE)</f>
        <v>0</v>
      </c>
      <c r="J167" s="25" t="str">
        <f t="shared" ca="1" si="7"/>
        <v/>
      </c>
    </row>
    <row r="168" spans="1:10">
      <c r="A168" s="24" t="s">
        <v>373</v>
      </c>
      <c r="B168">
        <v>2</v>
      </c>
      <c r="C168">
        <f>IFERROR(
 --(INDEX('TH_MLG GRADE 10'!$H$7:$H$49,MATCH(LEFT($A168,LEN($A168)-2),'TH_MLG GRADE 10'!$B$7:$B$49,0))="P")+
 --(INDEX('TH_MLG GRADE 10'!$N$7:$N$49,MATCH(LEFT($A168,LEN($A168)-2),'TH_MLG GRADE 10'!$B$7:$B$49,0))="P")+
 --(INDEX('TH_MLG GRADE 10'!$T$7:$T$49,MATCH(LEFT($A168,LEN($A168)-2),'TH_MLG GRADE 10'!$B$7:$B$49,0))="P")+
 --(INDEX('TH_MLG GRADE 10'!$AF$7:$AF$49,MATCH(LEFT($A168,LEN($A168)-2),'TH_MLG GRADE 10'!$B$7:$B$49,0))="P")+
 --(INDEX('TH_MLG GRADE 10'!$AL$7:$AL$49,MATCH(LEFT($A168,LEN($A168)-2),'TH_MLG GRADE 10'!$B$7:$B$49,0))="P")+
 --(INDEX('TH_MLG GRADE 10'!$AR$7:$AR$49,MATCH(LEFT($A168,LEN($A168)-2),'TH_MLG GRADE 10'!$B$7:$B$49,0))="P")+
 --(INDEX('TH_MLG GRADE 10'!$BD$7:$BD$49,MATCH(LEFT($A168,LEN($A168)-2),'TH_MLG GRADE 10'!$B$7:$B$49,0))="P")+
 --(INDEX('TH_MLG GRADE 10'!$BJ$7:$BJ$49,MATCH(LEFT($A168,LEN($A168)-2),'TH_MLG GRADE 10'!$B$7:$B$49,0))="P")+
 --(INDEX('TH_MLG GRADE 10'!$Z$7:$Z$49,MATCH(LEFT($A168,LEN($A168)-2),'TH_MLG GRADE 10'!$B$7:$B$49,0))="P")+
 --(INDEX('TH_MLG GRADE 10'!$AX$7:$AX$49,MATCH(LEFT($A168,LEN($A168)-2),'TH_MLG GRADE 10'!$B$7:$B$49,0))="P"),
0)</f>
        <v>0</v>
      </c>
      <c r="D168" s="24" t="b">
        <f ca="1">IF(IF(_xlfn.XLOOKUP(LEFT(A168,LEN(A168)-2),'TH_MLG GRADE 10'!$B$7:$B$49,'TH_MLG GRADE 10'!$BM$7:$BM$49,"",0,1)=0,"",_xlfn.XLOOKUP(LEFT(A168,LEN(A168)-2),'TH_MLG GRADE 10'!$B$7:$B$49,'TH_MLG GRADE 10'!$BM$7:$BM$49,"",0,1))&lt;=TODAY(),TRUE,FALSE)</f>
        <v>0</v>
      </c>
      <c r="E168" s="25" t="str">
        <f t="shared" ca="1" si="6"/>
        <v/>
      </c>
      <c r="F168" s="24" t="s">
        <v>326</v>
      </c>
      <c r="G168">
        <v>2</v>
      </c>
      <c r="H168">
        <f>IFERROR(
 --(INDEX('PW_MLG GRADE 10'!$H$7:$H$31,MATCH(LEFT($A168,LEN($A168)-2),'PW_MLG GRADE 10'!$B$7:$B$31,0))="P")+
 --(INDEX('PW_MLG GRADE 10'!$N$7:$N$31,MATCH(LEFT($A168,LEN($A168)-2),'PW_MLG GRADE 10'!$B$7:$B$31,0))="P")+
 --(INDEX('PW_MLG GRADE 10'!$T$7:$T$31,MATCH(LEFT($A168,LEN($A168)-2),'PW_MLG GRADE 10'!$B$7:$B$31,0))="P")+
 --(INDEX('PW_MLG GRADE 10'!$AF$7:$AF$31,MATCH(LEFT($A168,LEN($A168)-2),'PW_MLG GRADE 10'!$B$7:$B$31,0))="P")+
 --(INDEX('PW_MLG GRADE 10'!$AL$7:$AL$31,MATCH(LEFT($A168,LEN($A168)-2),'PW_MLG GRADE 10'!$B$7:$B$31,0))="P")+
 --(INDEX('PW_MLG GRADE 10'!$AR$7:$AR$31,MATCH(LEFT($A168,LEN($A168)-2),'PW_MLG GRADE 10'!$B$7:$B$31,0))="P")+
 --(INDEX('PW_MLG GRADE 10'!$BD$7:$BD$31,MATCH(LEFT($A168,LEN($A168)-2),'PW_MLG GRADE 10'!$B$7:$B$31,0))="P")+
 --(INDEX('PW_MLG GRADE 10'!$BJ$7:$BJ$31,MATCH(LEFT($A168,LEN($A168)-2),'PW_MLG GRADE 10'!$B$7:$B$31,0))="P")+
 --(INDEX('PW_MLG GRADE 10'!$Z$7:$Z$31,MATCH(LEFT($A168,LEN($A168)-2),'PW_MLG GRADE 10'!$B$7:$B$31,0))="P")+
 --(INDEX('PW_MLG GRADE 10'!$AX$7:$AX$31,MATCH(LEFT($A168,LEN($A168)-2),'PW_MLG GRADE 10'!$B$7:$B$31,0))="P"),
0)</f>
        <v>0</v>
      </c>
      <c r="I168" s="24" t="b">
        <f ca="1">IF(IF(_xlfn.XLOOKUP(LEFT(F168,LEN(F168)-2),'PW_MLG GRADE 10'!$B$7:$B$31,'PW_MLG GRADE 10'!$BM$7:$BM$31,"",0,1)=0,"",_xlfn.XLOOKUP(LEFT(F168,LEN(F168)-2),'PW_MLG GRADE 10'!$B$7:$B$31,'PW_MLG GRADE 10'!$BM$7:$BM$31,"",0,1))&lt;=TODAY(),TRUE,FALSE)</f>
        <v>0</v>
      </c>
      <c r="J168" s="25" t="str">
        <f t="shared" ca="1" si="7"/>
        <v/>
      </c>
    </row>
    <row r="169" spans="1:10">
      <c r="A169" s="24" t="s">
        <v>374</v>
      </c>
      <c r="B169">
        <v>2</v>
      </c>
      <c r="C169">
        <f>IFERROR(
 --(INDEX('TH_MLG GRADE 10'!$H$7:$H$49,MATCH(LEFT($A169,LEN($A169)-2),'TH_MLG GRADE 10'!$B$7:$B$49,0))="P")+
 --(INDEX('TH_MLG GRADE 10'!$N$7:$N$49,MATCH(LEFT($A169,LEN($A169)-2),'TH_MLG GRADE 10'!$B$7:$B$49,0))="P")+
 --(INDEX('TH_MLG GRADE 10'!$T$7:$T$49,MATCH(LEFT($A169,LEN($A169)-2),'TH_MLG GRADE 10'!$B$7:$B$49,0))="P")+
 --(INDEX('TH_MLG GRADE 10'!$AF$7:$AF$49,MATCH(LEFT($A169,LEN($A169)-2),'TH_MLG GRADE 10'!$B$7:$B$49,0))="P")+
 --(INDEX('TH_MLG GRADE 10'!$AL$7:$AL$49,MATCH(LEFT($A169,LEN($A169)-2),'TH_MLG GRADE 10'!$B$7:$B$49,0))="P")+
 --(INDEX('TH_MLG GRADE 10'!$AR$7:$AR$49,MATCH(LEFT($A169,LEN($A169)-2),'TH_MLG GRADE 10'!$B$7:$B$49,0))="P")+
 --(INDEX('TH_MLG GRADE 10'!$BD$7:$BD$49,MATCH(LEFT($A169,LEN($A169)-2),'TH_MLG GRADE 10'!$B$7:$B$49,0))="P")+
 --(INDEX('TH_MLG GRADE 10'!$BJ$7:$BJ$49,MATCH(LEFT($A169,LEN($A169)-2),'TH_MLG GRADE 10'!$B$7:$B$49,0))="P")+
 --(INDEX('TH_MLG GRADE 10'!$Z$7:$Z$49,MATCH(LEFT($A169,LEN($A169)-2),'TH_MLG GRADE 10'!$B$7:$B$49,0))="P")+
 --(INDEX('TH_MLG GRADE 10'!$AX$7:$AX$49,MATCH(LEFT($A169,LEN($A169)-2),'TH_MLG GRADE 10'!$B$7:$B$49,0))="P"),
0)</f>
        <v>0</v>
      </c>
      <c r="D169" s="24" t="b">
        <f ca="1">IF(IF(_xlfn.XLOOKUP(LEFT(A169,LEN(A169)-2),'TH_MLG GRADE 10'!$B$7:$B$49,'TH_MLG GRADE 10'!$BM$7:$BM$49,"",0,1)=0,"",_xlfn.XLOOKUP(LEFT(A169,LEN(A169)-2),'TH_MLG GRADE 10'!$B$7:$B$49,'TH_MLG GRADE 10'!$BM$7:$BM$49,"",0,1))&lt;=TODAY(),TRUE,FALSE)</f>
        <v>0</v>
      </c>
      <c r="E169" s="25" t="str">
        <f t="shared" ca="1" si="6"/>
        <v/>
      </c>
      <c r="F169" s="24" t="s">
        <v>327</v>
      </c>
      <c r="G169">
        <v>2</v>
      </c>
      <c r="H169">
        <f>IFERROR(
 --(INDEX('PW_MLG GRADE 10'!$H$7:$H$31,MATCH(LEFT($A169,LEN($A169)-2),'PW_MLG GRADE 10'!$B$7:$B$31,0))="P")+
 --(INDEX('PW_MLG GRADE 10'!$N$7:$N$31,MATCH(LEFT($A169,LEN($A169)-2),'PW_MLG GRADE 10'!$B$7:$B$31,0))="P")+
 --(INDEX('PW_MLG GRADE 10'!$T$7:$T$31,MATCH(LEFT($A169,LEN($A169)-2),'PW_MLG GRADE 10'!$B$7:$B$31,0))="P")+
 --(INDEX('PW_MLG GRADE 10'!$AF$7:$AF$31,MATCH(LEFT($A169,LEN($A169)-2),'PW_MLG GRADE 10'!$B$7:$B$31,0))="P")+
 --(INDEX('PW_MLG GRADE 10'!$AL$7:$AL$31,MATCH(LEFT($A169,LEN($A169)-2),'PW_MLG GRADE 10'!$B$7:$B$31,0))="P")+
 --(INDEX('PW_MLG GRADE 10'!$AR$7:$AR$31,MATCH(LEFT($A169,LEN($A169)-2),'PW_MLG GRADE 10'!$B$7:$B$31,0))="P")+
 --(INDEX('PW_MLG GRADE 10'!$BD$7:$BD$31,MATCH(LEFT($A169,LEN($A169)-2),'PW_MLG GRADE 10'!$B$7:$B$31,0))="P")+
 --(INDEX('PW_MLG GRADE 10'!$BJ$7:$BJ$31,MATCH(LEFT($A169,LEN($A169)-2),'PW_MLG GRADE 10'!$B$7:$B$31,0))="P")+
 --(INDEX('PW_MLG GRADE 10'!$Z$7:$Z$31,MATCH(LEFT($A169,LEN($A169)-2),'PW_MLG GRADE 10'!$B$7:$B$31,0))="P")+
 --(INDEX('PW_MLG GRADE 10'!$AX$7:$AX$31,MATCH(LEFT($A169,LEN($A169)-2),'PW_MLG GRADE 10'!$B$7:$B$31,0))="P"),
0)</f>
        <v>0</v>
      </c>
      <c r="I169" s="24" t="b">
        <f ca="1">IF(IF(_xlfn.XLOOKUP(LEFT(F169,LEN(F169)-2),'PW_MLG GRADE 10'!$B$7:$B$31,'PW_MLG GRADE 10'!$BM$7:$BM$31,"",0,1)=0,"",_xlfn.XLOOKUP(LEFT(F169,LEN(F169)-2),'PW_MLG GRADE 10'!$B$7:$B$31,'PW_MLG GRADE 10'!$BM$7:$BM$31,"",0,1))&lt;=TODAY(),TRUE,FALSE)</f>
        <v>0</v>
      </c>
      <c r="J169" s="25" t="str">
        <f t="shared" ca="1" si="7"/>
        <v/>
      </c>
    </row>
    <row r="170" spans="1:10">
      <c r="A170" s="24" t="s">
        <v>375</v>
      </c>
      <c r="B170">
        <v>2</v>
      </c>
      <c r="C170">
        <f>IFERROR(
 --(INDEX('TH_MLG GRADE 10'!$H$7:$H$49,MATCH(LEFT($A170,LEN($A170)-2),'TH_MLG GRADE 10'!$B$7:$B$49,0))="P")+
 --(INDEX('TH_MLG GRADE 10'!$N$7:$N$49,MATCH(LEFT($A170,LEN($A170)-2),'TH_MLG GRADE 10'!$B$7:$B$49,0))="P")+
 --(INDEX('TH_MLG GRADE 10'!$T$7:$T$49,MATCH(LEFT($A170,LEN($A170)-2),'TH_MLG GRADE 10'!$B$7:$B$49,0))="P")+
 --(INDEX('TH_MLG GRADE 10'!$AF$7:$AF$49,MATCH(LEFT($A170,LEN($A170)-2),'TH_MLG GRADE 10'!$B$7:$B$49,0))="P")+
 --(INDEX('TH_MLG GRADE 10'!$AL$7:$AL$49,MATCH(LEFT($A170,LEN($A170)-2),'TH_MLG GRADE 10'!$B$7:$B$49,0))="P")+
 --(INDEX('TH_MLG GRADE 10'!$AR$7:$AR$49,MATCH(LEFT($A170,LEN($A170)-2),'TH_MLG GRADE 10'!$B$7:$B$49,0))="P")+
 --(INDEX('TH_MLG GRADE 10'!$BD$7:$BD$49,MATCH(LEFT($A170,LEN($A170)-2),'TH_MLG GRADE 10'!$B$7:$B$49,0))="P")+
 --(INDEX('TH_MLG GRADE 10'!$BJ$7:$BJ$49,MATCH(LEFT($A170,LEN($A170)-2),'TH_MLG GRADE 10'!$B$7:$B$49,0))="P")+
 --(INDEX('TH_MLG GRADE 10'!$Z$7:$Z$49,MATCH(LEFT($A170,LEN($A170)-2),'TH_MLG GRADE 10'!$B$7:$B$49,0))="P")+
 --(INDEX('TH_MLG GRADE 10'!$AX$7:$AX$49,MATCH(LEFT($A170,LEN($A170)-2),'TH_MLG GRADE 10'!$B$7:$B$49,0))="P"),
0)</f>
        <v>0</v>
      </c>
      <c r="D170" s="24" t="b">
        <f ca="1">IF(IF(_xlfn.XLOOKUP(LEFT(A170,LEN(A170)-2),'TH_MLG GRADE 10'!$B$7:$B$49,'TH_MLG GRADE 10'!$BM$7:$BM$49,"",0,1)=0,"",_xlfn.XLOOKUP(LEFT(A170,LEN(A170)-2),'TH_MLG GRADE 10'!$B$7:$B$49,'TH_MLG GRADE 10'!$BM$7:$BM$49,"",0,1))&lt;=TODAY(),TRUE,FALSE)</f>
        <v>0</v>
      </c>
      <c r="E170" s="25" t="str">
        <f t="shared" ca="1" si="6"/>
        <v/>
      </c>
      <c r="F170" s="24" t="s">
        <v>328</v>
      </c>
      <c r="G170">
        <v>2</v>
      </c>
      <c r="H170">
        <f>IFERROR(
 --(INDEX('PW_MLG GRADE 10'!$H$7:$H$31,MATCH(LEFT($A170,LEN($A170)-2),'PW_MLG GRADE 10'!$B$7:$B$31,0))="P")+
 --(INDEX('PW_MLG GRADE 10'!$N$7:$N$31,MATCH(LEFT($A170,LEN($A170)-2),'PW_MLG GRADE 10'!$B$7:$B$31,0))="P")+
 --(INDEX('PW_MLG GRADE 10'!$T$7:$T$31,MATCH(LEFT($A170,LEN($A170)-2),'PW_MLG GRADE 10'!$B$7:$B$31,0))="P")+
 --(INDEX('PW_MLG GRADE 10'!$AF$7:$AF$31,MATCH(LEFT($A170,LEN($A170)-2),'PW_MLG GRADE 10'!$B$7:$B$31,0))="P")+
 --(INDEX('PW_MLG GRADE 10'!$AL$7:$AL$31,MATCH(LEFT($A170,LEN($A170)-2),'PW_MLG GRADE 10'!$B$7:$B$31,0))="P")+
 --(INDEX('PW_MLG GRADE 10'!$AR$7:$AR$31,MATCH(LEFT($A170,LEN($A170)-2),'PW_MLG GRADE 10'!$B$7:$B$31,0))="P")+
 --(INDEX('PW_MLG GRADE 10'!$BD$7:$BD$31,MATCH(LEFT($A170,LEN($A170)-2),'PW_MLG GRADE 10'!$B$7:$B$31,0))="P")+
 --(INDEX('PW_MLG GRADE 10'!$BJ$7:$BJ$31,MATCH(LEFT($A170,LEN($A170)-2),'PW_MLG GRADE 10'!$B$7:$B$31,0))="P")+
 --(INDEX('PW_MLG GRADE 10'!$Z$7:$Z$31,MATCH(LEFT($A170,LEN($A170)-2),'PW_MLG GRADE 10'!$B$7:$B$31,0))="P")+
 --(INDEX('PW_MLG GRADE 10'!$AX$7:$AX$31,MATCH(LEFT($A170,LEN($A170)-2),'PW_MLG GRADE 10'!$B$7:$B$31,0))="P"),
0)</f>
        <v>0</v>
      </c>
      <c r="I170" s="24" t="b">
        <f ca="1">IF(IF(_xlfn.XLOOKUP(LEFT(F170,LEN(F170)-2),'PW_MLG GRADE 10'!$B$7:$B$31,'PW_MLG GRADE 10'!$BM$7:$BM$31,"",0,1)=0,"",_xlfn.XLOOKUP(LEFT(F170,LEN(F170)-2),'PW_MLG GRADE 10'!$B$7:$B$31,'PW_MLG GRADE 10'!$BM$7:$BM$31,"",0,1))&lt;=TODAY(),TRUE,FALSE)</f>
        <v>0</v>
      </c>
      <c r="J170" s="25" t="str">
        <f t="shared" ca="1" si="7"/>
        <v/>
      </c>
    </row>
    <row r="171" spans="1:10">
      <c r="A171" s="24" t="s">
        <v>376</v>
      </c>
      <c r="B171">
        <v>2</v>
      </c>
      <c r="C171">
        <f>IFERROR(
 --(INDEX('TH_MLG GRADE 10'!$H$7:$H$49,MATCH(LEFT($A171,LEN($A171)-2),'TH_MLG GRADE 10'!$B$7:$B$49,0))="P")+
 --(INDEX('TH_MLG GRADE 10'!$N$7:$N$49,MATCH(LEFT($A171,LEN($A171)-2),'TH_MLG GRADE 10'!$B$7:$B$49,0))="P")+
 --(INDEX('TH_MLG GRADE 10'!$T$7:$T$49,MATCH(LEFT($A171,LEN($A171)-2),'TH_MLG GRADE 10'!$B$7:$B$49,0))="P")+
 --(INDEX('TH_MLG GRADE 10'!$AF$7:$AF$49,MATCH(LEFT($A171,LEN($A171)-2),'TH_MLG GRADE 10'!$B$7:$B$49,0))="P")+
 --(INDEX('TH_MLG GRADE 10'!$AL$7:$AL$49,MATCH(LEFT($A171,LEN($A171)-2),'TH_MLG GRADE 10'!$B$7:$B$49,0))="P")+
 --(INDEX('TH_MLG GRADE 10'!$AR$7:$AR$49,MATCH(LEFT($A171,LEN($A171)-2),'TH_MLG GRADE 10'!$B$7:$B$49,0))="P")+
 --(INDEX('TH_MLG GRADE 10'!$BD$7:$BD$49,MATCH(LEFT($A171,LEN($A171)-2),'TH_MLG GRADE 10'!$B$7:$B$49,0))="P")+
 --(INDEX('TH_MLG GRADE 10'!$BJ$7:$BJ$49,MATCH(LEFT($A171,LEN($A171)-2),'TH_MLG GRADE 10'!$B$7:$B$49,0))="P")+
 --(INDEX('TH_MLG GRADE 10'!$Z$7:$Z$49,MATCH(LEFT($A171,LEN($A171)-2),'TH_MLG GRADE 10'!$B$7:$B$49,0))="P")+
 --(INDEX('TH_MLG GRADE 10'!$AX$7:$AX$49,MATCH(LEFT($A171,LEN($A171)-2),'TH_MLG GRADE 10'!$B$7:$B$49,0))="P"),
0)</f>
        <v>0</v>
      </c>
      <c r="D171" s="24" t="b">
        <f ca="1">IF(IF(_xlfn.XLOOKUP(LEFT(A171,LEN(A171)-2),'TH_MLG GRADE 10'!$B$7:$B$49,'TH_MLG GRADE 10'!$BM$7:$BM$49,"",0,1)=0,"",_xlfn.XLOOKUP(LEFT(A171,LEN(A171)-2),'TH_MLG GRADE 10'!$B$7:$B$49,'TH_MLG GRADE 10'!$BM$7:$BM$49,"",0,1))&lt;=TODAY(),TRUE,FALSE)</f>
        <v>0</v>
      </c>
      <c r="E171" s="25" t="str">
        <f t="shared" ca="1" si="6"/>
        <v/>
      </c>
      <c r="F171" s="24" t="s">
        <v>329</v>
      </c>
      <c r="G171">
        <v>2</v>
      </c>
      <c r="H171">
        <f>IFERROR(
 --(INDEX('PW_MLG GRADE 10'!$H$7:$H$31,MATCH(LEFT($A171,LEN($A171)-2),'PW_MLG GRADE 10'!$B$7:$B$31,0))="P")+
 --(INDEX('PW_MLG GRADE 10'!$N$7:$N$31,MATCH(LEFT($A171,LEN($A171)-2),'PW_MLG GRADE 10'!$B$7:$B$31,0))="P")+
 --(INDEX('PW_MLG GRADE 10'!$T$7:$T$31,MATCH(LEFT($A171,LEN($A171)-2),'PW_MLG GRADE 10'!$B$7:$B$31,0))="P")+
 --(INDEX('PW_MLG GRADE 10'!$AF$7:$AF$31,MATCH(LEFT($A171,LEN($A171)-2),'PW_MLG GRADE 10'!$B$7:$B$31,0))="P")+
 --(INDEX('PW_MLG GRADE 10'!$AL$7:$AL$31,MATCH(LEFT($A171,LEN($A171)-2),'PW_MLG GRADE 10'!$B$7:$B$31,0))="P")+
 --(INDEX('PW_MLG GRADE 10'!$AR$7:$AR$31,MATCH(LEFT($A171,LEN($A171)-2),'PW_MLG GRADE 10'!$B$7:$B$31,0))="P")+
 --(INDEX('PW_MLG GRADE 10'!$BD$7:$BD$31,MATCH(LEFT($A171,LEN($A171)-2),'PW_MLG GRADE 10'!$B$7:$B$31,0))="P")+
 --(INDEX('PW_MLG GRADE 10'!$BJ$7:$BJ$31,MATCH(LEFT($A171,LEN($A171)-2),'PW_MLG GRADE 10'!$B$7:$B$31,0))="P")+
 --(INDEX('PW_MLG GRADE 10'!$Z$7:$Z$31,MATCH(LEFT($A171,LEN($A171)-2),'PW_MLG GRADE 10'!$B$7:$B$31,0))="P")+
 --(INDEX('PW_MLG GRADE 10'!$AX$7:$AX$31,MATCH(LEFT($A171,LEN($A171)-2),'PW_MLG GRADE 10'!$B$7:$B$31,0))="P"),
0)</f>
        <v>0</v>
      </c>
      <c r="I171" s="24" t="b">
        <f ca="1">IF(IF(_xlfn.XLOOKUP(LEFT(F171,LEN(F171)-2),'PW_MLG GRADE 10'!$B$7:$B$31,'PW_MLG GRADE 10'!$BM$7:$BM$31,"",0,1)=0,"",_xlfn.XLOOKUP(LEFT(F171,LEN(F171)-2),'PW_MLG GRADE 10'!$B$7:$B$31,'PW_MLG GRADE 10'!$BM$7:$BM$31,"",0,1))&lt;=TODAY(),TRUE,FALSE)</f>
        <v>0</v>
      </c>
      <c r="J171" s="25" t="str">
        <f t="shared" ca="1" si="7"/>
        <v/>
      </c>
    </row>
    <row r="172" spans="1:10">
      <c r="A172" s="24" t="s">
        <v>377</v>
      </c>
      <c r="B172">
        <v>2</v>
      </c>
      <c r="C172">
        <f>IFERROR(
 --(INDEX('TH_MLG GRADE 10'!$H$7:$H$49,MATCH(LEFT($A172,LEN($A172)-2),'TH_MLG GRADE 10'!$B$7:$B$49,0))="P")+
 --(INDEX('TH_MLG GRADE 10'!$N$7:$N$49,MATCH(LEFT($A172,LEN($A172)-2),'TH_MLG GRADE 10'!$B$7:$B$49,0))="P")+
 --(INDEX('TH_MLG GRADE 10'!$T$7:$T$49,MATCH(LEFT($A172,LEN($A172)-2),'TH_MLG GRADE 10'!$B$7:$B$49,0))="P")+
 --(INDEX('TH_MLG GRADE 10'!$AF$7:$AF$49,MATCH(LEFT($A172,LEN($A172)-2),'TH_MLG GRADE 10'!$B$7:$B$49,0))="P")+
 --(INDEX('TH_MLG GRADE 10'!$AL$7:$AL$49,MATCH(LEFT($A172,LEN($A172)-2),'TH_MLG GRADE 10'!$B$7:$B$49,0))="P")+
 --(INDEX('TH_MLG GRADE 10'!$AR$7:$AR$49,MATCH(LEFT($A172,LEN($A172)-2),'TH_MLG GRADE 10'!$B$7:$B$49,0))="P")+
 --(INDEX('TH_MLG GRADE 10'!$BD$7:$BD$49,MATCH(LEFT($A172,LEN($A172)-2),'TH_MLG GRADE 10'!$B$7:$B$49,0))="P")+
 --(INDEX('TH_MLG GRADE 10'!$BJ$7:$BJ$49,MATCH(LEFT($A172,LEN($A172)-2),'TH_MLG GRADE 10'!$B$7:$B$49,0))="P")+
 --(INDEX('TH_MLG GRADE 10'!$Z$7:$Z$49,MATCH(LEFT($A172,LEN($A172)-2),'TH_MLG GRADE 10'!$B$7:$B$49,0))="P")+
 --(INDEX('TH_MLG GRADE 10'!$AX$7:$AX$49,MATCH(LEFT($A172,LEN($A172)-2),'TH_MLG GRADE 10'!$B$7:$B$49,0))="P"),
0)</f>
        <v>0</v>
      </c>
      <c r="D172" s="24" t="b">
        <f ca="1">IF(IF(_xlfn.XLOOKUP(LEFT(A172,LEN(A172)-2),'TH_MLG GRADE 10'!$B$7:$B$49,'TH_MLG GRADE 10'!$BM$7:$BM$49,"",0,1)=0,"",_xlfn.XLOOKUP(LEFT(A172,LEN(A172)-2),'TH_MLG GRADE 10'!$B$7:$B$49,'TH_MLG GRADE 10'!$BM$7:$BM$49,"",0,1))&lt;=TODAY(),TRUE,FALSE)</f>
        <v>0</v>
      </c>
      <c r="E172" s="25" t="str">
        <f t="shared" ca="1" si="6"/>
        <v/>
      </c>
      <c r="F172" s="24" t="s">
        <v>330</v>
      </c>
      <c r="G172">
        <v>2</v>
      </c>
      <c r="H172">
        <f>IFERROR(
 --(INDEX('PW_MLG GRADE 10'!$H$7:$H$31,MATCH(LEFT($A172,LEN($A172)-2),'PW_MLG GRADE 10'!$B$7:$B$31,0))="P")+
 --(INDEX('PW_MLG GRADE 10'!$N$7:$N$31,MATCH(LEFT($A172,LEN($A172)-2),'PW_MLG GRADE 10'!$B$7:$B$31,0))="P")+
 --(INDEX('PW_MLG GRADE 10'!$T$7:$T$31,MATCH(LEFT($A172,LEN($A172)-2),'PW_MLG GRADE 10'!$B$7:$B$31,0))="P")+
 --(INDEX('PW_MLG GRADE 10'!$AF$7:$AF$31,MATCH(LEFT($A172,LEN($A172)-2),'PW_MLG GRADE 10'!$B$7:$B$31,0))="P")+
 --(INDEX('PW_MLG GRADE 10'!$AL$7:$AL$31,MATCH(LEFT($A172,LEN($A172)-2),'PW_MLG GRADE 10'!$B$7:$B$31,0))="P")+
 --(INDEX('PW_MLG GRADE 10'!$AR$7:$AR$31,MATCH(LEFT($A172,LEN($A172)-2),'PW_MLG GRADE 10'!$B$7:$B$31,0))="P")+
 --(INDEX('PW_MLG GRADE 10'!$BD$7:$BD$31,MATCH(LEFT($A172,LEN($A172)-2),'PW_MLG GRADE 10'!$B$7:$B$31,0))="P")+
 --(INDEX('PW_MLG GRADE 10'!$BJ$7:$BJ$31,MATCH(LEFT($A172,LEN($A172)-2),'PW_MLG GRADE 10'!$B$7:$B$31,0))="P")+
 --(INDEX('PW_MLG GRADE 10'!$Z$7:$Z$31,MATCH(LEFT($A172,LEN($A172)-2),'PW_MLG GRADE 10'!$B$7:$B$31,0))="P")+
 --(INDEX('PW_MLG GRADE 10'!$AX$7:$AX$31,MATCH(LEFT($A172,LEN($A172)-2),'PW_MLG GRADE 10'!$B$7:$B$31,0))="P"),
0)</f>
        <v>0</v>
      </c>
      <c r="I172" s="24" t="b">
        <f ca="1">IF(IF(_xlfn.XLOOKUP(LEFT(F172,LEN(F172)-2),'PW_MLG GRADE 10'!$B$7:$B$31,'PW_MLG GRADE 10'!$BM$7:$BM$31,"",0,1)=0,"",_xlfn.XLOOKUP(LEFT(F172,LEN(F172)-2),'PW_MLG GRADE 10'!$B$7:$B$31,'PW_MLG GRADE 10'!$BM$7:$BM$31,"",0,1))&lt;=TODAY(),TRUE,FALSE)</f>
        <v>0</v>
      </c>
      <c r="J172" s="25" t="str">
        <f t="shared" ca="1" si="7"/>
        <v/>
      </c>
    </row>
    <row r="173" spans="1:10">
      <c r="A173" s="24" t="s">
        <v>378</v>
      </c>
      <c r="B173">
        <v>2</v>
      </c>
      <c r="C173">
        <f>IFERROR(
 --(INDEX('TH_MLG GRADE 10'!$H$7:$H$49,MATCH(LEFT($A173,LEN($A173)-2),'TH_MLG GRADE 10'!$B$7:$B$49,0))="P")+
 --(INDEX('TH_MLG GRADE 10'!$N$7:$N$49,MATCH(LEFT($A173,LEN($A173)-2),'TH_MLG GRADE 10'!$B$7:$B$49,0))="P")+
 --(INDEX('TH_MLG GRADE 10'!$T$7:$T$49,MATCH(LEFT($A173,LEN($A173)-2),'TH_MLG GRADE 10'!$B$7:$B$49,0))="P")+
 --(INDEX('TH_MLG GRADE 10'!$AF$7:$AF$49,MATCH(LEFT($A173,LEN($A173)-2),'TH_MLG GRADE 10'!$B$7:$B$49,0))="P")+
 --(INDEX('TH_MLG GRADE 10'!$AL$7:$AL$49,MATCH(LEFT($A173,LEN($A173)-2),'TH_MLG GRADE 10'!$B$7:$B$49,0))="P")+
 --(INDEX('TH_MLG GRADE 10'!$AR$7:$AR$49,MATCH(LEFT($A173,LEN($A173)-2),'TH_MLG GRADE 10'!$B$7:$B$49,0))="P")+
 --(INDEX('TH_MLG GRADE 10'!$BD$7:$BD$49,MATCH(LEFT($A173,LEN($A173)-2),'TH_MLG GRADE 10'!$B$7:$B$49,0))="P")+
 --(INDEX('TH_MLG GRADE 10'!$BJ$7:$BJ$49,MATCH(LEFT($A173,LEN($A173)-2),'TH_MLG GRADE 10'!$B$7:$B$49,0))="P")+
 --(INDEX('TH_MLG GRADE 10'!$Z$7:$Z$49,MATCH(LEFT($A173,LEN($A173)-2),'TH_MLG GRADE 10'!$B$7:$B$49,0))="P")+
 --(INDEX('TH_MLG GRADE 10'!$AX$7:$AX$49,MATCH(LEFT($A173,LEN($A173)-2),'TH_MLG GRADE 10'!$B$7:$B$49,0))="P"),
0)</f>
        <v>0</v>
      </c>
      <c r="D173" s="24" t="b">
        <f ca="1">IF(IF(_xlfn.XLOOKUP(LEFT(A173,LEN(A173)-2),'TH_MLG GRADE 10'!$B$7:$B$49,'TH_MLG GRADE 10'!$BM$7:$BM$49,"",0,1)=0,"",_xlfn.XLOOKUP(LEFT(A173,LEN(A173)-2),'TH_MLG GRADE 10'!$B$7:$B$49,'TH_MLG GRADE 10'!$BM$7:$BM$49,"",0,1))&lt;=TODAY(),TRUE,FALSE)</f>
        <v>0</v>
      </c>
      <c r="E173" s="25" t="str">
        <f t="shared" ca="1" si="6"/>
        <v/>
      </c>
      <c r="F173" s="24" t="s">
        <v>331</v>
      </c>
      <c r="G173">
        <v>2</v>
      </c>
      <c r="H173">
        <f>IFERROR(
 --(INDEX('PW_MLG GRADE 10'!$H$7:$H$31,MATCH(LEFT($A173,LEN($A173)-2),'PW_MLG GRADE 10'!$B$7:$B$31,0))="P")+
 --(INDEX('PW_MLG GRADE 10'!$N$7:$N$31,MATCH(LEFT($A173,LEN($A173)-2),'PW_MLG GRADE 10'!$B$7:$B$31,0))="P")+
 --(INDEX('PW_MLG GRADE 10'!$T$7:$T$31,MATCH(LEFT($A173,LEN($A173)-2),'PW_MLG GRADE 10'!$B$7:$B$31,0))="P")+
 --(INDEX('PW_MLG GRADE 10'!$AF$7:$AF$31,MATCH(LEFT($A173,LEN($A173)-2),'PW_MLG GRADE 10'!$B$7:$B$31,0))="P")+
 --(INDEX('PW_MLG GRADE 10'!$AL$7:$AL$31,MATCH(LEFT($A173,LEN($A173)-2),'PW_MLG GRADE 10'!$B$7:$B$31,0))="P")+
 --(INDEX('PW_MLG GRADE 10'!$AR$7:$AR$31,MATCH(LEFT($A173,LEN($A173)-2),'PW_MLG GRADE 10'!$B$7:$B$31,0))="P")+
 --(INDEX('PW_MLG GRADE 10'!$BD$7:$BD$31,MATCH(LEFT($A173,LEN($A173)-2),'PW_MLG GRADE 10'!$B$7:$B$31,0))="P")+
 --(INDEX('PW_MLG GRADE 10'!$BJ$7:$BJ$31,MATCH(LEFT($A173,LEN($A173)-2),'PW_MLG GRADE 10'!$B$7:$B$31,0))="P")+
 --(INDEX('PW_MLG GRADE 10'!$Z$7:$Z$31,MATCH(LEFT($A173,LEN($A173)-2),'PW_MLG GRADE 10'!$B$7:$B$31,0))="P")+
 --(INDEX('PW_MLG GRADE 10'!$AX$7:$AX$31,MATCH(LEFT($A173,LEN($A173)-2),'PW_MLG GRADE 10'!$B$7:$B$31,0))="P"),
0)</f>
        <v>0</v>
      </c>
      <c r="I173" s="24" t="b">
        <f ca="1">IF(IF(_xlfn.XLOOKUP(LEFT(F173,LEN(F173)-2),'PW_MLG GRADE 10'!$B$7:$B$31,'PW_MLG GRADE 10'!$BM$7:$BM$31,"",0,1)=0,"",_xlfn.XLOOKUP(LEFT(F173,LEN(F173)-2),'PW_MLG GRADE 10'!$B$7:$B$31,'PW_MLG GRADE 10'!$BM$7:$BM$31,"",0,1))&lt;=TODAY(),TRUE,FALSE)</f>
        <v>0</v>
      </c>
      <c r="J173" s="25" t="str">
        <f t="shared" ca="1" si="7"/>
        <v/>
      </c>
    </row>
    <row r="174" spans="1:10">
      <c r="A174" s="24" t="s">
        <v>379</v>
      </c>
      <c r="B174">
        <v>2</v>
      </c>
      <c r="C174">
        <f>IFERROR(
 --(INDEX('TH_MLG GRADE 10'!$H$7:$H$49,MATCH(LEFT($A174,LEN($A174)-2),'TH_MLG GRADE 10'!$B$7:$B$49,0))="P")+
 --(INDEX('TH_MLG GRADE 10'!$N$7:$N$49,MATCH(LEFT($A174,LEN($A174)-2),'TH_MLG GRADE 10'!$B$7:$B$49,0))="P")+
 --(INDEX('TH_MLG GRADE 10'!$T$7:$T$49,MATCH(LEFT($A174,LEN($A174)-2),'TH_MLG GRADE 10'!$B$7:$B$49,0))="P")+
 --(INDEX('TH_MLG GRADE 10'!$AF$7:$AF$49,MATCH(LEFT($A174,LEN($A174)-2),'TH_MLG GRADE 10'!$B$7:$B$49,0))="P")+
 --(INDEX('TH_MLG GRADE 10'!$AL$7:$AL$49,MATCH(LEFT($A174,LEN($A174)-2),'TH_MLG GRADE 10'!$B$7:$B$49,0))="P")+
 --(INDEX('TH_MLG GRADE 10'!$AR$7:$AR$49,MATCH(LEFT($A174,LEN($A174)-2),'TH_MLG GRADE 10'!$B$7:$B$49,0))="P")+
 --(INDEX('TH_MLG GRADE 10'!$BD$7:$BD$49,MATCH(LEFT($A174,LEN($A174)-2),'TH_MLG GRADE 10'!$B$7:$B$49,0))="P")+
 --(INDEX('TH_MLG GRADE 10'!$BJ$7:$BJ$49,MATCH(LEFT($A174,LEN($A174)-2),'TH_MLG GRADE 10'!$B$7:$B$49,0))="P")+
 --(INDEX('TH_MLG GRADE 10'!$Z$7:$Z$49,MATCH(LEFT($A174,LEN($A174)-2),'TH_MLG GRADE 10'!$B$7:$B$49,0))="P")+
 --(INDEX('TH_MLG GRADE 10'!$AX$7:$AX$49,MATCH(LEFT($A174,LEN($A174)-2),'TH_MLG GRADE 10'!$B$7:$B$49,0))="P"),
0)</f>
        <v>0</v>
      </c>
      <c r="D174" s="24" t="b">
        <f ca="1">IF(IF(_xlfn.XLOOKUP(LEFT(A174,LEN(A174)-2),'TH_MLG GRADE 10'!$B$7:$B$49,'TH_MLG GRADE 10'!$BM$7:$BM$49,"",0,1)=0,"",_xlfn.XLOOKUP(LEFT(A174,LEN(A174)-2),'TH_MLG GRADE 10'!$B$7:$B$49,'TH_MLG GRADE 10'!$BM$7:$BM$49,"",0,1))&lt;=TODAY(),TRUE,FALSE)</f>
        <v>0</v>
      </c>
      <c r="E174" s="25" t="str">
        <f t="shared" ca="1" si="6"/>
        <v/>
      </c>
      <c r="F174" s="24" t="s">
        <v>332</v>
      </c>
      <c r="G174">
        <v>2</v>
      </c>
      <c r="H174">
        <f>IFERROR(
 --(INDEX('PW_MLG GRADE 10'!$H$7:$H$31,MATCH(LEFT($A174,LEN($A174)-2),'PW_MLG GRADE 10'!$B$7:$B$31,0))="P")+
 --(INDEX('PW_MLG GRADE 10'!$N$7:$N$31,MATCH(LEFT($A174,LEN($A174)-2),'PW_MLG GRADE 10'!$B$7:$B$31,0))="P")+
 --(INDEX('PW_MLG GRADE 10'!$T$7:$T$31,MATCH(LEFT($A174,LEN($A174)-2),'PW_MLG GRADE 10'!$B$7:$B$31,0))="P")+
 --(INDEX('PW_MLG GRADE 10'!$AF$7:$AF$31,MATCH(LEFT($A174,LEN($A174)-2),'PW_MLG GRADE 10'!$B$7:$B$31,0))="P")+
 --(INDEX('PW_MLG GRADE 10'!$AL$7:$AL$31,MATCH(LEFT($A174,LEN($A174)-2),'PW_MLG GRADE 10'!$B$7:$B$31,0))="P")+
 --(INDEX('PW_MLG GRADE 10'!$AR$7:$AR$31,MATCH(LEFT($A174,LEN($A174)-2),'PW_MLG GRADE 10'!$B$7:$B$31,0))="P")+
 --(INDEX('PW_MLG GRADE 10'!$BD$7:$BD$31,MATCH(LEFT($A174,LEN($A174)-2),'PW_MLG GRADE 10'!$B$7:$B$31,0))="P")+
 --(INDEX('PW_MLG GRADE 10'!$BJ$7:$BJ$31,MATCH(LEFT($A174,LEN($A174)-2),'PW_MLG GRADE 10'!$B$7:$B$31,0))="P")+
 --(INDEX('PW_MLG GRADE 10'!$Z$7:$Z$31,MATCH(LEFT($A174,LEN($A174)-2),'PW_MLG GRADE 10'!$B$7:$B$31,0))="P")+
 --(INDEX('PW_MLG GRADE 10'!$AX$7:$AX$31,MATCH(LEFT($A174,LEN($A174)-2),'PW_MLG GRADE 10'!$B$7:$B$31,0))="P"),
0)</f>
        <v>0</v>
      </c>
      <c r="I174" s="24" t="b">
        <f ca="1">IF(IF(_xlfn.XLOOKUP(LEFT(F174,LEN(F174)-2),'PW_MLG GRADE 10'!$B$7:$B$31,'PW_MLG GRADE 10'!$BM$7:$BM$31,"",0,1)=0,"",_xlfn.XLOOKUP(LEFT(F174,LEN(F174)-2),'PW_MLG GRADE 10'!$B$7:$B$31,'PW_MLG GRADE 10'!$BM$7:$BM$31,"",0,1))&lt;=TODAY(),TRUE,FALSE)</f>
        <v>0</v>
      </c>
      <c r="J174" s="25" t="str">
        <f t="shared" ca="1" si="7"/>
        <v/>
      </c>
    </row>
    <row r="175" spans="1:10">
      <c r="A175" s="24" t="s">
        <v>380</v>
      </c>
      <c r="B175">
        <v>2</v>
      </c>
      <c r="C175">
        <f>IFERROR(
 --(INDEX('TH_MLG GRADE 10'!$H$7:$H$49,MATCH(LEFT($A175,LEN($A175)-2),'TH_MLG GRADE 10'!$B$7:$B$49,0))="P")+
 --(INDEX('TH_MLG GRADE 10'!$N$7:$N$49,MATCH(LEFT($A175,LEN($A175)-2),'TH_MLG GRADE 10'!$B$7:$B$49,0))="P")+
 --(INDEX('TH_MLG GRADE 10'!$T$7:$T$49,MATCH(LEFT($A175,LEN($A175)-2),'TH_MLG GRADE 10'!$B$7:$B$49,0))="P")+
 --(INDEX('TH_MLG GRADE 10'!$AF$7:$AF$49,MATCH(LEFT($A175,LEN($A175)-2),'TH_MLG GRADE 10'!$B$7:$B$49,0))="P")+
 --(INDEX('TH_MLG GRADE 10'!$AL$7:$AL$49,MATCH(LEFT($A175,LEN($A175)-2),'TH_MLG GRADE 10'!$B$7:$B$49,0))="P")+
 --(INDEX('TH_MLG GRADE 10'!$AR$7:$AR$49,MATCH(LEFT($A175,LEN($A175)-2),'TH_MLG GRADE 10'!$B$7:$B$49,0))="P")+
 --(INDEX('TH_MLG GRADE 10'!$BD$7:$BD$49,MATCH(LEFT($A175,LEN($A175)-2),'TH_MLG GRADE 10'!$B$7:$B$49,0))="P")+
 --(INDEX('TH_MLG GRADE 10'!$BJ$7:$BJ$49,MATCH(LEFT($A175,LEN($A175)-2),'TH_MLG GRADE 10'!$B$7:$B$49,0))="P")+
 --(INDEX('TH_MLG GRADE 10'!$Z$7:$Z$49,MATCH(LEFT($A175,LEN($A175)-2),'TH_MLG GRADE 10'!$B$7:$B$49,0))="P")+
 --(INDEX('TH_MLG GRADE 10'!$AX$7:$AX$49,MATCH(LEFT($A175,LEN($A175)-2),'TH_MLG GRADE 10'!$B$7:$B$49,0))="P"),
0)</f>
        <v>0</v>
      </c>
      <c r="D175" s="24" t="b">
        <f ca="1">IF(IF(_xlfn.XLOOKUP(LEFT(A175,LEN(A175)-2),'TH_MLG GRADE 10'!$B$7:$B$49,'TH_MLG GRADE 10'!$BM$7:$BM$49,"",0,1)=0,"",_xlfn.XLOOKUP(LEFT(A175,LEN(A175)-2),'TH_MLG GRADE 10'!$B$7:$B$49,'TH_MLG GRADE 10'!$BM$7:$BM$49,"",0,1))&lt;=TODAY(),TRUE,FALSE)</f>
        <v>0</v>
      </c>
      <c r="E175" s="25" t="str">
        <f t="shared" ca="1" si="6"/>
        <v/>
      </c>
      <c r="F175" s="24" t="s">
        <v>333</v>
      </c>
      <c r="G175">
        <v>2</v>
      </c>
      <c r="H175">
        <f>IFERROR(
 --(INDEX('PW_MLG GRADE 10'!$H$7:$H$31,MATCH(LEFT($A175,LEN($A175)-2),'PW_MLG GRADE 10'!$B$7:$B$31,0))="P")+
 --(INDEX('PW_MLG GRADE 10'!$N$7:$N$31,MATCH(LEFT($A175,LEN($A175)-2),'PW_MLG GRADE 10'!$B$7:$B$31,0))="P")+
 --(INDEX('PW_MLG GRADE 10'!$T$7:$T$31,MATCH(LEFT($A175,LEN($A175)-2),'PW_MLG GRADE 10'!$B$7:$B$31,0))="P")+
 --(INDEX('PW_MLG GRADE 10'!$AF$7:$AF$31,MATCH(LEFT($A175,LEN($A175)-2),'PW_MLG GRADE 10'!$B$7:$B$31,0))="P")+
 --(INDEX('PW_MLG GRADE 10'!$AL$7:$AL$31,MATCH(LEFT($A175,LEN($A175)-2),'PW_MLG GRADE 10'!$B$7:$B$31,0))="P")+
 --(INDEX('PW_MLG GRADE 10'!$AR$7:$AR$31,MATCH(LEFT($A175,LEN($A175)-2),'PW_MLG GRADE 10'!$B$7:$B$31,0))="P")+
 --(INDEX('PW_MLG GRADE 10'!$BD$7:$BD$31,MATCH(LEFT($A175,LEN($A175)-2),'PW_MLG GRADE 10'!$B$7:$B$31,0))="P")+
 --(INDEX('PW_MLG GRADE 10'!$BJ$7:$BJ$31,MATCH(LEFT($A175,LEN($A175)-2),'PW_MLG GRADE 10'!$B$7:$B$31,0))="P")+
 --(INDEX('PW_MLG GRADE 10'!$Z$7:$Z$31,MATCH(LEFT($A175,LEN($A175)-2),'PW_MLG GRADE 10'!$B$7:$B$31,0))="P")+
 --(INDEX('PW_MLG GRADE 10'!$AX$7:$AX$31,MATCH(LEFT($A175,LEN($A175)-2),'PW_MLG GRADE 10'!$B$7:$B$31,0))="P"),
0)</f>
        <v>0</v>
      </c>
      <c r="I175" s="24" t="b">
        <f ca="1">IF(IF(_xlfn.XLOOKUP(LEFT(F175,LEN(F175)-2),'PW_MLG GRADE 10'!$B$7:$B$31,'PW_MLG GRADE 10'!$BM$7:$BM$31,"",0,1)=0,"",_xlfn.XLOOKUP(LEFT(F175,LEN(F175)-2),'PW_MLG GRADE 10'!$B$7:$B$31,'PW_MLG GRADE 10'!$BM$7:$BM$31,"",0,1))&lt;=TODAY(),TRUE,FALSE)</f>
        <v>0</v>
      </c>
      <c r="J175" s="25" t="str">
        <f t="shared" ca="1" si="7"/>
        <v/>
      </c>
    </row>
    <row r="176" spans="1:10">
      <c r="A176" s="24" t="s">
        <v>381</v>
      </c>
      <c r="B176">
        <v>2</v>
      </c>
      <c r="C176">
        <f>IFERROR(
 --(INDEX('TH_MLG GRADE 10'!$H$7:$H$49,MATCH(LEFT($A176,LEN($A176)-2),'TH_MLG GRADE 10'!$B$7:$B$49,0))="P")+
 --(INDEX('TH_MLG GRADE 10'!$N$7:$N$49,MATCH(LEFT($A176,LEN($A176)-2),'TH_MLG GRADE 10'!$B$7:$B$49,0))="P")+
 --(INDEX('TH_MLG GRADE 10'!$T$7:$T$49,MATCH(LEFT($A176,LEN($A176)-2),'TH_MLG GRADE 10'!$B$7:$B$49,0))="P")+
 --(INDEX('TH_MLG GRADE 10'!$AF$7:$AF$49,MATCH(LEFT($A176,LEN($A176)-2),'TH_MLG GRADE 10'!$B$7:$B$49,0))="P")+
 --(INDEX('TH_MLG GRADE 10'!$AL$7:$AL$49,MATCH(LEFT($A176,LEN($A176)-2),'TH_MLG GRADE 10'!$B$7:$B$49,0))="P")+
 --(INDEX('TH_MLG GRADE 10'!$AR$7:$AR$49,MATCH(LEFT($A176,LEN($A176)-2),'TH_MLG GRADE 10'!$B$7:$B$49,0))="P")+
 --(INDEX('TH_MLG GRADE 10'!$BD$7:$BD$49,MATCH(LEFT($A176,LEN($A176)-2),'TH_MLG GRADE 10'!$B$7:$B$49,0))="P")+
 --(INDEX('TH_MLG GRADE 10'!$BJ$7:$BJ$49,MATCH(LEFT($A176,LEN($A176)-2),'TH_MLG GRADE 10'!$B$7:$B$49,0))="P")+
 --(INDEX('TH_MLG GRADE 10'!$Z$7:$Z$49,MATCH(LEFT($A176,LEN($A176)-2),'TH_MLG GRADE 10'!$B$7:$B$49,0))="P")+
 --(INDEX('TH_MLG GRADE 10'!$AX$7:$AX$49,MATCH(LEFT($A176,LEN($A176)-2),'TH_MLG GRADE 10'!$B$7:$B$49,0))="P"),
0)</f>
        <v>0</v>
      </c>
      <c r="D176" s="24" t="b">
        <f ca="1">IF(IF(_xlfn.XLOOKUP(LEFT(A176,LEN(A176)-2),'TH_MLG GRADE 10'!$B$7:$B$49,'TH_MLG GRADE 10'!$BM$7:$BM$49,"",0,1)=0,"",_xlfn.XLOOKUP(LEFT(A176,LEN(A176)-2),'TH_MLG GRADE 10'!$B$7:$B$49,'TH_MLG GRADE 10'!$BM$7:$BM$49,"",0,1))&lt;=TODAY(),TRUE,FALSE)</f>
        <v>0</v>
      </c>
      <c r="E176" s="25" t="str">
        <f t="shared" ca="1" si="6"/>
        <v/>
      </c>
      <c r="F176" s="24" t="s">
        <v>334</v>
      </c>
      <c r="G176">
        <v>2</v>
      </c>
      <c r="H176">
        <f>IFERROR(
 --(INDEX('PW_MLG GRADE 10'!$H$7:$H$31,MATCH(LEFT($A176,LEN($A176)-2),'PW_MLG GRADE 10'!$B$7:$B$31,0))="P")+
 --(INDEX('PW_MLG GRADE 10'!$N$7:$N$31,MATCH(LEFT($A176,LEN($A176)-2),'PW_MLG GRADE 10'!$B$7:$B$31,0))="P")+
 --(INDEX('PW_MLG GRADE 10'!$T$7:$T$31,MATCH(LEFT($A176,LEN($A176)-2),'PW_MLG GRADE 10'!$B$7:$B$31,0))="P")+
 --(INDEX('PW_MLG GRADE 10'!$AF$7:$AF$31,MATCH(LEFT($A176,LEN($A176)-2),'PW_MLG GRADE 10'!$B$7:$B$31,0))="P")+
 --(INDEX('PW_MLG GRADE 10'!$AL$7:$AL$31,MATCH(LEFT($A176,LEN($A176)-2),'PW_MLG GRADE 10'!$B$7:$B$31,0))="P")+
 --(INDEX('PW_MLG GRADE 10'!$AR$7:$AR$31,MATCH(LEFT($A176,LEN($A176)-2),'PW_MLG GRADE 10'!$B$7:$B$31,0))="P")+
 --(INDEX('PW_MLG GRADE 10'!$BD$7:$BD$31,MATCH(LEFT($A176,LEN($A176)-2),'PW_MLG GRADE 10'!$B$7:$B$31,0))="P")+
 --(INDEX('PW_MLG GRADE 10'!$BJ$7:$BJ$31,MATCH(LEFT($A176,LEN($A176)-2),'PW_MLG GRADE 10'!$B$7:$B$31,0))="P")+
 --(INDEX('PW_MLG GRADE 10'!$Z$7:$Z$31,MATCH(LEFT($A176,LEN($A176)-2),'PW_MLG GRADE 10'!$B$7:$B$31,0))="P")+
 --(INDEX('PW_MLG GRADE 10'!$AX$7:$AX$31,MATCH(LEFT($A176,LEN($A176)-2),'PW_MLG GRADE 10'!$B$7:$B$31,0))="P"),
0)</f>
        <v>0</v>
      </c>
      <c r="I176" s="24" t="b">
        <f ca="1">IF(IF(_xlfn.XLOOKUP(LEFT(F176,LEN(F176)-2),'PW_MLG GRADE 10'!$B$7:$B$31,'PW_MLG GRADE 10'!$BM$7:$BM$31,"",0,1)=0,"",_xlfn.XLOOKUP(LEFT(F176,LEN(F176)-2),'PW_MLG GRADE 10'!$B$7:$B$31,'PW_MLG GRADE 10'!$BM$7:$BM$31,"",0,1))&lt;=TODAY(),TRUE,FALSE)</f>
        <v>0</v>
      </c>
      <c r="J176" s="25" t="str">
        <f t="shared" ca="1" si="7"/>
        <v/>
      </c>
    </row>
    <row r="177" spans="1:10">
      <c r="A177" s="24" t="s">
        <v>382</v>
      </c>
      <c r="B177">
        <v>2</v>
      </c>
      <c r="C177">
        <f>IFERROR(
 --(INDEX('TH_MLG GRADE 10'!$H$7:$H$49,MATCH(LEFT($A177,LEN($A177)-2),'TH_MLG GRADE 10'!$B$7:$B$49,0))="P")+
 --(INDEX('TH_MLG GRADE 10'!$N$7:$N$49,MATCH(LEFT($A177,LEN($A177)-2),'TH_MLG GRADE 10'!$B$7:$B$49,0))="P")+
 --(INDEX('TH_MLG GRADE 10'!$T$7:$T$49,MATCH(LEFT($A177,LEN($A177)-2),'TH_MLG GRADE 10'!$B$7:$B$49,0))="P")+
 --(INDEX('TH_MLG GRADE 10'!$AF$7:$AF$49,MATCH(LEFT($A177,LEN($A177)-2),'TH_MLG GRADE 10'!$B$7:$B$49,0))="P")+
 --(INDEX('TH_MLG GRADE 10'!$AL$7:$AL$49,MATCH(LEFT($A177,LEN($A177)-2),'TH_MLG GRADE 10'!$B$7:$B$49,0))="P")+
 --(INDEX('TH_MLG GRADE 10'!$AR$7:$AR$49,MATCH(LEFT($A177,LEN($A177)-2),'TH_MLG GRADE 10'!$B$7:$B$49,0))="P")+
 --(INDEX('TH_MLG GRADE 10'!$BD$7:$BD$49,MATCH(LEFT($A177,LEN($A177)-2),'TH_MLG GRADE 10'!$B$7:$B$49,0))="P")+
 --(INDEX('TH_MLG GRADE 10'!$BJ$7:$BJ$49,MATCH(LEFT($A177,LEN($A177)-2),'TH_MLG GRADE 10'!$B$7:$B$49,0))="P")+
 --(INDEX('TH_MLG GRADE 10'!$Z$7:$Z$49,MATCH(LEFT($A177,LEN($A177)-2),'TH_MLG GRADE 10'!$B$7:$B$49,0))="P")+
 --(INDEX('TH_MLG GRADE 10'!$AX$7:$AX$49,MATCH(LEFT($A177,LEN($A177)-2),'TH_MLG GRADE 10'!$B$7:$B$49,0))="P"),
0)</f>
        <v>0</v>
      </c>
      <c r="D177" s="24" t="b">
        <f ca="1">IF(IF(_xlfn.XLOOKUP(LEFT(A177,LEN(A177)-2),'TH_MLG GRADE 10'!$B$7:$B$49,'TH_MLG GRADE 10'!$BM$7:$BM$49,"",0,1)=0,"",_xlfn.XLOOKUP(LEFT(A177,LEN(A177)-2),'TH_MLG GRADE 10'!$B$7:$B$49,'TH_MLG GRADE 10'!$BM$7:$BM$49,"",0,1))&lt;=TODAY(),TRUE,FALSE)</f>
        <v>0</v>
      </c>
      <c r="E177" s="25" t="str">
        <f t="shared" ca="1" si="6"/>
        <v/>
      </c>
      <c r="F177" s="24" t="s">
        <v>335</v>
      </c>
      <c r="G177">
        <v>2</v>
      </c>
      <c r="H177">
        <f>IFERROR(
 --(INDEX('PW_MLG GRADE 10'!$H$7:$H$31,MATCH(LEFT($A177,LEN($A177)-2),'PW_MLG GRADE 10'!$B$7:$B$31,0))="P")+
 --(INDEX('PW_MLG GRADE 10'!$N$7:$N$31,MATCH(LEFT($A177,LEN($A177)-2),'PW_MLG GRADE 10'!$B$7:$B$31,0))="P")+
 --(INDEX('PW_MLG GRADE 10'!$T$7:$T$31,MATCH(LEFT($A177,LEN($A177)-2),'PW_MLG GRADE 10'!$B$7:$B$31,0))="P")+
 --(INDEX('PW_MLG GRADE 10'!$AF$7:$AF$31,MATCH(LEFT($A177,LEN($A177)-2),'PW_MLG GRADE 10'!$B$7:$B$31,0))="P")+
 --(INDEX('PW_MLG GRADE 10'!$AL$7:$AL$31,MATCH(LEFT($A177,LEN($A177)-2),'PW_MLG GRADE 10'!$B$7:$B$31,0))="P")+
 --(INDEX('PW_MLG GRADE 10'!$AR$7:$AR$31,MATCH(LEFT($A177,LEN($A177)-2),'PW_MLG GRADE 10'!$B$7:$B$31,0))="P")+
 --(INDEX('PW_MLG GRADE 10'!$BD$7:$BD$31,MATCH(LEFT($A177,LEN($A177)-2),'PW_MLG GRADE 10'!$B$7:$B$31,0))="P")+
 --(INDEX('PW_MLG GRADE 10'!$BJ$7:$BJ$31,MATCH(LEFT($A177,LEN($A177)-2),'PW_MLG GRADE 10'!$B$7:$B$31,0))="P")+
 --(INDEX('PW_MLG GRADE 10'!$Z$7:$Z$31,MATCH(LEFT($A177,LEN($A177)-2),'PW_MLG GRADE 10'!$B$7:$B$31,0))="P")+
 --(INDEX('PW_MLG GRADE 10'!$AX$7:$AX$31,MATCH(LEFT($A177,LEN($A177)-2),'PW_MLG GRADE 10'!$B$7:$B$31,0))="P"),
0)</f>
        <v>0</v>
      </c>
      <c r="I177" s="24" t="b">
        <f ca="1">IF(IF(_xlfn.XLOOKUP(LEFT(F177,LEN(F177)-2),'PW_MLG GRADE 10'!$B$7:$B$31,'PW_MLG GRADE 10'!$BM$7:$BM$31,"",0,1)=0,"",_xlfn.XLOOKUP(LEFT(F177,LEN(F177)-2),'PW_MLG GRADE 10'!$B$7:$B$31,'PW_MLG GRADE 10'!$BM$7:$BM$31,"",0,1))&lt;=TODAY(),TRUE,FALSE)</f>
        <v>0</v>
      </c>
      <c r="J177" s="25" t="str">
        <f t="shared" ca="1" si="7"/>
        <v/>
      </c>
    </row>
    <row r="178" spans="1:10">
      <c r="A178" s="24" t="s">
        <v>383</v>
      </c>
      <c r="B178">
        <v>2</v>
      </c>
      <c r="C178">
        <f>IFERROR(
 --(INDEX('TH_MLG GRADE 10'!$H$7:$H$49,MATCH(LEFT($A178,LEN($A178)-2),'TH_MLG GRADE 10'!$B$7:$B$49,0))="P")+
 --(INDEX('TH_MLG GRADE 10'!$N$7:$N$49,MATCH(LEFT($A178,LEN($A178)-2),'TH_MLG GRADE 10'!$B$7:$B$49,0))="P")+
 --(INDEX('TH_MLG GRADE 10'!$T$7:$T$49,MATCH(LEFT($A178,LEN($A178)-2),'TH_MLG GRADE 10'!$B$7:$B$49,0))="P")+
 --(INDEX('TH_MLG GRADE 10'!$AF$7:$AF$49,MATCH(LEFT($A178,LEN($A178)-2),'TH_MLG GRADE 10'!$B$7:$B$49,0))="P")+
 --(INDEX('TH_MLG GRADE 10'!$AL$7:$AL$49,MATCH(LEFT($A178,LEN($A178)-2),'TH_MLG GRADE 10'!$B$7:$B$49,0))="P")+
 --(INDEX('TH_MLG GRADE 10'!$AR$7:$AR$49,MATCH(LEFT($A178,LEN($A178)-2),'TH_MLG GRADE 10'!$B$7:$B$49,0))="P")+
 --(INDEX('TH_MLG GRADE 10'!$BD$7:$BD$49,MATCH(LEFT($A178,LEN($A178)-2),'TH_MLG GRADE 10'!$B$7:$B$49,0))="P")+
 --(INDEX('TH_MLG GRADE 10'!$BJ$7:$BJ$49,MATCH(LEFT($A178,LEN($A178)-2),'TH_MLG GRADE 10'!$B$7:$B$49,0))="P")+
 --(INDEX('TH_MLG GRADE 10'!$Z$7:$Z$49,MATCH(LEFT($A178,LEN($A178)-2),'TH_MLG GRADE 10'!$B$7:$B$49,0))="P")+
 --(INDEX('TH_MLG GRADE 10'!$AX$7:$AX$49,MATCH(LEFT($A178,LEN($A178)-2),'TH_MLG GRADE 10'!$B$7:$B$49,0))="P"),
0)</f>
        <v>0</v>
      </c>
      <c r="D178" s="24" t="b">
        <f ca="1">IF(IF(_xlfn.XLOOKUP(LEFT(A178,LEN(A178)-2),'TH_MLG GRADE 10'!$B$7:$B$49,'TH_MLG GRADE 10'!$BM$7:$BM$49,"",0,1)=0,"",_xlfn.XLOOKUP(LEFT(A178,LEN(A178)-2),'TH_MLG GRADE 10'!$B$7:$B$49,'TH_MLG GRADE 10'!$BM$7:$BM$49,"",0,1))&lt;=TODAY(),TRUE,FALSE)</f>
        <v>0</v>
      </c>
      <c r="E178" s="25" t="str">
        <f t="shared" ca="1" si="6"/>
        <v/>
      </c>
      <c r="F178" s="24" t="s">
        <v>336</v>
      </c>
      <c r="G178">
        <v>2</v>
      </c>
      <c r="H178">
        <f>IFERROR(
 --(INDEX('PW_MLG GRADE 10'!$H$7:$H$31,MATCH(LEFT($A178,LEN($A178)-2),'PW_MLG GRADE 10'!$B$7:$B$31,0))="P")+
 --(INDEX('PW_MLG GRADE 10'!$N$7:$N$31,MATCH(LEFT($A178,LEN($A178)-2),'PW_MLG GRADE 10'!$B$7:$B$31,0))="P")+
 --(INDEX('PW_MLG GRADE 10'!$T$7:$T$31,MATCH(LEFT($A178,LEN($A178)-2),'PW_MLG GRADE 10'!$B$7:$B$31,0))="P")+
 --(INDEX('PW_MLG GRADE 10'!$AF$7:$AF$31,MATCH(LEFT($A178,LEN($A178)-2),'PW_MLG GRADE 10'!$B$7:$B$31,0))="P")+
 --(INDEX('PW_MLG GRADE 10'!$AL$7:$AL$31,MATCH(LEFT($A178,LEN($A178)-2),'PW_MLG GRADE 10'!$B$7:$B$31,0))="P")+
 --(INDEX('PW_MLG GRADE 10'!$AR$7:$AR$31,MATCH(LEFT($A178,LEN($A178)-2),'PW_MLG GRADE 10'!$B$7:$B$31,0))="P")+
 --(INDEX('PW_MLG GRADE 10'!$BD$7:$BD$31,MATCH(LEFT($A178,LEN($A178)-2),'PW_MLG GRADE 10'!$B$7:$B$31,0))="P")+
 --(INDEX('PW_MLG GRADE 10'!$BJ$7:$BJ$31,MATCH(LEFT($A178,LEN($A178)-2),'PW_MLG GRADE 10'!$B$7:$B$31,0))="P")+
 --(INDEX('PW_MLG GRADE 10'!$Z$7:$Z$31,MATCH(LEFT($A178,LEN($A178)-2),'PW_MLG GRADE 10'!$B$7:$B$31,0))="P")+
 --(INDEX('PW_MLG GRADE 10'!$AX$7:$AX$31,MATCH(LEFT($A178,LEN($A178)-2),'PW_MLG GRADE 10'!$B$7:$B$31,0))="P"),
0)</f>
        <v>0</v>
      </c>
      <c r="I178" s="24" t="b">
        <f ca="1">IF(IF(_xlfn.XLOOKUP(LEFT(F178,LEN(F178)-2),'PW_MLG GRADE 10'!$B$7:$B$31,'PW_MLG GRADE 10'!$BM$7:$BM$31,"",0,1)=0,"",_xlfn.XLOOKUP(LEFT(F178,LEN(F178)-2),'PW_MLG GRADE 10'!$B$7:$B$31,'PW_MLG GRADE 10'!$BM$7:$BM$31,"",0,1))&lt;=TODAY(),TRUE,FALSE)</f>
        <v>0</v>
      </c>
      <c r="J178" s="25" t="str">
        <f t="shared" ca="1" si="7"/>
        <v/>
      </c>
    </row>
    <row r="179" spans="1:10">
      <c r="A179" s="24" t="s">
        <v>384</v>
      </c>
      <c r="B179">
        <v>2</v>
      </c>
      <c r="C179">
        <f>IFERROR(
 --(INDEX('TH_MLG GRADE 10'!$H$7:$H$49,MATCH(LEFT($A179,LEN($A179)-2),'TH_MLG GRADE 10'!$B$7:$B$49,0))="P")+
 --(INDEX('TH_MLG GRADE 10'!$N$7:$N$49,MATCH(LEFT($A179,LEN($A179)-2),'TH_MLG GRADE 10'!$B$7:$B$49,0))="P")+
 --(INDEX('TH_MLG GRADE 10'!$T$7:$T$49,MATCH(LEFT($A179,LEN($A179)-2),'TH_MLG GRADE 10'!$B$7:$B$49,0))="P")+
 --(INDEX('TH_MLG GRADE 10'!$AF$7:$AF$49,MATCH(LEFT($A179,LEN($A179)-2),'TH_MLG GRADE 10'!$B$7:$B$49,0))="P")+
 --(INDEX('TH_MLG GRADE 10'!$AL$7:$AL$49,MATCH(LEFT($A179,LEN($A179)-2),'TH_MLG GRADE 10'!$B$7:$B$49,0))="P")+
 --(INDEX('TH_MLG GRADE 10'!$AR$7:$AR$49,MATCH(LEFT($A179,LEN($A179)-2),'TH_MLG GRADE 10'!$B$7:$B$49,0))="P")+
 --(INDEX('TH_MLG GRADE 10'!$BD$7:$BD$49,MATCH(LEFT($A179,LEN($A179)-2),'TH_MLG GRADE 10'!$B$7:$B$49,0))="P")+
 --(INDEX('TH_MLG GRADE 10'!$BJ$7:$BJ$49,MATCH(LEFT($A179,LEN($A179)-2),'TH_MLG GRADE 10'!$B$7:$B$49,0))="P")+
 --(INDEX('TH_MLG GRADE 10'!$Z$7:$Z$49,MATCH(LEFT($A179,LEN($A179)-2),'TH_MLG GRADE 10'!$B$7:$B$49,0))="P")+
 --(INDEX('TH_MLG GRADE 10'!$AX$7:$AX$49,MATCH(LEFT($A179,LEN($A179)-2),'TH_MLG GRADE 10'!$B$7:$B$49,0))="P"),
0)</f>
        <v>1</v>
      </c>
      <c r="D179" s="24" t="b">
        <f ca="1">IF(IF(_xlfn.XLOOKUP(LEFT(A179,LEN(A179)-2),'TH_MLG GRADE 10'!$B$7:$B$49,'TH_MLG GRADE 10'!$BM$7:$BM$49,"",0,1)=0,"",_xlfn.XLOOKUP(LEFT(A179,LEN(A179)-2),'TH_MLG GRADE 10'!$B$7:$B$49,'TH_MLG GRADE 10'!$BM$7:$BM$49,"",0,1))&lt;=TODAY(),TRUE,FALSE)</f>
        <v>1</v>
      </c>
      <c r="E179" s="25">
        <f t="shared" ca="1" si="6"/>
        <v>0.5</v>
      </c>
      <c r="F179" s="24" t="s">
        <v>337</v>
      </c>
      <c r="G179">
        <v>2</v>
      </c>
      <c r="H179">
        <f>IFERROR(
 --(INDEX('PW_MLG GRADE 10'!$H$7:$H$31,MATCH(LEFT($A179,LEN($A179)-2),'PW_MLG GRADE 10'!$B$7:$B$31,0))="P")+
 --(INDEX('PW_MLG GRADE 10'!$N$7:$N$31,MATCH(LEFT($A179,LEN($A179)-2),'PW_MLG GRADE 10'!$B$7:$B$31,0))="P")+
 --(INDEX('PW_MLG GRADE 10'!$T$7:$T$31,MATCH(LEFT($A179,LEN($A179)-2),'PW_MLG GRADE 10'!$B$7:$B$31,0))="P")+
 --(INDEX('PW_MLG GRADE 10'!$AF$7:$AF$31,MATCH(LEFT($A179,LEN($A179)-2),'PW_MLG GRADE 10'!$B$7:$B$31,0))="P")+
 --(INDEX('PW_MLG GRADE 10'!$AL$7:$AL$31,MATCH(LEFT($A179,LEN($A179)-2),'PW_MLG GRADE 10'!$B$7:$B$31,0))="P")+
 --(INDEX('PW_MLG GRADE 10'!$AR$7:$AR$31,MATCH(LEFT($A179,LEN($A179)-2),'PW_MLG GRADE 10'!$B$7:$B$31,0))="P")+
 --(INDEX('PW_MLG GRADE 10'!$BD$7:$BD$31,MATCH(LEFT($A179,LEN($A179)-2),'PW_MLG GRADE 10'!$B$7:$B$31,0))="P")+
 --(INDEX('PW_MLG GRADE 10'!$BJ$7:$BJ$31,MATCH(LEFT($A179,LEN($A179)-2),'PW_MLG GRADE 10'!$B$7:$B$31,0))="P")+
 --(INDEX('PW_MLG GRADE 10'!$Z$7:$Z$31,MATCH(LEFT($A179,LEN($A179)-2),'PW_MLG GRADE 10'!$B$7:$B$31,0))="P")+
 --(INDEX('PW_MLG GRADE 10'!$AX$7:$AX$31,MATCH(LEFT($A179,LEN($A179)-2),'PW_MLG GRADE 10'!$B$7:$B$31,0))="P"),
0)</f>
        <v>0</v>
      </c>
      <c r="I179" s="24" t="b">
        <f ca="1">IF(IF(_xlfn.XLOOKUP(LEFT(F179,LEN(F179)-2),'PW_MLG GRADE 10'!$B$7:$B$31,'PW_MLG GRADE 10'!$BM$7:$BM$31,"",0,1)=0,"",_xlfn.XLOOKUP(LEFT(F179,LEN(F179)-2),'PW_MLG GRADE 10'!$B$7:$B$31,'PW_MLG GRADE 10'!$BM$7:$BM$31,"",0,1))&lt;=TODAY(),TRUE,FALSE)</f>
        <v>0</v>
      </c>
      <c r="J179" s="25" t="str">
        <f t="shared" ca="1" si="7"/>
        <v/>
      </c>
    </row>
    <row r="180" spans="1:10">
      <c r="A180" s="24" t="s">
        <v>385</v>
      </c>
      <c r="B180">
        <v>2</v>
      </c>
      <c r="C180">
        <f>IFERROR(
 --(INDEX('TH_MLG GRADE 10'!$H$7:$H$49,MATCH(LEFT($A180,LEN($A180)-2),'TH_MLG GRADE 10'!$B$7:$B$49,0))="P")+
 --(INDEX('TH_MLG GRADE 10'!$N$7:$N$49,MATCH(LEFT($A180,LEN($A180)-2),'TH_MLG GRADE 10'!$B$7:$B$49,0))="P")+
 --(INDEX('TH_MLG GRADE 10'!$T$7:$T$49,MATCH(LEFT($A180,LEN($A180)-2),'TH_MLG GRADE 10'!$B$7:$B$49,0))="P")+
 --(INDEX('TH_MLG GRADE 10'!$AF$7:$AF$49,MATCH(LEFT($A180,LEN($A180)-2),'TH_MLG GRADE 10'!$B$7:$B$49,0))="P")+
 --(INDEX('TH_MLG GRADE 10'!$AL$7:$AL$49,MATCH(LEFT($A180,LEN($A180)-2),'TH_MLG GRADE 10'!$B$7:$B$49,0))="P")+
 --(INDEX('TH_MLG GRADE 10'!$AR$7:$AR$49,MATCH(LEFT($A180,LEN($A180)-2),'TH_MLG GRADE 10'!$B$7:$B$49,0))="P")+
 --(INDEX('TH_MLG GRADE 10'!$BD$7:$BD$49,MATCH(LEFT($A180,LEN($A180)-2),'TH_MLG GRADE 10'!$B$7:$B$49,0))="P")+
 --(INDEX('TH_MLG GRADE 10'!$BJ$7:$BJ$49,MATCH(LEFT($A180,LEN($A180)-2),'TH_MLG GRADE 10'!$B$7:$B$49,0))="P")+
 --(INDEX('TH_MLG GRADE 10'!$Z$7:$Z$49,MATCH(LEFT($A180,LEN($A180)-2),'TH_MLG GRADE 10'!$B$7:$B$49,0))="P")+
 --(INDEX('TH_MLG GRADE 10'!$AX$7:$AX$49,MATCH(LEFT($A180,LEN($A180)-2),'TH_MLG GRADE 10'!$B$7:$B$49,0))="P"),
0)</f>
        <v>1</v>
      </c>
      <c r="D180" s="24" t="b">
        <f ca="1">IF(IF(_xlfn.XLOOKUP(LEFT(A180,LEN(A180)-2),'TH_MLG GRADE 10'!$B$7:$B$49,'TH_MLG GRADE 10'!$BM$7:$BM$49,"",0,1)=0,"",_xlfn.XLOOKUP(LEFT(A180,LEN(A180)-2),'TH_MLG GRADE 10'!$B$7:$B$49,'TH_MLG GRADE 10'!$BM$7:$BM$49,"",0,1))&lt;=TODAY(),TRUE,FALSE)</f>
        <v>1</v>
      </c>
      <c r="E180" s="25">
        <f t="shared" ca="1" si="6"/>
        <v>0.5</v>
      </c>
      <c r="F180" s="24" t="s">
        <v>338</v>
      </c>
      <c r="G180">
        <v>2</v>
      </c>
      <c r="H180">
        <f>IFERROR(
 --(INDEX('PW_MLG GRADE 10'!$H$7:$H$31,MATCH(LEFT($A180,LEN($A180)-2),'PW_MLG GRADE 10'!$B$7:$B$31,0))="P")+
 --(INDEX('PW_MLG GRADE 10'!$N$7:$N$31,MATCH(LEFT($A180,LEN($A180)-2),'PW_MLG GRADE 10'!$B$7:$B$31,0))="P")+
 --(INDEX('PW_MLG GRADE 10'!$T$7:$T$31,MATCH(LEFT($A180,LEN($A180)-2),'PW_MLG GRADE 10'!$B$7:$B$31,0))="P")+
 --(INDEX('PW_MLG GRADE 10'!$AF$7:$AF$31,MATCH(LEFT($A180,LEN($A180)-2),'PW_MLG GRADE 10'!$B$7:$B$31,0))="P")+
 --(INDEX('PW_MLG GRADE 10'!$AL$7:$AL$31,MATCH(LEFT($A180,LEN($A180)-2),'PW_MLG GRADE 10'!$B$7:$B$31,0))="P")+
 --(INDEX('PW_MLG GRADE 10'!$AR$7:$AR$31,MATCH(LEFT($A180,LEN($A180)-2),'PW_MLG GRADE 10'!$B$7:$B$31,0))="P")+
 --(INDEX('PW_MLG GRADE 10'!$BD$7:$BD$31,MATCH(LEFT($A180,LEN($A180)-2),'PW_MLG GRADE 10'!$B$7:$B$31,0))="P")+
 --(INDEX('PW_MLG GRADE 10'!$BJ$7:$BJ$31,MATCH(LEFT($A180,LEN($A180)-2),'PW_MLG GRADE 10'!$B$7:$B$31,0))="P")+
 --(INDEX('PW_MLG GRADE 10'!$Z$7:$Z$31,MATCH(LEFT($A180,LEN($A180)-2),'PW_MLG GRADE 10'!$B$7:$B$31,0))="P")+
 --(INDEX('PW_MLG GRADE 10'!$AX$7:$AX$31,MATCH(LEFT($A180,LEN($A180)-2),'PW_MLG GRADE 10'!$B$7:$B$31,0))="P"),
0)</f>
        <v>0</v>
      </c>
      <c r="I180" s="24" t="b">
        <f ca="1">IF(IF(_xlfn.XLOOKUP(LEFT(F180,LEN(F180)-2),'PW_MLG GRADE 10'!$B$7:$B$31,'PW_MLG GRADE 10'!$BM$7:$BM$31,"",0,1)=0,"",_xlfn.XLOOKUP(LEFT(F180,LEN(F180)-2),'PW_MLG GRADE 10'!$B$7:$B$31,'PW_MLG GRADE 10'!$BM$7:$BM$31,"",0,1))&lt;=TODAY(),TRUE,FALSE)</f>
        <v>0</v>
      </c>
      <c r="J180" s="25" t="str">
        <f t="shared" ca="1" si="7"/>
        <v/>
      </c>
    </row>
    <row r="181" spans="1:10">
      <c r="A181" s="24" t="s">
        <v>386</v>
      </c>
      <c r="B181">
        <v>2</v>
      </c>
      <c r="C181">
        <f>IFERROR(
 --(INDEX('TH_MLG GRADE 10'!$H$7:$H$49,MATCH(LEFT($A181,LEN($A181)-2),'TH_MLG GRADE 10'!$B$7:$B$49,0))="P")+
 --(INDEX('TH_MLG GRADE 10'!$N$7:$N$49,MATCH(LEFT($A181,LEN($A181)-2),'TH_MLG GRADE 10'!$B$7:$B$49,0))="P")+
 --(INDEX('TH_MLG GRADE 10'!$T$7:$T$49,MATCH(LEFT($A181,LEN($A181)-2),'TH_MLG GRADE 10'!$B$7:$B$49,0))="P")+
 --(INDEX('TH_MLG GRADE 10'!$AF$7:$AF$49,MATCH(LEFT($A181,LEN($A181)-2),'TH_MLG GRADE 10'!$B$7:$B$49,0))="P")+
 --(INDEX('TH_MLG GRADE 10'!$AL$7:$AL$49,MATCH(LEFT($A181,LEN($A181)-2),'TH_MLG GRADE 10'!$B$7:$B$49,0))="P")+
 --(INDEX('TH_MLG GRADE 10'!$AR$7:$AR$49,MATCH(LEFT($A181,LEN($A181)-2),'TH_MLG GRADE 10'!$B$7:$B$49,0))="P")+
 --(INDEX('TH_MLG GRADE 10'!$BD$7:$BD$49,MATCH(LEFT($A181,LEN($A181)-2),'TH_MLG GRADE 10'!$B$7:$B$49,0))="P")+
 --(INDEX('TH_MLG GRADE 10'!$BJ$7:$BJ$49,MATCH(LEFT($A181,LEN($A181)-2),'TH_MLG GRADE 10'!$B$7:$B$49,0))="P")+
 --(INDEX('TH_MLG GRADE 10'!$Z$7:$Z$49,MATCH(LEFT($A181,LEN($A181)-2),'TH_MLG GRADE 10'!$B$7:$B$49,0))="P")+
 --(INDEX('TH_MLG GRADE 10'!$AX$7:$AX$49,MATCH(LEFT($A181,LEN($A181)-2),'TH_MLG GRADE 10'!$B$7:$B$49,0))="P"),
0)</f>
        <v>1</v>
      </c>
      <c r="D181" s="24" t="b">
        <f ca="1">IF(IF(_xlfn.XLOOKUP(LEFT(A181,LEN(A181)-2),'TH_MLG GRADE 10'!$B$7:$B$49,'TH_MLG GRADE 10'!$BM$7:$BM$49,"",0,1)=0,"",_xlfn.XLOOKUP(LEFT(A181,LEN(A181)-2),'TH_MLG GRADE 10'!$B$7:$B$49,'TH_MLG GRADE 10'!$BM$7:$BM$49,"",0,1))&lt;=TODAY(),TRUE,FALSE)</f>
        <v>1</v>
      </c>
      <c r="E181" s="25">
        <f t="shared" ca="1" si="6"/>
        <v>0.5</v>
      </c>
      <c r="F181" s="24" t="s">
        <v>339</v>
      </c>
      <c r="G181">
        <v>2</v>
      </c>
      <c r="H181">
        <f>IFERROR(
 --(INDEX('PW_MLG GRADE 10'!$H$7:$H$31,MATCH(LEFT($A181,LEN($A181)-2),'PW_MLG GRADE 10'!$B$7:$B$31,0))="P")+
 --(INDEX('PW_MLG GRADE 10'!$N$7:$N$31,MATCH(LEFT($A181,LEN($A181)-2),'PW_MLG GRADE 10'!$B$7:$B$31,0))="P")+
 --(INDEX('PW_MLG GRADE 10'!$T$7:$T$31,MATCH(LEFT($A181,LEN($A181)-2),'PW_MLG GRADE 10'!$B$7:$B$31,0))="P")+
 --(INDEX('PW_MLG GRADE 10'!$AF$7:$AF$31,MATCH(LEFT($A181,LEN($A181)-2),'PW_MLG GRADE 10'!$B$7:$B$31,0))="P")+
 --(INDEX('PW_MLG GRADE 10'!$AL$7:$AL$31,MATCH(LEFT($A181,LEN($A181)-2),'PW_MLG GRADE 10'!$B$7:$B$31,0))="P")+
 --(INDEX('PW_MLG GRADE 10'!$AR$7:$AR$31,MATCH(LEFT($A181,LEN($A181)-2),'PW_MLG GRADE 10'!$B$7:$B$31,0))="P")+
 --(INDEX('PW_MLG GRADE 10'!$BD$7:$BD$31,MATCH(LEFT($A181,LEN($A181)-2),'PW_MLG GRADE 10'!$B$7:$B$31,0))="P")+
 --(INDEX('PW_MLG GRADE 10'!$BJ$7:$BJ$31,MATCH(LEFT($A181,LEN($A181)-2),'PW_MLG GRADE 10'!$B$7:$B$31,0))="P")+
 --(INDEX('PW_MLG GRADE 10'!$Z$7:$Z$31,MATCH(LEFT($A181,LEN($A181)-2),'PW_MLG GRADE 10'!$B$7:$B$31,0))="P")+
 --(INDEX('PW_MLG GRADE 10'!$AX$7:$AX$31,MATCH(LEFT($A181,LEN($A181)-2),'PW_MLG GRADE 10'!$B$7:$B$31,0))="P"),
0)</f>
        <v>0</v>
      </c>
      <c r="I181" s="24" t="b">
        <f ca="1">IF(IF(_xlfn.XLOOKUP(LEFT(F181,LEN(F181)-2),'PW_MLG GRADE 10'!$B$7:$B$31,'PW_MLG GRADE 10'!$BM$7:$BM$31,"",0,1)=0,"",_xlfn.XLOOKUP(LEFT(F181,LEN(F181)-2),'PW_MLG GRADE 10'!$B$7:$B$31,'PW_MLG GRADE 10'!$BM$7:$BM$31,"",0,1))&lt;=TODAY(),TRUE,FALSE)</f>
        <v>0</v>
      </c>
      <c r="J181" s="25" t="str">
        <f t="shared" ca="1" si="7"/>
        <v/>
      </c>
    </row>
    <row r="182" spans="1:10">
      <c r="A182" s="24" t="s">
        <v>387</v>
      </c>
      <c r="B182">
        <v>2</v>
      </c>
      <c r="C182">
        <f>IFERROR(
 --(INDEX('TH_MLG GRADE 10'!$H$7:$H$49,MATCH(LEFT($A182,LEN($A182)-2),'TH_MLG GRADE 10'!$B$7:$B$49,0))="P")+
 --(INDEX('TH_MLG GRADE 10'!$N$7:$N$49,MATCH(LEFT($A182,LEN($A182)-2),'TH_MLG GRADE 10'!$B$7:$B$49,0))="P")+
 --(INDEX('TH_MLG GRADE 10'!$T$7:$T$49,MATCH(LEFT($A182,LEN($A182)-2),'TH_MLG GRADE 10'!$B$7:$B$49,0))="P")+
 --(INDEX('TH_MLG GRADE 10'!$AF$7:$AF$49,MATCH(LEFT($A182,LEN($A182)-2),'TH_MLG GRADE 10'!$B$7:$B$49,0))="P")+
 --(INDEX('TH_MLG GRADE 10'!$AL$7:$AL$49,MATCH(LEFT($A182,LEN($A182)-2),'TH_MLG GRADE 10'!$B$7:$B$49,0))="P")+
 --(INDEX('TH_MLG GRADE 10'!$AR$7:$AR$49,MATCH(LEFT($A182,LEN($A182)-2),'TH_MLG GRADE 10'!$B$7:$B$49,0))="P")+
 --(INDEX('TH_MLG GRADE 10'!$BD$7:$BD$49,MATCH(LEFT($A182,LEN($A182)-2),'TH_MLG GRADE 10'!$B$7:$B$49,0))="P")+
 --(INDEX('TH_MLG GRADE 10'!$BJ$7:$BJ$49,MATCH(LEFT($A182,LEN($A182)-2),'TH_MLG GRADE 10'!$B$7:$B$49,0))="P")+
 --(INDEX('TH_MLG GRADE 10'!$Z$7:$Z$49,MATCH(LEFT($A182,LEN($A182)-2),'TH_MLG GRADE 10'!$B$7:$B$49,0))="P")+
 --(INDEX('TH_MLG GRADE 10'!$AX$7:$AX$49,MATCH(LEFT($A182,LEN($A182)-2),'TH_MLG GRADE 10'!$B$7:$B$49,0))="P"),
0)</f>
        <v>1</v>
      </c>
      <c r="D182" s="24" t="b">
        <f ca="1">IF(IF(_xlfn.XLOOKUP(LEFT(A182,LEN(A182)-2),'TH_MLG GRADE 10'!$B$7:$B$49,'TH_MLG GRADE 10'!$BM$7:$BM$49,"",0,1)=0,"",_xlfn.XLOOKUP(LEFT(A182,LEN(A182)-2),'TH_MLG GRADE 10'!$B$7:$B$49,'TH_MLG GRADE 10'!$BM$7:$BM$49,"",0,1))&lt;=TODAY(),TRUE,FALSE)</f>
        <v>1</v>
      </c>
      <c r="E182" s="25">
        <f t="shared" ca="1" si="6"/>
        <v>0.5</v>
      </c>
      <c r="F182" s="24" t="s">
        <v>340</v>
      </c>
      <c r="G182">
        <v>2</v>
      </c>
      <c r="H182">
        <f>IFERROR(
 --(INDEX('PW_MLG GRADE 10'!$H$7:$H$31,MATCH(LEFT($A182,LEN($A182)-2),'PW_MLG GRADE 10'!$B$7:$B$31,0))="P")+
 --(INDEX('PW_MLG GRADE 10'!$N$7:$N$31,MATCH(LEFT($A182,LEN($A182)-2),'PW_MLG GRADE 10'!$B$7:$B$31,0))="P")+
 --(INDEX('PW_MLG GRADE 10'!$T$7:$T$31,MATCH(LEFT($A182,LEN($A182)-2),'PW_MLG GRADE 10'!$B$7:$B$31,0))="P")+
 --(INDEX('PW_MLG GRADE 10'!$AF$7:$AF$31,MATCH(LEFT($A182,LEN($A182)-2),'PW_MLG GRADE 10'!$B$7:$B$31,0))="P")+
 --(INDEX('PW_MLG GRADE 10'!$AL$7:$AL$31,MATCH(LEFT($A182,LEN($A182)-2),'PW_MLG GRADE 10'!$B$7:$B$31,0))="P")+
 --(INDEX('PW_MLG GRADE 10'!$AR$7:$AR$31,MATCH(LEFT($A182,LEN($A182)-2),'PW_MLG GRADE 10'!$B$7:$B$31,0))="P")+
 --(INDEX('PW_MLG GRADE 10'!$BD$7:$BD$31,MATCH(LEFT($A182,LEN($A182)-2),'PW_MLG GRADE 10'!$B$7:$B$31,0))="P")+
 --(INDEX('PW_MLG GRADE 10'!$BJ$7:$BJ$31,MATCH(LEFT($A182,LEN($A182)-2),'PW_MLG GRADE 10'!$B$7:$B$31,0))="P")+
 --(INDEX('PW_MLG GRADE 10'!$Z$7:$Z$31,MATCH(LEFT($A182,LEN($A182)-2),'PW_MLG GRADE 10'!$B$7:$B$31,0))="P")+
 --(INDEX('PW_MLG GRADE 10'!$AX$7:$AX$31,MATCH(LEFT($A182,LEN($A182)-2),'PW_MLG GRADE 10'!$B$7:$B$31,0))="P"),
0)</f>
        <v>0</v>
      </c>
      <c r="I182" s="24" t="b">
        <f ca="1">IF(IF(_xlfn.XLOOKUP(LEFT(F182,LEN(F182)-2),'PW_MLG GRADE 10'!$B$7:$B$31,'PW_MLG GRADE 10'!$BM$7:$BM$31,"",0,1)=0,"",_xlfn.XLOOKUP(LEFT(F182,LEN(F182)-2),'PW_MLG GRADE 10'!$B$7:$B$31,'PW_MLG GRADE 10'!$BM$7:$BM$31,"",0,1))&lt;=TODAY(),TRUE,FALSE)</f>
        <v>0</v>
      </c>
      <c r="J182" s="25" t="str">
        <f t="shared" ca="1" si="7"/>
        <v/>
      </c>
    </row>
    <row r="183" spans="1:10">
      <c r="A183" s="24" t="s">
        <v>388</v>
      </c>
      <c r="B183">
        <v>2</v>
      </c>
      <c r="C183">
        <f>IFERROR(
 --(INDEX('TH_MLG GRADE 10'!$H$7:$H$49,MATCH(LEFT($A183,LEN($A183)-2),'TH_MLG GRADE 10'!$B$7:$B$49,0))="P")+
 --(INDEX('TH_MLG GRADE 10'!$N$7:$N$49,MATCH(LEFT($A183,LEN($A183)-2),'TH_MLG GRADE 10'!$B$7:$B$49,0))="P")+
 --(INDEX('TH_MLG GRADE 10'!$T$7:$T$49,MATCH(LEFT($A183,LEN($A183)-2),'TH_MLG GRADE 10'!$B$7:$B$49,0))="P")+
 --(INDEX('TH_MLG GRADE 10'!$AF$7:$AF$49,MATCH(LEFT($A183,LEN($A183)-2),'TH_MLG GRADE 10'!$B$7:$B$49,0))="P")+
 --(INDEX('TH_MLG GRADE 10'!$AL$7:$AL$49,MATCH(LEFT($A183,LEN($A183)-2),'TH_MLG GRADE 10'!$B$7:$B$49,0))="P")+
 --(INDEX('TH_MLG GRADE 10'!$AR$7:$AR$49,MATCH(LEFT($A183,LEN($A183)-2),'TH_MLG GRADE 10'!$B$7:$B$49,0))="P")+
 --(INDEX('TH_MLG GRADE 10'!$BD$7:$BD$49,MATCH(LEFT($A183,LEN($A183)-2),'TH_MLG GRADE 10'!$B$7:$B$49,0))="P")+
 --(INDEX('TH_MLG GRADE 10'!$BJ$7:$BJ$49,MATCH(LEFT($A183,LEN($A183)-2),'TH_MLG GRADE 10'!$B$7:$B$49,0))="P")+
 --(INDEX('TH_MLG GRADE 10'!$Z$7:$Z$49,MATCH(LEFT($A183,LEN($A183)-2),'TH_MLG GRADE 10'!$B$7:$B$49,0))="P")+
 --(INDEX('TH_MLG GRADE 10'!$AX$7:$AX$49,MATCH(LEFT($A183,LEN($A183)-2),'TH_MLG GRADE 10'!$B$7:$B$49,0))="P"),
0)</f>
        <v>0</v>
      </c>
      <c r="D183" s="24" t="b">
        <f ca="1">IF(IF(_xlfn.XLOOKUP(LEFT(A183,LEN(A183)-2),'TH_MLG GRADE 10'!$B$7:$B$49,'TH_MLG GRADE 10'!$BM$7:$BM$49,"",0,1)=0,"",_xlfn.XLOOKUP(LEFT(A183,LEN(A183)-2),'TH_MLG GRADE 10'!$B$7:$B$49,'TH_MLG GRADE 10'!$BM$7:$BM$49,"",0,1))&lt;=TODAY(),TRUE,FALSE)</f>
        <v>0</v>
      </c>
      <c r="E183" s="25" t="str">
        <f t="shared" ca="1" si="6"/>
        <v/>
      </c>
      <c r="F183" s="24" t="s">
        <v>341</v>
      </c>
      <c r="G183">
        <v>2</v>
      </c>
      <c r="H183">
        <f>IFERROR(
 --(INDEX('PW_MLG GRADE 10'!$H$7:$H$31,MATCH(LEFT($A183,LEN($A183)-2),'PW_MLG GRADE 10'!$B$7:$B$31,0))="P")+
 --(INDEX('PW_MLG GRADE 10'!$N$7:$N$31,MATCH(LEFT($A183,LEN($A183)-2),'PW_MLG GRADE 10'!$B$7:$B$31,0))="P")+
 --(INDEX('PW_MLG GRADE 10'!$T$7:$T$31,MATCH(LEFT($A183,LEN($A183)-2),'PW_MLG GRADE 10'!$B$7:$B$31,0))="P")+
 --(INDEX('PW_MLG GRADE 10'!$AF$7:$AF$31,MATCH(LEFT($A183,LEN($A183)-2),'PW_MLG GRADE 10'!$B$7:$B$31,0))="P")+
 --(INDEX('PW_MLG GRADE 10'!$AL$7:$AL$31,MATCH(LEFT($A183,LEN($A183)-2),'PW_MLG GRADE 10'!$B$7:$B$31,0))="P")+
 --(INDEX('PW_MLG GRADE 10'!$AR$7:$AR$31,MATCH(LEFT($A183,LEN($A183)-2),'PW_MLG GRADE 10'!$B$7:$B$31,0))="P")+
 --(INDEX('PW_MLG GRADE 10'!$BD$7:$BD$31,MATCH(LEFT($A183,LEN($A183)-2),'PW_MLG GRADE 10'!$B$7:$B$31,0))="P")+
 --(INDEX('PW_MLG GRADE 10'!$BJ$7:$BJ$31,MATCH(LEFT($A183,LEN($A183)-2),'PW_MLG GRADE 10'!$B$7:$B$31,0))="P")+
 --(INDEX('PW_MLG GRADE 10'!$Z$7:$Z$31,MATCH(LEFT($A183,LEN($A183)-2),'PW_MLG GRADE 10'!$B$7:$B$31,0))="P")+
 --(INDEX('PW_MLG GRADE 10'!$AX$7:$AX$31,MATCH(LEFT($A183,LEN($A183)-2),'PW_MLG GRADE 10'!$B$7:$B$31,0))="P"),
0)</f>
        <v>0</v>
      </c>
      <c r="I183" s="24" t="b">
        <f ca="1">IF(IF(_xlfn.XLOOKUP(LEFT(F183,LEN(F183)-2),'PW_MLG GRADE 10'!$B$7:$B$31,'PW_MLG GRADE 10'!$BM$7:$BM$31,"",0,1)=0,"",_xlfn.XLOOKUP(LEFT(F183,LEN(F183)-2),'PW_MLG GRADE 10'!$B$7:$B$31,'PW_MLG GRADE 10'!$BM$7:$BM$31,"",0,1))&lt;=TODAY(),TRUE,FALSE)</f>
        <v>0</v>
      </c>
      <c r="J183" s="25" t="str">
        <f t="shared" ca="1" si="7"/>
        <v/>
      </c>
    </row>
    <row r="184" spans="1:10">
      <c r="A184" s="24" t="s">
        <v>389</v>
      </c>
      <c r="B184">
        <v>2</v>
      </c>
      <c r="C184">
        <f>IFERROR(
 --(INDEX('TH_MLG GRADE 10'!$H$7:$H$49,MATCH(LEFT($A184,LEN($A184)-2),'TH_MLG GRADE 10'!$B$7:$B$49,0))="P")+
 --(INDEX('TH_MLG GRADE 10'!$N$7:$N$49,MATCH(LEFT($A184,LEN($A184)-2),'TH_MLG GRADE 10'!$B$7:$B$49,0))="P")+
 --(INDEX('TH_MLG GRADE 10'!$T$7:$T$49,MATCH(LEFT($A184,LEN($A184)-2),'TH_MLG GRADE 10'!$B$7:$B$49,0))="P")+
 --(INDEX('TH_MLG GRADE 10'!$AF$7:$AF$49,MATCH(LEFT($A184,LEN($A184)-2),'TH_MLG GRADE 10'!$B$7:$B$49,0))="P")+
 --(INDEX('TH_MLG GRADE 10'!$AL$7:$AL$49,MATCH(LEFT($A184,LEN($A184)-2),'TH_MLG GRADE 10'!$B$7:$B$49,0))="P")+
 --(INDEX('TH_MLG GRADE 10'!$AR$7:$AR$49,MATCH(LEFT($A184,LEN($A184)-2),'TH_MLG GRADE 10'!$B$7:$B$49,0))="P")+
 --(INDEX('TH_MLG GRADE 10'!$BD$7:$BD$49,MATCH(LEFT($A184,LEN($A184)-2),'TH_MLG GRADE 10'!$B$7:$B$49,0))="P")+
 --(INDEX('TH_MLG GRADE 10'!$BJ$7:$BJ$49,MATCH(LEFT($A184,LEN($A184)-2),'TH_MLG GRADE 10'!$B$7:$B$49,0))="P")+
 --(INDEX('TH_MLG GRADE 10'!$Z$7:$Z$49,MATCH(LEFT($A184,LEN($A184)-2),'TH_MLG GRADE 10'!$B$7:$B$49,0))="P")+
 --(INDEX('TH_MLG GRADE 10'!$AX$7:$AX$49,MATCH(LEFT($A184,LEN($A184)-2),'TH_MLG GRADE 10'!$B$7:$B$49,0))="P"),
0)</f>
        <v>0</v>
      </c>
      <c r="D184" s="24" t="b">
        <f ca="1">IF(IF(_xlfn.XLOOKUP(LEFT(A184,LEN(A184)-2),'TH_MLG GRADE 10'!$B$7:$B$49,'TH_MLG GRADE 10'!$BM$7:$BM$49,"",0,1)=0,"",_xlfn.XLOOKUP(LEFT(A184,LEN(A184)-2),'TH_MLG GRADE 10'!$B$7:$B$49,'TH_MLG GRADE 10'!$BM$7:$BM$49,"",0,1))&lt;=TODAY(),TRUE,FALSE)</f>
        <v>0</v>
      </c>
      <c r="E184" s="25" t="str">
        <f t="shared" ca="1" si="6"/>
        <v/>
      </c>
      <c r="F184" s="24" t="s">
        <v>342</v>
      </c>
      <c r="G184">
        <v>2</v>
      </c>
      <c r="H184">
        <f>IFERROR(
 --(INDEX('PW_MLG GRADE 10'!$H$7:$H$31,MATCH(LEFT($A184,LEN($A184)-2),'PW_MLG GRADE 10'!$B$7:$B$31,0))="P")+
 --(INDEX('PW_MLG GRADE 10'!$N$7:$N$31,MATCH(LEFT($A184,LEN($A184)-2),'PW_MLG GRADE 10'!$B$7:$B$31,0))="P")+
 --(INDEX('PW_MLG GRADE 10'!$T$7:$T$31,MATCH(LEFT($A184,LEN($A184)-2),'PW_MLG GRADE 10'!$B$7:$B$31,0))="P")+
 --(INDEX('PW_MLG GRADE 10'!$AF$7:$AF$31,MATCH(LEFT($A184,LEN($A184)-2),'PW_MLG GRADE 10'!$B$7:$B$31,0))="P")+
 --(INDEX('PW_MLG GRADE 10'!$AL$7:$AL$31,MATCH(LEFT($A184,LEN($A184)-2),'PW_MLG GRADE 10'!$B$7:$B$31,0))="P")+
 --(INDEX('PW_MLG GRADE 10'!$AR$7:$AR$31,MATCH(LEFT($A184,LEN($A184)-2),'PW_MLG GRADE 10'!$B$7:$B$31,0))="P")+
 --(INDEX('PW_MLG GRADE 10'!$BD$7:$BD$31,MATCH(LEFT($A184,LEN($A184)-2),'PW_MLG GRADE 10'!$B$7:$B$31,0))="P")+
 --(INDEX('PW_MLG GRADE 10'!$BJ$7:$BJ$31,MATCH(LEFT($A184,LEN($A184)-2),'PW_MLG GRADE 10'!$B$7:$B$31,0))="P")+
 --(INDEX('PW_MLG GRADE 10'!$Z$7:$Z$31,MATCH(LEFT($A184,LEN($A184)-2),'PW_MLG GRADE 10'!$B$7:$B$31,0))="P")+
 --(INDEX('PW_MLG GRADE 10'!$AX$7:$AX$31,MATCH(LEFT($A184,LEN($A184)-2),'PW_MLG GRADE 10'!$B$7:$B$31,0))="P"),
0)</f>
        <v>0</v>
      </c>
      <c r="I184" s="24" t="b">
        <f ca="1">IF(IF(_xlfn.XLOOKUP(LEFT(F184,LEN(F184)-2),'PW_MLG GRADE 10'!$B$7:$B$31,'PW_MLG GRADE 10'!$BM$7:$BM$31,"",0,1)=0,"",_xlfn.XLOOKUP(LEFT(F184,LEN(F184)-2),'PW_MLG GRADE 10'!$B$7:$B$31,'PW_MLG GRADE 10'!$BM$7:$BM$31,"",0,1))&lt;=TODAY(),TRUE,FALSE)</f>
        <v>0</v>
      </c>
      <c r="J184" s="25" t="str">
        <f t="shared" ca="1" si="7"/>
        <v/>
      </c>
    </row>
    <row r="185" spans="1:10">
      <c r="A185" s="140" t="s">
        <v>390</v>
      </c>
      <c r="B185" s="140"/>
      <c r="C185" s="140"/>
      <c r="D185" s="140"/>
      <c r="E185" s="141">
        <f ca="1">IFERROR(AVERAGE(E140:E184),0)</f>
        <v>0.5</v>
      </c>
      <c r="F185" s="138" t="s">
        <v>390</v>
      </c>
      <c r="G185" s="138"/>
      <c r="H185" s="138"/>
      <c r="I185" s="138"/>
      <c r="J185" s="139">
        <f ca="1">IFERROR(AVERAGE(J140:J184),0)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1CEAB-EB03-4FD3-83C3-4CC2DAB7554E}">
  <sheetPr codeName="Feuil14"/>
  <dimension ref="A1:R44"/>
  <sheetViews>
    <sheetView workbookViewId="0">
      <selection activeCell="B3" sqref="B3"/>
    </sheetView>
  </sheetViews>
  <sheetFormatPr defaultColWidth="8.5703125" defaultRowHeight="14.45"/>
  <sheetData>
    <row r="1" spans="1:18">
      <c r="B1" t="str" cm="1">
        <f t="array" ref="B1:H1">_xlfn._xlws.FILTER('TH_CMI GRADE 10'!C5:AO5,'TH_CMI GRADE 10'!C5:AO5&lt;&gt;0)</f>
        <v>DIKI</v>
      </c>
      <c r="C1" t="str">
        <v>RIZKI</v>
      </c>
      <c r="D1" t="str">
        <v>GITA</v>
      </c>
      <c r="E1" t="str">
        <v>GHATA</v>
      </c>
      <c r="F1" t="str">
        <v>RAHMAT</v>
      </c>
      <c r="G1" t="str">
        <v>AYUTYASTUTI</v>
      </c>
      <c r="H1" t="str">
        <v>KARTIKA</v>
      </c>
      <c r="I1" t="str" cm="1">
        <f t="array" ref="I1:R1">_xlfn._xlws.FILTER('TH_MLG GRADE 10'!C5:BJ5,'TH_MLG GRADE 10'!C5:BJ5&lt;&gt;0)</f>
        <v>TASYA</v>
      </c>
      <c r="J1" t="str">
        <v>FAIZ</v>
      </c>
      <c r="K1" t="str">
        <v>ANNISA</v>
      </c>
      <c r="L1" t="str">
        <v>BIMA</v>
      </c>
      <c r="M1" t="str">
        <v>AKHMAD</v>
      </c>
      <c r="N1" t="str">
        <v>ARIFAH</v>
      </c>
      <c r="O1" t="str">
        <v>DEVI</v>
      </c>
      <c r="P1" t="str">
        <v>AINUR</v>
      </c>
      <c r="Q1" t="str">
        <v>FAJAR</v>
      </c>
      <c r="R1" t="str">
        <v>ALIF</v>
      </c>
    </row>
    <row r="2" spans="1:18">
      <c r="A2" t="str" cm="1">
        <f t="array" ref="A2:A44">'TH_CMI GRADE 10'!B7:B49</f>
        <v>1.1.1</v>
      </c>
      <c r="B2" t="s">
        <v>460</v>
      </c>
    </row>
    <row r="3" spans="1:18">
      <c r="A3" t="str">
        <v>2.1.1</v>
      </c>
      <c r="B3" t="str">
        <f>IF(_xlfn.XLOOKUP($A3,'TH_CMI GRADE 10'!$B$7:$B$49,'TH_CMI GRADE 10'!H8:H50,"",0,1)="P","OK","")</f>
        <v/>
      </c>
    </row>
    <row r="4" spans="1:18">
      <c r="A4" t="str">
        <v>2.1.2</v>
      </c>
      <c r="B4" t="str">
        <f>IF(_xlfn.XLOOKUP($A4,'TH_CMI GRADE 10'!$B$7:$B$49,'TH_CMI GRADE 10'!H9:H51,"",0,1)="P","OK","")</f>
        <v/>
      </c>
    </row>
    <row r="5" spans="1:18">
      <c r="A5" t="str">
        <v>2.1.3</v>
      </c>
      <c r="B5" t="str">
        <f>IF(_xlfn.XLOOKUP($A5,'TH_CMI GRADE 10'!$B$7:$B$49,'TH_CMI GRADE 10'!H10:H52,"",0,1)="P","OK","")</f>
        <v/>
      </c>
    </row>
    <row r="6" spans="1:18">
      <c r="A6" t="str">
        <v>2.1.4</v>
      </c>
      <c r="B6" t="str">
        <f>IF(_xlfn.XLOOKUP($A6,'TH_CMI GRADE 10'!$B$7:$B$49,'TH_CMI GRADE 10'!H11:H53,"",0,1)="P","OK","")</f>
        <v/>
      </c>
    </row>
    <row r="7" spans="1:18">
      <c r="A7" t="str">
        <v>2.1.5</v>
      </c>
      <c r="B7" t="str">
        <f>IF(_xlfn.XLOOKUP($A7,'TH_CMI GRADE 10'!$B$7:$B$49,'TH_CMI GRADE 10'!H12:H54,"",0,1)="P","OK","")</f>
        <v/>
      </c>
    </row>
    <row r="8" spans="1:18">
      <c r="A8" t="str">
        <v>2.1.6</v>
      </c>
      <c r="B8" t="str">
        <f>IF(_xlfn.XLOOKUP($A8,'TH_CMI GRADE 10'!$B$7:$B$49,'TH_CMI GRADE 10'!H13:H55,"",0,1)="P","OK","")</f>
        <v/>
      </c>
    </row>
    <row r="9" spans="1:18">
      <c r="A9" t="str">
        <v>2.2.1</v>
      </c>
      <c r="B9" t="str">
        <f>IF(_xlfn.XLOOKUP($A9,'TH_CMI GRADE 10'!$B$7:$B$49,'TH_CMI GRADE 10'!H14:H56,"",0,1)="P","OK","")</f>
        <v/>
      </c>
    </row>
    <row r="10" spans="1:18">
      <c r="A10" t="str">
        <v>2.3.1</v>
      </c>
      <c r="B10" t="str">
        <f>IF(_xlfn.XLOOKUP($A10,'TH_CMI GRADE 10'!$B$7:$B$49,'TH_CMI GRADE 10'!H15:H57,"",0,1)="P","OK","")</f>
        <v/>
      </c>
    </row>
    <row r="11" spans="1:18">
      <c r="A11" t="str">
        <v>2.3.2</v>
      </c>
      <c r="B11" t="str">
        <f>IF(_xlfn.XLOOKUP($A11,'TH_CMI GRADE 10'!$B$7:$B$49,'TH_CMI GRADE 10'!H16:H58,"",0,1)="P","OK","")</f>
        <v/>
      </c>
    </row>
    <row r="12" spans="1:18">
      <c r="A12" t="str">
        <v>2.3.3</v>
      </c>
      <c r="B12" t="str">
        <f>IF(_xlfn.XLOOKUP($A12,'TH_CMI GRADE 10'!$B$7:$B$49,'TH_CMI GRADE 10'!H17:H59,"",0,1)="P","OK","")</f>
        <v/>
      </c>
    </row>
    <row r="13" spans="1:18">
      <c r="A13" t="str">
        <v>2.3.4</v>
      </c>
      <c r="B13" t="str">
        <f>IF(_xlfn.XLOOKUP($A13,'TH_CMI GRADE 10'!$B$7:$B$49,'TH_CMI GRADE 10'!H18:H60,"",0,1)="P","OK","")</f>
        <v/>
      </c>
    </row>
    <row r="14" spans="1:18">
      <c r="A14" t="str">
        <v>2.4.1</v>
      </c>
      <c r="B14" t="str">
        <f>IF(_xlfn.XLOOKUP($A14,'TH_CMI GRADE 10'!$B$7:$B$49,'TH_CMI GRADE 10'!H19:H61,"",0,1)="P","OK","")</f>
        <v/>
      </c>
    </row>
    <row r="15" spans="1:18">
      <c r="A15" t="str">
        <v>2.5.1</v>
      </c>
      <c r="B15" t="str">
        <f>IF(_xlfn.XLOOKUP($A15,'TH_CMI GRADE 10'!$B$7:$B$49,'TH_CMI GRADE 10'!H20:H62,"",0,1)="P","OK","")</f>
        <v/>
      </c>
    </row>
    <row r="16" spans="1:18">
      <c r="A16" t="str">
        <v>3A.1.1</v>
      </c>
      <c r="B16" t="str">
        <f>IF(_xlfn.XLOOKUP($A16,'TH_CMI GRADE 10'!$B$7:$B$49,'TH_CMI GRADE 10'!H21:H63,"",0,1)="P","OK","")</f>
        <v/>
      </c>
    </row>
    <row r="17" spans="1:2">
      <c r="A17" t="str">
        <v>3A.2.1</v>
      </c>
      <c r="B17" t="str">
        <f>IF(_xlfn.XLOOKUP($A17,'TH_CMI GRADE 10'!$B$7:$B$49,'TH_CMI GRADE 10'!H22:H64,"",0,1)="P","OK","")</f>
        <v/>
      </c>
    </row>
    <row r="18" spans="1:2">
      <c r="A18" t="str">
        <v>4A.1.1</v>
      </c>
      <c r="B18" t="str">
        <f>IF(_xlfn.XLOOKUP($A18,'TH_CMI GRADE 10'!$B$7:$B$49,'TH_CMI GRADE 10'!H23:H65,"",0,1)="P","OK","")</f>
        <v/>
      </c>
    </row>
    <row r="19" spans="1:2">
      <c r="A19" t="str">
        <v>4A.1.2</v>
      </c>
      <c r="B19" t="str">
        <f>IF(_xlfn.XLOOKUP($A19,'TH_CMI GRADE 10'!$B$7:$B$49,'TH_CMI GRADE 10'!H24:H66,"",0,1)="P","OK","")</f>
        <v/>
      </c>
    </row>
    <row r="20" spans="1:2">
      <c r="A20" t="str">
        <v>4A.1.3</v>
      </c>
      <c r="B20" t="str">
        <f>IF(_xlfn.XLOOKUP($A20,'TH_CMI GRADE 10'!$B$7:$B$49,'TH_CMI GRADE 10'!H25:H67,"",0,1)="P","OK","")</f>
        <v/>
      </c>
    </row>
    <row r="21" spans="1:2">
      <c r="A21" t="str">
        <v>4A.1.4</v>
      </c>
      <c r="B21" t="str">
        <f>IF(_xlfn.XLOOKUP($A21,'TH_CMI GRADE 10'!$B$7:$B$49,'TH_CMI GRADE 10'!H26:H68,"",0,1)="P","OK","")</f>
        <v/>
      </c>
    </row>
    <row r="22" spans="1:2">
      <c r="A22" t="str">
        <v>4A.1.5</v>
      </c>
      <c r="B22" t="str">
        <f>IF(_xlfn.XLOOKUP($A22,'TH_CMI GRADE 10'!$B$7:$B$49,'TH_CMI GRADE 10'!H27:H69,"",0,1)="P","OK","")</f>
        <v/>
      </c>
    </row>
    <row r="23" spans="1:2">
      <c r="A23" t="str">
        <v>4A.1.6</v>
      </c>
      <c r="B23" t="str">
        <f>IF(_xlfn.XLOOKUP($A23,'TH_CMI GRADE 10'!$B$7:$B$49,'TH_CMI GRADE 10'!H28:H70,"",0,1)="P","OK","")</f>
        <v/>
      </c>
    </row>
    <row r="24" spans="1:2">
      <c r="A24" t="str">
        <v>4A.2.1</v>
      </c>
      <c r="B24" t="str">
        <f>IF(_xlfn.XLOOKUP($A24,'TH_CMI GRADE 10'!$B$7:$B$49,'TH_CMI GRADE 10'!H29:H71,"",0,1)="P","OK","")</f>
        <v/>
      </c>
    </row>
    <row r="25" spans="1:2">
      <c r="A25" t="str">
        <v>4A.2.2</v>
      </c>
      <c r="B25" t="str">
        <f>IF(_xlfn.XLOOKUP($A25,'TH_CMI GRADE 10'!$B$7:$B$49,'TH_CMI GRADE 10'!H30:H72,"",0,1)="P","OK","")</f>
        <v/>
      </c>
    </row>
    <row r="26" spans="1:2">
      <c r="A26" t="str">
        <v>4A.2.3</v>
      </c>
      <c r="B26" t="str">
        <f>IF(_xlfn.XLOOKUP($A26,'TH_CMI GRADE 10'!$B$7:$B$49,'TH_CMI GRADE 10'!H31:H73,"",0,1)="P","OK","")</f>
        <v/>
      </c>
    </row>
    <row r="27" spans="1:2">
      <c r="A27" t="str">
        <v>4A.3.1</v>
      </c>
      <c r="B27" t="str">
        <f>IF(_xlfn.XLOOKUP($A27,'TH_CMI GRADE 10'!$B$7:$B$49,'TH_CMI GRADE 10'!H32:H74,"",0,1)="P","OK","")</f>
        <v/>
      </c>
    </row>
    <row r="28" spans="1:2">
      <c r="A28" t="str">
        <v>4A.3.2</v>
      </c>
      <c r="B28" t="str">
        <f>IF(_xlfn.XLOOKUP($A28,'TH_CMI GRADE 10'!$B$7:$B$49,'TH_CMI GRADE 10'!H33:H75,"",0,1)="P","OK","")</f>
        <v/>
      </c>
    </row>
    <row r="29" spans="1:2">
      <c r="A29" t="str">
        <v>4A.3.3</v>
      </c>
      <c r="B29" t="str">
        <f>IF(_xlfn.XLOOKUP($A29,'TH_CMI GRADE 10'!$B$7:$B$49,'TH_CMI GRADE 10'!H34:H76,"",0,1)="P","OK","")</f>
        <v/>
      </c>
    </row>
    <row r="30" spans="1:2">
      <c r="A30" t="str">
        <v>5A.1.1</v>
      </c>
      <c r="B30" t="str">
        <f>IF(_xlfn.XLOOKUP($A30,'TH_CMI GRADE 10'!$B$7:$B$49,'TH_CMI GRADE 10'!H35:H77,"",0,1)="P","OK","")</f>
        <v/>
      </c>
    </row>
    <row r="31" spans="1:2">
      <c r="A31" t="str">
        <v>5A.1.2</v>
      </c>
      <c r="B31" t="str">
        <f>IF(_xlfn.XLOOKUP($A31,'TH_CMI GRADE 10'!$B$7:$B$49,'TH_CMI GRADE 10'!H36:H78,"",0,1)="P","OK","")</f>
        <v/>
      </c>
    </row>
    <row r="32" spans="1:2">
      <c r="A32" t="str">
        <v>5A.2.1</v>
      </c>
      <c r="B32" t="str">
        <f>IF(_xlfn.XLOOKUP($A32,'TH_CMI GRADE 10'!$B$7:$B$49,'TH_CMI GRADE 10'!H37:H79,"",0,1)="P","OK","")</f>
        <v/>
      </c>
    </row>
    <row r="33" spans="1:2">
      <c r="A33" t="str">
        <v>5A.2.2</v>
      </c>
      <c r="B33" t="str">
        <f>IF(_xlfn.XLOOKUP($A33,'TH_CMI GRADE 10'!$B$7:$B$49,'TH_CMI GRADE 10'!H38:H80,"",0,1)="P","OK","")</f>
        <v/>
      </c>
    </row>
    <row r="34" spans="1:2">
      <c r="A34" t="str">
        <v>6A.1.1</v>
      </c>
      <c r="B34" t="str">
        <f>IF(_xlfn.XLOOKUP($A34,'TH_CMI GRADE 10'!$B$7:$B$49,'TH_CMI GRADE 10'!H39:H81,"",0,1)="P","OK","")</f>
        <v/>
      </c>
    </row>
    <row r="35" spans="1:2">
      <c r="A35" t="str">
        <v>6A.1.2</v>
      </c>
      <c r="B35" t="str">
        <f>IF(_xlfn.XLOOKUP($A35,'TH_CMI GRADE 10'!$B$7:$B$49,'TH_CMI GRADE 10'!H40:H82,"",0,1)="P","OK","")</f>
        <v/>
      </c>
    </row>
    <row r="36" spans="1:2">
      <c r="A36" t="str">
        <v>6A.2.1</v>
      </c>
      <c r="B36" t="str">
        <f>IF(_xlfn.XLOOKUP($A36,'TH_CMI GRADE 10'!$B$7:$B$49,'TH_CMI GRADE 10'!H41:H83,"",0,1)="P","OK","")</f>
        <v/>
      </c>
    </row>
    <row r="37" spans="1:2">
      <c r="A37" t="str">
        <v>6A.2.2</v>
      </c>
      <c r="B37" t="str">
        <f>IF(_xlfn.XLOOKUP($A37,'TH_CMI GRADE 10'!$B$7:$B$49,'TH_CMI GRADE 10'!H42:H84,"",0,1)="P","OK","")</f>
        <v/>
      </c>
    </row>
    <row r="38" spans="1:2">
      <c r="A38" t="str">
        <v>6A.2.3</v>
      </c>
      <c r="B38" t="str">
        <f>IF(_xlfn.XLOOKUP($A38,'TH_CMI GRADE 10'!$B$7:$B$49,'TH_CMI GRADE 10'!H43:H85,"",0,1)="P","OK","")</f>
        <v/>
      </c>
    </row>
    <row r="39" spans="1:2">
      <c r="A39" t="str">
        <v>7A.1.1</v>
      </c>
      <c r="B39" t="str">
        <f>IF(_xlfn.XLOOKUP($A39,'TH_CMI GRADE 10'!$B$7:$B$49,'TH_CMI GRADE 10'!H44:H86,"",0,1)="P","OK","")</f>
        <v/>
      </c>
    </row>
    <row r="40" spans="1:2">
      <c r="A40" t="str">
        <v>7A.1.2</v>
      </c>
      <c r="B40" t="str">
        <f>IF(_xlfn.XLOOKUP($A40,'TH_CMI GRADE 10'!$B$7:$B$49,'TH_CMI GRADE 10'!H45:H87,"",0,1)="P","OK","")</f>
        <v/>
      </c>
    </row>
    <row r="41" spans="1:2">
      <c r="A41" t="str">
        <v>7A.1.3</v>
      </c>
      <c r="B41" t="str">
        <f>IF(_xlfn.XLOOKUP($A41,'TH_CMI GRADE 10'!$B$7:$B$49,'TH_CMI GRADE 10'!H46:H88,"",0,1)="P","OK","")</f>
        <v/>
      </c>
    </row>
    <row r="42" spans="1:2">
      <c r="A42" t="str">
        <v>7A.1.4</v>
      </c>
      <c r="B42" t="str">
        <f>IF(_xlfn.XLOOKUP($A42,'TH_CMI GRADE 10'!$B$7:$B$49,'TH_CMI GRADE 10'!H47:H89,"",0,1)="P","OK","")</f>
        <v/>
      </c>
    </row>
    <row r="43" spans="1:2">
      <c r="A43" t="str">
        <v>7A.1.5</v>
      </c>
      <c r="B43" t="str">
        <f>IF(_xlfn.XLOOKUP($A43,'TH_CMI GRADE 10'!$B$7:$B$49,'TH_CMI GRADE 10'!H48:H90,"",0,1)="P","OK","")</f>
        <v/>
      </c>
    </row>
    <row r="44" spans="1:2">
      <c r="A44" t="str">
        <v>7A.1.6</v>
      </c>
      <c r="B44" t="str">
        <f>IF(_xlfn.XLOOKUP($A44,'TH_CMI GRADE 10'!$B$7:$B$49,'TH_CMI GRADE 10'!H49:H91,"",0,1)="P","OK","")</f>
        <v/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123234-5c51-4060-8185-6fe4c7af1d49" xsi:nil="true"/>
    <lcf76f155ced4ddcb4097134ff3c332f xmlns="8f61a8a6-5afb-4e7c-bd5c-83a8582f7ab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EE00D6A2598B42B2C11F460FFE1FE4" ma:contentTypeVersion="16" ma:contentTypeDescription="Crée un document." ma:contentTypeScope="" ma:versionID="d08aa7359a57b5657b7452cef2b759bc">
  <xsd:schema xmlns:xsd="http://www.w3.org/2001/XMLSchema" xmlns:xs="http://www.w3.org/2001/XMLSchema" xmlns:p="http://schemas.microsoft.com/office/2006/metadata/properties" xmlns:ns2="d5123234-5c51-4060-8185-6fe4c7af1d49" xmlns:ns3="8f61a8a6-5afb-4e7c-bd5c-83a8582f7ab1" targetNamespace="http://schemas.microsoft.com/office/2006/metadata/properties" ma:root="true" ma:fieldsID="4685f9ac7af8c544d2b0a5586aa1e506" ns2:_="" ns3:_="">
    <xsd:import namespace="d5123234-5c51-4060-8185-6fe4c7af1d49"/>
    <xsd:import namespace="8f61a8a6-5afb-4e7c-bd5c-83a8582f7ab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123234-5c51-4060-8185-6fe4c7af1d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dd1f20-a652-479b-8ec2-20e120f0795c}" ma:internalName="TaxCatchAll" ma:showField="CatchAllData" ma:web="d5123234-5c51-4060-8185-6fe4c7af1d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1a8a6-5afb-4e7c-bd5c-83a8582f7a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adda720-db1d-4638-aa87-b02c806ba2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BBEA8B-5B8F-4D42-A0CA-DDE0BC730216}"/>
</file>

<file path=customXml/itemProps2.xml><?xml version="1.0" encoding="utf-8"?>
<ds:datastoreItem xmlns:ds="http://schemas.openxmlformats.org/officeDocument/2006/customXml" ds:itemID="{118C9B1D-D6C7-438A-9633-688AD4387D0B}"/>
</file>

<file path=customXml/itemProps3.xml><?xml version="1.0" encoding="utf-8"?>
<ds:datastoreItem xmlns:ds="http://schemas.openxmlformats.org/officeDocument/2006/customXml" ds:itemID="{F107FCB9-E766-47E4-A637-1F62ABA14A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Luidjy Payet</dc:creator>
  <cp:keywords/>
  <dc:description/>
  <cp:lastModifiedBy>Benoit Hardelin</cp:lastModifiedBy>
  <cp:revision/>
  <dcterms:created xsi:type="dcterms:W3CDTF">2025-08-13T07:44:48Z</dcterms:created>
  <dcterms:modified xsi:type="dcterms:W3CDTF">2026-08-21T02:23:27Z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0x01010069EE00D6A2598B42B2C11F460FFE1FE4</vt:lpwstr>
  </property>
  <property fmtid="{D5CDD505-2E9C-101B-9397-08002B2CF9AE}" pid="3" name="MediaServiceImageTags">
    <vt:lpwstr/>
  </property>
</Properties>
</file>